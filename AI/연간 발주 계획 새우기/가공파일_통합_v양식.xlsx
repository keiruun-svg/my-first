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년_케이블" sheetId="1" state="visible" r:id="rId1"/>
    <sheet xmlns:r="http://schemas.openxmlformats.org/officeDocument/2006/relationships" name="23년 하우징" sheetId="2" state="visible" r:id="rId2"/>
    <sheet xmlns:r="http://schemas.openxmlformats.org/officeDocument/2006/relationships" name="24년_케이블" sheetId="3" state="visible" r:id="rId3"/>
    <sheet xmlns:r="http://schemas.openxmlformats.org/officeDocument/2006/relationships" name="24년 하우징" sheetId="4" state="visible" r:id="rId4"/>
    <sheet xmlns:r="http://schemas.openxmlformats.org/officeDocument/2006/relationships" name="25년_케이블" sheetId="5" state="visible" r:id="rId5"/>
    <sheet xmlns:r="http://schemas.openxmlformats.org/officeDocument/2006/relationships" name="25년 하우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20" customWidth="1" min="24" max="24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23년01월</t>
        </is>
      </c>
      <c r="K1" s="1" t="inlineStr">
        <is>
          <t>23년02월</t>
        </is>
      </c>
      <c r="L1" s="1" t="inlineStr">
        <is>
          <t>23년03월</t>
        </is>
      </c>
      <c r="M1" s="1" t="inlineStr">
        <is>
          <t>23년04월</t>
        </is>
      </c>
      <c r="N1" s="1" t="inlineStr">
        <is>
          <t>23년05월</t>
        </is>
      </c>
      <c r="O1" s="1" t="inlineStr">
        <is>
          <t>23년06월</t>
        </is>
      </c>
      <c r="P1" s="1" t="inlineStr">
        <is>
          <t>23년07월</t>
        </is>
      </c>
      <c r="Q1" s="1" t="inlineStr">
        <is>
          <t>23년08월</t>
        </is>
      </c>
      <c r="R1" s="1" t="inlineStr">
        <is>
          <t>23년09월</t>
        </is>
      </c>
      <c r="S1" s="1" t="inlineStr">
        <is>
          <t>23년10월</t>
        </is>
      </c>
      <c r="T1" s="1" t="inlineStr">
        <is>
          <t>23년11월</t>
        </is>
      </c>
      <c r="U1" s="1" t="inlineStr">
        <is>
          <t>23년12월</t>
        </is>
      </c>
      <c r="V1" s="1" t="inlineStr">
        <is>
          <t>케이블 사용량</t>
        </is>
      </c>
      <c r="W1" s="1" t="inlineStr">
        <is>
          <t>최고제작량</t>
        </is>
      </c>
      <c r="X1" s="1" t="inlineStr">
        <is>
          <t>최고판매 케이블 소요량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>
        <v>150</v>
      </c>
      <c r="K2" s="2" t="n"/>
      <c r="L2" s="2" t="n"/>
      <c r="M2" s="2" t="n">
        <v>200</v>
      </c>
      <c r="N2" s="2" t="n"/>
      <c r="O2" s="2" t="n">
        <v>5</v>
      </c>
      <c r="P2" s="2" t="n">
        <v>50</v>
      </c>
      <c r="Q2" s="2" t="n">
        <v>100</v>
      </c>
      <c r="R2" s="2" t="n"/>
      <c r="S2" s="2" t="n">
        <v>20</v>
      </c>
      <c r="T2" s="2" t="n"/>
      <c r="U2" s="2" t="n"/>
      <c r="V2" s="2">
        <f>SUM(J2:U2)*G2</f>
        <v/>
      </c>
      <c r="W2" s="2">
        <f>MAX(J2:U2)</f>
        <v/>
      </c>
      <c r="X2" s="2">
        <f>W2*G2</f>
        <v/>
      </c>
    </row>
    <row r="3">
      <c r="A3" s="2" t="inlineStr">
        <is>
          <t>14-C-003</t>
        </is>
      </c>
      <c r="B3" s="3" t="inlineStr">
        <is>
          <t>DROP-CABLE(LC/PC)</t>
        </is>
      </c>
      <c r="C3" s="2" t="inlineStr">
        <is>
          <t>20M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20</v>
      </c>
      <c r="H3" s="2" t="inlineStr">
        <is>
          <t>LC/PC</t>
        </is>
      </c>
      <c r="I3" s="2" t="inlineStr">
        <is>
          <t>LC/PC</t>
        </is>
      </c>
      <c r="J3" s="2" t="n"/>
      <c r="K3" s="2" t="n"/>
      <c r="L3" s="2" t="n"/>
      <c r="M3" s="2" t="n"/>
      <c r="N3" s="2" t="n"/>
      <c r="O3" s="2" t="n">
        <v>55</v>
      </c>
      <c r="P3" s="2" t="n">
        <v>10</v>
      </c>
      <c r="Q3" s="2" t="n">
        <v>20</v>
      </c>
      <c r="R3" s="2" t="n"/>
      <c r="S3" s="2" t="n">
        <v>10</v>
      </c>
      <c r="T3" s="2" t="n"/>
      <c r="U3" s="2" t="n">
        <v>30</v>
      </c>
      <c r="V3" s="2">
        <f>SUM(J3:U3)*G3</f>
        <v/>
      </c>
      <c r="W3" s="2">
        <f>MAX(J3:U3)</f>
        <v/>
      </c>
      <c r="X3" s="2">
        <f>W3*G3</f>
        <v/>
      </c>
    </row>
    <row r="4">
      <c r="A4" s="2" t="inlineStr">
        <is>
          <t>14-C-005</t>
        </is>
      </c>
      <c r="B4" s="3" t="inlineStr">
        <is>
          <t>DROP-CABLE(LC/PC)</t>
        </is>
      </c>
      <c r="C4" s="2" t="inlineStr">
        <is>
          <t>3M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3</v>
      </c>
      <c r="H4" s="2" t="inlineStr">
        <is>
          <t>LC/PC</t>
        </is>
      </c>
      <c r="I4" s="2" t="inlineStr">
        <is>
          <t>LC/PC</t>
        </is>
      </c>
      <c r="J4" s="2" t="n">
        <v>200</v>
      </c>
      <c r="K4" s="2" t="n"/>
      <c r="L4" s="2" t="n">
        <v>400</v>
      </c>
      <c r="M4" s="2" t="n">
        <v>200</v>
      </c>
      <c r="N4" s="2" t="n">
        <v>200</v>
      </c>
      <c r="O4" s="2" t="n"/>
      <c r="P4" s="2" t="n">
        <v>170</v>
      </c>
      <c r="Q4" s="2" t="n">
        <v>300</v>
      </c>
      <c r="R4" s="2" t="n">
        <v>50</v>
      </c>
      <c r="S4" s="2" t="n"/>
      <c r="T4" s="2" t="n"/>
      <c r="U4" s="2" t="n">
        <v>30</v>
      </c>
      <c r="V4" s="2">
        <f>SUM(J4:U4)*G4</f>
        <v/>
      </c>
      <c r="W4" s="2">
        <f>MAX(J4:U4)</f>
        <v/>
      </c>
      <c r="X4" s="2">
        <f>W4*G4</f>
        <v/>
      </c>
    </row>
    <row r="5">
      <c r="A5" s="2" t="inlineStr">
        <is>
          <t>14-C-006</t>
        </is>
      </c>
      <c r="B5" s="3" t="inlineStr">
        <is>
          <t>DROP-CABLE(LC/PC)</t>
        </is>
      </c>
      <c r="C5" s="2" t="inlineStr">
        <is>
          <t>5M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5</v>
      </c>
      <c r="H5" s="2" t="inlineStr">
        <is>
          <t>LC/PC</t>
        </is>
      </c>
      <c r="I5" s="2" t="inlineStr">
        <is>
          <t>LC/PC</t>
        </is>
      </c>
      <c r="J5" s="2" t="n">
        <v>100</v>
      </c>
      <c r="K5" s="2" t="n">
        <v>150</v>
      </c>
      <c r="L5" s="2" t="n">
        <v>30</v>
      </c>
      <c r="M5" s="2" t="n"/>
      <c r="N5" s="2" t="n"/>
      <c r="O5" s="2" t="n">
        <v>5</v>
      </c>
      <c r="P5" s="2" t="n">
        <v>122</v>
      </c>
      <c r="Q5" s="2" t="n">
        <v>80</v>
      </c>
      <c r="R5" s="2" t="n"/>
      <c r="S5" s="2" t="n">
        <v>20</v>
      </c>
      <c r="T5" s="2" t="n">
        <v>50</v>
      </c>
      <c r="U5" s="2" t="n">
        <v>30</v>
      </c>
      <c r="V5" s="2">
        <f>SUM(J5:U5)*G5</f>
        <v/>
      </c>
      <c r="W5" s="2">
        <f>MAX(J5:U5)</f>
        <v/>
      </c>
      <c r="X5" s="2">
        <f>W5*G5</f>
        <v/>
      </c>
    </row>
    <row r="6">
      <c r="A6" s="2" t="inlineStr">
        <is>
          <t>14-C-009</t>
        </is>
      </c>
      <c r="B6" s="3" t="inlineStr">
        <is>
          <t>DROP-CABLE(LC/PC-SC/APC)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/>
      <c r="O6" s="2" t="n"/>
      <c r="P6" s="2" t="n">
        <v>5</v>
      </c>
      <c r="Q6" s="2" t="n"/>
      <c r="R6" s="2" t="n"/>
      <c r="S6" s="2" t="n"/>
      <c r="T6" s="2" t="n"/>
      <c r="U6" s="2" t="n"/>
      <c r="V6" s="2">
        <f>SUM(J6:U6)*G6</f>
        <v/>
      </c>
      <c r="W6" s="2">
        <f>MAX(J6:U6)</f>
        <v/>
      </c>
      <c r="X6" s="2">
        <f>W6*G6</f>
        <v/>
      </c>
    </row>
    <row r="7">
      <c r="A7" s="2" t="inlineStr">
        <is>
          <t>14-C-013</t>
        </is>
      </c>
      <c r="B7" s="3" t="inlineStr">
        <is>
          <t>DROP-CABLE(SC/APC)</t>
        </is>
      </c>
      <c r="C7" s="2" t="inlineStr">
        <is>
          <t>10M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10</v>
      </c>
      <c r="H7" s="2" t="inlineStr">
        <is>
          <t>SC/APC</t>
        </is>
      </c>
      <c r="I7" s="2" t="inlineStr">
        <is>
          <t>SC/APC</t>
        </is>
      </c>
      <c r="J7" s="2" t="n">
        <v>10</v>
      </c>
      <c r="K7" s="2" t="n">
        <v>200</v>
      </c>
      <c r="L7" s="2" t="n"/>
      <c r="M7" s="2" t="n"/>
      <c r="N7" s="2" t="n"/>
      <c r="O7" s="2" t="n">
        <v>6</v>
      </c>
      <c r="P7" s="2" t="n"/>
      <c r="Q7" s="2" t="n"/>
      <c r="R7" s="2" t="n"/>
      <c r="S7" s="2" t="n"/>
      <c r="T7" s="2" t="n"/>
      <c r="U7" s="2" t="n"/>
      <c r="V7" s="2">
        <f>SUM(J7:U7)*G7</f>
        <v/>
      </c>
      <c r="W7" s="2">
        <f>MAX(J7:U7)</f>
        <v/>
      </c>
      <c r="X7" s="2">
        <f>W7*G7</f>
        <v/>
      </c>
    </row>
    <row r="8">
      <c r="A8" s="2" t="inlineStr">
        <is>
          <t>14-C-015</t>
        </is>
      </c>
      <c r="B8" s="3" t="inlineStr">
        <is>
          <t>DROP-CABLE(SC/APC)</t>
        </is>
      </c>
      <c r="C8" s="2" t="inlineStr">
        <is>
          <t>15M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15</v>
      </c>
      <c r="H8" s="2" t="inlineStr">
        <is>
          <t>SC/APC</t>
        </is>
      </c>
      <c r="I8" s="2" t="inlineStr">
        <is>
          <t>SC/APC</t>
        </is>
      </c>
      <c r="J8" s="2" t="n">
        <v>32</v>
      </c>
      <c r="K8" s="2" t="n">
        <v>100</v>
      </c>
      <c r="L8" s="2" t="n"/>
      <c r="M8" s="2" t="n"/>
      <c r="N8" s="2" t="n"/>
      <c r="O8" s="2" t="n"/>
      <c r="P8" s="2" t="n">
        <v>1</v>
      </c>
      <c r="Q8" s="2" t="n"/>
      <c r="R8" s="2" t="n"/>
      <c r="S8" s="2" t="n"/>
      <c r="T8" s="2" t="n"/>
      <c r="U8" s="2" t="n"/>
      <c r="V8" s="2">
        <f>SUM(J8:U8)*G8</f>
        <v/>
      </c>
      <c r="W8" s="2">
        <f>MAX(J8:U8)</f>
        <v/>
      </c>
      <c r="X8" s="2">
        <f>W8*G8</f>
        <v/>
      </c>
    </row>
    <row r="9">
      <c r="A9" s="2" t="inlineStr">
        <is>
          <t>14-C-017</t>
        </is>
      </c>
      <c r="B9" s="3" t="inlineStr">
        <is>
          <t>DROP-CABLE(SC/APC)</t>
        </is>
      </c>
      <c r="C9" s="2" t="inlineStr">
        <is>
          <t>20M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20</v>
      </c>
      <c r="H9" s="2" t="inlineStr">
        <is>
          <t>SC/APC</t>
        </is>
      </c>
      <c r="I9" s="2" t="inlineStr">
        <is>
          <t>SC/APC</t>
        </is>
      </c>
      <c r="J9" s="2" t="n">
        <v>5</v>
      </c>
      <c r="K9" s="2" t="n"/>
      <c r="L9" s="2" t="n"/>
      <c r="M9" s="2" t="n"/>
      <c r="N9" s="2" t="n"/>
      <c r="O9" s="2" t="n"/>
      <c r="P9" s="2" t="n"/>
      <c r="Q9" s="2" t="n"/>
      <c r="R9" s="2" t="n">
        <v>2</v>
      </c>
      <c r="S9" s="2" t="n"/>
      <c r="T9" s="2" t="n"/>
      <c r="U9" s="2" t="n"/>
      <c r="V9" s="2">
        <f>SUM(J9:U9)*G9</f>
        <v/>
      </c>
      <c r="W9" s="2">
        <f>MAX(J9:U9)</f>
        <v/>
      </c>
      <c r="X9" s="2">
        <f>W9*G9</f>
        <v/>
      </c>
    </row>
    <row r="10">
      <c r="A10" s="2" t="inlineStr">
        <is>
          <t>14-C-026</t>
        </is>
      </c>
      <c r="B10" s="3" t="inlineStr">
        <is>
          <t>DROP-CABLE(SC/APC)</t>
        </is>
      </c>
      <c r="C10" s="2" t="inlineStr">
        <is>
          <t>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5</v>
      </c>
      <c r="H10" s="2" t="inlineStr">
        <is>
          <t>SC/APC</t>
        </is>
      </c>
      <c r="I10" s="2" t="inlineStr">
        <is>
          <t>SC/APC</t>
        </is>
      </c>
      <c r="J10" s="2" t="n"/>
      <c r="K10" s="2" t="n">
        <v>200</v>
      </c>
      <c r="L10" s="2" t="n"/>
      <c r="M10" s="2" t="n"/>
      <c r="N10" s="2" t="n"/>
      <c r="O10" s="2" t="n"/>
      <c r="P10" s="2" t="n"/>
      <c r="Q10" s="2" t="n"/>
      <c r="R10" s="2" t="n">
        <v>90</v>
      </c>
      <c r="S10" s="2" t="n"/>
      <c r="T10" s="2" t="n"/>
      <c r="U10" s="2" t="n"/>
      <c r="V10" s="2">
        <f>SUM(J10:U10)*G10</f>
        <v/>
      </c>
      <c r="W10" s="2">
        <f>MAX(J10:U10)</f>
        <v/>
      </c>
      <c r="X10" s="2">
        <f>W10*G10</f>
        <v/>
      </c>
    </row>
    <row r="11">
      <c r="A11" s="2" t="inlineStr">
        <is>
          <t>14-C-040</t>
        </is>
      </c>
      <c r="B11" s="3" t="inlineStr">
        <is>
          <t>DROP-CABLE(SC/PC)</t>
        </is>
      </c>
      <c r="C11" s="2" t="inlineStr">
        <is>
          <t>120M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120</v>
      </c>
      <c r="H11" s="2" t="inlineStr">
        <is>
          <t>SC/PC</t>
        </is>
      </c>
      <c r="I11" s="2" t="inlineStr">
        <is>
          <t>SC/PC</t>
        </is>
      </c>
      <c r="J11" s="2" t="n">
        <v>3</v>
      </c>
      <c r="K11" s="2" t="n">
        <v>3</v>
      </c>
      <c r="L11" s="2" t="n">
        <v>3</v>
      </c>
      <c r="M11" s="2" t="n"/>
      <c r="N11" s="2" t="n">
        <v>10</v>
      </c>
      <c r="O11" s="2" t="n"/>
      <c r="P11" s="2" t="n"/>
      <c r="Q11" s="2" t="n"/>
      <c r="R11" s="2" t="n"/>
      <c r="S11" s="2" t="n"/>
      <c r="T11" s="2" t="n"/>
      <c r="U11" s="2" t="n"/>
      <c r="V11" s="2">
        <f>SUM(J11:U11)*G11</f>
        <v/>
      </c>
      <c r="W11" s="2">
        <f>MAX(J11:U11)</f>
        <v/>
      </c>
      <c r="X11" s="2">
        <f>W11*G11</f>
        <v/>
      </c>
    </row>
    <row r="12">
      <c r="A12" s="2" t="inlineStr">
        <is>
          <t>14-C-047</t>
        </is>
      </c>
      <c r="B12" s="3" t="inlineStr">
        <is>
          <t>DROP-CABLE(SC/PC)</t>
        </is>
      </c>
      <c r="C12" s="2" t="inlineStr">
        <is>
          <t>15M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15</v>
      </c>
      <c r="H12" s="2" t="inlineStr">
        <is>
          <t>SC/PC</t>
        </is>
      </c>
      <c r="I12" s="2" t="inlineStr">
        <is>
          <t>SC/PC</t>
        </is>
      </c>
      <c r="J12" s="2" t="n"/>
      <c r="K12" s="2" t="n"/>
      <c r="L12" s="2" t="n">
        <v>3</v>
      </c>
      <c r="M12" s="2" t="n"/>
      <c r="N12" s="2" t="n"/>
      <c r="O12" s="2" t="n"/>
      <c r="P12" s="2" t="n"/>
      <c r="Q12" s="2" t="n">
        <v>100</v>
      </c>
      <c r="R12" s="2" t="n"/>
      <c r="S12" s="2" t="n"/>
      <c r="T12" s="2" t="n"/>
      <c r="U12" s="2" t="n"/>
      <c r="V12" s="2">
        <f>SUM(J12:U12)*G12</f>
        <v/>
      </c>
      <c r="W12" s="2">
        <f>MAX(J12:U12)</f>
        <v/>
      </c>
      <c r="X12" s="2">
        <f>W12*G12</f>
        <v/>
      </c>
    </row>
    <row r="13">
      <c r="A13" s="2" t="inlineStr">
        <is>
          <t>14-C-048</t>
        </is>
      </c>
      <c r="B13" s="3" t="inlineStr">
        <is>
          <t>DROP-CABLE(SC/PC)</t>
        </is>
      </c>
      <c r="C13" s="2" t="inlineStr">
        <is>
          <t>1M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1</v>
      </c>
      <c r="H13" s="2" t="inlineStr">
        <is>
          <t>SC/PC</t>
        </is>
      </c>
      <c r="I13" s="2" t="inlineStr">
        <is>
          <t>SC/PC</t>
        </is>
      </c>
      <c r="J13" s="2" t="n">
        <v>20</v>
      </c>
      <c r="K13" s="2" t="n">
        <v>20</v>
      </c>
      <c r="L13" s="2" t="n"/>
      <c r="M13" s="2" t="n"/>
      <c r="N13" s="2" t="n"/>
      <c r="O13" s="2" t="n"/>
      <c r="P13" s="2" t="n">
        <v>30</v>
      </c>
      <c r="Q13" s="2" t="n">
        <v>30</v>
      </c>
      <c r="R13" s="2" t="n"/>
      <c r="S13" s="2" t="n">
        <v>20</v>
      </c>
      <c r="T13" s="2" t="n"/>
      <c r="U13" s="2" t="n"/>
      <c r="V13" s="2">
        <f>SUM(J13:U13)*G13</f>
        <v/>
      </c>
      <c r="W13" s="2">
        <f>MAX(J13:U13)</f>
        <v/>
      </c>
      <c r="X13" s="2">
        <f>W13*G13</f>
        <v/>
      </c>
    </row>
    <row r="14">
      <c r="A14" s="2" t="inlineStr">
        <is>
          <t>14-C-050</t>
        </is>
      </c>
      <c r="B14" s="3" t="inlineStr">
        <is>
          <t>DROP-CABLE(SC/PC)</t>
        </is>
      </c>
      <c r="C14" s="2" t="inlineStr">
        <is>
          <t>20M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20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/>
      <c r="O14" s="2" t="n"/>
      <c r="P14" s="2" t="n"/>
      <c r="Q14" s="2" t="n">
        <v>200</v>
      </c>
      <c r="R14" s="2" t="n"/>
      <c r="S14" s="2" t="n"/>
      <c r="T14" s="2" t="n"/>
      <c r="U14" s="2" t="n"/>
      <c r="V14" s="2">
        <f>SUM(J14:U14)*G14</f>
        <v/>
      </c>
      <c r="W14" s="2">
        <f>MAX(J14:U14)</f>
        <v/>
      </c>
      <c r="X14" s="2">
        <f>W14*G14</f>
        <v/>
      </c>
    </row>
    <row r="15">
      <c r="A15" s="2" t="inlineStr">
        <is>
          <t>14-C-052</t>
        </is>
      </c>
      <c r="B15" s="3" t="inlineStr">
        <is>
          <t>DROP-CABLE(SC/PC)</t>
        </is>
      </c>
      <c r="C15" s="2" t="inlineStr">
        <is>
          <t>2M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2</v>
      </c>
      <c r="H15" s="2" t="inlineStr">
        <is>
          <t>SC/PC</t>
        </is>
      </c>
      <c r="I15" s="2" t="inlineStr">
        <is>
          <t>SC/PC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5</v>
      </c>
      <c r="T15" s="2" t="n"/>
      <c r="U15" s="2" t="n"/>
      <c r="V15" s="2">
        <f>SUM(J15:U15)*G15</f>
        <v/>
      </c>
      <c r="W15" s="2">
        <f>MAX(J15:U15)</f>
        <v/>
      </c>
      <c r="X15" s="2">
        <f>W15*G15</f>
        <v/>
      </c>
    </row>
    <row r="16">
      <c r="A16" s="2" t="inlineStr">
        <is>
          <t>14-C-053</t>
        </is>
      </c>
      <c r="B16" s="3" t="inlineStr">
        <is>
          <t>DROP-CABLE(SC/PC)</t>
        </is>
      </c>
      <c r="C16" s="2" t="inlineStr">
        <is>
          <t>30M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30</v>
      </c>
      <c r="H16" s="2" t="inlineStr">
        <is>
          <t>SC/PC</t>
        </is>
      </c>
      <c r="I16" s="2" t="inlineStr">
        <is>
          <t>SC/PC</t>
        </is>
      </c>
      <c r="J16" s="2" t="n"/>
      <c r="K16" s="2" t="n"/>
      <c r="L16" s="2" t="n"/>
      <c r="M16" s="2" t="n">
        <v>30</v>
      </c>
      <c r="N16" s="2" t="n"/>
      <c r="O16" s="2" t="n"/>
      <c r="P16" s="2" t="n"/>
      <c r="Q16" s="2" t="n">
        <v>60</v>
      </c>
      <c r="R16" s="2" t="n"/>
      <c r="S16" s="2" t="n"/>
      <c r="T16" s="2" t="n"/>
      <c r="U16" s="2" t="n"/>
      <c r="V16" s="2">
        <f>SUM(J16:U16)*G16</f>
        <v/>
      </c>
      <c r="W16" s="2">
        <f>MAX(J16:U16)</f>
        <v/>
      </c>
      <c r="X16" s="2">
        <f>W16*G16</f>
        <v/>
      </c>
    </row>
    <row r="17">
      <c r="A17" s="2" t="inlineStr">
        <is>
          <t>14-C-055</t>
        </is>
      </c>
      <c r="B17" s="3" t="inlineStr">
        <is>
          <t>DROP-CABLE(SC/PC)</t>
        </is>
      </c>
      <c r="C17" s="2" t="inlineStr">
        <is>
          <t>3M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</v>
      </c>
      <c r="H17" s="2" t="inlineStr">
        <is>
          <t>SC/PC</t>
        </is>
      </c>
      <c r="I17" s="2" t="inlineStr">
        <is>
          <t>SC/PC</t>
        </is>
      </c>
      <c r="J17" s="2" t="n"/>
      <c r="K17" s="2" t="n"/>
      <c r="L17" s="2" t="n">
        <v>10</v>
      </c>
      <c r="M17" s="2" t="n"/>
      <c r="N17" s="2" t="n"/>
      <c r="O17" s="2" t="n"/>
      <c r="P17" s="2" t="n">
        <v>10</v>
      </c>
      <c r="Q17" s="2" t="n">
        <v>10</v>
      </c>
      <c r="R17" s="2" t="n"/>
      <c r="S17" s="2" t="n"/>
      <c r="T17" s="2" t="n"/>
      <c r="U17" s="2" t="n"/>
      <c r="V17" s="2">
        <f>SUM(J17:U17)*G17</f>
        <v/>
      </c>
      <c r="W17" s="2">
        <f>MAX(J17:U17)</f>
        <v/>
      </c>
      <c r="X17" s="2">
        <f>W17*G17</f>
        <v/>
      </c>
    </row>
    <row r="18">
      <c r="A18" s="2" t="inlineStr">
        <is>
          <t>14-C-059</t>
        </is>
      </c>
      <c r="B18" s="3" t="inlineStr">
        <is>
          <t>DROP-CABLE(SC/PC)</t>
        </is>
      </c>
      <c r="C18" s="2" t="inlineStr">
        <is>
          <t>50M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50</v>
      </c>
      <c r="H18" s="2" t="inlineStr">
        <is>
          <t>SC/PC</t>
        </is>
      </c>
      <c r="I18" s="2" t="inlineStr">
        <is>
          <t>SC/PC</t>
        </is>
      </c>
      <c r="J18" s="2" t="n">
        <v>25</v>
      </c>
      <c r="K18" s="2" t="n">
        <v>15</v>
      </c>
      <c r="L18" s="2" t="n">
        <v>15</v>
      </c>
      <c r="M18" s="2" t="n">
        <v>45</v>
      </c>
      <c r="N18" s="2" t="n">
        <v>15</v>
      </c>
      <c r="O18" s="2" t="n"/>
      <c r="P18" s="2" t="n"/>
      <c r="Q18" s="2" t="n"/>
      <c r="R18" s="2" t="n"/>
      <c r="S18" s="2" t="n"/>
      <c r="T18" s="2" t="n"/>
      <c r="U18" s="2" t="n"/>
      <c r="V18" s="2">
        <f>SUM(J18:U18)*G18</f>
        <v/>
      </c>
      <c r="W18" s="2">
        <f>MAX(J18:U18)</f>
        <v/>
      </c>
      <c r="X18" s="2">
        <f>W18*G18</f>
        <v/>
      </c>
    </row>
    <row r="19">
      <c r="A19" s="2" t="inlineStr">
        <is>
          <t>14-C-061</t>
        </is>
      </c>
      <c r="B19" s="3" t="inlineStr">
        <is>
          <t>DROP-CABLE(SC/PC)</t>
        </is>
      </c>
      <c r="C19" s="2" t="inlineStr">
        <is>
          <t>5M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5</v>
      </c>
      <c r="H19" s="2" t="inlineStr">
        <is>
          <t>SC/PC</t>
        </is>
      </c>
      <c r="I19" s="2" t="inlineStr">
        <is>
          <t>SC/PC</t>
        </is>
      </c>
      <c r="J19" s="2" t="n"/>
      <c r="K19" s="2" t="n"/>
      <c r="L19" s="2" t="n">
        <v>4</v>
      </c>
      <c r="M19" s="2" t="n"/>
      <c r="N19" s="2" t="n"/>
      <c r="O19" s="2" t="n"/>
      <c r="P19" s="2" t="n"/>
      <c r="Q19" s="2" t="n">
        <v>200</v>
      </c>
      <c r="R19" s="2" t="n"/>
      <c r="S19" s="2" t="n"/>
      <c r="T19" s="2" t="n"/>
      <c r="U19" s="2" t="n"/>
      <c r="V19" s="2">
        <f>SUM(J19:U19)*G19</f>
        <v/>
      </c>
      <c r="W19" s="2">
        <f>MAX(J19:U19)</f>
        <v/>
      </c>
      <c r="X19" s="2">
        <f>W19*G19</f>
        <v/>
      </c>
    </row>
    <row r="20">
      <c r="A20" s="2" t="inlineStr">
        <is>
          <t>14-C-062</t>
        </is>
      </c>
      <c r="B20" s="3" t="inlineStr">
        <is>
          <t>DROP-CABLE(SC/PC)</t>
        </is>
      </c>
      <c r="C20" s="2" t="inlineStr">
        <is>
          <t>60M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60</v>
      </c>
      <c r="H20" s="2" t="inlineStr">
        <is>
          <t>SC/PC</t>
        </is>
      </c>
      <c r="I20" s="2" t="inlineStr">
        <is>
          <t>SC/PC</t>
        </is>
      </c>
      <c r="J20" s="2" t="n">
        <v>10</v>
      </c>
      <c r="K20" s="2" t="n">
        <v>15</v>
      </c>
      <c r="L20" s="2" t="n">
        <v>15</v>
      </c>
      <c r="M20" s="2" t="n">
        <v>10</v>
      </c>
      <c r="N20" s="2" t="n">
        <v>10</v>
      </c>
      <c r="O20" s="2" t="n"/>
      <c r="P20" s="2" t="n"/>
      <c r="Q20" s="2" t="n"/>
      <c r="R20" s="2" t="n"/>
      <c r="S20" s="2" t="n"/>
      <c r="T20" s="2" t="n"/>
      <c r="U20" s="2" t="n"/>
      <c r="V20" s="2">
        <f>SUM(J20:U20)*G20</f>
        <v/>
      </c>
      <c r="W20" s="2">
        <f>MAX(J20:U20)</f>
        <v/>
      </c>
      <c r="X20" s="2">
        <f>W20*G20</f>
        <v/>
      </c>
    </row>
    <row r="21">
      <c r="A21" s="2" t="inlineStr">
        <is>
          <t>14-C-065</t>
        </is>
      </c>
      <c r="B21" s="3" t="inlineStr">
        <is>
          <t>DROP-CABLE(SC/PC)</t>
        </is>
      </c>
      <c r="C21" s="2" t="inlineStr">
        <is>
          <t>70M</t>
        </is>
      </c>
      <c r="D21" s="2" t="inlineStr">
        <is>
          <t>drop</t>
        </is>
      </c>
      <c r="E21" s="2" t="inlineStr">
        <is>
          <t>3.0mm</t>
        </is>
      </c>
      <c r="F21" s="2" t="n">
        <v>1</v>
      </c>
      <c r="G21" s="2" t="n">
        <v>70</v>
      </c>
      <c r="H21" s="2" t="inlineStr">
        <is>
          <t>SC/PC</t>
        </is>
      </c>
      <c r="I21" s="2" t="inlineStr">
        <is>
          <t>SC/PC</t>
        </is>
      </c>
      <c r="J21" s="2" t="n">
        <v>20</v>
      </c>
      <c r="K21" s="2" t="n">
        <v>10</v>
      </c>
      <c r="L21" s="2" t="n">
        <v>10</v>
      </c>
      <c r="M21" s="2" t="n">
        <v>10</v>
      </c>
      <c r="N21" s="2" t="n">
        <v>10</v>
      </c>
      <c r="O21" s="2" t="n"/>
      <c r="P21" s="2" t="n"/>
      <c r="Q21" s="2" t="n"/>
      <c r="R21" s="2" t="n"/>
      <c r="S21" s="2" t="n"/>
      <c r="T21" s="2" t="n"/>
      <c r="U21" s="2" t="n"/>
      <c r="V21" s="2">
        <f>SUM(J21:U21)*G21</f>
        <v/>
      </c>
      <c r="W21" s="2">
        <f>MAX(J21:U21)</f>
        <v/>
      </c>
      <c r="X21" s="2">
        <f>W21*G21</f>
        <v/>
      </c>
    </row>
    <row r="22">
      <c r="A22" s="2" t="inlineStr">
        <is>
          <t>14-C-067</t>
        </is>
      </c>
      <c r="B22" s="3" t="inlineStr">
        <is>
          <t>DROP-CABLE(SC/PC)</t>
        </is>
      </c>
      <c r="C22" s="2" t="inlineStr">
        <is>
          <t>7M</t>
        </is>
      </c>
      <c r="D22" s="2" t="inlineStr">
        <is>
          <t>drop</t>
        </is>
      </c>
      <c r="E22" s="2" t="inlineStr">
        <is>
          <t>3.0mm</t>
        </is>
      </c>
      <c r="F22" s="2" t="n">
        <v>1</v>
      </c>
      <c r="G22" s="2" t="n">
        <v>7</v>
      </c>
      <c r="H22" s="2" t="inlineStr">
        <is>
          <t>SC/PC</t>
        </is>
      </c>
      <c r="I22" s="2" t="inlineStr">
        <is>
          <t>SC/PC</t>
        </is>
      </c>
      <c r="J22" s="2" t="n"/>
      <c r="K22" s="2" t="n"/>
      <c r="L22" s="2" t="n"/>
      <c r="M22" s="2" t="n"/>
      <c r="N22" s="2" t="n"/>
      <c r="O22" s="2" t="n"/>
      <c r="P22" s="2" t="n">
        <v>50</v>
      </c>
      <c r="Q22" s="2" t="n">
        <v>100</v>
      </c>
      <c r="R22" s="2" t="n">
        <v>130</v>
      </c>
      <c r="S22" s="2" t="n"/>
      <c r="T22" s="2" t="n">
        <v>100</v>
      </c>
      <c r="U22" s="2" t="n"/>
      <c r="V22" s="2">
        <f>SUM(J22:U22)*G22</f>
        <v/>
      </c>
      <c r="W22" s="2">
        <f>MAX(J22:U22)</f>
        <v/>
      </c>
      <c r="X22" s="2">
        <f>W22*G22</f>
        <v/>
      </c>
    </row>
    <row r="23">
      <c r="A23" s="2" t="inlineStr">
        <is>
          <t>14-C-068</t>
        </is>
      </c>
      <c r="B23" s="3" t="inlineStr">
        <is>
          <t>DROP-CABLE(SC/PC)</t>
        </is>
      </c>
      <c r="C23" s="2" t="inlineStr">
        <is>
          <t>80M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80</v>
      </c>
      <c r="H23" s="2" t="inlineStr">
        <is>
          <t>SC/PC</t>
        </is>
      </c>
      <c r="I23" s="2" t="inlineStr">
        <is>
          <t>SC/PC</t>
        </is>
      </c>
      <c r="J23" s="2" t="n"/>
      <c r="K23" s="2" t="n"/>
      <c r="L23" s="2" t="n"/>
      <c r="M23" s="2" t="n">
        <v>30</v>
      </c>
      <c r="N23" s="2" t="n"/>
      <c r="O23" s="2" t="n"/>
      <c r="P23" s="2" t="n">
        <v>60</v>
      </c>
      <c r="Q23" s="2" t="n"/>
      <c r="R23" s="2" t="n"/>
      <c r="S23" s="2" t="n"/>
      <c r="T23" s="2" t="n"/>
      <c r="U23" s="2" t="n"/>
      <c r="V23" s="2">
        <f>SUM(J23:U23)*G23</f>
        <v/>
      </c>
      <c r="W23" s="2">
        <f>MAX(J23:U23)</f>
        <v/>
      </c>
      <c r="X23" s="2">
        <f>W23*G23</f>
        <v/>
      </c>
    </row>
    <row r="24">
      <c r="A24" s="2" t="inlineStr">
        <is>
          <t>14-C-072</t>
        </is>
      </c>
      <c r="B24" s="3" t="inlineStr">
        <is>
          <t>DROP-CABLE(SC/PC)</t>
        </is>
      </c>
      <c r="C24" s="2" t="inlineStr">
        <is>
          <t>90M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90</v>
      </c>
      <c r="H24" s="2" t="inlineStr">
        <is>
          <t>SC/PC</t>
        </is>
      </c>
      <c r="I24" s="2" t="inlineStr">
        <is>
          <t>SC/PC</t>
        </is>
      </c>
      <c r="J24" s="2" t="n">
        <v>3</v>
      </c>
      <c r="K24" s="2" t="n">
        <v>3</v>
      </c>
      <c r="L24" s="2" t="n">
        <v>3</v>
      </c>
      <c r="M24" s="2" t="n"/>
      <c r="N24" s="2" t="n">
        <v>10</v>
      </c>
      <c r="O24" s="2" t="n"/>
      <c r="P24" s="2" t="n"/>
      <c r="Q24" s="2" t="n"/>
      <c r="R24" s="2" t="n"/>
      <c r="S24" s="2" t="n"/>
      <c r="T24" s="2" t="n"/>
      <c r="U24" s="2" t="n"/>
      <c r="V24" s="2">
        <f>SUM(J24:U24)*G24</f>
        <v/>
      </c>
      <c r="W24" s="2">
        <f>MAX(J24:U24)</f>
        <v/>
      </c>
      <c r="X24" s="2">
        <f>W24*G24</f>
        <v/>
      </c>
    </row>
    <row r="25">
      <c r="A25" s="2" t="inlineStr">
        <is>
          <t>14-C-080</t>
        </is>
      </c>
      <c r="B25" s="3" t="inlineStr">
        <is>
          <t>DROP-CABLE(SC/PC-SC/APC)</t>
        </is>
      </c>
      <c r="C25" s="2" t="inlineStr">
        <is>
          <t>50M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50</v>
      </c>
      <c r="H25" s="2" t="inlineStr">
        <is>
          <t>SC/PC</t>
        </is>
      </c>
      <c r="I25" s="2" t="inlineStr">
        <is>
          <t>SC/APC</t>
        </is>
      </c>
      <c r="J25" s="2" t="n">
        <v>10</v>
      </c>
      <c r="K25" s="2" t="n"/>
      <c r="L25" s="2" t="n">
        <v>15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>
        <f>SUM(J25:U25)*G25</f>
        <v/>
      </c>
      <c r="W25" s="2">
        <f>MAX(J25:U25)</f>
        <v/>
      </c>
      <c r="X25" s="2">
        <f>W25*G25</f>
        <v/>
      </c>
    </row>
    <row r="26">
      <c r="A26" s="2" t="inlineStr">
        <is>
          <t>14-C-081</t>
        </is>
      </c>
      <c r="B26" s="3" t="inlineStr">
        <is>
          <t>DROP-CABLE(SC/PC-SC/APC)</t>
        </is>
      </c>
      <c r="C26" s="2" t="inlineStr">
        <is>
          <t>60M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60</v>
      </c>
      <c r="H26" s="2" t="inlineStr">
        <is>
          <t>SC/PC</t>
        </is>
      </c>
      <c r="I26" s="2" t="inlineStr">
        <is>
          <t>SC/APC</t>
        </is>
      </c>
      <c r="J26" s="2" t="n"/>
      <c r="K26" s="2" t="n"/>
      <c r="L26" s="2" t="n">
        <v>10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SUM(J26:U26)*G26</f>
        <v/>
      </c>
      <c r="W26" s="2">
        <f>MAX(J26:U26)</f>
        <v/>
      </c>
      <c r="X26" s="2">
        <f>W26*G26</f>
        <v/>
      </c>
    </row>
    <row r="27">
      <c r="A27" s="2" t="inlineStr">
        <is>
          <t>14-C-082</t>
        </is>
      </c>
      <c r="B27" s="3" t="inlineStr">
        <is>
          <t>DROP-CABLE(SC/PC-SC/APC)</t>
        </is>
      </c>
      <c r="C27" s="2" t="inlineStr">
        <is>
          <t>70M</t>
        </is>
      </c>
      <c r="D27" s="2" t="inlineStr">
        <is>
          <t>drop</t>
        </is>
      </c>
      <c r="E27" s="2" t="inlineStr">
        <is>
          <t>3.0mm</t>
        </is>
      </c>
      <c r="F27" s="2" t="n">
        <v>1</v>
      </c>
      <c r="G27" s="2" t="n">
        <v>70</v>
      </c>
      <c r="H27" s="2" t="inlineStr">
        <is>
          <t>SC/PC</t>
        </is>
      </c>
      <c r="I27" s="2" t="inlineStr">
        <is>
          <t>SC/APC</t>
        </is>
      </c>
      <c r="J27" s="2" t="n">
        <v>10</v>
      </c>
      <c r="K27" s="2" t="n"/>
      <c r="L27" s="2" t="n">
        <v>10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SUM(J27:U27)*G27</f>
        <v/>
      </c>
      <c r="W27" s="2">
        <f>MAX(J27:U27)</f>
        <v/>
      </c>
      <c r="X27" s="2">
        <f>W27*G27</f>
        <v/>
      </c>
    </row>
    <row r="28">
      <c r="A28" s="2" t="inlineStr">
        <is>
          <t>14-C-087</t>
        </is>
      </c>
      <c r="B28" s="3" t="inlineStr">
        <is>
          <t>DROP-CABLE(SC/APC)</t>
        </is>
      </c>
      <c r="C28" s="2" t="inlineStr">
        <is>
          <t>3M</t>
        </is>
      </c>
      <c r="D28" s="2" t="inlineStr">
        <is>
          <t>drop</t>
        </is>
      </c>
      <c r="E28" s="2" t="inlineStr">
        <is>
          <t>3.0mm</t>
        </is>
      </c>
      <c r="F28" s="2" t="n">
        <v>1</v>
      </c>
      <c r="G28" s="2" t="n">
        <v>3</v>
      </c>
      <c r="H28" s="2" t="inlineStr">
        <is>
          <t>SC/APC</t>
        </is>
      </c>
      <c r="I28" s="2" t="inlineStr">
        <is>
          <t>SC/APC</t>
        </is>
      </c>
      <c r="J28" s="2" t="n"/>
      <c r="K28" s="2" t="n">
        <v>200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>
        <f>SUM(J28:U28)*G28</f>
        <v/>
      </c>
      <c r="W28" s="2">
        <f>MAX(J28:U28)</f>
        <v/>
      </c>
      <c r="X28" s="2">
        <f>W28*G28</f>
        <v/>
      </c>
    </row>
    <row r="29">
      <c r="A29" s="2" t="inlineStr">
        <is>
          <t>14-C-089</t>
        </is>
      </c>
      <c r="B29" s="3" t="inlineStr">
        <is>
          <t>DROP-CABLE(SC/APC)</t>
        </is>
      </c>
      <c r="C29" s="2" t="inlineStr">
        <is>
          <t>7M</t>
        </is>
      </c>
      <c r="D29" s="2" t="inlineStr">
        <is>
          <t>drop</t>
        </is>
      </c>
      <c r="E29" s="2" t="inlineStr">
        <is>
          <t>3.0mm</t>
        </is>
      </c>
      <c r="F29" s="2" t="n">
        <v>1</v>
      </c>
      <c r="G29" s="2" t="n">
        <v>7</v>
      </c>
      <c r="H29" s="2" t="inlineStr">
        <is>
          <t>SC/APC</t>
        </is>
      </c>
      <c r="I29" s="2" t="inlineStr">
        <is>
          <t>SC/APC</t>
        </is>
      </c>
      <c r="J29" s="2" t="n"/>
      <c r="K29" s="2" t="n">
        <v>200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>
        <f>SUM(J29:U29)*G29</f>
        <v/>
      </c>
      <c r="W29" s="2">
        <f>MAX(J29:U29)</f>
        <v/>
      </c>
      <c r="X29" s="2">
        <f>W29*G29</f>
        <v/>
      </c>
    </row>
    <row r="30">
      <c r="A30" s="2" t="inlineStr">
        <is>
          <t>14-C-130</t>
        </is>
      </c>
      <c r="B30" s="3" t="inlineStr">
        <is>
          <t>DROP-CABLE(LC/PC-SC/APC)</t>
        </is>
      </c>
      <c r="C30" s="2" t="inlineStr">
        <is>
          <t>15M</t>
        </is>
      </c>
      <c r="D30" s="2" t="inlineStr">
        <is>
          <t>drop</t>
        </is>
      </c>
      <c r="E30" s="2" t="inlineStr">
        <is>
          <t>3.0mm</t>
        </is>
      </c>
      <c r="F30" s="2" t="n">
        <v>1</v>
      </c>
      <c r="G30" s="2" t="n">
        <v>15</v>
      </c>
      <c r="H30" s="2" t="inlineStr">
        <is>
          <t>LC/PC</t>
        </is>
      </c>
      <c r="I30" s="2" t="inlineStr">
        <is>
          <t>SC/APC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96</v>
      </c>
      <c r="U30" s="2" t="n"/>
      <c r="V30" s="2">
        <f>SUM(J30:U30)*G30</f>
        <v/>
      </c>
      <c r="W30" s="2">
        <f>MAX(J30:U30)</f>
        <v/>
      </c>
      <c r="X30" s="2">
        <f>W30*G30</f>
        <v/>
      </c>
    </row>
    <row r="31">
      <c r="A31" s="2" t="inlineStr">
        <is>
          <t>14-C-134</t>
        </is>
      </c>
      <c r="B31" s="3" t="inlineStr">
        <is>
          <t>DROP-CABLE(LC/PC)</t>
        </is>
      </c>
      <c r="C31" s="2" t="inlineStr">
        <is>
          <t>15M</t>
        </is>
      </c>
      <c r="D31" s="2" t="inlineStr">
        <is>
          <t>drop</t>
        </is>
      </c>
      <c r="E31" s="2" t="inlineStr">
        <is>
          <t>3.0mm</t>
        </is>
      </c>
      <c r="F31" s="2" t="n">
        <v>1</v>
      </c>
      <c r="G31" s="2" t="n">
        <v>15</v>
      </c>
      <c r="H31" s="2" t="inlineStr">
        <is>
          <t>LC/PC</t>
        </is>
      </c>
      <c r="I31" s="2" t="inlineStr">
        <is>
          <t>LC/PC</t>
        </is>
      </c>
      <c r="J31" s="2" t="n"/>
      <c r="K31" s="2" t="n">
        <v>150</v>
      </c>
      <c r="L31" s="2" t="n"/>
      <c r="M31" s="2" t="n">
        <v>23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SUM(J31:U31)*G31</f>
        <v/>
      </c>
      <c r="W31" s="2">
        <f>MAX(J31:U31)</f>
        <v/>
      </c>
      <c r="X31" s="2">
        <f>W31*G31</f>
        <v/>
      </c>
    </row>
    <row r="32">
      <c r="A32" s="2" t="inlineStr">
        <is>
          <t>14-C-363</t>
        </is>
      </c>
      <c r="B32" s="3" t="inlineStr">
        <is>
          <t>DROP-CABLE(LC/PC)</t>
        </is>
      </c>
      <c r="C32" s="2" t="inlineStr">
        <is>
          <t>30M</t>
        </is>
      </c>
      <c r="D32" s="2" t="inlineStr">
        <is>
          <t>drop</t>
        </is>
      </c>
      <c r="E32" s="2" t="inlineStr">
        <is>
          <t>3.0mm</t>
        </is>
      </c>
      <c r="F32" s="2" t="n">
        <v>1</v>
      </c>
      <c r="G32" s="2" t="n">
        <v>30</v>
      </c>
      <c r="H32" s="2" t="inlineStr">
        <is>
          <t>LC/PC</t>
        </is>
      </c>
      <c r="I32" s="2" t="inlineStr">
        <is>
          <t>LC/PC</t>
        </is>
      </c>
      <c r="J32" s="2" t="n"/>
      <c r="K32" s="2" t="n"/>
      <c r="L32" s="2" t="n"/>
      <c r="M32" s="2" t="n"/>
      <c r="N32" s="2" t="n"/>
      <c r="O32" s="2" t="n">
        <v>50</v>
      </c>
      <c r="P32" s="2" t="n"/>
      <c r="Q32" s="2" t="n"/>
      <c r="R32" s="2" t="n"/>
      <c r="S32" s="2" t="n"/>
      <c r="T32" s="2" t="n"/>
      <c r="U32" s="2" t="n"/>
      <c r="V32" s="2">
        <f>SUM(J32:U32)*G32</f>
        <v/>
      </c>
      <c r="W32" s="2">
        <f>MAX(J32:U32)</f>
        <v/>
      </c>
      <c r="X32" s="2">
        <f>W32*G32</f>
        <v/>
      </c>
    </row>
    <row r="33">
      <c r="A33" s="2" t="inlineStr">
        <is>
          <t>14-C-382</t>
        </is>
      </c>
      <c r="B33" s="3" t="inlineStr">
        <is>
          <t>인입광케이블 커넥터일체형(SC/APC)</t>
        </is>
      </c>
      <c r="C33" s="2" t="inlineStr">
        <is>
          <t>20M</t>
        </is>
      </c>
      <c r="D33" s="2" t="inlineStr">
        <is>
          <t>a1</t>
        </is>
      </c>
      <c r="E33" s="2" t="inlineStr">
        <is>
          <t>2.0mm</t>
        </is>
      </c>
      <c r="F33" s="2" t="n">
        <v>1</v>
      </c>
      <c r="G33" s="2" t="n">
        <v>20</v>
      </c>
      <c r="H33" s="2" t="n"/>
      <c r="I33" s="2" t="n"/>
      <c r="J33" s="2" t="n"/>
      <c r="K33" s="2" t="n"/>
      <c r="L33" s="2" t="n"/>
      <c r="M33" s="2" t="n"/>
      <c r="N33" s="2" t="n">
        <v>20</v>
      </c>
      <c r="O33" s="2" t="n">
        <v>20</v>
      </c>
      <c r="P33" s="2" t="n"/>
      <c r="Q33" s="2" t="n"/>
      <c r="R33" s="2" t="n"/>
      <c r="S33" s="2" t="n"/>
      <c r="T33" s="2" t="n">
        <v>20</v>
      </c>
      <c r="U33" s="2" t="n">
        <v>5</v>
      </c>
      <c r="V33" s="2">
        <f>SUM(J33:U33)*G33</f>
        <v/>
      </c>
      <c r="W33" s="2">
        <f>MAX(J33:U33)</f>
        <v/>
      </c>
      <c r="X33" s="2">
        <f>W33*G33</f>
        <v/>
      </c>
    </row>
    <row r="34">
      <c r="A34" s="2" t="inlineStr">
        <is>
          <t>14-C-383</t>
        </is>
      </c>
      <c r="B34" s="3" t="inlineStr">
        <is>
          <t>인입광케이블 커넥터일체형(SC/APC)</t>
        </is>
      </c>
      <c r="C34" s="2" t="inlineStr">
        <is>
          <t>30M</t>
        </is>
      </c>
      <c r="D34" s="2" t="inlineStr">
        <is>
          <t>a1</t>
        </is>
      </c>
      <c r="E34" s="2" t="inlineStr">
        <is>
          <t>2.0mm</t>
        </is>
      </c>
      <c r="F34" s="2" t="n">
        <v>1</v>
      </c>
      <c r="G34" s="2" t="n">
        <v>30</v>
      </c>
      <c r="H34" s="2" t="n"/>
      <c r="I34" s="2" t="n"/>
      <c r="J34" s="2" t="n"/>
      <c r="K34" s="2" t="n"/>
      <c r="L34" s="2" t="n"/>
      <c r="M34" s="2" t="n"/>
      <c r="N34" s="2" t="n">
        <v>5</v>
      </c>
      <c r="O34" s="2" t="n">
        <v>25</v>
      </c>
      <c r="P34" s="2" t="n"/>
      <c r="Q34" s="2" t="n"/>
      <c r="R34" s="2" t="n"/>
      <c r="S34" s="2" t="n">
        <v>15</v>
      </c>
      <c r="T34" s="2" t="n">
        <v>20</v>
      </c>
      <c r="U34" s="2" t="n">
        <v>10</v>
      </c>
      <c r="V34" s="2">
        <f>SUM(J34:U34)*G34</f>
        <v/>
      </c>
      <c r="W34" s="2">
        <f>MAX(J34:U34)</f>
        <v/>
      </c>
      <c r="X34" s="2">
        <f>W34*G34</f>
        <v/>
      </c>
    </row>
    <row r="35">
      <c r="A35" s="2" t="inlineStr">
        <is>
          <t>14-C-384</t>
        </is>
      </c>
      <c r="B35" s="3" t="inlineStr">
        <is>
          <t>인입광케이블 커넥터일체형(SC/APC)</t>
        </is>
      </c>
      <c r="C35" s="2" t="inlineStr">
        <is>
          <t>40M</t>
        </is>
      </c>
      <c r="D35" s="2" t="inlineStr">
        <is>
          <t>a1</t>
        </is>
      </c>
      <c r="E35" s="2" t="inlineStr">
        <is>
          <t>2.0mm</t>
        </is>
      </c>
      <c r="F35" s="2" t="n">
        <v>1</v>
      </c>
      <c r="G35" s="2" t="n">
        <v>40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>
        <v>10</v>
      </c>
      <c r="T35" s="2" t="n"/>
      <c r="U35" s="2" t="n"/>
      <c r="V35" s="2">
        <f>SUM(J35:U35)*G35</f>
        <v/>
      </c>
      <c r="W35" s="2">
        <f>MAX(J35:U35)</f>
        <v/>
      </c>
      <c r="X35" s="2">
        <f>W35*G35</f>
        <v/>
      </c>
    </row>
    <row r="36">
      <c r="A36" s="2" t="inlineStr">
        <is>
          <t>14-C-389</t>
        </is>
      </c>
      <c r="B36" s="3" t="inlineStr">
        <is>
          <t>DROP-CABLE(LC/PC-SC/PC)</t>
        </is>
      </c>
      <c r="C36" s="2" t="inlineStr">
        <is>
          <t>20M</t>
        </is>
      </c>
      <c r="D36" s="2" t="inlineStr">
        <is>
          <t>drop</t>
        </is>
      </c>
      <c r="E36" s="2" t="inlineStr">
        <is>
          <t>3.0mm</t>
        </is>
      </c>
      <c r="F36" s="2" t="n">
        <v>1</v>
      </c>
      <c r="G36" s="2" t="n">
        <v>20</v>
      </c>
      <c r="H36" s="2" t="inlineStr">
        <is>
          <t>LC/PC</t>
        </is>
      </c>
      <c r="I36" s="2" t="inlineStr">
        <is>
          <t>SC/PC</t>
        </is>
      </c>
      <c r="J36" s="2" t="n"/>
      <c r="K36" s="2" t="n"/>
      <c r="L36" s="2" t="n"/>
      <c r="M36" s="2" t="n"/>
      <c r="N36" s="2" t="n"/>
      <c r="O36" s="2" t="n">
        <v>6</v>
      </c>
      <c r="P36" s="2" t="n"/>
      <c r="Q36" s="2" t="n"/>
      <c r="R36" s="2" t="n"/>
      <c r="S36" s="2" t="n">
        <v>4</v>
      </c>
      <c r="T36" s="2" t="n"/>
      <c r="U36" s="2" t="n"/>
      <c r="V36" s="2">
        <f>SUM(J36:U36)*G36</f>
        <v/>
      </c>
      <c r="W36" s="2">
        <f>MAX(J36:U36)</f>
        <v/>
      </c>
      <c r="X36" s="2">
        <f>W36*G36</f>
        <v/>
      </c>
    </row>
    <row r="37">
      <c r="A37" s="2" t="inlineStr">
        <is>
          <t>14-C-402</t>
        </is>
      </c>
      <c r="B37" s="3" t="inlineStr">
        <is>
          <t>DROP-CABLE(LC/PC)-2C</t>
        </is>
      </c>
      <c r="C37" s="2" t="inlineStr">
        <is>
          <t>30M</t>
        </is>
      </c>
      <c r="D37" s="2" t="inlineStr">
        <is>
          <t>drop</t>
        </is>
      </c>
      <c r="E37" s="2" t="inlineStr">
        <is>
          <t>3.0mm</t>
        </is>
      </c>
      <c r="F37" s="2" t="n">
        <v>2</v>
      </c>
      <c r="G37" s="2" t="n">
        <v>30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/>
      <c r="N37" s="2" t="n"/>
      <c r="O37" s="2" t="n">
        <v>1</v>
      </c>
      <c r="P37" s="2" t="n"/>
      <c r="Q37" s="2" t="n"/>
      <c r="R37" s="2" t="n"/>
      <c r="S37" s="2" t="n"/>
      <c r="T37" s="2" t="n"/>
      <c r="U37" s="2" t="n"/>
      <c r="V37" s="2">
        <f>SUM(J37:U37)*G37</f>
        <v/>
      </c>
      <c r="W37" s="2">
        <f>MAX(J37:U37)</f>
        <v/>
      </c>
      <c r="X37" s="2">
        <f>W37*G37</f>
        <v/>
      </c>
    </row>
    <row r="38">
      <c r="A38" s="2" t="inlineStr">
        <is>
          <t>14-C-404</t>
        </is>
      </c>
      <c r="B38" s="3" t="inlineStr">
        <is>
          <t>Optical Cable Parts,LC/PC-LC/PC-Single mode-10m-2Core</t>
        </is>
      </c>
      <c r="C38" s="2" t="inlineStr">
        <is>
          <t>657A2 , LSZH</t>
        </is>
      </c>
      <c r="D38" s="2" t="inlineStr">
        <is>
          <t>a2</t>
        </is>
      </c>
      <c r="E38" s="2" t="inlineStr">
        <is>
          <t>2.0mm</t>
        </is>
      </c>
      <c r="F38" s="2" t="n">
        <v>2</v>
      </c>
      <c r="G38" s="2" t="n">
        <v>10</v>
      </c>
      <c r="H38" s="2" t="inlineStr">
        <is>
          <t>LC/PC</t>
        </is>
      </c>
      <c r="I38" s="2" t="inlineStr">
        <is>
          <t>LC/PC</t>
        </is>
      </c>
      <c r="J38" s="2" t="n">
        <v>100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>
        <f>SUM(J38:U38)*G38</f>
        <v/>
      </c>
      <c r="W38" s="2">
        <f>MAX(J38:U38)</f>
        <v/>
      </c>
      <c r="X38" s="2">
        <f>W38*G38</f>
        <v/>
      </c>
    </row>
    <row r="39">
      <c r="A39" s="2" t="inlineStr">
        <is>
          <t>14-C-408</t>
        </is>
      </c>
      <c r="B39" s="3" t="inlineStr">
        <is>
          <t>Optical Cable Parts,LC/PC-LC/PC-Single mode-50m-2Core</t>
        </is>
      </c>
      <c r="C39" s="2" t="inlineStr">
        <is>
          <t>657A2 , LSZH</t>
        </is>
      </c>
      <c r="D39" s="2" t="inlineStr">
        <is>
          <t>a2</t>
        </is>
      </c>
      <c r="E39" s="2" t="inlineStr">
        <is>
          <t>2.0mm</t>
        </is>
      </c>
      <c r="F39" s="2" t="n">
        <v>2</v>
      </c>
      <c r="G39" s="2" t="n">
        <v>50</v>
      </c>
      <c r="H39" s="2" t="inlineStr">
        <is>
          <t>LC/PC</t>
        </is>
      </c>
      <c r="I39" s="2" t="inlineStr">
        <is>
          <t>LC/PC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>
        <v>2</v>
      </c>
      <c r="V39" s="2">
        <f>SUM(J39:U39)*G39</f>
        <v/>
      </c>
      <c r="W39" s="2">
        <f>MAX(J39:U39)</f>
        <v/>
      </c>
      <c r="X39" s="2">
        <f>W39*G39</f>
        <v/>
      </c>
    </row>
    <row r="40">
      <c r="A40" s="2" t="inlineStr">
        <is>
          <t>14-C-419</t>
        </is>
      </c>
      <c r="B40" s="3" t="inlineStr">
        <is>
          <t>Optical Cable Parts,LC/PC-LC/PC-Single mode-4m-2Core</t>
        </is>
      </c>
      <c r="C40" s="2" t="inlineStr">
        <is>
          <t>657A2 , LSZH</t>
        </is>
      </c>
      <c r="D40" s="2" t="inlineStr">
        <is>
          <t>a2</t>
        </is>
      </c>
      <c r="E40" s="2" t="inlineStr">
        <is>
          <t>2.0mm</t>
        </is>
      </c>
      <c r="F40" s="2" t="n">
        <v>2</v>
      </c>
      <c r="G40" s="2" t="n">
        <v>4</v>
      </c>
      <c r="H40" s="2" t="inlineStr">
        <is>
          <t>LC/PC</t>
        </is>
      </c>
      <c r="I40" s="2" t="inlineStr">
        <is>
          <t>LC/PC</t>
        </is>
      </c>
      <c r="J40" s="2" t="n"/>
      <c r="K40" s="2" t="n"/>
      <c r="L40" s="2" t="n">
        <v>100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>
        <f>SUM(J40:U40)*G40</f>
        <v/>
      </c>
      <c r="W40" s="2">
        <f>MAX(J40:U40)</f>
        <v/>
      </c>
      <c r="X40" s="2">
        <f>W40*G40</f>
        <v/>
      </c>
    </row>
    <row r="41">
      <c r="A41" s="2" t="inlineStr">
        <is>
          <t>14-C-420</t>
        </is>
      </c>
      <c r="B41" s="3" t="inlineStr">
        <is>
          <t>Optical Cable Parts,LC/PC-LC/PC-Single mode-5m-2Core</t>
        </is>
      </c>
      <c r="C41" s="2" t="inlineStr">
        <is>
          <t>657A2 , LSZH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5</v>
      </c>
      <c r="H41" s="2" t="inlineStr">
        <is>
          <t>LC/PC</t>
        </is>
      </c>
      <c r="I41" s="2" t="inlineStr">
        <is>
          <t>LC/PC</t>
        </is>
      </c>
      <c r="J41" s="2" t="n">
        <v>100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>
        <f>SUM(J41:U41)*G41</f>
        <v/>
      </c>
      <c r="W41" s="2">
        <f>MAX(J41:U41)</f>
        <v/>
      </c>
      <c r="X41" s="2">
        <f>W41*G41</f>
        <v/>
      </c>
    </row>
    <row r="42">
      <c r="A42" s="2" t="inlineStr">
        <is>
          <t>14-C-425</t>
        </is>
      </c>
      <c r="B42" s="3" t="inlineStr">
        <is>
          <t>DROP-CABLE(LC/PC-SC/APC)</t>
        </is>
      </c>
      <c r="C42" s="2" t="inlineStr">
        <is>
          <t>7M</t>
        </is>
      </c>
      <c r="D42" s="2" t="inlineStr">
        <is>
          <t>drop</t>
        </is>
      </c>
      <c r="E42" s="2" t="inlineStr">
        <is>
          <t>3.0mm</t>
        </is>
      </c>
      <c r="F42" s="2" t="n">
        <v>1</v>
      </c>
      <c r="G42" s="2" t="n">
        <v>7</v>
      </c>
      <c r="H42" s="2" t="inlineStr">
        <is>
          <t>LC/PC</t>
        </is>
      </c>
      <c r="I42" s="2" t="inlineStr">
        <is>
          <t>SC/APC</t>
        </is>
      </c>
      <c r="J42" s="2" t="n"/>
      <c r="K42" s="2" t="n"/>
      <c r="L42" s="2" t="n"/>
      <c r="M42" s="2" t="n"/>
      <c r="N42" s="2" t="n"/>
      <c r="O42" s="2" t="n"/>
      <c r="P42" s="2" t="n">
        <v>5</v>
      </c>
      <c r="Q42" s="2" t="n"/>
      <c r="R42" s="2" t="n"/>
      <c r="S42" s="2" t="n"/>
      <c r="T42" s="2" t="n"/>
      <c r="U42" s="2" t="n"/>
      <c r="V42" s="2">
        <f>SUM(J42:U42)*G42</f>
        <v/>
      </c>
      <c r="W42" s="2">
        <f>MAX(J42:U42)</f>
        <v/>
      </c>
      <c r="X42" s="2">
        <f>W42*G42</f>
        <v/>
      </c>
    </row>
    <row r="43">
      <c r="A43" s="2" t="inlineStr">
        <is>
          <t>14-C-426</t>
        </is>
      </c>
      <c r="B43" s="3" t="inlineStr">
        <is>
          <t>DROP-CABLE(LC/PC-SC/PC)</t>
        </is>
      </c>
      <c r="C43" s="2" t="inlineStr">
        <is>
          <t>40M</t>
        </is>
      </c>
      <c r="D43" s="2" t="inlineStr">
        <is>
          <t>drop</t>
        </is>
      </c>
      <c r="E43" s="2" t="inlineStr">
        <is>
          <t>3.0mm</t>
        </is>
      </c>
      <c r="F43" s="2" t="n">
        <v>1</v>
      </c>
      <c r="G43" s="2" t="n">
        <v>40</v>
      </c>
      <c r="H43" s="2" t="inlineStr">
        <is>
          <t>LC/PC</t>
        </is>
      </c>
      <c r="I43" s="2" t="inlineStr">
        <is>
          <t>SC/PC</t>
        </is>
      </c>
      <c r="J43" s="2" t="n"/>
      <c r="K43" s="2" t="n"/>
      <c r="L43" s="2" t="n"/>
      <c r="M43" s="2" t="n"/>
      <c r="N43" s="2" t="n"/>
      <c r="O43" s="2" t="n">
        <v>6</v>
      </c>
      <c r="P43" s="2" t="n"/>
      <c r="Q43" s="2" t="n"/>
      <c r="R43" s="2" t="n"/>
      <c r="S43" s="2" t="n">
        <v>5</v>
      </c>
      <c r="T43" s="2" t="n"/>
      <c r="U43" s="2" t="n"/>
      <c r="V43" s="2">
        <f>SUM(J43:U43)*G43</f>
        <v/>
      </c>
      <c r="W43" s="2">
        <f>MAX(J43:U43)</f>
        <v/>
      </c>
      <c r="X43" s="2">
        <f>W43*G43</f>
        <v/>
      </c>
    </row>
    <row r="44">
      <c r="A44" s="2" t="inlineStr">
        <is>
          <t>14-C-439</t>
        </is>
      </c>
      <c r="B44" s="3" t="inlineStr">
        <is>
          <t>Optical Cable Parts,LC/PC-LC/PC-Single mode-3m-2Core</t>
        </is>
      </c>
      <c r="C44" s="2" t="inlineStr">
        <is>
          <t>657A2 , LSZH , LC DUPLEX KIT(CLIP), 95MM/ 500MM</t>
        </is>
      </c>
      <c r="D44" s="2" t="inlineStr">
        <is>
          <t>a2</t>
        </is>
      </c>
      <c r="E44" s="2" t="inlineStr">
        <is>
          <t>2.0mm</t>
        </is>
      </c>
      <c r="F44" s="2" t="n">
        <v>2</v>
      </c>
      <c r="G44" s="2" t="n">
        <v>3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30</v>
      </c>
      <c r="T44" s="2" t="n"/>
      <c r="U44" s="2" t="n"/>
      <c r="V44" s="2">
        <f>SUM(J44:U44)*G44</f>
        <v/>
      </c>
      <c r="W44" s="2">
        <f>MAX(J44:U44)</f>
        <v/>
      </c>
      <c r="X44" s="2">
        <f>W44*G44</f>
        <v/>
      </c>
    </row>
    <row r="45">
      <c r="A45" s="2" t="inlineStr">
        <is>
          <t>14-C-440</t>
        </is>
      </c>
      <c r="B45" s="3" t="inlineStr">
        <is>
          <t>Optical Cable Parts,LC/PC-LC/PC-Single mode-10m-2Core</t>
        </is>
      </c>
      <c r="C45" s="2" t="inlineStr">
        <is>
          <t>657A2 , LSZH , LC DUPLEX KIT(CLIP), 95MM/ 500MM</t>
        </is>
      </c>
      <c r="D45" s="2" t="inlineStr">
        <is>
          <t>a2</t>
        </is>
      </c>
      <c r="E45" s="2" t="inlineStr">
        <is>
          <t>2.0mm</t>
        </is>
      </c>
      <c r="F45" s="2" t="n">
        <v>2</v>
      </c>
      <c r="G45" s="2" t="n">
        <v>10</v>
      </c>
      <c r="H45" s="2" t="inlineStr">
        <is>
          <t>LC/PC</t>
        </is>
      </c>
      <c r="I45" s="2" t="inlineStr">
        <is>
          <t>LC/PC</t>
        </is>
      </c>
      <c r="J45" s="2" t="n"/>
      <c r="K45" s="2" t="n">
        <v>210</v>
      </c>
      <c r="L45" s="2" t="n"/>
      <c r="M45" s="2" t="n"/>
      <c r="N45" s="2" t="n"/>
      <c r="O45" s="2" t="n"/>
      <c r="P45" s="2" t="n"/>
      <c r="Q45" s="2" t="n">
        <v>33</v>
      </c>
      <c r="R45" s="2" t="n"/>
      <c r="S45" s="2" t="n">
        <v>51</v>
      </c>
      <c r="T45" s="2" t="n"/>
      <c r="U45" s="2" t="n">
        <v>2</v>
      </c>
      <c r="V45" s="2">
        <f>SUM(J45:U45)*G45</f>
        <v/>
      </c>
      <c r="W45" s="2">
        <f>MAX(J45:U45)</f>
        <v/>
      </c>
      <c r="X45" s="2">
        <f>W45*G45</f>
        <v/>
      </c>
    </row>
    <row r="46">
      <c r="A46" s="2" t="inlineStr">
        <is>
          <t>14-C-466</t>
        </is>
      </c>
      <c r="B46" s="3" t="inlineStr">
        <is>
          <t>Optical Cable Parts,LC/PC-LC/PC-Single mode-5m-2Core</t>
        </is>
      </c>
      <c r="C46" s="2" t="inlineStr">
        <is>
          <t>657A2 , LSZH , LC DUPLEX KIT(CLIP), 95MM/ 500MM</t>
        </is>
      </c>
      <c r="D46" s="2" t="inlineStr">
        <is>
          <t>a2</t>
        </is>
      </c>
      <c r="E46" s="2" t="inlineStr">
        <is>
          <t>2.0mm</t>
        </is>
      </c>
      <c r="F46" s="2" t="n">
        <v>2</v>
      </c>
      <c r="G46" s="2" t="n">
        <v>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/>
      <c r="M46" s="2" t="n"/>
      <c r="N46" s="2" t="n">
        <v>100</v>
      </c>
      <c r="O46" s="2" t="n"/>
      <c r="P46" s="2" t="n"/>
      <c r="Q46" s="2" t="n">
        <v>50</v>
      </c>
      <c r="R46" s="2" t="n"/>
      <c r="S46" s="2" t="n">
        <v>20</v>
      </c>
      <c r="T46" s="2" t="n"/>
      <c r="U46" s="2" t="n"/>
      <c r="V46" s="2">
        <f>SUM(J46:U46)*G46</f>
        <v/>
      </c>
      <c r="W46" s="2">
        <f>MAX(J46:U46)</f>
        <v/>
      </c>
      <c r="X46" s="2">
        <f>W46*G46</f>
        <v/>
      </c>
    </row>
    <row r="47">
      <c r="A47" s="2" t="inlineStr">
        <is>
          <t>14-C-486</t>
        </is>
      </c>
      <c r="B47" s="3" t="inlineStr">
        <is>
          <t>DROP-CABLE(LC/APC)-2C</t>
        </is>
      </c>
      <c r="C47" s="2" t="inlineStr">
        <is>
          <t>5M / 분기부:30cm</t>
        </is>
      </c>
      <c r="D47" s="2" t="inlineStr">
        <is>
          <t>drop</t>
        </is>
      </c>
      <c r="E47" s="2" t="inlineStr">
        <is>
          <t>3.0mm</t>
        </is>
      </c>
      <c r="F47" s="2" t="n">
        <v>2</v>
      </c>
      <c r="G47" s="2" t="n">
        <v>5</v>
      </c>
      <c r="H47" s="2" t="inlineStr">
        <is>
          <t>LC/APC</t>
        </is>
      </c>
      <c r="I47" s="2" t="inlineStr">
        <is>
          <t>LC/APC</t>
        </is>
      </c>
      <c r="J47" s="2" t="n"/>
      <c r="K47" s="2" t="n"/>
      <c r="L47" s="2" t="n">
        <v>20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>
        <f>SUM(J47:U47)*G47</f>
        <v/>
      </c>
      <c r="W47" s="2">
        <f>MAX(J47:U47)</f>
        <v/>
      </c>
      <c r="X47" s="2">
        <f>W47*G47</f>
        <v/>
      </c>
    </row>
    <row r="48">
      <c r="A48" s="2" t="inlineStr">
        <is>
          <t>14-C-489</t>
        </is>
      </c>
      <c r="B48" s="3" t="inlineStr">
        <is>
          <t>DROP-CABLE(LC/APC)-2C</t>
        </is>
      </c>
      <c r="C48" s="2" t="inlineStr">
        <is>
          <t>10M / 분기부:30cm</t>
        </is>
      </c>
      <c r="D48" s="2" t="inlineStr">
        <is>
          <t>drop</t>
        </is>
      </c>
      <c r="E48" s="2" t="inlineStr">
        <is>
          <t>3.0mm</t>
        </is>
      </c>
      <c r="F48" s="2" t="n">
        <v>2</v>
      </c>
      <c r="G48" s="2" t="n">
        <v>10</v>
      </c>
      <c r="H48" s="2" t="inlineStr">
        <is>
          <t>LC/APC</t>
        </is>
      </c>
      <c r="I48" s="2" t="inlineStr">
        <is>
          <t>LC/APC</t>
        </is>
      </c>
      <c r="J48" s="2" t="n"/>
      <c r="K48" s="2" t="n"/>
      <c r="L48" s="2" t="n"/>
      <c r="M48" s="2" t="n"/>
      <c r="N48" s="2" t="n"/>
      <c r="O48" s="2" t="n"/>
      <c r="P48" s="2" t="n">
        <v>3</v>
      </c>
      <c r="Q48" s="2" t="n"/>
      <c r="R48" s="2" t="n"/>
      <c r="S48" s="2" t="n"/>
      <c r="T48" s="2" t="n"/>
      <c r="U48" s="2" t="n"/>
      <c r="V48" s="2">
        <f>SUM(J48:U48)*G48</f>
        <v/>
      </c>
      <c r="W48" s="2">
        <f>MAX(J48:U48)</f>
        <v/>
      </c>
      <c r="X48" s="2">
        <f>W48*G48</f>
        <v/>
      </c>
    </row>
    <row r="49">
      <c r="A49" s="2" t="inlineStr">
        <is>
          <t>14-C-491</t>
        </is>
      </c>
      <c r="B49" s="3" t="inlineStr">
        <is>
          <t>Optical Cable Parts,LC/PC-LC/PC-Single mode-40m-2Core</t>
        </is>
      </c>
      <c r="C49" s="2" t="inlineStr">
        <is>
          <t>657A2 , LSZH , LC DUPLEX KIT(CLIP),95MM/ 500MM</t>
        </is>
      </c>
      <c r="D49" s="2" t="inlineStr">
        <is>
          <t>a2</t>
        </is>
      </c>
      <c r="E49" s="2" t="inlineStr">
        <is>
          <t>2.0mm</t>
        </is>
      </c>
      <c r="F49" s="2" t="n">
        <v>2</v>
      </c>
      <c r="G49" s="2" t="n">
        <v>40</v>
      </c>
      <c r="H49" s="2" t="inlineStr">
        <is>
          <t>LC/PC</t>
        </is>
      </c>
      <c r="I49" s="2" t="inlineStr">
        <is>
          <t>LC/PC</t>
        </is>
      </c>
      <c r="J49" s="2" t="n"/>
      <c r="K49" s="2" t="n">
        <v>20</v>
      </c>
      <c r="L49" s="2" t="n">
        <v>60</v>
      </c>
      <c r="M49" s="2" t="n">
        <v>50</v>
      </c>
      <c r="N49" s="2" t="n"/>
      <c r="O49" s="2" t="n"/>
      <c r="P49" s="2" t="n"/>
      <c r="Q49" s="2" t="n">
        <v>20</v>
      </c>
      <c r="R49" s="2" t="n">
        <v>20</v>
      </c>
      <c r="S49" s="2" t="n"/>
      <c r="T49" s="2" t="n"/>
      <c r="U49" s="2" t="n">
        <v>30</v>
      </c>
      <c r="V49" s="2">
        <f>SUM(J49:U49)*G49</f>
        <v/>
      </c>
      <c r="W49" s="2">
        <f>MAX(J49:U49)</f>
        <v/>
      </c>
      <c r="X49" s="2">
        <f>W49*G49</f>
        <v/>
      </c>
    </row>
    <row r="50">
      <c r="A50" s="2" t="inlineStr">
        <is>
          <t>14-C-492</t>
        </is>
      </c>
      <c r="B50" s="3" t="inlineStr">
        <is>
          <t>Optical Cable Parts,LC/PC-LC/PC-Single mode-50m-2Core</t>
        </is>
      </c>
      <c r="C50" s="2" t="inlineStr">
        <is>
          <t>657A2 , LSZH , LC DUPLEX KIT(CLIP),95MM/ 500MM</t>
        </is>
      </c>
      <c r="D50" s="2" t="inlineStr">
        <is>
          <t>a2</t>
        </is>
      </c>
      <c r="E50" s="2" t="inlineStr">
        <is>
          <t>2.0mm</t>
        </is>
      </c>
      <c r="F50" s="2" t="n">
        <v>2</v>
      </c>
      <c r="G50" s="2" t="n">
        <v>50</v>
      </c>
      <c r="H50" s="2" t="inlineStr">
        <is>
          <t>LC/PC</t>
        </is>
      </c>
      <c r="I50" s="2" t="inlineStr">
        <is>
          <t>LC/PC</t>
        </is>
      </c>
      <c r="J50" s="2" t="n"/>
      <c r="K50" s="2" t="n"/>
      <c r="L50" s="2" t="n">
        <v>20</v>
      </c>
      <c r="M50" s="2" t="n"/>
      <c r="N50" s="2" t="n">
        <v>10</v>
      </c>
      <c r="O50" s="2" t="n"/>
      <c r="P50" s="2" t="n">
        <v>30</v>
      </c>
      <c r="Q50" s="2" t="n">
        <v>20</v>
      </c>
      <c r="R50" s="2" t="n"/>
      <c r="S50" s="2" t="n"/>
      <c r="T50" s="2" t="n"/>
      <c r="U50" s="2" t="n">
        <v>30</v>
      </c>
      <c r="V50" s="2">
        <f>SUM(J50:U50)*G50</f>
        <v/>
      </c>
      <c r="W50" s="2">
        <f>MAX(J50:U50)</f>
        <v/>
      </c>
      <c r="X50" s="2">
        <f>W50*G50</f>
        <v/>
      </c>
    </row>
    <row r="51">
      <c r="A51" s="2" t="inlineStr">
        <is>
          <t>14-C-493</t>
        </is>
      </c>
      <c r="B51" s="3" t="inlineStr">
        <is>
          <t>Optical Cable Parts,LC/PC-LC/PC-Single mode-60m-2Core</t>
        </is>
      </c>
      <c r="C51" s="2" t="inlineStr">
        <is>
          <t>657A2 , LSZH , LC DUPLEX KIT(CLIP),95MM/ 500MM</t>
        </is>
      </c>
      <c r="D51" s="2" t="inlineStr">
        <is>
          <t>a2</t>
        </is>
      </c>
      <c r="E51" s="2" t="inlineStr">
        <is>
          <t>2.0mm</t>
        </is>
      </c>
      <c r="F51" s="2" t="n">
        <v>2</v>
      </c>
      <c r="G51" s="2" t="n">
        <v>60</v>
      </c>
      <c r="H51" s="2" t="inlineStr">
        <is>
          <t>LC/PC</t>
        </is>
      </c>
      <c r="I51" s="2" t="inlineStr">
        <is>
          <t>LC/PC</t>
        </is>
      </c>
      <c r="J51" s="2" t="n"/>
      <c r="K51" s="2" t="n"/>
      <c r="L51" s="2" t="n"/>
      <c r="M51" s="2" t="n"/>
      <c r="N51" s="2" t="n">
        <v>10</v>
      </c>
      <c r="O51" s="2" t="n"/>
      <c r="P51" s="2" t="n"/>
      <c r="Q51" s="2" t="n"/>
      <c r="R51" s="2" t="n"/>
      <c r="S51" s="2" t="n"/>
      <c r="T51" s="2" t="n"/>
      <c r="U51" s="2" t="n"/>
      <c r="V51" s="2">
        <f>SUM(J51:U51)*G51</f>
        <v/>
      </c>
      <c r="W51" s="2">
        <f>MAX(J51:U51)</f>
        <v/>
      </c>
      <c r="X51" s="2">
        <f>W51*G51</f>
        <v/>
      </c>
    </row>
    <row r="52">
      <c r="A52" s="2" t="inlineStr">
        <is>
          <t>14-C-496</t>
        </is>
      </c>
      <c r="B52" s="3" t="inlineStr">
        <is>
          <t>DROP-CABLE(LC/PC)-2C</t>
        </is>
      </c>
      <c r="C52" s="2" t="inlineStr">
        <is>
          <t>10M</t>
        </is>
      </c>
      <c r="D52" s="2" t="inlineStr">
        <is>
          <t>drop</t>
        </is>
      </c>
      <c r="E52" s="2" t="inlineStr">
        <is>
          <t>3.0mm</t>
        </is>
      </c>
      <c r="F52" s="2" t="n">
        <v>2</v>
      </c>
      <c r="G52" s="2" t="n">
        <v>10</v>
      </c>
      <c r="H52" s="2" t="inlineStr">
        <is>
          <t>LC/PC</t>
        </is>
      </c>
      <c r="I52" s="2" t="inlineStr">
        <is>
          <t>LC/PC</t>
        </is>
      </c>
      <c r="J52" s="2" t="n"/>
      <c r="K52" s="2" t="n"/>
      <c r="L52" s="2" t="n"/>
      <c r="M52" s="2" t="n">
        <v>100</v>
      </c>
      <c r="N52" s="2" t="n"/>
      <c r="O52" s="2" t="n"/>
      <c r="P52" s="2" t="n"/>
      <c r="Q52" s="2" t="n"/>
      <c r="R52" s="2" t="n"/>
      <c r="S52" s="2" t="n"/>
      <c r="T52" s="2" t="n"/>
      <c r="U52" s="2" t="n">
        <v>18</v>
      </c>
      <c r="V52" s="2">
        <f>SUM(J52:U52)*G52</f>
        <v/>
      </c>
      <c r="W52" s="2">
        <f>MAX(J52:U52)</f>
        <v/>
      </c>
      <c r="X52" s="2">
        <f>W52*G52</f>
        <v/>
      </c>
    </row>
    <row r="53">
      <c r="A53" s="2" t="inlineStr">
        <is>
          <t>14-C-497</t>
        </is>
      </c>
      <c r="B53" s="3" t="inlineStr">
        <is>
          <t>DROP-CABLE(LC/PC)-2C</t>
        </is>
      </c>
      <c r="C53" s="2" t="inlineStr">
        <is>
          <t>4M</t>
        </is>
      </c>
      <c r="D53" s="2" t="inlineStr">
        <is>
          <t>drop</t>
        </is>
      </c>
      <c r="E53" s="2" t="inlineStr">
        <is>
          <t>3.0mm</t>
        </is>
      </c>
      <c r="F53" s="2" t="n">
        <v>2</v>
      </c>
      <c r="G53" s="2" t="n">
        <v>4</v>
      </c>
      <c r="H53" s="2" t="inlineStr">
        <is>
          <t>LC/PC</t>
        </is>
      </c>
      <c r="I53" s="2" t="inlineStr">
        <is>
          <t>LC/PC</t>
        </is>
      </c>
      <c r="J53" s="2" t="n"/>
      <c r="K53" s="2" t="n"/>
      <c r="L53" s="2" t="n"/>
      <c r="M53" s="2" t="n"/>
      <c r="N53" s="2" t="n"/>
      <c r="O53" s="2" t="n"/>
      <c r="P53" s="2" t="n"/>
      <c r="Q53" s="2" t="n">
        <v>100</v>
      </c>
      <c r="R53" s="2" t="n"/>
      <c r="S53" s="2" t="n"/>
      <c r="T53" s="2" t="n"/>
      <c r="U53" s="2" t="n"/>
      <c r="V53" s="2">
        <f>SUM(J53:U53)*G53</f>
        <v/>
      </c>
      <c r="W53" s="2">
        <f>MAX(J53:U53)</f>
        <v/>
      </c>
      <c r="X53" s="2">
        <f>W53*G53</f>
        <v/>
      </c>
    </row>
    <row r="54">
      <c r="A54" s="2" t="inlineStr">
        <is>
          <t>14-C-529</t>
        </is>
      </c>
      <c r="B54" s="3" t="inlineStr">
        <is>
          <t>DROP-CABLE(LC/PC)</t>
        </is>
      </c>
      <c r="C54" s="2" t="inlineStr">
        <is>
          <t>4M</t>
        </is>
      </c>
      <c r="D54" s="2" t="inlineStr">
        <is>
          <t>drop</t>
        </is>
      </c>
      <c r="E54" s="2" t="inlineStr">
        <is>
          <t>3.0mm</t>
        </is>
      </c>
      <c r="F54" s="2" t="n">
        <v>1</v>
      </c>
      <c r="G54" s="2" t="n">
        <v>4</v>
      </c>
      <c r="H54" s="2" t="inlineStr">
        <is>
          <t>LC/PC</t>
        </is>
      </c>
      <c r="I54" s="2" t="inlineStr">
        <is>
          <t>LC/PC</t>
        </is>
      </c>
      <c r="J54" s="2" t="n"/>
      <c r="K54" s="2" t="n">
        <v>1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SUM(J54:U54)*G54</f>
        <v/>
      </c>
      <c r="W54" s="2">
        <f>MAX(J54:U54)</f>
        <v/>
      </c>
      <c r="X54" s="2">
        <f>W54*G54</f>
        <v/>
      </c>
    </row>
    <row r="55">
      <c r="A55" s="2" t="inlineStr">
        <is>
          <t>14-C-552</t>
        </is>
      </c>
      <c r="B55" s="3" t="inlineStr">
        <is>
          <t>Optical Cable Parts,LC/PC-LC/PC-Single mode-10m-2Core</t>
        </is>
      </c>
      <c r="C55" s="2" t="inlineStr">
        <is>
          <t>657A2 , LSZH , LC DUPLEX KIT(CLIP), 0MM/ 300MM</t>
        </is>
      </c>
      <c r="D55" s="2" t="inlineStr">
        <is>
          <t>a2</t>
        </is>
      </c>
      <c r="E55" s="2" t="inlineStr">
        <is>
          <t>2.0mm</t>
        </is>
      </c>
      <c r="F55" s="2" t="n">
        <v>2</v>
      </c>
      <c r="G55" s="2" t="n">
        <v>10</v>
      </c>
      <c r="H55" s="2" t="inlineStr">
        <is>
          <t>LC/PC</t>
        </is>
      </c>
      <c r="I55" s="2" t="inlineStr">
        <is>
          <t>LC/PC</t>
        </is>
      </c>
      <c r="J55" s="2" t="n"/>
      <c r="K55" s="2" t="n"/>
      <c r="L55" s="2" t="n">
        <v>100</v>
      </c>
      <c r="M55" s="2" t="n"/>
      <c r="N55" s="2" t="n"/>
      <c r="O55" s="2" t="n"/>
      <c r="P55" s="2" t="n"/>
      <c r="Q55" s="2" t="n"/>
      <c r="R55" s="2" t="n"/>
      <c r="S55" s="2" t="n"/>
      <c r="T55" s="2" t="n">
        <v>50</v>
      </c>
      <c r="U55" s="2" t="n"/>
      <c r="V55" s="2">
        <f>SUM(J55:U55)*G55</f>
        <v/>
      </c>
      <c r="W55" s="2">
        <f>MAX(J55:U55)</f>
        <v/>
      </c>
      <c r="X55" s="2">
        <f>W55*G55</f>
        <v/>
      </c>
    </row>
    <row r="56">
      <c r="A56" s="2" t="inlineStr">
        <is>
          <t>14-C-553</t>
        </is>
      </c>
      <c r="B56" s="3" t="inlineStr">
        <is>
          <t>Optical Cable Parts,LC/PC-LC/PC-Single mode-15m-2Core</t>
        </is>
      </c>
      <c r="C56" s="2" t="inlineStr">
        <is>
          <t>657A2 , LSZH , LC DUPLEX KIT(CLIP), 0MM/ 300MM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15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>
        <v>100</v>
      </c>
      <c r="M56" s="2" t="n"/>
      <c r="N56" s="2" t="n">
        <v>50</v>
      </c>
      <c r="O56" s="2" t="n"/>
      <c r="P56" s="2" t="n"/>
      <c r="Q56" s="2" t="n"/>
      <c r="R56" s="2" t="n"/>
      <c r="S56" s="2" t="n"/>
      <c r="T56" s="2" t="n"/>
      <c r="U56" s="2" t="n"/>
      <c r="V56" s="2">
        <f>SUM(J56:U56)*G56</f>
        <v/>
      </c>
      <c r="W56" s="2">
        <f>MAX(J56:U56)</f>
        <v/>
      </c>
      <c r="X56" s="2">
        <f>W56*G56</f>
        <v/>
      </c>
    </row>
    <row r="57">
      <c r="A57" s="2" t="inlineStr">
        <is>
          <t>14-C-554</t>
        </is>
      </c>
      <c r="B57" s="3" t="inlineStr">
        <is>
          <t>Optical Cable Parts,LC/PC-LC/PC-Single mode-20m-2Core</t>
        </is>
      </c>
      <c r="C57" s="2" t="inlineStr">
        <is>
          <t>657A2 , LSZH , LC DUPLEX KIT(CLIP), 0MM/ 300MM</t>
        </is>
      </c>
      <c r="D57" s="2" t="inlineStr">
        <is>
          <t>a2</t>
        </is>
      </c>
      <c r="E57" s="2" t="inlineStr">
        <is>
          <t>2.0mm</t>
        </is>
      </c>
      <c r="F57" s="2" t="n">
        <v>2</v>
      </c>
      <c r="G57" s="2" t="n">
        <v>20</v>
      </c>
      <c r="H57" s="2" t="inlineStr">
        <is>
          <t>LC/PC</t>
        </is>
      </c>
      <c r="I57" s="2" t="inlineStr">
        <is>
          <t>LC/PC</t>
        </is>
      </c>
      <c r="J57" s="2" t="n"/>
      <c r="K57" s="2" t="n"/>
      <c r="L57" s="2" t="n">
        <v>100</v>
      </c>
      <c r="M57" s="2" t="n">
        <v>50</v>
      </c>
      <c r="N57" s="2" t="n">
        <v>50</v>
      </c>
      <c r="O57" s="2" t="n"/>
      <c r="P57" s="2" t="n"/>
      <c r="Q57" s="2" t="n"/>
      <c r="R57" s="2" t="n"/>
      <c r="S57" s="2" t="n"/>
      <c r="T57" s="2" t="n"/>
      <c r="U57" s="2" t="n"/>
      <c r="V57" s="2">
        <f>SUM(J57:U57)*G57</f>
        <v/>
      </c>
      <c r="W57" s="2">
        <f>MAX(J57:U57)</f>
        <v/>
      </c>
      <c r="X57" s="2">
        <f>W57*G57</f>
        <v/>
      </c>
    </row>
    <row r="58">
      <c r="A58" s="2" t="inlineStr">
        <is>
          <t>14-C-555</t>
        </is>
      </c>
      <c r="B58" s="3" t="inlineStr">
        <is>
          <t>Optical Cable Parts,LC/PC-LC/PC-Single mode-25m-2Core</t>
        </is>
      </c>
      <c r="C58" s="2" t="inlineStr">
        <is>
          <t>657A2 , LSZH , LC DUPLEX KIT(CLIP), 0MM/ 300MM</t>
        </is>
      </c>
      <c r="D58" s="2" t="inlineStr">
        <is>
          <t>a2</t>
        </is>
      </c>
      <c r="E58" s="2" t="inlineStr">
        <is>
          <t>2.0mm</t>
        </is>
      </c>
      <c r="F58" s="2" t="n">
        <v>2</v>
      </c>
      <c r="G58" s="2" t="n">
        <v>25</v>
      </c>
      <c r="H58" s="2" t="inlineStr">
        <is>
          <t>LC/PC</t>
        </is>
      </c>
      <c r="I58" s="2" t="inlineStr">
        <is>
          <t>LC/PC</t>
        </is>
      </c>
      <c r="J58" s="2" t="n">
        <v>50</v>
      </c>
      <c r="K58" s="2" t="n"/>
      <c r="L58" s="2" t="n"/>
      <c r="M58" s="2" t="n">
        <v>50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SUM(J58:U58)*G58</f>
        <v/>
      </c>
      <c r="W58" s="2">
        <f>MAX(J58:U58)</f>
        <v/>
      </c>
      <c r="X58" s="2">
        <f>W58*G58</f>
        <v/>
      </c>
    </row>
    <row r="59">
      <c r="A59" s="2" t="inlineStr">
        <is>
          <t>14-C-556</t>
        </is>
      </c>
      <c r="B59" s="3" t="inlineStr">
        <is>
          <t>Optical Cable Parts,LC/PC-LC/PC-Single mode-30m-2Core</t>
        </is>
      </c>
      <c r="C59" s="2" t="inlineStr">
        <is>
          <t>657A2 , LSZH , LC DUPLEX KIT(CLIP), 0MM/ 300MM</t>
        </is>
      </c>
      <c r="D59" s="2" t="inlineStr">
        <is>
          <t>a2</t>
        </is>
      </c>
      <c r="E59" s="2" t="inlineStr">
        <is>
          <t>2.0mm</t>
        </is>
      </c>
      <c r="F59" s="2" t="n">
        <v>2</v>
      </c>
      <c r="G59" s="2" t="n">
        <v>30</v>
      </c>
      <c r="H59" s="2" t="inlineStr">
        <is>
          <t>LC/PC</t>
        </is>
      </c>
      <c r="I59" s="2" t="inlineStr">
        <is>
          <t>LC/PC</t>
        </is>
      </c>
      <c r="J59" s="2" t="n">
        <v>30</v>
      </c>
      <c r="K59" s="2" t="n"/>
      <c r="L59" s="2" t="n"/>
      <c r="M59" s="2" t="n">
        <v>30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>
        <f>SUM(J59:U59)*G59</f>
        <v/>
      </c>
      <c r="W59" s="2">
        <f>MAX(J59:U59)</f>
        <v/>
      </c>
      <c r="X59" s="2">
        <f>W59*G59</f>
        <v/>
      </c>
    </row>
    <row r="60">
      <c r="A60" s="2" t="inlineStr">
        <is>
          <t>14-C-557</t>
        </is>
      </c>
      <c r="B60" s="3" t="inlineStr">
        <is>
          <t>Optical Cable Parts,LC/PC-LC/PC-Single mode-35m-2Core</t>
        </is>
      </c>
      <c r="C60" s="2" t="inlineStr">
        <is>
          <t>657A2 , LSZH , LC DUPLEX KIT(CLIP), 0MM/ 300MM</t>
        </is>
      </c>
      <c r="D60" s="2" t="inlineStr">
        <is>
          <t>a2</t>
        </is>
      </c>
      <c r="E60" s="2" t="inlineStr">
        <is>
          <t>2.0mm</t>
        </is>
      </c>
      <c r="F60" s="2" t="n">
        <v>2</v>
      </c>
      <c r="G60" s="2" t="n">
        <v>35</v>
      </c>
      <c r="H60" s="2" t="inlineStr">
        <is>
          <t>LC/PC</t>
        </is>
      </c>
      <c r="I60" s="2" t="inlineStr">
        <is>
          <t>LC/PC</t>
        </is>
      </c>
      <c r="J60" s="2" t="n"/>
      <c r="K60" s="2" t="n"/>
      <c r="L60" s="2" t="n"/>
      <c r="M60" s="2" t="n">
        <v>30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>
        <f>SUM(J60:U60)*G60</f>
        <v/>
      </c>
      <c r="W60" s="2">
        <f>MAX(J60:U60)</f>
        <v/>
      </c>
      <c r="X60" s="2">
        <f>W60*G60</f>
        <v/>
      </c>
    </row>
    <row r="61">
      <c r="A61" s="2" t="inlineStr">
        <is>
          <t>14-C-558</t>
        </is>
      </c>
      <c r="B61" s="3" t="inlineStr">
        <is>
          <t>Optical Cable Parts,LC/PC-LC/PC-Single mode-40m-2Core</t>
        </is>
      </c>
      <c r="C61" s="2" t="inlineStr">
        <is>
          <t>657A2 , LSZH , LC DUPLEX KIT(CLIP), 0MM/ 300MM</t>
        </is>
      </c>
      <c r="D61" s="2" t="inlineStr">
        <is>
          <t>a2</t>
        </is>
      </c>
      <c r="E61" s="2" t="inlineStr">
        <is>
          <t>2.0mm</t>
        </is>
      </c>
      <c r="F61" s="2" t="n">
        <v>2</v>
      </c>
      <c r="G61" s="2" t="n">
        <v>40</v>
      </c>
      <c r="H61" s="2" t="inlineStr">
        <is>
          <t>LC/PC</t>
        </is>
      </c>
      <c r="I61" s="2" t="inlineStr">
        <is>
          <t>LC/PC</t>
        </is>
      </c>
      <c r="J61" s="2" t="n"/>
      <c r="K61" s="2" t="n"/>
      <c r="L61" s="2" t="n">
        <v>30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>
        <f>SUM(J61:U61)*G61</f>
        <v/>
      </c>
      <c r="W61" s="2">
        <f>MAX(J61:U61)</f>
        <v/>
      </c>
      <c r="X61" s="2">
        <f>W61*G61</f>
        <v/>
      </c>
    </row>
    <row r="62">
      <c r="A62" s="2" t="inlineStr">
        <is>
          <t>14-C-577</t>
        </is>
      </c>
      <c r="B62" s="3" t="inlineStr">
        <is>
          <t>DROP-CABLE(LC/PC)</t>
        </is>
      </c>
      <c r="C62" s="2" t="inlineStr">
        <is>
          <t>40m</t>
        </is>
      </c>
      <c r="D62" s="2" t="inlineStr">
        <is>
          <t>drop</t>
        </is>
      </c>
      <c r="E62" s="2" t="inlineStr">
        <is>
          <t>3.0mm</t>
        </is>
      </c>
      <c r="F62" s="2" t="n">
        <v>1</v>
      </c>
      <c r="G62" s="2" t="n">
        <v>40</v>
      </c>
      <c r="H62" s="2" t="inlineStr">
        <is>
          <t>LC/PC</t>
        </is>
      </c>
      <c r="I62" s="2" t="inlineStr">
        <is>
          <t>LC/PC</t>
        </is>
      </c>
      <c r="J62" s="2" t="n"/>
      <c r="K62" s="2" t="n">
        <v>20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>
        <f>SUM(J62:U62)*G62</f>
        <v/>
      </c>
      <c r="W62" s="2">
        <f>MAX(J62:U62)</f>
        <v/>
      </c>
      <c r="X62" s="2">
        <f>W62*G62</f>
        <v/>
      </c>
    </row>
    <row r="63">
      <c r="A63" s="2" t="inlineStr">
        <is>
          <t>14-C-582</t>
        </is>
      </c>
      <c r="B63" s="3" t="inlineStr">
        <is>
          <t>DROP-CABLE(LC/PC)</t>
        </is>
      </c>
      <c r="C63" s="2" t="inlineStr">
        <is>
          <t>35m</t>
        </is>
      </c>
      <c r="D63" s="2" t="inlineStr">
        <is>
          <t>drop</t>
        </is>
      </c>
      <c r="E63" s="2" t="inlineStr">
        <is>
          <t>3.0mm</t>
        </is>
      </c>
      <c r="F63" s="2" t="n">
        <v>1</v>
      </c>
      <c r="G63" s="2" t="n">
        <v>35</v>
      </c>
      <c r="H63" s="2" t="inlineStr">
        <is>
          <t>LC/PC</t>
        </is>
      </c>
      <c r="I63" s="2" t="inlineStr">
        <is>
          <t>LC/PC</t>
        </is>
      </c>
      <c r="J63" s="2" t="n"/>
      <c r="K63" s="2" t="n">
        <v>20</v>
      </c>
      <c r="L63" s="2" t="n"/>
      <c r="M63" s="2" t="n">
        <v>50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>
        <f>SUM(J63:U63)*G63</f>
        <v/>
      </c>
      <c r="W63" s="2">
        <f>MAX(J63:U63)</f>
        <v/>
      </c>
      <c r="X63" s="2">
        <f>W63*G63</f>
        <v/>
      </c>
    </row>
    <row r="64">
      <c r="A64" s="2" t="inlineStr">
        <is>
          <t>14-C-583</t>
        </is>
      </c>
      <c r="B64" s="3" t="inlineStr">
        <is>
          <t>DROP-CABLE(LC/PC)-2C</t>
        </is>
      </c>
      <c r="C64" s="2" t="inlineStr">
        <is>
          <t>15m</t>
        </is>
      </c>
      <c r="D64" s="2" t="inlineStr">
        <is>
          <t>drop</t>
        </is>
      </c>
      <c r="E64" s="2" t="inlineStr">
        <is>
          <t>3.0mm</t>
        </is>
      </c>
      <c r="F64" s="2" t="n">
        <v>2</v>
      </c>
      <c r="G64" s="2" t="n">
        <v>15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>
        <v>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>
        <f>SUM(J64:U64)*G64</f>
        <v/>
      </c>
      <c r="W64" s="2">
        <f>MAX(J64:U64)</f>
        <v/>
      </c>
      <c r="X64" s="2">
        <f>W64*G64</f>
        <v/>
      </c>
    </row>
    <row r="65">
      <c r="A65" s="2" t="inlineStr">
        <is>
          <t>14-C-588</t>
        </is>
      </c>
      <c r="B65" s="3" t="inlineStr">
        <is>
          <t>Optical Cable Parts,LC/APC-LC/APC-Single mode-5m-2Core</t>
        </is>
      </c>
      <c r="C65" s="2" t="inlineStr">
        <is>
          <t>657A2 , LSZH</t>
        </is>
      </c>
      <c r="D65" s="2" t="inlineStr">
        <is>
          <t>a2</t>
        </is>
      </c>
      <c r="E65" s="2" t="inlineStr">
        <is>
          <t>2.0mm</t>
        </is>
      </c>
      <c r="F65" s="2" t="n">
        <v>2</v>
      </c>
      <c r="G65" s="2" t="n">
        <v>5</v>
      </c>
      <c r="H65" s="2" t="inlineStr">
        <is>
          <t>LC/APC</t>
        </is>
      </c>
      <c r="I65" s="2" t="inlineStr">
        <is>
          <t>LC/APC</t>
        </is>
      </c>
      <c r="J65" s="2" t="n">
        <v>55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SUM(J65:U65)*G65</f>
        <v/>
      </c>
      <c r="W65" s="2">
        <f>MAX(J65:U65)</f>
        <v/>
      </c>
      <c r="X65" s="2">
        <f>W65*G65</f>
        <v/>
      </c>
    </row>
    <row r="66">
      <c r="A66" s="2" t="inlineStr">
        <is>
          <t>14-C-591</t>
        </is>
      </c>
      <c r="B66" s="3" t="inlineStr">
        <is>
          <t>Optical Cable Parts,LC/PC-LC/PC-Single mode-4m-2Core</t>
        </is>
      </c>
      <c r="C66" s="2" t="inlineStr">
        <is>
          <t>657A2 , LSZH , LC DUPLEX KIT(CLIP), 95MM/ 500MM</t>
        </is>
      </c>
      <c r="D66" s="2" t="inlineStr">
        <is>
          <t>a2</t>
        </is>
      </c>
      <c r="E66" s="2" t="inlineStr">
        <is>
          <t>2.0mm</t>
        </is>
      </c>
      <c r="F66" s="2" t="n">
        <v>2</v>
      </c>
      <c r="G66" s="2" t="n">
        <v>4</v>
      </c>
      <c r="H66" s="2" t="inlineStr">
        <is>
          <t>LC/PC</t>
        </is>
      </c>
      <c r="I66" s="2" t="inlineStr">
        <is>
          <t>LC/PC</t>
        </is>
      </c>
      <c r="J66" s="2" t="n">
        <v>100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>
        <f>SUM(J66:U66)*G66</f>
        <v/>
      </c>
      <c r="W66" s="2">
        <f>MAX(J66:U66)</f>
        <v/>
      </c>
      <c r="X66" s="2">
        <f>W66*G66</f>
        <v/>
      </c>
    </row>
    <row r="67">
      <c r="A67" s="2" t="inlineStr">
        <is>
          <t>14-C-597</t>
        </is>
      </c>
      <c r="B67" s="3" t="inlineStr">
        <is>
          <t>DROP-CABLE(LC/PC-FC/PC)</t>
        </is>
      </c>
      <c r="C67" s="2" t="inlineStr">
        <is>
          <t>10M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10</v>
      </c>
      <c r="H67" s="2" t="inlineStr">
        <is>
          <t>LC/PC</t>
        </is>
      </c>
      <c r="I67" s="2" t="inlineStr">
        <is>
          <t>FC/PC</t>
        </is>
      </c>
      <c r="J67" s="2" t="n">
        <v>30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>
        <f>SUM(J67:U67)*G67</f>
        <v/>
      </c>
      <c r="W67" s="2">
        <f>MAX(J67:U67)</f>
        <v/>
      </c>
      <c r="X67" s="2">
        <f>W67*G67</f>
        <v/>
      </c>
    </row>
    <row r="68">
      <c r="A68" s="2" t="inlineStr">
        <is>
          <t>14-C-598</t>
        </is>
      </c>
      <c r="B68" s="3" t="inlineStr">
        <is>
          <t>Optical Cable Parts,LC/PC-LC/PC-Single mode-10m-2Core</t>
        </is>
      </c>
      <c r="C68" s="2" t="inlineStr">
        <is>
          <t>657A2 , LSZH , LC DUPLEX KIT(CLIP), 500MM/ 500MM</t>
        </is>
      </c>
      <c r="D68" s="2" t="inlineStr">
        <is>
          <t>a2</t>
        </is>
      </c>
      <c r="E68" s="2" t="inlineStr">
        <is>
          <t>2.0mm</t>
        </is>
      </c>
      <c r="F68" s="2" t="n">
        <v>2</v>
      </c>
      <c r="G68" s="2" t="n">
        <v>10</v>
      </c>
      <c r="H68" s="2" t="inlineStr">
        <is>
          <t>LC/PC</t>
        </is>
      </c>
      <c r="I68" s="2" t="inlineStr">
        <is>
          <t>LC/PC</t>
        </is>
      </c>
      <c r="J68" s="2" t="n"/>
      <c r="K68" s="2" t="n">
        <v>100</v>
      </c>
      <c r="L68" s="2" t="n">
        <v>100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>
        <f>SUM(J68:U68)*G68</f>
        <v/>
      </c>
      <c r="W68" s="2">
        <f>MAX(J68:U68)</f>
        <v/>
      </c>
      <c r="X68" s="2">
        <f>W68*G68</f>
        <v/>
      </c>
    </row>
    <row r="69">
      <c r="A69" s="2" t="inlineStr">
        <is>
          <t>14-C-599</t>
        </is>
      </c>
      <c r="B69" s="3" t="inlineStr">
        <is>
          <t>Optical Cable Parts,LC/PC-LC/PC-Single mode-15m-2Core</t>
        </is>
      </c>
      <c r="C69" s="2" t="inlineStr">
        <is>
          <t>657A2 , LSZH , LC DUPLEX KIT(CLIP), 500MM/ 500MM</t>
        </is>
      </c>
      <c r="D69" s="2" t="inlineStr">
        <is>
          <t>a2</t>
        </is>
      </c>
      <c r="E69" s="2" t="inlineStr">
        <is>
          <t>2.0mm</t>
        </is>
      </c>
      <c r="F69" s="2" t="n">
        <v>2</v>
      </c>
      <c r="G69" s="2" t="n">
        <v>15</v>
      </c>
      <c r="H69" s="2" t="inlineStr">
        <is>
          <t>LC/PC</t>
        </is>
      </c>
      <c r="I69" s="2" t="inlineStr">
        <is>
          <t>LC/PC</t>
        </is>
      </c>
      <c r="J69" s="2" t="n"/>
      <c r="K69" s="2" t="n">
        <v>100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>
        <f>SUM(J69:U69)*G69</f>
        <v/>
      </c>
      <c r="W69" s="2">
        <f>MAX(J69:U69)</f>
        <v/>
      </c>
      <c r="X69" s="2">
        <f>W69*G69</f>
        <v/>
      </c>
    </row>
    <row r="70">
      <c r="A70" s="2" t="inlineStr">
        <is>
          <t>14-C-600</t>
        </is>
      </c>
      <c r="B70" s="3" t="inlineStr">
        <is>
          <t>DROP-CABLE(LC/PC)-2C</t>
        </is>
      </c>
      <c r="C70" s="2" t="inlineStr">
        <is>
          <t>20M</t>
        </is>
      </c>
      <c r="D70" s="2" t="inlineStr">
        <is>
          <t>drop</t>
        </is>
      </c>
      <c r="E70" s="2" t="inlineStr">
        <is>
          <t>3.0mm</t>
        </is>
      </c>
      <c r="F70" s="2" t="n">
        <v>2</v>
      </c>
      <c r="G70" s="2" t="n">
        <v>20</v>
      </c>
      <c r="H70" s="2" t="inlineStr">
        <is>
          <t>LC/PC</t>
        </is>
      </c>
      <c r="I70" s="2" t="inlineStr">
        <is>
          <t>LC/PC</t>
        </is>
      </c>
      <c r="J70" s="2" t="n"/>
      <c r="K70" s="2" t="n">
        <v>50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>
        <f>SUM(J70:U70)*G70</f>
        <v/>
      </c>
      <c r="W70" s="2">
        <f>MAX(J70:U70)</f>
        <v/>
      </c>
      <c r="X70" s="2">
        <f>W70*G70</f>
        <v/>
      </c>
    </row>
    <row r="71">
      <c r="A71" s="2" t="inlineStr">
        <is>
          <t>14-C-602</t>
        </is>
      </c>
      <c r="B71" s="3" t="inlineStr">
        <is>
          <t>Optical Cable Parts,LC/PC-LC/PC-Single mode-50m-2Core</t>
        </is>
      </c>
      <c r="C71" s="2" t="inlineStr">
        <is>
          <t>657A2 , LSZH , LC DUPLEX KIT(CLIP), 0MM/ 300MM</t>
        </is>
      </c>
      <c r="D71" s="2" t="inlineStr">
        <is>
          <t>a2</t>
        </is>
      </c>
      <c r="E71" s="2" t="inlineStr">
        <is>
          <t>2.0mm</t>
        </is>
      </c>
      <c r="F71" s="2" t="n">
        <v>2</v>
      </c>
      <c r="G71" s="2" t="n">
        <v>50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>
        <v>30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>
        <f>SUM(J71:U71)*G71</f>
        <v/>
      </c>
      <c r="W71" s="2">
        <f>MAX(J71:U71)</f>
        <v/>
      </c>
      <c r="X71" s="2">
        <f>W71*G71</f>
        <v/>
      </c>
    </row>
    <row r="72">
      <c r="A72" s="2" t="inlineStr">
        <is>
          <t>14-C-606</t>
        </is>
      </c>
      <c r="B72" s="3" t="inlineStr">
        <is>
          <t>인입광케이블 커넥터일체형(SC/APC)</t>
        </is>
      </c>
      <c r="C72" s="2" t="inlineStr">
        <is>
          <t>10M</t>
        </is>
      </c>
      <c r="D72" s="2" t="inlineStr">
        <is>
          <t>a1</t>
        </is>
      </c>
      <c r="E72" s="2" t="inlineStr">
        <is>
          <t>2.0mm</t>
        </is>
      </c>
      <c r="F72" s="2" t="n">
        <v>1</v>
      </c>
      <c r="G72" s="2" t="n">
        <v>10</v>
      </c>
      <c r="H72" s="2" t="n"/>
      <c r="I72" s="2" t="n"/>
      <c r="J72" s="2" t="n"/>
      <c r="K72" s="2" t="n"/>
      <c r="L72" s="2" t="n"/>
      <c r="M72" s="2" t="n"/>
      <c r="N72" s="2" t="n">
        <v>10</v>
      </c>
      <c r="O72" s="2" t="n"/>
      <c r="P72" s="2" t="n"/>
      <c r="Q72" s="2" t="n"/>
      <c r="R72" s="2" t="n"/>
      <c r="S72" s="2" t="n"/>
      <c r="T72" s="2" t="n">
        <v>10</v>
      </c>
      <c r="U72" s="2" t="n"/>
      <c r="V72" s="2">
        <f>SUM(J72:U72)*G72</f>
        <v/>
      </c>
      <c r="W72" s="2">
        <f>MAX(J72:U72)</f>
        <v/>
      </c>
      <c r="X72" s="2">
        <f>W72*G72</f>
        <v/>
      </c>
    </row>
    <row r="73">
      <c r="A73" s="2" t="inlineStr">
        <is>
          <t>14-C-607</t>
        </is>
      </c>
      <c r="B73" s="3" t="inlineStr">
        <is>
          <t>인입광케이블 커넥터일체형(SC/PC)</t>
        </is>
      </c>
      <c r="C73" s="2" t="inlineStr">
        <is>
          <t>10M</t>
        </is>
      </c>
      <c r="D73" s="2" t="inlineStr">
        <is>
          <t>a1</t>
        </is>
      </c>
      <c r="E73" s="2" t="inlineStr">
        <is>
          <t>2.0mm</t>
        </is>
      </c>
      <c r="F73" s="2" t="n">
        <v>1</v>
      </c>
      <c r="G73" s="2" t="n">
        <v>10</v>
      </c>
      <c r="H73" s="2" t="n"/>
      <c r="I73" s="2" t="n"/>
      <c r="J73" s="2" t="n"/>
      <c r="K73" s="2" t="n"/>
      <c r="L73" s="2" t="n"/>
      <c r="M73" s="2" t="n"/>
      <c r="N73" s="2" t="n">
        <v>30</v>
      </c>
      <c r="O73" s="2" t="n"/>
      <c r="P73" s="2" t="n"/>
      <c r="Q73" s="2" t="n"/>
      <c r="R73" s="2" t="n"/>
      <c r="S73" s="2" t="n"/>
      <c r="T73" s="2" t="n"/>
      <c r="U73" s="2" t="n"/>
      <c r="V73" s="2">
        <f>SUM(J73:U73)*G73</f>
        <v/>
      </c>
      <c r="W73" s="2">
        <f>MAX(J73:U73)</f>
        <v/>
      </c>
      <c r="X73" s="2">
        <f>W73*G73</f>
        <v/>
      </c>
    </row>
    <row r="74">
      <c r="A74" s="2" t="inlineStr">
        <is>
          <t>14-C-608</t>
        </is>
      </c>
      <c r="B74" s="3" t="inlineStr">
        <is>
          <t>인입광케이블 커넥터일체형(SC/PC)</t>
        </is>
      </c>
      <c r="C74" s="2" t="inlineStr">
        <is>
          <t>30M</t>
        </is>
      </c>
      <c r="D74" s="2" t="inlineStr">
        <is>
          <t>a1</t>
        </is>
      </c>
      <c r="E74" s="2" t="inlineStr">
        <is>
          <t>2.0mm</t>
        </is>
      </c>
      <c r="F74" s="2" t="n">
        <v>1</v>
      </c>
      <c r="G74" s="2" t="n">
        <v>30</v>
      </c>
      <c r="H74" s="2" t="n"/>
      <c r="I74" s="2" t="n"/>
      <c r="J74" s="2" t="n"/>
      <c r="K74" s="2" t="n"/>
      <c r="L74" s="2" t="n"/>
      <c r="M74" s="2" t="n"/>
      <c r="N74" s="2" t="n">
        <v>30</v>
      </c>
      <c r="O74" s="2" t="n"/>
      <c r="P74" s="2" t="n"/>
      <c r="Q74" s="2" t="n"/>
      <c r="R74" s="2" t="n"/>
      <c r="S74" s="2" t="n"/>
      <c r="T74" s="2" t="n"/>
      <c r="U74" s="2" t="n"/>
      <c r="V74" s="2">
        <f>SUM(J74:U74)*G74</f>
        <v/>
      </c>
      <c r="W74" s="2">
        <f>MAX(J74:U74)</f>
        <v/>
      </c>
      <c r="X74" s="2">
        <f>W74*G74</f>
        <v/>
      </c>
    </row>
    <row r="75">
      <c r="A75" s="2" t="inlineStr">
        <is>
          <t>14-C-609</t>
        </is>
      </c>
      <c r="B75" s="3" t="inlineStr">
        <is>
          <t>DROP-CABLE(LC/PC)-2C</t>
        </is>
      </c>
      <c r="C75" s="2" t="inlineStr">
        <is>
          <t>200M</t>
        </is>
      </c>
      <c r="D75" s="2" t="inlineStr">
        <is>
          <t>drop</t>
        </is>
      </c>
      <c r="E75" s="2" t="inlineStr">
        <is>
          <t>3.0mm</t>
        </is>
      </c>
      <c r="F75" s="2" t="n">
        <v>2</v>
      </c>
      <c r="G75" s="2" t="n">
        <v>200</v>
      </c>
      <c r="H75" s="2" t="inlineStr">
        <is>
          <t>LC/PC</t>
        </is>
      </c>
      <c r="I75" s="2" t="inlineStr">
        <is>
          <t>LC/PC</t>
        </is>
      </c>
      <c r="J75" s="2" t="n"/>
      <c r="K75" s="2" t="n"/>
      <c r="L75" s="2" t="n"/>
      <c r="M75" s="2" t="n"/>
      <c r="N75" s="2" t="n">
        <v>2</v>
      </c>
      <c r="O75" s="2" t="n"/>
      <c r="P75" s="2" t="n"/>
      <c r="Q75" s="2" t="n"/>
      <c r="R75" s="2" t="n"/>
      <c r="S75" s="2" t="n"/>
      <c r="T75" s="2" t="n"/>
      <c r="U75" s="2" t="n"/>
      <c r="V75" s="2">
        <f>SUM(J75:U75)*G75</f>
        <v/>
      </c>
      <c r="W75" s="2">
        <f>MAX(J75:U75)</f>
        <v/>
      </c>
      <c r="X75" s="2">
        <f>W75*G75</f>
        <v/>
      </c>
    </row>
    <row r="76">
      <c r="A76" s="2" t="inlineStr">
        <is>
          <t>14-C-610</t>
        </is>
      </c>
      <c r="B76" s="3" t="inlineStr">
        <is>
          <t>DROP-CABLE(LC/PC)-2C</t>
        </is>
      </c>
      <c r="C76" s="2" t="inlineStr">
        <is>
          <t>300M</t>
        </is>
      </c>
      <c r="D76" s="2" t="inlineStr">
        <is>
          <t>drop</t>
        </is>
      </c>
      <c r="E76" s="2" t="inlineStr">
        <is>
          <t>3.0mm</t>
        </is>
      </c>
      <c r="F76" s="2" t="n">
        <v>2</v>
      </c>
      <c r="G76" s="2" t="n">
        <v>300</v>
      </c>
      <c r="H76" s="2" t="inlineStr">
        <is>
          <t>LC/PC</t>
        </is>
      </c>
      <c r="I76" s="2" t="inlineStr">
        <is>
          <t>LC/PC</t>
        </is>
      </c>
      <c r="J76" s="2" t="n"/>
      <c r="K76" s="2" t="n"/>
      <c r="L76" s="2" t="n"/>
      <c r="M76" s="2" t="n"/>
      <c r="N76" s="2" t="n">
        <v>2</v>
      </c>
      <c r="O76" s="2" t="n"/>
      <c r="P76" s="2" t="n"/>
      <c r="Q76" s="2" t="n"/>
      <c r="R76" s="2" t="n"/>
      <c r="S76" s="2" t="n"/>
      <c r="T76" s="2" t="n"/>
      <c r="U76" s="2" t="n"/>
      <c r="V76" s="2">
        <f>SUM(J76:U76)*G76</f>
        <v/>
      </c>
      <c r="W76" s="2">
        <f>MAX(J76:U76)</f>
        <v/>
      </c>
      <c r="X76" s="2">
        <f>W76*G76</f>
        <v/>
      </c>
    </row>
    <row r="77">
      <c r="A77" s="2" t="inlineStr">
        <is>
          <t>14-C-611</t>
        </is>
      </c>
      <c r="B77" s="3" t="inlineStr">
        <is>
          <t>DROP-CABLE(LC/PC-SC/PC)-2C</t>
        </is>
      </c>
      <c r="C77" s="2" t="inlineStr">
        <is>
          <t>30M</t>
        </is>
      </c>
      <c r="D77" s="2" t="inlineStr">
        <is>
          <t>drop</t>
        </is>
      </c>
      <c r="E77" s="2" t="inlineStr">
        <is>
          <t>3.0mm</t>
        </is>
      </c>
      <c r="F77" s="2" t="n">
        <v>2</v>
      </c>
      <c r="G77" s="2" t="n">
        <v>30</v>
      </c>
      <c r="H77" s="2" t="inlineStr">
        <is>
          <t>LC/PC</t>
        </is>
      </c>
      <c r="I77" s="2" t="inlineStr">
        <is>
          <t>SC/PC</t>
        </is>
      </c>
      <c r="J77" s="2" t="n"/>
      <c r="K77" s="2" t="n"/>
      <c r="L77" s="2" t="n"/>
      <c r="M77" s="2" t="n"/>
      <c r="N77" s="2" t="n"/>
      <c r="O77" s="2" t="n">
        <v>1</v>
      </c>
      <c r="P77" s="2" t="n"/>
      <c r="Q77" s="2" t="n"/>
      <c r="R77" s="2" t="n"/>
      <c r="S77" s="2" t="n"/>
      <c r="T77" s="2" t="n"/>
      <c r="U77" s="2" t="n"/>
      <c r="V77" s="2">
        <f>SUM(J77:U77)*G77</f>
        <v/>
      </c>
      <c r="W77" s="2">
        <f>MAX(J77:U77)</f>
        <v/>
      </c>
      <c r="X77" s="2">
        <f>W77*G77</f>
        <v/>
      </c>
    </row>
    <row r="78">
      <c r="A78" s="2" t="inlineStr">
        <is>
          <t>14-C-612</t>
        </is>
      </c>
      <c r="B78" s="3" t="inlineStr">
        <is>
          <t>Optical Cable Parts,LC/PC-SC/PC-Single mode-40m-2Core</t>
        </is>
      </c>
      <c r="C78" s="2" t="inlineStr">
        <is>
          <t>657A2 , LSZH , LC DUPLEX KIT(CLIP), 500MM/ 500MM</t>
        </is>
      </c>
      <c r="D78" s="2" t="inlineStr">
        <is>
          <t>a2</t>
        </is>
      </c>
      <c r="E78" s="2" t="inlineStr">
        <is>
          <t>2.0mm</t>
        </is>
      </c>
      <c r="F78" s="2" t="n">
        <v>2</v>
      </c>
      <c r="G78" s="2" t="n">
        <v>40</v>
      </c>
      <c r="H78" s="2" t="inlineStr">
        <is>
          <t>LC/PC</t>
        </is>
      </c>
      <c r="I78" s="2" t="inlineStr">
        <is>
          <t>SC/PC</t>
        </is>
      </c>
      <c r="J78" s="2" t="n"/>
      <c r="K78" s="2" t="n"/>
      <c r="L78" s="2" t="n"/>
      <c r="M78" s="2" t="n"/>
      <c r="N78" s="2" t="n"/>
      <c r="O78" s="2" t="n">
        <v>4</v>
      </c>
      <c r="P78" s="2" t="n"/>
      <c r="Q78" s="2" t="n"/>
      <c r="R78" s="2" t="n"/>
      <c r="S78" s="2" t="n"/>
      <c r="T78" s="2" t="n"/>
      <c r="U78" s="2" t="n"/>
      <c r="V78" s="2">
        <f>SUM(J78:U78)*G78</f>
        <v/>
      </c>
      <c r="W78" s="2">
        <f>MAX(J78:U78)</f>
        <v/>
      </c>
      <c r="X78" s="2">
        <f>W78*G78</f>
        <v/>
      </c>
    </row>
    <row r="79">
      <c r="A79" s="2" t="inlineStr">
        <is>
          <t>14-C-613</t>
        </is>
      </c>
      <c r="B79" s="3" t="inlineStr">
        <is>
          <t>Optical Cable Parts,LC/PC-LC/PC-Single mode-5m-2Core</t>
        </is>
      </c>
      <c r="C79" s="2" t="inlineStr">
        <is>
          <t>657A2 , LSZH , LC DUPLEX KIT(CLIP), 1,000MM/1,000MM</t>
        </is>
      </c>
      <c r="D79" s="2" t="inlineStr">
        <is>
          <t>a2</t>
        </is>
      </c>
      <c r="E79" s="2" t="inlineStr">
        <is>
          <t>2.0mm</t>
        </is>
      </c>
      <c r="F79" s="2" t="n">
        <v>2</v>
      </c>
      <c r="G79" s="2" t="n">
        <v>5</v>
      </c>
      <c r="H79" s="2" t="inlineStr">
        <is>
          <t>LC/PC</t>
        </is>
      </c>
      <c r="I79" s="2" t="inlineStr">
        <is>
          <t>LC/PC</t>
        </is>
      </c>
      <c r="J79" s="2" t="n"/>
      <c r="K79" s="2" t="n"/>
      <c r="L79" s="2" t="n"/>
      <c r="M79" s="2" t="n"/>
      <c r="N79" s="2" t="n"/>
      <c r="O79" s="2" t="n"/>
      <c r="P79" s="2" t="n">
        <v>100</v>
      </c>
      <c r="Q79" s="2" t="n"/>
      <c r="R79" s="2" t="n"/>
      <c r="S79" s="2" t="n"/>
      <c r="T79" s="2" t="n"/>
      <c r="U79" s="2" t="n"/>
      <c r="V79" s="2">
        <f>SUM(J79:U79)*G79</f>
        <v/>
      </c>
      <c r="W79" s="2">
        <f>MAX(J79:U79)</f>
        <v/>
      </c>
      <c r="X79" s="2">
        <f>W79*G79</f>
        <v/>
      </c>
    </row>
    <row r="80">
      <c r="A80" s="2" t="inlineStr">
        <is>
          <t>14-C-614</t>
        </is>
      </c>
      <c r="B80" s="3" t="inlineStr">
        <is>
          <t>Optical Cable Parts,LC/PC-LC/PC-Single mode-10m-2Core</t>
        </is>
      </c>
      <c r="C80" s="2" t="inlineStr">
        <is>
          <t>657A2 , LSZH , LC DUPLEX KIT(CLIP), 1,000MM/1,000MM</t>
        </is>
      </c>
      <c r="D80" s="2" t="inlineStr">
        <is>
          <t>a2</t>
        </is>
      </c>
      <c r="E80" s="2" t="inlineStr">
        <is>
          <t>2.0mm</t>
        </is>
      </c>
      <c r="F80" s="2" t="n">
        <v>2</v>
      </c>
      <c r="G80" s="2" t="n">
        <v>10</v>
      </c>
      <c r="H80" s="2" t="inlineStr">
        <is>
          <t>LC/PC</t>
        </is>
      </c>
      <c r="I80" s="2" t="inlineStr">
        <is>
          <t>LC/PC</t>
        </is>
      </c>
      <c r="J80" s="2" t="n"/>
      <c r="K80" s="2" t="n"/>
      <c r="L80" s="2" t="n"/>
      <c r="M80" s="2" t="n"/>
      <c r="N80" s="2" t="n"/>
      <c r="O80" s="2" t="n"/>
      <c r="P80" s="2" t="n">
        <v>50</v>
      </c>
      <c r="Q80" s="2" t="n"/>
      <c r="R80" s="2" t="n"/>
      <c r="S80" s="2" t="n"/>
      <c r="T80" s="2" t="n"/>
      <c r="U80" s="2" t="n"/>
      <c r="V80" s="2">
        <f>SUM(J80:U80)*G80</f>
        <v/>
      </c>
      <c r="W80" s="2">
        <f>MAX(J80:U80)</f>
        <v/>
      </c>
      <c r="X80" s="2">
        <f>W80*G80</f>
        <v/>
      </c>
    </row>
    <row r="81">
      <c r="A81" s="2" t="inlineStr">
        <is>
          <t>14-C-615</t>
        </is>
      </c>
      <c r="B81" s="3" t="inlineStr">
        <is>
          <t>Optical Cable Parts,LC/PC-LC/PC-Single mode-15m-2Core</t>
        </is>
      </c>
      <c r="C81" s="2" t="inlineStr">
        <is>
          <t>657A2 , LSZH , LC DUPLEX KIT(CLIP), 1,000MM/1,000MM</t>
        </is>
      </c>
      <c r="D81" s="2" t="inlineStr">
        <is>
          <t>a2</t>
        </is>
      </c>
      <c r="E81" s="2" t="inlineStr">
        <is>
          <t>2.0mm</t>
        </is>
      </c>
      <c r="F81" s="2" t="n">
        <v>2</v>
      </c>
      <c r="G81" s="2" t="n">
        <v>15</v>
      </c>
      <c r="H81" s="2" t="inlineStr">
        <is>
          <t>LC/PC</t>
        </is>
      </c>
      <c r="I81" s="2" t="inlineStr">
        <is>
          <t>LC/PC</t>
        </is>
      </c>
      <c r="J81" s="2" t="n"/>
      <c r="K81" s="2" t="n"/>
      <c r="L81" s="2" t="n"/>
      <c r="M81" s="2" t="n"/>
      <c r="N81" s="2" t="n"/>
      <c r="O81" s="2" t="n"/>
      <c r="P81" s="2" t="n">
        <v>50</v>
      </c>
      <c r="Q81" s="2" t="n"/>
      <c r="R81" s="2" t="n"/>
      <c r="S81" s="2" t="n"/>
      <c r="T81" s="2" t="n"/>
      <c r="U81" s="2" t="n"/>
      <c r="V81" s="2">
        <f>SUM(J81:U81)*G81</f>
        <v/>
      </c>
      <c r="W81" s="2">
        <f>MAX(J81:U81)</f>
        <v/>
      </c>
      <c r="X81" s="2">
        <f>W81*G81</f>
        <v/>
      </c>
    </row>
    <row r="82">
      <c r="A82" s="2" t="inlineStr">
        <is>
          <t>14-C-616</t>
        </is>
      </c>
      <c r="B82" s="3" t="inlineStr">
        <is>
          <t>DROP-CABLE(SC/PC-SC/APC)</t>
        </is>
      </c>
      <c r="C82" s="2" t="inlineStr">
        <is>
          <t>1C, 1.5M</t>
        </is>
      </c>
      <c r="D82" s="2" t="inlineStr">
        <is>
          <t>drop</t>
        </is>
      </c>
      <c r="E82" s="2" t="inlineStr">
        <is>
          <t>3.0mm</t>
        </is>
      </c>
      <c r="F82" s="2" t="n">
        <v>1</v>
      </c>
      <c r="G82" s="2" t="n">
        <v>1.5</v>
      </c>
      <c r="H82" s="2" t="inlineStr">
        <is>
          <t>SC/PC</t>
        </is>
      </c>
      <c r="I82" s="2" t="inlineStr">
        <is>
          <t>SC/APC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>
        <v>20</v>
      </c>
      <c r="T82" s="2" t="n"/>
      <c r="U82" s="2" t="n"/>
      <c r="V82" s="2">
        <f>SUM(J82:U82)*G82</f>
        <v/>
      </c>
      <c r="W82" s="2">
        <f>MAX(J82:U82)</f>
        <v/>
      </c>
      <c r="X82" s="2">
        <f>W82*G82</f>
        <v/>
      </c>
    </row>
    <row r="83">
      <c r="A83" s="2" t="inlineStr">
        <is>
          <t>14-C-620</t>
        </is>
      </c>
      <c r="B83" s="3" t="inlineStr">
        <is>
          <t>DROP-CABLE(LC/PC)-2C</t>
        </is>
      </c>
      <c r="C83" s="2" t="inlineStr">
        <is>
          <t>100m</t>
        </is>
      </c>
      <c r="D83" s="2" t="inlineStr">
        <is>
          <t>drop</t>
        </is>
      </c>
      <c r="E83" s="2" t="inlineStr">
        <is>
          <t>3.0mm</t>
        </is>
      </c>
      <c r="F83" s="2" t="n">
        <v>2</v>
      </c>
      <c r="G83" s="2" t="n">
        <v>100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>
        <v>15</v>
      </c>
      <c r="U83" s="2" t="n"/>
      <c r="V83" s="2">
        <f>SUM(J83:U83)*G83</f>
        <v/>
      </c>
      <c r="W83" s="2">
        <f>MAX(J83:U83)</f>
        <v/>
      </c>
      <c r="X83" s="2">
        <f>W83*G83</f>
        <v/>
      </c>
    </row>
    <row r="84">
      <c r="A84" s="2" t="inlineStr">
        <is>
          <t>14-C-626</t>
        </is>
      </c>
      <c r="B84" s="3" t="inlineStr">
        <is>
          <t>DROP-CABLE(LC/PC-SC/PC)</t>
        </is>
      </c>
      <c r="C84" s="2" t="inlineStr">
        <is>
          <t>70M</t>
        </is>
      </c>
      <c r="D84" s="2" t="inlineStr">
        <is>
          <t>drop</t>
        </is>
      </c>
      <c r="E84" s="2" t="inlineStr">
        <is>
          <t>3.0mm</t>
        </is>
      </c>
      <c r="F84" s="2" t="n">
        <v>1</v>
      </c>
      <c r="G84" s="2" t="n">
        <v>70</v>
      </c>
      <c r="H84" s="2" t="inlineStr">
        <is>
          <t>LC/PC</t>
        </is>
      </c>
      <c r="I84" s="2" t="inlineStr">
        <is>
          <t>SC/PC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>
        <v>1</v>
      </c>
      <c r="V84" s="2">
        <f>SUM(J84:U84)*G84</f>
        <v/>
      </c>
      <c r="W84" s="2">
        <f>MAX(J84:U84)</f>
        <v/>
      </c>
      <c r="X84" s="2">
        <f>W84*G84</f>
        <v/>
      </c>
    </row>
    <row r="85">
      <c r="A85" s="2" t="inlineStr">
        <is>
          <t>14-D-009</t>
        </is>
      </c>
      <c r="B85" s="3" t="inlineStr">
        <is>
          <t>DOJC-MM(OM3)-LC/PC-LC/PC</t>
        </is>
      </c>
      <c r="C85" s="2" t="inlineStr">
        <is>
          <t>12M</t>
        </is>
      </c>
      <c r="D85" s="2" t="inlineStr">
        <is>
          <t>om3</t>
        </is>
      </c>
      <c r="E85" s="2" t="inlineStr">
        <is>
          <t>2.0mm</t>
        </is>
      </c>
      <c r="F85" s="2" t="n">
        <v>2</v>
      </c>
      <c r="G85" s="2" t="n">
        <v>12</v>
      </c>
      <c r="H85" s="2" t="inlineStr">
        <is>
          <t>LC/PC</t>
        </is>
      </c>
      <c r="I85" s="2" t="inlineStr">
        <is>
          <t>LC/PC</t>
        </is>
      </c>
      <c r="J85" s="2" t="n"/>
      <c r="K85" s="2" t="n">
        <v>8</v>
      </c>
      <c r="L85" s="2" t="n">
        <v>7</v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SUM(J85:U85)*G85</f>
        <v/>
      </c>
      <c r="W85" s="2">
        <f>MAX(J85:U85)</f>
        <v/>
      </c>
      <c r="X85" s="2">
        <f>W85*G85</f>
        <v/>
      </c>
    </row>
    <row r="86">
      <c r="A86" s="2" t="inlineStr">
        <is>
          <t>14-D-019</t>
        </is>
      </c>
      <c r="B86" s="3" t="inlineStr">
        <is>
          <t>DOJC-MM(OM3)-LC/PC-LC/PC</t>
        </is>
      </c>
      <c r="C86" s="2" t="inlineStr">
        <is>
          <t>30M</t>
        </is>
      </c>
      <c r="D86" s="2" t="inlineStr">
        <is>
          <t>om3</t>
        </is>
      </c>
      <c r="E86" s="2" t="inlineStr">
        <is>
          <t>2.0mm</t>
        </is>
      </c>
      <c r="F86" s="2" t="n">
        <v>2</v>
      </c>
      <c r="G86" s="2" t="n">
        <v>30</v>
      </c>
      <c r="H86" s="2" t="inlineStr">
        <is>
          <t>LC/PC</t>
        </is>
      </c>
      <c r="I86" s="2" t="inlineStr">
        <is>
          <t>LC/PC</t>
        </is>
      </c>
      <c r="J86" s="2" t="n">
        <v>2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>
        <v>1</v>
      </c>
      <c r="V86" s="2">
        <f>SUM(J86:U86)*G86</f>
        <v/>
      </c>
      <c r="W86" s="2">
        <f>MAX(J86:U86)</f>
        <v/>
      </c>
      <c r="X86" s="2">
        <f>W86*G86</f>
        <v/>
      </c>
    </row>
    <row r="87">
      <c r="A87" s="2" t="inlineStr">
        <is>
          <t>14-D-020</t>
        </is>
      </c>
      <c r="B87" s="3" t="inlineStr">
        <is>
          <t>DOJC-MM(OM3)-LC/PC-LC/PC</t>
        </is>
      </c>
      <c r="C87" s="2" t="inlineStr">
        <is>
          <t>35M</t>
        </is>
      </c>
      <c r="D87" s="2" t="inlineStr">
        <is>
          <t>om3</t>
        </is>
      </c>
      <c r="E87" s="2" t="inlineStr">
        <is>
          <t>2.0mm</t>
        </is>
      </c>
      <c r="F87" s="2" t="n">
        <v>2</v>
      </c>
      <c r="G87" s="2" t="n">
        <v>35</v>
      </c>
      <c r="H87" s="2" t="inlineStr">
        <is>
          <t>LC/PC</t>
        </is>
      </c>
      <c r="I87" s="2" t="inlineStr">
        <is>
          <t>LC/PC</t>
        </is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>
        <v>20</v>
      </c>
      <c r="U87" s="2" t="n"/>
      <c r="V87" s="2">
        <f>SUM(J87:U87)*G87</f>
        <v/>
      </c>
      <c r="W87" s="2">
        <f>MAX(J87:U87)</f>
        <v/>
      </c>
      <c r="X87" s="2">
        <f>W87*G87</f>
        <v/>
      </c>
    </row>
    <row r="88">
      <c r="A88" s="2" t="inlineStr">
        <is>
          <t>14-D-021</t>
        </is>
      </c>
      <c r="B88" s="3" t="inlineStr">
        <is>
          <t>DOJC-MM(OM3)-LC/PC-LC/PC</t>
        </is>
      </c>
      <c r="C88" s="2" t="inlineStr">
        <is>
          <t>3M</t>
        </is>
      </c>
      <c r="D88" s="2" t="inlineStr">
        <is>
          <t>om3</t>
        </is>
      </c>
      <c r="E88" s="2" t="inlineStr">
        <is>
          <t>2.0mm</t>
        </is>
      </c>
      <c r="F88" s="2" t="n">
        <v>2</v>
      </c>
      <c r="G88" s="2" t="n">
        <v>3</v>
      </c>
      <c r="H88" s="2" t="inlineStr">
        <is>
          <t>LC/PC</t>
        </is>
      </c>
      <c r="I88" s="2" t="inlineStr">
        <is>
          <t>LC/PC</t>
        </is>
      </c>
      <c r="J88" s="2" t="n"/>
      <c r="K88" s="2" t="n"/>
      <c r="L88" s="2" t="n"/>
      <c r="M88" s="2" t="n"/>
      <c r="N88" s="2" t="n"/>
      <c r="O88" s="2" t="n"/>
      <c r="P88" s="2" t="n">
        <v>90</v>
      </c>
      <c r="Q88" s="2" t="n"/>
      <c r="R88" s="2" t="n"/>
      <c r="S88" s="2" t="n">
        <v>10</v>
      </c>
      <c r="T88" s="2" t="n">
        <v>24</v>
      </c>
      <c r="U88" s="2" t="n">
        <v>14</v>
      </c>
      <c r="V88" s="2">
        <f>SUM(J88:U88)*G88</f>
        <v/>
      </c>
      <c r="W88" s="2">
        <f>MAX(J88:U88)</f>
        <v/>
      </c>
      <c r="X88" s="2">
        <f>W88*G88</f>
        <v/>
      </c>
    </row>
    <row r="89">
      <c r="A89" s="2" t="inlineStr">
        <is>
          <t>14-D-022</t>
        </is>
      </c>
      <c r="B89" s="3" t="inlineStr">
        <is>
          <t>DOJC-MM(OM3)-LC/PC-LC/PC</t>
        </is>
      </c>
      <c r="C89" s="2" t="inlineStr">
        <is>
          <t>40M</t>
        </is>
      </c>
      <c r="D89" s="2" t="inlineStr">
        <is>
          <t>om3</t>
        </is>
      </c>
      <c r="E89" s="2" t="inlineStr">
        <is>
          <t>2.0mm</t>
        </is>
      </c>
      <c r="F89" s="2" t="n">
        <v>2</v>
      </c>
      <c r="G89" s="2" t="n">
        <v>40</v>
      </c>
      <c r="H89" s="2" t="inlineStr">
        <is>
          <t>LC/PC</t>
        </is>
      </c>
      <c r="I89" s="2" t="inlineStr">
        <is>
          <t>LC/PC</t>
        </is>
      </c>
      <c r="J89" s="2" t="n">
        <v>3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>
        <v>30</v>
      </c>
      <c r="T89" s="2" t="n"/>
      <c r="U89" s="2" t="n"/>
      <c r="V89" s="2">
        <f>SUM(J89:U89)*G89</f>
        <v/>
      </c>
      <c r="W89" s="2">
        <f>MAX(J89:U89)</f>
        <v/>
      </c>
      <c r="X89" s="2">
        <f>W89*G89</f>
        <v/>
      </c>
    </row>
    <row r="90">
      <c r="A90" s="2" t="inlineStr">
        <is>
          <t>14-D-023</t>
        </is>
      </c>
      <c r="B90" s="3" t="inlineStr">
        <is>
          <t>DOJC-MM(OM3)-LC/PC-LC/PC</t>
        </is>
      </c>
      <c r="C90" s="2" t="inlineStr">
        <is>
          <t>45M</t>
        </is>
      </c>
      <c r="D90" s="2" t="inlineStr">
        <is>
          <t>om3</t>
        </is>
      </c>
      <c r="E90" s="2" t="inlineStr">
        <is>
          <t>2.0mm</t>
        </is>
      </c>
      <c r="F90" s="2" t="n">
        <v>2</v>
      </c>
      <c r="G90" s="2" t="n">
        <v>45</v>
      </c>
      <c r="H90" s="2" t="inlineStr">
        <is>
          <t>LC/PC</t>
        </is>
      </c>
      <c r="I90" s="2" t="inlineStr">
        <is>
          <t>LC/PC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>
        <v>4</v>
      </c>
      <c r="V90" s="2">
        <f>SUM(J90:U90)*G90</f>
        <v/>
      </c>
      <c r="W90" s="2">
        <f>MAX(J90:U90)</f>
        <v/>
      </c>
      <c r="X90" s="2">
        <f>W90*G90</f>
        <v/>
      </c>
    </row>
    <row r="91">
      <c r="A91" s="2" t="inlineStr">
        <is>
          <t>14-D-024</t>
        </is>
      </c>
      <c r="B91" s="3" t="inlineStr">
        <is>
          <t>DOJC-MM(OM3)-LC/PC-LC/PC</t>
        </is>
      </c>
      <c r="C91" s="2" t="inlineStr">
        <is>
          <t>50M</t>
        </is>
      </c>
      <c r="D91" s="2" t="inlineStr">
        <is>
          <t>om3</t>
        </is>
      </c>
      <c r="E91" s="2" t="inlineStr">
        <is>
          <t>2.0mm</t>
        </is>
      </c>
      <c r="F91" s="2" t="n">
        <v>2</v>
      </c>
      <c r="G91" s="2" t="n">
        <v>50</v>
      </c>
      <c r="H91" s="2" t="inlineStr">
        <is>
          <t>LC/PC</t>
        </is>
      </c>
      <c r="I91" s="2" t="inlineStr">
        <is>
          <t>LC/PC</t>
        </is>
      </c>
      <c r="J91" s="2" t="n"/>
      <c r="K91" s="2" t="n"/>
      <c r="L91" s="2" t="n"/>
      <c r="M91" s="2" t="n"/>
      <c r="N91" s="2" t="n"/>
      <c r="O91" s="2" t="n">
        <v>14</v>
      </c>
      <c r="P91" s="2" t="n">
        <v>4</v>
      </c>
      <c r="Q91" s="2" t="n"/>
      <c r="R91" s="2" t="n"/>
      <c r="S91" s="2" t="n">
        <v>20</v>
      </c>
      <c r="T91" s="2" t="n"/>
      <c r="U91" s="2" t="n"/>
      <c r="V91" s="2">
        <f>SUM(J91:U91)*G91</f>
        <v/>
      </c>
      <c r="W91" s="2">
        <f>MAX(J91:U91)</f>
        <v/>
      </c>
      <c r="X91" s="2">
        <f>W91*G91</f>
        <v/>
      </c>
    </row>
    <row r="92">
      <c r="A92" s="2" t="inlineStr">
        <is>
          <t>14-D-027</t>
        </is>
      </c>
      <c r="B92" s="3" t="inlineStr">
        <is>
          <t>DOJC-MM(OM3)-LC/PC-LC/PC</t>
        </is>
      </c>
      <c r="C92" s="2" t="inlineStr">
        <is>
          <t>7M</t>
        </is>
      </c>
      <c r="D92" s="2" t="inlineStr">
        <is>
          <t>om3</t>
        </is>
      </c>
      <c r="E92" s="2" t="inlineStr">
        <is>
          <t>2.0mm</t>
        </is>
      </c>
      <c r="F92" s="2" t="n">
        <v>2</v>
      </c>
      <c r="G92" s="2" t="n">
        <v>7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>
        <v>10</v>
      </c>
      <c r="M92" s="2" t="n"/>
      <c r="N92" s="2" t="n"/>
      <c r="O92" s="2" t="n"/>
      <c r="P92" s="2" t="n">
        <v>50</v>
      </c>
      <c r="Q92" s="2" t="n"/>
      <c r="R92" s="2" t="n"/>
      <c r="S92" s="2" t="n"/>
      <c r="T92" s="2" t="n"/>
      <c r="U92" s="2" t="n">
        <v>20</v>
      </c>
      <c r="V92" s="2">
        <f>SUM(J92:U92)*G92</f>
        <v/>
      </c>
      <c r="W92" s="2">
        <f>MAX(J92:U92)</f>
        <v/>
      </c>
      <c r="X92" s="2">
        <f>W92*G92</f>
        <v/>
      </c>
    </row>
    <row r="93">
      <c r="A93" s="2" t="inlineStr">
        <is>
          <t>14-D-037</t>
        </is>
      </c>
      <c r="B93" s="3" t="inlineStr">
        <is>
          <t>DOJC-MM-LC/PC-LC/PC</t>
        </is>
      </c>
      <c r="C93" s="2" t="inlineStr">
        <is>
          <t>12M</t>
        </is>
      </c>
      <c r="D93" s="2" t="inlineStr">
        <is>
          <t>om1</t>
        </is>
      </c>
      <c r="E93" s="2" t="inlineStr">
        <is>
          <t>2.0mm</t>
        </is>
      </c>
      <c r="F93" s="2" t="n">
        <v>2</v>
      </c>
      <c r="G93" s="2" t="n">
        <v>12</v>
      </c>
      <c r="H93" s="2" t="inlineStr">
        <is>
          <t>LC/PC</t>
        </is>
      </c>
      <c r="I93" s="2" t="inlineStr">
        <is>
          <t>LC/PC</t>
        </is>
      </c>
      <c r="J93" s="2" t="n"/>
      <c r="K93" s="2" t="n"/>
      <c r="L93" s="2" t="n"/>
      <c r="M93" s="2" t="n"/>
      <c r="N93" s="2" t="n"/>
      <c r="O93" s="2" t="n">
        <v>3</v>
      </c>
      <c r="P93" s="2" t="n"/>
      <c r="Q93" s="2" t="n"/>
      <c r="R93" s="2" t="n"/>
      <c r="S93" s="2" t="n"/>
      <c r="T93" s="2" t="n"/>
      <c r="U93" s="2" t="n"/>
      <c r="V93" s="2">
        <f>SUM(J93:U93)*G93</f>
        <v/>
      </c>
      <c r="W93" s="2">
        <f>MAX(J93:U93)</f>
        <v/>
      </c>
      <c r="X93" s="2">
        <f>W93*G93</f>
        <v/>
      </c>
    </row>
    <row r="94">
      <c r="A94" s="2" t="inlineStr">
        <is>
          <t>14-D-038</t>
        </is>
      </c>
      <c r="B94" s="3" t="inlineStr">
        <is>
          <t>DOJC-MM-LC/PC-LC/PC</t>
        </is>
      </c>
      <c r="C94" s="2" t="inlineStr">
        <is>
          <t>13M</t>
        </is>
      </c>
      <c r="D94" s="2" t="inlineStr">
        <is>
          <t>om1</t>
        </is>
      </c>
      <c r="E94" s="2" t="inlineStr">
        <is>
          <t>2.0mm</t>
        </is>
      </c>
      <c r="F94" s="2" t="n">
        <v>2</v>
      </c>
      <c r="G94" s="2" t="n">
        <v>13</v>
      </c>
      <c r="H94" s="2" t="inlineStr">
        <is>
          <t>LC/PC</t>
        </is>
      </c>
      <c r="I94" s="2" t="inlineStr">
        <is>
          <t>LC/PC</t>
        </is>
      </c>
      <c r="J94" s="2" t="n"/>
      <c r="K94" s="2" t="n"/>
      <c r="L94" s="2" t="n"/>
      <c r="M94" s="2" t="n"/>
      <c r="N94" s="2" t="n"/>
      <c r="O94" s="2" t="n"/>
      <c r="P94" s="2" t="n"/>
      <c r="Q94" s="2" t="n">
        <v>150</v>
      </c>
      <c r="R94" s="2" t="n"/>
      <c r="S94" s="2" t="n"/>
      <c r="T94" s="2" t="n">
        <v>10</v>
      </c>
      <c r="U94" s="2" t="n"/>
      <c r="V94" s="2">
        <f>SUM(J94:U94)*G94</f>
        <v/>
      </c>
      <c r="W94" s="2">
        <f>MAX(J94:U94)</f>
        <v/>
      </c>
      <c r="X94" s="2">
        <f>W94*G94</f>
        <v/>
      </c>
    </row>
    <row r="95">
      <c r="A95" s="2" t="inlineStr">
        <is>
          <t>14-D-041</t>
        </is>
      </c>
      <c r="B95" s="3" t="inlineStr">
        <is>
          <t>DOJC-MM-LC/PC-LC/PC</t>
        </is>
      </c>
      <c r="C95" s="2" t="inlineStr">
        <is>
          <t>17M</t>
        </is>
      </c>
      <c r="D95" s="2" t="inlineStr">
        <is>
          <t>om1</t>
        </is>
      </c>
      <c r="E95" s="2" t="inlineStr">
        <is>
          <t>2.0mm</t>
        </is>
      </c>
      <c r="F95" s="2" t="n">
        <v>2</v>
      </c>
      <c r="G95" s="2" t="n">
        <v>17</v>
      </c>
      <c r="H95" s="2" t="inlineStr">
        <is>
          <t>LC/PC</t>
        </is>
      </c>
      <c r="I95" s="2" t="inlineStr">
        <is>
          <t>LC/PC</t>
        </is>
      </c>
      <c r="J95" s="2" t="n"/>
      <c r="K95" s="2" t="n">
        <v>7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>
        <f>SUM(J95:U95)*G95</f>
        <v/>
      </c>
      <c r="W95" s="2">
        <f>MAX(J95:U95)</f>
        <v/>
      </c>
      <c r="X95" s="2">
        <f>W95*G95</f>
        <v/>
      </c>
    </row>
    <row r="96">
      <c r="A96" s="2" t="inlineStr">
        <is>
          <t>14-D-042</t>
        </is>
      </c>
      <c r="B96" s="3" t="inlineStr">
        <is>
          <t>DOJC-MM-LC/PC-LC/PC</t>
        </is>
      </c>
      <c r="C96" s="2" t="inlineStr">
        <is>
          <t>18M</t>
        </is>
      </c>
      <c r="D96" s="2" t="inlineStr">
        <is>
          <t>om1</t>
        </is>
      </c>
      <c r="E96" s="2" t="inlineStr">
        <is>
          <t>2.0mm</t>
        </is>
      </c>
      <c r="F96" s="2" t="n">
        <v>2</v>
      </c>
      <c r="G96" s="2" t="n">
        <v>18</v>
      </c>
      <c r="H96" s="2" t="inlineStr">
        <is>
          <t>LC/PC</t>
        </is>
      </c>
      <c r="I96" s="2" t="inlineStr">
        <is>
          <t>LC/PC</t>
        </is>
      </c>
      <c r="J96" s="2" t="n"/>
      <c r="K96" s="2" t="n">
        <v>4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SUM(J96:U96)*G96</f>
        <v/>
      </c>
      <c r="W96" s="2">
        <f>MAX(J96:U96)</f>
        <v/>
      </c>
      <c r="X96" s="2">
        <f>W96*G96</f>
        <v/>
      </c>
    </row>
    <row r="97">
      <c r="A97" s="2" t="inlineStr">
        <is>
          <t>14-D-051</t>
        </is>
      </c>
      <c r="B97" s="3" t="inlineStr">
        <is>
          <t>DOJC-MM-LC/PC-LC/PC</t>
        </is>
      </c>
      <c r="C97" s="2" t="inlineStr">
        <is>
          <t>35M</t>
        </is>
      </c>
      <c r="D97" s="2" t="inlineStr">
        <is>
          <t>om1</t>
        </is>
      </c>
      <c r="E97" s="2" t="inlineStr">
        <is>
          <t>2.0mm</t>
        </is>
      </c>
      <c r="F97" s="2" t="n">
        <v>2</v>
      </c>
      <c r="G97" s="2" t="n">
        <v>35</v>
      </c>
      <c r="H97" s="2" t="inlineStr">
        <is>
          <t>LC/PC</t>
        </is>
      </c>
      <c r="I97" s="2" t="inlineStr">
        <is>
          <t>LC/PC</t>
        </is>
      </c>
      <c r="J97" s="2" t="n"/>
      <c r="K97" s="2" t="n"/>
      <c r="L97" s="2" t="n"/>
      <c r="M97" s="2" t="n"/>
      <c r="N97" s="2" t="n"/>
      <c r="O97" s="2" t="n">
        <v>32</v>
      </c>
      <c r="P97" s="2" t="n"/>
      <c r="Q97" s="2" t="n">
        <v>44</v>
      </c>
      <c r="R97" s="2" t="n"/>
      <c r="S97" s="2" t="n"/>
      <c r="T97" s="2" t="n"/>
      <c r="U97" s="2" t="n"/>
      <c r="V97" s="2">
        <f>SUM(J97:U97)*G97</f>
        <v/>
      </c>
      <c r="W97" s="2">
        <f>MAX(J97:U97)</f>
        <v/>
      </c>
      <c r="X97" s="2">
        <f>W97*G97</f>
        <v/>
      </c>
    </row>
    <row r="98">
      <c r="A98" s="2" t="inlineStr">
        <is>
          <t>14-D-053</t>
        </is>
      </c>
      <c r="B98" s="3" t="inlineStr">
        <is>
          <t>DOJC-MM-LC/PC-LC/PC</t>
        </is>
      </c>
      <c r="C98" s="2" t="inlineStr">
        <is>
          <t>40M</t>
        </is>
      </c>
      <c r="D98" s="2" t="inlineStr">
        <is>
          <t>om1</t>
        </is>
      </c>
      <c r="E98" s="2" t="inlineStr">
        <is>
          <t>2.0mm</t>
        </is>
      </c>
      <c r="F98" s="2" t="n">
        <v>2</v>
      </c>
      <c r="G98" s="2" t="n">
        <v>40</v>
      </c>
      <c r="H98" s="2" t="inlineStr">
        <is>
          <t>LC/PC</t>
        </is>
      </c>
      <c r="I98" s="2" t="inlineStr">
        <is>
          <t>LC/PC</t>
        </is>
      </c>
      <c r="J98" s="2" t="n"/>
      <c r="K98" s="2" t="n"/>
      <c r="L98" s="2" t="n"/>
      <c r="M98" s="2" t="n"/>
      <c r="N98" s="2" t="n"/>
      <c r="O98" s="2" t="n"/>
      <c r="P98" s="2" t="n">
        <v>6</v>
      </c>
      <c r="Q98" s="2" t="n"/>
      <c r="R98" s="2" t="n">
        <v>1</v>
      </c>
      <c r="S98" s="2" t="n">
        <v>4</v>
      </c>
      <c r="T98" s="2" t="n">
        <v>1</v>
      </c>
      <c r="U98" s="2" t="n"/>
      <c r="V98" s="2">
        <f>SUM(J98:U98)*G98</f>
        <v/>
      </c>
      <c r="W98" s="2">
        <f>MAX(J98:U98)</f>
        <v/>
      </c>
      <c r="X98" s="2">
        <f>W98*G98</f>
        <v/>
      </c>
    </row>
    <row r="99">
      <c r="A99" s="2" t="inlineStr">
        <is>
          <t>14-D-056</t>
        </is>
      </c>
      <c r="B99" s="3" t="inlineStr">
        <is>
          <t>DOJC-MM-LC/PC-LC/PC</t>
        </is>
      </c>
      <c r="C99" s="2" t="inlineStr">
        <is>
          <t>55M</t>
        </is>
      </c>
      <c r="D99" s="2" t="inlineStr">
        <is>
          <t>om1</t>
        </is>
      </c>
      <c r="E99" s="2" t="inlineStr">
        <is>
          <t>2.0mm</t>
        </is>
      </c>
      <c r="F99" s="2" t="n">
        <v>2</v>
      </c>
      <c r="G99" s="2" t="n">
        <v>55</v>
      </c>
      <c r="H99" s="2" t="inlineStr">
        <is>
          <t>LC/PC</t>
        </is>
      </c>
      <c r="I99" s="2" t="inlineStr">
        <is>
          <t>LC/PC</t>
        </is>
      </c>
      <c r="J99" s="2" t="n"/>
      <c r="K99" s="2" t="n"/>
      <c r="L99" s="2" t="n"/>
      <c r="M99" s="2" t="n"/>
      <c r="N99" s="2" t="n"/>
      <c r="O99" s="2" t="n"/>
      <c r="P99" s="2" t="n"/>
      <c r="Q99" s="2" t="n">
        <v>2</v>
      </c>
      <c r="R99" s="2" t="n"/>
      <c r="S99" s="2" t="n"/>
      <c r="T99" s="2" t="n"/>
      <c r="U99" s="2" t="n"/>
      <c r="V99" s="2">
        <f>SUM(J99:U99)*G99</f>
        <v/>
      </c>
      <c r="W99" s="2">
        <f>MAX(J99:U99)</f>
        <v/>
      </c>
      <c r="X99" s="2">
        <f>W99*G99</f>
        <v/>
      </c>
    </row>
    <row r="100">
      <c r="A100" s="2" t="inlineStr">
        <is>
          <t>14-D-058</t>
        </is>
      </c>
      <c r="B100" s="3" t="inlineStr">
        <is>
          <t>DOJC-MM-LC/PC-LC/PC</t>
        </is>
      </c>
      <c r="C100" s="2" t="inlineStr">
        <is>
          <t>60M</t>
        </is>
      </c>
      <c r="D100" s="2" t="inlineStr">
        <is>
          <t>om1</t>
        </is>
      </c>
      <c r="E100" s="2" t="inlineStr">
        <is>
          <t>2.0mm</t>
        </is>
      </c>
      <c r="F100" s="2" t="n">
        <v>2</v>
      </c>
      <c r="G100" s="2" t="n">
        <v>60</v>
      </c>
      <c r="H100" s="2" t="inlineStr">
        <is>
          <t>LC/PC</t>
        </is>
      </c>
      <c r="I100" s="2" t="inlineStr">
        <is>
          <t>LC/PC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>
        <v>2</v>
      </c>
      <c r="R100" s="2" t="n"/>
      <c r="S100" s="2" t="n"/>
      <c r="T100" s="2" t="n"/>
      <c r="U100" s="2" t="n"/>
      <c r="V100" s="2">
        <f>SUM(J100:U100)*G100</f>
        <v/>
      </c>
      <c r="W100" s="2">
        <f>MAX(J100:U100)</f>
        <v/>
      </c>
      <c r="X100" s="2">
        <f>W100*G100</f>
        <v/>
      </c>
    </row>
    <row r="101">
      <c r="A101" s="2" t="inlineStr">
        <is>
          <t>14-D-060</t>
        </is>
      </c>
      <c r="B101" s="3" t="inlineStr">
        <is>
          <t>DOJC-MM-LC/PC-LC/PC</t>
        </is>
      </c>
      <c r="C101" s="2" t="inlineStr">
        <is>
          <t>70M</t>
        </is>
      </c>
      <c r="D101" s="2" t="inlineStr">
        <is>
          <t>om1</t>
        </is>
      </c>
      <c r="E101" s="2" t="inlineStr">
        <is>
          <t>2.0mm</t>
        </is>
      </c>
      <c r="F101" s="2" t="n">
        <v>2</v>
      </c>
      <c r="G101" s="2" t="n">
        <v>70</v>
      </c>
      <c r="H101" s="2" t="inlineStr">
        <is>
          <t>LC/PC</t>
        </is>
      </c>
      <c r="I101" s="2" t="inlineStr">
        <is>
          <t>LC/PC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n">
        <v>5</v>
      </c>
      <c r="R101" s="2" t="n"/>
      <c r="S101" s="2" t="n"/>
      <c r="T101" s="2" t="n"/>
      <c r="U101" s="2" t="n"/>
      <c r="V101" s="2">
        <f>SUM(J101:U101)*G101</f>
        <v/>
      </c>
      <c r="W101" s="2">
        <f>MAX(J101:U101)</f>
        <v/>
      </c>
      <c r="X101" s="2">
        <f>W101*G101</f>
        <v/>
      </c>
    </row>
    <row r="102">
      <c r="A102" s="2" t="inlineStr">
        <is>
          <t>14-D-085</t>
        </is>
      </c>
      <c r="B102" s="3" t="inlineStr">
        <is>
          <t>DOJC-MM-LC/PC-SC/PC</t>
        </is>
      </c>
      <c r="C102" s="2" t="inlineStr">
        <is>
          <t>70M</t>
        </is>
      </c>
      <c r="D102" s="2" t="inlineStr">
        <is>
          <t>om1</t>
        </is>
      </c>
      <c r="E102" s="2" t="inlineStr">
        <is>
          <t>2.0mm</t>
        </is>
      </c>
      <c r="F102" s="2" t="n">
        <v>2</v>
      </c>
      <c r="G102" s="2" t="n">
        <v>70</v>
      </c>
      <c r="H102" s="2" t="inlineStr">
        <is>
          <t>LC/PC</t>
        </is>
      </c>
      <c r="I102" s="2" t="inlineStr">
        <is>
          <t>SC/PC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>
        <v>2</v>
      </c>
      <c r="R102" s="2" t="n"/>
      <c r="S102" s="2" t="n"/>
      <c r="T102" s="2" t="n"/>
      <c r="U102" s="2" t="n"/>
      <c r="V102" s="2">
        <f>SUM(J102:U102)*G102</f>
        <v/>
      </c>
      <c r="W102" s="2">
        <f>MAX(J102:U102)</f>
        <v/>
      </c>
      <c r="X102" s="2">
        <f>W102*G102</f>
        <v/>
      </c>
    </row>
    <row r="103">
      <c r="A103" s="2" t="inlineStr">
        <is>
          <t>14-D-090</t>
        </is>
      </c>
      <c r="B103" s="3" t="inlineStr">
        <is>
          <t>DOJC-MM-SC/PC-SC/APC</t>
        </is>
      </c>
      <c r="C103" s="2" t="inlineStr">
        <is>
          <t>20M</t>
        </is>
      </c>
      <c r="D103" s="2" t="inlineStr">
        <is>
          <t>om1</t>
        </is>
      </c>
      <c r="E103" s="2" t="inlineStr">
        <is>
          <t>2.0mm</t>
        </is>
      </c>
      <c r="F103" s="2" t="n">
        <v>2</v>
      </c>
      <c r="G103" s="2" t="n">
        <v>20</v>
      </c>
      <c r="H103" s="2" t="inlineStr">
        <is>
          <t>SC/PC</t>
        </is>
      </c>
      <c r="I103" s="2" t="inlineStr">
        <is>
          <t>SC/APC</t>
        </is>
      </c>
      <c r="J103" s="2" t="n"/>
      <c r="K103" s="2" t="n"/>
      <c r="L103" s="2" t="n"/>
      <c r="M103" s="2" t="n"/>
      <c r="N103" s="2" t="n"/>
      <c r="O103" s="2" t="n"/>
      <c r="P103" s="2" t="n">
        <v>10</v>
      </c>
      <c r="Q103" s="2" t="n"/>
      <c r="R103" s="2" t="n"/>
      <c r="S103" s="2" t="n"/>
      <c r="T103" s="2" t="n"/>
      <c r="U103" s="2" t="n"/>
      <c r="V103" s="2">
        <f>SUM(J103:U103)*G103</f>
        <v/>
      </c>
      <c r="W103" s="2">
        <f>MAX(J103:U103)</f>
        <v/>
      </c>
      <c r="X103" s="2">
        <f>W103*G103</f>
        <v/>
      </c>
    </row>
    <row r="104">
      <c r="A104" s="2" t="inlineStr">
        <is>
          <t>14-D-094</t>
        </is>
      </c>
      <c r="B104" s="3" t="inlineStr">
        <is>
          <t>DOJC-MM-SC/PC-SC/PC</t>
        </is>
      </c>
      <c r="C104" s="2" t="inlineStr">
        <is>
          <t>1M</t>
        </is>
      </c>
      <c r="D104" s="2" t="inlineStr">
        <is>
          <t>om1</t>
        </is>
      </c>
      <c r="E104" s="2" t="inlineStr">
        <is>
          <t>2.0mm</t>
        </is>
      </c>
      <c r="F104" s="2" t="n">
        <v>2</v>
      </c>
      <c r="G104" s="2" t="n">
        <v>1</v>
      </c>
      <c r="H104" s="2" t="inlineStr">
        <is>
          <t>SC/PC</t>
        </is>
      </c>
      <c r="I104" s="2" t="inlineStr">
        <is>
          <t>SC/PC</t>
        </is>
      </c>
      <c r="J104" s="2" t="n">
        <v>20</v>
      </c>
      <c r="K104" s="2" t="n"/>
      <c r="L104" s="2" t="n"/>
      <c r="M104" s="2" t="n"/>
      <c r="N104" s="2" t="n"/>
      <c r="O104" s="2" t="n"/>
      <c r="P104" s="2" t="n"/>
      <c r="Q104" s="2" t="n"/>
      <c r="R104" s="2" t="n">
        <v>4</v>
      </c>
      <c r="S104" s="2" t="n">
        <v>10</v>
      </c>
      <c r="T104" s="2" t="n"/>
      <c r="U104" s="2" t="n"/>
      <c r="V104" s="2">
        <f>SUM(J104:U104)*G104</f>
        <v/>
      </c>
      <c r="W104" s="2">
        <f>MAX(J104:U104)</f>
        <v/>
      </c>
      <c r="X104" s="2">
        <f>W104*G104</f>
        <v/>
      </c>
    </row>
    <row r="105">
      <c r="A105" s="2" t="inlineStr">
        <is>
          <t>14-D-095</t>
        </is>
      </c>
      <c r="B105" s="3" t="inlineStr">
        <is>
          <t>DOJC-MM-SC/PC-SC/PC</t>
        </is>
      </c>
      <c r="C105" s="2" t="inlineStr">
        <is>
          <t>20M</t>
        </is>
      </c>
      <c r="D105" s="2" t="inlineStr">
        <is>
          <t>om1</t>
        </is>
      </c>
      <c r="E105" s="2" t="inlineStr">
        <is>
          <t>2.0mm</t>
        </is>
      </c>
      <c r="F105" s="2" t="n">
        <v>2</v>
      </c>
      <c r="G105" s="2" t="n">
        <v>20</v>
      </c>
      <c r="H105" s="2" t="inlineStr">
        <is>
          <t>SC/PC</t>
        </is>
      </c>
      <c r="I105" s="2" t="inlineStr">
        <is>
          <t>SC/PC</t>
        </is>
      </c>
      <c r="J105" s="2" t="n"/>
      <c r="K105" s="2" t="n"/>
      <c r="L105" s="2" t="n"/>
      <c r="M105" s="2" t="n"/>
      <c r="N105" s="2" t="n"/>
      <c r="O105" s="2" t="n"/>
      <c r="P105" s="2" t="n">
        <v>10</v>
      </c>
      <c r="Q105" s="2" t="n"/>
      <c r="R105" s="2" t="n"/>
      <c r="S105" s="2" t="n"/>
      <c r="T105" s="2" t="n"/>
      <c r="U105" s="2" t="n"/>
      <c r="V105" s="2">
        <f>SUM(J105:U105)*G105</f>
        <v/>
      </c>
      <c r="W105" s="2">
        <f>MAX(J105:U105)</f>
        <v/>
      </c>
      <c r="X105" s="2">
        <f>W105*G105</f>
        <v/>
      </c>
    </row>
    <row r="106">
      <c r="A106" s="2" t="inlineStr">
        <is>
          <t>14-D-097</t>
        </is>
      </c>
      <c r="B106" s="3" t="inlineStr">
        <is>
          <t>DOJC-MM-SC/PC-SC/PC</t>
        </is>
      </c>
      <c r="C106" s="2" t="inlineStr">
        <is>
          <t>2M</t>
        </is>
      </c>
      <c r="D106" s="2" t="inlineStr">
        <is>
          <t>om1</t>
        </is>
      </c>
      <c r="E106" s="2" t="inlineStr">
        <is>
          <t>2.0mm</t>
        </is>
      </c>
      <c r="F106" s="2" t="n">
        <v>2</v>
      </c>
      <c r="G106" s="2" t="n">
        <v>2</v>
      </c>
      <c r="H106" s="2" t="inlineStr">
        <is>
          <t>SC/PC</t>
        </is>
      </c>
      <c r="I106" s="2" t="inlineStr">
        <is>
          <t>SC/PC</t>
        </is>
      </c>
      <c r="J106" s="2" t="n">
        <v>55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>
        <f>SUM(J106:U106)*G106</f>
        <v/>
      </c>
      <c r="W106" s="2">
        <f>MAX(J106:U106)</f>
        <v/>
      </c>
      <c r="X106" s="2">
        <f>W106*G106</f>
        <v/>
      </c>
    </row>
    <row r="107">
      <c r="A107" s="2" t="inlineStr">
        <is>
          <t>14-D-101</t>
        </is>
      </c>
      <c r="B107" s="3" t="inlineStr">
        <is>
          <t>DOJC-MM-SC/PC-SC/PC</t>
        </is>
      </c>
      <c r="C107" s="2" t="inlineStr">
        <is>
          <t>5M</t>
        </is>
      </c>
      <c r="D107" s="2" t="inlineStr">
        <is>
          <t>om1</t>
        </is>
      </c>
      <c r="E107" s="2" t="inlineStr">
        <is>
          <t>2.0mm</t>
        </is>
      </c>
      <c r="F107" s="2" t="n">
        <v>2</v>
      </c>
      <c r="G107" s="2" t="n">
        <v>5</v>
      </c>
      <c r="H107" s="2" t="inlineStr">
        <is>
          <t>SC/PC</t>
        </is>
      </c>
      <c r="I107" s="2" t="inlineStr">
        <is>
          <t>SC/PC</t>
        </is>
      </c>
      <c r="J107" s="2" t="n">
        <v>55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>
        <f>SUM(J107:U107)*G107</f>
        <v/>
      </c>
      <c r="W107" s="2">
        <f>MAX(J107:U107)</f>
        <v/>
      </c>
      <c r="X107" s="2">
        <f>W107*G107</f>
        <v/>
      </c>
    </row>
    <row r="108">
      <c r="A108" s="2" t="inlineStr">
        <is>
          <t>14-D-1022</t>
        </is>
      </c>
      <c r="B108" s="3" t="inlineStr">
        <is>
          <t>DOJC-SM-LC/PC-LC/PC</t>
        </is>
      </c>
      <c r="C108" s="2" t="inlineStr">
        <is>
          <t>2.5M</t>
        </is>
      </c>
      <c r="D108" s="2" t="inlineStr">
        <is>
          <t>a1</t>
        </is>
      </c>
      <c r="E108" s="2" t="inlineStr">
        <is>
          <t>2.0mm</t>
        </is>
      </c>
      <c r="F108" s="2" t="n">
        <v>2</v>
      </c>
      <c r="G108" s="2" t="n">
        <v>2.5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>
        <v>100</v>
      </c>
      <c r="T108" s="2" t="n"/>
      <c r="U108" s="2" t="n"/>
      <c r="V108" s="2">
        <f>SUM(J108:U108)*G108</f>
        <v/>
      </c>
      <c r="W108" s="2">
        <f>MAX(J108:U108)</f>
        <v/>
      </c>
      <c r="X108" s="2">
        <f>W108*G108</f>
        <v/>
      </c>
    </row>
    <row r="109">
      <c r="A109" s="2" t="inlineStr">
        <is>
          <t>14-D-143</t>
        </is>
      </c>
      <c r="B109" s="3" t="inlineStr">
        <is>
          <t>DOJC-SM-FC/PC-FC/PC</t>
        </is>
      </c>
      <c r="C109" s="2" t="inlineStr">
        <is>
          <t>15M</t>
        </is>
      </c>
      <c r="D109" s="2" t="inlineStr">
        <is>
          <t>a1</t>
        </is>
      </c>
      <c r="E109" s="2" t="inlineStr">
        <is>
          <t>2.0mm</t>
        </is>
      </c>
      <c r="F109" s="2" t="n">
        <v>2</v>
      </c>
      <c r="G109" s="2" t="n">
        <v>15</v>
      </c>
      <c r="H109" s="2" t="inlineStr">
        <is>
          <t>FC/PC</t>
        </is>
      </c>
      <c r="I109" s="2" t="inlineStr">
        <is>
          <t>FC/PC</t>
        </is>
      </c>
      <c r="J109" s="2" t="n"/>
      <c r="K109" s="2" t="n"/>
      <c r="L109" s="2" t="n"/>
      <c r="M109" s="2" t="n"/>
      <c r="N109" s="2" t="n"/>
      <c r="O109" s="2" t="n">
        <v>10</v>
      </c>
      <c r="P109" s="2" t="n"/>
      <c r="Q109" s="2" t="n"/>
      <c r="R109" s="2" t="n"/>
      <c r="S109" s="2" t="n"/>
      <c r="T109" s="2" t="n"/>
      <c r="U109" s="2" t="n"/>
      <c r="V109" s="2">
        <f>SUM(J109:U109)*G109</f>
        <v/>
      </c>
      <c r="W109" s="2">
        <f>MAX(J109:U109)</f>
        <v/>
      </c>
      <c r="X109" s="2">
        <f>W109*G109</f>
        <v/>
      </c>
    </row>
    <row r="110">
      <c r="A110" s="2" t="inlineStr">
        <is>
          <t>14-D-145</t>
        </is>
      </c>
      <c r="B110" s="3" t="inlineStr">
        <is>
          <t>DOJC-SM-FC/PC-FC/PC</t>
        </is>
      </c>
      <c r="C110" s="2" t="inlineStr">
        <is>
          <t>20M</t>
        </is>
      </c>
      <c r="D110" s="2" t="inlineStr">
        <is>
          <t>a1</t>
        </is>
      </c>
      <c r="E110" s="2" t="inlineStr">
        <is>
          <t>2.0mm</t>
        </is>
      </c>
      <c r="F110" s="2" t="n">
        <v>2</v>
      </c>
      <c r="G110" s="2" t="n">
        <v>20</v>
      </c>
      <c r="H110" s="2" t="inlineStr">
        <is>
          <t>FC/PC</t>
        </is>
      </c>
      <c r="I110" s="2" t="inlineStr">
        <is>
          <t>FC/PC</t>
        </is>
      </c>
      <c r="J110" s="2" t="n"/>
      <c r="K110" s="2" t="n"/>
      <c r="L110" s="2" t="n"/>
      <c r="M110" s="2" t="n"/>
      <c r="N110" s="2" t="n"/>
      <c r="O110" s="2" t="n">
        <v>10</v>
      </c>
      <c r="P110" s="2" t="n"/>
      <c r="Q110" s="2" t="n"/>
      <c r="R110" s="2" t="n"/>
      <c r="S110" s="2" t="n"/>
      <c r="T110" s="2" t="n"/>
      <c r="U110" s="2" t="n"/>
      <c r="V110" s="2">
        <f>SUM(J110:U110)*G110</f>
        <v/>
      </c>
      <c r="W110" s="2">
        <f>MAX(J110:U110)</f>
        <v/>
      </c>
      <c r="X110" s="2">
        <f>W110*G110</f>
        <v/>
      </c>
    </row>
    <row r="111">
      <c r="A111" s="2" t="inlineStr">
        <is>
          <t>14-D-147</t>
        </is>
      </c>
      <c r="B111" s="3" t="inlineStr">
        <is>
          <t>DOJC-SM-FC/PC-FC/PC</t>
        </is>
      </c>
      <c r="C111" s="2" t="inlineStr">
        <is>
          <t>25M</t>
        </is>
      </c>
      <c r="D111" s="2" t="inlineStr">
        <is>
          <t>a1</t>
        </is>
      </c>
      <c r="E111" s="2" t="inlineStr">
        <is>
          <t>2.0mm</t>
        </is>
      </c>
      <c r="F111" s="2" t="n">
        <v>2</v>
      </c>
      <c r="G111" s="2" t="n">
        <v>25</v>
      </c>
      <c r="H111" s="2" t="inlineStr">
        <is>
          <t>FC/PC</t>
        </is>
      </c>
      <c r="I111" s="2" t="inlineStr">
        <is>
          <t>FC/PC</t>
        </is>
      </c>
      <c r="J111" s="2" t="n"/>
      <c r="K111" s="2" t="n"/>
      <c r="L111" s="2" t="n"/>
      <c r="M111" s="2" t="n"/>
      <c r="N111" s="2" t="n"/>
      <c r="O111" s="2" t="n">
        <v>10</v>
      </c>
      <c r="P111" s="2" t="n"/>
      <c r="Q111" s="2" t="n"/>
      <c r="R111" s="2" t="n"/>
      <c r="S111" s="2" t="n"/>
      <c r="T111" s="2" t="n"/>
      <c r="U111" s="2" t="n"/>
      <c r="V111" s="2">
        <f>SUM(J111:U111)*G111</f>
        <v/>
      </c>
      <c r="W111" s="2">
        <f>MAX(J111:U111)</f>
        <v/>
      </c>
      <c r="X111" s="2">
        <f>W111*G111</f>
        <v/>
      </c>
    </row>
    <row r="112">
      <c r="A112" s="2" t="inlineStr">
        <is>
          <t>14-D-150</t>
        </is>
      </c>
      <c r="B112" s="3" t="inlineStr">
        <is>
          <t>DOJC-SM-FC/PC-FC/PC</t>
        </is>
      </c>
      <c r="C112" s="2" t="inlineStr">
        <is>
          <t>3M</t>
        </is>
      </c>
      <c r="D112" s="2" t="inlineStr">
        <is>
          <t>a1</t>
        </is>
      </c>
      <c r="E112" s="2" t="inlineStr">
        <is>
          <t>2.0mm</t>
        </is>
      </c>
      <c r="F112" s="2" t="n">
        <v>2</v>
      </c>
      <c r="G112" s="2" t="n">
        <v>3</v>
      </c>
      <c r="H112" s="2" t="inlineStr">
        <is>
          <t>FC/PC</t>
        </is>
      </c>
      <c r="I112" s="2" t="inlineStr">
        <is>
          <t>FC/PC</t>
        </is>
      </c>
      <c r="J112" s="2" t="n"/>
      <c r="K112" s="2" t="n"/>
      <c r="L112" s="2" t="n"/>
      <c r="M112" s="2" t="n"/>
      <c r="N112" s="2" t="n"/>
      <c r="O112" s="2" t="n">
        <v>10</v>
      </c>
      <c r="P112" s="2" t="n">
        <v>10</v>
      </c>
      <c r="Q112" s="2" t="n"/>
      <c r="R112" s="2" t="n"/>
      <c r="S112" s="2" t="n"/>
      <c r="T112" s="2" t="n"/>
      <c r="U112" s="2" t="n"/>
      <c r="V112" s="2">
        <f>SUM(J112:U112)*G112</f>
        <v/>
      </c>
      <c r="W112" s="2">
        <f>MAX(J112:U112)</f>
        <v/>
      </c>
      <c r="X112" s="2">
        <f>W112*G112</f>
        <v/>
      </c>
    </row>
    <row r="113">
      <c r="A113" s="2" t="inlineStr">
        <is>
          <t>14-D-161</t>
        </is>
      </c>
      <c r="B113" s="3" t="inlineStr">
        <is>
          <t>DOJC-SM-LC/PC-FC/APC</t>
        </is>
      </c>
      <c r="C113" s="2" t="inlineStr">
        <is>
          <t>15M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15</v>
      </c>
      <c r="H113" s="2" t="inlineStr">
        <is>
          <t>LC/PC</t>
        </is>
      </c>
      <c r="I113" s="2" t="inlineStr">
        <is>
          <t>FC/APC</t>
        </is>
      </c>
      <c r="J113" s="2" t="n"/>
      <c r="K113" s="2" t="n"/>
      <c r="L113" s="2" t="n"/>
      <c r="M113" s="2" t="n"/>
      <c r="N113" s="2" t="n">
        <v>30</v>
      </c>
      <c r="O113" s="2" t="n"/>
      <c r="P113" s="2" t="n"/>
      <c r="Q113" s="2" t="n"/>
      <c r="R113" s="2" t="n"/>
      <c r="S113" s="2" t="n"/>
      <c r="T113" s="2" t="n"/>
      <c r="U113" s="2" t="n"/>
      <c r="V113" s="2">
        <f>SUM(J113:U113)*G113</f>
        <v/>
      </c>
      <c r="W113" s="2">
        <f>MAX(J113:U113)</f>
        <v/>
      </c>
      <c r="X113" s="2">
        <f>W113*G113</f>
        <v/>
      </c>
    </row>
    <row r="114">
      <c r="A114" s="2" t="inlineStr">
        <is>
          <t>14-D-166</t>
        </is>
      </c>
      <c r="B114" s="3" t="inlineStr">
        <is>
          <t>DOJC-SM-LC/PC-FC/APC</t>
        </is>
      </c>
      <c r="C114" s="2" t="inlineStr">
        <is>
          <t>20M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20</v>
      </c>
      <c r="H114" s="2" t="inlineStr">
        <is>
          <t>LC/PC</t>
        </is>
      </c>
      <c r="I114" s="2" t="inlineStr">
        <is>
          <t>FC/APC</t>
        </is>
      </c>
      <c r="J114" s="2" t="n"/>
      <c r="K114" s="2" t="n"/>
      <c r="L114" s="2" t="n">
        <v>19</v>
      </c>
      <c r="M114" s="2" t="n"/>
      <c r="N114" s="2" t="n"/>
      <c r="O114" s="2" t="n"/>
      <c r="P114" s="2" t="n"/>
      <c r="Q114" s="2" t="n">
        <v>3</v>
      </c>
      <c r="R114" s="2" t="n"/>
      <c r="S114" s="2" t="n"/>
      <c r="T114" s="2" t="n"/>
      <c r="U114" s="2" t="n"/>
      <c r="V114" s="2">
        <f>SUM(J114:U114)*G114</f>
        <v/>
      </c>
      <c r="W114" s="2">
        <f>MAX(J114:U114)</f>
        <v/>
      </c>
      <c r="X114" s="2">
        <f>W114*G114</f>
        <v/>
      </c>
    </row>
    <row r="115">
      <c r="A115" s="2" t="inlineStr">
        <is>
          <t>14-D-170</t>
        </is>
      </c>
      <c r="B115" s="3" t="inlineStr">
        <is>
          <t>DOJC-SM-LC/PC-FC/APC</t>
        </is>
      </c>
      <c r="C115" s="2" t="inlineStr">
        <is>
          <t>25M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25</v>
      </c>
      <c r="H115" s="2" t="inlineStr">
        <is>
          <t>LC/PC</t>
        </is>
      </c>
      <c r="I115" s="2" t="inlineStr">
        <is>
          <t>FC/APC</t>
        </is>
      </c>
      <c r="J115" s="2" t="n"/>
      <c r="K115" s="2" t="n"/>
      <c r="L115" s="2" t="n"/>
      <c r="M115" s="2" t="n">
        <v>20</v>
      </c>
      <c r="N115" s="2" t="n">
        <v>50</v>
      </c>
      <c r="O115" s="2" t="n"/>
      <c r="P115" s="2" t="n"/>
      <c r="Q115" s="2" t="n"/>
      <c r="R115" s="2" t="n"/>
      <c r="S115" s="2" t="n"/>
      <c r="T115" s="2" t="n"/>
      <c r="U115" s="2" t="n"/>
      <c r="V115" s="2">
        <f>SUM(J115:U115)*G115</f>
        <v/>
      </c>
      <c r="W115" s="2">
        <f>MAX(J115:U115)</f>
        <v/>
      </c>
      <c r="X115" s="2">
        <f>W115*G115</f>
        <v/>
      </c>
    </row>
    <row r="116">
      <c r="A116" s="2" t="inlineStr">
        <is>
          <t>14-D-173</t>
        </is>
      </c>
      <c r="B116" s="3" t="inlineStr">
        <is>
          <t>DOJC-SM-LC/PC-FC/APC</t>
        </is>
      </c>
      <c r="C116" s="2" t="inlineStr">
        <is>
          <t>30M</t>
        </is>
      </c>
      <c r="D116" s="2" t="inlineStr">
        <is>
          <t>a1</t>
        </is>
      </c>
      <c r="E116" s="2" t="inlineStr">
        <is>
          <t>2.0mm</t>
        </is>
      </c>
      <c r="F116" s="2" t="n">
        <v>2</v>
      </c>
      <c r="G116" s="2" t="n">
        <v>30</v>
      </c>
      <c r="H116" s="2" t="inlineStr">
        <is>
          <t>LC/PC</t>
        </is>
      </c>
      <c r="I116" s="2" t="inlineStr">
        <is>
          <t>FC/APC</t>
        </is>
      </c>
      <c r="J116" s="2" t="n"/>
      <c r="K116" s="2" t="n"/>
      <c r="L116" s="2" t="n"/>
      <c r="M116" s="2" t="n"/>
      <c r="N116" s="2" t="n"/>
      <c r="O116" s="2" t="n">
        <v>10</v>
      </c>
      <c r="P116" s="2" t="n"/>
      <c r="Q116" s="2" t="n"/>
      <c r="R116" s="2" t="n"/>
      <c r="S116" s="2" t="n"/>
      <c r="T116" s="2" t="n"/>
      <c r="U116" s="2" t="n"/>
      <c r="V116" s="2">
        <f>SUM(J116:U116)*G116</f>
        <v/>
      </c>
      <c r="W116" s="2">
        <f>MAX(J116:U116)</f>
        <v/>
      </c>
      <c r="X116" s="2">
        <f>W116*G116</f>
        <v/>
      </c>
    </row>
    <row r="117">
      <c r="A117" s="2" t="inlineStr">
        <is>
          <t>14-D-179</t>
        </is>
      </c>
      <c r="B117" s="3" t="inlineStr">
        <is>
          <t>DOJC-SM-LC/PC-FC/APC</t>
        </is>
      </c>
      <c r="C117" s="2" t="inlineStr">
        <is>
          <t>50M</t>
        </is>
      </c>
      <c r="D117" s="2" t="inlineStr">
        <is>
          <t>a1</t>
        </is>
      </c>
      <c r="E117" s="2" t="inlineStr">
        <is>
          <t>2.0mm</t>
        </is>
      </c>
      <c r="F117" s="2" t="n">
        <v>2</v>
      </c>
      <c r="G117" s="2" t="n">
        <v>50</v>
      </c>
      <c r="H117" s="2" t="inlineStr">
        <is>
          <t>LC/PC</t>
        </is>
      </c>
      <c r="I117" s="2" t="inlineStr">
        <is>
          <t>FC/APC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n">
        <v>2</v>
      </c>
      <c r="R117" s="2" t="n"/>
      <c r="S117" s="2" t="n"/>
      <c r="T117" s="2" t="n"/>
      <c r="U117" s="2" t="n"/>
      <c r="V117" s="2">
        <f>SUM(J117:U117)*G117</f>
        <v/>
      </c>
      <c r="W117" s="2">
        <f>MAX(J117:U117)</f>
        <v/>
      </c>
      <c r="X117" s="2">
        <f>W117*G117</f>
        <v/>
      </c>
    </row>
    <row r="118">
      <c r="A118" s="2" t="inlineStr">
        <is>
          <t>14-D-180</t>
        </is>
      </c>
      <c r="B118" s="3" t="inlineStr">
        <is>
          <t>DOJC-SM-LC/PC-FC/APC</t>
        </is>
      </c>
      <c r="C118" s="2" t="inlineStr">
        <is>
          <t>55M</t>
        </is>
      </c>
      <c r="D118" s="2" t="inlineStr">
        <is>
          <t>a1</t>
        </is>
      </c>
      <c r="E118" s="2" t="inlineStr">
        <is>
          <t>2.0mm</t>
        </is>
      </c>
      <c r="F118" s="2" t="n">
        <v>2</v>
      </c>
      <c r="G118" s="2" t="n">
        <v>55</v>
      </c>
      <c r="H118" s="2" t="inlineStr">
        <is>
          <t>LC/PC</t>
        </is>
      </c>
      <c r="I118" s="2" t="inlineStr">
        <is>
          <t>FC/APC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n">
        <v>2</v>
      </c>
      <c r="R118" s="2" t="n"/>
      <c r="S118" s="2" t="n"/>
      <c r="T118" s="2" t="n"/>
      <c r="U118" s="2" t="n"/>
      <c r="V118" s="2">
        <f>SUM(J118:U118)*G118</f>
        <v/>
      </c>
      <c r="W118" s="2">
        <f>MAX(J118:U118)</f>
        <v/>
      </c>
      <c r="X118" s="2">
        <f>W118*G118</f>
        <v/>
      </c>
    </row>
    <row r="119">
      <c r="A119" s="2" t="inlineStr">
        <is>
          <t>14-D-192</t>
        </is>
      </c>
      <c r="B119" s="3" t="inlineStr">
        <is>
          <t>DOJC-SM-LC/PC-FC/PC</t>
        </is>
      </c>
      <c r="C119" s="2" t="inlineStr">
        <is>
          <t>10M</t>
        </is>
      </c>
      <c r="D119" s="2" t="inlineStr">
        <is>
          <t>a1</t>
        </is>
      </c>
      <c r="E119" s="2" t="inlineStr">
        <is>
          <t>2.0mm</t>
        </is>
      </c>
      <c r="F119" s="2" t="n">
        <v>2</v>
      </c>
      <c r="G119" s="2" t="n">
        <v>10</v>
      </c>
      <c r="H119" s="2" t="inlineStr">
        <is>
          <t>LC/PC</t>
        </is>
      </c>
      <c r="I119" s="2" t="inlineStr">
        <is>
          <t>FC/PC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>
        <v>16</v>
      </c>
      <c r="T119" s="2" t="n"/>
      <c r="U119" s="2" t="n"/>
      <c r="V119" s="2">
        <f>SUM(J119:U119)*G119</f>
        <v/>
      </c>
      <c r="W119" s="2">
        <f>MAX(J119:U119)</f>
        <v/>
      </c>
      <c r="X119" s="2">
        <f>W119*G119</f>
        <v/>
      </c>
    </row>
    <row r="120">
      <c r="A120" s="2" t="inlineStr">
        <is>
          <t>14-D-196</t>
        </is>
      </c>
      <c r="B120" s="3" t="inlineStr">
        <is>
          <t>DOJC-SM-LC/PC-FC/PC</t>
        </is>
      </c>
      <c r="C120" s="2" t="inlineStr">
        <is>
          <t>15M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15</v>
      </c>
      <c r="H120" s="2" t="inlineStr">
        <is>
          <t>LC/PC</t>
        </is>
      </c>
      <c r="I120" s="2" t="inlineStr">
        <is>
          <t>FC/PC</t>
        </is>
      </c>
      <c r="J120" s="2" t="n">
        <v>2</v>
      </c>
      <c r="K120" s="2" t="n"/>
      <c r="L120" s="2" t="n"/>
      <c r="M120" s="2" t="n"/>
      <c r="N120" s="2" t="n">
        <v>10</v>
      </c>
      <c r="O120" s="2" t="n"/>
      <c r="P120" s="2" t="n"/>
      <c r="Q120" s="2" t="n"/>
      <c r="R120" s="2" t="n"/>
      <c r="S120" s="2" t="n"/>
      <c r="T120" s="2" t="n"/>
      <c r="U120" s="2" t="n"/>
      <c r="V120" s="2">
        <f>SUM(J120:U120)*G120</f>
        <v/>
      </c>
      <c r="W120" s="2">
        <f>MAX(J120:U120)</f>
        <v/>
      </c>
      <c r="X120" s="2">
        <f>W120*G120</f>
        <v/>
      </c>
    </row>
    <row r="121">
      <c r="A121" s="2" t="inlineStr">
        <is>
          <t>14-D-199</t>
        </is>
      </c>
      <c r="B121" s="3" t="inlineStr">
        <is>
          <t>DOJC-SM-LC/PC-FC/PC</t>
        </is>
      </c>
      <c r="C121" s="2" t="inlineStr">
        <is>
          <t>20M</t>
        </is>
      </c>
      <c r="D121" s="2" t="inlineStr">
        <is>
          <t>a1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LC/PC</t>
        </is>
      </c>
      <c r="I121" s="2" t="inlineStr">
        <is>
          <t>FC/PC</t>
        </is>
      </c>
      <c r="J121" s="2" t="n"/>
      <c r="K121" s="2" t="n"/>
      <c r="L121" s="2" t="n"/>
      <c r="M121" s="2" t="n"/>
      <c r="N121" s="2" t="n">
        <v>6</v>
      </c>
      <c r="O121" s="2" t="n"/>
      <c r="P121" s="2" t="n"/>
      <c r="Q121" s="2" t="n"/>
      <c r="R121" s="2" t="n"/>
      <c r="S121" s="2" t="n"/>
      <c r="T121" s="2" t="n"/>
      <c r="U121" s="2" t="n"/>
      <c r="V121" s="2">
        <f>SUM(J121:U121)*G121</f>
        <v/>
      </c>
      <c r="W121" s="2">
        <f>MAX(J121:U121)</f>
        <v/>
      </c>
      <c r="X121" s="2">
        <f>W121*G121</f>
        <v/>
      </c>
    </row>
    <row r="122">
      <c r="A122" s="2" t="inlineStr">
        <is>
          <t>14-D-204</t>
        </is>
      </c>
      <c r="B122" s="3" t="inlineStr">
        <is>
          <t>DOJC-SM-LC/PC-FC/PC</t>
        </is>
      </c>
      <c r="C122" s="2" t="inlineStr">
        <is>
          <t>2M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2</v>
      </c>
      <c r="H122" s="2" t="inlineStr">
        <is>
          <t>LC/PC</t>
        </is>
      </c>
      <c r="I122" s="2" t="inlineStr">
        <is>
          <t>FC/PC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20</v>
      </c>
      <c r="S122" s="2" t="n"/>
      <c r="T122" s="2" t="n"/>
      <c r="U122" s="2" t="n"/>
      <c r="V122" s="2">
        <f>SUM(J122:U122)*G122</f>
        <v/>
      </c>
      <c r="W122" s="2">
        <f>MAX(J122:U122)</f>
        <v/>
      </c>
      <c r="X122" s="2">
        <f>W122*G122</f>
        <v/>
      </c>
    </row>
    <row r="123">
      <c r="A123" s="2" t="inlineStr">
        <is>
          <t>14-D-206</t>
        </is>
      </c>
      <c r="B123" s="3" t="inlineStr">
        <is>
          <t>DOJC-SM-LC/PC-FC/PC</t>
        </is>
      </c>
      <c r="C123" s="2" t="inlineStr">
        <is>
          <t>35M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35</v>
      </c>
      <c r="H123" s="2" t="inlineStr">
        <is>
          <t>LC/PC</t>
        </is>
      </c>
      <c r="I123" s="2" t="inlineStr">
        <is>
          <t>FC/PC</t>
        </is>
      </c>
      <c r="J123" s="2" t="n">
        <v>2</v>
      </c>
      <c r="K123" s="2" t="n"/>
      <c r="L123" s="2" t="n"/>
      <c r="M123" s="2" t="n"/>
      <c r="N123" s="2" t="n"/>
      <c r="O123" s="2" t="n">
        <v>50</v>
      </c>
      <c r="P123" s="2" t="n"/>
      <c r="Q123" s="2" t="n"/>
      <c r="R123" s="2" t="n"/>
      <c r="S123" s="2" t="n"/>
      <c r="T123" s="2" t="n"/>
      <c r="U123" s="2" t="n"/>
      <c r="V123" s="2">
        <f>SUM(J123:U123)*G123</f>
        <v/>
      </c>
      <c r="W123" s="2">
        <f>MAX(J123:U123)</f>
        <v/>
      </c>
      <c r="X123" s="2">
        <f>W123*G123</f>
        <v/>
      </c>
    </row>
    <row r="124">
      <c r="A124" s="2" t="inlineStr">
        <is>
          <t>14-D-207</t>
        </is>
      </c>
      <c r="B124" s="3" t="inlineStr">
        <is>
          <t>DOJC-SM-LC/PC-FC/PC</t>
        </is>
      </c>
      <c r="C124" s="2" t="inlineStr">
        <is>
          <t>3M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3</v>
      </c>
      <c r="H124" s="2" t="inlineStr">
        <is>
          <t>LC/PC</t>
        </is>
      </c>
      <c r="I124" s="2" t="inlineStr">
        <is>
          <t>FC/PC</t>
        </is>
      </c>
      <c r="J124" s="2" t="n"/>
      <c r="K124" s="2" t="n"/>
      <c r="L124" s="2" t="n"/>
      <c r="M124" s="2" t="n"/>
      <c r="N124" s="2" t="n"/>
      <c r="O124" s="2" t="n"/>
      <c r="P124" s="2" t="n">
        <v>10</v>
      </c>
      <c r="Q124" s="2" t="n"/>
      <c r="R124" s="2" t="n"/>
      <c r="S124" s="2" t="n"/>
      <c r="T124" s="2" t="n"/>
      <c r="U124" s="2" t="n"/>
      <c r="V124" s="2">
        <f>SUM(J124:U124)*G124</f>
        <v/>
      </c>
      <c r="W124" s="2">
        <f>MAX(J124:U124)</f>
        <v/>
      </c>
      <c r="X124" s="2">
        <f>W124*G124</f>
        <v/>
      </c>
    </row>
    <row r="125">
      <c r="A125" s="2" t="inlineStr">
        <is>
          <t>14-D-208</t>
        </is>
      </c>
      <c r="B125" s="3" t="inlineStr">
        <is>
          <t>DOJC-SM-LC/PC-FC/PC</t>
        </is>
      </c>
      <c r="C125" s="2" t="inlineStr">
        <is>
          <t>40M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40</v>
      </c>
      <c r="H125" s="2" t="inlineStr">
        <is>
          <t>LC/PC</t>
        </is>
      </c>
      <c r="I125" s="2" t="inlineStr">
        <is>
          <t>FC/PC</t>
        </is>
      </c>
      <c r="J125" s="2" t="n"/>
      <c r="K125" s="2" t="n"/>
      <c r="L125" s="2" t="n"/>
      <c r="M125" s="2" t="n"/>
      <c r="N125" s="2" t="n"/>
      <c r="O125" s="2" t="n">
        <v>6</v>
      </c>
      <c r="P125" s="2" t="n"/>
      <c r="Q125" s="2" t="n"/>
      <c r="R125" s="2" t="n"/>
      <c r="S125" s="2" t="n"/>
      <c r="T125" s="2" t="n"/>
      <c r="U125" s="2" t="n"/>
      <c r="V125" s="2">
        <f>SUM(J125:U125)*G125</f>
        <v/>
      </c>
      <c r="W125" s="2">
        <f>MAX(J125:U125)</f>
        <v/>
      </c>
      <c r="X125" s="2">
        <f>W125*G125</f>
        <v/>
      </c>
    </row>
    <row r="126">
      <c r="A126" s="2" t="inlineStr">
        <is>
          <t>14-D-209</t>
        </is>
      </c>
      <c r="B126" s="3" t="inlineStr">
        <is>
          <t>DOJC-SM-LC/PC-FC/PC</t>
        </is>
      </c>
      <c r="C126" s="2" t="inlineStr">
        <is>
          <t>45M</t>
        </is>
      </c>
      <c r="D126" s="2" t="inlineStr">
        <is>
          <t>a1</t>
        </is>
      </c>
      <c r="E126" s="2" t="inlineStr">
        <is>
          <t>2.0mm</t>
        </is>
      </c>
      <c r="F126" s="2" t="n">
        <v>2</v>
      </c>
      <c r="G126" s="2" t="n">
        <v>45</v>
      </c>
      <c r="H126" s="2" t="inlineStr">
        <is>
          <t>LC/PC</t>
        </is>
      </c>
      <c r="I126" s="2" t="inlineStr">
        <is>
          <t>FC/PC</t>
        </is>
      </c>
      <c r="J126" s="2" t="n"/>
      <c r="K126" s="2" t="n"/>
      <c r="L126" s="2" t="n"/>
      <c r="M126" s="2" t="n"/>
      <c r="N126" s="2" t="n"/>
      <c r="O126" s="2" t="n">
        <v>3</v>
      </c>
      <c r="P126" s="2" t="n"/>
      <c r="Q126" s="2" t="n"/>
      <c r="R126" s="2" t="n"/>
      <c r="S126" s="2" t="n"/>
      <c r="T126" s="2" t="n"/>
      <c r="U126" s="2" t="n"/>
      <c r="V126" s="2">
        <f>SUM(J126:U126)*G126</f>
        <v/>
      </c>
      <c r="W126" s="2">
        <f>MAX(J126:U126)</f>
        <v/>
      </c>
      <c r="X126" s="2">
        <f>W126*G126</f>
        <v/>
      </c>
    </row>
    <row r="127">
      <c r="A127" s="2" t="inlineStr">
        <is>
          <t>14-D-210</t>
        </is>
      </c>
      <c r="B127" s="3" t="inlineStr">
        <is>
          <t>DOJC-SM-LC/PC-FC/PC</t>
        </is>
      </c>
      <c r="C127" s="2" t="inlineStr">
        <is>
          <t>50M</t>
        </is>
      </c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50</v>
      </c>
      <c r="H127" s="2" t="inlineStr">
        <is>
          <t>LC/PC</t>
        </is>
      </c>
      <c r="I127" s="2" t="inlineStr">
        <is>
          <t>FC/PC</t>
        </is>
      </c>
      <c r="J127" s="2" t="n"/>
      <c r="K127" s="2" t="n"/>
      <c r="L127" s="2" t="n"/>
      <c r="M127" s="2" t="n"/>
      <c r="N127" s="2" t="n"/>
      <c r="O127" s="2" t="n">
        <v>6</v>
      </c>
      <c r="P127" s="2" t="n"/>
      <c r="Q127" s="2" t="n"/>
      <c r="R127" s="2" t="n"/>
      <c r="S127" s="2" t="n"/>
      <c r="T127" s="2" t="n"/>
      <c r="U127" s="2" t="n"/>
      <c r="V127" s="2">
        <f>SUM(J127:U127)*G127</f>
        <v/>
      </c>
      <c r="W127" s="2">
        <f>MAX(J127:U127)</f>
        <v/>
      </c>
      <c r="X127" s="2">
        <f>W127*G127</f>
        <v/>
      </c>
    </row>
    <row r="128">
      <c r="A128" s="2" t="inlineStr">
        <is>
          <t>14-D-223</t>
        </is>
      </c>
      <c r="B128" s="3" t="inlineStr">
        <is>
          <t>DOJC-SM-LC/PC-LC/PC</t>
        </is>
      </c>
      <c r="C128" s="2" t="inlineStr">
        <is>
          <t>10M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10</v>
      </c>
      <c r="H128" s="2" t="inlineStr">
        <is>
          <t>LC/PC</t>
        </is>
      </c>
      <c r="I128" s="2" t="inlineStr">
        <is>
          <t>LC/PC</t>
        </is>
      </c>
      <c r="J128" s="2" t="n"/>
      <c r="K128" s="2" t="n"/>
      <c r="L128" s="2" t="n">
        <v>170</v>
      </c>
      <c r="M128" s="2" t="n">
        <v>10</v>
      </c>
      <c r="N128" s="2" t="n">
        <v>5</v>
      </c>
      <c r="O128" s="2" t="n">
        <v>30</v>
      </c>
      <c r="P128" s="2" t="n">
        <v>20</v>
      </c>
      <c r="Q128" s="2" t="n">
        <v>50</v>
      </c>
      <c r="R128" s="2" t="n"/>
      <c r="S128" s="2" t="n"/>
      <c r="T128" s="2" t="n">
        <v>100</v>
      </c>
      <c r="U128" s="2" t="n"/>
      <c r="V128" s="2">
        <f>SUM(J128:U128)*G128</f>
        <v/>
      </c>
      <c r="W128" s="2">
        <f>MAX(J128:U128)</f>
        <v/>
      </c>
      <c r="X128" s="2">
        <f>W128*G128</f>
        <v/>
      </c>
    </row>
    <row r="129">
      <c r="A129" s="2" t="inlineStr">
        <is>
          <t>14-D-225</t>
        </is>
      </c>
      <c r="B129" s="3" t="inlineStr">
        <is>
          <t>DOJC-SM-LC/PC-LC/PC</t>
        </is>
      </c>
      <c r="C129" s="2" t="inlineStr">
        <is>
          <t>12M</t>
        </is>
      </c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>
        <v>12</v>
      </c>
      <c r="H129" s="2" t="inlineStr">
        <is>
          <t>LC/PC</t>
        </is>
      </c>
      <c r="I129" s="2" t="inlineStr">
        <is>
          <t>LC/PC</t>
        </is>
      </c>
      <c r="J129" s="2" t="n"/>
      <c r="K129" s="2" t="n"/>
      <c r="L129" s="2" t="n"/>
      <c r="M129" s="2" t="n"/>
      <c r="N129" s="2" t="n">
        <v>20</v>
      </c>
      <c r="O129" s="2" t="n">
        <v>1</v>
      </c>
      <c r="P129" s="2" t="n"/>
      <c r="Q129" s="2" t="n"/>
      <c r="R129" s="2" t="n"/>
      <c r="S129" s="2" t="n"/>
      <c r="T129" s="2" t="n"/>
      <c r="U129" s="2" t="n"/>
      <c r="V129" s="2">
        <f>SUM(J129:U129)*G129</f>
        <v/>
      </c>
      <c r="W129" s="2">
        <f>MAX(J129:U129)</f>
        <v/>
      </c>
      <c r="X129" s="2">
        <f>W129*G129</f>
        <v/>
      </c>
    </row>
    <row r="130">
      <c r="A130" s="2" t="inlineStr">
        <is>
          <t>14-D-228</t>
        </is>
      </c>
      <c r="B130" s="3" t="inlineStr">
        <is>
          <t>DOJC-SM-LC/PC-LC/PC</t>
        </is>
      </c>
      <c r="C130" s="2" t="inlineStr">
        <is>
          <t>15M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15</v>
      </c>
      <c r="H130" s="2" t="inlineStr">
        <is>
          <t>LC/PC</t>
        </is>
      </c>
      <c r="I130" s="2" t="inlineStr">
        <is>
          <t>LC/PC</t>
        </is>
      </c>
      <c r="J130" s="2" t="n"/>
      <c r="K130" s="2" t="n">
        <v>150</v>
      </c>
      <c r="L130" s="2" t="n"/>
      <c r="M130" s="2" t="n">
        <v>10</v>
      </c>
      <c r="N130" s="2" t="n"/>
      <c r="O130" s="2" t="n"/>
      <c r="P130" s="2" t="n"/>
      <c r="Q130" s="2" t="n">
        <v>110</v>
      </c>
      <c r="R130" s="2" t="n"/>
      <c r="S130" s="2" t="n"/>
      <c r="T130" s="2" t="n"/>
      <c r="U130" s="2" t="n"/>
      <c r="V130" s="2">
        <f>SUM(J130:U130)*G130</f>
        <v/>
      </c>
      <c r="W130" s="2">
        <f>MAX(J130:U130)</f>
        <v/>
      </c>
      <c r="X130" s="2">
        <f>W130*G130</f>
        <v/>
      </c>
    </row>
    <row r="131">
      <c r="A131" s="2" t="inlineStr">
        <is>
          <t>14-D-228R</t>
        </is>
      </c>
      <c r="B131" s="3" t="inlineStr">
        <is>
          <t>DOJC-SM-LC/PC-LC/PC</t>
        </is>
      </c>
      <c r="C131" s="2" t="inlineStr">
        <is>
          <t>15M_적색케이블</t>
        </is>
      </c>
      <c r="D131" s="2" t="inlineStr">
        <is>
          <t>a1-적</t>
        </is>
      </c>
      <c r="E131" s="2" t="inlineStr">
        <is>
          <t>2.0mm</t>
        </is>
      </c>
      <c r="F131" s="2" t="n">
        <v>2</v>
      </c>
      <c r="G131" s="2" t="n">
        <v>15</v>
      </c>
      <c r="H131" s="2" t="inlineStr">
        <is>
          <t>LC/PC</t>
        </is>
      </c>
      <c r="I131" s="2" t="inlineStr">
        <is>
          <t>LC/PC</t>
        </is>
      </c>
      <c r="J131" s="2" t="n"/>
      <c r="K131" s="2" t="n">
        <v>1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>
        <f>SUM(J131:U131)*G131</f>
        <v/>
      </c>
      <c r="W131" s="2">
        <f>MAX(J131:U131)</f>
        <v/>
      </c>
      <c r="X131" s="2">
        <f>W131*G131</f>
        <v/>
      </c>
    </row>
    <row r="132">
      <c r="A132" s="2" t="inlineStr">
        <is>
          <t>14-D-233</t>
        </is>
      </c>
      <c r="B132" s="3" t="inlineStr">
        <is>
          <t>DOJC-SM-LC/PC-LC/PC</t>
        </is>
      </c>
      <c r="C132" s="2" t="inlineStr">
        <is>
          <t>1M</t>
        </is>
      </c>
      <c r="D132" s="2" t="inlineStr">
        <is>
          <t>a1</t>
        </is>
      </c>
      <c r="E132" s="2" t="inlineStr">
        <is>
          <t>2.0mm</t>
        </is>
      </c>
      <c r="F132" s="2" t="n">
        <v>2</v>
      </c>
      <c r="G132" s="2" t="n">
        <v>1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>
        <v>50</v>
      </c>
      <c r="U132" s="2" t="n"/>
      <c r="V132" s="2">
        <f>SUM(J132:U132)*G132</f>
        <v/>
      </c>
      <c r="W132" s="2">
        <f>MAX(J132:U132)</f>
        <v/>
      </c>
      <c r="X132" s="2">
        <f>W132*G132</f>
        <v/>
      </c>
    </row>
    <row r="133">
      <c r="A133" s="2" t="inlineStr">
        <is>
          <t>14-D-234</t>
        </is>
      </c>
      <c r="B133" s="3" t="inlineStr">
        <is>
          <t>DOJC-SM-LC/PC-LC/PC</t>
        </is>
      </c>
      <c r="C133" s="2" t="inlineStr">
        <is>
          <t>20M</t>
        </is>
      </c>
      <c r="D133" s="2" t="inlineStr">
        <is>
          <t>a1</t>
        </is>
      </c>
      <c r="E133" s="2" t="inlineStr">
        <is>
          <t>2.0mm</t>
        </is>
      </c>
      <c r="F133" s="2" t="n">
        <v>2</v>
      </c>
      <c r="G133" s="2" t="n">
        <v>20</v>
      </c>
      <c r="H133" s="2" t="inlineStr">
        <is>
          <t>LC/PC</t>
        </is>
      </c>
      <c r="I133" s="2" t="inlineStr">
        <is>
          <t>LC/PC</t>
        </is>
      </c>
      <c r="J133" s="2" t="n">
        <v>30</v>
      </c>
      <c r="K133" s="2" t="n">
        <v>1</v>
      </c>
      <c r="L133" s="2" t="n"/>
      <c r="M133" s="2" t="n"/>
      <c r="N133" s="2" t="n">
        <v>30</v>
      </c>
      <c r="O133" s="2" t="n">
        <v>149</v>
      </c>
      <c r="P133" s="2" t="n"/>
      <c r="Q133" s="2" t="n">
        <v>10</v>
      </c>
      <c r="R133" s="2" t="n"/>
      <c r="S133" s="2" t="n">
        <v>10</v>
      </c>
      <c r="T133" s="2" t="n">
        <v>20</v>
      </c>
      <c r="U133" s="2" t="n"/>
      <c r="V133" s="2">
        <f>SUM(J133:U133)*G133</f>
        <v/>
      </c>
      <c r="W133" s="2">
        <f>MAX(J133:U133)</f>
        <v/>
      </c>
      <c r="X133" s="2">
        <f>W133*G133</f>
        <v/>
      </c>
    </row>
    <row r="134">
      <c r="A134" s="2" t="inlineStr">
        <is>
          <t>14-D-234R</t>
        </is>
      </c>
      <c r="B134" s="3" t="inlineStr">
        <is>
          <t>DOJC-SM-LC/PC-LC/PC</t>
        </is>
      </c>
      <c r="C134" s="2" t="inlineStr">
        <is>
          <t>20M_적색케이블</t>
        </is>
      </c>
      <c r="D134" s="2" t="inlineStr">
        <is>
          <t>a1-적</t>
        </is>
      </c>
      <c r="E134" s="2" t="inlineStr">
        <is>
          <t>2.0mm</t>
        </is>
      </c>
      <c r="F134" s="2" t="n">
        <v>2</v>
      </c>
      <c r="G134" s="2" t="n">
        <v>20</v>
      </c>
      <c r="H134" s="2" t="inlineStr">
        <is>
          <t>LC/PC</t>
        </is>
      </c>
      <c r="I134" s="2" t="inlineStr">
        <is>
          <t>LC/PC</t>
        </is>
      </c>
      <c r="J134" s="2" t="n">
        <v>4</v>
      </c>
      <c r="K134" s="2" t="n"/>
      <c r="L134" s="2" t="n">
        <v>20</v>
      </c>
      <c r="M134" s="2" t="n"/>
      <c r="N134" s="2" t="n"/>
      <c r="O134" s="2" t="n">
        <v>20</v>
      </c>
      <c r="P134" s="2" t="n"/>
      <c r="Q134" s="2" t="n"/>
      <c r="R134" s="2" t="n"/>
      <c r="S134" s="2" t="n"/>
      <c r="T134" s="2" t="n">
        <v>20</v>
      </c>
      <c r="U134" s="2" t="n"/>
      <c r="V134" s="2">
        <f>SUM(J134:U134)*G134</f>
        <v/>
      </c>
      <c r="W134" s="2">
        <f>MAX(J134:U134)</f>
        <v/>
      </c>
      <c r="X134" s="2">
        <f>W134*G134</f>
        <v/>
      </c>
    </row>
    <row r="135">
      <c r="A135" s="2" t="inlineStr">
        <is>
          <t>14-D-237</t>
        </is>
      </c>
      <c r="B135" s="3" t="inlineStr">
        <is>
          <t>DOJC-SM-LC/PC-LC/PC</t>
        </is>
      </c>
      <c r="C135" s="2" t="inlineStr">
        <is>
          <t>25M</t>
        </is>
      </c>
      <c r="D135" s="2" t="inlineStr">
        <is>
          <t>a1</t>
        </is>
      </c>
      <c r="E135" s="2" t="inlineStr">
        <is>
          <t>2.0mm</t>
        </is>
      </c>
      <c r="F135" s="2" t="n">
        <v>2</v>
      </c>
      <c r="G135" s="2" t="n">
        <v>25</v>
      </c>
      <c r="H135" s="2" t="inlineStr">
        <is>
          <t>LC/PC</t>
        </is>
      </c>
      <c r="I135" s="2" t="inlineStr">
        <is>
          <t>LC/PC</t>
        </is>
      </c>
      <c r="J135" s="2" t="n"/>
      <c r="K135" s="2" t="n"/>
      <c r="L135" s="2" t="n"/>
      <c r="M135" s="2" t="n"/>
      <c r="N135" s="2" t="n"/>
      <c r="O135" s="2" t="n">
        <v>60</v>
      </c>
      <c r="P135" s="2" t="n"/>
      <c r="Q135" s="2" t="n">
        <v>10</v>
      </c>
      <c r="R135" s="2" t="n"/>
      <c r="S135" s="2" t="n">
        <v>10</v>
      </c>
      <c r="T135" s="2" t="n">
        <v>10</v>
      </c>
      <c r="U135" s="2" t="n"/>
      <c r="V135" s="2">
        <f>SUM(J135:U135)*G135</f>
        <v/>
      </c>
      <c r="W135" s="2">
        <f>MAX(J135:U135)</f>
        <v/>
      </c>
      <c r="X135" s="2">
        <f>W135*G135</f>
        <v/>
      </c>
    </row>
    <row r="136">
      <c r="A136" s="2" t="inlineStr">
        <is>
          <t>14-D-240</t>
        </is>
      </c>
      <c r="B136" s="3" t="inlineStr">
        <is>
          <t>DOJC-SM-LC/PC-LC/PC</t>
        </is>
      </c>
      <c r="C136" s="2" t="inlineStr">
        <is>
          <t>2M</t>
        </is>
      </c>
      <c r="D136" s="2" t="inlineStr">
        <is>
          <t>a1</t>
        </is>
      </c>
      <c r="E136" s="2" t="inlineStr">
        <is>
          <t>2.0mm</t>
        </is>
      </c>
      <c r="F136" s="2" t="n">
        <v>2</v>
      </c>
      <c r="G136" s="2" t="n">
        <v>2</v>
      </c>
      <c r="H136" s="2" t="inlineStr">
        <is>
          <t>LC/PC</t>
        </is>
      </c>
      <c r="I136" s="2" t="inlineStr">
        <is>
          <t>LC/PC</t>
        </is>
      </c>
      <c r="J136" s="2" t="n"/>
      <c r="K136" s="2" t="n">
        <v>262</v>
      </c>
      <c r="L136" s="2" t="n"/>
      <c r="M136" s="2" t="n"/>
      <c r="N136" s="2" t="n">
        <v>50</v>
      </c>
      <c r="O136" s="2" t="n">
        <v>45</v>
      </c>
      <c r="P136" s="2" t="n">
        <v>110</v>
      </c>
      <c r="Q136" s="2" t="n"/>
      <c r="R136" s="2" t="n">
        <v>10</v>
      </c>
      <c r="S136" s="2" t="n"/>
      <c r="T136" s="2" t="n"/>
      <c r="U136" s="2" t="n"/>
      <c r="V136" s="2">
        <f>SUM(J136:U136)*G136</f>
        <v/>
      </c>
      <c r="W136" s="2">
        <f>MAX(J136:U136)</f>
        <v/>
      </c>
      <c r="X136" s="2">
        <f>W136*G136</f>
        <v/>
      </c>
    </row>
    <row r="137">
      <c r="A137" s="2" t="inlineStr">
        <is>
          <t>14-D-241</t>
        </is>
      </c>
      <c r="B137" s="3" t="inlineStr">
        <is>
          <t>DOJC-SM-LC/PC-LC/PC</t>
        </is>
      </c>
      <c r="C137" s="2" t="inlineStr">
        <is>
          <t>30M</t>
        </is>
      </c>
      <c r="D137" s="2" t="inlineStr">
        <is>
          <t>a1</t>
        </is>
      </c>
      <c r="E137" s="2" t="inlineStr">
        <is>
          <t>2.0mm</t>
        </is>
      </c>
      <c r="F137" s="2" t="n">
        <v>2</v>
      </c>
      <c r="G137" s="2" t="n">
        <v>30</v>
      </c>
      <c r="H137" s="2" t="inlineStr">
        <is>
          <t>LC/PC</t>
        </is>
      </c>
      <c r="I137" s="2" t="inlineStr">
        <is>
          <t>LC/PC</t>
        </is>
      </c>
      <c r="J137" s="2" t="n"/>
      <c r="K137" s="2" t="n"/>
      <c r="L137" s="2" t="n">
        <v>2</v>
      </c>
      <c r="M137" s="2" t="n"/>
      <c r="N137" s="2" t="n"/>
      <c r="O137" s="2" t="n">
        <v>50</v>
      </c>
      <c r="P137" s="2" t="n"/>
      <c r="Q137" s="2" t="n">
        <v>10</v>
      </c>
      <c r="R137" s="2" t="n"/>
      <c r="S137" s="2" t="n">
        <v>10</v>
      </c>
      <c r="T137" s="2" t="n">
        <v>10</v>
      </c>
      <c r="U137" s="2" t="n"/>
      <c r="V137" s="2">
        <f>SUM(J137:U137)*G137</f>
        <v/>
      </c>
      <c r="W137" s="2">
        <f>MAX(J137:U137)</f>
        <v/>
      </c>
      <c r="X137" s="2">
        <f>W137*G137</f>
        <v/>
      </c>
    </row>
    <row r="138">
      <c r="A138" s="2" t="inlineStr">
        <is>
          <t>14-D-243</t>
        </is>
      </c>
      <c r="B138" s="3" t="inlineStr">
        <is>
          <t>DOJC-SM-LC/PC-LC/PC</t>
        </is>
      </c>
      <c r="C138" s="2" t="inlineStr">
        <is>
          <t>35M</t>
        </is>
      </c>
      <c r="D138" s="2" t="inlineStr">
        <is>
          <t>a1</t>
        </is>
      </c>
      <c r="E138" s="2" t="inlineStr">
        <is>
          <t>2.0mm</t>
        </is>
      </c>
      <c r="F138" s="2" t="n">
        <v>2</v>
      </c>
      <c r="G138" s="2" t="n">
        <v>35</v>
      </c>
      <c r="H138" s="2" t="inlineStr">
        <is>
          <t>LC/PC</t>
        </is>
      </c>
      <c r="I138" s="2" t="inlineStr">
        <is>
          <t>LC/PC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n">
        <v>4</v>
      </c>
      <c r="R138" s="2" t="n"/>
      <c r="S138" s="2" t="n"/>
      <c r="T138" s="2" t="n">
        <v>10</v>
      </c>
      <c r="U138" s="2" t="n"/>
      <c r="V138" s="2">
        <f>SUM(J138:U138)*G138</f>
        <v/>
      </c>
      <c r="W138" s="2">
        <f>MAX(J138:U138)</f>
        <v/>
      </c>
      <c r="X138" s="2">
        <f>W138*G138</f>
        <v/>
      </c>
    </row>
    <row r="139">
      <c r="A139" s="2" t="inlineStr">
        <is>
          <t>14-D-244</t>
        </is>
      </c>
      <c r="B139" s="3" t="inlineStr">
        <is>
          <t>DOJC-SM-LC/PC-LC/PC</t>
        </is>
      </c>
      <c r="C139" s="2" t="inlineStr">
        <is>
          <t>3M</t>
        </is>
      </c>
      <c r="D139" s="2" t="inlineStr">
        <is>
          <t>a1</t>
        </is>
      </c>
      <c r="E139" s="2" t="inlineStr">
        <is>
          <t>2.0mm</t>
        </is>
      </c>
      <c r="F139" s="2" t="n">
        <v>2</v>
      </c>
      <c r="G139" s="2" t="n">
        <v>3</v>
      </c>
      <c r="H139" s="2" t="inlineStr">
        <is>
          <t>LC/PC</t>
        </is>
      </c>
      <c r="I139" s="2" t="inlineStr">
        <is>
          <t>LC/PC</t>
        </is>
      </c>
      <c r="J139" s="2" t="n"/>
      <c r="K139" s="2" t="n">
        <v>2</v>
      </c>
      <c r="L139" s="2" t="n"/>
      <c r="M139" s="2" t="n"/>
      <c r="N139" s="2" t="n">
        <v>65</v>
      </c>
      <c r="O139" s="2" t="n">
        <v>280</v>
      </c>
      <c r="P139" s="2" t="n">
        <v>370</v>
      </c>
      <c r="Q139" s="2" t="n">
        <v>50</v>
      </c>
      <c r="R139" s="2" t="n"/>
      <c r="S139" s="2" t="n">
        <v>30</v>
      </c>
      <c r="T139" s="2" t="n"/>
      <c r="U139" s="2" t="n">
        <v>20</v>
      </c>
      <c r="V139" s="2">
        <f>SUM(J139:U139)*G139</f>
        <v/>
      </c>
      <c r="W139" s="2">
        <f>MAX(J139:U139)</f>
        <v/>
      </c>
      <c r="X139" s="2">
        <f>W139*G139</f>
        <v/>
      </c>
    </row>
    <row r="140">
      <c r="A140" s="2" t="inlineStr">
        <is>
          <t>14-D-246</t>
        </is>
      </c>
      <c r="B140" s="3" t="inlineStr">
        <is>
          <t>DOJC-SM-LC/PC-LC/PC</t>
        </is>
      </c>
      <c r="C140" s="2" t="inlineStr">
        <is>
          <t>40M</t>
        </is>
      </c>
      <c r="D140" s="2" t="inlineStr">
        <is>
          <t>a1</t>
        </is>
      </c>
      <c r="E140" s="2" t="inlineStr">
        <is>
          <t>2.0mm</t>
        </is>
      </c>
      <c r="F140" s="2" t="n">
        <v>2</v>
      </c>
      <c r="G140" s="2" t="n">
        <v>40</v>
      </c>
      <c r="H140" s="2" t="inlineStr">
        <is>
          <t>LC/PC</t>
        </is>
      </c>
      <c r="I140" s="2" t="inlineStr">
        <is>
          <t>LC/PC</t>
        </is>
      </c>
      <c r="J140" s="2" t="n"/>
      <c r="K140" s="2" t="n"/>
      <c r="L140" s="2" t="n">
        <v>30</v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>
        <f>SUM(J140:U140)*G140</f>
        <v/>
      </c>
      <c r="W140" s="2">
        <f>MAX(J140:U140)</f>
        <v/>
      </c>
      <c r="X140" s="2">
        <f>W140*G140</f>
        <v/>
      </c>
    </row>
    <row r="141">
      <c r="A141" s="2" t="inlineStr">
        <is>
          <t>14-D-247</t>
        </is>
      </c>
      <c r="B141" s="3" t="inlineStr">
        <is>
          <t>DOJC-SM-LC/PC-LC/PC</t>
        </is>
      </c>
      <c r="C141" s="2" t="inlineStr">
        <is>
          <t>45M</t>
        </is>
      </c>
      <c r="D141" s="2" t="inlineStr">
        <is>
          <t>a1</t>
        </is>
      </c>
      <c r="E141" s="2" t="inlineStr">
        <is>
          <t>2.0mm</t>
        </is>
      </c>
      <c r="F141" s="2" t="n">
        <v>2</v>
      </c>
      <c r="G141" s="2" t="n">
        <v>45</v>
      </c>
      <c r="H141" s="2" t="inlineStr">
        <is>
          <t>LC/PC</t>
        </is>
      </c>
      <c r="I141" s="2" t="inlineStr">
        <is>
          <t>LC/PC</t>
        </is>
      </c>
      <c r="J141" s="2" t="n">
        <v>20</v>
      </c>
      <c r="K141" s="2" t="n"/>
      <c r="L141" s="2" t="n">
        <v>30</v>
      </c>
      <c r="M141" s="2" t="n"/>
      <c r="N141" s="2" t="n"/>
      <c r="O141" s="2" t="n">
        <v>10</v>
      </c>
      <c r="P141" s="2" t="n"/>
      <c r="Q141" s="2" t="n"/>
      <c r="R141" s="2" t="n"/>
      <c r="S141" s="2" t="n"/>
      <c r="T141" s="2" t="n"/>
      <c r="U141" s="2" t="n"/>
      <c r="V141" s="2">
        <f>SUM(J141:U141)*G141</f>
        <v/>
      </c>
      <c r="W141" s="2">
        <f>MAX(J141:U141)</f>
        <v/>
      </c>
      <c r="X141" s="2">
        <f>W141*G141</f>
        <v/>
      </c>
    </row>
    <row r="142">
      <c r="A142" s="2" t="inlineStr">
        <is>
          <t>14-D-248</t>
        </is>
      </c>
      <c r="B142" s="3" t="inlineStr">
        <is>
          <t>DOJC-SM-LC/PC-LC/PC</t>
        </is>
      </c>
      <c r="C142" s="2" t="inlineStr">
        <is>
          <t>4M</t>
        </is>
      </c>
      <c r="D142" s="2" t="inlineStr">
        <is>
          <t>a1</t>
        </is>
      </c>
      <c r="E142" s="2" t="inlineStr">
        <is>
          <t>2.0mm</t>
        </is>
      </c>
      <c r="F142" s="2" t="n">
        <v>2</v>
      </c>
      <c r="G142" s="2" t="n">
        <v>4</v>
      </c>
      <c r="H142" s="2" t="inlineStr">
        <is>
          <t>LC/PC</t>
        </is>
      </c>
      <c r="I142" s="2" t="inlineStr">
        <is>
          <t>LC/PC</t>
        </is>
      </c>
      <c r="J142" s="2" t="n"/>
      <c r="K142" s="2" t="n"/>
      <c r="L142" s="2" t="n"/>
      <c r="M142" s="2" t="n"/>
      <c r="N142" s="2" t="n">
        <v>50</v>
      </c>
      <c r="O142" s="2" t="n"/>
      <c r="P142" s="2" t="n"/>
      <c r="Q142" s="2" t="n"/>
      <c r="R142" s="2" t="n"/>
      <c r="S142" s="2" t="n"/>
      <c r="T142" s="2" t="n"/>
      <c r="U142" s="2" t="n"/>
      <c r="V142" s="2">
        <f>SUM(J142:U142)*G142</f>
        <v/>
      </c>
      <c r="W142" s="2">
        <f>MAX(J142:U142)</f>
        <v/>
      </c>
      <c r="X142" s="2">
        <f>W142*G142</f>
        <v/>
      </c>
    </row>
    <row r="143">
      <c r="A143" s="2" t="inlineStr">
        <is>
          <t>14-D-249</t>
        </is>
      </c>
      <c r="B143" s="3" t="inlineStr">
        <is>
          <t>DOJC-SM-LC/PC-LC/PC</t>
        </is>
      </c>
      <c r="C143" s="2" t="inlineStr">
        <is>
          <t>50M</t>
        </is>
      </c>
      <c r="D143" s="2" t="inlineStr">
        <is>
          <t>a1</t>
        </is>
      </c>
      <c r="E143" s="2" t="inlineStr">
        <is>
          <t>2.0mm</t>
        </is>
      </c>
      <c r="F143" s="2" t="n">
        <v>2</v>
      </c>
      <c r="G143" s="2" t="n">
        <v>50</v>
      </c>
      <c r="H143" s="2" t="inlineStr">
        <is>
          <t>LC/PC</t>
        </is>
      </c>
      <c r="I143" s="2" t="inlineStr">
        <is>
          <t>LC/PC</t>
        </is>
      </c>
      <c r="J143" s="2" t="n">
        <v>20</v>
      </c>
      <c r="K143" s="2" t="n"/>
      <c r="L143" s="2" t="n">
        <v>30</v>
      </c>
      <c r="M143" s="2" t="n"/>
      <c r="N143" s="2" t="n"/>
      <c r="O143" s="2" t="n">
        <v>20</v>
      </c>
      <c r="P143" s="2" t="n"/>
      <c r="Q143" s="2" t="n"/>
      <c r="R143" s="2" t="n"/>
      <c r="S143" s="2" t="n"/>
      <c r="T143" s="2" t="n"/>
      <c r="U143" s="2" t="n"/>
      <c r="V143" s="2">
        <f>SUM(J143:U143)*G143</f>
        <v/>
      </c>
      <c r="W143" s="2">
        <f>MAX(J143:U143)</f>
        <v/>
      </c>
      <c r="X143" s="2">
        <f>W143*G143</f>
        <v/>
      </c>
    </row>
    <row r="144">
      <c r="A144" s="2" t="inlineStr">
        <is>
          <t>14-D-252</t>
        </is>
      </c>
      <c r="B144" s="3" t="inlineStr">
        <is>
          <t>DOJC-SM-LC/PC-LC/PC</t>
        </is>
      </c>
      <c r="C144" s="2" t="inlineStr">
        <is>
          <t>55M</t>
        </is>
      </c>
      <c r="D144" s="2" t="inlineStr">
        <is>
          <t>a1</t>
        </is>
      </c>
      <c r="E144" s="2" t="inlineStr">
        <is>
          <t>2.0mm</t>
        </is>
      </c>
      <c r="F144" s="2" t="n">
        <v>2</v>
      </c>
      <c r="G144" s="2" t="n">
        <v>55</v>
      </c>
      <c r="H144" s="2" t="inlineStr">
        <is>
          <t>LC/PC</t>
        </is>
      </c>
      <c r="I144" s="2" t="inlineStr">
        <is>
          <t>LC/PC</t>
        </is>
      </c>
      <c r="J144" s="2" t="n">
        <v>20</v>
      </c>
      <c r="K144" s="2" t="n"/>
      <c r="L144" s="2" t="n">
        <v>30</v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>
        <f>SUM(J144:U144)*G144</f>
        <v/>
      </c>
      <c r="W144" s="2">
        <f>MAX(J144:U144)</f>
        <v/>
      </c>
      <c r="X144" s="2">
        <f>W144*G144</f>
        <v/>
      </c>
    </row>
    <row r="145">
      <c r="A145" s="2" t="inlineStr">
        <is>
          <t>14-D-253</t>
        </is>
      </c>
      <c r="B145" s="3" t="inlineStr">
        <is>
          <t>DOJC-SM-LC/PC-LC/PC</t>
        </is>
      </c>
      <c r="C145" s="2" t="inlineStr">
        <is>
          <t>5M</t>
        </is>
      </c>
      <c r="D145" s="2" t="inlineStr">
        <is>
          <t>a1</t>
        </is>
      </c>
      <c r="E145" s="2" t="inlineStr">
        <is>
          <t>2.0mm</t>
        </is>
      </c>
      <c r="F145" s="2" t="n">
        <v>2</v>
      </c>
      <c r="G145" s="2" t="n">
        <v>5</v>
      </c>
      <c r="H145" s="2" t="inlineStr">
        <is>
          <t>LC/PC</t>
        </is>
      </c>
      <c r="I145" s="2" t="inlineStr">
        <is>
          <t>LC/PC</t>
        </is>
      </c>
      <c r="J145" s="2" t="n"/>
      <c r="K145" s="2" t="n"/>
      <c r="L145" s="2" t="n"/>
      <c r="M145" s="2" t="n"/>
      <c r="N145" s="2" t="n">
        <v>25</v>
      </c>
      <c r="O145" s="2" t="n">
        <v>150</v>
      </c>
      <c r="P145" s="2" t="n">
        <v>108</v>
      </c>
      <c r="Q145" s="2" t="n"/>
      <c r="R145" s="2" t="n">
        <v>50</v>
      </c>
      <c r="S145" s="2" t="n"/>
      <c r="T145" s="2" t="n"/>
      <c r="U145" s="2" t="n"/>
      <c r="V145" s="2">
        <f>SUM(J145:U145)*G145</f>
        <v/>
      </c>
      <c r="W145" s="2">
        <f>MAX(J145:U145)</f>
        <v/>
      </c>
      <c r="X145" s="2">
        <f>W145*G145</f>
        <v/>
      </c>
    </row>
    <row r="146">
      <c r="A146" s="2" t="inlineStr">
        <is>
          <t>14-D-254</t>
        </is>
      </c>
      <c r="B146" s="3" t="inlineStr">
        <is>
          <t>DOJC-SM-LC/PC-LC/PC</t>
        </is>
      </c>
      <c r="C146" s="2" t="inlineStr">
        <is>
          <t>60M</t>
        </is>
      </c>
      <c r="D146" s="2" t="inlineStr">
        <is>
          <t>a1</t>
        </is>
      </c>
      <c r="E146" s="2" t="inlineStr">
        <is>
          <t>2.0mm</t>
        </is>
      </c>
      <c r="F146" s="2" t="n">
        <v>2</v>
      </c>
      <c r="G146" s="2" t="n">
        <v>60</v>
      </c>
      <c r="H146" s="2" t="inlineStr">
        <is>
          <t>LC/PC</t>
        </is>
      </c>
      <c r="I146" s="2" t="inlineStr">
        <is>
          <t>LC/PC</t>
        </is>
      </c>
      <c r="J146" s="2" t="n">
        <v>20</v>
      </c>
      <c r="K146" s="2" t="n"/>
      <c r="L146" s="2" t="n">
        <v>20</v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>
        <f>SUM(J146:U146)*G146</f>
        <v/>
      </c>
      <c r="W146" s="2">
        <f>MAX(J146:U146)</f>
        <v/>
      </c>
      <c r="X146" s="2">
        <f>W146*G146</f>
        <v/>
      </c>
    </row>
    <row r="147">
      <c r="A147" s="2" t="inlineStr">
        <is>
          <t>14-D-255</t>
        </is>
      </c>
      <c r="B147" s="3" t="inlineStr">
        <is>
          <t>DOJC-SM-LC/PC-LC/PC</t>
        </is>
      </c>
      <c r="C147" s="2" t="inlineStr">
        <is>
          <t>65M</t>
        </is>
      </c>
      <c r="D147" s="2" t="inlineStr">
        <is>
          <t>a1</t>
        </is>
      </c>
      <c r="E147" s="2" t="inlineStr">
        <is>
          <t>2.0mm</t>
        </is>
      </c>
      <c r="F147" s="2" t="n">
        <v>2</v>
      </c>
      <c r="G147" s="2" t="n">
        <v>65</v>
      </c>
      <c r="H147" s="2" t="inlineStr">
        <is>
          <t>LC/PC</t>
        </is>
      </c>
      <c r="I147" s="2" t="inlineStr">
        <is>
          <t>LC/PC</t>
        </is>
      </c>
      <c r="J147" s="2" t="n"/>
      <c r="K147" s="2" t="n"/>
      <c r="L147" s="2" t="n">
        <v>30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>
        <f>SUM(J147:U147)*G147</f>
        <v/>
      </c>
      <c r="W147" s="2">
        <f>MAX(J147:U147)</f>
        <v/>
      </c>
      <c r="X147" s="2">
        <f>W147*G147</f>
        <v/>
      </c>
    </row>
    <row r="148">
      <c r="A148" s="2" t="inlineStr">
        <is>
          <t>14-D-256</t>
        </is>
      </c>
      <c r="B148" s="3" t="inlineStr">
        <is>
          <t>DOJC-SM-LC/PC-LC/PC</t>
        </is>
      </c>
      <c r="C148" s="2" t="inlineStr">
        <is>
          <t>6M</t>
        </is>
      </c>
      <c r="D148" s="2" t="inlineStr">
        <is>
          <t>a1</t>
        </is>
      </c>
      <c r="E148" s="2" t="inlineStr">
        <is>
          <t>2.0mm</t>
        </is>
      </c>
      <c r="F148" s="2" t="n">
        <v>2</v>
      </c>
      <c r="G148" s="2" t="n">
        <v>6</v>
      </c>
      <c r="H148" s="2" t="inlineStr">
        <is>
          <t>LC/PC</t>
        </is>
      </c>
      <c r="I148" s="2" t="inlineStr">
        <is>
          <t>LC/PC</t>
        </is>
      </c>
      <c r="J148" s="2" t="n">
        <v>400</v>
      </c>
      <c r="K148" s="2" t="n"/>
      <c r="L148" s="2" t="n">
        <v>400</v>
      </c>
      <c r="M148" s="2" t="n">
        <v>300</v>
      </c>
      <c r="N148" s="2" t="n"/>
      <c r="O148" s="2" t="n">
        <v>300</v>
      </c>
      <c r="P148" s="2" t="n">
        <v>300</v>
      </c>
      <c r="Q148" s="2" t="n"/>
      <c r="R148" s="2" t="n"/>
      <c r="S148" s="2" t="n"/>
      <c r="T148" s="2" t="n">
        <v>250</v>
      </c>
      <c r="U148" s="2" t="n"/>
      <c r="V148" s="2">
        <f>SUM(J148:U148)*G148</f>
        <v/>
      </c>
      <c r="W148" s="2">
        <f>MAX(J148:U148)</f>
        <v/>
      </c>
      <c r="X148" s="2">
        <f>W148*G148</f>
        <v/>
      </c>
    </row>
    <row r="149">
      <c r="A149" s="2" t="inlineStr">
        <is>
          <t>14-D-257</t>
        </is>
      </c>
      <c r="B149" s="3" t="inlineStr">
        <is>
          <t>DOJC-SM-LC/PC-LC/PC</t>
        </is>
      </c>
      <c r="C149" s="2" t="inlineStr">
        <is>
          <t>70M</t>
        </is>
      </c>
      <c r="D149" s="2" t="inlineStr">
        <is>
          <t>a1</t>
        </is>
      </c>
      <c r="E149" s="2" t="inlineStr">
        <is>
          <t>2.0mm</t>
        </is>
      </c>
      <c r="F149" s="2" t="n">
        <v>2</v>
      </c>
      <c r="G149" s="2" t="n">
        <v>70</v>
      </c>
      <c r="H149" s="2" t="inlineStr">
        <is>
          <t>LC/PC</t>
        </is>
      </c>
      <c r="I149" s="2" t="inlineStr">
        <is>
          <t>LC/PC</t>
        </is>
      </c>
      <c r="J149" s="2" t="n"/>
      <c r="K149" s="2" t="n"/>
      <c r="L149" s="2" t="n"/>
      <c r="M149" s="2" t="n">
        <v>20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>
        <f>SUM(J149:U149)*G149</f>
        <v/>
      </c>
      <c r="W149" s="2">
        <f>MAX(J149:U149)</f>
        <v/>
      </c>
      <c r="X149" s="2">
        <f>W149*G149</f>
        <v/>
      </c>
    </row>
    <row r="150">
      <c r="A150" s="2" t="inlineStr">
        <is>
          <t>14-D-258</t>
        </is>
      </c>
      <c r="B150" s="3" t="inlineStr">
        <is>
          <t>DOJC-SM-LC/PC-LC/PC</t>
        </is>
      </c>
      <c r="C150" s="2" t="inlineStr">
        <is>
          <t>7M</t>
        </is>
      </c>
      <c r="D150" s="2" t="inlineStr">
        <is>
          <t>a1</t>
        </is>
      </c>
      <c r="E150" s="2" t="inlineStr">
        <is>
          <t>2.0mm</t>
        </is>
      </c>
      <c r="F150" s="2" t="n">
        <v>2</v>
      </c>
      <c r="G150" s="2" t="n">
        <v>7</v>
      </c>
      <c r="H150" s="2" t="inlineStr">
        <is>
          <t>LC/PC</t>
        </is>
      </c>
      <c r="I150" s="2" t="inlineStr">
        <is>
          <t>LC/PC</t>
        </is>
      </c>
      <c r="J150" s="2" t="n"/>
      <c r="K150" s="2" t="n"/>
      <c r="L150" s="2" t="n"/>
      <c r="M150" s="2" t="n">
        <v>30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>
        <f>SUM(J150:U150)*G150</f>
        <v/>
      </c>
      <c r="W150" s="2">
        <f>MAX(J150:U150)</f>
        <v/>
      </c>
      <c r="X150" s="2">
        <f>W150*G150</f>
        <v/>
      </c>
    </row>
    <row r="151">
      <c r="A151" s="2" t="inlineStr">
        <is>
          <t>14-D-263</t>
        </is>
      </c>
      <c r="B151" s="3" t="inlineStr">
        <is>
          <t>DOJC-SM-LC/PC-SC/APC</t>
        </is>
      </c>
      <c r="C151" s="2" t="inlineStr">
        <is>
          <t>10M</t>
        </is>
      </c>
      <c r="D151" s="2" t="inlineStr">
        <is>
          <t>a1</t>
        </is>
      </c>
      <c r="E151" s="2" t="inlineStr">
        <is>
          <t>2.0mm</t>
        </is>
      </c>
      <c r="F151" s="2" t="n">
        <v>2</v>
      </c>
      <c r="G151" s="2" t="n">
        <v>10</v>
      </c>
      <c r="H151" s="2" t="inlineStr">
        <is>
          <t>LC/PC</t>
        </is>
      </c>
      <c r="I151" s="2" t="inlineStr">
        <is>
          <t>SC/APC</t>
        </is>
      </c>
      <c r="J151" s="2" t="n"/>
      <c r="K151" s="2" t="n"/>
      <c r="L151" s="2" t="n"/>
      <c r="M151" s="2" t="n"/>
      <c r="N151" s="2" t="n">
        <v>3</v>
      </c>
      <c r="O151" s="2" t="n"/>
      <c r="P151" s="2" t="n"/>
      <c r="Q151" s="2" t="n">
        <v>10</v>
      </c>
      <c r="R151" s="2" t="n"/>
      <c r="S151" s="2" t="n"/>
      <c r="T151" s="2" t="n"/>
      <c r="U151" s="2" t="n"/>
      <c r="V151" s="2">
        <f>SUM(J151:U151)*G151</f>
        <v/>
      </c>
      <c r="W151" s="2">
        <f>MAX(J151:U151)</f>
        <v/>
      </c>
      <c r="X151" s="2">
        <f>W151*G151</f>
        <v/>
      </c>
    </row>
    <row r="152">
      <c r="A152" s="2" t="inlineStr">
        <is>
          <t>14-D-266</t>
        </is>
      </c>
      <c r="B152" s="3" t="inlineStr">
        <is>
          <t>DOJC-SM-LC/PC-SC/APC</t>
        </is>
      </c>
      <c r="C152" s="2" t="inlineStr">
        <is>
          <t>15M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15</v>
      </c>
      <c r="H152" s="2" t="inlineStr">
        <is>
          <t>LC/PC</t>
        </is>
      </c>
      <c r="I152" s="2" t="inlineStr">
        <is>
          <t>SC/APC</t>
        </is>
      </c>
      <c r="J152" s="2" t="n"/>
      <c r="K152" s="2" t="n"/>
      <c r="L152" s="2" t="n"/>
      <c r="M152" s="2" t="n"/>
      <c r="N152" s="2" t="n"/>
      <c r="O152" s="2" t="n"/>
      <c r="P152" s="2" t="n">
        <v>2</v>
      </c>
      <c r="Q152" s="2" t="n"/>
      <c r="R152" s="2" t="n"/>
      <c r="S152" s="2" t="n"/>
      <c r="T152" s="2" t="n"/>
      <c r="U152" s="2" t="n"/>
      <c r="V152" s="2">
        <f>SUM(J152:U152)*G152</f>
        <v/>
      </c>
      <c r="W152" s="2">
        <f>MAX(J152:U152)</f>
        <v/>
      </c>
      <c r="X152" s="2">
        <f>W152*G152</f>
        <v/>
      </c>
    </row>
    <row r="153">
      <c r="A153" s="2" t="inlineStr">
        <is>
          <t>14-D-267</t>
        </is>
      </c>
      <c r="B153" s="3" t="inlineStr">
        <is>
          <t>DOJC-SM-LC/PC-SC/APC</t>
        </is>
      </c>
      <c r="C153" s="2" t="inlineStr">
        <is>
          <t>1M</t>
        </is>
      </c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1</v>
      </c>
      <c r="H153" s="2" t="inlineStr">
        <is>
          <t>LC/PC</t>
        </is>
      </c>
      <c r="I153" s="2" t="inlineStr">
        <is>
          <t>SC/APC</t>
        </is>
      </c>
      <c r="J153" s="2" t="n"/>
      <c r="K153" s="2" t="n"/>
      <c r="L153" s="2" t="n"/>
      <c r="M153" s="2" t="n"/>
      <c r="N153" s="2" t="n"/>
      <c r="O153" s="2" t="n">
        <v>30</v>
      </c>
      <c r="P153" s="2" t="n"/>
      <c r="Q153" s="2" t="n"/>
      <c r="R153" s="2" t="n"/>
      <c r="S153" s="2" t="n"/>
      <c r="T153" s="2" t="n"/>
      <c r="U153" s="2" t="n"/>
      <c r="V153" s="2">
        <f>SUM(J153:U153)*G153</f>
        <v/>
      </c>
      <c r="W153" s="2">
        <f>MAX(J153:U153)</f>
        <v/>
      </c>
      <c r="X153" s="2">
        <f>W153*G153</f>
        <v/>
      </c>
    </row>
    <row r="154">
      <c r="A154" s="2" t="inlineStr">
        <is>
          <t>14-D-268</t>
        </is>
      </c>
      <c r="B154" s="3" t="inlineStr">
        <is>
          <t>DOJC-SM-LC/PC-SC/APC</t>
        </is>
      </c>
      <c r="C154" s="2" t="inlineStr">
        <is>
          <t>20M</t>
        </is>
      </c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20</v>
      </c>
      <c r="H154" s="2" t="inlineStr">
        <is>
          <t>LC/PC</t>
        </is>
      </c>
      <c r="I154" s="2" t="inlineStr">
        <is>
          <t>SC/APC</t>
        </is>
      </c>
      <c r="J154" s="2" t="n"/>
      <c r="K154" s="2" t="n"/>
      <c r="L154" s="2" t="n"/>
      <c r="M154" s="2" t="n"/>
      <c r="N154" s="2" t="n"/>
      <c r="O154" s="2" t="n"/>
      <c r="P154" s="2" t="n">
        <v>10</v>
      </c>
      <c r="Q154" s="2" t="n"/>
      <c r="R154" s="2" t="n"/>
      <c r="S154" s="2" t="n"/>
      <c r="T154" s="2" t="n"/>
      <c r="U154" s="2" t="n"/>
      <c r="V154" s="2">
        <f>SUM(J154:U154)*G154</f>
        <v/>
      </c>
      <c r="W154" s="2">
        <f>MAX(J154:U154)</f>
        <v/>
      </c>
      <c r="X154" s="2">
        <f>W154*G154</f>
        <v/>
      </c>
    </row>
    <row r="155">
      <c r="A155" s="2" t="inlineStr">
        <is>
          <t>14-D-271</t>
        </is>
      </c>
      <c r="B155" s="3" t="inlineStr">
        <is>
          <t>DOJC-SM-LC/PC-SC/APC</t>
        </is>
      </c>
      <c r="C155" s="2" t="inlineStr">
        <is>
          <t>2M</t>
        </is>
      </c>
      <c r="D155" s="2" t="inlineStr">
        <is>
          <t>a1</t>
        </is>
      </c>
      <c r="E155" s="2" t="inlineStr">
        <is>
          <t>2.0mm</t>
        </is>
      </c>
      <c r="F155" s="2" t="n">
        <v>2</v>
      </c>
      <c r="G155" s="2" t="n">
        <v>2</v>
      </c>
      <c r="H155" s="2" t="inlineStr">
        <is>
          <t>LC/PC</t>
        </is>
      </c>
      <c r="I155" s="2" t="inlineStr">
        <is>
          <t>SC/APC</t>
        </is>
      </c>
      <c r="J155" s="2" t="n"/>
      <c r="K155" s="2" t="n"/>
      <c r="L155" s="2" t="n">
        <v>20</v>
      </c>
      <c r="M155" s="2" t="n"/>
      <c r="N155" s="2" t="n"/>
      <c r="O155" s="2" t="n"/>
      <c r="P155" s="2" t="n"/>
      <c r="Q155" s="2" t="n"/>
      <c r="R155" s="2" t="n">
        <v>10</v>
      </c>
      <c r="S155" s="2" t="n"/>
      <c r="T155" s="2" t="n">
        <v>100</v>
      </c>
      <c r="U155" s="2" t="n"/>
      <c r="V155" s="2">
        <f>SUM(J155:U155)*G155</f>
        <v/>
      </c>
      <c r="W155" s="2">
        <f>MAX(J155:U155)</f>
        <v/>
      </c>
      <c r="X155" s="2">
        <f>W155*G155</f>
        <v/>
      </c>
    </row>
    <row r="156">
      <c r="A156" s="2" t="inlineStr">
        <is>
          <t>14-D-272</t>
        </is>
      </c>
      <c r="B156" s="3" t="inlineStr">
        <is>
          <t>DOJC-SM-LC/PC-SC/APC</t>
        </is>
      </c>
      <c r="C156" s="2" t="inlineStr">
        <is>
          <t>30M</t>
        </is>
      </c>
      <c r="D156" s="2" t="inlineStr">
        <is>
          <t>a1</t>
        </is>
      </c>
      <c r="E156" s="2" t="inlineStr">
        <is>
          <t>2.0mm</t>
        </is>
      </c>
      <c r="F156" s="2" t="n">
        <v>2</v>
      </c>
      <c r="G156" s="2" t="n">
        <v>30</v>
      </c>
      <c r="H156" s="2" t="inlineStr">
        <is>
          <t>LC/PC</t>
        </is>
      </c>
      <c r="I156" s="2" t="inlineStr">
        <is>
          <t>SC/APC</t>
        </is>
      </c>
      <c r="J156" s="2" t="n"/>
      <c r="K156" s="2" t="n"/>
      <c r="L156" s="2" t="n"/>
      <c r="M156" s="2" t="n"/>
      <c r="N156" s="2" t="n">
        <v>5</v>
      </c>
      <c r="O156" s="2" t="n"/>
      <c r="P156" s="2" t="n"/>
      <c r="Q156" s="2" t="n"/>
      <c r="R156" s="2" t="n"/>
      <c r="S156" s="2" t="n"/>
      <c r="T156" s="2" t="n"/>
      <c r="U156" s="2" t="n"/>
      <c r="V156" s="2">
        <f>SUM(J156:U156)*G156</f>
        <v/>
      </c>
      <c r="W156" s="2">
        <f>MAX(J156:U156)</f>
        <v/>
      </c>
      <c r="X156" s="2">
        <f>W156*G156</f>
        <v/>
      </c>
    </row>
    <row r="157">
      <c r="A157" s="2" t="inlineStr">
        <is>
          <t>14-D-273</t>
        </is>
      </c>
      <c r="B157" s="3" t="inlineStr">
        <is>
          <t>DOJC-SM-LC/PC-SC/APC</t>
        </is>
      </c>
      <c r="C157" s="2" t="inlineStr">
        <is>
          <t>35M</t>
        </is>
      </c>
      <c r="D157" s="2" t="inlineStr">
        <is>
          <t>a1</t>
        </is>
      </c>
      <c r="E157" s="2" t="inlineStr">
        <is>
          <t>2.0mm</t>
        </is>
      </c>
      <c r="F157" s="2" t="n">
        <v>2</v>
      </c>
      <c r="G157" s="2" t="n">
        <v>35</v>
      </c>
      <c r="H157" s="2" t="inlineStr">
        <is>
          <t>LC/PC</t>
        </is>
      </c>
      <c r="I157" s="2" t="inlineStr">
        <is>
          <t>SC/APC</t>
        </is>
      </c>
      <c r="J157" s="2" t="n"/>
      <c r="K157" s="2" t="n"/>
      <c r="L157" s="2" t="n"/>
      <c r="M157" s="2" t="n"/>
      <c r="N157" s="2" t="n">
        <v>5</v>
      </c>
      <c r="O157" s="2" t="n"/>
      <c r="P157" s="2" t="n"/>
      <c r="Q157" s="2" t="n"/>
      <c r="R157" s="2" t="n"/>
      <c r="S157" s="2" t="n"/>
      <c r="T157" s="2" t="n"/>
      <c r="U157" s="2" t="n">
        <v>2</v>
      </c>
      <c r="V157" s="2">
        <f>SUM(J157:U157)*G157</f>
        <v/>
      </c>
      <c r="W157" s="2">
        <f>MAX(J157:U157)</f>
        <v/>
      </c>
      <c r="X157" s="2">
        <f>W157*G157</f>
        <v/>
      </c>
    </row>
    <row r="158">
      <c r="A158" s="2" t="inlineStr">
        <is>
          <t>14-D-274</t>
        </is>
      </c>
      <c r="B158" s="3" t="inlineStr">
        <is>
          <t>DOJC-SM-LC/PC-SC/APC</t>
        </is>
      </c>
      <c r="C158" s="2" t="inlineStr">
        <is>
          <t>3M</t>
        </is>
      </c>
      <c r="D158" s="2" t="inlineStr">
        <is>
          <t>a1</t>
        </is>
      </c>
      <c r="E158" s="2" t="inlineStr">
        <is>
          <t>2.0mm</t>
        </is>
      </c>
      <c r="F158" s="2" t="n">
        <v>2</v>
      </c>
      <c r="G158" s="2" t="n">
        <v>3</v>
      </c>
      <c r="H158" s="2" t="inlineStr">
        <is>
          <t>LC/PC</t>
        </is>
      </c>
      <c r="I158" s="2" t="inlineStr">
        <is>
          <t>SC/APC</t>
        </is>
      </c>
      <c r="J158" s="2" t="n"/>
      <c r="K158" s="2" t="n">
        <v>10</v>
      </c>
      <c r="L158" s="2" t="n">
        <v>90</v>
      </c>
      <c r="M158" s="2" t="n"/>
      <c r="N158" s="2" t="n">
        <v>70</v>
      </c>
      <c r="O158" s="2" t="n">
        <v>85</v>
      </c>
      <c r="P158" s="2" t="n"/>
      <c r="Q158" s="2" t="n">
        <v>50</v>
      </c>
      <c r="R158" s="2" t="n">
        <v>90</v>
      </c>
      <c r="S158" s="2" t="n">
        <v>130</v>
      </c>
      <c r="T158" s="2" t="n"/>
      <c r="U158" s="2" t="n">
        <v>50</v>
      </c>
      <c r="V158" s="2">
        <f>SUM(J158:U158)*G158</f>
        <v/>
      </c>
      <c r="W158" s="2">
        <f>MAX(J158:U158)</f>
        <v/>
      </c>
      <c r="X158" s="2">
        <f>W158*G158</f>
        <v/>
      </c>
    </row>
    <row r="159">
      <c r="A159" s="2" t="inlineStr">
        <is>
          <t>14-D-275</t>
        </is>
      </c>
      <c r="B159" s="3" t="inlineStr">
        <is>
          <t>DOJC-SM-LC/PC-SC/APC</t>
        </is>
      </c>
      <c r="C159" s="2" t="inlineStr">
        <is>
          <t>40M</t>
        </is>
      </c>
      <c r="D159" s="2" t="inlineStr">
        <is>
          <t>a1</t>
        </is>
      </c>
      <c r="E159" s="2" t="inlineStr">
        <is>
          <t>2.0mm</t>
        </is>
      </c>
      <c r="F159" s="2" t="n">
        <v>2</v>
      </c>
      <c r="G159" s="2" t="n">
        <v>40</v>
      </c>
      <c r="H159" s="2" t="inlineStr">
        <is>
          <t>LC/PC</t>
        </is>
      </c>
      <c r="I159" s="2" t="inlineStr">
        <is>
          <t>SC/APC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>
        <v>2</v>
      </c>
      <c r="V159" s="2">
        <f>SUM(J159:U159)*G159</f>
        <v/>
      </c>
      <c r="W159" s="2">
        <f>MAX(J159:U159)</f>
        <v/>
      </c>
      <c r="X159" s="2">
        <f>W159*G159</f>
        <v/>
      </c>
    </row>
    <row r="160">
      <c r="A160" s="2" t="inlineStr">
        <is>
          <t>14-D-276</t>
        </is>
      </c>
      <c r="B160" s="3" t="inlineStr">
        <is>
          <t>DOJC-SM-LC/PC-SC/APC</t>
        </is>
      </c>
      <c r="C160" s="2" t="inlineStr">
        <is>
          <t>4M</t>
        </is>
      </c>
      <c r="D160" s="2" t="inlineStr">
        <is>
          <t>a1</t>
        </is>
      </c>
      <c r="E160" s="2" t="inlineStr">
        <is>
          <t>2.0mm</t>
        </is>
      </c>
      <c r="F160" s="2" t="n">
        <v>2</v>
      </c>
      <c r="G160" s="2" t="n">
        <v>4</v>
      </c>
      <c r="H160" s="2" t="inlineStr">
        <is>
          <t>LC/PC</t>
        </is>
      </c>
      <c r="I160" s="2" t="inlineStr">
        <is>
          <t>SC/APC</t>
        </is>
      </c>
      <c r="J160" s="2" t="n"/>
      <c r="K160" s="2" t="n"/>
      <c r="L160" s="2" t="n">
        <v>10</v>
      </c>
      <c r="M160" s="2" t="n"/>
      <c r="N160" s="2" t="n">
        <v>10</v>
      </c>
      <c r="O160" s="2" t="n"/>
      <c r="P160" s="2" t="n"/>
      <c r="Q160" s="2" t="n"/>
      <c r="R160" s="2" t="n"/>
      <c r="S160" s="2" t="n"/>
      <c r="T160" s="2" t="n"/>
      <c r="U160" s="2" t="n"/>
      <c r="V160" s="2">
        <f>SUM(J160:U160)*G160</f>
        <v/>
      </c>
      <c r="W160" s="2">
        <f>MAX(J160:U160)</f>
        <v/>
      </c>
      <c r="X160" s="2">
        <f>W160*G160</f>
        <v/>
      </c>
    </row>
    <row r="161">
      <c r="A161" s="2" t="inlineStr">
        <is>
          <t>14-D-277</t>
        </is>
      </c>
      <c r="B161" s="3" t="inlineStr">
        <is>
          <t>DOJC-SM-LC/PC-SC/APC</t>
        </is>
      </c>
      <c r="C161" s="2" t="inlineStr">
        <is>
          <t>5M</t>
        </is>
      </c>
      <c r="D161" s="2" t="inlineStr">
        <is>
          <t>a1</t>
        </is>
      </c>
      <c r="E161" s="2" t="inlineStr">
        <is>
          <t>2.0mm</t>
        </is>
      </c>
      <c r="F161" s="2" t="n">
        <v>2</v>
      </c>
      <c r="G161" s="2" t="n">
        <v>5</v>
      </c>
      <c r="H161" s="2" t="inlineStr">
        <is>
          <t>LC/PC</t>
        </is>
      </c>
      <c r="I161" s="2" t="inlineStr">
        <is>
          <t>SC/APC</t>
        </is>
      </c>
      <c r="J161" s="2" t="n"/>
      <c r="K161" s="2" t="n"/>
      <c r="L161" s="2" t="n"/>
      <c r="M161" s="2" t="n"/>
      <c r="N161" s="2" t="n">
        <v>60</v>
      </c>
      <c r="O161" s="2" t="n"/>
      <c r="P161" s="2" t="n">
        <v>100</v>
      </c>
      <c r="Q161" s="2" t="n"/>
      <c r="R161" s="2" t="n"/>
      <c r="S161" s="2" t="n"/>
      <c r="T161" s="2" t="n"/>
      <c r="U161" s="2" t="n"/>
      <c r="V161" s="2">
        <f>SUM(J161:U161)*G161</f>
        <v/>
      </c>
      <c r="W161" s="2">
        <f>MAX(J161:U161)</f>
        <v/>
      </c>
      <c r="X161" s="2">
        <f>W161*G161</f>
        <v/>
      </c>
    </row>
    <row r="162">
      <c r="A162" s="2" t="inlineStr">
        <is>
          <t>14-D-284</t>
        </is>
      </c>
      <c r="B162" s="3" t="inlineStr">
        <is>
          <t>DOJC-SM-LC/PC-SC/PC</t>
        </is>
      </c>
      <c r="C162" s="2" t="inlineStr">
        <is>
          <t>10M</t>
        </is>
      </c>
      <c r="D162" s="2" t="inlineStr">
        <is>
          <t>a1</t>
        </is>
      </c>
      <c r="E162" s="2" t="inlineStr">
        <is>
          <t>2.0mm</t>
        </is>
      </c>
      <c r="F162" s="2" t="n">
        <v>2</v>
      </c>
      <c r="G162" s="2" t="n">
        <v>10</v>
      </c>
      <c r="H162" s="2" t="inlineStr">
        <is>
          <t>LC/PC</t>
        </is>
      </c>
      <c r="I162" s="2" t="inlineStr">
        <is>
          <t>SC/PC</t>
        </is>
      </c>
      <c r="J162" s="2" t="n"/>
      <c r="K162" s="2" t="n"/>
      <c r="L162" s="2" t="n"/>
      <c r="M162" s="2" t="n">
        <v>60</v>
      </c>
      <c r="N162" s="2" t="n"/>
      <c r="O162" s="2" t="n">
        <v>10</v>
      </c>
      <c r="P162" s="2" t="n"/>
      <c r="Q162" s="2" t="n"/>
      <c r="R162" s="2" t="n"/>
      <c r="S162" s="2" t="n"/>
      <c r="T162" s="2" t="n"/>
      <c r="U162" s="2" t="n"/>
      <c r="V162" s="2">
        <f>SUM(J162:U162)*G162</f>
        <v/>
      </c>
      <c r="W162" s="2">
        <f>MAX(J162:U162)</f>
        <v/>
      </c>
      <c r="X162" s="2">
        <f>W162*G162</f>
        <v/>
      </c>
    </row>
    <row r="163">
      <c r="A163" s="2" t="inlineStr">
        <is>
          <t>14-D-286</t>
        </is>
      </c>
      <c r="B163" s="3" t="inlineStr">
        <is>
          <t>DOJC-SM-LC/PC-SC/PC</t>
        </is>
      </c>
      <c r="C163" s="2" t="inlineStr">
        <is>
          <t>12M</t>
        </is>
      </c>
      <c r="D163" s="2" t="inlineStr">
        <is>
          <t>a1</t>
        </is>
      </c>
      <c r="E163" s="2" t="inlineStr">
        <is>
          <t>2.0mm</t>
        </is>
      </c>
      <c r="F163" s="2" t="n">
        <v>2</v>
      </c>
      <c r="G163" s="2" t="n">
        <v>12</v>
      </c>
      <c r="H163" s="2" t="inlineStr">
        <is>
          <t>LC/PC</t>
        </is>
      </c>
      <c r="I163" s="2" t="inlineStr">
        <is>
          <t>SC/PC</t>
        </is>
      </c>
      <c r="J163" s="2" t="n"/>
      <c r="K163" s="2" t="n"/>
      <c r="L163" s="2" t="n"/>
      <c r="M163" s="2" t="n"/>
      <c r="N163" s="2" t="n">
        <v>20</v>
      </c>
      <c r="O163" s="2" t="n"/>
      <c r="P163" s="2" t="n"/>
      <c r="Q163" s="2" t="n"/>
      <c r="R163" s="2" t="n"/>
      <c r="S163" s="2" t="n"/>
      <c r="T163" s="2" t="n"/>
      <c r="U163" s="2" t="n"/>
      <c r="V163" s="2">
        <f>SUM(J163:U163)*G163</f>
        <v/>
      </c>
      <c r="W163" s="2">
        <f>MAX(J163:U163)</f>
        <v/>
      </c>
      <c r="X163" s="2">
        <f>W163*G163</f>
        <v/>
      </c>
    </row>
    <row r="164">
      <c r="A164" s="2" t="inlineStr">
        <is>
          <t>14-D-295</t>
        </is>
      </c>
      <c r="B164" s="3" t="inlineStr">
        <is>
          <t>DOJC-SM-LC/PC-SC/PC</t>
        </is>
      </c>
      <c r="C164" s="2" t="inlineStr">
        <is>
          <t>20M</t>
        </is>
      </c>
      <c r="D164" s="2" t="inlineStr">
        <is>
          <t>a1</t>
        </is>
      </c>
      <c r="E164" s="2" t="inlineStr">
        <is>
          <t>2.0mm</t>
        </is>
      </c>
      <c r="F164" s="2" t="n">
        <v>2</v>
      </c>
      <c r="G164" s="2" t="n">
        <v>20</v>
      </c>
      <c r="H164" s="2" t="inlineStr">
        <is>
          <t>LC/PC</t>
        </is>
      </c>
      <c r="I164" s="2" t="inlineStr">
        <is>
          <t>SC/PC</t>
        </is>
      </c>
      <c r="J164" s="2" t="n"/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SUM(J164:U164)*G164</f>
        <v/>
      </c>
      <c r="W164" s="2">
        <f>MAX(J164:U164)</f>
        <v/>
      </c>
      <c r="X164" s="2">
        <f>W164*G164</f>
        <v/>
      </c>
    </row>
    <row r="165">
      <c r="A165" s="2" t="inlineStr">
        <is>
          <t>14-D-300</t>
        </is>
      </c>
      <c r="B165" s="3" t="inlineStr">
        <is>
          <t>DOJC-SM-LC/PC-SC/PC</t>
        </is>
      </c>
      <c r="C165" s="2" t="inlineStr">
        <is>
          <t>25M</t>
        </is>
      </c>
      <c r="D165" s="2" t="inlineStr">
        <is>
          <t>a1</t>
        </is>
      </c>
      <c r="E165" s="2" t="inlineStr">
        <is>
          <t>2.0mm</t>
        </is>
      </c>
      <c r="F165" s="2" t="n">
        <v>2</v>
      </c>
      <c r="G165" s="2" t="n">
        <v>25</v>
      </c>
      <c r="H165" s="2" t="inlineStr">
        <is>
          <t>LC/PC</t>
        </is>
      </c>
      <c r="I165" s="2" t="inlineStr">
        <is>
          <t>SC/PC</t>
        </is>
      </c>
      <c r="J165" s="2" t="n"/>
      <c r="K165" s="2" t="n"/>
      <c r="L165" s="2" t="n"/>
      <c r="M165" s="2" t="n"/>
      <c r="N165" s="2" t="n">
        <v>40</v>
      </c>
      <c r="O165" s="2" t="n"/>
      <c r="P165" s="2" t="n"/>
      <c r="Q165" s="2" t="n"/>
      <c r="R165" s="2" t="n"/>
      <c r="S165" s="2" t="n"/>
      <c r="T165" s="2" t="n"/>
      <c r="U165" s="2" t="n"/>
      <c r="V165" s="2">
        <f>SUM(J165:U165)*G165</f>
        <v/>
      </c>
      <c r="W165" s="2">
        <f>MAX(J165:U165)</f>
        <v/>
      </c>
      <c r="X165" s="2">
        <f>W165*G165</f>
        <v/>
      </c>
    </row>
    <row r="166">
      <c r="A166" s="2" t="inlineStr">
        <is>
          <t>14-D-303</t>
        </is>
      </c>
      <c r="B166" s="3" t="inlineStr">
        <is>
          <t>DOJC-SM-LC/PC-SC/PC</t>
        </is>
      </c>
      <c r="C166" s="2" t="inlineStr">
        <is>
          <t>2M</t>
        </is>
      </c>
      <c r="D166" s="2" t="inlineStr">
        <is>
          <t>a1</t>
        </is>
      </c>
      <c r="E166" s="2" t="inlineStr">
        <is>
          <t>2.0mm</t>
        </is>
      </c>
      <c r="F166" s="2" t="n">
        <v>2</v>
      </c>
      <c r="G166" s="2" t="n">
        <v>2</v>
      </c>
      <c r="H166" s="2" t="inlineStr">
        <is>
          <t>LC/PC</t>
        </is>
      </c>
      <c r="I166" s="2" t="inlineStr">
        <is>
          <t>SC/PC</t>
        </is>
      </c>
      <c r="J166" s="2" t="n"/>
      <c r="K166" s="2" t="n"/>
      <c r="L166" s="2" t="n"/>
      <c r="M166" s="2" t="n">
        <v>50</v>
      </c>
      <c r="N166" s="2" t="n"/>
      <c r="O166" s="2" t="n"/>
      <c r="P166" s="2" t="n"/>
      <c r="Q166" s="2" t="n"/>
      <c r="R166" s="2" t="n">
        <v>10</v>
      </c>
      <c r="S166" s="2" t="n"/>
      <c r="T166" s="2" t="n"/>
      <c r="U166" s="2" t="n"/>
      <c r="V166" s="2">
        <f>SUM(J166:U166)*G166</f>
        <v/>
      </c>
      <c r="W166" s="2">
        <f>MAX(J166:U166)</f>
        <v/>
      </c>
      <c r="X166" s="2">
        <f>W166*G166</f>
        <v/>
      </c>
    </row>
    <row r="167">
      <c r="A167" s="2" t="inlineStr">
        <is>
          <t>14-D-307</t>
        </is>
      </c>
      <c r="B167" s="3" t="inlineStr">
        <is>
          <t>DOJC-SM-LC/PC-SC/PC</t>
        </is>
      </c>
      <c r="C167" s="2" t="inlineStr">
        <is>
          <t>3M</t>
        </is>
      </c>
      <c r="D167" s="2" t="inlineStr">
        <is>
          <t>a1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SC/PC</t>
        </is>
      </c>
      <c r="J167" s="2" t="n"/>
      <c r="K167" s="2" t="n">
        <v>23</v>
      </c>
      <c r="L167" s="2" t="n">
        <v>6</v>
      </c>
      <c r="M167" s="2" t="n"/>
      <c r="N167" s="2" t="n">
        <v>88</v>
      </c>
      <c r="O167" s="2" t="n">
        <v>80</v>
      </c>
      <c r="P167" s="2" t="n">
        <v>40</v>
      </c>
      <c r="Q167" s="2" t="n">
        <v>30</v>
      </c>
      <c r="R167" s="2" t="n"/>
      <c r="S167" s="2" t="n">
        <v>100</v>
      </c>
      <c r="T167" s="2" t="n">
        <v>75</v>
      </c>
      <c r="U167" s="2" t="n">
        <v>15</v>
      </c>
      <c r="V167" s="2">
        <f>SUM(J167:U167)*G167</f>
        <v/>
      </c>
      <c r="W167" s="2">
        <f>MAX(J167:U167)</f>
        <v/>
      </c>
      <c r="X167" s="2">
        <f>W167*G167</f>
        <v/>
      </c>
    </row>
    <row r="168">
      <c r="A168" s="2" t="inlineStr">
        <is>
          <t>14-D-310</t>
        </is>
      </c>
      <c r="B168" s="3" t="inlineStr">
        <is>
          <t>DOJC-SM-LC/PC-SC/PC</t>
        </is>
      </c>
      <c r="C168" s="2" t="inlineStr">
        <is>
          <t>4M</t>
        </is>
      </c>
      <c r="D168" s="2" t="inlineStr">
        <is>
          <t>a1</t>
        </is>
      </c>
      <c r="E168" s="2" t="inlineStr">
        <is>
          <t>2.0mm</t>
        </is>
      </c>
      <c r="F168" s="2" t="n">
        <v>2</v>
      </c>
      <c r="G168" s="2" t="n">
        <v>4</v>
      </c>
      <c r="H168" s="2" t="inlineStr">
        <is>
          <t>LC/PC</t>
        </is>
      </c>
      <c r="I168" s="2" t="inlineStr">
        <is>
          <t>SC/PC</t>
        </is>
      </c>
      <c r="J168" s="2" t="n"/>
      <c r="K168" s="2" t="n"/>
      <c r="L168" s="2" t="n"/>
      <c r="M168" s="2" t="n"/>
      <c r="N168" s="2" t="n">
        <v>30</v>
      </c>
      <c r="O168" s="2" t="n"/>
      <c r="P168" s="2" t="n"/>
      <c r="Q168" s="2" t="n">
        <v>50</v>
      </c>
      <c r="R168" s="2" t="n"/>
      <c r="S168" s="2" t="n"/>
      <c r="T168" s="2" t="n"/>
      <c r="U168" s="2" t="n"/>
      <c r="V168" s="2">
        <f>SUM(J168:U168)*G168</f>
        <v/>
      </c>
      <c r="W168" s="2">
        <f>MAX(J168:U168)</f>
        <v/>
      </c>
      <c r="X168" s="2">
        <f>W168*G168</f>
        <v/>
      </c>
    </row>
    <row r="169">
      <c r="A169" s="2" t="inlineStr">
        <is>
          <t>14-D-311</t>
        </is>
      </c>
      <c r="B169" s="3" t="inlineStr">
        <is>
          <t>DOJC-SM-LC/PC-SC/PC</t>
        </is>
      </c>
      <c r="C169" s="2" t="inlineStr">
        <is>
          <t>50M</t>
        </is>
      </c>
      <c r="D169" s="2" t="inlineStr">
        <is>
          <t>a1</t>
        </is>
      </c>
      <c r="E169" s="2" t="inlineStr">
        <is>
          <t>2.0mm</t>
        </is>
      </c>
      <c r="F169" s="2" t="n">
        <v>2</v>
      </c>
      <c r="G169" s="2" t="n">
        <v>50</v>
      </c>
      <c r="H169" s="2" t="inlineStr">
        <is>
          <t>LC/PC</t>
        </is>
      </c>
      <c r="I169" s="2" t="inlineStr">
        <is>
          <t>SC/PC</t>
        </is>
      </c>
      <c r="J169" s="2" t="n"/>
      <c r="K169" s="2" t="n"/>
      <c r="L169" s="2" t="n"/>
      <c r="M169" s="2" t="n">
        <v>10</v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>
        <f>SUM(J169:U169)*G169</f>
        <v/>
      </c>
      <c r="W169" s="2">
        <f>MAX(J169:U169)</f>
        <v/>
      </c>
      <c r="X169" s="2">
        <f>W169*G169</f>
        <v/>
      </c>
    </row>
    <row r="170">
      <c r="A170" s="2" t="inlineStr">
        <is>
          <t>14-D-313</t>
        </is>
      </c>
      <c r="B170" s="3" t="inlineStr">
        <is>
          <t>DOJC-SM-LC/PC-SC/PC</t>
        </is>
      </c>
      <c r="C170" s="2" t="inlineStr">
        <is>
          <t>5M</t>
        </is>
      </c>
      <c r="D170" s="2" t="inlineStr">
        <is>
          <t>a1</t>
        </is>
      </c>
      <c r="E170" s="2" t="inlineStr">
        <is>
          <t>2.0mm</t>
        </is>
      </c>
      <c r="F170" s="2" t="n">
        <v>2</v>
      </c>
      <c r="G170" s="2" t="n">
        <v>5</v>
      </c>
      <c r="H170" s="2" t="inlineStr">
        <is>
          <t>LC/PC</t>
        </is>
      </c>
      <c r="I170" s="2" t="inlineStr">
        <is>
          <t>SC/PC</t>
        </is>
      </c>
      <c r="J170" s="2" t="n"/>
      <c r="K170" s="2" t="n"/>
      <c r="L170" s="2" t="n"/>
      <c r="M170" s="2" t="n"/>
      <c r="N170" s="2" t="n"/>
      <c r="O170" s="2" t="n"/>
      <c r="P170" s="2" t="n">
        <v>10</v>
      </c>
      <c r="Q170" s="2" t="n"/>
      <c r="R170" s="2" t="n"/>
      <c r="S170" s="2" t="n"/>
      <c r="T170" s="2" t="n"/>
      <c r="U170" s="2" t="n"/>
      <c r="V170" s="2">
        <f>SUM(J170:U170)*G170</f>
        <v/>
      </c>
      <c r="W170" s="2">
        <f>MAX(J170:U170)</f>
        <v/>
      </c>
      <c r="X170" s="2">
        <f>W170*G170</f>
        <v/>
      </c>
    </row>
    <row r="171">
      <c r="A171" s="2" t="inlineStr">
        <is>
          <t>14-D-344</t>
        </is>
      </c>
      <c r="B171" s="3" t="inlineStr">
        <is>
          <t>DOJC-SM-MTRJ-LC/PC</t>
        </is>
      </c>
      <c r="C171" s="2" t="inlineStr">
        <is>
          <t>45M</t>
        </is>
      </c>
      <c r="D171" s="2" t="inlineStr">
        <is>
          <t>a1</t>
        </is>
      </c>
      <c r="E171" s="2" t="inlineStr">
        <is>
          <t>2.0mm</t>
        </is>
      </c>
      <c r="F171" s="2" t="n">
        <v>2</v>
      </c>
      <c r="G171" s="2" t="n">
        <v>45</v>
      </c>
      <c r="H171" s="2" t="inlineStr">
        <is>
          <t>LC/PC</t>
        </is>
      </c>
      <c r="I171" s="2" t="inlineStr">
        <is>
          <t>LC/PC</t>
        </is>
      </c>
      <c r="J171" s="2" t="n"/>
      <c r="K171" s="2" t="n">
        <v>1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>
        <f>SUM(J171:U171)*G171</f>
        <v/>
      </c>
      <c r="W171" s="2">
        <f>MAX(J171:U171)</f>
        <v/>
      </c>
      <c r="X171" s="2">
        <f>W171*G171</f>
        <v/>
      </c>
    </row>
    <row r="172">
      <c r="A172" s="2" t="inlineStr">
        <is>
          <t>14-D-379</t>
        </is>
      </c>
      <c r="B172" s="3" t="inlineStr">
        <is>
          <t>DOJC-SM-SC/APC-SC/APC</t>
        </is>
      </c>
      <c r="C172" s="2" t="inlineStr">
        <is>
          <t>10M</t>
        </is>
      </c>
      <c r="D172" s="2" t="inlineStr">
        <is>
          <t>a1</t>
        </is>
      </c>
      <c r="E172" s="2" t="inlineStr">
        <is>
          <t>2.0mm</t>
        </is>
      </c>
      <c r="F172" s="2" t="n">
        <v>2</v>
      </c>
      <c r="G172" s="2" t="n">
        <v>10</v>
      </c>
      <c r="H172" s="2" t="inlineStr">
        <is>
          <t>SC/APC</t>
        </is>
      </c>
      <c r="I172" s="2" t="inlineStr">
        <is>
          <t>SC/APC</t>
        </is>
      </c>
      <c r="J172" s="2" t="n"/>
      <c r="K172" s="2" t="n"/>
      <c r="L172" s="2" t="n">
        <v>3</v>
      </c>
      <c r="M172" s="2" t="n">
        <v>3</v>
      </c>
      <c r="N172" s="2" t="n">
        <v>11</v>
      </c>
      <c r="O172" s="2" t="n"/>
      <c r="P172" s="2" t="n">
        <v>3</v>
      </c>
      <c r="Q172" s="2" t="n"/>
      <c r="R172" s="2" t="n"/>
      <c r="S172" s="2" t="n"/>
      <c r="T172" s="2" t="n"/>
      <c r="U172" s="2" t="n"/>
      <c r="V172" s="2">
        <f>SUM(J172:U172)*G172</f>
        <v/>
      </c>
      <c r="W172" s="2">
        <f>MAX(J172:U172)</f>
        <v/>
      </c>
      <c r="X172" s="2">
        <f>W172*G172</f>
        <v/>
      </c>
    </row>
    <row r="173">
      <c r="A173" s="2" t="inlineStr">
        <is>
          <t>14-D-380</t>
        </is>
      </c>
      <c r="B173" s="3" t="inlineStr">
        <is>
          <t>DOJC-SM-SC/APC-SC/APC</t>
        </is>
      </c>
      <c r="C173" s="2" t="inlineStr">
        <is>
          <t>12M</t>
        </is>
      </c>
      <c r="D173" s="2" t="inlineStr">
        <is>
          <t>a1</t>
        </is>
      </c>
      <c r="E173" s="2" t="inlineStr">
        <is>
          <t>2.0mm</t>
        </is>
      </c>
      <c r="F173" s="2" t="n">
        <v>2</v>
      </c>
      <c r="G173" s="2" t="n">
        <v>12</v>
      </c>
      <c r="H173" s="2" t="inlineStr">
        <is>
          <t>SC/APC</t>
        </is>
      </c>
      <c r="I173" s="2" t="inlineStr">
        <is>
          <t>SC/APC</t>
        </is>
      </c>
      <c r="J173" s="2" t="n"/>
      <c r="K173" s="2" t="n"/>
      <c r="L173" s="2" t="n"/>
      <c r="M173" s="2" t="n"/>
      <c r="N173" s="2" t="n">
        <v>21</v>
      </c>
      <c r="O173" s="2" t="n"/>
      <c r="P173" s="2" t="n"/>
      <c r="Q173" s="2" t="n"/>
      <c r="R173" s="2" t="n"/>
      <c r="S173" s="2" t="n"/>
      <c r="T173" s="2" t="n"/>
      <c r="U173" s="2" t="n"/>
      <c r="V173" s="2">
        <f>SUM(J173:U173)*G173</f>
        <v/>
      </c>
      <c r="W173" s="2">
        <f>MAX(J173:U173)</f>
        <v/>
      </c>
      <c r="X173" s="2">
        <f>W173*G173</f>
        <v/>
      </c>
    </row>
    <row r="174">
      <c r="A174" s="2" t="inlineStr">
        <is>
          <t>14-D-381</t>
        </is>
      </c>
      <c r="B174" s="3" t="inlineStr">
        <is>
          <t>DOJC-SM-SC/APC-SC/APC</t>
        </is>
      </c>
      <c r="C174" s="2" t="inlineStr">
        <is>
          <t>15M</t>
        </is>
      </c>
      <c r="D174" s="2" t="inlineStr">
        <is>
          <t>a1</t>
        </is>
      </c>
      <c r="E174" s="2" t="inlineStr">
        <is>
          <t>2.0mm</t>
        </is>
      </c>
      <c r="F174" s="2" t="n">
        <v>2</v>
      </c>
      <c r="G174" s="2" t="n">
        <v>15</v>
      </c>
      <c r="H174" s="2" t="inlineStr">
        <is>
          <t>SC/APC</t>
        </is>
      </c>
      <c r="I174" s="2" t="inlineStr">
        <is>
          <t>SC/APC</t>
        </is>
      </c>
      <c r="J174" s="2" t="n"/>
      <c r="K174" s="2" t="n"/>
      <c r="L174" s="2" t="n"/>
      <c r="M174" s="2" t="n"/>
      <c r="N174" s="2" t="n">
        <v>32</v>
      </c>
      <c r="O174" s="2" t="n"/>
      <c r="P174" s="2" t="n"/>
      <c r="Q174" s="2" t="n"/>
      <c r="R174" s="2" t="n"/>
      <c r="S174" s="2" t="n"/>
      <c r="T174" s="2" t="n"/>
      <c r="U174" s="2" t="n"/>
      <c r="V174" s="2">
        <f>SUM(J174:U174)*G174</f>
        <v/>
      </c>
      <c r="W174" s="2">
        <f>MAX(J174:U174)</f>
        <v/>
      </c>
      <c r="X174" s="2">
        <f>W174*G174</f>
        <v/>
      </c>
    </row>
    <row r="175">
      <c r="A175" s="2" t="inlineStr">
        <is>
          <t>14-D-382</t>
        </is>
      </c>
      <c r="B175" s="3" t="inlineStr">
        <is>
          <t>DOJC-SM-SC/APC-SC/APC</t>
        </is>
      </c>
      <c r="C175" s="2" t="inlineStr">
        <is>
          <t>1M</t>
        </is>
      </c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1</v>
      </c>
      <c r="H175" s="2" t="inlineStr">
        <is>
          <t>SC/APC</t>
        </is>
      </c>
      <c r="I175" s="2" t="inlineStr">
        <is>
          <t>SC/APC</t>
        </is>
      </c>
      <c r="J175" s="2" t="n"/>
      <c r="K175" s="2" t="n">
        <v>34</v>
      </c>
      <c r="L175" s="2" t="n"/>
      <c r="M175" s="2" t="n"/>
      <c r="N175" s="2" t="n">
        <v>15</v>
      </c>
      <c r="O175" s="2" t="n"/>
      <c r="P175" s="2" t="n">
        <v>7</v>
      </c>
      <c r="Q175" s="2" t="n"/>
      <c r="R175" s="2" t="n"/>
      <c r="S175" s="2" t="n"/>
      <c r="T175" s="2" t="n"/>
      <c r="U175" s="2" t="n"/>
      <c r="V175" s="2">
        <f>SUM(J175:U175)*G175</f>
        <v/>
      </c>
      <c r="W175" s="2">
        <f>MAX(J175:U175)</f>
        <v/>
      </c>
      <c r="X175" s="2">
        <f>W175*G175</f>
        <v/>
      </c>
    </row>
    <row r="176">
      <c r="A176" s="2" t="inlineStr">
        <is>
          <t>14-D-383</t>
        </is>
      </c>
      <c r="B176" s="3" t="inlineStr">
        <is>
          <t>DOJC-SM-SC/APC-SC/APC</t>
        </is>
      </c>
      <c r="C176" s="2" t="inlineStr">
        <is>
          <t>20M</t>
        </is>
      </c>
      <c r="D176" s="2" t="inlineStr">
        <is>
          <t>a1</t>
        </is>
      </c>
      <c r="E176" s="2" t="inlineStr">
        <is>
          <t>2.0mm</t>
        </is>
      </c>
      <c r="F176" s="2" t="n">
        <v>2</v>
      </c>
      <c r="G176" s="2" t="n">
        <v>20</v>
      </c>
      <c r="H176" s="2" t="inlineStr">
        <is>
          <t>SC/APC</t>
        </is>
      </c>
      <c r="I176" s="2" t="inlineStr">
        <is>
          <t>SC/APC</t>
        </is>
      </c>
      <c r="J176" s="2" t="n"/>
      <c r="K176" s="2" t="n"/>
      <c r="L176" s="2" t="n">
        <v>2</v>
      </c>
      <c r="M176" s="2" t="n"/>
      <c r="N176" s="2" t="n">
        <v>20</v>
      </c>
      <c r="O176" s="2" t="n">
        <v>2</v>
      </c>
      <c r="P176" s="2" t="n">
        <v>1</v>
      </c>
      <c r="Q176" s="2" t="n"/>
      <c r="R176" s="2" t="n"/>
      <c r="S176" s="2" t="n"/>
      <c r="T176" s="2" t="n"/>
      <c r="U176" s="2" t="n"/>
      <c r="V176" s="2">
        <f>SUM(J176:U176)*G176</f>
        <v/>
      </c>
      <c r="W176" s="2">
        <f>MAX(J176:U176)</f>
        <v/>
      </c>
      <c r="X176" s="2">
        <f>W176*G176</f>
        <v/>
      </c>
    </row>
    <row r="177">
      <c r="A177" s="2" t="inlineStr">
        <is>
          <t>14-D-386</t>
        </is>
      </c>
      <c r="B177" s="3" t="inlineStr">
        <is>
          <t>DOJC-SM-SC/APC-SC/APC</t>
        </is>
      </c>
      <c r="C177" s="2" t="inlineStr">
        <is>
          <t>30M</t>
        </is>
      </c>
      <c r="D177" s="2" t="inlineStr">
        <is>
          <t>a1</t>
        </is>
      </c>
      <c r="E177" s="2" t="inlineStr">
        <is>
          <t>2.0mm</t>
        </is>
      </c>
      <c r="F177" s="2" t="n">
        <v>2</v>
      </c>
      <c r="G177" s="2" t="n">
        <v>30</v>
      </c>
      <c r="H177" s="2" t="inlineStr">
        <is>
          <t>SC/APC</t>
        </is>
      </c>
      <c r="I177" s="2" t="inlineStr">
        <is>
          <t>SC/APC</t>
        </is>
      </c>
      <c r="J177" s="2" t="n"/>
      <c r="K177" s="2" t="n"/>
      <c r="L177" s="2" t="n">
        <v>1</v>
      </c>
      <c r="M177" s="2" t="n"/>
      <c r="N177" s="2" t="n">
        <v>20</v>
      </c>
      <c r="O177" s="2" t="n"/>
      <c r="P177" s="2" t="n"/>
      <c r="Q177" s="2" t="n"/>
      <c r="R177" s="2" t="n">
        <v>1</v>
      </c>
      <c r="S177" s="2" t="n"/>
      <c r="T177" s="2" t="n"/>
      <c r="U177" s="2" t="n"/>
      <c r="V177" s="2">
        <f>SUM(J177:U177)*G177</f>
        <v/>
      </c>
      <c r="W177" s="2">
        <f>MAX(J177:U177)</f>
        <v/>
      </c>
      <c r="X177" s="2">
        <f>W177*G177</f>
        <v/>
      </c>
    </row>
    <row r="178">
      <c r="A178" s="2" t="inlineStr">
        <is>
          <t>14-D-388</t>
        </is>
      </c>
      <c r="B178" s="3" t="inlineStr">
        <is>
          <t>DOJC-SM-SC/APC-SC/APC</t>
        </is>
      </c>
      <c r="C178" s="2" t="inlineStr">
        <is>
          <t>3M</t>
        </is>
      </c>
      <c r="D178" s="2" t="inlineStr">
        <is>
          <t>a1</t>
        </is>
      </c>
      <c r="E178" s="2" t="inlineStr">
        <is>
          <t>2.0mm</t>
        </is>
      </c>
      <c r="F178" s="2" t="n">
        <v>2</v>
      </c>
      <c r="G178" s="2" t="n">
        <v>3</v>
      </c>
      <c r="H178" s="2" t="inlineStr">
        <is>
          <t>SC/APC</t>
        </is>
      </c>
      <c r="I178" s="2" t="inlineStr">
        <is>
          <t>SC/APC</t>
        </is>
      </c>
      <c r="J178" s="2" t="n"/>
      <c r="K178" s="2" t="n"/>
      <c r="L178" s="2" t="n"/>
      <c r="M178" s="2" t="n"/>
      <c r="N178" s="2" t="n">
        <v>17</v>
      </c>
      <c r="O178" s="2" t="n"/>
      <c r="P178" s="2" t="n"/>
      <c r="Q178" s="2" t="n"/>
      <c r="R178" s="2" t="n">
        <v>20</v>
      </c>
      <c r="S178" s="2" t="n"/>
      <c r="T178" s="2" t="n"/>
      <c r="U178" s="2" t="n"/>
      <c r="V178" s="2">
        <f>SUM(J178:U178)*G178</f>
        <v/>
      </c>
      <c r="W178" s="2">
        <f>MAX(J178:U178)</f>
        <v/>
      </c>
      <c r="X178" s="2">
        <f>W178*G178</f>
        <v/>
      </c>
    </row>
    <row r="179">
      <c r="A179" s="2" t="inlineStr">
        <is>
          <t>14-D-389</t>
        </is>
      </c>
      <c r="B179" s="3" t="inlineStr">
        <is>
          <t>DOJC-SM-SC/APC-SC/APC</t>
        </is>
      </c>
      <c r="C179" s="2" t="inlineStr">
        <is>
          <t>40M</t>
        </is>
      </c>
      <c r="D179" s="2" t="inlineStr">
        <is>
          <t>a1</t>
        </is>
      </c>
      <c r="E179" s="2" t="inlineStr">
        <is>
          <t>2.0mm</t>
        </is>
      </c>
      <c r="F179" s="2" t="n">
        <v>2</v>
      </c>
      <c r="G179" s="2" t="n">
        <v>40</v>
      </c>
      <c r="H179" s="2" t="inlineStr">
        <is>
          <t>SC/APC</t>
        </is>
      </c>
      <c r="I179" s="2" t="inlineStr">
        <is>
          <t>SC/APC</t>
        </is>
      </c>
      <c r="J179" s="2" t="n"/>
      <c r="K179" s="2" t="n"/>
      <c r="L179" s="2" t="n"/>
      <c r="M179" s="2" t="n"/>
      <c r="N179" s="2" t="n">
        <v>10</v>
      </c>
      <c r="O179" s="2" t="n"/>
      <c r="P179" s="2" t="n"/>
      <c r="Q179" s="2" t="n"/>
      <c r="R179" s="2" t="n"/>
      <c r="S179" s="2" t="n"/>
      <c r="T179" s="2" t="n"/>
      <c r="U179" s="2" t="n"/>
      <c r="V179" s="2">
        <f>SUM(J179:U179)*G179</f>
        <v/>
      </c>
      <c r="W179" s="2">
        <f>MAX(J179:U179)</f>
        <v/>
      </c>
      <c r="X179" s="2">
        <f>W179*G179</f>
        <v/>
      </c>
    </row>
    <row r="180">
      <c r="A180" s="2" t="inlineStr">
        <is>
          <t>14-D-394</t>
        </is>
      </c>
      <c r="B180" s="3" t="inlineStr">
        <is>
          <t>DOJC-SM-SC/APC-SC/APC</t>
        </is>
      </c>
      <c r="C180" s="2" t="inlineStr">
        <is>
          <t>7M</t>
        </is>
      </c>
      <c r="D180" s="2" t="inlineStr">
        <is>
          <t>a1</t>
        </is>
      </c>
      <c r="E180" s="2" t="inlineStr">
        <is>
          <t>2.0mm</t>
        </is>
      </c>
      <c r="F180" s="2" t="n">
        <v>2</v>
      </c>
      <c r="G180" s="2" t="n">
        <v>7</v>
      </c>
      <c r="H180" s="2" t="inlineStr">
        <is>
          <t>SC/APC</t>
        </is>
      </c>
      <c r="I180" s="2" t="inlineStr">
        <is>
          <t>SC/APC</t>
        </is>
      </c>
      <c r="J180" s="2" t="n"/>
      <c r="K180" s="2" t="n"/>
      <c r="L180" s="2" t="n"/>
      <c r="M180" s="2" t="n">
        <v>1</v>
      </c>
      <c r="N180" s="2" t="n"/>
      <c r="O180" s="2" t="n"/>
      <c r="P180" s="2" t="n">
        <v>1</v>
      </c>
      <c r="Q180" s="2" t="n"/>
      <c r="R180" s="2" t="n"/>
      <c r="S180" s="2" t="n"/>
      <c r="T180" s="2" t="n"/>
      <c r="U180" s="2" t="n"/>
      <c r="V180" s="2">
        <f>SUM(J180:U180)*G180</f>
        <v/>
      </c>
      <c r="W180" s="2">
        <f>MAX(J180:U180)</f>
        <v/>
      </c>
      <c r="X180" s="2">
        <f>W180*G180</f>
        <v/>
      </c>
    </row>
    <row r="181">
      <c r="A181" s="2" t="inlineStr">
        <is>
          <t>14-D-396</t>
        </is>
      </c>
      <c r="B181" s="3" t="inlineStr">
        <is>
          <t>DOJC-SM-SC/PC-FC/APC</t>
        </is>
      </c>
      <c r="C181" s="2" t="inlineStr">
        <is>
          <t>10M</t>
        </is>
      </c>
      <c r="D181" s="2" t="inlineStr">
        <is>
          <t>a1</t>
        </is>
      </c>
      <c r="E181" s="2" t="inlineStr">
        <is>
          <t>2.0mm</t>
        </is>
      </c>
      <c r="F181" s="2" t="n">
        <v>2</v>
      </c>
      <c r="G181" s="2" t="n">
        <v>10</v>
      </c>
      <c r="H181" s="2" t="inlineStr">
        <is>
          <t>SC/PC</t>
        </is>
      </c>
      <c r="I181" s="2" t="inlineStr">
        <is>
          <t>FC/APC</t>
        </is>
      </c>
      <c r="J181" s="2" t="n"/>
      <c r="K181" s="2" t="n"/>
      <c r="L181" s="2" t="n">
        <v>12</v>
      </c>
      <c r="M181" s="2" t="n"/>
      <c r="N181" s="2" t="n"/>
      <c r="O181" s="2" t="n"/>
      <c r="P181" s="2" t="n"/>
      <c r="Q181" s="2" t="n">
        <v>17</v>
      </c>
      <c r="R181" s="2" t="n"/>
      <c r="S181" s="2" t="n"/>
      <c r="T181" s="2" t="n"/>
      <c r="U181" s="2" t="n"/>
      <c r="V181" s="2">
        <f>SUM(J181:U181)*G181</f>
        <v/>
      </c>
      <c r="W181" s="2">
        <f>MAX(J181:U181)</f>
        <v/>
      </c>
      <c r="X181" s="2">
        <f>W181*G181</f>
        <v/>
      </c>
    </row>
    <row r="182">
      <c r="A182" s="2" t="inlineStr">
        <is>
          <t>14-D-400</t>
        </is>
      </c>
      <c r="B182" s="3" t="inlineStr">
        <is>
          <t>DOJC-SM-SC/PC-FC/APC</t>
        </is>
      </c>
      <c r="C182" s="2" t="inlineStr">
        <is>
          <t>15M</t>
        </is>
      </c>
      <c r="D182" s="2" t="inlineStr">
        <is>
          <t>a1</t>
        </is>
      </c>
      <c r="E182" s="2" t="inlineStr">
        <is>
          <t>2.0mm</t>
        </is>
      </c>
      <c r="F182" s="2" t="n">
        <v>2</v>
      </c>
      <c r="G182" s="2" t="n">
        <v>15</v>
      </c>
      <c r="H182" s="2" t="inlineStr">
        <is>
          <t>SC/PC</t>
        </is>
      </c>
      <c r="I182" s="2" t="inlineStr">
        <is>
          <t>FC/APC</t>
        </is>
      </c>
      <c r="J182" s="2" t="n"/>
      <c r="K182" s="2" t="n"/>
      <c r="L182" s="2" t="n">
        <v>12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>
        <f>SUM(J182:U182)*G182</f>
        <v/>
      </c>
      <c r="W182" s="2">
        <f>MAX(J182:U182)</f>
        <v/>
      </c>
      <c r="X182" s="2">
        <f>W182*G182</f>
        <v/>
      </c>
    </row>
    <row r="183">
      <c r="A183" s="2" t="inlineStr">
        <is>
          <t>14-D-404</t>
        </is>
      </c>
      <c r="B183" s="3" t="inlineStr">
        <is>
          <t>DOJC-SM-SC/PC-FC/APC</t>
        </is>
      </c>
      <c r="C183" s="2" t="inlineStr">
        <is>
          <t>20M</t>
        </is>
      </c>
      <c r="D183" s="2" t="inlineStr">
        <is>
          <t>a1</t>
        </is>
      </c>
      <c r="E183" s="2" t="inlineStr">
        <is>
          <t>2.0mm</t>
        </is>
      </c>
      <c r="F183" s="2" t="n">
        <v>2</v>
      </c>
      <c r="G183" s="2" t="n">
        <v>20</v>
      </c>
      <c r="H183" s="2" t="inlineStr">
        <is>
          <t>SC/PC</t>
        </is>
      </c>
      <c r="I183" s="2" t="inlineStr">
        <is>
          <t>FC/APC</t>
        </is>
      </c>
      <c r="J183" s="2" t="n">
        <v>9</v>
      </c>
      <c r="K183" s="2" t="n"/>
      <c r="L183" s="2" t="n"/>
      <c r="M183" s="2" t="n"/>
      <c r="N183" s="2" t="n">
        <v>65</v>
      </c>
      <c r="O183" s="2" t="n">
        <v>50</v>
      </c>
      <c r="P183" s="2" t="n"/>
      <c r="Q183" s="2" t="n"/>
      <c r="R183" s="2" t="n"/>
      <c r="S183" s="2" t="n"/>
      <c r="T183" s="2" t="n"/>
      <c r="U183" s="2" t="n"/>
      <c r="V183" s="2">
        <f>SUM(J183:U183)*G183</f>
        <v/>
      </c>
      <c r="W183" s="2">
        <f>MAX(J183:U183)</f>
        <v/>
      </c>
      <c r="X183" s="2">
        <f>W183*G183</f>
        <v/>
      </c>
    </row>
    <row r="184">
      <c r="A184" s="2" t="inlineStr">
        <is>
          <t>14-D-409</t>
        </is>
      </c>
      <c r="B184" s="3" t="inlineStr">
        <is>
          <t>DOJC-SM-SC/PC-FC/APC</t>
        </is>
      </c>
      <c r="C184" s="2" t="inlineStr">
        <is>
          <t>30M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30</v>
      </c>
      <c r="H184" s="2" t="inlineStr">
        <is>
          <t>SC/PC</t>
        </is>
      </c>
      <c r="I184" s="2" t="inlineStr">
        <is>
          <t>FC/APC</t>
        </is>
      </c>
      <c r="J184" s="2" t="n"/>
      <c r="K184" s="2" t="n"/>
      <c r="L184" s="2" t="n"/>
      <c r="M184" s="2" t="n"/>
      <c r="N184" s="2" t="n"/>
      <c r="O184" s="2" t="n">
        <v>10</v>
      </c>
      <c r="P184" s="2" t="n"/>
      <c r="Q184" s="2" t="n"/>
      <c r="R184" s="2" t="n"/>
      <c r="S184" s="2" t="n"/>
      <c r="T184" s="2" t="n"/>
      <c r="U184" s="2" t="n"/>
      <c r="V184" s="2">
        <f>SUM(J184:U184)*G184</f>
        <v/>
      </c>
      <c r="W184" s="2">
        <f>MAX(J184:U184)</f>
        <v/>
      </c>
      <c r="X184" s="2">
        <f>W184*G184</f>
        <v/>
      </c>
    </row>
    <row r="185">
      <c r="A185" s="2" t="inlineStr">
        <is>
          <t>14-D-411</t>
        </is>
      </c>
      <c r="B185" s="3" t="inlineStr">
        <is>
          <t>DOJC-SM-SC/PC-FC/APC</t>
        </is>
      </c>
      <c r="C185" s="2" t="inlineStr">
        <is>
          <t>35M</t>
        </is>
      </c>
      <c r="D185" s="2" t="inlineStr">
        <is>
          <t>a1</t>
        </is>
      </c>
      <c r="E185" s="2" t="inlineStr">
        <is>
          <t>2.0mm</t>
        </is>
      </c>
      <c r="F185" s="2" t="n">
        <v>2</v>
      </c>
      <c r="G185" s="2" t="n">
        <v>35</v>
      </c>
      <c r="H185" s="2" t="inlineStr">
        <is>
          <t>SC/PC</t>
        </is>
      </c>
      <c r="I185" s="2" t="inlineStr">
        <is>
          <t>FC/APC</t>
        </is>
      </c>
      <c r="J185" s="2" t="n"/>
      <c r="K185" s="2" t="n">
        <v>3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>
        <f>SUM(J185:U185)*G185</f>
        <v/>
      </c>
      <c r="W185" s="2">
        <f>MAX(J185:U185)</f>
        <v/>
      </c>
      <c r="X185" s="2">
        <f>W185*G185</f>
        <v/>
      </c>
    </row>
    <row r="186">
      <c r="A186" s="2" t="inlineStr">
        <is>
          <t>14-D-427</t>
        </is>
      </c>
      <c r="B186" s="3" t="inlineStr">
        <is>
          <t>DOJC-SM-SC/PC-FC/PC</t>
        </is>
      </c>
      <c r="C186" s="2" t="inlineStr">
        <is>
          <t>12M</t>
        </is>
      </c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12</v>
      </c>
      <c r="H186" s="2" t="inlineStr">
        <is>
          <t>SC/PC</t>
        </is>
      </c>
      <c r="I186" s="2" t="inlineStr">
        <is>
          <t>FC/PC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>
        <v>30</v>
      </c>
      <c r="U186" s="2" t="n"/>
      <c r="V186" s="2">
        <f>SUM(J186:U186)*G186</f>
        <v/>
      </c>
      <c r="W186" s="2">
        <f>MAX(J186:U186)</f>
        <v/>
      </c>
      <c r="X186" s="2">
        <f>W186*G186</f>
        <v/>
      </c>
    </row>
    <row r="187">
      <c r="A187" s="2" t="inlineStr">
        <is>
          <t>14-D-428</t>
        </is>
      </c>
      <c r="B187" s="3" t="inlineStr">
        <is>
          <t>DOJC-SM-SC/PC-FC/PC</t>
        </is>
      </c>
      <c r="C187" s="2" t="inlineStr">
        <is>
          <t>13M</t>
        </is>
      </c>
      <c r="D187" s="2" t="inlineStr">
        <is>
          <t>a1</t>
        </is>
      </c>
      <c r="E187" s="2" t="inlineStr">
        <is>
          <t>2.0mm</t>
        </is>
      </c>
      <c r="F187" s="2" t="n">
        <v>2</v>
      </c>
      <c r="G187" s="2" t="n">
        <v>13</v>
      </c>
      <c r="H187" s="2" t="inlineStr">
        <is>
          <t>SC/PC</t>
        </is>
      </c>
      <c r="I187" s="2" t="inlineStr">
        <is>
          <t>FC/PC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>
        <v>4</v>
      </c>
      <c r="U187" s="2" t="n"/>
      <c r="V187" s="2">
        <f>SUM(J187:U187)*G187</f>
        <v/>
      </c>
      <c r="W187" s="2">
        <f>MAX(J187:U187)</f>
        <v/>
      </c>
      <c r="X187" s="2">
        <f>W187*G187</f>
        <v/>
      </c>
    </row>
    <row r="188">
      <c r="A188" s="2" t="inlineStr">
        <is>
          <t>14-D-429</t>
        </is>
      </c>
      <c r="B188" s="3" t="inlineStr">
        <is>
          <t>DOJC-SM-SC/PC-FC/PC</t>
        </is>
      </c>
      <c r="C188" s="2" t="inlineStr">
        <is>
          <t>15M</t>
        </is>
      </c>
      <c r="D188" s="2" t="inlineStr">
        <is>
          <t>a1</t>
        </is>
      </c>
      <c r="E188" s="2" t="inlineStr">
        <is>
          <t>2.0mm</t>
        </is>
      </c>
      <c r="F188" s="2" t="n">
        <v>2</v>
      </c>
      <c r="G188" s="2" t="n">
        <v>15</v>
      </c>
      <c r="H188" s="2" t="inlineStr">
        <is>
          <t>SC/PC</t>
        </is>
      </c>
      <c r="I188" s="2" t="inlineStr">
        <is>
          <t>FC/PC</t>
        </is>
      </c>
      <c r="J188" s="2" t="n"/>
      <c r="K188" s="2" t="n"/>
      <c r="L188" s="2" t="n"/>
      <c r="M188" s="2" t="n">
        <v>5</v>
      </c>
      <c r="N188" s="2" t="n">
        <v>10</v>
      </c>
      <c r="O188" s="2" t="n"/>
      <c r="P188" s="2" t="n"/>
      <c r="Q188" s="2" t="n"/>
      <c r="R188" s="2" t="n"/>
      <c r="S188" s="2" t="n"/>
      <c r="T188" s="2" t="n">
        <v>4</v>
      </c>
      <c r="U188" s="2" t="n"/>
      <c r="V188" s="2">
        <f>SUM(J188:U188)*G188</f>
        <v/>
      </c>
      <c r="W188" s="2">
        <f>MAX(J188:U188)</f>
        <v/>
      </c>
      <c r="X188" s="2">
        <f>W188*G188</f>
        <v/>
      </c>
    </row>
    <row r="189">
      <c r="A189" s="2" t="inlineStr">
        <is>
          <t>14-D-434</t>
        </is>
      </c>
      <c r="B189" s="3" t="inlineStr">
        <is>
          <t>DOJC-SM-SC/PC-FC/PC</t>
        </is>
      </c>
      <c r="C189" s="2" t="inlineStr">
        <is>
          <t>30M</t>
        </is>
      </c>
      <c r="D189" s="2" t="inlineStr">
        <is>
          <t>a1</t>
        </is>
      </c>
      <c r="E189" s="2" t="inlineStr">
        <is>
          <t>2.0mm</t>
        </is>
      </c>
      <c r="F189" s="2" t="n">
        <v>2</v>
      </c>
      <c r="G189" s="2" t="n">
        <v>30</v>
      </c>
      <c r="H189" s="2" t="inlineStr">
        <is>
          <t>SC/PC</t>
        </is>
      </c>
      <c r="I189" s="2" t="inlineStr">
        <is>
          <t>FC/PC</t>
        </is>
      </c>
      <c r="J189" s="2" t="n"/>
      <c r="K189" s="2" t="n"/>
      <c r="L189" s="2" t="n">
        <v>30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>
        <f>SUM(J189:U189)*G189</f>
        <v/>
      </c>
      <c r="W189" s="2">
        <f>MAX(J189:U189)</f>
        <v/>
      </c>
      <c r="X189" s="2">
        <f>W189*G189</f>
        <v/>
      </c>
    </row>
    <row r="190">
      <c r="A190" s="2" t="inlineStr">
        <is>
          <t>14-D-444</t>
        </is>
      </c>
      <c r="B190" s="3" t="inlineStr">
        <is>
          <t>DOJC-SM-SC/PC-SC/APC</t>
        </is>
      </c>
      <c r="C190" s="2" t="inlineStr">
        <is>
          <t>10M</t>
        </is>
      </c>
      <c r="D190" s="2" t="inlineStr">
        <is>
          <t>a1</t>
        </is>
      </c>
      <c r="E190" s="2" t="inlineStr">
        <is>
          <t>2.0mm</t>
        </is>
      </c>
      <c r="F190" s="2" t="n">
        <v>2</v>
      </c>
      <c r="G190" s="2" t="n">
        <v>10</v>
      </c>
      <c r="H190" s="2" t="inlineStr">
        <is>
          <t>SC/PC</t>
        </is>
      </c>
      <c r="I190" s="2" t="inlineStr">
        <is>
          <t>SC/APC</t>
        </is>
      </c>
      <c r="J190" s="2" t="n"/>
      <c r="K190" s="2" t="n">
        <v>17</v>
      </c>
      <c r="L190" s="2" t="n">
        <v>9</v>
      </c>
      <c r="M190" s="2" t="n"/>
      <c r="N190" s="2" t="n"/>
      <c r="O190" s="2" t="n">
        <v>31</v>
      </c>
      <c r="P190" s="2" t="n">
        <v>15</v>
      </c>
      <c r="Q190" s="2" t="n"/>
      <c r="R190" s="2" t="n"/>
      <c r="S190" s="2" t="n"/>
      <c r="T190" s="2" t="n"/>
      <c r="U190" s="2" t="n"/>
      <c r="V190" s="2">
        <f>SUM(J190:U190)*G190</f>
        <v/>
      </c>
      <c r="W190" s="2">
        <f>MAX(J190:U190)</f>
        <v/>
      </c>
      <c r="X190" s="2">
        <f>W190*G190</f>
        <v/>
      </c>
    </row>
    <row r="191">
      <c r="A191" s="2" t="inlineStr">
        <is>
          <t>14-D-445</t>
        </is>
      </c>
      <c r="B191" s="3" t="inlineStr">
        <is>
          <t>DOJC-SM-SC/PC-SC/APC</t>
        </is>
      </c>
      <c r="C191" s="2" t="inlineStr">
        <is>
          <t>12M</t>
        </is>
      </c>
      <c r="D191" s="2" t="inlineStr">
        <is>
          <t>a1</t>
        </is>
      </c>
      <c r="E191" s="2" t="inlineStr">
        <is>
          <t>2.0mm</t>
        </is>
      </c>
      <c r="F191" s="2" t="n">
        <v>2</v>
      </c>
      <c r="G191" s="2" t="n">
        <v>12</v>
      </c>
      <c r="H191" s="2" t="inlineStr">
        <is>
          <t>SC/PC</t>
        </is>
      </c>
      <c r="I191" s="2" t="inlineStr">
        <is>
          <t>SC/APC</t>
        </is>
      </c>
      <c r="J191" s="2" t="n"/>
      <c r="K191" s="2" t="n"/>
      <c r="L191" s="2" t="n"/>
      <c r="M191" s="2" t="n"/>
      <c r="N191" s="2" t="n">
        <v>2</v>
      </c>
      <c r="O191" s="2" t="n"/>
      <c r="P191" s="2" t="n"/>
      <c r="Q191" s="2" t="n"/>
      <c r="R191" s="2" t="n"/>
      <c r="S191" s="2" t="n"/>
      <c r="T191" s="2" t="n"/>
      <c r="U191" s="2" t="n"/>
      <c r="V191" s="2">
        <f>SUM(J191:U191)*G191</f>
        <v/>
      </c>
      <c r="W191" s="2">
        <f>MAX(J191:U191)</f>
        <v/>
      </c>
      <c r="X191" s="2">
        <f>W191*G191</f>
        <v/>
      </c>
    </row>
    <row r="192">
      <c r="A192" s="2" t="inlineStr">
        <is>
          <t>14-D-447</t>
        </is>
      </c>
      <c r="B192" s="3" t="inlineStr">
        <is>
          <t>DOJC-SM-SC/PC-SC/APC</t>
        </is>
      </c>
      <c r="C192" s="2" t="inlineStr">
        <is>
          <t>15M</t>
        </is>
      </c>
      <c r="D192" s="2" t="inlineStr">
        <is>
          <t>a1</t>
        </is>
      </c>
      <c r="E192" s="2" t="inlineStr">
        <is>
          <t>2.0mm</t>
        </is>
      </c>
      <c r="F192" s="2" t="n">
        <v>2</v>
      </c>
      <c r="G192" s="2" t="n">
        <v>15</v>
      </c>
      <c r="H192" s="2" t="inlineStr">
        <is>
          <t>SC/PC</t>
        </is>
      </c>
      <c r="I192" s="2" t="inlineStr">
        <is>
          <t>SC/APC</t>
        </is>
      </c>
      <c r="J192" s="2" t="n"/>
      <c r="K192" s="2" t="n">
        <v>31</v>
      </c>
      <c r="L192" s="2" t="n"/>
      <c r="M192" s="2" t="n"/>
      <c r="N192" s="2" t="n"/>
      <c r="O192" s="2" t="n"/>
      <c r="P192" s="2" t="n">
        <v>2</v>
      </c>
      <c r="Q192" s="2" t="n"/>
      <c r="R192" s="2" t="n"/>
      <c r="S192" s="2" t="n"/>
      <c r="T192" s="2" t="n"/>
      <c r="U192" s="2" t="n"/>
      <c r="V192" s="2">
        <f>SUM(J192:U192)*G192</f>
        <v/>
      </c>
      <c r="W192" s="2">
        <f>MAX(J192:U192)</f>
        <v/>
      </c>
      <c r="X192" s="2">
        <f>W192*G192</f>
        <v/>
      </c>
    </row>
    <row r="193">
      <c r="A193" s="2" t="inlineStr">
        <is>
          <t>14-D-448</t>
        </is>
      </c>
      <c r="B193" s="3" t="inlineStr">
        <is>
          <t>DOJC-SM-SC/PC-SC/APC</t>
        </is>
      </c>
      <c r="C193" s="2" t="inlineStr">
        <is>
          <t>1M</t>
        </is>
      </c>
      <c r="D193" s="2" t="inlineStr">
        <is>
          <t>a1</t>
        </is>
      </c>
      <c r="E193" s="2" t="inlineStr">
        <is>
          <t>2.0mm</t>
        </is>
      </c>
      <c r="F193" s="2" t="n">
        <v>2</v>
      </c>
      <c r="G193" s="2" t="n">
        <v>1</v>
      </c>
      <c r="H193" s="2" t="inlineStr">
        <is>
          <t>SC/PC</t>
        </is>
      </c>
      <c r="I193" s="2" t="inlineStr">
        <is>
          <t>SC/APC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>
        <v>712</v>
      </c>
      <c r="S193" s="2" t="n"/>
      <c r="T193" s="2" t="n"/>
      <c r="U193" s="2" t="n"/>
      <c r="V193" s="2">
        <f>SUM(J193:U193)*G193</f>
        <v/>
      </c>
      <c r="W193" s="2">
        <f>MAX(J193:U193)</f>
        <v/>
      </c>
      <c r="X193" s="2">
        <f>W193*G193</f>
        <v/>
      </c>
    </row>
    <row r="194">
      <c r="A194" s="2" t="inlineStr">
        <is>
          <t>14-D-449</t>
        </is>
      </c>
      <c r="B194" s="3" t="inlineStr">
        <is>
          <t>DOJC-SM-SC/PC-SC/APC</t>
        </is>
      </c>
      <c r="C194" s="2" t="inlineStr">
        <is>
          <t>20M</t>
        </is>
      </c>
      <c r="D194" s="2" t="inlineStr">
        <is>
          <t>a1</t>
        </is>
      </c>
      <c r="E194" s="2" t="inlineStr">
        <is>
          <t>2.0mm</t>
        </is>
      </c>
      <c r="F194" s="2" t="n">
        <v>2</v>
      </c>
      <c r="G194" s="2" t="n">
        <v>20</v>
      </c>
      <c r="H194" s="2" t="inlineStr">
        <is>
          <t>SC/PC</t>
        </is>
      </c>
      <c r="I194" s="2" t="inlineStr">
        <is>
          <t>SC/APC</t>
        </is>
      </c>
      <c r="J194" s="2" t="n">
        <v>1</v>
      </c>
      <c r="K194" s="2" t="n">
        <v>1</v>
      </c>
      <c r="L194" s="2" t="n"/>
      <c r="M194" s="2" t="n"/>
      <c r="N194" s="2" t="n"/>
      <c r="O194" s="2" t="n"/>
      <c r="P194" s="2" t="n">
        <v>52</v>
      </c>
      <c r="Q194" s="2" t="n"/>
      <c r="R194" s="2" t="n"/>
      <c r="S194" s="2" t="n"/>
      <c r="T194" s="2" t="n"/>
      <c r="U194" s="2" t="n"/>
      <c r="V194" s="2">
        <f>SUM(J194:U194)*G194</f>
        <v/>
      </c>
      <c r="W194" s="2">
        <f>MAX(J194:U194)</f>
        <v/>
      </c>
      <c r="X194" s="2">
        <f>W194*G194</f>
        <v/>
      </c>
    </row>
    <row r="195">
      <c r="A195" s="2" t="inlineStr">
        <is>
          <t>14-D-451</t>
        </is>
      </c>
      <c r="B195" s="3" t="inlineStr">
        <is>
          <t>DOJC-SM-SC/PC-SC/APC</t>
        </is>
      </c>
      <c r="C195" s="2" t="inlineStr">
        <is>
          <t>2M</t>
        </is>
      </c>
      <c r="D195" s="2" t="inlineStr">
        <is>
          <t>a1</t>
        </is>
      </c>
      <c r="E195" s="2" t="inlineStr">
        <is>
          <t>2.0mm</t>
        </is>
      </c>
      <c r="F195" s="2" t="n">
        <v>2</v>
      </c>
      <c r="G195" s="2" t="n">
        <v>2</v>
      </c>
      <c r="H195" s="2" t="inlineStr">
        <is>
          <t>SC/PC</t>
        </is>
      </c>
      <c r="I195" s="2" t="inlineStr">
        <is>
          <t>SC/APC</t>
        </is>
      </c>
      <c r="J195" s="2" t="n"/>
      <c r="K195" s="2" t="n"/>
      <c r="L195" s="2" t="n">
        <v>500</v>
      </c>
      <c r="M195" s="2" t="n"/>
      <c r="N195" s="2" t="n"/>
      <c r="O195" s="2" t="n"/>
      <c r="P195" s="2" t="n"/>
      <c r="Q195" s="2" t="n"/>
      <c r="R195" s="2" t="n"/>
      <c r="S195" s="2" t="n"/>
      <c r="T195" s="2" t="n">
        <v>50</v>
      </c>
      <c r="U195" s="2" t="n"/>
      <c r="V195" s="2">
        <f>SUM(J195:U195)*G195</f>
        <v/>
      </c>
      <c r="W195" s="2">
        <f>MAX(J195:U195)</f>
        <v/>
      </c>
      <c r="X195" s="2">
        <f>W195*G195</f>
        <v/>
      </c>
    </row>
    <row r="196">
      <c r="A196" s="2" t="inlineStr">
        <is>
          <t>14-D-452</t>
        </is>
      </c>
      <c r="B196" s="3" t="inlineStr">
        <is>
          <t>DOJC-SM-SC/PC-SC/APC</t>
        </is>
      </c>
      <c r="C196" s="2" t="inlineStr">
        <is>
          <t>30M</t>
        </is>
      </c>
      <c r="D196" s="2" t="inlineStr">
        <is>
          <t>a1</t>
        </is>
      </c>
      <c r="E196" s="2" t="inlineStr">
        <is>
          <t>2.0mm</t>
        </is>
      </c>
      <c r="F196" s="2" t="n">
        <v>2</v>
      </c>
      <c r="G196" s="2" t="n">
        <v>30</v>
      </c>
      <c r="H196" s="2" t="inlineStr">
        <is>
          <t>SC/PC</t>
        </is>
      </c>
      <c r="I196" s="2" t="inlineStr">
        <is>
          <t>SC/APC</t>
        </is>
      </c>
      <c r="J196" s="2" t="n"/>
      <c r="K196" s="2" t="n"/>
      <c r="L196" s="2" t="n"/>
      <c r="M196" s="2" t="n"/>
      <c r="N196" s="2" t="n">
        <v>1</v>
      </c>
      <c r="O196" s="2" t="n"/>
      <c r="P196" s="2" t="n"/>
      <c r="Q196" s="2" t="n"/>
      <c r="R196" s="2" t="n"/>
      <c r="S196" s="2" t="n"/>
      <c r="T196" s="2" t="n"/>
      <c r="U196" s="2" t="n"/>
      <c r="V196" s="2">
        <f>SUM(J196:U196)*G196</f>
        <v/>
      </c>
      <c r="W196" s="2">
        <f>MAX(J196:U196)</f>
        <v/>
      </c>
      <c r="X196" s="2">
        <f>W196*G196</f>
        <v/>
      </c>
    </row>
    <row r="197">
      <c r="A197" s="2" t="inlineStr">
        <is>
          <t>14-D-455</t>
        </is>
      </c>
      <c r="B197" s="3" t="inlineStr">
        <is>
          <t>DOJC-SM-SC/PC-SC/APC</t>
        </is>
      </c>
      <c r="C197" s="2" t="inlineStr">
        <is>
          <t>3M</t>
        </is>
      </c>
      <c r="D197" s="2" t="inlineStr">
        <is>
          <t>a1</t>
        </is>
      </c>
      <c r="E197" s="2" t="inlineStr">
        <is>
          <t>2.0mm</t>
        </is>
      </c>
      <c r="F197" s="2" t="n">
        <v>2</v>
      </c>
      <c r="G197" s="2" t="n">
        <v>3</v>
      </c>
      <c r="H197" s="2" t="inlineStr">
        <is>
          <t>SC/PC</t>
        </is>
      </c>
      <c r="I197" s="2" t="inlineStr">
        <is>
          <t>SC/APC</t>
        </is>
      </c>
      <c r="J197" s="2" t="n"/>
      <c r="K197" s="2" t="n"/>
      <c r="L197" s="2" t="n">
        <v>500</v>
      </c>
      <c r="M197" s="2" t="n"/>
      <c r="N197" s="2" t="n"/>
      <c r="O197" s="2" t="n"/>
      <c r="P197" s="2" t="n">
        <v>150</v>
      </c>
      <c r="Q197" s="2" t="n"/>
      <c r="R197" s="2" t="n"/>
      <c r="S197" s="2" t="n"/>
      <c r="T197" s="2" t="n"/>
      <c r="U197" s="2" t="n"/>
      <c r="V197" s="2">
        <f>SUM(J197:U197)*G197</f>
        <v/>
      </c>
      <c r="W197" s="2">
        <f>MAX(J197:U197)</f>
        <v/>
      </c>
      <c r="X197" s="2">
        <f>W197*G197</f>
        <v/>
      </c>
    </row>
    <row r="198">
      <c r="A198" s="2" t="inlineStr">
        <is>
          <t>14-D-458</t>
        </is>
      </c>
      <c r="B198" s="3" t="inlineStr">
        <is>
          <t>DOJC-SM-SC/PC-SC/APC</t>
        </is>
      </c>
      <c r="C198" s="2" t="inlineStr">
        <is>
          <t>4M</t>
        </is>
      </c>
      <c r="D198" s="2" t="inlineStr">
        <is>
          <t>a1</t>
        </is>
      </c>
      <c r="E198" s="2" t="inlineStr">
        <is>
          <t>2.0mm</t>
        </is>
      </c>
      <c r="F198" s="2" t="n">
        <v>2</v>
      </c>
      <c r="G198" s="2" t="n">
        <v>4</v>
      </c>
      <c r="H198" s="2" t="inlineStr">
        <is>
          <t>SC/PC</t>
        </is>
      </c>
      <c r="I198" s="2" t="inlineStr">
        <is>
          <t>SC/APC</t>
        </is>
      </c>
      <c r="J198" s="2" t="n"/>
      <c r="K198" s="2" t="n"/>
      <c r="L198" s="2" t="n"/>
      <c r="M198" s="2" t="n">
        <v>200</v>
      </c>
      <c r="N198" s="2" t="n">
        <v>20</v>
      </c>
      <c r="O198" s="2" t="n"/>
      <c r="P198" s="2" t="n"/>
      <c r="Q198" s="2" t="n"/>
      <c r="R198" s="2" t="n"/>
      <c r="S198" s="2" t="n">
        <v>20</v>
      </c>
      <c r="T198" s="2" t="n"/>
      <c r="U198" s="2" t="n"/>
      <c r="V198" s="2">
        <f>SUM(J198:U198)*G198</f>
        <v/>
      </c>
      <c r="W198" s="2">
        <f>MAX(J198:U198)</f>
        <v/>
      </c>
      <c r="X198" s="2">
        <f>W198*G198</f>
        <v/>
      </c>
    </row>
    <row r="199">
      <c r="A199" s="2" t="inlineStr">
        <is>
          <t>14-D-459</t>
        </is>
      </c>
      <c r="B199" s="3" t="inlineStr">
        <is>
          <t>DOJC-SM-SC/PC-SC/APC</t>
        </is>
      </c>
      <c r="C199" s="2" t="inlineStr">
        <is>
          <t>5M</t>
        </is>
      </c>
      <c r="D199" s="2" t="inlineStr">
        <is>
          <t>a1</t>
        </is>
      </c>
      <c r="E199" s="2" t="inlineStr">
        <is>
          <t>2.0mm</t>
        </is>
      </c>
      <c r="F199" s="2" t="n">
        <v>2</v>
      </c>
      <c r="G199" s="2" t="n">
        <v>5</v>
      </c>
      <c r="H199" s="2" t="inlineStr">
        <is>
          <t>SC/PC</t>
        </is>
      </c>
      <c r="I199" s="2" t="inlineStr">
        <is>
          <t>SC/APC</t>
        </is>
      </c>
      <c r="J199" s="2" t="n"/>
      <c r="K199" s="2" t="n"/>
      <c r="L199" s="2" t="n"/>
      <c r="M199" s="2" t="n">
        <v>200</v>
      </c>
      <c r="N199" s="2" t="n">
        <v>2</v>
      </c>
      <c r="O199" s="2" t="n"/>
      <c r="P199" s="2" t="n"/>
      <c r="Q199" s="2" t="n"/>
      <c r="R199" s="2" t="n">
        <v>30</v>
      </c>
      <c r="S199" s="2" t="n"/>
      <c r="T199" s="2" t="n"/>
      <c r="U199" s="2" t="n"/>
      <c r="V199" s="2">
        <f>SUM(J199:U199)*G199</f>
        <v/>
      </c>
      <c r="W199" s="2">
        <f>MAX(J199:U199)</f>
        <v/>
      </c>
      <c r="X199" s="2">
        <f>W199*G199</f>
        <v/>
      </c>
    </row>
    <row r="200">
      <c r="A200" s="2" t="inlineStr">
        <is>
          <t>14-D-464</t>
        </is>
      </c>
      <c r="B200" s="3" t="inlineStr">
        <is>
          <t>DOJC-SM-SC/PC-SC/PC</t>
        </is>
      </c>
      <c r="C200" s="2" t="inlineStr">
        <is>
          <t>10M</t>
        </is>
      </c>
      <c r="D200" s="2" t="inlineStr">
        <is>
          <t>a1</t>
        </is>
      </c>
      <c r="E200" s="2" t="inlineStr">
        <is>
          <t>2.0mm</t>
        </is>
      </c>
      <c r="F200" s="2" t="n">
        <v>2</v>
      </c>
      <c r="G200" s="2" t="n">
        <v>10</v>
      </c>
      <c r="H200" s="2" t="inlineStr">
        <is>
          <t>SC/PC</t>
        </is>
      </c>
      <c r="I200" s="2" t="inlineStr">
        <is>
          <t>SC/PC</t>
        </is>
      </c>
      <c r="J200" s="2" t="n"/>
      <c r="K200" s="2" t="n"/>
      <c r="L200" s="2" t="n"/>
      <c r="M200" s="2" t="n"/>
      <c r="N200" s="2" t="n">
        <v>10</v>
      </c>
      <c r="O200" s="2" t="n"/>
      <c r="P200" s="2" t="n">
        <v>10</v>
      </c>
      <c r="Q200" s="2" t="n"/>
      <c r="R200" s="2" t="n"/>
      <c r="S200" s="2" t="n"/>
      <c r="T200" s="2" t="n"/>
      <c r="U200" s="2" t="n"/>
      <c r="V200" s="2">
        <f>SUM(J200:U200)*G200</f>
        <v/>
      </c>
      <c r="W200" s="2">
        <f>MAX(J200:U200)</f>
        <v/>
      </c>
      <c r="X200" s="2">
        <f>W200*G200</f>
        <v/>
      </c>
    </row>
    <row r="201">
      <c r="A201" s="2" t="inlineStr">
        <is>
          <t>14-D-466</t>
        </is>
      </c>
      <c r="B201" s="3" t="inlineStr">
        <is>
          <t>DOJC-SM-SC/PC-SC/PC</t>
        </is>
      </c>
      <c r="C201" s="2" t="inlineStr">
        <is>
          <t>15M</t>
        </is>
      </c>
      <c r="D201" s="2" t="inlineStr">
        <is>
          <t>a1</t>
        </is>
      </c>
      <c r="E201" s="2" t="inlineStr">
        <is>
          <t>2.0mm</t>
        </is>
      </c>
      <c r="F201" s="2" t="n">
        <v>2</v>
      </c>
      <c r="G201" s="2" t="n">
        <v>15</v>
      </c>
      <c r="H201" s="2" t="inlineStr">
        <is>
          <t>SC/PC</t>
        </is>
      </c>
      <c r="I201" s="2" t="inlineStr">
        <is>
          <t>SC/PC</t>
        </is>
      </c>
      <c r="J201" s="2" t="n"/>
      <c r="K201" s="2" t="n"/>
      <c r="L201" s="2" t="n"/>
      <c r="M201" s="2" t="n"/>
      <c r="N201" s="2" t="n"/>
      <c r="O201" s="2" t="n">
        <v>100</v>
      </c>
      <c r="P201" s="2" t="n"/>
      <c r="Q201" s="2" t="n"/>
      <c r="R201" s="2" t="n"/>
      <c r="S201" s="2" t="n"/>
      <c r="T201" s="2" t="n"/>
      <c r="U201" s="2" t="n"/>
      <c r="V201" s="2">
        <f>SUM(J201:U201)*G201</f>
        <v/>
      </c>
      <c r="W201" s="2">
        <f>MAX(J201:U201)</f>
        <v/>
      </c>
      <c r="X201" s="2">
        <f>W201*G201</f>
        <v/>
      </c>
    </row>
    <row r="202">
      <c r="A202" s="2" t="inlineStr">
        <is>
          <t>14-D-467</t>
        </is>
      </c>
      <c r="B202" s="3" t="inlineStr">
        <is>
          <t>DOJC-SM-SC/PC-SC/PC</t>
        </is>
      </c>
      <c r="C202" s="2" t="inlineStr">
        <is>
          <t>1M</t>
        </is>
      </c>
      <c r="D202" s="2" t="inlineStr">
        <is>
          <t>a1</t>
        </is>
      </c>
      <c r="E202" s="2" t="inlineStr">
        <is>
          <t>2.0mm</t>
        </is>
      </c>
      <c r="F202" s="2" t="n">
        <v>2</v>
      </c>
      <c r="G202" s="2" t="n">
        <v>1</v>
      </c>
      <c r="H202" s="2" t="inlineStr">
        <is>
          <t>SC/PC</t>
        </is>
      </c>
      <c r="I202" s="2" t="inlineStr">
        <is>
          <t>SC/PC</t>
        </is>
      </c>
      <c r="J202" s="2" t="n"/>
      <c r="K202" s="2" t="n"/>
      <c r="L202" s="2" t="n"/>
      <c r="M202" s="2" t="n"/>
      <c r="N202" s="2" t="n"/>
      <c r="O202" s="2" t="n"/>
      <c r="P202" s="2" t="n">
        <v>20</v>
      </c>
      <c r="Q202" s="2" t="n">
        <v>50</v>
      </c>
      <c r="R202" s="2" t="n"/>
      <c r="S202" s="2" t="n"/>
      <c r="T202" s="2" t="n"/>
      <c r="U202" s="2" t="n"/>
      <c r="V202" s="2">
        <f>SUM(J202:U202)*G202</f>
        <v/>
      </c>
      <c r="W202" s="2">
        <f>MAX(J202:U202)</f>
        <v/>
      </c>
      <c r="X202" s="2">
        <f>W202*G202</f>
        <v/>
      </c>
    </row>
    <row r="203">
      <c r="A203" s="2" t="inlineStr">
        <is>
          <t>14-D-472</t>
        </is>
      </c>
      <c r="B203" s="3" t="inlineStr">
        <is>
          <t>DOJC-SM-SC/PC-SC/PC</t>
        </is>
      </c>
      <c r="C203" s="2" t="inlineStr">
        <is>
          <t>30M</t>
        </is>
      </c>
      <c r="D203" s="2" t="inlineStr">
        <is>
          <t>a1</t>
        </is>
      </c>
      <c r="E203" s="2" t="inlineStr">
        <is>
          <t>2.0mm</t>
        </is>
      </c>
      <c r="F203" s="2" t="n">
        <v>2</v>
      </c>
      <c r="G203" s="2" t="n">
        <v>30</v>
      </c>
      <c r="H203" s="2" t="inlineStr">
        <is>
          <t>SC/PC</t>
        </is>
      </c>
      <c r="I203" s="2" t="inlineStr">
        <is>
          <t>SC/PC</t>
        </is>
      </c>
      <c r="J203" s="2" t="n"/>
      <c r="K203" s="2" t="n"/>
      <c r="L203" s="2" t="n"/>
      <c r="M203" s="2" t="n"/>
      <c r="N203" s="2" t="n">
        <v>5</v>
      </c>
      <c r="O203" s="2" t="n"/>
      <c r="P203" s="2" t="n"/>
      <c r="Q203" s="2" t="n"/>
      <c r="R203" s="2" t="n"/>
      <c r="S203" s="2" t="n"/>
      <c r="T203" s="2" t="n"/>
      <c r="U203" s="2" t="n"/>
      <c r="V203" s="2">
        <f>SUM(J203:U203)*G203</f>
        <v/>
      </c>
      <c r="W203" s="2">
        <f>MAX(J203:U203)</f>
        <v/>
      </c>
      <c r="X203" s="2">
        <f>W203*G203</f>
        <v/>
      </c>
    </row>
    <row r="204">
      <c r="A204" s="2" t="inlineStr">
        <is>
          <t>14-D-474</t>
        </is>
      </c>
      <c r="B204" s="3" t="inlineStr">
        <is>
          <t>DOJC-SM-SC/PC-SC/PC</t>
        </is>
      </c>
      <c r="C204" s="2" t="inlineStr">
        <is>
          <t>3M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3</v>
      </c>
      <c r="H204" s="2" t="inlineStr">
        <is>
          <t>SC/PC</t>
        </is>
      </c>
      <c r="I204" s="2" t="inlineStr">
        <is>
          <t>SC/PC</t>
        </is>
      </c>
      <c r="J204" s="2" t="n"/>
      <c r="K204" s="2" t="n"/>
      <c r="L204" s="2" t="n"/>
      <c r="M204" s="2" t="n"/>
      <c r="N204" s="2" t="n">
        <v>20</v>
      </c>
      <c r="O204" s="2" t="n">
        <v>100</v>
      </c>
      <c r="P204" s="2" t="n">
        <v>50</v>
      </c>
      <c r="Q204" s="2" t="n">
        <v>20</v>
      </c>
      <c r="R204" s="2" t="n"/>
      <c r="S204" s="2" t="n"/>
      <c r="T204" s="2" t="n">
        <v>55</v>
      </c>
      <c r="U204" s="2" t="n"/>
      <c r="V204" s="2">
        <f>SUM(J204:U204)*G204</f>
        <v/>
      </c>
      <c r="W204" s="2">
        <f>MAX(J204:U204)</f>
        <v/>
      </c>
      <c r="X204" s="2">
        <f>W204*G204</f>
        <v/>
      </c>
    </row>
    <row r="205">
      <c r="A205" s="2" t="inlineStr">
        <is>
          <t>14-D-478</t>
        </is>
      </c>
      <c r="B205" s="3" t="inlineStr">
        <is>
          <t>DOJC-SM-SC/PC-SC/PC</t>
        </is>
      </c>
      <c r="C205" s="2" t="inlineStr">
        <is>
          <t>4M</t>
        </is>
      </c>
      <c r="D205" s="2" t="inlineStr">
        <is>
          <t>a1</t>
        </is>
      </c>
      <c r="E205" s="2" t="inlineStr">
        <is>
          <t>2.0mm</t>
        </is>
      </c>
      <c r="F205" s="2" t="n">
        <v>2</v>
      </c>
      <c r="G205" s="2" t="n">
        <v>4</v>
      </c>
      <c r="H205" s="2" t="inlineStr">
        <is>
          <t>SC/PC</t>
        </is>
      </c>
      <c r="I205" s="2" t="inlineStr">
        <is>
          <t>SC/PC</t>
        </is>
      </c>
      <c r="J205" s="2" t="n"/>
      <c r="K205" s="2" t="n"/>
      <c r="L205" s="2" t="n">
        <v>400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SUM(J205:U205)*G205</f>
        <v/>
      </c>
      <c r="W205" s="2">
        <f>MAX(J205:U205)</f>
        <v/>
      </c>
      <c r="X205" s="2">
        <f>W205*G205</f>
        <v/>
      </c>
    </row>
    <row r="206">
      <c r="A206" s="2" t="inlineStr">
        <is>
          <t>14-D-481</t>
        </is>
      </c>
      <c r="B206" s="3" t="inlineStr">
        <is>
          <t>DOJC-SM-SC/PC-SC/PC</t>
        </is>
      </c>
      <c r="C206" s="2" t="inlineStr">
        <is>
          <t>5M</t>
        </is>
      </c>
      <c r="D206" s="2" t="inlineStr">
        <is>
          <t>a1</t>
        </is>
      </c>
      <c r="E206" s="2" t="inlineStr">
        <is>
          <t>2.0mm</t>
        </is>
      </c>
      <c r="F206" s="2" t="n">
        <v>2</v>
      </c>
      <c r="G206" s="2" t="n">
        <v>5</v>
      </c>
      <c r="H206" s="2" t="inlineStr">
        <is>
          <t>SC/PC</t>
        </is>
      </c>
      <c r="I206" s="2" t="inlineStr">
        <is>
          <t>SC/PC</t>
        </is>
      </c>
      <c r="J206" s="2" t="n"/>
      <c r="K206" s="2" t="n"/>
      <c r="L206" s="2" t="n"/>
      <c r="M206" s="2" t="n"/>
      <c r="N206" s="2" t="n"/>
      <c r="O206" s="2" t="n">
        <v>200</v>
      </c>
      <c r="P206" s="2" t="n">
        <v>20</v>
      </c>
      <c r="Q206" s="2" t="n"/>
      <c r="R206" s="2" t="n"/>
      <c r="S206" s="2" t="n"/>
      <c r="T206" s="2" t="n"/>
      <c r="U206" s="2" t="n"/>
      <c r="V206" s="2">
        <f>SUM(J206:U206)*G206</f>
        <v/>
      </c>
      <c r="W206" s="2">
        <f>MAX(J206:U206)</f>
        <v/>
      </c>
      <c r="X206" s="2">
        <f>W206*G206</f>
        <v/>
      </c>
    </row>
    <row r="207">
      <c r="A207" s="2" t="inlineStr">
        <is>
          <t>14-D-491</t>
        </is>
      </c>
      <c r="B207" s="3" t="inlineStr">
        <is>
          <t>DOJC-SM-ST/PC-LC/PC</t>
        </is>
      </c>
      <c r="C207" s="2" t="inlineStr">
        <is>
          <t>10M</t>
        </is>
      </c>
      <c r="D207" s="2" t="inlineStr">
        <is>
          <t>a1</t>
        </is>
      </c>
      <c r="E207" s="2" t="inlineStr">
        <is>
          <t>2.0mm</t>
        </is>
      </c>
      <c r="F207" s="2" t="n">
        <v>2</v>
      </c>
      <c r="G207" s="2" t="n">
        <v>10</v>
      </c>
      <c r="H207" s="2" t="inlineStr">
        <is>
          <t>LC/PC</t>
        </is>
      </c>
      <c r="I207" s="2" t="inlineStr">
        <is>
          <t>LC/PC</t>
        </is>
      </c>
      <c r="J207" s="2" t="n"/>
      <c r="K207" s="2" t="n"/>
      <c r="L207" s="2" t="n"/>
      <c r="M207" s="2" t="n"/>
      <c r="N207" s="2" t="n">
        <v>2</v>
      </c>
      <c r="O207" s="2" t="n"/>
      <c r="P207" s="2" t="n"/>
      <c r="Q207" s="2" t="n"/>
      <c r="R207" s="2" t="n"/>
      <c r="S207" s="2" t="n"/>
      <c r="T207" s="2" t="n"/>
      <c r="U207" s="2" t="n"/>
      <c r="V207" s="2">
        <f>SUM(J207:U207)*G207</f>
        <v/>
      </c>
      <c r="W207" s="2">
        <f>MAX(J207:U207)</f>
        <v/>
      </c>
      <c r="X207" s="2">
        <f>W207*G207</f>
        <v/>
      </c>
    </row>
    <row r="208">
      <c r="A208" s="2" t="inlineStr">
        <is>
          <t>14-D-499</t>
        </is>
      </c>
      <c r="B208" s="3" t="inlineStr">
        <is>
          <t>DOJC-SM-ST/PC-SC/PC</t>
        </is>
      </c>
      <c r="C208" s="2" t="inlineStr">
        <is>
          <t>10M</t>
        </is>
      </c>
      <c r="D208" s="2" t="inlineStr">
        <is>
          <t>a1</t>
        </is>
      </c>
      <c r="E208" s="2" t="inlineStr">
        <is>
          <t>2.0mm</t>
        </is>
      </c>
      <c r="F208" s="2" t="n">
        <v>2</v>
      </c>
      <c r="G208" s="2" t="n">
        <v>10</v>
      </c>
      <c r="H208" s="2" t="inlineStr">
        <is>
          <t>SC/PC</t>
        </is>
      </c>
      <c r="I208" s="2" t="inlineStr">
        <is>
          <t>SC/PC</t>
        </is>
      </c>
      <c r="J208" s="2" t="n"/>
      <c r="K208" s="2" t="n"/>
      <c r="L208" s="2" t="n"/>
      <c r="M208" s="2" t="n"/>
      <c r="N208" s="2" t="n">
        <v>2</v>
      </c>
      <c r="O208" s="2" t="n">
        <v>10</v>
      </c>
      <c r="P208" s="2" t="n"/>
      <c r="Q208" s="2" t="n"/>
      <c r="R208" s="2" t="n"/>
      <c r="S208" s="2" t="n"/>
      <c r="T208" s="2" t="n"/>
      <c r="U208" s="2" t="n"/>
      <c r="V208" s="2">
        <f>SUM(J208:U208)*G208</f>
        <v/>
      </c>
      <c r="W208" s="2">
        <f>MAX(J208:U208)</f>
        <v/>
      </c>
      <c r="X208" s="2">
        <f>W208*G208</f>
        <v/>
      </c>
    </row>
    <row r="209">
      <c r="A209" s="2" t="inlineStr">
        <is>
          <t>14-D-500</t>
        </is>
      </c>
      <c r="B209" s="3" t="inlineStr">
        <is>
          <t>DOJC-SM-ST/PC-SC/PC</t>
        </is>
      </c>
      <c r="C209" s="2" t="inlineStr">
        <is>
          <t>20M</t>
        </is>
      </c>
      <c r="D209" s="2" t="inlineStr">
        <is>
          <t>a1</t>
        </is>
      </c>
      <c r="E209" s="2" t="inlineStr">
        <is>
          <t>2.0mm</t>
        </is>
      </c>
      <c r="F209" s="2" t="n">
        <v>2</v>
      </c>
      <c r="G209" s="2" t="n">
        <v>20</v>
      </c>
      <c r="H209" s="2" t="inlineStr">
        <is>
          <t>SC/PC</t>
        </is>
      </c>
      <c r="I209" s="2" t="inlineStr">
        <is>
          <t>SC/PC</t>
        </is>
      </c>
      <c r="J209" s="2" t="n"/>
      <c r="K209" s="2" t="n"/>
      <c r="L209" s="2" t="n"/>
      <c r="M209" s="2" t="n"/>
      <c r="N209" s="2" t="n">
        <v>2</v>
      </c>
      <c r="O209" s="2" t="n">
        <v>10</v>
      </c>
      <c r="P209" s="2" t="n"/>
      <c r="Q209" s="2" t="n"/>
      <c r="R209" s="2" t="n"/>
      <c r="S209" s="2" t="n"/>
      <c r="T209" s="2" t="n"/>
      <c r="U209" s="2" t="n"/>
      <c r="V209" s="2">
        <f>SUM(J209:U209)*G209</f>
        <v/>
      </c>
      <c r="W209" s="2">
        <f>MAX(J209:U209)</f>
        <v/>
      </c>
      <c r="X209" s="2">
        <f>W209*G209</f>
        <v/>
      </c>
    </row>
    <row r="210">
      <c r="A210" s="2" t="inlineStr">
        <is>
          <t>14-D-501</t>
        </is>
      </c>
      <c r="B210" s="3" t="inlineStr">
        <is>
          <t>DOJC-SM-ST/PC-SC/PC</t>
        </is>
      </c>
      <c r="C210" s="2" t="inlineStr">
        <is>
          <t>3M</t>
        </is>
      </c>
      <c r="D210" s="2" t="inlineStr">
        <is>
          <t>a1</t>
        </is>
      </c>
      <c r="E210" s="2" t="inlineStr">
        <is>
          <t>2.0mm</t>
        </is>
      </c>
      <c r="F210" s="2" t="n">
        <v>2</v>
      </c>
      <c r="G210" s="2" t="n">
        <v>3</v>
      </c>
      <c r="H210" s="2" t="inlineStr">
        <is>
          <t>SC/PC</t>
        </is>
      </c>
      <c r="I210" s="2" t="inlineStr">
        <is>
          <t>SC/PC</t>
        </is>
      </c>
      <c r="J210" s="2" t="n"/>
      <c r="K210" s="2" t="n">
        <v>10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SUM(J210:U210)*G210</f>
        <v/>
      </c>
      <c r="W210" s="2">
        <f>MAX(J210:U210)</f>
        <v/>
      </c>
      <c r="X210" s="2">
        <f>W210*G210</f>
        <v/>
      </c>
    </row>
    <row r="211">
      <c r="A211" s="2" t="inlineStr">
        <is>
          <t>14-D-530</t>
        </is>
      </c>
      <c r="B211" s="3" t="inlineStr">
        <is>
          <t>DOJC-MM(OM3)-LC/PC-LC/PC</t>
        </is>
      </c>
      <c r="C211" s="2" t="inlineStr">
        <is>
          <t>4M</t>
        </is>
      </c>
      <c r="D211" s="2" t="inlineStr">
        <is>
          <t>om3</t>
        </is>
      </c>
      <c r="E211" s="2" t="inlineStr">
        <is>
          <t>2.0mm</t>
        </is>
      </c>
      <c r="F211" s="2" t="n">
        <v>2</v>
      </c>
      <c r="G211" s="2" t="n">
        <v>4</v>
      </c>
      <c r="H211" s="2" t="inlineStr">
        <is>
          <t>LC/PC</t>
        </is>
      </c>
      <c r="I211" s="2" t="inlineStr">
        <is>
          <t>LC/PC</t>
        </is>
      </c>
      <c r="J211" s="2" t="n"/>
      <c r="K211" s="2" t="n"/>
      <c r="L211" s="2" t="n">
        <v>10</v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>
        <v>30</v>
      </c>
      <c r="V211" s="2">
        <f>SUM(J211:U211)*G211</f>
        <v/>
      </c>
      <c r="W211" s="2">
        <f>MAX(J211:U211)</f>
        <v/>
      </c>
      <c r="X211" s="2">
        <f>W211*G211</f>
        <v/>
      </c>
    </row>
    <row r="212">
      <c r="A212" s="2" t="inlineStr">
        <is>
          <t>14-D-531</t>
        </is>
      </c>
      <c r="B212" s="3" t="inlineStr">
        <is>
          <t>DOJC-SM-SC/APC-SC/APC</t>
        </is>
      </c>
      <c r="C212" s="2" t="inlineStr">
        <is>
          <t>1.5M</t>
        </is>
      </c>
      <c r="D212" s="2" t="inlineStr">
        <is>
          <t>a1</t>
        </is>
      </c>
      <c r="E212" s="2" t="inlineStr">
        <is>
          <t>2.0mm</t>
        </is>
      </c>
      <c r="F212" s="2" t="n">
        <v>2</v>
      </c>
      <c r="G212" s="2" t="n">
        <v>1.5</v>
      </c>
      <c r="H212" s="2" t="inlineStr">
        <is>
          <t>SC/APC</t>
        </is>
      </c>
      <c r="I212" s="2" t="inlineStr">
        <is>
          <t>SC/APC</t>
        </is>
      </c>
      <c r="J212" s="2" t="n"/>
      <c r="K212" s="2" t="n"/>
      <c r="L212" s="2" t="n">
        <v>4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>
        <f>SUM(J212:U212)*G212</f>
        <v/>
      </c>
      <c r="W212" s="2">
        <f>MAX(J212:U212)</f>
        <v/>
      </c>
      <c r="X212" s="2">
        <f>W212*G212</f>
        <v/>
      </c>
    </row>
    <row r="213">
      <c r="A213" s="2" t="inlineStr">
        <is>
          <t>14-D-555</t>
        </is>
      </c>
      <c r="B213" s="3" t="inlineStr">
        <is>
          <t>DOJC-SM-SC/PC-SC/APC</t>
        </is>
      </c>
      <c r="C213" s="2" t="inlineStr">
        <is>
          <t>9M</t>
        </is>
      </c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9</v>
      </c>
      <c r="H213" s="2" t="inlineStr">
        <is>
          <t>SC/PC</t>
        </is>
      </c>
      <c r="I213" s="2" t="inlineStr">
        <is>
          <t>SC/APC</t>
        </is>
      </c>
      <c r="J213" s="2" t="n"/>
      <c r="K213" s="2" t="n"/>
      <c r="L213" s="2" t="n"/>
      <c r="M213" s="2" t="n"/>
      <c r="N213" s="2" t="n"/>
      <c r="O213" s="2" t="n">
        <v>4</v>
      </c>
      <c r="P213" s="2" t="n"/>
      <c r="Q213" s="2" t="n"/>
      <c r="R213" s="2" t="n"/>
      <c r="S213" s="2" t="n"/>
      <c r="T213" s="2" t="n"/>
      <c r="U213" s="2" t="n"/>
      <c r="V213" s="2">
        <f>SUM(J213:U213)*G213</f>
        <v/>
      </c>
      <c r="W213" s="2">
        <f>MAX(J213:U213)</f>
        <v/>
      </c>
      <c r="X213" s="2">
        <f>W213*G213</f>
        <v/>
      </c>
    </row>
    <row r="214">
      <c r="A214" s="2" t="inlineStr">
        <is>
          <t>14-D-569</t>
        </is>
      </c>
      <c r="B214" s="3" t="inlineStr">
        <is>
          <t>DOJC-MM-LC/PC-LC/PC</t>
        </is>
      </c>
      <c r="C214" s="2" t="inlineStr">
        <is>
          <t>16M</t>
        </is>
      </c>
      <c r="D214" s="2" t="inlineStr">
        <is>
          <t>om1</t>
        </is>
      </c>
      <c r="E214" s="2" t="inlineStr">
        <is>
          <t>2.0mm</t>
        </is>
      </c>
      <c r="F214" s="2" t="n">
        <v>2</v>
      </c>
      <c r="G214" s="2" t="n">
        <v>16</v>
      </c>
      <c r="H214" s="2" t="inlineStr">
        <is>
          <t>LC/PC</t>
        </is>
      </c>
      <c r="I214" s="2" t="inlineStr">
        <is>
          <t>LC/PC</t>
        </is>
      </c>
      <c r="J214" s="2" t="n"/>
      <c r="K214" s="2" t="n">
        <v>2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>
        <f>SUM(J214:U214)*G214</f>
        <v/>
      </c>
      <c r="W214" s="2">
        <f>MAX(J214:U214)</f>
        <v/>
      </c>
      <c r="X214" s="2">
        <f>W214*G214</f>
        <v/>
      </c>
    </row>
    <row r="215">
      <c r="A215" s="2" t="inlineStr">
        <is>
          <t>14-D-589</t>
        </is>
      </c>
      <c r="B215" s="3" t="inlineStr">
        <is>
          <t>DOJC-SM-LC/PC-LC/PC</t>
        </is>
      </c>
      <c r="C215" s="2" t="inlineStr">
        <is>
          <t>75M</t>
        </is>
      </c>
      <c r="D215" s="2" t="inlineStr">
        <is>
          <t>a1</t>
        </is>
      </c>
      <c r="E215" s="2" t="inlineStr">
        <is>
          <t>2.0mm</t>
        </is>
      </c>
      <c r="F215" s="2" t="n">
        <v>2</v>
      </c>
      <c r="G215" s="2" t="n">
        <v>75</v>
      </c>
      <c r="H215" s="2" t="inlineStr">
        <is>
          <t>LC/PC</t>
        </is>
      </c>
      <c r="I215" s="2" t="inlineStr">
        <is>
          <t>LC/PC</t>
        </is>
      </c>
      <c r="J215" s="2" t="n"/>
      <c r="K215" s="2" t="n"/>
      <c r="L215" s="2" t="n"/>
      <c r="M215" s="2" t="n">
        <v>20</v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>
        <f>SUM(J215:U215)*G215</f>
        <v/>
      </c>
      <c r="W215" s="2">
        <f>MAX(J215:U215)</f>
        <v/>
      </c>
      <c r="X215" s="2">
        <f>W215*G215</f>
        <v/>
      </c>
    </row>
    <row r="216">
      <c r="A216" s="2" t="inlineStr">
        <is>
          <t>14-D-603</t>
        </is>
      </c>
      <c r="B216" s="3" t="inlineStr">
        <is>
          <t>DOJC-MM(OM3)-LC/PC-LC/PC</t>
        </is>
      </c>
      <c r="C216" s="2" t="inlineStr">
        <is>
          <t>8M</t>
        </is>
      </c>
      <c r="D216" s="2" t="inlineStr">
        <is>
          <t>om3</t>
        </is>
      </c>
      <c r="E216" s="2" t="inlineStr">
        <is>
          <t>2.0mm</t>
        </is>
      </c>
      <c r="F216" s="2" t="n">
        <v>2</v>
      </c>
      <c r="G216" s="2" t="n">
        <v>8</v>
      </c>
      <c r="H216" s="2" t="inlineStr">
        <is>
          <t>LC/PC</t>
        </is>
      </c>
      <c r="I216" s="2" t="inlineStr">
        <is>
          <t>LC/PC</t>
        </is>
      </c>
      <c r="J216" s="2" t="n"/>
      <c r="K216" s="2" t="n"/>
      <c r="L216" s="2" t="n"/>
      <c r="M216" s="2" t="n"/>
      <c r="N216" s="2" t="n"/>
      <c r="O216" s="2" t="n"/>
      <c r="P216" s="2" t="n">
        <v>40</v>
      </c>
      <c r="Q216" s="2" t="n"/>
      <c r="R216" s="2" t="n"/>
      <c r="S216" s="2" t="n"/>
      <c r="T216" s="2" t="n"/>
      <c r="U216" s="2" t="n"/>
      <c r="V216" s="2">
        <f>SUM(J216:U216)*G216</f>
        <v/>
      </c>
      <c r="W216" s="2">
        <f>MAX(J216:U216)</f>
        <v/>
      </c>
      <c r="X216" s="2">
        <f>W216*G216</f>
        <v/>
      </c>
    </row>
    <row r="217">
      <c r="A217" s="2" t="inlineStr">
        <is>
          <t>14-D-661</t>
        </is>
      </c>
      <c r="B217" s="3" t="inlineStr">
        <is>
          <t>DOJC-SM-LC/PC-SC/PC</t>
        </is>
      </c>
      <c r="C217" s="2" t="inlineStr">
        <is>
          <t>30M_적색케이블</t>
        </is>
      </c>
      <c r="D217" s="2" t="inlineStr">
        <is>
          <t>a1-적</t>
        </is>
      </c>
      <c r="E217" s="2" t="inlineStr">
        <is>
          <t>2.0mm</t>
        </is>
      </c>
      <c r="F217" s="2" t="n">
        <v>2</v>
      </c>
      <c r="G217" s="2" t="n">
        <v>30</v>
      </c>
      <c r="H217" s="2" t="inlineStr">
        <is>
          <t>LC/PC</t>
        </is>
      </c>
      <c r="I217" s="2" t="inlineStr">
        <is>
          <t>SC/PC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>
        <v>6</v>
      </c>
      <c r="U217" s="2" t="n"/>
      <c r="V217" s="2">
        <f>SUM(J217:U217)*G217</f>
        <v/>
      </c>
      <c r="W217" s="2">
        <f>MAX(J217:U217)</f>
        <v/>
      </c>
      <c r="X217" s="2">
        <f>W217*G217</f>
        <v/>
      </c>
    </row>
    <row r="218">
      <c r="A218" s="2" t="inlineStr">
        <is>
          <t>14-D-662</t>
        </is>
      </c>
      <c r="B218" s="3" t="inlineStr">
        <is>
          <t>DOJC-SM-LC/PC-LC/PC</t>
        </is>
      </c>
      <c r="C218" s="2" t="inlineStr">
        <is>
          <t>20M_적색케이블</t>
        </is>
      </c>
      <c r="D218" s="2" t="inlineStr">
        <is>
          <t>a1-적</t>
        </is>
      </c>
      <c r="E218" s="2" t="inlineStr">
        <is>
          <t>2.0mm</t>
        </is>
      </c>
      <c r="F218" s="2" t="n">
        <v>2</v>
      </c>
      <c r="G218" s="2" t="n">
        <v>20</v>
      </c>
      <c r="H218" s="2" t="inlineStr">
        <is>
          <t>LC/PC</t>
        </is>
      </c>
      <c r="I218" s="2" t="inlineStr">
        <is>
          <t>LC/PC</t>
        </is>
      </c>
      <c r="J218" s="2" t="n">
        <v>30</v>
      </c>
      <c r="K218" s="2" t="n"/>
      <c r="L218" s="2" t="n"/>
      <c r="M218" s="2" t="n"/>
      <c r="N218" s="2" t="n"/>
      <c r="O218" s="2" t="n"/>
      <c r="P218" s="2" t="n"/>
      <c r="Q218" s="2" t="n">
        <v>20</v>
      </c>
      <c r="R218" s="2" t="n"/>
      <c r="S218" s="2" t="n"/>
      <c r="T218" s="2" t="n"/>
      <c r="U218" s="2" t="n"/>
      <c r="V218" s="2">
        <f>SUM(J218:U218)*G218</f>
        <v/>
      </c>
      <c r="W218" s="2">
        <f>MAX(J218:U218)</f>
        <v/>
      </c>
      <c r="X218" s="2">
        <f>W218*G218</f>
        <v/>
      </c>
    </row>
    <row r="219">
      <c r="A219" s="2" t="inlineStr">
        <is>
          <t>14-D-663</t>
        </is>
      </c>
      <c r="B219" s="3" t="inlineStr">
        <is>
          <t>DOJC-SM-LC/PC-LC/PC</t>
        </is>
      </c>
      <c r="C219" s="2" t="inlineStr">
        <is>
          <t>30M_적색케이블</t>
        </is>
      </c>
      <c r="D219" s="2" t="inlineStr">
        <is>
          <t>a1-적</t>
        </is>
      </c>
      <c r="E219" s="2" t="inlineStr">
        <is>
          <t>2.0mm</t>
        </is>
      </c>
      <c r="F219" s="2" t="n">
        <v>2</v>
      </c>
      <c r="G219" s="2" t="n">
        <v>30</v>
      </c>
      <c r="H219" s="2" t="inlineStr">
        <is>
          <t>LC/PC</t>
        </is>
      </c>
      <c r="I219" s="2" t="inlineStr">
        <is>
          <t>LC/PC</t>
        </is>
      </c>
      <c r="J219" s="2" t="n"/>
      <c r="K219" s="2" t="n">
        <v>2</v>
      </c>
      <c r="L219" s="2" t="n">
        <v>10</v>
      </c>
      <c r="M219" s="2" t="n"/>
      <c r="N219" s="2" t="n"/>
      <c r="O219" s="2" t="n">
        <v>20</v>
      </c>
      <c r="P219" s="2" t="n"/>
      <c r="Q219" s="2" t="n"/>
      <c r="R219" s="2" t="n"/>
      <c r="S219" s="2" t="n"/>
      <c r="T219" s="2" t="n">
        <v>30</v>
      </c>
      <c r="U219" s="2" t="n"/>
      <c r="V219" s="2">
        <f>SUM(J219:U219)*G219</f>
        <v/>
      </c>
      <c r="W219" s="2">
        <f>MAX(J219:U219)</f>
        <v/>
      </c>
      <c r="X219" s="2">
        <f>W219*G219</f>
        <v/>
      </c>
    </row>
    <row r="220">
      <c r="A220" s="2" t="inlineStr">
        <is>
          <t>14-D-664</t>
        </is>
      </c>
      <c r="B220" s="3" t="inlineStr">
        <is>
          <t>DOJC-SM-LC/PC-LC/PC</t>
        </is>
      </c>
      <c r="C220" s="2" t="inlineStr">
        <is>
          <t>35M_적색케이블</t>
        </is>
      </c>
      <c r="D220" s="2" t="inlineStr">
        <is>
          <t>a1-적</t>
        </is>
      </c>
      <c r="E220" s="2" t="inlineStr">
        <is>
          <t>2.0mm</t>
        </is>
      </c>
      <c r="F220" s="2" t="n">
        <v>2</v>
      </c>
      <c r="G220" s="2" t="n">
        <v>35</v>
      </c>
      <c r="H220" s="2" t="inlineStr">
        <is>
          <t>LC/PC</t>
        </is>
      </c>
      <c r="I220" s="2" t="inlineStr">
        <is>
          <t>LC/PC</t>
        </is>
      </c>
      <c r="J220" s="2" t="n"/>
      <c r="K220" s="2" t="n"/>
      <c r="L220" s="2" t="n"/>
      <c r="M220" s="2" t="n"/>
      <c r="N220" s="2" t="n"/>
      <c r="O220" s="2" t="n">
        <v>10</v>
      </c>
      <c r="P220" s="2" t="n"/>
      <c r="Q220" s="2" t="n">
        <v>10</v>
      </c>
      <c r="R220" s="2" t="n"/>
      <c r="S220" s="2" t="n"/>
      <c r="T220" s="2" t="n"/>
      <c r="U220" s="2" t="n"/>
      <c r="V220" s="2">
        <f>SUM(J220:U220)*G220</f>
        <v/>
      </c>
      <c r="W220" s="2">
        <f>MAX(J220:U220)</f>
        <v/>
      </c>
      <c r="X220" s="2">
        <f>W220*G220</f>
        <v/>
      </c>
    </row>
    <row r="221">
      <c r="A221" s="2" t="inlineStr">
        <is>
          <t>14-D-676</t>
        </is>
      </c>
      <c r="B221" s="3" t="inlineStr">
        <is>
          <t>DOJC-SM-LC/PC-LC/PC</t>
        </is>
      </c>
      <c r="C221" s="2" t="inlineStr">
        <is>
          <t>25M_적색케이블</t>
        </is>
      </c>
      <c r="D221" s="2" t="inlineStr">
        <is>
          <t>a1-적</t>
        </is>
      </c>
      <c r="E221" s="2" t="inlineStr">
        <is>
          <t>2.0mm</t>
        </is>
      </c>
      <c r="F221" s="2" t="n">
        <v>2</v>
      </c>
      <c r="G221" s="2" t="n">
        <v>25</v>
      </c>
      <c r="H221" s="2" t="inlineStr">
        <is>
          <t>LC/PC</t>
        </is>
      </c>
      <c r="I221" s="2" t="inlineStr">
        <is>
          <t>LC/PC</t>
        </is>
      </c>
      <c r="J221" s="2" t="n">
        <v>24</v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>
        <f>SUM(J221:U221)*G221</f>
        <v/>
      </c>
      <c r="W221" s="2">
        <f>MAX(J221:U221)</f>
        <v/>
      </c>
      <c r="X221" s="2">
        <f>W221*G221</f>
        <v/>
      </c>
    </row>
    <row r="222">
      <c r="A222" s="2" t="inlineStr">
        <is>
          <t>14-D-696</t>
        </is>
      </c>
      <c r="B222" s="3" t="inlineStr">
        <is>
          <t>DOJC-MM(OM3)-LC/PC-LC/PC</t>
        </is>
      </c>
      <c r="C222" s="2" t="inlineStr">
        <is>
          <t>1M</t>
        </is>
      </c>
      <c r="D222" s="2" t="inlineStr">
        <is>
          <t>om3</t>
        </is>
      </c>
      <c r="E222" s="2" t="inlineStr">
        <is>
          <t>2.0mm</t>
        </is>
      </c>
      <c r="F222" s="2" t="n">
        <v>2</v>
      </c>
      <c r="G222" s="2" t="n">
        <v>1</v>
      </c>
      <c r="H222" s="2" t="inlineStr">
        <is>
          <t>LC/PC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>
        <v>4</v>
      </c>
      <c r="P222" s="2" t="n"/>
      <c r="Q222" s="2" t="n"/>
      <c r="R222" s="2" t="n"/>
      <c r="S222" s="2" t="n"/>
      <c r="T222" s="2" t="n"/>
      <c r="U222" s="2" t="n"/>
      <c r="V222" s="2">
        <f>SUM(J222:U222)*G222</f>
        <v/>
      </c>
      <c r="W222" s="2">
        <f>MAX(J222:U222)</f>
        <v/>
      </c>
      <c r="X222" s="2">
        <f>W222*G222</f>
        <v/>
      </c>
    </row>
    <row r="223">
      <c r="A223" s="2" t="inlineStr">
        <is>
          <t>14-D-726</t>
        </is>
      </c>
      <c r="B223" s="3" t="inlineStr">
        <is>
          <t>DOJC-SM-SC/PC-SC/PC</t>
        </is>
      </c>
      <c r="C223" s="2" t="inlineStr">
        <is>
          <t>0.5M</t>
        </is>
      </c>
      <c r="D223" s="2" t="inlineStr">
        <is>
          <t>a1</t>
        </is>
      </c>
      <c r="E223" s="2" t="inlineStr">
        <is>
          <t>2.0mm</t>
        </is>
      </c>
      <c r="F223" s="2" t="n">
        <v>2</v>
      </c>
      <c r="G223" s="2" t="n">
        <v>0.5</v>
      </c>
      <c r="H223" s="2" t="inlineStr">
        <is>
          <t>SC/PC</t>
        </is>
      </c>
      <c r="I223" s="2" t="inlineStr">
        <is>
          <t>SC/PC</t>
        </is>
      </c>
      <c r="J223" s="2" t="n"/>
      <c r="K223" s="2" t="n"/>
      <c r="L223" s="2" t="n"/>
      <c r="M223" s="2" t="n">
        <v>108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SUM(J223:U223)*G223</f>
        <v/>
      </c>
      <c r="W223" s="2">
        <f>MAX(J223:U223)</f>
        <v/>
      </c>
      <c r="X223" s="2">
        <f>W223*G223</f>
        <v/>
      </c>
    </row>
    <row r="224">
      <c r="A224" s="2" t="inlineStr">
        <is>
          <t>14-D-728</t>
        </is>
      </c>
      <c r="B224" s="3" t="inlineStr">
        <is>
          <t>DOJC-SM-SC/PC-SC/APC</t>
        </is>
      </c>
      <c r="C224" s="2" t="inlineStr">
        <is>
          <t>0.5M</t>
        </is>
      </c>
      <c r="D224" s="2" t="inlineStr">
        <is>
          <t>a1</t>
        </is>
      </c>
      <c r="E224" s="2" t="inlineStr">
        <is>
          <t>2.0mm</t>
        </is>
      </c>
      <c r="F224" s="2" t="n">
        <v>2</v>
      </c>
      <c r="G224" s="2" t="n">
        <v>0.5</v>
      </c>
      <c r="H224" s="2" t="inlineStr">
        <is>
          <t>SC/PC</t>
        </is>
      </c>
      <c r="I224" s="2" t="inlineStr">
        <is>
          <t>SC/APC</t>
        </is>
      </c>
      <c r="J224" s="2" t="n"/>
      <c r="K224" s="2" t="n"/>
      <c r="L224" s="2" t="n"/>
      <c r="M224" s="2" t="n"/>
      <c r="N224" s="2" t="n"/>
      <c r="O224" s="2" t="n"/>
      <c r="P224" s="2" t="n">
        <v>992</v>
      </c>
      <c r="Q224" s="2" t="n"/>
      <c r="R224" s="2" t="n"/>
      <c r="S224" s="2" t="n"/>
      <c r="T224" s="2" t="n"/>
      <c r="U224" s="2" t="n"/>
      <c r="V224" s="2">
        <f>SUM(J224:U224)*G224</f>
        <v/>
      </c>
      <c r="W224" s="2">
        <f>MAX(J224:U224)</f>
        <v/>
      </c>
      <c r="X224" s="2">
        <f>W224*G224</f>
        <v/>
      </c>
    </row>
    <row r="225">
      <c r="A225" s="2" t="inlineStr">
        <is>
          <t>14-D-733</t>
        </is>
      </c>
      <c r="B225" s="3" t="inlineStr">
        <is>
          <t>DOJC-SM-LC/PC-LC/PC</t>
        </is>
      </c>
      <c r="C225" s="2" t="inlineStr">
        <is>
          <t>20M_청색케이블</t>
        </is>
      </c>
      <c r="D225" s="2" t="inlineStr">
        <is>
          <t>a1-청</t>
        </is>
      </c>
      <c r="E225" s="2" t="inlineStr">
        <is>
          <t>2.0mm</t>
        </is>
      </c>
      <c r="F225" s="2" t="n">
        <v>2</v>
      </c>
      <c r="G225" s="2" t="n">
        <v>20</v>
      </c>
      <c r="H225" s="2" t="inlineStr">
        <is>
          <t>LC/PC</t>
        </is>
      </c>
      <c r="I225" s="2" t="inlineStr">
        <is>
          <t>LC/PC</t>
        </is>
      </c>
      <c r="J225" s="2" t="n">
        <v>30</v>
      </c>
      <c r="K225" s="2" t="n"/>
      <c r="L225" s="2" t="n"/>
      <c r="M225" s="2" t="n"/>
      <c r="N225" s="2" t="n"/>
      <c r="O225" s="2" t="n"/>
      <c r="P225" s="2" t="n"/>
      <c r="Q225" s="2" t="n">
        <v>10</v>
      </c>
      <c r="R225" s="2" t="n"/>
      <c r="S225" s="2" t="n"/>
      <c r="T225" s="2" t="n">
        <v>30</v>
      </c>
      <c r="U225" s="2" t="n"/>
      <c r="V225" s="2">
        <f>SUM(J225:U225)*G225</f>
        <v/>
      </c>
      <c r="W225" s="2">
        <f>MAX(J225:U225)</f>
        <v/>
      </c>
      <c r="X225" s="2">
        <f>W225*G225</f>
        <v/>
      </c>
    </row>
    <row r="226">
      <c r="A226" s="2" t="inlineStr">
        <is>
          <t>14-D-734</t>
        </is>
      </c>
      <c r="B226" s="3" t="inlineStr">
        <is>
          <t>DOJC-SM-LC/PC-LC/PC</t>
        </is>
      </c>
      <c r="C226" s="2" t="inlineStr">
        <is>
          <t>25M_청색케이블</t>
        </is>
      </c>
      <c r="D226" s="2" t="inlineStr">
        <is>
          <t>a1-청</t>
        </is>
      </c>
      <c r="E226" s="2" t="inlineStr">
        <is>
          <t>2.0mm</t>
        </is>
      </c>
      <c r="F226" s="2" t="n">
        <v>2</v>
      </c>
      <c r="G226" s="2" t="n">
        <v>25</v>
      </c>
      <c r="H226" s="2" t="inlineStr">
        <is>
          <t>LC/PC</t>
        </is>
      </c>
      <c r="I226" s="2" t="inlineStr">
        <is>
          <t>LC/PC</t>
        </is>
      </c>
      <c r="J226" s="2" t="n">
        <v>20</v>
      </c>
      <c r="K226" s="2" t="n"/>
      <c r="L226" s="2" t="n"/>
      <c r="M226" s="2" t="n"/>
      <c r="N226" s="2" t="n"/>
      <c r="O226" s="2" t="n">
        <v>20</v>
      </c>
      <c r="P226" s="2" t="n"/>
      <c r="Q226" s="2" t="n"/>
      <c r="R226" s="2" t="n"/>
      <c r="S226" s="2" t="n"/>
      <c r="T226" s="2" t="n"/>
      <c r="U226" s="2" t="n"/>
      <c r="V226" s="2">
        <f>SUM(J226:U226)*G226</f>
        <v/>
      </c>
      <c r="W226" s="2">
        <f>MAX(J226:U226)</f>
        <v/>
      </c>
      <c r="X226" s="2">
        <f>W226*G226</f>
        <v/>
      </c>
    </row>
    <row r="227">
      <c r="A227" s="2" t="inlineStr">
        <is>
          <t>14-D-735</t>
        </is>
      </c>
      <c r="B227" s="3" t="inlineStr">
        <is>
          <t>DOJC-SM-LC/PC-LC/PC</t>
        </is>
      </c>
      <c r="C227" s="2" t="inlineStr">
        <is>
          <t>35M_청색케이블</t>
        </is>
      </c>
      <c r="D227" s="2" t="inlineStr">
        <is>
          <t>a1-청</t>
        </is>
      </c>
      <c r="E227" s="2" t="inlineStr">
        <is>
          <t>2.0mm</t>
        </is>
      </c>
      <c r="F227" s="2" t="n">
        <v>2</v>
      </c>
      <c r="G227" s="2" t="n">
        <v>35</v>
      </c>
      <c r="H227" s="2" t="inlineStr">
        <is>
          <t>LC/PC</t>
        </is>
      </c>
      <c r="I227" s="2" t="inlineStr">
        <is>
          <t>LC/PC</t>
        </is>
      </c>
      <c r="J227" s="2" t="n"/>
      <c r="K227" s="2" t="n"/>
      <c r="L227" s="2" t="n"/>
      <c r="M227" s="2" t="n"/>
      <c r="N227" s="2" t="n"/>
      <c r="O227" s="2" t="n">
        <v>20</v>
      </c>
      <c r="P227" s="2" t="n"/>
      <c r="Q227" s="2" t="n">
        <v>10</v>
      </c>
      <c r="R227" s="2" t="n"/>
      <c r="S227" s="2" t="n"/>
      <c r="T227" s="2" t="n"/>
      <c r="U227" s="2" t="n"/>
      <c r="V227" s="2">
        <f>SUM(J227:U227)*G227</f>
        <v/>
      </c>
      <c r="W227" s="2">
        <f>MAX(J227:U227)</f>
        <v/>
      </c>
      <c r="X227" s="2">
        <f>W227*G227</f>
        <v/>
      </c>
    </row>
    <row r="228">
      <c r="A228" s="2" t="inlineStr">
        <is>
          <t>14-D-745</t>
        </is>
      </c>
      <c r="B228" s="3" t="inlineStr">
        <is>
          <t>DOJC-SM-LC/PC-LC/PC</t>
        </is>
      </c>
      <c r="C228" s="2" t="inlineStr">
        <is>
          <t>45M_청색케이블</t>
        </is>
      </c>
      <c r="D228" s="2" t="inlineStr">
        <is>
          <t>a1-청</t>
        </is>
      </c>
      <c r="E228" s="2" t="inlineStr">
        <is>
          <t>2.0mm</t>
        </is>
      </c>
      <c r="F228" s="2" t="n">
        <v>2</v>
      </c>
      <c r="G228" s="2" t="n">
        <v>45</v>
      </c>
      <c r="H228" s="2" t="inlineStr">
        <is>
          <t>LC/PC</t>
        </is>
      </c>
      <c r="I228" s="2" t="inlineStr">
        <is>
          <t>LC/PC</t>
        </is>
      </c>
      <c r="J228" s="2" t="n"/>
      <c r="K228" s="2" t="n"/>
      <c r="L228" s="2" t="n">
        <v>20</v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SUM(J228:U228)*G228</f>
        <v/>
      </c>
      <c r="W228" s="2">
        <f>MAX(J228:U228)</f>
        <v/>
      </c>
      <c r="X228" s="2">
        <f>W228*G228</f>
        <v/>
      </c>
    </row>
    <row r="229">
      <c r="A229" s="2" t="inlineStr">
        <is>
          <t>14-D-746</t>
        </is>
      </c>
      <c r="B229" s="3" t="inlineStr">
        <is>
          <t>DOJC-SM-LC/PC-LC/PC</t>
        </is>
      </c>
      <c r="C229" s="2" t="inlineStr">
        <is>
          <t>50M_청색케이블</t>
        </is>
      </c>
      <c r="D229" s="2" t="inlineStr">
        <is>
          <t>a1-청</t>
        </is>
      </c>
      <c r="E229" s="2" t="inlineStr">
        <is>
          <t>2.0mm</t>
        </is>
      </c>
      <c r="F229" s="2" t="n">
        <v>2</v>
      </c>
      <c r="G229" s="2" t="n">
        <v>50</v>
      </c>
      <c r="H229" s="2" t="inlineStr">
        <is>
          <t>LC/PC</t>
        </is>
      </c>
      <c r="I229" s="2" t="inlineStr">
        <is>
          <t>LC/PC</t>
        </is>
      </c>
      <c r="J229" s="2" t="n">
        <v>30</v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>
        <f>SUM(J229:U229)*G229</f>
        <v/>
      </c>
      <c r="W229" s="2">
        <f>MAX(J229:U229)</f>
        <v/>
      </c>
      <c r="X229" s="2">
        <f>W229*G229</f>
        <v/>
      </c>
    </row>
    <row r="230">
      <c r="A230" s="2" t="inlineStr">
        <is>
          <t>14-D-747</t>
        </is>
      </c>
      <c r="B230" s="3" t="inlineStr">
        <is>
          <t>DOJC-SM-LC/PC-LC/PC</t>
        </is>
      </c>
      <c r="C230" s="2" t="inlineStr">
        <is>
          <t>55M_청색케이블</t>
        </is>
      </c>
      <c r="D230" s="2" t="inlineStr">
        <is>
          <t>a1-청</t>
        </is>
      </c>
      <c r="E230" s="2" t="inlineStr">
        <is>
          <t>2.0mm</t>
        </is>
      </c>
      <c r="F230" s="2" t="n">
        <v>2</v>
      </c>
      <c r="G230" s="2" t="n">
        <v>55</v>
      </c>
      <c r="H230" s="2" t="inlineStr">
        <is>
          <t>LC/PC</t>
        </is>
      </c>
      <c r="I230" s="2" t="inlineStr">
        <is>
          <t>LC/PC</t>
        </is>
      </c>
      <c r="J230" s="2" t="n">
        <v>30</v>
      </c>
      <c r="K230" s="2" t="n"/>
      <c r="L230" s="2" t="n">
        <v>10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SUM(J230:U230)*G230</f>
        <v/>
      </c>
      <c r="W230" s="2">
        <f>MAX(J230:U230)</f>
        <v/>
      </c>
      <c r="X230" s="2">
        <f>W230*G230</f>
        <v/>
      </c>
    </row>
    <row r="231">
      <c r="A231" s="2" t="inlineStr">
        <is>
          <t>14-D-764</t>
        </is>
      </c>
      <c r="B231" s="3" t="inlineStr">
        <is>
          <t>DOJC-MM(OM3)-LC/PC-LC/PC</t>
        </is>
      </c>
      <c r="C231" s="2" t="inlineStr">
        <is>
          <t>18M</t>
        </is>
      </c>
      <c r="D231" s="2" t="inlineStr">
        <is>
          <t>om3</t>
        </is>
      </c>
      <c r="E231" s="2" t="inlineStr">
        <is>
          <t>2.0mm</t>
        </is>
      </c>
      <c r="F231" s="2" t="n">
        <v>2</v>
      </c>
      <c r="G231" s="2" t="n">
        <v>18</v>
      </c>
      <c r="H231" s="2" t="inlineStr">
        <is>
          <t>LC/PC</t>
        </is>
      </c>
      <c r="I231" s="2" t="inlineStr">
        <is>
          <t>LC/PC</t>
        </is>
      </c>
      <c r="J231" s="2" t="n"/>
      <c r="K231" s="2" t="n">
        <v>5</v>
      </c>
      <c r="L231" s="2" t="n">
        <v>2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SUM(J231:U231)*G231</f>
        <v/>
      </c>
      <c r="W231" s="2">
        <f>MAX(J231:U231)</f>
        <v/>
      </c>
      <c r="X231" s="2">
        <f>W231*G231</f>
        <v/>
      </c>
    </row>
    <row r="232">
      <c r="A232" s="2" t="inlineStr">
        <is>
          <t>14-D-768</t>
        </is>
      </c>
      <c r="B232" s="3" t="inlineStr">
        <is>
          <t>DOJC-SM-LC/PC-LC/PC</t>
        </is>
      </c>
      <c r="C232" s="2" t="inlineStr">
        <is>
          <t>30M_청색케이블</t>
        </is>
      </c>
      <c r="D232" s="2" t="inlineStr">
        <is>
          <t>a1-청</t>
        </is>
      </c>
      <c r="E232" s="2" t="inlineStr">
        <is>
          <t>2.0mm</t>
        </is>
      </c>
      <c r="F232" s="2" t="n">
        <v>2</v>
      </c>
      <c r="G232" s="2" t="n">
        <v>30</v>
      </c>
      <c r="H232" s="2" t="inlineStr">
        <is>
          <t>LC/PC</t>
        </is>
      </c>
      <c r="I232" s="2" t="inlineStr">
        <is>
          <t>LC/PC</t>
        </is>
      </c>
      <c r="J232" s="2" t="n"/>
      <c r="K232" s="2" t="n"/>
      <c r="L232" s="2" t="n"/>
      <c r="M232" s="2" t="n"/>
      <c r="N232" s="2" t="n"/>
      <c r="O232" s="2" t="n">
        <v>20</v>
      </c>
      <c r="P232" s="2" t="n"/>
      <c r="Q232" s="2" t="n"/>
      <c r="R232" s="2" t="n"/>
      <c r="S232" s="2" t="n"/>
      <c r="T232" s="2" t="n"/>
      <c r="U232" s="2" t="n"/>
      <c r="V232" s="2">
        <f>SUM(J232:U232)*G232</f>
        <v/>
      </c>
      <c r="W232" s="2">
        <f>MAX(J232:U232)</f>
        <v/>
      </c>
      <c r="X232" s="2">
        <f>W232*G232</f>
        <v/>
      </c>
    </row>
    <row r="233">
      <c r="A233" s="2" t="inlineStr">
        <is>
          <t>14-D-771</t>
        </is>
      </c>
      <c r="B233" s="3" t="inlineStr">
        <is>
          <t>DOJC-MM-LC/PC-LC/PC</t>
        </is>
      </c>
      <c r="C233" s="2" t="inlineStr">
        <is>
          <t>19M</t>
        </is>
      </c>
      <c r="D233" s="2" t="inlineStr">
        <is>
          <t>om1</t>
        </is>
      </c>
      <c r="E233" s="2" t="inlineStr">
        <is>
          <t>2.0mm</t>
        </is>
      </c>
      <c r="F233" s="2" t="n">
        <v>2</v>
      </c>
      <c r="G233" s="2" t="n">
        <v>19</v>
      </c>
      <c r="H233" s="2" t="inlineStr">
        <is>
          <t>LC/PC</t>
        </is>
      </c>
      <c r="I233" s="2" t="inlineStr">
        <is>
          <t>LC/PC</t>
        </is>
      </c>
      <c r="J233" s="2" t="n"/>
      <c r="K233" s="2" t="n">
        <v>2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>
        <f>SUM(J233:U233)*G233</f>
        <v/>
      </c>
      <c r="W233" s="2">
        <f>MAX(J233:U233)</f>
        <v/>
      </c>
      <c r="X233" s="2">
        <f>W233*G233</f>
        <v/>
      </c>
    </row>
    <row r="234">
      <c r="A234" s="2" t="inlineStr">
        <is>
          <t>14-D-901</t>
        </is>
      </c>
      <c r="B234" s="3" t="inlineStr">
        <is>
          <t>DOJC-SM-LC/PC-LC/APC</t>
        </is>
      </c>
      <c r="C234" s="2" t="inlineStr">
        <is>
          <t>3M</t>
        </is>
      </c>
      <c r="D234" s="2" t="inlineStr">
        <is>
          <t>a1</t>
        </is>
      </c>
      <c r="E234" s="2" t="inlineStr">
        <is>
          <t>2.0mm</t>
        </is>
      </c>
      <c r="F234" s="2" t="n">
        <v>2</v>
      </c>
      <c r="G234" s="2" t="n">
        <v>3</v>
      </c>
      <c r="H234" s="2" t="inlineStr">
        <is>
          <t>LC/PC</t>
        </is>
      </c>
      <c r="I234" s="2" t="inlineStr">
        <is>
          <t>LC/APC</t>
        </is>
      </c>
      <c r="J234" s="2" t="n"/>
      <c r="K234" s="2" t="n"/>
      <c r="L234" s="2" t="n"/>
      <c r="M234" s="2" t="n">
        <v>10</v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SUM(J234:U234)*G234</f>
        <v/>
      </c>
      <c r="W234" s="2">
        <f>MAX(J234:U234)</f>
        <v/>
      </c>
      <c r="X234" s="2">
        <f>W234*G234</f>
        <v/>
      </c>
    </row>
    <row r="235">
      <c r="A235" s="2" t="inlineStr">
        <is>
          <t>14-D-903</t>
        </is>
      </c>
      <c r="B235" s="3" t="inlineStr">
        <is>
          <t>DOJC-SM-LC/PC-SC/APC</t>
        </is>
      </c>
      <c r="C235" s="2" t="inlineStr">
        <is>
          <t>17M</t>
        </is>
      </c>
      <c r="D235" s="2" t="inlineStr">
        <is>
          <t>a1</t>
        </is>
      </c>
      <c r="E235" s="2" t="inlineStr">
        <is>
          <t>2.0mm</t>
        </is>
      </c>
      <c r="F235" s="2" t="n">
        <v>2</v>
      </c>
      <c r="G235" s="2" t="n">
        <v>17</v>
      </c>
      <c r="H235" s="2" t="inlineStr">
        <is>
          <t>LC/PC</t>
        </is>
      </c>
      <c r="I235" s="2" t="inlineStr">
        <is>
          <t>SC/APC</t>
        </is>
      </c>
      <c r="J235" s="2" t="n">
        <v>1</v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>
        <f>SUM(J235:U235)*G235</f>
        <v/>
      </c>
      <c r="W235" s="2">
        <f>MAX(J235:U235)</f>
        <v/>
      </c>
      <c r="X235" s="2">
        <f>W235*G235</f>
        <v/>
      </c>
    </row>
    <row r="236">
      <c r="A236" s="2" t="inlineStr">
        <is>
          <t>14-D-980</t>
        </is>
      </c>
      <c r="B236" s="3" t="inlineStr">
        <is>
          <t>DOJC-SM-SC/APC-SC/APC</t>
        </is>
      </c>
      <c r="C236" s="2" t="inlineStr">
        <is>
          <t>19M</t>
        </is>
      </c>
      <c r="D236" s="2" t="inlineStr">
        <is>
          <t>a1</t>
        </is>
      </c>
      <c r="E236" s="2" t="inlineStr">
        <is>
          <t>2.0mm</t>
        </is>
      </c>
      <c r="F236" s="2" t="n">
        <v>2</v>
      </c>
      <c r="G236" s="2" t="n">
        <v>19</v>
      </c>
      <c r="H236" s="2" t="inlineStr">
        <is>
          <t>SC/APC</t>
        </is>
      </c>
      <c r="I236" s="2" t="inlineStr">
        <is>
          <t>SC/APC</t>
        </is>
      </c>
      <c r="J236" s="2" t="n"/>
      <c r="K236" s="2" t="n"/>
      <c r="L236" s="2" t="n"/>
      <c r="M236" s="2" t="n">
        <v>1</v>
      </c>
      <c r="N236" s="2" t="n"/>
      <c r="O236" s="2" t="n"/>
      <c r="P236" s="2" t="n">
        <v>1</v>
      </c>
      <c r="Q236" s="2" t="n"/>
      <c r="R236" s="2" t="n"/>
      <c r="S236" s="2" t="n"/>
      <c r="T236" s="2" t="n"/>
      <c r="U236" s="2" t="n"/>
      <c r="V236" s="2">
        <f>SUM(J236:U236)*G236</f>
        <v/>
      </c>
      <c r="W236" s="2">
        <f>MAX(J236:U236)</f>
        <v/>
      </c>
      <c r="X236" s="2">
        <f>W236*G236</f>
        <v/>
      </c>
    </row>
    <row r="237">
      <c r="A237" s="2" t="inlineStr">
        <is>
          <t>14-D-984</t>
        </is>
      </c>
      <c r="B237" s="3" t="inlineStr">
        <is>
          <t>DOJC-SM-SC/APC-SC/APC</t>
        </is>
      </c>
      <c r="C237" s="2" t="inlineStr">
        <is>
          <t>24M</t>
        </is>
      </c>
      <c r="D237" s="2" t="inlineStr">
        <is>
          <t>a1</t>
        </is>
      </c>
      <c r="E237" s="2" t="inlineStr">
        <is>
          <t>2.0mm</t>
        </is>
      </c>
      <c r="F237" s="2" t="n">
        <v>2</v>
      </c>
      <c r="G237" s="2" t="n">
        <v>24</v>
      </c>
      <c r="H237" s="2" t="inlineStr">
        <is>
          <t>SC/APC</t>
        </is>
      </c>
      <c r="I237" s="2" t="inlineStr">
        <is>
          <t>SC/APC</t>
        </is>
      </c>
      <c r="J237" s="2" t="n"/>
      <c r="K237" s="2" t="n"/>
      <c r="L237" s="2" t="n"/>
      <c r="M237" s="2" t="n">
        <v>2</v>
      </c>
      <c r="N237" s="2" t="n"/>
      <c r="O237" s="2" t="n"/>
      <c r="P237" s="2" t="n">
        <v>2</v>
      </c>
      <c r="Q237" s="2" t="n"/>
      <c r="R237" s="2" t="n"/>
      <c r="S237" s="2" t="n"/>
      <c r="T237" s="2" t="n"/>
      <c r="U237" s="2" t="n"/>
      <c r="V237" s="2">
        <f>SUM(J237:U237)*G237</f>
        <v/>
      </c>
      <c r="W237" s="2">
        <f>MAX(J237:U237)</f>
        <v/>
      </c>
      <c r="X237" s="2">
        <f>W237*G237</f>
        <v/>
      </c>
    </row>
    <row r="238">
      <c r="A238" s="2" t="inlineStr">
        <is>
          <t>14-D-A08</t>
        </is>
      </c>
      <c r="B238" s="3" t="inlineStr">
        <is>
          <t>DOJC-SM-LC/PC-LC/PC</t>
        </is>
      </c>
      <c r="C238" s="2" t="inlineStr">
        <is>
          <t>40M_적색케이블</t>
        </is>
      </c>
      <c r="D238" s="2" t="inlineStr">
        <is>
          <t>a1-적</t>
        </is>
      </c>
      <c r="E238" s="2" t="inlineStr">
        <is>
          <t>2.0mm</t>
        </is>
      </c>
      <c r="F238" s="2" t="n">
        <v>2</v>
      </c>
      <c r="G238" s="2" t="n">
        <v>40</v>
      </c>
      <c r="H238" s="2" t="inlineStr">
        <is>
          <t>LC/PC</t>
        </is>
      </c>
      <c r="I238" s="2" t="inlineStr">
        <is>
          <t>LC/PC</t>
        </is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>
        <v>4</v>
      </c>
      <c r="U238" s="2" t="n"/>
      <c r="V238" s="2">
        <f>SUM(J238:U238)*G238</f>
        <v/>
      </c>
      <c r="W238" s="2">
        <f>MAX(J238:U238)</f>
        <v/>
      </c>
      <c r="X238" s="2">
        <f>W238*G238</f>
        <v/>
      </c>
    </row>
    <row r="239">
      <c r="A239" s="2" t="inlineStr">
        <is>
          <t>14-D-A10</t>
        </is>
      </c>
      <c r="B239" s="3" t="inlineStr">
        <is>
          <t>DOJC-SM-LC/PC-LC/PC</t>
        </is>
      </c>
      <c r="C239" s="2" t="inlineStr">
        <is>
          <t>10M_청색케이블</t>
        </is>
      </c>
      <c r="D239" s="2" t="inlineStr">
        <is>
          <t>a1-청</t>
        </is>
      </c>
      <c r="E239" s="2" t="inlineStr">
        <is>
          <t>2.0mm</t>
        </is>
      </c>
      <c r="F239" s="2" t="n">
        <v>2</v>
      </c>
      <c r="G239" s="2" t="n">
        <v>10</v>
      </c>
      <c r="H239" s="2" t="inlineStr">
        <is>
          <t>LC/PC</t>
        </is>
      </c>
      <c r="I239" s="2" t="inlineStr">
        <is>
          <t>LC/PC</t>
        </is>
      </c>
      <c r="J239" s="2" t="n"/>
      <c r="K239" s="2" t="n"/>
      <c r="L239" s="2" t="n">
        <v>170</v>
      </c>
      <c r="M239" s="2" t="n"/>
      <c r="N239" s="2" t="n">
        <v>20</v>
      </c>
      <c r="O239" s="2" t="n"/>
      <c r="P239" s="2" t="n"/>
      <c r="Q239" s="2" t="n"/>
      <c r="R239" s="2" t="n"/>
      <c r="S239" s="2" t="n"/>
      <c r="T239" s="2" t="n"/>
      <c r="U239" s="2" t="n"/>
      <c r="V239" s="2">
        <f>SUM(J239:U239)*G239</f>
        <v/>
      </c>
      <c r="W239" s="2">
        <f>MAX(J239:U239)</f>
        <v/>
      </c>
      <c r="X239" s="2">
        <f>W239*G239</f>
        <v/>
      </c>
    </row>
    <row r="240">
      <c r="A240" s="2" t="inlineStr">
        <is>
          <t>14-D-A100</t>
        </is>
      </c>
      <c r="B240" s="3" t="inlineStr">
        <is>
          <t>OJC-A1-SC/LC-SM-20-PC/PC-DP</t>
        </is>
      </c>
      <c r="C240" s="2" t="inlineStr">
        <is>
          <t>K9089164_녹색</t>
        </is>
      </c>
      <c r="D240" s="2" t="inlineStr">
        <is>
          <t>a1-녹</t>
        </is>
      </c>
      <c r="E240" s="2" t="inlineStr">
        <is>
          <t>2.0mm</t>
        </is>
      </c>
      <c r="F240" s="2" t="n">
        <v>2</v>
      </c>
      <c r="G240" s="2" t="n">
        <v>20</v>
      </c>
      <c r="H240" s="2" t="inlineStr">
        <is>
          <t>SC/PC</t>
        </is>
      </c>
      <c r="I240" s="2" t="inlineStr">
        <is>
          <t>LC/PC</t>
        </is>
      </c>
      <c r="J240" s="2" t="n"/>
      <c r="K240" s="2" t="n"/>
      <c r="L240" s="2" t="n"/>
      <c r="M240" s="2" t="n"/>
      <c r="N240" s="2" t="n"/>
      <c r="O240" s="2" t="n">
        <v>316</v>
      </c>
      <c r="P240" s="2" t="n"/>
      <c r="Q240" s="2" t="n">
        <v>1</v>
      </c>
      <c r="R240" s="2" t="n">
        <v>36</v>
      </c>
      <c r="S240" s="2" t="n"/>
      <c r="T240" s="2" t="n">
        <v>140</v>
      </c>
      <c r="U240" s="2" t="n">
        <v>615</v>
      </c>
      <c r="V240" s="2">
        <f>SUM(J240:U240)*G240</f>
        <v/>
      </c>
      <c r="W240" s="2">
        <f>MAX(J240:U240)</f>
        <v/>
      </c>
      <c r="X240" s="2">
        <f>W240*G240</f>
        <v/>
      </c>
    </row>
    <row r="241">
      <c r="A241" s="2" t="inlineStr">
        <is>
          <t>14-D-A102</t>
        </is>
      </c>
      <c r="B241" s="3" t="inlineStr">
        <is>
          <t>OJC-A1-LC/LC-SM-20-PC/PC-DP</t>
        </is>
      </c>
      <c r="C241" s="2" t="inlineStr">
        <is>
          <t>K9089178_녹색</t>
        </is>
      </c>
      <c r="D241" s="2" t="inlineStr">
        <is>
          <t>a1-녹</t>
        </is>
      </c>
      <c r="E241" s="2" t="inlineStr">
        <is>
          <t>2.0mm</t>
        </is>
      </c>
      <c r="F241" s="2" t="n">
        <v>2</v>
      </c>
      <c r="G241" s="2" t="n">
        <v>20</v>
      </c>
      <c r="H241" s="2" t="inlineStr">
        <is>
          <t>LC/PC</t>
        </is>
      </c>
      <c r="I241" s="2" t="inlineStr">
        <is>
          <t>LC/PC</t>
        </is>
      </c>
      <c r="J241" s="2" t="n"/>
      <c r="K241" s="2" t="n"/>
      <c r="L241" s="2" t="n"/>
      <c r="M241" s="2" t="n"/>
      <c r="N241" s="2" t="n"/>
      <c r="O241" s="2" t="n">
        <v>179</v>
      </c>
      <c r="P241" s="2" t="n"/>
      <c r="Q241" s="2" t="n"/>
      <c r="R241" s="2" t="n">
        <v>2</v>
      </c>
      <c r="S241" s="2" t="n"/>
      <c r="T241" s="2" t="n">
        <v>10</v>
      </c>
      <c r="U241" s="2" t="n">
        <v>23</v>
      </c>
      <c r="V241" s="2">
        <f>SUM(J241:U241)*G241</f>
        <v/>
      </c>
      <c r="W241" s="2">
        <f>MAX(J241:U241)</f>
        <v/>
      </c>
      <c r="X241" s="2">
        <f>W241*G241</f>
        <v/>
      </c>
    </row>
    <row r="242">
      <c r="A242" s="2" t="inlineStr">
        <is>
          <t>14-D-A104</t>
        </is>
      </c>
      <c r="B242" s="3" t="inlineStr">
        <is>
          <t>OJC-A1-SC/LC-SM-25-PC/PC-DP</t>
        </is>
      </c>
      <c r="C242" s="2" t="inlineStr">
        <is>
          <t>K9089165_녹색</t>
        </is>
      </c>
      <c r="D242" s="2" t="inlineStr">
        <is>
          <t>a1-녹</t>
        </is>
      </c>
      <c r="E242" s="2" t="inlineStr">
        <is>
          <t>2.0mm</t>
        </is>
      </c>
      <c r="F242" s="2" t="n">
        <v>2</v>
      </c>
      <c r="G242" s="2" t="n">
        <v>25</v>
      </c>
      <c r="H242" s="2" t="inlineStr">
        <is>
          <t>SC/PC</t>
        </is>
      </c>
      <c r="I242" s="2" t="inlineStr">
        <is>
          <t>LC/PC</t>
        </is>
      </c>
      <c r="J242" s="2" t="n"/>
      <c r="K242" s="2" t="n"/>
      <c r="L242" s="2" t="n"/>
      <c r="M242" s="2" t="n"/>
      <c r="N242" s="2" t="n"/>
      <c r="O242" s="2" t="n">
        <v>21</v>
      </c>
      <c r="P242" s="2" t="n"/>
      <c r="Q242" s="2" t="n"/>
      <c r="R242" s="2" t="n">
        <v>2</v>
      </c>
      <c r="S242" s="2" t="n"/>
      <c r="T242" s="2" t="n"/>
      <c r="U242" s="2" t="n">
        <v>14</v>
      </c>
      <c r="V242" s="2">
        <f>SUM(J242:U242)*G242</f>
        <v/>
      </c>
      <c r="W242" s="2">
        <f>MAX(J242:U242)</f>
        <v/>
      </c>
      <c r="X242" s="2">
        <f>W242*G242</f>
        <v/>
      </c>
    </row>
    <row r="243">
      <c r="A243" s="2" t="inlineStr">
        <is>
          <t>14-D-A108</t>
        </is>
      </c>
      <c r="B243" s="3" t="inlineStr">
        <is>
          <t>DOJC-SM-LC/PC-LC/PC</t>
        </is>
      </c>
      <c r="C243" s="2" t="inlineStr">
        <is>
          <t>6M_청색케이블</t>
        </is>
      </c>
      <c r="D243" s="2" t="inlineStr">
        <is>
          <t>a1-청</t>
        </is>
      </c>
      <c r="E243" s="2" t="inlineStr">
        <is>
          <t>2.0mm</t>
        </is>
      </c>
      <c r="F243" s="2" t="n">
        <v>2</v>
      </c>
      <c r="G243" s="2" t="n">
        <v>6</v>
      </c>
      <c r="H243" s="2" t="inlineStr">
        <is>
          <t>LC/PC</t>
        </is>
      </c>
      <c r="I243" s="2" t="inlineStr">
        <is>
          <t>LC/PC</t>
        </is>
      </c>
      <c r="J243" s="2" t="n">
        <v>200</v>
      </c>
      <c r="K243" s="2" t="n"/>
      <c r="L243" s="2" t="n">
        <v>500</v>
      </c>
      <c r="M243" s="2" t="n">
        <v>200</v>
      </c>
      <c r="N243" s="2" t="n"/>
      <c r="O243" s="2" t="n"/>
      <c r="P243" s="2" t="n">
        <v>300</v>
      </c>
      <c r="Q243" s="2" t="n"/>
      <c r="R243" s="2" t="n"/>
      <c r="S243" s="2" t="n"/>
      <c r="T243" s="2" t="n"/>
      <c r="U243" s="2" t="n"/>
      <c r="V243" s="2">
        <f>SUM(J243:U243)*G243</f>
        <v/>
      </c>
      <c r="W243" s="2">
        <f>MAX(J243:U243)</f>
        <v/>
      </c>
      <c r="X243" s="2">
        <f>W243*G243</f>
        <v/>
      </c>
    </row>
    <row r="244">
      <c r="A244" s="2" t="inlineStr">
        <is>
          <t>14-D-A109</t>
        </is>
      </c>
      <c r="B244" s="3" t="inlineStr">
        <is>
          <t>DOJC-SM-LC/APC-LC/APC</t>
        </is>
      </c>
      <c r="C244" s="2" t="inlineStr">
        <is>
          <t>5M</t>
        </is>
      </c>
      <c r="D244" s="2" t="inlineStr">
        <is>
          <t>a1</t>
        </is>
      </c>
      <c r="E244" s="2" t="inlineStr">
        <is>
          <t>2.0mm</t>
        </is>
      </c>
      <c r="F244" s="2" t="n">
        <v>2</v>
      </c>
      <c r="G244" s="2" t="n">
        <v>5</v>
      </c>
      <c r="H244" s="2" t="inlineStr">
        <is>
          <t>LC/APC</t>
        </is>
      </c>
      <c r="I244" s="2" t="inlineStr">
        <is>
          <t>LC/APC</t>
        </is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>
        <v>10</v>
      </c>
      <c r="S244" s="2" t="n"/>
      <c r="T244" s="2" t="n"/>
      <c r="U244" s="2" t="n"/>
      <c r="V244" s="2">
        <f>SUM(J244:U244)*G244</f>
        <v/>
      </c>
      <c r="W244" s="2">
        <f>MAX(J244:U244)</f>
        <v/>
      </c>
      <c r="X244" s="2">
        <f>W244*G244</f>
        <v/>
      </c>
    </row>
    <row r="245">
      <c r="A245" s="2" t="inlineStr">
        <is>
          <t>14-D-A118</t>
        </is>
      </c>
      <c r="B245" s="3" t="inlineStr">
        <is>
          <t>DOJC-MM(OM3)-LC/PC-LC/PC</t>
        </is>
      </c>
      <c r="C245" s="2" t="inlineStr">
        <is>
          <t>60M</t>
        </is>
      </c>
      <c r="D245" s="2" t="inlineStr">
        <is>
          <t>om3</t>
        </is>
      </c>
      <c r="E245" s="2" t="inlineStr">
        <is>
          <t>2.0mm</t>
        </is>
      </c>
      <c r="F245" s="2" t="n">
        <v>2</v>
      </c>
      <c r="G245" s="2" t="n">
        <v>60</v>
      </c>
      <c r="H245" s="2" t="inlineStr">
        <is>
          <t>LC/PC</t>
        </is>
      </c>
      <c r="I245" s="2" t="inlineStr">
        <is>
          <t>LC/PC</t>
        </is>
      </c>
      <c r="J245" s="2" t="n"/>
      <c r="K245" s="2" t="n"/>
      <c r="L245" s="2" t="n"/>
      <c r="M245" s="2" t="n"/>
      <c r="N245" s="2" t="n"/>
      <c r="O245" s="2" t="n"/>
      <c r="P245" s="2" t="n"/>
      <c r="Q245" s="2" t="n">
        <v>6</v>
      </c>
      <c r="R245" s="2" t="n"/>
      <c r="S245" s="2" t="n">
        <v>20</v>
      </c>
      <c r="T245" s="2" t="n"/>
      <c r="U245" s="2" t="n"/>
      <c r="V245" s="2">
        <f>SUM(J245:U245)*G245</f>
        <v/>
      </c>
      <c r="W245" s="2">
        <f>MAX(J245:U245)</f>
        <v/>
      </c>
      <c r="X245" s="2">
        <f>W245*G245</f>
        <v/>
      </c>
    </row>
    <row r="246">
      <c r="A246" s="2" t="inlineStr">
        <is>
          <t>14-D-A12</t>
        </is>
      </c>
      <c r="B246" s="3" t="inlineStr">
        <is>
          <t>DOJC-SM-LC/PC-LC/PC</t>
        </is>
      </c>
      <c r="C246" s="2" t="inlineStr">
        <is>
          <t>40M_청색케이블</t>
        </is>
      </c>
      <c r="D246" s="2" t="inlineStr">
        <is>
          <t>a1-청</t>
        </is>
      </c>
      <c r="E246" s="2" t="inlineStr">
        <is>
          <t>2.0mm</t>
        </is>
      </c>
      <c r="F246" s="2" t="n">
        <v>2</v>
      </c>
      <c r="G246" s="2" t="n">
        <v>40</v>
      </c>
      <c r="H246" s="2" t="inlineStr">
        <is>
          <t>LC/PC</t>
        </is>
      </c>
      <c r="I246" s="2" t="inlineStr">
        <is>
          <t>LC/PC</t>
        </is>
      </c>
      <c r="J246" s="2" t="n"/>
      <c r="K246" s="2" t="n"/>
      <c r="L246" s="2" t="n">
        <v>20</v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>
        <f>SUM(J246:U246)*G246</f>
        <v/>
      </c>
      <c r="W246" s="2">
        <f>MAX(J246:U246)</f>
        <v/>
      </c>
      <c r="X246" s="2">
        <f>W246*G246</f>
        <v/>
      </c>
    </row>
    <row r="247">
      <c r="A247" s="2" t="inlineStr">
        <is>
          <t>14-D-A124</t>
        </is>
      </c>
      <c r="B247" s="3" t="inlineStr">
        <is>
          <t>DOJC-SM-LC/APC-FC/APC</t>
        </is>
      </c>
      <c r="C247" s="2" t="inlineStr">
        <is>
          <t>15M</t>
        </is>
      </c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15</v>
      </c>
      <c r="H247" s="2" t="inlineStr">
        <is>
          <t>LC/APC</t>
        </is>
      </c>
      <c r="I247" s="2" t="inlineStr">
        <is>
          <t>FC/APC</t>
        </is>
      </c>
      <c r="J247" s="2" t="n"/>
      <c r="K247" s="2" t="n"/>
      <c r="L247" s="2" t="n"/>
      <c r="M247" s="2" t="n"/>
      <c r="N247" s="2" t="n">
        <v>10</v>
      </c>
      <c r="O247" s="2" t="n"/>
      <c r="P247" s="2" t="n"/>
      <c r="Q247" s="2" t="n"/>
      <c r="R247" s="2" t="n"/>
      <c r="S247" s="2" t="n"/>
      <c r="T247" s="2" t="n"/>
      <c r="U247" s="2" t="n"/>
      <c r="V247" s="2">
        <f>SUM(J247:U247)*G247</f>
        <v/>
      </c>
      <c r="W247" s="2">
        <f>MAX(J247:U247)</f>
        <v/>
      </c>
      <c r="X247" s="2">
        <f>W247*G247</f>
        <v/>
      </c>
    </row>
    <row r="248">
      <c r="A248" s="2" t="inlineStr">
        <is>
          <t>14-D-A126</t>
        </is>
      </c>
      <c r="B248" s="3" t="inlineStr">
        <is>
          <t>OJC-A1-SC/LC-SM-10-PC/PC-DP</t>
        </is>
      </c>
      <c r="C248" s="2" t="inlineStr">
        <is>
          <t>K9089162_녹색</t>
        </is>
      </c>
      <c r="D248" s="2" t="inlineStr">
        <is>
          <t>a1-녹</t>
        </is>
      </c>
      <c r="E248" s="2" t="inlineStr">
        <is>
          <t>2.0mm</t>
        </is>
      </c>
      <c r="F248" s="2" t="n">
        <v>2</v>
      </c>
      <c r="G248" s="2" t="n">
        <v>10</v>
      </c>
      <c r="H248" s="2" t="inlineStr">
        <is>
          <t>SC/PC</t>
        </is>
      </c>
      <c r="I248" s="2" t="inlineStr">
        <is>
          <t>LC/PC</t>
        </is>
      </c>
      <c r="J248" s="2" t="n"/>
      <c r="K248" s="2" t="n"/>
      <c r="L248" s="2" t="n"/>
      <c r="M248" s="2" t="n"/>
      <c r="N248" s="2" t="n"/>
      <c r="O248" s="2" t="n">
        <v>48</v>
      </c>
      <c r="P248" s="2" t="n"/>
      <c r="Q248" s="2" t="n">
        <v>7</v>
      </c>
      <c r="R248" s="2" t="n">
        <v>4</v>
      </c>
      <c r="S248" s="2" t="n">
        <v>5</v>
      </c>
      <c r="T248" s="2" t="n"/>
      <c r="U248" s="2" t="n">
        <v>38</v>
      </c>
      <c r="V248" s="2">
        <f>SUM(J248:U248)*G248</f>
        <v/>
      </c>
      <c r="W248" s="2">
        <f>MAX(J248:U248)</f>
        <v/>
      </c>
      <c r="X248" s="2">
        <f>W248*G248</f>
        <v/>
      </c>
    </row>
    <row r="249">
      <c r="A249" s="2" t="inlineStr">
        <is>
          <t>14-D-A127</t>
        </is>
      </c>
      <c r="B249" s="3" t="inlineStr">
        <is>
          <t>OJC-A1-SC/LC-SM-15-PC/PC-DP</t>
        </is>
      </c>
      <c r="C249" s="2" t="inlineStr">
        <is>
          <t>K9089163_녹색</t>
        </is>
      </c>
      <c r="D249" s="2" t="inlineStr">
        <is>
          <t>a1-녹</t>
        </is>
      </c>
      <c r="E249" s="2" t="inlineStr">
        <is>
          <t>2.0mm</t>
        </is>
      </c>
      <c r="F249" s="2" t="n">
        <v>2</v>
      </c>
      <c r="G249" s="2" t="n">
        <v>15</v>
      </c>
      <c r="H249" s="2" t="inlineStr">
        <is>
          <t>SC/PC</t>
        </is>
      </c>
      <c r="I249" s="2" t="inlineStr">
        <is>
          <t>LC/PC</t>
        </is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>
        <v>43</v>
      </c>
      <c r="S249" s="2" t="n"/>
      <c r="T249" s="2" t="n"/>
      <c r="U249" s="2" t="n"/>
      <c r="V249" s="2">
        <f>SUM(J249:U249)*G249</f>
        <v/>
      </c>
      <c r="W249" s="2">
        <f>MAX(J249:U249)</f>
        <v/>
      </c>
      <c r="X249" s="2">
        <f>W249*G249</f>
        <v/>
      </c>
    </row>
    <row r="250">
      <c r="A250" s="2" t="inlineStr">
        <is>
          <t>14-D-A185</t>
        </is>
      </c>
      <c r="B250" s="3" t="inlineStr">
        <is>
          <t>DOJC-MM(OM3)-LC/PC-LC/PC</t>
        </is>
      </c>
      <c r="C250" s="2" t="inlineStr">
        <is>
          <t>13M</t>
        </is>
      </c>
      <c r="D250" s="2" t="inlineStr">
        <is>
          <t>om3</t>
        </is>
      </c>
      <c r="E250" s="2" t="inlineStr">
        <is>
          <t>2.0mm</t>
        </is>
      </c>
      <c r="F250" s="2" t="n">
        <v>2</v>
      </c>
      <c r="G250" s="2" t="n">
        <v>13</v>
      </c>
      <c r="H250" s="2" t="inlineStr">
        <is>
          <t>LC/PC</t>
        </is>
      </c>
      <c r="I250" s="2" t="inlineStr">
        <is>
          <t>LC/PC</t>
        </is>
      </c>
      <c r="J250" s="2" t="n"/>
      <c r="K250" s="2" t="n">
        <v>2</v>
      </c>
      <c r="L250" s="2" t="n">
        <v>4</v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>
        <v>2</v>
      </c>
      <c r="V250" s="2">
        <f>SUM(J250:U250)*G250</f>
        <v/>
      </c>
      <c r="W250" s="2">
        <f>MAX(J250:U250)</f>
        <v/>
      </c>
      <c r="X250" s="2">
        <f>W250*G250</f>
        <v/>
      </c>
    </row>
    <row r="251">
      <c r="A251" s="2" t="inlineStr">
        <is>
          <t>14-D-A196</t>
        </is>
      </c>
      <c r="B251" s="3" t="inlineStr">
        <is>
          <t>DOJC-SM-SC/PC-SC/PC</t>
        </is>
      </c>
      <c r="C251" s="2" t="inlineStr">
        <is>
          <t>10M_적색케이블</t>
        </is>
      </c>
      <c r="D251" s="2" t="inlineStr">
        <is>
          <t>a1-적</t>
        </is>
      </c>
      <c r="E251" s="2" t="inlineStr">
        <is>
          <t>2.0mm</t>
        </is>
      </c>
      <c r="F251" s="2" t="n">
        <v>2</v>
      </c>
      <c r="G251" s="2" t="n">
        <v>10</v>
      </c>
      <c r="H251" s="2" t="inlineStr">
        <is>
          <t>SC/PC</t>
        </is>
      </c>
      <c r="I251" s="2" t="inlineStr">
        <is>
          <t>SC/PC</t>
        </is>
      </c>
      <c r="J251" s="2" t="n"/>
      <c r="K251" s="2" t="n"/>
      <c r="L251" s="2" t="n"/>
      <c r="M251" s="2" t="n"/>
      <c r="N251" s="2" t="n"/>
      <c r="O251" s="2" t="n"/>
      <c r="P251" s="2" t="n">
        <v>20</v>
      </c>
      <c r="Q251" s="2" t="n"/>
      <c r="R251" s="2" t="n">
        <v>10</v>
      </c>
      <c r="S251" s="2" t="n"/>
      <c r="T251" s="2" t="n"/>
      <c r="U251" s="2" t="n"/>
      <c r="V251" s="2">
        <f>SUM(J251:U251)*G251</f>
        <v/>
      </c>
      <c r="W251" s="2">
        <f>MAX(J251:U251)</f>
        <v/>
      </c>
      <c r="X251" s="2">
        <f>W251*G251</f>
        <v/>
      </c>
    </row>
    <row r="252">
      <c r="A252" s="2" t="inlineStr">
        <is>
          <t>14-D-A197</t>
        </is>
      </c>
      <c r="B252" s="3" t="inlineStr">
        <is>
          <t>DOJC-SM-SC/PC-SC/PC</t>
        </is>
      </c>
      <c r="C252" s="2" t="inlineStr">
        <is>
          <t>7M_적색케이블</t>
        </is>
      </c>
      <c r="D252" s="2" t="inlineStr">
        <is>
          <t>a1-적</t>
        </is>
      </c>
      <c r="E252" s="2" t="inlineStr">
        <is>
          <t>2.0mm</t>
        </is>
      </c>
      <c r="F252" s="2" t="n">
        <v>2</v>
      </c>
      <c r="G252" s="2" t="n">
        <v>7</v>
      </c>
      <c r="H252" s="2" t="inlineStr">
        <is>
          <t>SC/PC</t>
        </is>
      </c>
      <c r="I252" s="2" t="inlineStr">
        <is>
          <t>SC/PC</t>
        </is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>
        <v>20</v>
      </c>
      <c r="S252" s="2" t="n"/>
      <c r="T252" s="2" t="n"/>
      <c r="U252" s="2" t="n"/>
      <c r="V252" s="2">
        <f>SUM(J252:U252)*G252</f>
        <v/>
      </c>
      <c r="W252" s="2">
        <f>MAX(J252:U252)</f>
        <v/>
      </c>
      <c r="X252" s="2">
        <f>W252*G252</f>
        <v/>
      </c>
    </row>
    <row r="253">
      <c r="A253" s="2" t="inlineStr">
        <is>
          <t>14-D-A198</t>
        </is>
      </c>
      <c r="B253" s="3" t="inlineStr">
        <is>
          <t>DOJC-SM-LC/PC-LC/PC</t>
        </is>
      </c>
      <c r="C253" s="2" t="inlineStr">
        <is>
          <t>1.5M_청색케이블</t>
        </is>
      </c>
      <c r="D253" s="2" t="inlineStr">
        <is>
          <t>a1-청</t>
        </is>
      </c>
      <c r="E253" s="2" t="inlineStr">
        <is>
          <t>2.0mm</t>
        </is>
      </c>
      <c r="F253" s="2" t="n">
        <v>2</v>
      </c>
      <c r="G253" s="2" t="n">
        <v>1.5</v>
      </c>
      <c r="H253" s="2" t="inlineStr">
        <is>
          <t>LC/PC</t>
        </is>
      </c>
      <c r="I253" s="2" t="inlineStr">
        <is>
          <t>LC/PC</t>
        </is>
      </c>
      <c r="J253" s="2" t="n"/>
      <c r="K253" s="2" t="n"/>
      <c r="L253" s="2" t="n"/>
      <c r="M253" s="2" t="n"/>
      <c r="N253" s="2" t="n">
        <v>40</v>
      </c>
      <c r="O253" s="2" t="n"/>
      <c r="P253" s="2" t="n">
        <v>120</v>
      </c>
      <c r="Q253" s="2" t="n"/>
      <c r="R253" s="2" t="n"/>
      <c r="S253" s="2" t="n"/>
      <c r="T253" s="2" t="n"/>
      <c r="U253" s="2" t="n"/>
      <c r="V253" s="2">
        <f>SUM(J253:U253)*G253</f>
        <v/>
      </c>
      <c r="W253" s="2">
        <f>MAX(J253:U253)</f>
        <v/>
      </c>
      <c r="X253" s="2">
        <f>W253*G253</f>
        <v/>
      </c>
    </row>
    <row r="254">
      <c r="A254" s="2" t="inlineStr">
        <is>
          <t>14-D-A199</t>
        </is>
      </c>
      <c r="B254" s="3" t="inlineStr">
        <is>
          <t>DOJC-SM-LC/PC-LC/PC</t>
        </is>
      </c>
      <c r="C254" s="2" t="inlineStr">
        <is>
          <t>3M_청색케이블</t>
        </is>
      </c>
      <c r="D254" s="2" t="inlineStr">
        <is>
          <t>a1-청</t>
        </is>
      </c>
      <c r="E254" s="2" t="inlineStr">
        <is>
          <t>2.0mm</t>
        </is>
      </c>
      <c r="F254" s="2" t="n">
        <v>2</v>
      </c>
      <c r="G254" s="2" t="n">
        <v>3</v>
      </c>
      <c r="H254" s="2" t="inlineStr">
        <is>
          <t>LC/PC</t>
        </is>
      </c>
      <c r="I254" s="2" t="inlineStr">
        <is>
          <t>LC/PC</t>
        </is>
      </c>
      <c r="J254" s="2" t="n"/>
      <c r="K254" s="2" t="n"/>
      <c r="L254" s="2" t="n"/>
      <c r="M254" s="2" t="n"/>
      <c r="N254" s="2" t="n"/>
      <c r="O254" s="2" t="n"/>
      <c r="P254" s="2" t="n">
        <v>120</v>
      </c>
      <c r="Q254" s="2" t="n"/>
      <c r="R254" s="2" t="n"/>
      <c r="S254" s="2" t="n"/>
      <c r="T254" s="2" t="n"/>
      <c r="U254" s="2" t="n"/>
      <c r="V254" s="2">
        <f>SUM(J254:U254)*G254</f>
        <v/>
      </c>
      <c r="W254" s="2">
        <f>MAX(J254:U254)</f>
        <v/>
      </c>
      <c r="X254" s="2">
        <f>W254*G254</f>
        <v/>
      </c>
    </row>
    <row r="255">
      <c r="A255" s="2" t="inlineStr">
        <is>
          <t>14-D-A215</t>
        </is>
      </c>
      <c r="B255" s="3" t="inlineStr">
        <is>
          <t>DOJC-SM-LC/PC-LC/PC</t>
        </is>
      </c>
      <c r="C255" s="2" t="inlineStr">
        <is>
          <t>45M_적색케이블</t>
        </is>
      </c>
      <c r="D255" s="2" t="inlineStr">
        <is>
          <t>a1-적</t>
        </is>
      </c>
      <c r="E255" s="2" t="inlineStr">
        <is>
          <t>2.0mm</t>
        </is>
      </c>
      <c r="F255" s="2" t="n">
        <v>2</v>
      </c>
      <c r="G255" s="2" t="n">
        <v>45</v>
      </c>
      <c r="H255" s="2" t="inlineStr">
        <is>
          <t>LC/PC</t>
        </is>
      </c>
      <c r="I255" s="2" t="inlineStr">
        <is>
          <t>LC/PC</t>
        </is>
      </c>
      <c r="J255" s="2" t="n"/>
      <c r="K255" s="2" t="n"/>
      <c r="L255" s="2" t="n">
        <v>10</v>
      </c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>
        <f>SUM(J255:U255)*G255</f>
        <v/>
      </c>
      <c r="W255" s="2">
        <f>MAX(J255:U255)</f>
        <v/>
      </c>
      <c r="X255" s="2">
        <f>W255*G255</f>
        <v/>
      </c>
    </row>
    <row r="256">
      <c r="A256" s="2" t="inlineStr">
        <is>
          <t>14-D-A216</t>
        </is>
      </c>
      <c r="B256" s="3" t="inlineStr">
        <is>
          <t>DOJC-SM-LC/PC-LC/PC</t>
        </is>
      </c>
      <c r="C256" s="2" t="inlineStr">
        <is>
          <t>50M_적색케이블</t>
        </is>
      </c>
      <c r="D256" s="2" t="inlineStr">
        <is>
          <t>a1-적</t>
        </is>
      </c>
      <c r="E256" s="2" t="inlineStr">
        <is>
          <t>2.0mm</t>
        </is>
      </c>
      <c r="F256" s="2" t="n">
        <v>2</v>
      </c>
      <c r="G256" s="2" t="n">
        <v>50</v>
      </c>
      <c r="H256" s="2" t="inlineStr">
        <is>
          <t>LC/PC</t>
        </is>
      </c>
      <c r="I256" s="2" t="inlineStr">
        <is>
          <t>LC/PC</t>
        </is>
      </c>
      <c r="J256" s="2" t="n">
        <v>30</v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>
        <v>10</v>
      </c>
      <c r="U256" s="2" t="n"/>
      <c r="V256" s="2">
        <f>SUM(J256:U256)*G256</f>
        <v/>
      </c>
      <c r="W256" s="2">
        <f>MAX(J256:U256)</f>
        <v/>
      </c>
      <c r="X256" s="2">
        <f>W256*G256</f>
        <v/>
      </c>
    </row>
    <row r="257">
      <c r="A257" s="2" t="inlineStr">
        <is>
          <t>14-D-A217</t>
        </is>
      </c>
      <c r="B257" s="3" t="inlineStr">
        <is>
          <t>DOJC-SM-LC/PC-LC/PC</t>
        </is>
      </c>
      <c r="C257" s="2" t="inlineStr">
        <is>
          <t>55M_적색케이블</t>
        </is>
      </c>
      <c r="D257" s="2" t="inlineStr">
        <is>
          <t>a1-적</t>
        </is>
      </c>
      <c r="E257" s="2" t="inlineStr">
        <is>
          <t>2.0mm</t>
        </is>
      </c>
      <c r="F257" s="2" t="n">
        <v>2</v>
      </c>
      <c r="G257" s="2" t="n">
        <v>55</v>
      </c>
      <c r="H257" s="2" t="inlineStr">
        <is>
          <t>LC/PC</t>
        </is>
      </c>
      <c r="I257" s="2" t="inlineStr">
        <is>
          <t>LC/PC</t>
        </is>
      </c>
      <c r="J257" s="2" t="n">
        <v>30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>
        <f>SUM(J257:U257)*G257</f>
        <v/>
      </c>
      <c r="W257" s="2">
        <f>MAX(J257:U257)</f>
        <v/>
      </c>
      <c r="X257" s="2">
        <f>W257*G257</f>
        <v/>
      </c>
    </row>
    <row r="258">
      <c r="A258" s="2" t="inlineStr">
        <is>
          <t>14-D-A228</t>
        </is>
      </c>
      <c r="B258" s="3" t="inlineStr">
        <is>
          <t>DOJC-SM-LC/APC-FC/APC</t>
        </is>
      </c>
      <c r="C258" s="2" t="inlineStr">
        <is>
          <t>10M</t>
        </is>
      </c>
      <c r="D258" s="2" t="inlineStr">
        <is>
          <t>a1</t>
        </is>
      </c>
      <c r="E258" s="2" t="inlineStr">
        <is>
          <t>2.0mm</t>
        </is>
      </c>
      <c r="F258" s="2" t="n">
        <v>2</v>
      </c>
      <c r="G258" s="2" t="n">
        <v>10</v>
      </c>
      <c r="H258" s="2" t="inlineStr">
        <is>
          <t>LC/APC</t>
        </is>
      </c>
      <c r="I258" s="2" t="inlineStr">
        <is>
          <t>FC/APC</t>
        </is>
      </c>
      <c r="J258" s="2" t="n"/>
      <c r="K258" s="2" t="n"/>
      <c r="L258" s="2" t="n"/>
      <c r="M258" s="2" t="n"/>
      <c r="N258" s="2" t="n">
        <v>10</v>
      </c>
      <c r="O258" s="2" t="n"/>
      <c r="P258" s="2" t="n"/>
      <c r="Q258" s="2" t="n"/>
      <c r="R258" s="2" t="n"/>
      <c r="S258" s="2" t="n"/>
      <c r="T258" s="2" t="n"/>
      <c r="U258" s="2" t="n"/>
      <c r="V258" s="2">
        <f>SUM(J258:U258)*G258</f>
        <v/>
      </c>
      <c r="W258" s="2">
        <f>MAX(J258:U258)</f>
        <v/>
      </c>
      <c r="X258" s="2">
        <f>W258*G258</f>
        <v/>
      </c>
    </row>
    <row r="259">
      <c r="A259" s="2" t="inlineStr">
        <is>
          <t>14-D-A232</t>
        </is>
      </c>
      <c r="B259" s="3" t="inlineStr">
        <is>
          <t>DOJC-MM(OM3)-LC/PC-LC/PC</t>
        </is>
      </c>
      <c r="C259" s="2" t="inlineStr">
        <is>
          <t>6M</t>
        </is>
      </c>
      <c r="D259" s="2" t="inlineStr">
        <is>
          <t>om3</t>
        </is>
      </c>
      <c r="E259" s="2" t="inlineStr">
        <is>
          <t>2.0mm</t>
        </is>
      </c>
      <c r="F259" s="2" t="n">
        <v>2</v>
      </c>
      <c r="G259" s="2" t="n">
        <v>6</v>
      </c>
      <c r="H259" s="2" t="inlineStr">
        <is>
          <t>LC/PC</t>
        </is>
      </c>
      <c r="I259" s="2" t="inlineStr">
        <is>
          <t>LC/PC</t>
        </is>
      </c>
      <c r="J259" s="2" t="n"/>
      <c r="K259" s="2" t="n"/>
      <c r="L259" s="2" t="n"/>
      <c r="M259" s="2" t="n"/>
      <c r="N259" s="2" t="n"/>
      <c r="O259" s="2" t="n"/>
      <c r="P259" s="2" t="n">
        <v>50</v>
      </c>
      <c r="Q259" s="2" t="n"/>
      <c r="R259" s="2" t="n"/>
      <c r="S259" s="2" t="n"/>
      <c r="T259" s="2" t="n">
        <v>80</v>
      </c>
      <c r="U259" s="2" t="n"/>
      <c r="V259" s="2">
        <f>SUM(J259:U259)*G259</f>
        <v/>
      </c>
      <c r="W259" s="2">
        <f>MAX(J259:U259)</f>
        <v/>
      </c>
      <c r="X259" s="2">
        <f>W259*G259</f>
        <v/>
      </c>
    </row>
    <row r="260">
      <c r="A260" s="2" t="inlineStr">
        <is>
          <t>14-D-A234</t>
        </is>
      </c>
      <c r="B260" s="3" t="inlineStr">
        <is>
          <t>DOJC-SM-LC/APC-SC/APC</t>
        </is>
      </c>
      <c r="C260" s="2" t="inlineStr">
        <is>
          <t>15M</t>
        </is>
      </c>
      <c r="D260" s="2" t="inlineStr">
        <is>
          <t>a1</t>
        </is>
      </c>
      <c r="E260" s="2" t="inlineStr">
        <is>
          <t>2.0mm</t>
        </is>
      </c>
      <c r="F260" s="2" t="n">
        <v>2</v>
      </c>
      <c r="G260" s="2" t="n">
        <v>15</v>
      </c>
      <c r="H260" s="2" t="inlineStr">
        <is>
          <t>LC/APC</t>
        </is>
      </c>
      <c r="I260" s="2" t="inlineStr">
        <is>
          <t>SC/APC</t>
        </is>
      </c>
      <c r="J260" s="2" t="n"/>
      <c r="K260" s="2" t="n"/>
      <c r="L260" s="2" t="n"/>
      <c r="M260" s="2" t="n"/>
      <c r="N260" s="2" t="n">
        <v>5</v>
      </c>
      <c r="O260" s="2" t="n"/>
      <c r="P260" s="2" t="n"/>
      <c r="Q260" s="2" t="n"/>
      <c r="R260" s="2" t="n"/>
      <c r="S260" s="2" t="n"/>
      <c r="T260" s="2" t="n"/>
      <c r="U260" s="2" t="n"/>
      <c r="V260" s="2">
        <f>SUM(J260:U260)*G260</f>
        <v/>
      </c>
      <c r="W260" s="2">
        <f>MAX(J260:U260)</f>
        <v/>
      </c>
      <c r="X260" s="2">
        <f>W260*G260</f>
        <v/>
      </c>
    </row>
    <row r="261">
      <c r="A261" s="2" t="inlineStr">
        <is>
          <t>14-D-A235</t>
        </is>
      </c>
      <c r="B261" s="3" t="inlineStr">
        <is>
          <t>OJC-A1-LC/LC-SM-1-PC/APC-DP</t>
        </is>
      </c>
      <c r="C261" s="2" t="inlineStr"/>
      <c r="D261" s="2" t="inlineStr">
        <is>
          <t>a1</t>
        </is>
      </c>
      <c r="E261" s="2" t="inlineStr">
        <is>
          <t>2.0mm</t>
        </is>
      </c>
      <c r="F261" s="2" t="n">
        <v>2</v>
      </c>
      <c r="G261" s="2" t="n">
        <v>1</v>
      </c>
      <c r="H261" s="2" t="inlineStr">
        <is>
          <t>LC/PC</t>
        </is>
      </c>
      <c r="I261" s="2" t="inlineStr">
        <is>
          <t>LC/APC</t>
        </is>
      </c>
      <c r="J261" s="2" t="n"/>
      <c r="K261" s="2" t="n"/>
      <c r="L261" s="2" t="n"/>
      <c r="M261" s="2" t="n"/>
      <c r="N261" s="2" t="n">
        <v>18</v>
      </c>
      <c r="O261" s="2" t="n"/>
      <c r="P261" s="2" t="n"/>
      <c r="Q261" s="2" t="n"/>
      <c r="R261" s="2" t="n"/>
      <c r="S261" s="2" t="n"/>
      <c r="T261" s="2" t="n"/>
      <c r="U261" s="2" t="n"/>
      <c r="V261" s="2">
        <f>SUM(J261:U261)*G261</f>
        <v/>
      </c>
      <c r="W261" s="2">
        <f>MAX(J261:U261)</f>
        <v/>
      </c>
      <c r="X261" s="2">
        <f>W261*G261</f>
        <v/>
      </c>
    </row>
    <row r="262">
      <c r="A262" s="2" t="inlineStr">
        <is>
          <t>14-D-A341</t>
        </is>
      </c>
      <c r="B262" s="3" t="inlineStr">
        <is>
          <t>DOJC-SM-LC/PC-SC/PC</t>
        </is>
      </c>
      <c r="C262" s="2" t="inlineStr">
        <is>
          <t>60M_적색케이블</t>
        </is>
      </c>
      <c r="D262" s="2" t="inlineStr">
        <is>
          <t>a1-적</t>
        </is>
      </c>
      <c r="E262" s="2" t="inlineStr">
        <is>
          <t>2.0mm</t>
        </is>
      </c>
      <c r="F262" s="2" t="n">
        <v>2</v>
      </c>
      <c r="G262" s="2" t="n">
        <v>60</v>
      </c>
      <c r="H262" s="2" t="inlineStr">
        <is>
          <t>LC/PC</t>
        </is>
      </c>
      <c r="I262" s="2" t="inlineStr">
        <is>
          <t>SC/PC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>
        <v>4</v>
      </c>
      <c r="U262" s="2" t="n"/>
      <c r="V262" s="2">
        <f>SUM(J262:U262)*G262</f>
        <v/>
      </c>
      <c r="W262" s="2">
        <f>MAX(J262:U262)</f>
        <v/>
      </c>
      <c r="X262" s="2">
        <f>W262*G262</f>
        <v/>
      </c>
    </row>
    <row r="263">
      <c r="A263" s="2" t="inlineStr">
        <is>
          <t>14-D-A347</t>
        </is>
      </c>
      <c r="B263" s="3" t="inlineStr">
        <is>
          <t>DOJC-SM-SC/PC-SC/PC</t>
        </is>
      </c>
      <c r="C263" s="2" t="inlineStr">
        <is>
          <t>13M_적색케이블</t>
        </is>
      </c>
      <c r="D263" s="2" t="inlineStr">
        <is>
          <t>a1-적</t>
        </is>
      </c>
      <c r="E263" s="2" t="inlineStr">
        <is>
          <t>2.0mm</t>
        </is>
      </c>
      <c r="F263" s="2" t="n">
        <v>2</v>
      </c>
      <c r="G263" s="2" t="n">
        <v>13</v>
      </c>
      <c r="H263" s="2" t="inlineStr">
        <is>
          <t>SC/PC</t>
        </is>
      </c>
      <c r="I263" s="2" t="inlineStr">
        <is>
          <t>SC/PC</t>
        </is>
      </c>
      <c r="J263" s="2" t="n"/>
      <c r="K263" s="2" t="n"/>
      <c r="L263" s="2" t="n"/>
      <c r="M263" s="2" t="n"/>
      <c r="N263" s="2" t="n"/>
      <c r="O263" s="2" t="n"/>
      <c r="P263" s="2" t="n">
        <v>20</v>
      </c>
      <c r="Q263" s="2" t="n"/>
      <c r="R263" s="2" t="n"/>
      <c r="S263" s="2" t="n"/>
      <c r="T263" s="2" t="n"/>
      <c r="U263" s="2" t="n"/>
      <c r="V263" s="2">
        <f>SUM(J263:U263)*G263</f>
        <v/>
      </c>
      <c r="W263" s="2">
        <f>MAX(J263:U263)</f>
        <v/>
      </c>
      <c r="X263" s="2">
        <f>W263*G263</f>
        <v/>
      </c>
    </row>
    <row r="264">
      <c r="A264" s="2" t="inlineStr">
        <is>
          <t>14-D-A370</t>
        </is>
      </c>
      <c r="B264" s="3" t="inlineStr">
        <is>
          <t>DOJC-SM-LC/PC-LC/PC</t>
        </is>
      </c>
      <c r="C264" s="2" t="inlineStr">
        <is>
          <t>60M_청색</t>
        </is>
      </c>
      <c r="D264" s="2" t="inlineStr">
        <is>
          <t>a1-청</t>
        </is>
      </c>
      <c r="E264" s="2" t="inlineStr">
        <is>
          <t>2.0mm</t>
        </is>
      </c>
      <c r="F264" s="2" t="n">
        <v>2</v>
      </c>
      <c r="G264" s="2" t="n">
        <v>60</v>
      </c>
      <c r="H264" s="2" t="inlineStr">
        <is>
          <t>LC/PC</t>
        </is>
      </c>
      <c r="I264" s="2" t="inlineStr">
        <is>
          <t>LC/PC</t>
        </is>
      </c>
      <c r="J264" s="2" t="n">
        <v>30</v>
      </c>
      <c r="K264" s="2" t="n"/>
      <c r="L264" s="2" t="n">
        <v>10</v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>
        <f>SUM(J264:U264)*G264</f>
        <v/>
      </c>
      <c r="W264" s="2">
        <f>MAX(J264:U264)</f>
        <v/>
      </c>
      <c r="X264" s="2">
        <f>W264*G264</f>
        <v/>
      </c>
    </row>
    <row r="265">
      <c r="A265" s="2" t="inlineStr">
        <is>
          <t>14-D-A371</t>
        </is>
      </c>
      <c r="B265" s="3" t="inlineStr">
        <is>
          <t>DOJC-SM-LC/PC-LC/PC</t>
        </is>
      </c>
      <c r="C265" s="2" t="inlineStr">
        <is>
          <t>60M_적색</t>
        </is>
      </c>
      <c r="D265" s="2" t="inlineStr">
        <is>
          <t>a1-적</t>
        </is>
      </c>
      <c r="E265" s="2" t="inlineStr">
        <is>
          <t>2.0mm</t>
        </is>
      </c>
      <c r="F265" s="2" t="n">
        <v>2</v>
      </c>
      <c r="G265" s="2" t="n">
        <v>60</v>
      </c>
      <c r="H265" s="2" t="inlineStr">
        <is>
          <t>LC/PC</t>
        </is>
      </c>
      <c r="I265" s="2" t="inlineStr">
        <is>
          <t>LC/PC</t>
        </is>
      </c>
      <c r="J265" s="2" t="n">
        <v>30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>
        <v>4</v>
      </c>
      <c r="U265" s="2" t="n"/>
      <c r="V265" s="2">
        <f>SUM(J265:U265)*G265</f>
        <v/>
      </c>
      <c r="W265" s="2">
        <f>MAX(J265:U265)</f>
        <v/>
      </c>
      <c r="X265" s="2">
        <f>W265*G265</f>
        <v/>
      </c>
    </row>
    <row r="266">
      <c r="A266" s="2" t="inlineStr">
        <is>
          <t>14-D-A376</t>
        </is>
      </c>
      <c r="B266" s="3" t="inlineStr">
        <is>
          <t>DOJC-MM(OM3)-LC/PC-LC/PC</t>
        </is>
      </c>
      <c r="C266" s="2" t="inlineStr">
        <is>
          <t>3M</t>
        </is>
      </c>
      <c r="D266" s="2" t="inlineStr">
        <is>
          <t>om3</t>
        </is>
      </c>
      <c r="E266" s="2" t="inlineStr">
        <is>
          <t>2.0mm</t>
        </is>
      </c>
      <c r="F266" s="2" t="n">
        <v>2</v>
      </c>
      <c r="G266" s="2" t="n">
        <v>3</v>
      </c>
      <c r="H266" s="2" t="inlineStr">
        <is>
          <t>LC/PC</t>
        </is>
      </c>
      <c r="I266" s="2" t="inlineStr">
        <is>
          <t>LC/PC</t>
        </is>
      </c>
      <c r="J266" s="2" t="n"/>
      <c r="K266" s="2" t="n"/>
      <c r="L266" s="2" t="n"/>
      <c r="M266" s="2" t="n"/>
      <c r="N266" s="2" t="n"/>
      <c r="O266" s="2" t="n">
        <v>3</v>
      </c>
      <c r="P266" s="2" t="n"/>
      <c r="Q266" s="2" t="n"/>
      <c r="R266" s="2" t="n"/>
      <c r="S266" s="2" t="n"/>
      <c r="T266" s="2" t="n">
        <v>20</v>
      </c>
      <c r="U266" s="2" t="n"/>
      <c r="V266" s="2">
        <f>SUM(J266:U266)*G266</f>
        <v/>
      </c>
      <c r="W266" s="2">
        <f>MAX(J266:U266)</f>
        <v/>
      </c>
      <c r="X266" s="2">
        <f>W266*G266</f>
        <v/>
      </c>
    </row>
    <row r="267">
      <c r="A267" s="2" t="inlineStr">
        <is>
          <t>14-D-A381</t>
        </is>
      </c>
      <c r="B267" s="3" t="inlineStr">
        <is>
          <t>DOJC-MM(OM3)-LC/PC-LC/PC</t>
        </is>
      </c>
      <c r="C267" s="2" t="inlineStr">
        <is>
          <t>19M</t>
        </is>
      </c>
      <c r="D267" s="2" t="inlineStr">
        <is>
          <t>om3</t>
        </is>
      </c>
      <c r="E267" s="2" t="inlineStr">
        <is>
          <t>2.0mm</t>
        </is>
      </c>
      <c r="F267" s="2" t="n">
        <v>2</v>
      </c>
      <c r="G267" s="2" t="n">
        <v>19</v>
      </c>
      <c r="H267" s="2" t="inlineStr">
        <is>
          <t>LC/PC</t>
        </is>
      </c>
      <c r="I267" s="2" t="inlineStr">
        <is>
          <t>LC/PC</t>
        </is>
      </c>
      <c r="J267" s="2" t="n"/>
      <c r="K267" s="2" t="n">
        <v>4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>
        <f>SUM(J267:U267)*G267</f>
        <v/>
      </c>
      <c r="W267" s="2">
        <f>MAX(J267:U267)</f>
        <v/>
      </c>
      <c r="X267" s="2">
        <f>W267*G267</f>
        <v/>
      </c>
    </row>
    <row r="268">
      <c r="A268" s="2" t="inlineStr">
        <is>
          <t>14-D-A382</t>
        </is>
      </c>
      <c r="B268" s="3" t="inlineStr">
        <is>
          <t>DOJC-SM-LC/PC-FC/PC</t>
        </is>
      </c>
      <c r="C268" s="2" t="inlineStr">
        <is>
          <t>25M_적색</t>
        </is>
      </c>
      <c r="D268" s="2" t="inlineStr">
        <is>
          <t>a1-적</t>
        </is>
      </c>
      <c r="E268" s="2" t="inlineStr">
        <is>
          <t>2.0mm</t>
        </is>
      </c>
      <c r="F268" s="2" t="n">
        <v>2</v>
      </c>
      <c r="G268" s="2" t="n">
        <v>25</v>
      </c>
      <c r="H268" s="2" t="inlineStr">
        <is>
          <t>LC/PC</t>
        </is>
      </c>
      <c r="I268" s="2" t="inlineStr">
        <is>
          <t>FC/PC</t>
        </is>
      </c>
      <c r="J268" s="2" t="n"/>
      <c r="K268" s="2" t="n">
        <v>1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>
        <f>SUM(J268:U268)*G268</f>
        <v/>
      </c>
      <c r="W268" s="2">
        <f>MAX(J268:U268)</f>
        <v/>
      </c>
      <c r="X268" s="2">
        <f>W268*G268</f>
        <v/>
      </c>
    </row>
    <row r="269">
      <c r="A269" s="2" t="inlineStr">
        <is>
          <t>14-D-A383</t>
        </is>
      </c>
      <c r="B269" s="3" t="inlineStr">
        <is>
          <t>DOJC-SM-LC/PC-FC/APC</t>
        </is>
      </c>
      <c r="C269" s="2" t="inlineStr">
        <is>
          <t>15M_적색</t>
        </is>
      </c>
      <c r="D269" s="2" t="inlineStr">
        <is>
          <t>a1-적</t>
        </is>
      </c>
      <c r="E269" s="2" t="inlineStr">
        <is>
          <t>2.0mm</t>
        </is>
      </c>
      <c r="F269" s="2" t="n">
        <v>2</v>
      </c>
      <c r="G269" s="2" t="n">
        <v>15</v>
      </c>
      <c r="H269" s="2" t="inlineStr">
        <is>
          <t>LC/PC</t>
        </is>
      </c>
      <c r="I269" s="2" t="inlineStr">
        <is>
          <t>FC/APC</t>
        </is>
      </c>
      <c r="J269" s="2" t="n"/>
      <c r="K269" s="2" t="n">
        <v>1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>
        <f>SUM(J269:U269)*G269</f>
        <v/>
      </c>
      <c r="W269" s="2">
        <f>MAX(J269:U269)</f>
        <v/>
      </c>
      <c r="X269" s="2">
        <f>W269*G269</f>
        <v/>
      </c>
    </row>
    <row r="270">
      <c r="A270" s="2" t="inlineStr">
        <is>
          <t>14-D-A385</t>
        </is>
      </c>
      <c r="B270" s="3" t="inlineStr">
        <is>
          <t>DOJC-SM-SC/APC-SC/APC</t>
        </is>
      </c>
      <c r="C270" s="2" t="inlineStr">
        <is>
          <t>3M_적색</t>
        </is>
      </c>
      <c r="D270" s="2" t="inlineStr">
        <is>
          <t>a1-적</t>
        </is>
      </c>
      <c r="E270" s="2" t="inlineStr">
        <is>
          <t>2.0mm</t>
        </is>
      </c>
      <c r="F270" s="2" t="n">
        <v>2</v>
      </c>
      <c r="G270" s="2" t="n">
        <v>3</v>
      </c>
      <c r="H270" s="2" t="inlineStr">
        <is>
          <t>SC/APC</t>
        </is>
      </c>
      <c r="I270" s="2" t="inlineStr">
        <is>
          <t>SC/APC</t>
        </is>
      </c>
      <c r="J270" s="2" t="n"/>
      <c r="K270" s="2" t="n"/>
      <c r="L270" s="2" t="n"/>
      <c r="M270" s="2" t="n">
        <v>80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>
        <f>SUM(J270:U270)*G270</f>
        <v/>
      </c>
      <c r="W270" s="2">
        <f>MAX(J270:U270)</f>
        <v/>
      </c>
      <c r="X270" s="2">
        <f>W270*G270</f>
        <v/>
      </c>
    </row>
    <row r="271">
      <c r="A271" s="2" t="inlineStr">
        <is>
          <t>14-D-A386</t>
        </is>
      </c>
      <c r="B271" s="3" t="inlineStr">
        <is>
          <t>DOJC-SM-SC/APC-SC/APC</t>
        </is>
      </c>
      <c r="C271" s="2" t="inlineStr">
        <is>
          <t>5M_적색</t>
        </is>
      </c>
      <c r="D271" s="2" t="inlineStr">
        <is>
          <t>a1-적</t>
        </is>
      </c>
      <c r="E271" s="2" t="inlineStr">
        <is>
          <t>2.0mm</t>
        </is>
      </c>
      <c r="F271" s="2" t="n">
        <v>2</v>
      </c>
      <c r="G271" s="2" t="n">
        <v>5</v>
      </c>
      <c r="H271" s="2" t="inlineStr">
        <is>
          <t>SC/APC</t>
        </is>
      </c>
      <c r="I271" s="2" t="inlineStr">
        <is>
          <t>SC/APC</t>
        </is>
      </c>
      <c r="J271" s="2" t="n"/>
      <c r="K271" s="2" t="n"/>
      <c r="L271" s="2" t="n"/>
      <c r="M271" s="2" t="n">
        <v>80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>
        <f>SUM(J271:U271)*G271</f>
        <v/>
      </c>
      <c r="W271" s="2">
        <f>MAX(J271:U271)</f>
        <v/>
      </c>
      <c r="X271" s="2">
        <f>W271*G271</f>
        <v/>
      </c>
    </row>
    <row r="272">
      <c r="A272" s="2" t="inlineStr">
        <is>
          <t>14-D-A387</t>
        </is>
      </c>
      <c r="B272" s="3" t="inlineStr">
        <is>
          <t>DOJC-SM-SC/APC-SC/APC</t>
        </is>
      </c>
      <c r="C272" s="2" t="inlineStr">
        <is>
          <t>10M_적색</t>
        </is>
      </c>
      <c r="D272" s="2" t="inlineStr">
        <is>
          <t>a1-적</t>
        </is>
      </c>
      <c r="E272" s="2" t="inlineStr">
        <is>
          <t>2.0mm</t>
        </is>
      </c>
      <c r="F272" s="2" t="n">
        <v>2</v>
      </c>
      <c r="G272" s="2" t="n">
        <v>10</v>
      </c>
      <c r="H272" s="2" t="inlineStr">
        <is>
          <t>SC/APC</t>
        </is>
      </c>
      <c r="I272" s="2" t="inlineStr">
        <is>
          <t>SC/APC</t>
        </is>
      </c>
      <c r="J272" s="2" t="n"/>
      <c r="K272" s="2" t="n"/>
      <c r="L272" s="2" t="n"/>
      <c r="M272" s="2" t="n">
        <v>40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>
        <f>SUM(J272:U272)*G272</f>
        <v/>
      </c>
      <c r="W272" s="2">
        <f>MAX(J272:U272)</f>
        <v/>
      </c>
      <c r="X272" s="2">
        <f>W272*G272</f>
        <v/>
      </c>
    </row>
    <row r="273">
      <c r="A273" s="2" t="inlineStr">
        <is>
          <t>14-D-A388</t>
        </is>
      </c>
      <c r="B273" s="3" t="inlineStr">
        <is>
          <t>DOJC-SM-SC/APC-SC/APC</t>
        </is>
      </c>
      <c r="C273" s="2" t="inlineStr">
        <is>
          <t>20M_적색</t>
        </is>
      </c>
      <c r="D273" s="2" t="inlineStr">
        <is>
          <t>a1-적</t>
        </is>
      </c>
      <c r="E273" s="2" t="inlineStr">
        <is>
          <t>2.0mm</t>
        </is>
      </c>
      <c r="F273" s="2" t="n">
        <v>2</v>
      </c>
      <c r="G273" s="2" t="n">
        <v>20</v>
      </c>
      <c r="H273" s="2" t="inlineStr">
        <is>
          <t>SC/APC</t>
        </is>
      </c>
      <c r="I273" s="2" t="inlineStr">
        <is>
          <t>SC/APC</t>
        </is>
      </c>
      <c r="J273" s="2" t="n"/>
      <c r="K273" s="2" t="n"/>
      <c r="L273" s="2" t="n"/>
      <c r="M273" s="2" t="n">
        <v>40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SUM(J273:U273)*G273</f>
        <v/>
      </c>
      <c r="W273" s="2">
        <f>MAX(J273:U273)</f>
        <v/>
      </c>
      <c r="X273" s="2">
        <f>W273*G273</f>
        <v/>
      </c>
    </row>
    <row r="274">
      <c r="A274" s="2" t="inlineStr">
        <is>
          <t>14-D-A389</t>
        </is>
      </c>
      <c r="B274" s="3" t="inlineStr">
        <is>
          <t>DOJC-SM-LC/PC-SC/APC</t>
        </is>
      </c>
      <c r="C274" s="2" t="inlineStr">
        <is>
          <t>20M_적색</t>
        </is>
      </c>
      <c r="D274" s="2" t="inlineStr">
        <is>
          <t>a1-적</t>
        </is>
      </c>
      <c r="E274" s="2" t="inlineStr">
        <is>
          <t>2.0mm</t>
        </is>
      </c>
      <c r="F274" s="2" t="n">
        <v>2</v>
      </c>
      <c r="G274" s="2" t="n">
        <v>20</v>
      </c>
      <c r="H274" s="2" t="inlineStr">
        <is>
          <t>LC/PC</t>
        </is>
      </c>
      <c r="I274" s="2" t="inlineStr">
        <is>
          <t>SC/APC</t>
        </is>
      </c>
      <c r="J274" s="2" t="n"/>
      <c r="K274" s="2" t="n"/>
      <c r="L274" s="2" t="n"/>
      <c r="M274" s="2" t="n">
        <v>60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SUM(J274:U274)*G274</f>
        <v/>
      </c>
      <c r="W274" s="2">
        <f>MAX(J274:U274)</f>
        <v/>
      </c>
      <c r="X274" s="2">
        <f>W274*G274</f>
        <v/>
      </c>
    </row>
    <row r="275">
      <c r="A275" s="2" t="inlineStr">
        <is>
          <t>14-D-A390</t>
        </is>
      </c>
      <c r="B275" s="3" t="inlineStr">
        <is>
          <t>DOJC-SM-LC/PC-LC/PC</t>
        </is>
      </c>
      <c r="C275" s="2" t="inlineStr">
        <is>
          <t>65M_청색</t>
        </is>
      </c>
      <c r="D275" s="2" t="inlineStr">
        <is>
          <t>a1-청</t>
        </is>
      </c>
      <c r="E275" s="2" t="inlineStr">
        <is>
          <t>2.0mm</t>
        </is>
      </c>
      <c r="F275" s="2" t="n">
        <v>2</v>
      </c>
      <c r="G275" s="2" t="n">
        <v>65</v>
      </c>
      <c r="H275" s="2" t="inlineStr">
        <is>
          <t>LC/PC</t>
        </is>
      </c>
      <c r="I275" s="2" t="inlineStr">
        <is>
          <t>LC/PC</t>
        </is>
      </c>
      <c r="J275" s="2" t="n"/>
      <c r="K275" s="2" t="n"/>
      <c r="L275" s="2" t="n">
        <v>30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SUM(J275:U275)*G275</f>
        <v/>
      </c>
      <c r="W275" s="2">
        <f>MAX(J275:U275)</f>
        <v/>
      </c>
      <c r="X275" s="2">
        <f>W275*G275</f>
        <v/>
      </c>
    </row>
    <row r="276">
      <c r="A276" s="2" t="inlineStr">
        <is>
          <t>14-D-A391</t>
        </is>
      </c>
      <c r="B276" s="3" t="inlineStr">
        <is>
          <t>DOJC-SM-LC/PC-LC/PC</t>
        </is>
      </c>
      <c r="C276" s="2" t="inlineStr">
        <is>
          <t>65M_적색</t>
        </is>
      </c>
      <c r="D276" s="2" t="inlineStr">
        <is>
          <t>a1-적</t>
        </is>
      </c>
      <c r="E276" s="2" t="inlineStr">
        <is>
          <t>2.0mm</t>
        </is>
      </c>
      <c r="F276" s="2" t="n">
        <v>2</v>
      </c>
      <c r="G276" s="2" t="n">
        <v>65</v>
      </c>
      <c r="H276" s="2" t="inlineStr">
        <is>
          <t>LC/PC</t>
        </is>
      </c>
      <c r="I276" s="2" t="inlineStr">
        <is>
          <t>LC/PC</t>
        </is>
      </c>
      <c r="J276" s="2" t="n"/>
      <c r="K276" s="2" t="n"/>
      <c r="L276" s="2" t="n">
        <v>30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SUM(J276:U276)*G276</f>
        <v/>
      </c>
      <c r="W276" s="2">
        <f>MAX(J276:U276)</f>
        <v/>
      </c>
      <c r="X276" s="2">
        <f>W276*G276</f>
        <v/>
      </c>
    </row>
    <row r="277">
      <c r="A277" s="2" t="inlineStr">
        <is>
          <t>14-D-A392</t>
        </is>
      </c>
      <c r="B277" s="3" t="inlineStr">
        <is>
          <t>DOJC-SM-LC/PC-LC/PC</t>
        </is>
      </c>
      <c r="C277" s="2" t="inlineStr">
        <is>
          <t>70M_청색</t>
        </is>
      </c>
      <c r="D277" s="2" t="inlineStr">
        <is>
          <t>a1-청</t>
        </is>
      </c>
      <c r="E277" s="2" t="inlineStr">
        <is>
          <t>2.0mm</t>
        </is>
      </c>
      <c r="F277" s="2" t="n">
        <v>2</v>
      </c>
      <c r="G277" s="2" t="n">
        <v>70</v>
      </c>
      <c r="H277" s="2" t="inlineStr">
        <is>
          <t>LC/PC</t>
        </is>
      </c>
      <c r="I277" s="2" t="inlineStr">
        <is>
          <t>LC/PC</t>
        </is>
      </c>
      <c r="J277" s="2" t="n"/>
      <c r="K277" s="2" t="n"/>
      <c r="L277" s="2" t="n"/>
      <c r="M277" s="2" t="n">
        <v>20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>
        <f>SUM(J277:U277)*G277</f>
        <v/>
      </c>
      <c r="W277" s="2">
        <f>MAX(J277:U277)</f>
        <v/>
      </c>
      <c r="X277" s="2">
        <f>W277*G277</f>
        <v/>
      </c>
    </row>
    <row r="278">
      <c r="A278" s="2" t="inlineStr">
        <is>
          <t>14-D-A393</t>
        </is>
      </c>
      <c r="B278" s="3" t="inlineStr">
        <is>
          <t>DOJC-SM-LC/PC-LC/PC</t>
        </is>
      </c>
      <c r="C278" s="2" t="inlineStr">
        <is>
          <t>75M_청색</t>
        </is>
      </c>
      <c r="D278" s="2" t="inlineStr">
        <is>
          <t>a1-청</t>
        </is>
      </c>
      <c r="E278" s="2" t="inlineStr">
        <is>
          <t>2.0mm</t>
        </is>
      </c>
      <c r="F278" s="2" t="n">
        <v>2</v>
      </c>
      <c r="G278" s="2" t="n">
        <v>75</v>
      </c>
      <c r="H278" s="2" t="inlineStr">
        <is>
          <t>LC/PC</t>
        </is>
      </c>
      <c r="I278" s="2" t="inlineStr">
        <is>
          <t>LC/PC</t>
        </is>
      </c>
      <c r="J278" s="2" t="n"/>
      <c r="K278" s="2" t="n"/>
      <c r="L278" s="2" t="n"/>
      <c r="M278" s="2" t="n">
        <v>20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SUM(J278:U278)*G278</f>
        <v/>
      </c>
      <c r="W278" s="2">
        <f>MAX(J278:U278)</f>
        <v/>
      </c>
      <c r="X278" s="2">
        <f>W278*G278</f>
        <v/>
      </c>
    </row>
    <row r="279">
      <c r="A279" s="2" t="inlineStr">
        <is>
          <t>14-D-A394</t>
        </is>
      </c>
      <c r="B279" s="3" t="inlineStr">
        <is>
          <t>DOJC-SM-LC/PC-LC/PC</t>
        </is>
      </c>
      <c r="C279" s="2" t="inlineStr">
        <is>
          <t>70M_적색</t>
        </is>
      </c>
      <c r="D279" s="2" t="inlineStr">
        <is>
          <t>a1-적</t>
        </is>
      </c>
      <c r="E279" s="2" t="inlineStr">
        <is>
          <t>2.0mm</t>
        </is>
      </c>
      <c r="F279" s="2" t="n">
        <v>2</v>
      </c>
      <c r="G279" s="2" t="n">
        <v>70</v>
      </c>
      <c r="H279" s="2" t="inlineStr">
        <is>
          <t>LC/PC</t>
        </is>
      </c>
      <c r="I279" s="2" t="inlineStr">
        <is>
          <t>LC/PC</t>
        </is>
      </c>
      <c r="J279" s="2" t="n"/>
      <c r="K279" s="2" t="n"/>
      <c r="L279" s="2" t="n"/>
      <c r="M279" s="2" t="n">
        <v>20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>
        <f>SUM(J279:U279)*G279</f>
        <v/>
      </c>
      <c r="W279" s="2">
        <f>MAX(J279:U279)</f>
        <v/>
      </c>
      <c r="X279" s="2">
        <f>W279*G279</f>
        <v/>
      </c>
    </row>
    <row r="280">
      <c r="A280" s="2" t="inlineStr">
        <is>
          <t>14-D-A395</t>
        </is>
      </c>
      <c r="B280" s="3" t="inlineStr">
        <is>
          <t>DOJC-SM-LC/PC-LC/PC</t>
        </is>
      </c>
      <c r="C280" s="2" t="inlineStr">
        <is>
          <t>75M_적색</t>
        </is>
      </c>
      <c r="D280" s="2" t="inlineStr">
        <is>
          <t>a1-적</t>
        </is>
      </c>
      <c r="E280" s="2" t="inlineStr">
        <is>
          <t>2.0mm</t>
        </is>
      </c>
      <c r="F280" s="2" t="n">
        <v>2</v>
      </c>
      <c r="G280" s="2" t="n">
        <v>75</v>
      </c>
      <c r="H280" s="2" t="inlineStr">
        <is>
          <t>LC/PC</t>
        </is>
      </c>
      <c r="I280" s="2" t="inlineStr">
        <is>
          <t>LC/PC</t>
        </is>
      </c>
      <c r="J280" s="2" t="n"/>
      <c r="K280" s="2" t="n"/>
      <c r="L280" s="2" t="n"/>
      <c r="M280" s="2" t="n">
        <v>20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SUM(J280:U280)*G280</f>
        <v/>
      </c>
      <c r="W280" s="2">
        <f>MAX(J280:U280)</f>
        <v/>
      </c>
      <c r="X280" s="2">
        <f>W280*G280</f>
        <v/>
      </c>
    </row>
    <row r="281">
      <c r="A281" s="2" t="inlineStr">
        <is>
          <t>14-D-A397</t>
        </is>
      </c>
      <c r="B281" s="3" t="inlineStr">
        <is>
          <t>DOJC-SM-LC/PC-LC/PC</t>
        </is>
      </c>
      <c r="C281" s="2" t="inlineStr">
        <is>
          <t>9M_청색</t>
        </is>
      </c>
      <c r="D281" s="2" t="inlineStr">
        <is>
          <t>a1-청</t>
        </is>
      </c>
      <c r="E281" s="2" t="inlineStr">
        <is>
          <t>2.0mm</t>
        </is>
      </c>
      <c r="F281" s="2" t="n">
        <v>2</v>
      </c>
      <c r="G281" s="2" t="n">
        <v>9</v>
      </c>
      <c r="H281" s="2" t="inlineStr">
        <is>
          <t>LC/PC</t>
        </is>
      </c>
      <c r="I281" s="2" t="inlineStr">
        <is>
          <t>LC/PC</t>
        </is>
      </c>
      <c r="J281" s="2" t="n"/>
      <c r="K281" s="2" t="n"/>
      <c r="L281" s="2" t="n"/>
      <c r="M281" s="2" t="n"/>
      <c r="N281" s="2" t="n">
        <v>20</v>
      </c>
      <c r="O281" s="2" t="n"/>
      <c r="P281" s="2" t="n">
        <v>60</v>
      </c>
      <c r="Q281" s="2" t="n"/>
      <c r="R281" s="2" t="n"/>
      <c r="S281" s="2" t="n"/>
      <c r="T281" s="2" t="n"/>
      <c r="U281" s="2" t="n"/>
      <c r="V281" s="2">
        <f>SUM(J281:U281)*G281</f>
        <v/>
      </c>
      <c r="W281" s="2">
        <f>MAX(J281:U281)</f>
        <v/>
      </c>
      <c r="X281" s="2">
        <f>W281*G281</f>
        <v/>
      </c>
    </row>
    <row r="282">
      <c r="A282" s="2" t="inlineStr">
        <is>
          <t>14-D-A398</t>
        </is>
      </c>
      <c r="B282" s="3" t="inlineStr">
        <is>
          <t>DOJC-SM-SC/APC-SC/APC</t>
        </is>
      </c>
      <c r="C282" s="2" t="inlineStr">
        <is>
          <t>60M</t>
        </is>
      </c>
      <c r="D282" s="2" t="inlineStr">
        <is>
          <t>a1</t>
        </is>
      </c>
      <c r="E282" s="2" t="inlineStr">
        <is>
          <t>2.0mm</t>
        </is>
      </c>
      <c r="F282" s="2" t="n">
        <v>2</v>
      </c>
      <c r="G282" s="2" t="n">
        <v>60</v>
      </c>
      <c r="H282" s="2" t="inlineStr">
        <is>
          <t>SC/APC</t>
        </is>
      </c>
      <c r="I282" s="2" t="inlineStr">
        <is>
          <t>SC/APC</t>
        </is>
      </c>
      <c r="J282" s="2" t="n"/>
      <c r="K282" s="2" t="n"/>
      <c r="L282" s="2" t="n"/>
      <c r="M282" s="2" t="n"/>
      <c r="N282" s="2" t="n">
        <v>1</v>
      </c>
      <c r="O282" s="2" t="n"/>
      <c r="P282" s="2" t="n"/>
      <c r="Q282" s="2" t="n"/>
      <c r="R282" s="2" t="n"/>
      <c r="S282" s="2" t="n"/>
      <c r="T282" s="2" t="n"/>
      <c r="U282" s="2" t="n"/>
      <c r="V282" s="2">
        <f>SUM(J282:U282)*G282</f>
        <v/>
      </c>
      <c r="W282" s="2">
        <f>MAX(J282:U282)</f>
        <v/>
      </c>
      <c r="X282" s="2">
        <f>W282*G282</f>
        <v/>
      </c>
    </row>
    <row r="283">
      <c r="A283" s="2" t="inlineStr">
        <is>
          <t>14-D-A403</t>
        </is>
      </c>
      <c r="B283" s="3" t="inlineStr">
        <is>
          <t>DOJC-MM-LC/PC-SC/APC</t>
        </is>
      </c>
      <c r="C283" s="2" t="inlineStr">
        <is>
          <t>20M</t>
        </is>
      </c>
      <c r="D283" s="2" t="inlineStr">
        <is>
          <t>om1</t>
        </is>
      </c>
      <c r="E283" s="2" t="inlineStr">
        <is>
          <t>2.0mm</t>
        </is>
      </c>
      <c r="F283" s="2" t="n">
        <v>2</v>
      </c>
      <c r="G283" s="2" t="n">
        <v>20</v>
      </c>
      <c r="H283" s="2" t="inlineStr">
        <is>
          <t>LC/PC</t>
        </is>
      </c>
      <c r="I283" s="2" t="inlineStr">
        <is>
          <t>SC/APC</t>
        </is>
      </c>
      <c r="J283" s="2" t="n"/>
      <c r="K283" s="2" t="n"/>
      <c r="L283" s="2" t="n"/>
      <c r="M283" s="2" t="n"/>
      <c r="N283" s="2" t="n"/>
      <c r="O283" s="2" t="n"/>
      <c r="P283" s="2" t="n">
        <v>10</v>
      </c>
      <c r="Q283" s="2" t="n"/>
      <c r="R283" s="2" t="n"/>
      <c r="S283" s="2" t="n"/>
      <c r="T283" s="2" t="n"/>
      <c r="U283" s="2" t="n"/>
      <c r="V283" s="2">
        <f>SUM(J283:U283)*G283</f>
        <v/>
      </c>
      <c r="W283" s="2">
        <f>MAX(J283:U283)</f>
        <v/>
      </c>
      <c r="X283" s="2">
        <f>W283*G283</f>
        <v/>
      </c>
    </row>
    <row r="284">
      <c r="A284" s="2" t="inlineStr">
        <is>
          <t>14-D-A405</t>
        </is>
      </c>
      <c r="B284" s="3" t="inlineStr">
        <is>
          <t>OJC-A1-SC/LC-SM-60-PC/PC-DP</t>
        </is>
      </c>
      <c r="C284" s="2" t="inlineStr">
        <is>
          <t>자색</t>
        </is>
      </c>
      <c r="D284" s="2" t="inlineStr">
        <is>
          <t>a1-자</t>
        </is>
      </c>
      <c r="E284" s="2" t="inlineStr">
        <is>
          <t>2.0mm</t>
        </is>
      </c>
      <c r="F284" s="2" t="n">
        <v>2</v>
      </c>
      <c r="G284" s="2" t="n">
        <v>60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/>
      <c r="O284" s="2" t="n"/>
      <c r="P284" s="2" t="n">
        <v>2</v>
      </c>
      <c r="Q284" s="2" t="n"/>
      <c r="R284" s="2" t="n"/>
      <c r="S284" s="2" t="n"/>
      <c r="T284" s="2" t="n"/>
      <c r="U284" s="2" t="n"/>
      <c r="V284" s="2">
        <f>SUM(J284:U284)*G284</f>
        <v/>
      </c>
      <c r="W284" s="2">
        <f>MAX(J284:U284)</f>
        <v/>
      </c>
      <c r="X284" s="2">
        <f>W284*G284</f>
        <v/>
      </c>
    </row>
    <row r="285">
      <c r="A285" s="2" t="inlineStr">
        <is>
          <t>14-D-A406</t>
        </is>
      </c>
      <c r="B285" s="3" t="inlineStr">
        <is>
          <t>DOJC-MM(OM3)-LC/PC-LC/PC</t>
        </is>
      </c>
      <c r="C285" s="2" t="inlineStr">
        <is>
          <t>9M</t>
        </is>
      </c>
      <c r="D285" s="2" t="inlineStr">
        <is>
          <t>om3</t>
        </is>
      </c>
      <c r="E285" s="2" t="inlineStr">
        <is>
          <t>2.0mm</t>
        </is>
      </c>
      <c r="F285" s="2" t="n">
        <v>2</v>
      </c>
      <c r="G285" s="2" t="n">
        <v>9</v>
      </c>
      <c r="H285" s="2" t="inlineStr">
        <is>
          <t>LC/PC</t>
        </is>
      </c>
      <c r="I285" s="2" t="inlineStr">
        <is>
          <t>LC/PC</t>
        </is>
      </c>
      <c r="J285" s="2" t="n"/>
      <c r="K285" s="2" t="n"/>
      <c r="L285" s="2" t="n"/>
      <c r="M285" s="2" t="n"/>
      <c r="N285" s="2" t="n"/>
      <c r="O285" s="2" t="n"/>
      <c r="P285" s="2" t="n">
        <v>15</v>
      </c>
      <c r="Q285" s="2" t="n"/>
      <c r="R285" s="2" t="n"/>
      <c r="S285" s="2" t="n"/>
      <c r="T285" s="2" t="n"/>
      <c r="U285" s="2" t="n"/>
      <c r="V285" s="2">
        <f>SUM(J285:U285)*G285</f>
        <v/>
      </c>
      <c r="W285" s="2">
        <f>MAX(J285:U285)</f>
        <v/>
      </c>
      <c r="X285" s="2">
        <f>W285*G285</f>
        <v/>
      </c>
    </row>
    <row r="286">
      <c r="A286" s="2" t="inlineStr">
        <is>
          <t>14-D-A407</t>
        </is>
      </c>
      <c r="B286" s="3" t="inlineStr">
        <is>
          <t>DOJC-SM-LC/PC-FC/APC</t>
        </is>
      </c>
      <c r="C286" s="2" t="inlineStr">
        <is>
          <t>20M_청색</t>
        </is>
      </c>
      <c r="D286" s="2" t="inlineStr">
        <is>
          <t>a1-청</t>
        </is>
      </c>
      <c r="E286" s="2" t="inlineStr">
        <is>
          <t>2.0mm</t>
        </is>
      </c>
      <c r="F286" s="2" t="n">
        <v>2</v>
      </c>
      <c r="G286" s="2" t="n">
        <v>20</v>
      </c>
      <c r="H286" s="2" t="inlineStr">
        <is>
          <t>LC/PC</t>
        </is>
      </c>
      <c r="I286" s="2" t="inlineStr">
        <is>
          <t>FC/APC</t>
        </is>
      </c>
      <c r="J286" s="2" t="n"/>
      <c r="K286" s="2" t="n"/>
      <c r="L286" s="2" t="n"/>
      <c r="M286" s="2" t="n"/>
      <c r="N286" s="2" t="n"/>
      <c r="O286" s="2" t="n"/>
      <c r="P286" s="2" t="n">
        <v>1</v>
      </c>
      <c r="Q286" s="2" t="n"/>
      <c r="R286" s="2" t="n"/>
      <c r="S286" s="2" t="n"/>
      <c r="T286" s="2" t="n"/>
      <c r="U286" s="2" t="n"/>
      <c r="V286" s="2">
        <f>SUM(J286:U286)*G286</f>
        <v/>
      </c>
      <c r="W286" s="2">
        <f>MAX(J286:U286)</f>
        <v/>
      </c>
      <c r="X286" s="2">
        <f>W286*G286</f>
        <v/>
      </c>
    </row>
    <row r="287">
      <c r="A287" s="2" t="inlineStr">
        <is>
          <t>14-D-A408</t>
        </is>
      </c>
      <c r="B287" s="3" t="inlineStr">
        <is>
          <t>DOJC-SM-LC/PC-FC/APC</t>
        </is>
      </c>
      <c r="C287" s="2" t="inlineStr">
        <is>
          <t>25M_청색</t>
        </is>
      </c>
      <c r="D287" s="2" t="inlineStr">
        <is>
          <t>a1-청</t>
        </is>
      </c>
      <c r="E287" s="2" t="inlineStr">
        <is>
          <t>2.0mm</t>
        </is>
      </c>
      <c r="F287" s="2" t="n">
        <v>2</v>
      </c>
      <c r="G287" s="2" t="n">
        <v>25</v>
      </c>
      <c r="H287" s="2" t="inlineStr">
        <is>
          <t>LC/PC</t>
        </is>
      </c>
      <c r="I287" s="2" t="inlineStr">
        <is>
          <t>FC/APC</t>
        </is>
      </c>
      <c r="J287" s="2" t="n"/>
      <c r="K287" s="2" t="n"/>
      <c r="L287" s="2" t="n"/>
      <c r="M287" s="2" t="n"/>
      <c r="N287" s="2" t="n"/>
      <c r="O287" s="2" t="n"/>
      <c r="P287" s="2" t="n">
        <v>1</v>
      </c>
      <c r="Q287" s="2" t="n"/>
      <c r="R287" s="2" t="n"/>
      <c r="S287" s="2" t="n"/>
      <c r="T287" s="2" t="n"/>
      <c r="U287" s="2" t="n"/>
      <c r="V287" s="2">
        <f>SUM(J287:U287)*G287</f>
        <v/>
      </c>
      <c r="W287" s="2">
        <f>MAX(J287:U287)</f>
        <v/>
      </c>
      <c r="X287" s="2">
        <f>W287*G287</f>
        <v/>
      </c>
    </row>
    <row r="288">
      <c r="A288" s="2" t="inlineStr">
        <is>
          <t>14-D-A409</t>
        </is>
      </c>
      <c r="B288" s="3" t="inlineStr">
        <is>
          <t>DOJC-SM-LC/PC-LC/PC</t>
        </is>
      </c>
      <c r="C288" s="2" t="inlineStr">
        <is>
          <t>2M_청색</t>
        </is>
      </c>
      <c r="D288" s="2" t="inlineStr">
        <is>
          <t>a1-청</t>
        </is>
      </c>
      <c r="E288" s="2" t="inlineStr">
        <is>
          <t>2.0mm</t>
        </is>
      </c>
      <c r="F288" s="2" t="n">
        <v>2</v>
      </c>
      <c r="G288" s="2" t="n">
        <v>2</v>
      </c>
      <c r="H288" s="2" t="inlineStr">
        <is>
          <t>LC/PC</t>
        </is>
      </c>
      <c r="I288" s="2" t="inlineStr">
        <is>
          <t>LC/PC</t>
        </is>
      </c>
      <c r="J288" s="2" t="n"/>
      <c r="K288" s="2" t="n"/>
      <c r="L288" s="2" t="n"/>
      <c r="M288" s="2" t="n"/>
      <c r="N288" s="2" t="n"/>
      <c r="O288" s="2" t="n"/>
      <c r="P288" s="2" t="n">
        <v>60</v>
      </c>
      <c r="Q288" s="2" t="n"/>
      <c r="R288" s="2" t="n"/>
      <c r="S288" s="2" t="n"/>
      <c r="T288" s="2" t="n"/>
      <c r="U288" s="2" t="n"/>
      <c r="V288" s="2">
        <f>SUM(J288:U288)*G288</f>
        <v/>
      </c>
      <c r="W288" s="2">
        <f>MAX(J288:U288)</f>
        <v/>
      </c>
      <c r="X288" s="2">
        <f>W288*G288</f>
        <v/>
      </c>
    </row>
    <row r="289">
      <c r="A289" s="2" t="inlineStr">
        <is>
          <t>14-D-A411</t>
        </is>
      </c>
      <c r="B289" s="3" t="inlineStr">
        <is>
          <t>DOJC-SM-LC/PC-LC/PC</t>
        </is>
      </c>
      <c r="C289" s="2" t="inlineStr">
        <is>
          <t>4M_청색</t>
        </is>
      </c>
      <c r="D289" s="2" t="inlineStr">
        <is>
          <t>a1-청</t>
        </is>
      </c>
      <c r="E289" s="2" t="inlineStr">
        <is>
          <t>2.0mm</t>
        </is>
      </c>
      <c r="F289" s="2" t="n">
        <v>2</v>
      </c>
      <c r="G289" s="2" t="n">
        <v>4</v>
      </c>
      <c r="H289" s="2" t="inlineStr">
        <is>
          <t>LC/PC</t>
        </is>
      </c>
      <c r="I289" s="2" t="inlineStr">
        <is>
          <t>LC/PC</t>
        </is>
      </c>
      <c r="J289" s="2" t="n"/>
      <c r="K289" s="2" t="n"/>
      <c r="L289" s="2" t="n"/>
      <c r="M289" s="2" t="n"/>
      <c r="N289" s="2" t="n"/>
      <c r="O289" s="2" t="n"/>
      <c r="P289" s="2" t="n">
        <v>120</v>
      </c>
      <c r="Q289" s="2" t="n"/>
      <c r="R289" s="2" t="n"/>
      <c r="S289" s="2" t="n"/>
      <c r="T289" s="2" t="n"/>
      <c r="U289" s="2" t="n"/>
      <c r="V289" s="2">
        <f>SUM(J289:U289)*G289</f>
        <v/>
      </c>
      <c r="W289" s="2">
        <f>MAX(J289:U289)</f>
        <v/>
      </c>
      <c r="X289" s="2">
        <f>W289*G289</f>
        <v/>
      </c>
    </row>
    <row r="290">
      <c r="A290" s="2" t="inlineStr">
        <is>
          <t>14-D-A415</t>
        </is>
      </c>
      <c r="B290" s="3" t="inlineStr">
        <is>
          <t>DOJC-SM-LC/PC-LC/PC</t>
        </is>
      </c>
      <c r="C290" s="2" t="inlineStr">
        <is>
          <t>0.4M_청색</t>
        </is>
      </c>
      <c r="D290" s="2" t="inlineStr">
        <is>
          <t>a1-청</t>
        </is>
      </c>
      <c r="E290" s="2" t="inlineStr">
        <is>
          <t>2.0mm</t>
        </is>
      </c>
      <c r="F290" s="2" t="n">
        <v>2</v>
      </c>
      <c r="G290" s="2" t="n">
        <v>0.4</v>
      </c>
      <c r="H290" s="2" t="inlineStr">
        <is>
          <t>LC/PC</t>
        </is>
      </c>
      <c r="I290" s="2" t="inlineStr">
        <is>
          <t>LC/PC</t>
        </is>
      </c>
      <c r="J290" s="2" t="n"/>
      <c r="K290" s="2" t="n"/>
      <c r="L290" s="2" t="n"/>
      <c r="M290" s="2" t="n"/>
      <c r="N290" s="2" t="n"/>
      <c r="O290" s="2" t="n"/>
      <c r="P290" s="2" t="n">
        <v>60</v>
      </c>
      <c r="Q290" s="2" t="n"/>
      <c r="R290" s="2" t="n"/>
      <c r="S290" s="2" t="n"/>
      <c r="T290" s="2" t="n"/>
      <c r="U290" s="2" t="n"/>
      <c r="V290" s="2">
        <f>SUM(J290:U290)*G290</f>
        <v/>
      </c>
      <c r="W290" s="2">
        <f>MAX(J290:U290)</f>
        <v/>
      </c>
      <c r="X290" s="2">
        <f>W290*G290</f>
        <v/>
      </c>
    </row>
    <row r="291">
      <c r="A291" s="2" t="inlineStr">
        <is>
          <t>14-D-A416</t>
        </is>
      </c>
      <c r="B291" s="3" t="inlineStr">
        <is>
          <t>DOJC-MM(OM4)-LC/PC-LC/PC</t>
        </is>
      </c>
      <c r="C291" s="2" t="inlineStr">
        <is>
          <t>3M_AQUA, 일체형 클립</t>
        </is>
      </c>
      <c r="D291" s="2" t="inlineStr">
        <is>
          <t>om1</t>
        </is>
      </c>
      <c r="E291" s="2" t="inlineStr">
        <is>
          <t>2.0mm</t>
        </is>
      </c>
      <c r="F291" s="2" t="n">
        <v>2</v>
      </c>
      <c r="G291" s="2" t="n">
        <v>3</v>
      </c>
      <c r="H291" s="2" t="inlineStr">
        <is>
          <t>LC/PC</t>
        </is>
      </c>
      <c r="I291" s="2" t="inlineStr">
        <is>
          <t>LC/PC</t>
        </is>
      </c>
      <c r="J291" s="2" t="n"/>
      <c r="K291" s="2" t="n"/>
      <c r="L291" s="2" t="n"/>
      <c r="M291" s="2" t="n"/>
      <c r="N291" s="2" t="n"/>
      <c r="O291" s="2" t="n"/>
      <c r="P291" s="2" t="n"/>
      <c r="Q291" s="2" t="n">
        <v>10</v>
      </c>
      <c r="R291" s="2" t="n"/>
      <c r="S291" s="2" t="n"/>
      <c r="T291" s="2" t="n"/>
      <c r="U291" s="2" t="n"/>
      <c r="V291" s="2">
        <f>SUM(J291:U291)*G291</f>
        <v/>
      </c>
      <c r="W291" s="2">
        <f>MAX(J291:U291)</f>
        <v/>
      </c>
      <c r="X291" s="2">
        <f>W291*G291</f>
        <v/>
      </c>
    </row>
    <row r="292">
      <c r="A292" s="2" t="inlineStr">
        <is>
          <t>14-D-A417</t>
        </is>
      </c>
      <c r="B292" s="3" t="inlineStr">
        <is>
          <t>DOJC-SM-FC/PC-FC/PC</t>
        </is>
      </c>
      <c r="C292" s="2" t="inlineStr">
        <is>
          <t>2M</t>
        </is>
      </c>
      <c r="D292" s="2" t="inlineStr">
        <is>
          <t>a1</t>
        </is>
      </c>
      <c r="E292" s="2" t="inlineStr">
        <is>
          <t>2.0mm</t>
        </is>
      </c>
      <c r="F292" s="2" t="n">
        <v>2</v>
      </c>
      <c r="G292" s="2" t="n">
        <v>2</v>
      </c>
      <c r="H292" s="2" t="inlineStr">
        <is>
          <t>FC/PC</t>
        </is>
      </c>
      <c r="I292" s="2" t="inlineStr">
        <is>
          <t>FC/PC</t>
        </is>
      </c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>
        <v>20</v>
      </c>
      <c r="S292" s="2" t="n"/>
      <c r="T292" s="2" t="n"/>
      <c r="U292" s="2" t="n"/>
      <c r="V292" s="2">
        <f>SUM(J292:U292)*G292</f>
        <v/>
      </c>
      <c r="W292" s="2">
        <f>MAX(J292:U292)</f>
        <v/>
      </c>
      <c r="X292" s="2">
        <f>W292*G292</f>
        <v/>
      </c>
    </row>
    <row r="293">
      <c r="A293" s="2" t="inlineStr">
        <is>
          <t>14-D-A418</t>
        </is>
      </c>
      <c r="B293" s="3" t="inlineStr">
        <is>
          <t>DOJC-SM-LC/PC-LC/PC</t>
        </is>
      </c>
      <c r="C293" s="2" t="inlineStr">
        <is>
          <t>12M_자색케이블</t>
        </is>
      </c>
      <c r="D293" s="2" t="inlineStr">
        <is>
          <t>a1-자</t>
        </is>
      </c>
      <c r="E293" s="2" t="inlineStr">
        <is>
          <t>2.0mm</t>
        </is>
      </c>
      <c r="F293" s="2" t="n">
        <v>2</v>
      </c>
      <c r="G293" s="2" t="n">
        <v>12</v>
      </c>
      <c r="H293" s="2" t="inlineStr">
        <is>
          <t>LC/PC</t>
        </is>
      </c>
      <c r="I293" s="2" t="inlineStr">
        <is>
          <t>LC/PC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>
        <v>6</v>
      </c>
      <c r="S293" s="2" t="n"/>
      <c r="T293" s="2" t="n"/>
      <c r="U293" s="2" t="n"/>
      <c r="V293" s="2">
        <f>SUM(J293:U293)*G293</f>
        <v/>
      </c>
      <c r="W293" s="2">
        <f>MAX(J293:U293)</f>
        <v/>
      </c>
      <c r="X293" s="2">
        <f>W293*G293</f>
        <v/>
      </c>
    </row>
    <row r="294">
      <c r="A294" s="2" t="inlineStr">
        <is>
          <t>14-D-A419</t>
        </is>
      </c>
      <c r="B294" s="3" t="inlineStr">
        <is>
          <t>DOJC-SM-LC/PC-LC/PC</t>
        </is>
      </c>
      <c r="C294" s="2" t="inlineStr">
        <is>
          <t>22M_자색케이블</t>
        </is>
      </c>
      <c r="D294" s="2" t="inlineStr">
        <is>
          <t>a1-자</t>
        </is>
      </c>
      <c r="E294" s="2" t="inlineStr">
        <is>
          <t>2.0mm</t>
        </is>
      </c>
      <c r="F294" s="2" t="n">
        <v>2</v>
      </c>
      <c r="G294" s="2" t="n">
        <v>22</v>
      </c>
      <c r="H294" s="2" t="inlineStr">
        <is>
          <t>LC/PC</t>
        </is>
      </c>
      <c r="I294" s="2" t="inlineStr">
        <is>
          <t>LC/PC</t>
        </is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>
        <v>12</v>
      </c>
      <c r="S294" s="2" t="n"/>
      <c r="T294" s="2" t="n"/>
      <c r="U294" s="2" t="n"/>
      <c r="V294" s="2">
        <f>SUM(J294:U294)*G294</f>
        <v/>
      </c>
      <c r="W294" s="2">
        <f>MAX(J294:U294)</f>
        <v/>
      </c>
      <c r="X294" s="2">
        <f>W294*G294</f>
        <v/>
      </c>
    </row>
    <row r="295">
      <c r="A295" s="2" t="inlineStr">
        <is>
          <t>14-D-A420</t>
        </is>
      </c>
      <c r="B295" s="3" t="inlineStr">
        <is>
          <t>DOJC-SM-LC/PC-LC/PC</t>
        </is>
      </c>
      <c r="C295" s="2" t="inlineStr">
        <is>
          <t>23M_자색케이블</t>
        </is>
      </c>
      <c r="D295" s="2" t="inlineStr">
        <is>
          <t>a1-자</t>
        </is>
      </c>
      <c r="E295" s="2" t="inlineStr">
        <is>
          <t>2.0mm</t>
        </is>
      </c>
      <c r="F295" s="2" t="n">
        <v>2</v>
      </c>
      <c r="G295" s="2" t="n">
        <v>23</v>
      </c>
      <c r="H295" s="2" t="inlineStr">
        <is>
          <t>LC/PC</t>
        </is>
      </c>
      <c r="I295" s="2" t="inlineStr">
        <is>
          <t>LC/PC</t>
        </is>
      </c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>
        <v>4</v>
      </c>
      <c r="S295" s="2" t="n"/>
      <c r="T295" s="2" t="n"/>
      <c r="U295" s="2" t="n"/>
      <c r="V295" s="2">
        <f>SUM(J295:U295)*G295</f>
        <v/>
      </c>
      <c r="W295" s="2">
        <f>MAX(J295:U295)</f>
        <v/>
      </c>
      <c r="X295" s="2">
        <f>W295*G295</f>
        <v/>
      </c>
    </row>
    <row r="296">
      <c r="A296" s="2" t="inlineStr">
        <is>
          <t>14-D-A421</t>
        </is>
      </c>
      <c r="B296" s="3" t="inlineStr">
        <is>
          <t>DOJC-SM-LC/PC-LC/PC</t>
        </is>
      </c>
      <c r="C296" s="2" t="inlineStr">
        <is>
          <t>26M_자색케이블</t>
        </is>
      </c>
      <c r="D296" s="2" t="inlineStr">
        <is>
          <t>a1-자</t>
        </is>
      </c>
      <c r="E296" s="2" t="inlineStr">
        <is>
          <t>2.0mm</t>
        </is>
      </c>
      <c r="F296" s="2" t="n">
        <v>2</v>
      </c>
      <c r="G296" s="2" t="n">
        <v>26</v>
      </c>
      <c r="H296" s="2" t="inlineStr">
        <is>
          <t>LC/PC</t>
        </is>
      </c>
      <c r="I296" s="2" t="inlineStr">
        <is>
          <t>LC/PC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>
        <v>2</v>
      </c>
      <c r="S296" s="2" t="n"/>
      <c r="T296" s="2" t="n"/>
      <c r="U296" s="2" t="n"/>
      <c r="V296" s="2">
        <f>SUM(J296:U296)*G296</f>
        <v/>
      </c>
      <c r="W296" s="2">
        <f>MAX(J296:U296)</f>
        <v/>
      </c>
      <c r="X296" s="2">
        <f>W296*G296</f>
        <v/>
      </c>
    </row>
    <row r="297">
      <c r="A297" s="2" t="inlineStr">
        <is>
          <t>14-D-A422</t>
        </is>
      </c>
      <c r="B297" s="3" t="inlineStr">
        <is>
          <t>DOJC-SM-LC/PC-LC/PC</t>
        </is>
      </c>
      <c r="C297" s="2" t="inlineStr">
        <is>
          <t>27M_자색케이블</t>
        </is>
      </c>
      <c r="D297" s="2" t="inlineStr">
        <is>
          <t>a1-자</t>
        </is>
      </c>
      <c r="E297" s="2" t="inlineStr">
        <is>
          <t>2.0mm</t>
        </is>
      </c>
      <c r="F297" s="2" t="n">
        <v>2</v>
      </c>
      <c r="G297" s="2" t="n">
        <v>27</v>
      </c>
      <c r="H297" s="2" t="inlineStr">
        <is>
          <t>LC/PC</t>
        </is>
      </c>
      <c r="I297" s="2" t="inlineStr">
        <is>
          <t>LC/PC</t>
        </is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>
        <v>8</v>
      </c>
      <c r="S297" s="2" t="n"/>
      <c r="T297" s="2" t="n"/>
      <c r="U297" s="2" t="n"/>
      <c r="V297" s="2">
        <f>SUM(J297:U297)*G297</f>
        <v/>
      </c>
      <c r="W297" s="2">
        <f>MAX(J297:U297)</f>
        <v/>
      </c>
      <c r="X297" s="2">
        <f>W297*G297</f>
        <v/>
      </c>
    </row>
    <row r="298">
      <c r="A298" s="2" t="inlineStr">
        <is>
          <t>14-D-A423</t>
        </is>
      </c>
      <c r="B298" s="3" t="inlineStr">
        <is>
          <t>DOJC-SM-LC/PC-LC/PC</t>
        </is>
      </c>
      <c r="C298" s="2" t="inlineStr">
        <is>
          <t>청색_0.5M</t>
        </is>
      </c>
      <c r="D298" s="2" t="inlineStr">
        <is>
          <t>a1-청</t>
        </is>
      </c>
      <c r="E298" s="2" t="inlineStr">
        <is>
          <t>2.0mm</t>
        </is>
      </c>
      <c r="F298" s="2" t="n">
        <v>2</v>
      </c>
      <c r="G298" s="2" t="n">
        <v>0.5</v>
      </c>
      <c r="H298" s="2" t="inlineStr">
        <is>
          <t>LC/PC</t>
        </is>
      </c>
      <c r="I298" s="2" t="inlineStr">
        <is>
          <t>LC/PC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>
        <v>108</v>
      </c>
      <c r="T298" s="2" t="n"/>
      <c r="U298" s="2" t="n"/>
      <c r="V298" s="2">
        <f>SUM(J298:U298)*G298</f>
        <v/>
      </c>
      <c r="W298" s="2">
        <f>MAX(J298:U298)</f>
        <v/>
      </c>
      <c r="X298" s="2">
        <f>W298*G298</f>
        <v/>
      </c>
    </row>
    <row r="299">
      <c r="A299" s="2" t="inlineStr">
        <is>
          <t>14-D-A424</t>
        </is>
      </c>
      <c r="B299" s="3" t="inlineStr">
        <is>
          <t>DOJC-SM-LC/PC-FC/APC</t>
        </is>
      </c>
      <c r="C299" s="2" t="inlineStr">
        <is>
          <t>30M_적색</t>
        </is>
      </c>
      <c r="D299" s="2" t="inlineStr">
        <is>
          <t>a1-적</t>
        </is>
      </c>
      <c r="E299" s="2" t="inlineStr">
        <is>
          <t>2.0mm</t>
        </is>
      </c>
      <c r="F299" s="2" t="n">
        <v>2</v>
      </c>
      <c r="G299" s="2" t="n">
        <v>30</v>
      </c>
      <c r="H299" s="2" t="inlineStr">
        <is>
          <t>LC/PC</t>
        </is>
      </c>
      <c r="I299" s="2" t="inlineStr">
        <is>
          <t>FC/APC</t>
        </is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>
        <v>30</v>
      </c>
      <c r="U299" s="2" t="n"/>
      <c r="V299" s="2">
        <f>SUM(J299:U299)*G299</f>
        <v/>
      </c>
      <c r="W299" s="2">
        <f>MAX(J299:U299)</f>
        <v/>
      </c>
      <c r="X299" s="2">
        <f>W299*G299</f>
        <v/>
      </c>
    </row>
    <row r="300">
      <c r="A300" s="2" t="inlineStr">
        <is>
          <t>14-D-A425</t>
        </is>
      </c>
      <c r="B300" s="3" t="inlineStr">
        <is>
          <t>DOJC-SM-LC/PC-FC/APC</t>
        </is>
      </c>
      <c r="C300" s="2" t="inlineStr">
        <is>
          <t>40M_적색</t>
        </is>
      </c>
      <c r="D300" s="2" t="inlineStr">
        <is>
          <t>a1-적</t>
        </is>
      </c>
      <c r="E300" s="2" t="inlineStr">
        <is>
          <t>2.0mm</t>
        </is>
      </c>
      <c r="F300" s="2" t="n">
        <v>2</v>
      </c>
      <c r="G300" s="2" t="n">
        <v>40</v>
      </c>
      <c r="H300" s="2" t="inlineStr">
        <is>
          <t>LC/PC</t>
        </is>
      </c>
      <c r="I300" s="2" t="inlineStr">
        <is>
          <t>FC/APC</t>
        </is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>
        <v>4</v>
      </c>
      <c r="U300" s="2" t="n"/>
      <c r="V300" s="2">
        <f>SUM(J300:U300)*G300</f>
        <v/>
      </c>
      <c r="W300" s="2">
        <f>MAX(J300:U300)</f>
        <v/>
      </c>
      <c r="X300" s="2">
        <f>W300*G300</f>
        <v/>
      </c>
    </row>
    <row r="301">
      <c r="A301" s="2" t="inlineStr">
        <is>
          <t>14-D-A426</t>
        </is>
      </c>
      <c r="B301" s="3" t="inlineStr">
        <is>
          <t>DOJC-SM-LC/PC-FC/APC</t>
        </is>
      </c>
      <c r="C301" s="2" t="inlineStr">
        <is>
          <t>60M_적색</t>
        </is>
      </c>
      <c r="D301" s="2" t="inlineStr">
        <is>
          <t>a1-적</t>
        </is>
      </c>
      <c r="E301" s="2" t="inlineStr">
        <is>
          <t>2.0mm</t>
        </is>
      </c>
      <c r="F301" s="2" t="n">
        <v>2</v>
      </c>
      <c r="G301" s="2" t="n">
        <v>60</v>
      </c>
      <c r="H301" s="2" t="inlineStr">
        <is>
          <t>LC/PC</t>
        </is>
      </c>
      <c r="I301" s="2" t="inlineStr">
        <is>
          <t>FC/APC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>
        <v>4</v>
      </c>
      <c r="U301" s="2" t="n"/>
      <c r="V301" s="2">
        <f>SUM(J301:U301)*G301</f>
        <v/>
      </c>
      <c r="W301" s="2">
        <f>MAX(J301:U301)</f>
        <v/>
      </c>
      <c r="X301" s="2">
        <f>W301*G301</f>
        <v/>
      </c>
    </row>
    <row r="302">
      <c r="A302" s="2" t="inlineStr">
        <is>
          <t>14-D-A427</t>
        </is>
      </c>
      <c r="B302" s="3" t="inlineStr">
        <is>
          <t>DOJC-SM-LC/PC-FC/PC</t>
        </is>
      </c>
      <c r="C302" s="2" t="inlineStr">
        <is>
          <t>30M_적색</t>
        </is>
      </c>
      <c r="D302" s="2" t="inlineStr">
        <is>
          <t>a1-적</t>
        </is>
      </c>
      <c r="E302" s="2" t="inlineStr">
        <is>
          <t>2.0mm</t>
        </is>
      </c>
      <c r="F302" s="2" t="n">
        <v>2</v>
      </c>
      <c r="G302" s="2" t="n">
        <v>30</v>
      </c>
      <c r="H302" s="2" t="inlineStr">
        <is>
          <t>LC/PC</t>
        </is>
      </c>
      <c r="I302" s="2" t="inlineStr">
        <is>
          <t>FC/PC</t>
        </is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>
        <v>30</v>
      </c>
      <c r="U302" s="2" t="n"/>
      <c r="V302" s="2">
        <f>SUM(J302:U302)*G302</f>
        <v/>
      </c>
      <c r="W302" s="2">
        <f>MAX(J302:U302)</f>
        <v/>
      </c>
      <c r="X302" s="2">
        <f>W302*G302</f>
        <v/>
      </c>
    </row>
    <row r="303">
      <c r="A303" s="2" t="inlineStr">
        <is>
          <t>14-D-A428</t>
        </is>
      </c>
      <c r="B303" s="3" t="inlineStr">
        <is>
          <t>DOJC-SM-LC/PC-FC/PC</t>
        </is>
      </c>
      <c r="C303" s="2" t="inlineStr">
        <is>
          <t>40M_적색</t>
        </is>
      </c>
      <c r="D303" s="2" t="inlineStr">
        <is>
          <t>a1-적</t>
        </is>
      </c>
      <c r="E303" s="2" t="inlineStr">
        <is>
          <t>2.0mm</t>
        </is>
      </c>
      <c r="F303" s="2" t="n">
        <v>2</v>
      </c>
      <c r="G303" s="2" t="n">
        <v>40</v>
      </c>
      <c r="H303" s="2" t="inlineStr">
        <is>
          <t>LC/PC</t>
        </is>
      </c>
      <c r="I303" s="2" t="inlineStr">
        <is>
          <t>FC/PC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>
        <v>4</v>
      </c>
      <c r="U303" s="2" t="n"/>
      <c r="V303" s="2">
        <f>SUM(J303:U303)*G303</f>
        <v/>
      </c>
      <c r="W303" s="2">
        <f>MAX(J303:U303)</f>
        <v/>
      </c>
      <c r="X303" s="2">
        <f>W303*G303</f>
        <v/>
      </c>
    </row>
    <row r="304">
      <c r="A304" s="2" t="inlineStr">
        <is>
          <t>14-D-A429</t>
        </is>
      </c>
      <c r="B304" s="3" t="inlineStr">
        <is>
          <t>DOJC-SM-LC/PC-FC/PC</t>
        </is>
      </c>
      <c r="C304" s="2" t="inlineStr">
        <is>
          <t>60M_적색</t>
        </is>
      </c>
      <c r="D304" s="2" t="inlineStr">
        <is>
          <t>a1-적</t>
        </is>
      </c>
      <c r="E304" s="2" t="inlineStr">
        <is>
          <t>2.0mm</t>
        </is>
      </c>
      <c r="F304" s="2" t="n">
        <v>2</v>
      </c>
      <c r="G304" s="2" t="n">
        <v>60</v>
      </c>
      <c r="H304" s="2" t="inlineStr">
        <is>
          <t>LC/PC</t>
        </is>
      </c>
      <c r="I304" s="2" t="inlineStr">
        <is>
          <t>FC/PC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4</v>
      </c>
      <c r="U304" s="2" t="n"/>
      <c r="V304" s="2">
        <f>SUM(J304:U304)*G304</f>
        <v/>
      </c>
      <c r="W304" s="2">
        <f>MAX(J304:U304)</f>
        <v/>
      </c>
      <c r="X304" s="2">
        <f>W304*G304</f>
        <v/>
      </c>
    </row>
    <row r="305">
      <c r="A305" s="2" t="inlineStr">
        <is>
          <t>14-D-A72</t>
        </is>
      </c>
      <c r="B305" s="3" t="inlineStr">
        <is>
          <t>DOJC-MM(OM3)-LC/PC-LC/PC</t>
        </is>
      </c>
      <c r="C305" s="2" t="inlineStr">
        <is>
          <t>16M</t>
        </is>
      </c>
      <c r="D305" s="2" t="inlineStr">
        <is>
          <t>om3</t>
        </is>
      </c>
      <c r="E305" s="2" t="inlineStr">
        <is>
          <t>2.0mm</t>
        </is>
      </c>
      <c r="F305" s="2" t="n">
        <v>2</v>
      </c>
      <c r="G305" s="2" t="n">
        <v>16</v>
      </c>
      <c r="H305" s="2" t="inlineStr">
        <is>
          <t>LC/PC</t>
        </is>
      </c>
      <c r="I305" s="2" t="inlineStr">
        <is>
          <t>LC/PC</t>
        </is>
      </c>
      <c r="J305" s="2" t="n"/>
      <c r="K305" s="2" t="n">
        <v>15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>
        <f>SUM(J305:U305)*G305</f>
        <v/>
      </c>
      <c r="W305" s="2">
        <f>MAX(J305:U305)</f>
        <v/>
      </c>
      <c r="X305" s="2">
        <f>W305*G305</f>
        <v/>
      </c>
    </row>
    <row r="306">
      <c r="A306" s="2" t="inlineStr">
        <is>
          <t>14-D-A73</t>
        </is>
      </c>
      <c r="B306" s="3" t="inlineStr">
        <is>
          <t>DOJC-MM(OM3)-LC/PC-LC/PC</t>
        </is>
      </c>
      <c r="C306" s="2" t="inlineStr">
        <is>
          <t>17M</t>
        </is>
      </c>
      <c r="D306" s="2" t="inlineStr">
        <is>
          <t>om3</t>
        </is>
      </c>
      <c r="E306" s="2" t="inlineStr">
        <is>
          <t>2.0mm</t>
        </is>
      </c>
      <c r="F306" s="2" t="n">
        <v>2</v>
      </c>
      <c r="G306" s="2" t="n">
        <v>17</v>
      </c>
      <c r="H306" s="2" t="inlineStr">
        <is>
          <t>LC/PC</t>
        </is>
      </c>
      <c r="I306" s="2" t="inlineStr">
        <is>
          <t>LC/PC</t>
        </is>
      </c>
      <c r="J306" s="2" t="n"/>
      <c r="K306" s="2" t="n">
        <v>6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>
        <f>SUM(J306:U306)*G306</f>
        <v/>
      </c>
      <c r="W306" s="2">
        <f>MAX(J306:U306)</f>
        <v/>
      </c>
      <c r="X306" s="2">
        <f>W306*G306</f>
        <v/>
      </c>
    </row>
    <row r="307">
      <c r="A307" s="2" t="inlineStr">
        <is>
          <t>14-D-A87</t>
        </is>
      </c>
      <c r="B307" s="3" t="inlineStr">
        <is>
          <t>DOJC-SM-LC/PC-LC/PC</t>
        </is>
      </c>
      <c r="C307" s="2" t="inlineStr">
        <is>
          <t>8M_청색</t>
        </is>
      </c>
      <c r="D307" s="2" t="inlineStr">
        <is>
          <t>a1-청</t>
        </is>
      </c>
      <c r="E307" s="2" t="inlineStr">
        <is>
          <t>2.0mm</t>
        </is>
      </c>
      <c r="F307" s="2" t="n">
        <v>2</v>
      </c>
      <c r="G307" s="2" t="n">
        <v>8</v>
      </c>
      <c r="H307" s="2" t="inlineStr">
        <is>
          <t>LC/PC</t>
        </is>
      </c>
      <c r="I307" s="2" t="inlineStr">
        <is>
          <t>LC/PC</t>
        </is>
      </c>
      <c r="J307" s="2" t="n"/>
      <c r="K307" s="2" t="n"/>
      <c r="L307" s="2" t="n"/>
      <c r="M307" s="2" t="n"/>
      <c r="N307" s="2" t="n"/>
      <c r="O307" s="2" t="n"/>
      <c r="P307" s="2" t="n">
        <v>60</v>
      </c>
      <c r="Q307" s="2" t="n"/>
      <c r="R307" s="2" t="n"/>
      <c r="S307" s="2" t="n">
        <v>51</v>
      </c>
      <c r="T307" s="2" t="n"/>
      <c r="U307" s="2" t="n"/>
      <c r="V307" s="2">
        <f>SUM(J307:U307)*G307</f>
        <v/>
      </c>
      <c r="W307" s="2">
        <f>MAX(J307:U307)</f>
        <v/>
      </c>
      <c r="X307" s="2">
        <f>W307*G307</f>
        <v/>
      </c>
    </row>
    <row r="308">
      <c r="A308" s="2" t="inlineStr">
        <is>
          <t>14-D-A89</t>
        </is>
      </c>
      <c r="B308" s="3" t="inlineStr">
        <is>
          <t>DOJC-MM(OM4)-LC/PC-LC/PC</t>
        </is>
      </c>
      <c r="C308" s="2" t="inlineStr">
        <is>
          <t>1M_AQUA</t>
        </is>
      </c>
      <c r="D308" s="2" t="inlineStr">
        <is>
          <t>om1</t>
        </is>
      </c>
      <c r="E308" s="2" t="inlineStr">
        <is>
          <t>2.0mm</t>
        </is>
      </c>
      <c r="F308" s="2" t="n">
        <v>2</v>
      </c>
      <c r="G308" s="2" t="n">
        <v>1</v>
      </c>
      <c r="H308" s="2" t="inlineStr">
        <is>
          <t>LC/PC</t>
        </is>
      </c>
      <c r="I308" s="2" t="inlineStr">
        <is>
          <t>LC/PC</t>
        </is>
      </c>
      <c r="J308" s="2" t="n"/>
      <c r="K308" s="2" t="n"/>
      <c r="L308" s="2" t="n"/>
      <c r="M308" s="2" t="n"/>
      <c r="N308" s="2" t="n">
        <v>10</v>
      </c>
      <c r="O308" s="2" t="n"/>
      <c r="P308" s="2" t="n"/>
      <c r="Q308" s="2" t="n"/>
      <c r="R308" s="2" t="n"/>
      <c r="S308" s="2" t="n"/>
      <c r="T308" s="2" t="n"/>
      <c r="U308" s="2" t="n"/>
      <c r="V308" s="2">
        <f>SUM(J308:U308)*G308</f>
        <v/>
      </c>
      <c r="W308" s="2">
        <f>MAX(J308:U308)</f>
        <v/>
      </c>
      <c r="X308" s="2">
        <f>W308*G308</f>
        <v/>
      </c>
    </row>
    <row r="309">
      <c r="A309" s="2" t="inlineStr">
        <is>
          <t>14-D-A90</t>
        </is>
      </c>
      <c r="B309" s="3" t="inlineStr">
        <is>
          <t>DOJC-MM(OM4)-LC/PC-LC/PC</t>
        </is>
      </c>
      <c r="C309" s="2" t="inlineStr">
        <is>
          <t>3M_AQUA</t>
        </is>
      </c>
      <c r="D309" s="2" t="inlineStr">
        <is>
          <t>om1</t>
        </is>
      </c>
      <c r="E309" s="2" t="inlineStr">
        <is>
          <t>2.0mm</t>
        </is>
      </c>
      <c r="F309" s="2" t="n">
        <v>2</v>
      </c>
      <c r="G309" s="2" t="n">
        <v>3</v>
      </c>
      <c r="H309" s="2" t="inlineStr">
        <is>
          <t>LC/PC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>
        <v>10</v>
      </c>
      <c r="O309" s="2" t="n"/>
      <c r="P309" s="2" t="n"/>
      <c r="Q309" s="2" t="n"/>
      <c r="R309" s="2" t="n"/>
      <c r="S309" s="2" t="n"/>
      <c r="T309" s="2" t="n"/>
      <c r="U309" s="2" t="n"/>
      <c r="V309" s="2">
        <f>SUM(J309:U309)*G309</f>
        <v/>
      </c>
      <c r="W309" s="2">
        <f>MAX(J309:U309)</f>
        <v/>
      </c>
      <c r="X309" s="2">
        <f>W309*G309</f>
        <v/>
      </c>
    </row>
    <row r="310">
      <c r="A310" s="2" t="inlineStr">
        <is>
          <t>14-D-A93</t>
        </is>
      </c>
      <c r="B310" s="3" t="inlineStr">
        <is>
          <t>DOJC-MM(OM4)-LC/PC-LC/PC</t>
        </is>
      </c>
      <c r="C310" s="2" t="inlineStr">
        <is>
          <t>10M_AQUA</t>
        </is>
      </c>
      <c r="D310" s="2" t="inlineStr">
        <is>
          <t>om1</t>
        </is>
      </c>
      <c r="E310" s="2" t="inlineStr">
        <is>
          <t>2.0mm</t>
        </is>
      </c>
      <c r="F310" s="2" t="n">
        <v>2</v>
      </c>
      <c r="G310" s="2" t="n">
        <v>10</v>
      </c>
      <c r="H310" s="2" t="inlineStr">
        <is>
          <t>LC/PC</t>
        </is>
      </c>
      <c r="I310" s="2" t="inlineStr">
        <is>
          <t>LC/PC</t>
        </is>
      </c>
      <c r="J310" s="2" t="n"/>
      <c r="K310" s="2" t="n"/>
      <c r="L310" s="2" t="n"/>
      <c r="M310" s="2" t="n"/>
      <c r="N310" s="2" t="n">
        <v>10</v>
      </c>
      <c r="O310" s="2" t="n"/>
      <c r="P310" s="2" t="n"/>
      <c r="Q310" s="2" t="n"/>
      <c r="R310" s="2" t="n"/>
      <c r="S310" s="2" t="n"/>
      <c r="T310" s="2" t="n"/>
      <c r="U310" s="2" t="n"/>
      <c r="V310" s="2">
        <f>SUM(J310:U310)*G310</f>
        <v/>
      </c>
      <c r="W310" s="2">
        <f>MAX(J310:U310)</f>
        <v/>
      </c>
      <c r="X310" s="2">
        <f>W310*G310</f>
        <v/>
      </c>
    </row>
    <row r="311">
      <c r="A311" s="2" t="inlineStr">
        <is>
          <t>14-D-A99</t>
        </is>
      </c>
      <c r="B311" s="3" t="inlineStr">
        <is>
          <t>OJC-A1-SC/LC-SM-30-PC/PC-DP</t>
        </is>
      </c>
      <c r="C311" s="2" t="inlineStr">
        <is>
          <t>K9089166_녹색</t>
        </is>
      </c>
      <c r="D311" s="2" t="inlineStr">
        <is>
          <t>a1-녹</t>
        </is>
      </c>
      <c r="E311" s="2" t="inlineStr">
        <is>
          <t>2.0mm</t>
        </is>
      </c>
      <c r="F311" s="2" t="n">
        <v>2</v>
      </c>
      <c r="G311" s="2" t="n">
        <v>30</v>
      </c>
      <c r="H311" s="2" t="inlineStr">
        <is>
          <t>SC/PC</t>
        </is>
      </c>
      <c r="I311" s="2" t="inlineStr">
        <is>
          <t>LC/PC</t>
        </is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>
        <v>4</v>
      </c>
      <c r="S311" s="2" t="n"/>
      <c r="T311" s="2" t="n"/>
      <c r="U311" s="2" t="n"/>
      <c r="V311" s="2">
        <f>SUM(J311:U311)*G311</f>
        <v/>
      </c>
      <c r="W311" s="2">
        <f>MAX(J311:U311)</f>
        <v/>
      </c>
      <c r="X311" s="2">
        <f>W311*G311</f>
        <v/>
      </c>
    </row>
    <row r="312">
      <c r="A312" s="2" t="inlineStr">
        <is>
          <t>14-K-021</t>
        </is>
      </c>
      <c r="B312" s="3" t="inlineStr">
        <is>
          <t>OJC-A1-LC/LC-MM(OM3)-10-PC/PC-DP</t>
        </is>
      </c>
      <c r="C312" s="2" t="inlineStr"/>
      <c r="D312" s="2" t="inlineStr">
        <is>
          <t>om3</t>
        </is>
      </c>
      <c r="E312" s="2" t="inlineStr">
        <is>
          <t>2.0mm</t>
        </is>
      </c>
      <c r="F312" s="2" t="n">
        <v>2</v>
      </c>
      <c r="G312" s="2" t="n">
        <v>10</v>
      </c>
      <c r="H312" s="2" t="inlineStr">
        <is>
          <t>LC/PC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>
        <v>24</v>
      </c>
      <c r="P312" s="2" t="n"/>
      <c r="Q312" s="2" t="n"/>
      <c r="R312" s="2" t="n"/>
      <c r="S312" s="2" t="n"/>
      <c r="T312" s="2" t="n"/>
      <c r="U312" s="2" t="n"/>
      <c r="V312" s="2">
        <f>SUM(J312:U312)*G312</f>
        <v/>
      </c>
      <c r="W312" s="2">
        <f>MAX(J312:U312)</f>
        <v/>
      </c>
      <c r="X312" s="2">
        <f>W312*G312</f>
        <v/>
      </c>
    </row>
    <row r="313">
      <c r="A313" s="2" t="inlineStr">
        <is>
          <t>14-K-022</t>
        </is>
      </c>
      <c r="B313" s="3" t="inlineStr">
        <is>
          <t>OJC-A1-LC/LC-MM(OM3)-15-PC/PC-DP</t>
        </is>
      </c>
      <c r="C313" s="2" t="inlineStr"/>
      <c r="D313" s="2" t="inlineStr">
        <is>
          <t>om3</t>
        </is>
      </c>
      <c r="E313" s="2" t="inlineStr">
        <is>
          <t>2.0mm</t>
        </is>
      </c>
      <c r="F313" s="2" t="n">
        <v>2</v>
      </c>
      <c r="G313" s="2" t="n">
        <v>15</v>
      </c>
      <c r="H313" s="2" t="inlineStr">
        <is>
          <t>LC/PC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/>
      <c r="O313" s="2" t="n">
        <v>12</v>
      </c>
      <c r="P313" s="2" t="n"/>
      <c r="Q313" s="2" t="n"/>
      <c r="R313" s="2" t="n"/>
      <c r="S313" s="2" t="n"/>
      <c r="T313" s="2" t="n"/>
      <c r="U313" s="2" t="n"/>
      <c r="V313" s="2">
        <f>SUM(J313:U313)*G313</f>
        <v/>
      </c>
      <c r="W313" s="2">
        <f>MAX(J313:U313)</f>
        <v/>
      </c>
      <c r="X313" s="2">
        <f>W313*G313</f>
        <v/>
      </c>
    </row>
    <row r="314">
      <c r="A314" s="2" t="inlineStr">
        <is>
          <t>14-K-024</t>
        </is>
      </c>
      <c r="B314" s="3" t="inlineStr">
        <is>
          <t>OJC-A1-LC/LC-MM(OM3)-20-PC/PC-DP</t>
        </is>
      </c>
      <c r="C314" s="2" t="inlineStr"/>
      <c r="D314" s="2" t="inlineStr">
        <is>
          <t>om3</t>
        </is>
      </c>
      <c r="E314" s="2" t="inlineStr">
        <is>
          <t>2.0mm</t>
        </is>
      </c>
      <c r="F314" s="2" t="n">
        <v>2</v>
      </c>
      <c r="G314" s="2" t="n">
        <v>20</v>
      </c>
      <c r="H314" s="2" t="inlineStr">
        <is>
          <t>LC/PC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/>
      <c r="O314" s="2" t="n">
        <v>6</v>
      </c>
      <c r="P314" s="2" t="n"/>
      <c r="Q314" s="2" t="n"/>
      <c r="R314" s="2" t="n"/>
      <c r="S314" s="2" t="n"/>
      <c r="T314" s="2" t="n"/>
      <c r="U314" s="2" t="n"/>
      <c r="V314" s="2">
        <f>SUM(J314:U314)*G314</f>
        <v/>
      </c>
      <c r="W314" s="2">
        <f>MAX(J314:U314)</f>
        <v/>
      </c>
      <c r="X314" s="2">
        <f>W314*G314</f>
        <v/>
      </c>
    </row>
    <row r="315">
      <c r="A315" s="2" t="inlineStr">
        <is>
          <t>14-K-025</t>
        </is>
      </c>
      <c r="B315" s="3" t="inlineStr">
        <is>
          <t>OJC-A1-LC/LC-MM(OM3)-25-PC/PC-DP</t>
        </is>
      </c>
      <c r="C315" s="2" t="inlineStr"/>
      <c r="D315" s="2" t="inlineStr">
        <is>
          <t>om3</t>
        </is>
      </c>
      <c r="E315" s="2" t="inlineStr">
        <is>
          <t>2.0mm</t>
        </is>
      </c>
      <c r="F315" s="2" t="n">
        <v>2</v>
      </c>
      <c r="G315" s="2" t="n">
        <v>25</v>
      </c>
      <c r="H315" s="2" t="inlineStr">
        <is>
          <t>LC/PC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>
        <v>10</v>
      </c>
      <c r="O315" s="2" t="n">
        <v>4</v>
      </c>
      <c r="P315" s="2" t="n"/>
      <c r="Q315" s="2" t="n">
        <v>15</v>
      </c>
      <c r="R315" s="2" t="n">
        <v>20</v>
      </c>
      <c r="S315" s="2" t="n"/>
      <c r="T315" s="2" t="n">
        <v>3</v>
      </c>
      <c r="U315" s="2" t="n"/>
      <c r="V315" s="2">
        <f>SUM(J315:U315)*G315</f>
        <v/>
      </c>
      <c r="W315" s="2">
        <f>MAX(J315:U315)</f>
        <v/>
      </c>
      <c r="X315" s="2">
        <f>W315*G315</f>
        <v/>
      </c>
    </row>
    <row r="316">
      <c r="A316" s="2" t="inlineStr">
        <is>
          <t>14-K-026</t>
        </is>
      </c>
      <c r="B316" s="3" t="inlineStr">
        <is>
          <t>OJC-A1-LC/LC-MM(OM3)-30-PC/PC-DP</t>
        </is>
      </c>
      <c r="C316" s="2" t="inlineStr"/>
      <c r="D316" s="2" t="inlineStr">
        <is>
          <t>om3</t>
        </is>
      </c>
      <c r="E316" s="2" t="inlineStr">
        <is>
          <t>2.0mm</t>
        </is>
      </c>
      <c r="F316" s="2" t="n">
        <v>2</v>
      </c>
      <c r="G316" s="2" t="n">
        <v>30</v>
      </c>
      <c r="H316" s="2" t="inlineStr">
        <is>
          <t>LC/PC</t>
        </is>
      </c>
      <c r="I316" s="2" t="inlineStr">
        <is>
          <t>LC/PC</t>
        </is>
      </c>
      <c r="J316" s="2" t="n"/>
      <c r="K316" s="2" t="n"/>
      <c r="L316" s="2" t="n"/>
      <c r="M316" s="2" t="n"/>
      <c r="N316" s="2" t="n">
        <v>20</v>
      </c>
      <c r="O316" s="2" t="n"/>
      <c r="P316" s="2" t="n"/>
      <c r="Q316" s="2" t="n"/>
      <c r="R316" s="2" t="n">
        <v>20</v>
      </c>
      <c r="S316" s="2" t="n">
        <v>20</v>
      </c>
      <c r="T316" s="2" t="n"/>
      <c r="U316" s="2" t="n"/>
      <c r="V316" s="2">
        <f>SUM(J316:U316)*G316</f>
        <v/>
      </c>
      <c r="W316" s="2">
        <f>MAX(J316:U316)</f>
        <v/>
      </c>
      <c r="X316" s="2">
        <f>W316*G316</f>
        <v/>
      </c>
    </row>
    <row r="317">
      <c r="A317" s="2" t="inlineStr">
        <is>
          <t>14-K-027</t>
        </is>
      </c>
      <c r="B317" s="3" t="inlineStr">
        <is>
          <t>OJC-A1-LC/LC-MM(OM3)-35-PC/PC-DP</t>
        </is>
      </c>
      <c r="C317" s="2" t="inlineStr"/>
      <c r="D317" s="2" t="inlineStr">
        <is>
          <t>om3</t>
        </is>
      </c>
      <c r="E317" s="2" t="inlineStr">
        <is>
          <t>2.0mm</t>
        </is>
      </c>
      <c r="F317" s="2" t="n">
        <v>2</v>
      </c>
      <c r="G317" s="2" t="n">
        <v>35</v>
      </c>
      <c r="H317" s="2" t="inlineStr">
        <is>
          <t>LC/PC</t>
        </is>
      </c>
      <c r="I317" s="2" t="inlineStr">
        <is>
          <t>LC/PC</t>
        </is>
      </c>
      <c r="J317" s="2" t="n"/>
      <c r="K317" s="2" t="n"/>
      <c r="L317" s="2" t="n"/>
      <c r="M317" s="2" t="n"/>
      <c r="N317" s="2" t="n"/>
      <c r="O317" s="2" t="n">
        <v>8</v>
      </c>
      <c r="P317" s="2" t="n">
        <v>2</v>
      </c>
      <c r="Q317" s="2" t="n"/>
      <c r="R317" s="2" t="n"/>
      <c r="S317" s="2" t="n">
        <v>10</v>
      </c>
      <c r="T317" s="2" t="n"/>
      <c r="U317" s="2" t="n"/>
      <c r="V317" s="2">
        <f>SUM(J317:U317)*G317</f>
        <v/>
      </c>
      <c r="W317" s="2">
        <f>MAX(J317:U317)</f>
        <v/>
      </c>
      <c r="X317" s="2">
        <f>W317*G317</f>
        <v/>
      </c>
    </row>
    <row r="318">
      <c r="A318" s="2" t="inlineStr">
        <is>
          <t>14-K-028</t>
        </is>
      </c>
      <c r="B318" s="3" t="inlineStr">
        <is>
          <t>OJC-A1-LC/LC-MM(OM3)-3-PC/PC-DP</t>
        </is>
      </c>
      <c r="C318" s="2" t="inlineStr"/>
      <c r="D318" s="2" t="inlineStr">
        <is>
          <t>om3</t>
        </is>
      </c>
      <c r="E318" s="2" t="inlineStr">
        <is>
          <t>2.0mm</t>
        </is>
      </c>
      <c r="F318" s="2" t="n">
        <v>2</v>
      </c>
      <c r="G318" s="2" t="n">
        <v>3</v>
      </c>
      <c r="H318" s="2" t="inlineStr">
        <is>
          <t>LC/PC</t>
        </is>
      </c>
      <c r="I318" s="2" t="inlineStr">
        <is>
          <t>LC/PC</t>
        </is>
      </c>
      <c r="J318" s="2" t="n"/>
      <c r="K318" s="2" t="n">
        <v>4</v>
      </c>
      <c r="L318" s="2" t="n"/>
      <c r="M318" s="2" t="n"/>
      <c r="N318" s="2" t="n"/>
      <c r="O318" s="2" t="n">
        <v>70</v>
      </c>
      <c r="P318" s="2" t="n"/>
      <c r="Q318" s="2" t="n"/>
      <c r="R318" s="2" t="n"/>
      <c r="S318" s="2" t="n"/>
      <c r="T318" s="2" t="n"/>
      <c r="U318" s="2" t="n"/>
      <c r="V318" s="2">
        <f>SUM(J318:U318)*G318</f>
        <v/>
      </c>
      <c r="W318" s="2">
        <f>MAX(J318:U318)</f>
        <v/>
      </c>
      <c r="X318" s="2">
        <f>W318*G318</f>
        <v/>
      </c>
    </row>
    <row r="319">
      <c r="A319" s="2" t="inlineStr">
        <is>
          <t>14-K-031</t>
        </is>
      </c>
      <c r="B319" s="3" t="inlineStr">
        <is>
          <t>OJC-A1-LC/LC-MM(OM3)-5-PC/PC-DP</t>
        </is>
      </c>
      <c r="C319" s="2" t="inlineStr"/>
      <c r="D319" s="2" t="inlineStr">
        <is>
          <t>om3</t>
        </is>
      </c>
      <c r="E319" s="2" t="inlineStr">
        <is>
          <t>2.0mm</t>
        </is>
      </c>
      <c r="F319" s="2" t="n">
        <v>2</v>
      </c>
      <c r="G319" s="2" t="n">
        <v>5</v>
      </c>
      <c r="H319" s="2" t="inlineStr">
        <is>
          <t>LC/PC</t>
        </is>
      </c>
      <c r="I319" s="2" t="inlineStr">
        <is>
          <t>LC/PC</t>
        </is>
      </c>
      <c r="J319" s="2" t="n"/>
      <c r="K319" s="2" t="n">
        <v>8</v>
      </c>
      <c r="L319" s="2" t="n"/>
      <c r="M319" s="2" t="n"/>
      <c r="N319" s="2" t="n"/>
      <c r="O319" s="2" t="n">
        <v>4</v>
      </c>
      <c r="P319" s="2" t="n"/>
      <c r="Q319" s="2" t="n"/>
      <c r="R319" s="2" t="n"/>
      <c r="S319" s="2" t="n">
        <v>1</v>
      </c>
      <c r="T319" s="2" t="n">
        <v>61</v>
      </c>
      <c r="U319" s="2" t="n"/>
      <c r="V319" s="2">
        <f>SUM(J319:U319)*G319</f>
        <v/>
      </c>
      <c r="W319" s="2">
        <f>MAX(J319:U319)</f>
        <v/>
      </c>
      <c r="X319" s="2">
        <f>W319*G319</f>
        <v/>
      </c>
    </row>
    <row r="320">
      <c r="A320" s="2" t="inlineStr">
        <is>
          <t>14-K-034</t>
        </is>
      </c>
      <c r="B320" s="3" t="inlineStr">
        <is>
          <t>OJC-A1-LC/LC-MM-100-PC/PC-DP</t>
        </is>
      </c>
      <c r="C320" s="2" t="inlineStr"/>
      <c r="D320" s="2" t="inlineStr">
        <is>
          <t>om1</t>
        </is>
      </c>
      <c r="E320" s="2" t="inlineStr">
        <is>
          <t>2.0mm</t>
        </is>
      </c>
      <c r="F320" s="2" t="n">
        <v>2</v>
      </c>
      <c r="G320" s="2" t="n">
        <v>100</v>
      </c>
      <c r="H320" s="2" t="inlineStr">
        <is>
          <t>LC/PC</t>
        </is>
      </c>
      <c r="I320" s="2" t="inlineStr">
        <is>
          <t>LC/PC</t>
        </is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>
        <v>9</v>
      </c>
      <c r="U320" s="2" t="n"/>
      <c r="V320" s="2">
        <f>SUM(J320:U320)*G320</f>
        <v/>
      </c>
      <c r="W320" s="2">
        <f>MAX(J320:U320)</f>
        <v/>
      </c>
      <c r="X320" s="2">
        <f>W320*G320</f>
        <v/>
      </c>
    </row>
    <row r="321">
      <c r="A321" s="2" t="inlineStr">
        <is>
          <t>14-K-035</t>
        </is>
      </c>
      <c r="B321" s="3" t="inlineStr">
        <is>
          <t>OJC-A1-LC/LC-MM-10-PC/PC-DP</t>
        </is>
      </c>
      <c r="C321" s="2" t="inlineStr">
        <is>
          <t>K9089334</t>
        </is>
      </c>
      <c r="D321" s="2" t="inlineStr">
        <is>
          <t>om1</t>
        </is>
      </c>
      <c r="E321" s="2" t="inlineStr">
        <is>
          <t>2.0mm</t>
        </is>
      </c>
      <c r="F321" s="2" t="n">
        <v>2</v>
      </c>
      <c r="G321" s="2" t="n">
        <v>10</v>
      </c>
      <c r="H321" s="2" t="inlineStr">
        <is>
          <t>LC/PC</t>
        </is>
      </c>
      <c r="I321" s="2" t="inlineStr">
        <is>
          <t>LC/PC</t>
        </is>
      </c>
      <c r="J321" s="2" t="n"/>
      <c r="K321" s="2" t="n"/>
      <c r="L321" s="2" t="n"/>
      <c r="M321" s="2" t="n">
        <v>218</v>
      </c>
      <c r="N321" s="2" t="n">
        <v>40</v>
      </c>
      <c r="O321" s="2" t="n">
        <v>18</v>
      </c>
      <c r="P321" s="2" t="n"/>
      <c r="Q321" s="2" t="n"/>
      <c r="R321" s="2" t="n"/>
      <c r="S321" s="2" t="n"/>
      <c r="T321" s="2" t="n"/>
      <c r="U321" s="2" t="n"/>
      <c r="V321" s="2">
        <f>SUM(J321:U321)*G321</f>
        <v/>
      </c>
      <c r="W321" s="2">
        <f>MAX(J321:U321)</f>
        <v/>
      </c>
      <c r="X321" s="2">
        <f>W321*G321</f>
        <v/>
      </c>
    </row>
    <row r="322">
      <c r="A322" s="2" t="inlineStr">
        <is>
          <t>14-K-036</t>
        </is>
      </c>
      <c r="B322" s="3" t="inlineStr">
        <is>
          <t>OJC-A1-LC/LC-MM-10-PC/PC-SP</t>
        </is>
      </c>
      <c r="C322" s="2" t="inlineStr">
        <is>
          <t>K9089286</t>
        </is>
      </c>
      <c r="D322" s="2" t="inlineStr">
        <is>
          <t>om1</t>
        </is>
      </c>
      <c r="E322" s="2" t="inlineStr">
        <is>
          <t>2.0mm</t>
        </is>
      </c>
      <c r="F322" s="2" t="n">
        <v>1</v>
      </c>
      <c r="G322" s="2" t="n">
        <v>10</v>
      </c>
      <c r="H322" s="2" t="inlineStr">
        <is>
          <t>LC/PC</t>
        </is>
      </c>
      <c r="I322" s="2" t="inlineStr">
        <is>
          <t>LC/PC</t>
        </is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>
        <v>6</v>
      </c>
      <c r="T322" s="2" t="n"/>
      <c r="U322" s="2" t="n"/>
      <c r="V322" s="2">
        <f>SUM(J322:U322)*G322</f>
        <v/>
      </c>
      <c r="W322" s="2">
        <f>MAX(J322:U322)</f>
        <v/>
      </c>
      <c r="X322" s="2">
        <f>W322*G322</f>
        <v/>
      </c>
    </row>
    <row r="323">
      <c r="A323" s="2" t="inlineStr">
        <is>
          <t>14-K-039</t>
        </is>
      </c>
      <c r="B323" s="3" t="inlineStr">
        <is>
          <t>OJC-A1-LC/LC-MM-15-PC/PC-DP</t>
        </is>
      </c>
      <c r="C323" s="2" t="inlineStr">
        <is>
          <t>K9089335</t>
        </is>
      </c>
      <c r="D323" s="2" t="inlineStr">
        <is>
          <t>om1</t>
        </is>
      </c>
      <c r="E323" s="2" t="inlineStr">
        <is>
          <t>2.0mm</t>
        </is>
      </c>
      <c r="F323" s="2" t="n">
        <v>2</v>
      </c>
      <c r="G323" s="2" t="n">
        <v>15</v>
      </c>
      <c r="H323" s="2" t="inlineStr">
        <is>
          <t>LC/PC</t>
        </is>
      </c>
      <c r="I323" s="2" t="inlineStr">
        <is>
          <t>LC/PC</t>
        </is>
      </c>
      <c r="J323" s="2" t="n">
        <v>172</v>
      </c>
      <c r="K323" s="2" t="n"/>
      <c r="L323" s="2" t="n"/>
      <c r="M323" s="2" t="n">
        <v>30</v>
      </c>
      <c r="N323" s="2" t="n">
        <v>20</v>
      </c>
      <c r="O323" s="2" t="n"/>
      <c r="P323" s="2" t="n"/>
      <c r="Q323" s="2" t="n"/>
      <c r="R323" s="2" t="n"/>
      <c r="S323" s="2" t="n"/>
      <c r="T323" s="2" t="n"/>
      <c r="U323" s="2" t="n"/>
      <c r="V323" s="2">
        <f>SUM(J323:U323)*G323</f>
        <v/>
      </c>
      <c r="W323" s="2">
        <f>MAX(J323:U323)</f>
        <v/>
      </c>
      <c r="X323" s="2">
        <f>W323*G323</f>
        <v/>
      </c>
    </row>
    <row r="324">
      <c r="A324" s="2" t="inlineStr">
        <is>
          <t>14-K-040</t>
        </is>
      </c>
      <c r="B324" s="3" t="inlineStr">
        <is>
          <t>OJC-A1-LC/LC-MM-15-PC/PC-SP</t>
        </is>
      </c>
      <c r="C324" s="2" t="inlineStr">
        <is>
          <t>K9089287</t>
        </is>
      </c>
      <c r="D324" s="2" t="inlineStr">
        <is>
          <t>om1</t>
        </is>
      </c>
      <c r="E324" s="2" t="inlineStr">
        <is>
          <t>2.0mm</t>
        </is>
      </c>
      <c r="F324" s="2" t="n">
        <v>1</v>
      </c>
      <c r="G324" s="2" t="n">
        <v>15</v>
      </c>
      <c r="H324" s="2" t="inlineStr">
        <is>
          <t>LC/PC</t>
        </is>
      </c>
      <c r="I324" s="2" t="inlineStr">
        <is>
          <t>LC/PC</t>
        </is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>
        <v>4</v>
      </c>
      <c r="T324" s="2" t="n"/>
      <c r="U324" s="2" t="n"/>
      <c r="V324" s="2">
        <f>SUM(J324:U324)*G324</f>
        <v/>
      </c>
      <c r="W324" s="2">
        <f>MAX(J324:U324)</f>
        <v/>
      </c>
      <c r="X324" s="2">
        <f>W324*G324</f>
        <v/>
      </c>
    </row>
    <row r="325">
      <c r="A325" s="2" t="inlineStr">
        <is>
          <t>14-K-042</t>
        </is>
      </c>
      <c r="B325" s="3" t="inlineStr">
        <is>
          <t>OJC-A1-LC/LC-MM-1-PC/PC-DP</t>
        </is>
      </c>
      <c r="C325" s="2" t="inlineStr">
        <is>
          <t>K9089329</t>
        </is>
      </c>
      <c r="D325" s="2" t="inlineStr">
        <is>
          <t>om1</t>
        </is>
      </c>
      <c r="E325" s="2" t="inlineStr">
        <is>
          <t>2.0mm</t>
        </is>
      </c>
      <c r="F325" s="2" t="n">
        <v>2</v>
      </c>
      <c r="G325" s="2" t="n">
        <v>1</v>
      </c>
      <c r="H325" s="2" t="inlineStr">
        <is>
          <t>LC/PC</t>
        </is>
      </c>
      <c r="I325" s="2" t="inlineStr">
        <is>
          <t>LC/PC</t>
        </is>
      </c>
      <c r="J325" s="2" t="n"/>
      <c r="K325" s="2" t="n"/>
      <c r="L325" s="2" t="n"/>
      <c r="M325" s="2" t="n"/>
      <c r="N325" s="2" t="n"/>
      <c r="O325" s="2" t="n"/>
      <c r="P325" s="2" t="n">
        <v>4</v>
      </c>
      <c r="Q325" s="2" t="n">
        <v>14</v>
      </c>
      <c r="R325" s="2" t="n"/>
      <c r="S325" s="2" t="n"/>
      <c r="T325" s="2" t="n"/>
      <c r="U325" s="2" t="n"/>
      <c r="V325" s="2">
        <f>SUM(J325:U325)*G325</f>
        <v/>
      </c>
      <c r="W325" s="2">
        <f>MAX(J325:U325)</f>
        <v/>
      </c>
      <c r="X325" s="2">
        <f>W325*G325</f>
        <v/>
      </c>
    </row>
    <row r="326">
      <c r="A326" s="2" t="inlineStr">
        <is>
          <t>14-K-044</t>
        </is>
      </c>
      <c r="B326" s="3" t="inlineStr">
        <is>
          <t>OJC-A1-LC/LC-MM-20-PC/PC-DP</t>
        </is>
      </c>
      <c r="C326" s="2" t="inlineStr">
        <is>
          <t>K9089336</t>
        </is>
      </c>
      <c r="D326" s="2" t="inlineStr">
        <is>
          <t>om1</t>
        </is>
      </c>
      <c r="E326" s="2" t="inlineStr">
        <is>
          <t>2.0mm</t>
        </is>
      </c>
      <c r="F326" s="2" t="n">
        <v>2</v>
      </c>
      <c r="G326" s="2" t="n">
        <v>20</v>
      </c>
      <c r="H326" s="2" t="inlineStr">
        <is>
          <t>LC/PC</t>
        </is>
      </c>
      <c r="I326" s="2" t="inlineStr">
        <is>
          <t>LC/PC</t>
        </is>
      </c>
      <c r="J326" s="2" t="n">
        <v>10</v>
      </c>
      <c r="K326" s="2" t="n">
        <v>10</v>
      </c>
      <c r="L326" s="2" t="n"/>
      <c r="M326" s="2" t="n">
        <v>50</v>
      </c>
      <c r="N326" s="2" t="n">
        <v>60</v>
      </c>
      <c r="O326" s="2" t="n"/>
      <c r="P326" s="2" t="n"/>
      <c r="Q326" s="2" t="n"/>
      <c r="R326" s="2" t="n"/>
      <c r="S326" s="2" t="n"/>
      <c r="T326" s="2" t="n"/>
      <c r="U326" s="2" t="n"/>
      <c r="V326" s="2">
        <f>SUM(J326:U326)*G326</f>
        <v/>
      </c>
      <c r="W326" s="2">
        <f>MAX(J326:U326)</f>
        <v/>
      </c>
      <c r="X326" s="2">
        <f>W326*G326</f>
        <v/>
      </c>
    </row>
    <row r="327">
      <c r="A327" s="2" t="inlineStr">
        <is>
          <t>14-K-047</t>
        </is>
      </c>
      <c r="B327" s="3" t="inlineStr">
        <is>
          <t>OJC-A1-LC/LC-MM-25-PC/PC-DP</t>
        </is>
      </c>
      <c r="C327" s="2" t="inlineStr">
        <is>
          <t>K9089337</t>
        </is>
      </c>
      <c r="D327" s="2" t="inlineStr">
        <is>
          <t>om1</t>
        </is>
      </c>
      <c r="E327" s="2" t="inlineStr">
        <is>
          <t>2.0mm</t>
        </is>
      </c>
      <c r="F327" s="2" t="n">
        <v>2</v>
      </c>
      <c r="G327" s="2" t="n">
        <v>25</v>
      </c>
      <c r="H327" s="2" t="inlineStr">
        <is>
          <t>LC/PC</t>
        </is>
      </c>
      <c r="I327" s="2" t="inlineStr">
        <is>
          <t>LC/PC</t>
        </is>
      </c>
      <c r="J327" s="2" t="n"/>
      <c r="K327" s="2" t="n"/>
      <c r="L327" s="2" t="n"/>
      <c r="M327" s="2" t="n"/>
      <c r="N327" s="2" t="n">
        <v>20</v>
      </c>
      <c r="O327" s="2" t="n">
        <v>13</v>
      </c>
      <c r="P327" s="2" t="n">
        <v>10</v>
      </c>
      <c r="Q327" s="2" t="n"/>
      <c r="R327" s="2" t="n">
        <v>25</v>
      </c>
      <c r="S327" s="2" t="n">
        <v>10</v>
      </c>
      <c r="T327" s="2" t="n">
        <v>20</v>
      </c>
      <c r="U327" s="2" t="n"/>
      <c r="V327" s="2">
        <f>SUM(J327:U327)*G327</f>
        <v/>
      </c>
      <c r="W327" s="2">
        <f>MAX(J327:U327)</f>
        <v/>
      </c>
      <c r="X327" s="2">
        <f>W327*G327</f>
        <v/>
      </c>
    </row>
    <row r="328">
      <c r="A328" s="2" t="inlineStr">
        <is>
          <t>14-K-051</t>
        </is>
      </c>
      <c r="B328" s="3" t="inlineStr">
        <is>
          <t>OJC-A1-LC/LC-MM-28-PC/PC-DP</t>
        </is>
      </c>
      <c r="C328" s="2" t="inlineStr"/>
      <c r="D328" s="2" t="inlineStr">
        <is>
          <t>om1</t>
        </is>
      </c>
      <c r="E328" s="2" t="inlineStr">
        <is>
          <t>2.0mm</t>
        </is>
      </c>
      <c r="F328" s="2" t="n">
        <v>2</v>
      </c>
      <c r="G328" s="2" t="n">
        <v>28</v>
      </c>
      <c r="H328" s="2" t="inlineStr">
        <is>
          <t>LC/PC</t>
        </is>
      </c>
      <c r="I328" s="2" t="inlineStr">
        <is>
          <t>LC/PC</t>
        </is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>
        <v>2</v>
      </c>
      <c r="T328" s="2" t="n"/>
      <c r="U328" s="2" t="n"/>
      <c r="V328" s="2">
        <f>SUM(J328:U328)*G328</f>
        <v/>
      </c>
      <c r="W328" s="2">
        <f>MAX(J328:U328)</f>
        <v/>
      </c>
      <c r="X328" s="2">
        <f>W328*G328</f>
        <v/>
      </c>
    </row>
    <row r="329">
      <c r="A329" s="2" t="inlineStr">
        <is>
          <t>14-K-052</t>
        </is>
      </c>
      <c r="B329" s="3" t="inlineStr">
        <is>
          <t>OJC-A1-LC/LC-MM-2-PC/PC-DP</t>
        </is>
      </c>
      <c r="C329" s="2" t="inlineStr">
        <is>
          <t>K9089330</t>
        </is>
      </c>
      <c r="D329" s="2" t="inlineStr">
        <is>
          <t>om1</t>
        </is>
      </c>
      <c r="E329" s="2" t="inlineStr">
        <is>
          <t>2.0mm</t>
        </is>
      </c>
      <c r="F329" s="2" t="n">
        <v>2</v>
      </c>
      <c r="G329" s="2" t="n">
        <v>2</v>
      </c>
      <c r="H329" s="2" t="inlineStr">
        <is>
          <t>LC/PC</t>
        </is>
      </c>
      <c r="I329" s="2" t="inlineStr">
        <is>
          <t>LC/PC</t>
        </is>
      </c>
      <c r="J329" s="2" t="n">
        <v>178</v>
      </c>
      <c r="K329" s="2" t="n">
        <v>16</v>
      </c>
      <c r="L329" s="2" t="n"/>
      <c r="M329" s="2" t="n"/>
      <c r="N329" s="2" t="n">
        <v>32</v>
      </c>
      <c r="O329" s="2" t="n">
        <v>90</v>
      </c>
      <c r="P329" s="2" t="n">
        <v>2</v>
      </c>
      <c r="Q329" s="2" t="n">
        <v>5</v>
      </c>
      <c r="R329" s="2" t="n"/>
      <c r="S329" s="2" t="n"/>
      <c r="T329" s="2" t="n">
        <v>8</v>
      </c>
      <c r="U329" s="2" t="n">
        <v>52</v>
      </c>
      <c r="V329" s="2">
        <f>SUM(J329:U329)*G329</f>
        <v/>
      </c>
      <c r="W329" s="2">
        <f>MAX(J329:U329)</f>
        <v/>
      </c>
      <c r="X329" s="2">
        <f>W329*G329</f>
        <v/>
      </c>
    </row>
    <row r="330">
      <c r="A330" s="2" t="inlineStr">
        <is>
          <t>14-K-054</t>
        </is>
      </c>
      <c r="B330" s="3" t="inlineStr">
        <is>
          <t>OJC-A1-LC/LC-MM-30-PC/PC-DP</t>
        </is>
      </c>
      <c r="C330" s="2" t="inlineStr">
        <is>
          <t>K9089338</t>
        </is>
      </c>
      <c r="D330" s="2" t="inlineStr">
        <is>
          <t>om1</t>
        </is>
      </c>
      <c r="E330" s="2" t="inlineStr">
        <is>
          <t>2.0mm</t>
        </is>
      </c>
      <c r="F330" s="2" t="n">
        <v>2</v>
      </c>
      <c r="G330" s="2" t="n">
        <v>30</v>
      </c>
      <c r="H330" s="2" t="inlineStr">
        <is>
          <t>LC/PC</t>
        </is>
      </c>
      <c r="I330" s="2" t="inlineStr">
        <is>
          <t>LC/PC</t>
        </is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>
        <v>9</v>
      </c>
      <c r="T330" s="2" t="n">
        <v>10</v>
      </c>
      <c r="U330" s="2" t="n"/>
      <c r="V330" s="2">
        <f>SUM(J330:U330)*G330</f>
        <v/>
      </c>
      <c r="W330" s="2">
        <f>MAX(J330:U330)</f>
        <v/>
      </c>
      <c r="X330" s="2">
        <f>W330*G330</f>
        <v/>
      </c>
    </row>
    <row r="331">
      <c r="A331" s="2" t="inlineStr">
        <is>
          <t>14-K-057</t>
        </is>
      </c>
      <c r="B331" s="3" t="inlineStr">
        <is>
          <t>OJC-A1-LC/LC-MM-35-PC/PC-DP</t>
        </is>
      </c>
      <c r="C331" s="2" t="inlineStr">
        <is>
          <t>K9089339</t>
        </is>
      </c>
      <c r="D331" s="2" t="inlineStr">
        <is>
          <t>om1</t>
        </is>
      </c>
      <c r="E331" s="2" t="inlineStr">
        <is>
          <t>2.0mm</t>
        </is>
      </c>
      <c r="F331" s="2" t="n">
        <v>2</v>
      </c>
      <c r="G331" s="2" t="n">
        <v>35</v>
      </c>
      <c r="H331" s="2" t="inlineStr">
        <is>
          <t>LC/PC</t>
        </is>
      </c>
      <c r="I331" s="2" t="inlineStr">
        <is>
          <t>LC/PC</t>
        </is>
      </c>
      <c r="J331" s="2" t="n">
        <v>8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>
        <v>10</v>
      </c>
      <c r="T331" s="2" t="n">
        <v>10</v>
      </c>
      <c r="U331" s="2" t="n"/>
      <c r="V331" s="2">
        <f>SUM(J331:U331)*G331</f>
        <v/>
      </c>
      <c r="W331" s="2">
        <f>MAX(J331:U331)</f>
        <v/>
      </c>
      <c r="X331" s="2">
        <f>W331*G331</f>
        <v/>
      </c>
    </row>
    <row r="332">
      <c r="A332" s="2" t="inlineStr">
        <is>
          <t>14-K-059</t>
        </is>
      </c>
      <c r="B332" s="3" t="inlineStr">
        <is>
          <t>OJC-A1-LC/LC-MM-3-PC/PC-SP</t>
        </is>
      </c>
      <c r="C332" s="2" t="inlineStr">
        <is>
          <t>K9089283</t>
        </is>
      </c>
      <c r="D332" s="2" t="inlineStr">
        <is>
          <t>om1</t>
        </is>
      </c>
      <c r="E332" s="2" t="inlineStr">
        <is>
          <t>2.0mm</t>
        </is>
      </c>
      <c r="F332" s="2" t="n">
        <v>1</v>
      </c>
      <c r="G332" s="2" t="n">
        <v>3</v>
      </c>
      <c r="H332" s="2" t="inlineStr">
        <is>
          <t>LC/PC</t>
        </is>
      </c>
      <c r="I332" s="2" t="inlineStr">
        <is>
          <t>LC/PC</t>
        </is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>
        <v>10</v>
      </c>
      <c r="T332" s="2" t="n"/>
      <c r="U332" s="2" t="n"/>
      <c r="V332" s="2">
        <f>SUM(J332:U332)*G332</f>
        <v/>
      </c>
      <c r="W332" s="2">
        <f>MAX(J332:U332)</f>
        <v/>
      </c>
      <c r="X332" s="2">
        <f>W332*G332</f>
        <v/>
      </c>
    </row>
    <row r="333">
      <c r="A333" s="2" t="inlineStr">
        <is>
          <t>14-K-060</t>
        </is>
      </c>
      <c r="B333" s="3" t="inlineStr">
        <is>
          <t>OJC-A1-LC/LC-MM-40-PC/PC-DP</t>
        </is>
      </c>
      <c r="C333" s="2" t="inlineStr">
        <is>
          <t>K9089340</t>
        </is>
      </c>
      <c r="D333" s="2" t="inlineStr">
        <is>
          <t>om1</t>
        </is>
      </c>
      <c r="E333" s="2" t="inlineStr">
        <is>
          <t>2.0mm</t>
        </is>
      </c>
      <c r="F333" s="2" t="n">
        <v>2</v>
      </c>
      <c r="G333" s="2" t="n">
        <v>40</v>
      </c>
      <c r="H333" s="2" t="inlineStr">
        <is>
          <t>LC/PC</t>
        </is>
      </c>
      <c r="I333" s="2" t="inlineStr">
        <is>
          <t>LC/PC</t>
        </is>
      </c>
      <c r="J333" s="2" t="n"/>
      <c r="K333" s="2" t="n"/>
      <c r="L333" s="2" t="n"/>
      <c r="M333" s="2" t="n">
        <v>30</v>
      </c>
      <c r="N333" s="2" t="n"/>
      <c r="O333" s="2" t="n">
        <v>4</v>
      </c>
      <c r="P333" s="2" t="n"/>
      <c r="Q333" s="2" t="n"/>
      <c r="R333" s="2" t="n"/>
      <c r="S333" s="2" t="n"/>
      <c r="T333" s="2" t="n"/>
      <c r="U333" s="2" t="n">
        <v>30</v>
      </c>
      <c r="V333" s="2">
        <f>SUM(J333:U333)*G333</f>
        <v/>
      </c>
      <c r="W333" s="2">
        <f>MAX(J333:U333)</f>
        <v/>
      </c>
      <c r="X333" s="2">
        <f>W333*G333</f>
        <v/>
      </c>
    </row>
    <row r="334">
      <c r="A334" s="2" t="inlineStr">
        <is>
          <t>14-K-061</t>
        </is>
      </c>
      <c r="B334" s="3" t="inlineStr">
        <is>
          <t>OJC-A1-LC/LC-MM-45-PC/PC-DP</t>
        </is>
      </c>
      <c r="C334" s="2" t="inlineStr"/>
      <c r="D334" s="2" t="inlineStr">
        <is>
          <t>om1</t>
        </is>
      </c>
      <c r="E334" s="2" t="inlineStr">
        <is>
          <t>2.0mm</t>
        </is>
      </c>
      <c r="F334" s="2" t="n">
        <v>2</v>
      </c>
      <c r="G334" s="2" t="n">
        <v>45</v>
      </c>
      <c r="H334" s="2" t="inlineStr">
        <is>
          <t>LC/PC</t>
        </is>
      </c>
      <c r="I334" s="2" t="inlineStr">
        <is>
          <t>LC/PC</t>
        </is>
      </c>
      <c r="J334" s="2" t="n"/>
      <c r="K334" s="2" t="n"/>
      <c r="L334" s="2" t="n"/>
      <c r="M334" s="2" t="n"/>
      <c r="N334" s="2" t="n"/>
      <c r="O334" s="2" t="n"/>
      <c r="P334" s="2" t="n">
        <v>3</v>
      </c>
      <c r="Q334" s="2" t="n"/>
      <c r="R334" s="2" t="n"/>
      <c r="S334" s="2" t="n"/>
      <c r="T334" s="2" t="n"/>
      <c r="U334" s="2" t="n"/>
      <c r="V334" s="2">
        <f>SUM(J334:U334)*G334</f>
        <v/>
      </c>
      <c r="W334" s="2">
        <f>MAX(J334:U334)</f>
        <v/>
      </c>
      <c r="X334" s="2">
        <f>W334*G334</f>
        <v/>
      </c>
    </row>
    <row r="335">
      <c r="A335" s="2" t="inlineStr">
        <is>
          <t>14-K-062</t>
        </is>
      </c>
      <c r="B335" s="3" t="inlineStr">
        <is>
          <t>OJC-A1-LC/LC-MM-50-PC/PC-DP</t>
        </is>
      </c>
      <c r="C335" s="2" t="inlineStr">
        <is>
          <t>K9089340</t>
        </is>
      </c>
      <c r="D335" s="2" t="inlineStr">
        <is>
          <t>om1</t>
        </is>
      </c>
      <c r="E335" s="2" t="inlineStr">
        <is>
          <t>2.0mm</t>
        </is>
      </c>
      <c r="F335" s="2" t="n">
        <v>2</v>
      </c>
      <c r="G335" s="2" t="n">
        <v>50</v>
      </c>
      <c r="H335" s="2" t="inlineStr">
        <is>
          <t>LC/PC</t>
        </is>
      </c>
      <c r="I335" s="2" t="inlineStr">
        <is>
          <t>LC/PC</t>
        </is>
      </c>
      <c r="J335" s="2" t="n"/>
      <c r="K335" s="2" t="n"/>
      <c r="L335" s="2" t="n"/>
      <c r="M335" s="2" t="n">
        <v>10</v>
      </c>
      <c r="N335" s="2" t="n">
        <v>4</v>
      </c>
      <c r="O335" s="2" t="n"/>
      <c r="P335" s="2" t="n"/>
      <c r="Q335" s="2" t="n"/>
      <c r="R335" s="2" t="n"/>
      <c r="S335" s="2" t="n"/>
      <c r="T335" s="2" t="n"/>
      <c r="U335" s="2" t="n"/>
      <c r="V335" s="2">
        <f>SUM(J335:U335)*G335</f>
        <v/>
      </c>
      <c r="W335" s="2">
        <f>MAX(J335:U335)</f>
        <v/>
      </c>
      <c r="X335" s="2">
        <f>W335*G335</f>
        <v/>
      </c>
    </row>
    <row r="336">
      <c r="A336" s="2" t="inlineStr">
        <is>
          <t>14-K-064</t>
        </is>
      </c>
      <c r="B336" s="3" t="inlineStr">
        <is>
          <t>OJC-A1-LC/LC-MM-55-PC/PC-DP</t>
        </is>
      </c>
      <c r="C336" s="2" t="inlineStr"/>
      <c r="D336" s="2" t="inlineStr">
        <is>
          <t>om1</t>
        </is>
      </c>
      <c r="E336" s="2" t="inlineStr">
        <is>
          <t>2.0mm</t>
        </is>
      </c>
      <c r="F336" s="2" t="n">
        <v>2</v>
      </c>
      <c r="G336" s="2" t="n">
        <v>55</v>
      </c>
      <c r="H336" s="2" t="inlineStr">
        <is>
          <t>LC/PC</t>
        </is>
      </c>
      <c r="I336" s="2" t="inlineStr">
        <is>
          <t>LC/PC</t>
        </is>
      </c>
      <c r="J336" s="2" t="n"/>
      <c r="K336" s="2" t="n">
        <v>6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SUM(J336:U336)*G336</f>
        <v/>
      </c>
      <c r="W336" s="2">
        <f>MAX(J336:U336)</f>
        <v/>
      </c>
      <c r="X336" s="2">
        <f>W336*G336</f>
        <v/>
      </c>
    </row>
    <row r="337">
      <c r="A337" s="2" t="inlineStr">
        <is>
          <t>14-K-065</t>
        </is>
      </c>
      <c r="B337" s="3" t="inlineStr">
        <is>
          <t>OJC-A1-LC/LC-MM-5-PC/PC-DP</t>
        </is>
      </c>
      <c r="C337" s="2" t="inlineStr">
        <is>
          <t>K9089333</t>
        </is>
      </c>
      <c r="D337" s="2" t="inlineStr">
        <is>
          <t>om1</t>
        </is>
      </c>
      <c r="E337" s="2" t="inlineStr">
        <is>
          <t>2.0mm</t>
        </is>
      </c>
      <c r="F337" s="2" t="n">
        <v>2</v>
      </c>
      <c r="G337" s="2" t="n">
        <v>5</v>
      </c>
      <c r="H337" s="2" t="inlineStr">
        <is>
          <t>LC/PC</t>
        </is>
      </c>
      <c r="I337" s="2" t="inlineStr">
        <is>
          <t>LC/PC</t>
        </is>
      </c>
      <c r="J337" s="2" t="n"/>
      <c r="K337" s="2" t="n"/>
      <c r="L337" s="2" t="n"/>
      <c r="M337" s="2" t="n"/>
      <c r="N337" s="2" t="n"/>
      <c r="O337" s="2" t="n"/>
      <c r="P337" s="2" t="n"/>
      <c r="Q337" s="2" t="n">
        <v>10</v>
      </c>
      <c r="R337" s="2" t="n"/>
      <c r="S337" s="2" t="n"/>
      <c r="T337" s="2" t="n">
        <v>12</v>
      </c>
      <c r="U337" s="2" t="n"/>
      <c r="V337" s="2">
        <f>SUM(J337:U337)*G337</f>
        <v/>
      </c>
      <c r="W337" s="2">
        <f>MAX(J337:U337)</f>
        <v/>
      </c>
      <c r="X337" s="2">
        <f>W337*G337</f>
        <v/>
      </c>
    </row>
    <row r="338">
      <c r="A338" s="2" t="inlineStr">
        <is>
          <t>14-K-066</t>
        </is>
      </c>
      <c r="B338" s="3" t="inlineStr">
        <is>
          <t>OJC-A1-LC/LC-MM-5-PC/PC-SP</t>
        </is>
      </c>
      <c r="C338" s="2" t="inlineStr">
        <is>
          <t>K9089285</t>
        </is>
      </c>
      <c r="D338" s="2" t="inlineStr">
        <is>
          <t>om1</t>
        </is>
      </c>
      <c r="E338" s="2" t="inlineStr">
        <is>
          <t>2.0mm</t>
        </is>
      </c>
      <c r="F338" s="2" t="n">
        <v>1</v>
      </c>
      <c r="G338" s="2" t="n">
        <v>5</v>
      </c>
      <c r="H338" s="2" t="inlineStr">
        <is>
          <t>LC/PC</t>
        </is>
      </c>
      <c r="I338" s="2" t="inlineStr">
        <is>
          <t>LC/PC</t>
        </is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>
        <v>6</v>
      </c>
      <c r="T338" s="2" t="n"/>
      <c r="U338" s="2" t="n"/>
      <c r="V338" s="2">
        <f>SUM(J338:U338)*G338</f>
        <v/>
      </c>
      <c r="W338" s="2">
        <f>MAX(J338:U338)</f>
        <v/>
      </c>
      <c r="X338" s="2">
        <f>W338*G338</f>
        <v/>
      </c>
    </row>
    <row r="339">
      <c r="A339" s="2" t="inlineStr">
        <is>
          <t>14-K-067</t>
        </is>
      </c>
      <c r="B339" s="3" t="inlineStr">
        <is>
          <t>OJC-A1-LC/LC-MM-60-PC/PC-DP</t>
        </is>
      </c>
      <c r="C339" s="2" t="inlineStr"/>
      <c r="D339" s="2" t="inlineStr">
        <is>
          <t>om1</t>
        </is>
      </c>
      <c r="E339" s="2" t="inlineStr">
        <is>
          <t>2.0mm</t>
        </is>
      </c>
      <c r="F339" s="2" t="n">
        <v>2</v>
      </c>
      <c r="G339" s="2" t="n">
        <v>60</v>
      </c>
      <c r="H339" s="2" t="inlineStr">
        <is>
          <t>LC/PC</t>
        </is>
      </c>
      <c r="I339" s="2" t="inlineStr">
        <is>
          <t>LC/PC</t>
        </is>
      </c>
      <c r="J339" s="2" t="n"/>
      <c r="K339" s="2" t="n"/>
      <c r="L339" s="2" t="n"/>
      <c r="M339" s="2" t="n">
        <v>10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>
        <f>SUM(J339:U339)*G339</f>
        <v/>
      </c>
      <c r="W339" s="2">
        <f>MAX(J339:U339)</f>
        <v/>
      </c>
      <c r="X339" s="2">
        <f>W339*G339</f>
        <v/>
      </c>
    </row>
    <row r="340">
      <c r="A340" s="2" t="inlineStr">
        <is>
          <t>14-K-071</t>
        </is>
      </c>
      <c r="B340" s="3" t="inlineStr">
        <is>
          <t>OJC-A1-LC/LC-MM-80-PC/PC-DP</t>
        </is>
      </c>
      <c r="C340" s="2" t="inlineStr"/>
      <c r="D340" s="2" t="inlineStr">
        <is>
          <t>om1</t>
        </is>
      </c>
      <c r="E340" s="2" t="inlineStr">
        <is>
          <t>2.0mm</t>
        </is>
      </c>
      <c r="F340" s="2" t="n">
        <v>2</v>
      </c>
      <c r="G340" s="2" t="n">
        <v>80</v>
      </c>
      <c r="H340" s="2" t="inlineStr">
        <is>
          <t>LC/PC</t>
        </is>
      </c>
      <c r="I340" s="2" t="inlineStr">
        <is>
          <t>LC/PC</t>
        </is>
      </c>
      <c r="J340" s="2" t="n"/>
      <c r="K340" s="2" t="n"/>
      <c r="L340" s="2" t="n"/>
      <c r="M340" s="2" t="n"/>
      <c r="N340" s="2" t="n"/>
      <c r="O340" s="2" t="n"/>
      <c r="P340" s="2" t="n">
        <v>1</v>
      </c>
      <c r="Q340" s="2" t="n"/>
      <c r="R340" s="2" t="n"/>
      <c r="S340" s="2" t="n"/>
      <c r="T340" s="2" t="n"/>
      <c r="U340" s="2" t="n"/>
      <c r="V340" s="2">
        <f>SUM(J340:U340)*G340</f>
        <v/>
      </c>
      <c r="W340" s="2">
        <f>MAX(J340:U340)</f>
        <v/>
      </c>
      <c r="X340" s="2">
        <f>W340*G340</f>
        <v/>
      </c>
    </row>
    <row r="341">
      <c r="A341" s="2" t="inlineStr">
        <is>
          <t>14-K-078</t>
        </is>
      </c>
      <c r="B341" s="3" t="inlineStr">
        <is>
          <t>OJC-A1-LC/LC-SM-10-PC/PC-DP</t>
        </is>
      </c>
      <c r="C341" s="2" t="inlineStr">
        <is>
          <t>K9089176</t>
        </is>
      </c>
      <c r="D341" s="2" t="inlineStr">
        <is>
          <t>a1</t>
        </is>
      </c>
      <c r="E341" s="2" t="inlineStr">
        <is>
          <t>2.0mm</t>
        </is>
      </c>
      <c r="F341" s="2" t="n">
        <v>2</v>
      </c>
      <c r="G341" s="2" t="n">
        <v>10</v>
      </c>
      <c r="H341" s="2" t="inlineStr">
        <is>
          <t>LC/PC</t>
        </is>
      </c>
      <c r="I341" s="2" t="inlineStr">
        <is>
          <t>LC/PC</t>
        </is>
      </c>
      <c r="J341" s="2" t="n"/>
      <c r="K341" s="2" t="n"/>
      <c r="L341" s="2" t="n">
        <v>314</v>
      </c>
      <c r="M341" s="2" t="n">
        <v>406</v>
      </c>
      <c r="N341" s="2" t="n">
        <v>143</v>
      </c>
      <c r="O341" s="2" t="n"/>
      <c r="P341" s="2" t="n"/>
      <c r="Q341" s="2" t="n"/>
      <c r="R341" s="2" t="n"/>
      <c r="S341" s="2" t="n"/>
      <c r="T341" s="2" t="n"/>
      <c r="U341" s="2" t="n"/>
      <c r="V341" s="2">
        <f>SUM(J341:U341)*G341</f>
        <v/>
      </c>
      <c r="W341" s="2">
        <f>MAX(J341:U341)</f>
        <v/>
      </c>
      <c r="X341" s="2">
        <f>W341*G341</f>
        <v/>
      </c>
    </row>
    <row r="342">
      <c r="A342" s="2" t="inlineStr">
        <is>
          <t>14-K-079</t>
        </is>
      </c>
      <c r="B342" s="3" t="inlineStr">
        <is>
          <t>OJC-A1-LC/LC-SM-10-PC/PC-SP</t>
        </is>
      </c>
      <c r="C342" s="2" t="inlineStr">
        <is>
          <t>K9089047</t>
        </is>
      </c>
      <c r="D342" s="2" t="inlineStr">
        <is>
          <t>a1</t>
        </is>
      </c>
      <c r="E342" s="2" t="inlineStr">
        <is>
          <t>2.0mm</t>
        </is>
      </c>
      <c r="F342" s="2" t="n">
        <v>1</v>
      </c>
      <c r="G342" s="2" t="n">
        <v>10</v>
      </c>
      <c r="H342" s="2" t="inlineStr">
        <is>
          <t>LC/PC</t>
        </is>
      </c>
      <c r="I342" s="2" t="inlineStr">
        <is>
          <t>LC/PC</t>
        </is>
      </c>
      <c r="J342" s="2" t="n"/>
      <c r="K342" s="2" t="n">
        <v>50</v>
      </c>
      <c r="L342" s="2" t="n"/>
      <c r="M342" s="2" t="n">
        <v>90</v>
      </c>
      <c r="N342" s="2" t="n">
        <v>40</v>
      </c>
      <c r="O342" s="2" t="n"/>
      <c r="P342" s="2" t="n"/>
      <c r="Q342" s="2" t="n">
        <v>190</v>
      </c>
      <c r="R342" s="2" t="n"/>
      <c r="S342" s="2" t="n"/>
      <c r="T342" s="2" t="n"/>
      <c r="U342" s="2" t="n"/>
      <c r="V342" s="2">
        <f>SUM(J342:U342)*G342</f>
        <v/>
      </c>
      <c r="W342" s="2">
        <f>MAX(J342:U342)</f>
        <v/>
      </c>
      <c r="X342" s="2">
        <f>W342*G342</f>
        <v/>
      </c>
    </row>
    <row r="343">
      <c r="A343" s="2" t="inlineStr">
        <is>
          <t>14-K-080</t>
        </is>
      </c>
      <c r="B343" s="3" t="inlineStr">
        <is>
          <t>OJC-A1-LC/LC-SM-12-PC/PC-DP</t>
        </is>
      </c>
      <c r="C343" s="2" t="inlineStr"/>
      <c r="D343" s="2" t="inlineStr">
        <is>
          <t>a1</t>
        </is>
      </c>
      <c r="E343" s="2" t="inlineStr">
        <is>
          <t>2.0mm</t>
        </is>
      </c>
      <c r="F343" s="2" t="n">
        <v>2</v>
      </c>
      <c r="G343" s="2" t="n">
        <v>12</v>
      </c>
      <c r="H343" s="2" t="inlineStr">
        <is>
          <t>LC/PC</t>
        </is>
      </c>
      <c r="I343" s="2" t="inlineStr">
        <is>
          <t>LC/PC</t>
        </is>
      </c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>
        <v>20</v>
      </c>
      <c r="U343" s="2" t="n"/>
      <c r="V343" s="2">
        <f>SUM(J343:U343)*G343</f>
        <v/>
      </c>
      <c r="W343" s="2">
        <f>MAX(J343:U343)</f>
        <v/>
      </c>
      <c r="X343" s="2">
        <f>W343*G343</f>
        <v/>
      </c>
    </row>
    <row r="344">
      <c r="A344" s="2" t="inlineStr">
        <is>
          <t>14-K-081</t>
        </is>
      </c>
      <c r="B344" s="3" t="inlineStr">
        <is>
          <t>OJC-A1-LC/LC-SM-13-PC/PC-DP</t>
        </is>
      </c>
      <c r="C344" s="2" t="inlineStr"/>
      <c r="D344" s="2" t="inlineStr">
        <is>
          <t>a1</t>
        </is>
      </c>
      <c r="E344" s="2" t="inlineStr">
        <is>
          <t>2.0mm</t>
        </is>
      </c>
      <c r="F344" s="2" t="n">
        <v>2</v>
      </c>
      <c r="G344" s="2" t="n">
        <v>13</v>
      </c>
      <c r="H344" s="2" t="inlineStr">
        <is>
          <t>LC/PC</t>
        </is>
      </c>
      <c r="I344" s="2" t="inlineStr">
        <is>
          <t>LC/PC</t>
        </is>
      </c>
      <c r="J344" s="2" t="n"/>
      <c r="K344" s="2" t="n"/>
      <c r="L344" s="2" t="n"/>
      <c r="M344" s="2" t="n"/>
      <c r="N344" s="2" t="n"/>
      <c r="O344" s="2" t="n">
        <v>50</v>
      </c>
      <c r="P344" s="2" t="n"/>
      <c r="Q344" s="2" t="n"/>
      <c r="R344" s="2" t="n"/>
      <c r="S344" s="2" t="n"/>
      <c r="T344" s="2" t="n"/>
      <c r="U344" s="2" t="n"/>
      <c r="V344" s="2">
        <f>SUM(J344:U344)*G344</f>
        <v/>
      </c>
      <c r="W344" s="2">
        <f>MAX(J344:U344)</f>
        <v/>
      </c>
      <c r="X344" s="2">
        <f>W344*G344</f>
        <v/>
      </c>
    </row>
    <row r="345">
      <c r="A345" s="2" t="inlineStr">
        <is>
          <t>14-K-083</t>
        </is>
      </c>
      <c r="B345" s="3" t="inlineStr">
        <is>
          <t>OJC-A1-LC/LC-SM-15-PC/PC-DP</t>
        </is>
      </c>
      <c r="C345" s="2" t="inlineStr">
        <is>
          <t>K9089177</t>
        </is>
      </c>
      <c r="D345" s="2" t="inlineStr">
        <is>
          <t>a1</t>
        </is>
      </c>
      <c r="E345" s="2" t="inlineStr">
        <is>
          <t>2.0mm</t>
        </is>
      </c>
      <c r="F345" s="2" t="n">
        <v>2</v>
      </c>
      <c r="G345" s="2" t="n">
        <v>15</v>
      </c>
      <c r="H345" s="2" t="inlineStr">
        <is>
          <t>LC/PC</t>
        </is>
      </c>
      <c r="I345" s="2" t="inlineStr">
        <is>
          <t>LC/PC</t>
        </is>
      </c>
      <c r="J345" s="2" t="n"/>
      <c r="K345" s="2" t="n">
        <v>149</v>
      </c>
      <c r="L345" s="2" t="n">
        <v>308</v>
      </c>
      <c r="M345" s="2" t="n"/>
      <c r="N345" s="2" t="n"/>
      <c r="O345" s="2" t="n"/>
      <c r="P345" s="2" t="n"/>
      <c r="Q345" s="2" t="n"/>
      <c r="R345" s="2" t="n"/>
      <c r="S345" s="2" t="n"/>
      <c r="T345" s="2" t="n">
        <v>300</v>
      </c>
      <c r="U345" s="2" t="n"/>
      <c r="V345" s="2">
        <f>SUM(J345:U345)*G345</f>
        <v/>
      </c>
      <c r="W345" s="2">
        <f>MAX(J345:U345)</f>
        <v/>
      </c>
      <c r="X345" s="2">
        <f>W345*G345</f>
        <v/>
      </c>
    </row>
    <row r="346">
      <c r="A346" s="2" t="inlineStr">
        <is>
          <t>14-K-084</t>
        </is>
      </c>
      <c r="B346" s="3" t="inlineStr">
        <is>
          <t>OJC-A1-LC/LC-SM-15-PC/PC-SP</t>
        </is>
      </c>
      <c r="C346" s="2" t="inlineStr">
        <is>
          <t>K9089048</t>
        </is>
      </c>
      <c r="D346" s="2" t="inlineStr">
        <is>
          <t>a1</t>
        </is>
      </c>
      <c r="E346" s="2" t="inlineStr">
        <is>
          <t>2.0mm</t>
        </is>
      </c>
      <c r="F346" s="2" t="n">
        <v>1</v>
      </c>
      <c r="G346" s="2" t="n">
        <v>15</v>
      </c>
      <c r="H346" s="2" t="inlineStr">
        <is>
          <t>LC/PC</t>
        </is>
      </c>
      <c r="I346" s="2" t="inlineStr">
        <is>
          <t>LC/PC</t>
        </is>
      </c>
      <c r="J346" s="2" t="n"/>
      <c r="K346" s="2" t="n"/>
      <c r="L346" s="2" t="n"/>
      <c r="M346" s="2" t="n">
        <v>3</v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>
        <f>SUM(J346:U346)*G346</f>
        <v/>
      </c>
      <c r="W346" s="2">
        <f>MAX(J346:U346)</f>
        <v/>
      </c>
      <c r="X346" s="2">
        <f>W346*G346</f>
        <v/>
      </c>
    </row>
    <row r="347">
      <c r="A347" s="2" t="inlineStr">
        <is>
          <t>14-K-085</t>
        </is>
      </c>
      <c r="B347" s="3" t="inlineStr">
        <is>
          <t>OJC-A1-LC/LC-SM-1-PC/PC-DP</t>
        </is>
      </c>
      <c r="C347" s="2" t="inlineStr">
        <is>
          <t>K9089171</t>
        </is>
      </c>
      <c r="D347" s="2" t="inlineStr">
        <is>
          <t>a1</t>
        </is>
      </c>
      <c r="E347" s="2" t="inlineStr">
        <is>
          <t>2.0mm</t>
        </is>
      </c>
      <c r="F347" s="2" t="n">
        <v>2</v>
      </c>
      <c r="G347" s="2" t="n">
        <v>1</v>
      </c>
      <c r="H347" s="2" t="inlineStr">
        <is>
          <t>LC/PC</t>
        </is>
      </c>
      <c r="I347" s="2" t="inlineStr">
        <is>
          <t>LC/PC</t>
        </is>
      </c>
      <c r="J347" s="2" t="n">
        <v>605</v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>
        <v>56</v>
      </c>
      <c r="V347" s="2">
        <f>SUM(J347:U347)*G347</f>
        <v/>
      </c>
      <c r="W347" s="2">
        <f>MAX(J347:U347)</f>
        <v/>
      </c>
      <c r="X347" s="2">
        <f>W347*G347</f>
        <v/>
      </c>
    </row>
    <row r="348">
      <c r="A348" s="2" t="inlineStr">
        <is>
          <t>14-K-091</t>
        </is>
      </c>
      <c r="B348" s="3" t="inlineStr">
        <is>
          <t>OJC-A1-LC/LC-SM-25-PC/PC-DP</t>
        </is>
      </c>
      <c r="C348" s="2" t="inlineStr">
        <is>
          <t>K9089179</t>
        </is>
      </c>
      <c r="D348" s="2" t="inlineStr">
        <is>
          <t>a1</t>
        </is>
      </c>
      <c r="E348" s="2" t="inlineStr">
        <is>
          <t>2.0mm</t>
        </is>
      </c>
      <c r="F348" s="2" t="n">
        <v>2</v>
      </c>
      <c r="G348" s="2" t="n">
        <v>25</v>
      </c>
      <c r="H348" s="2" t="inlineStr">
        <is>
          <t>LC/PC</t>
        </is>
      </c>
      <c r="I348" s="2" t="inlineStr">
        <is>
          <t>LC/PC</t>
        </is>
      </c>
      <c r="J348" s="2" t="n"/>
      <c r="K348" s="2" t="n"/>
      <c r="L348" s="2" t="n">
        <v>80</v>
      </c>
      <c r="M348" s="2" t="n"/>
      <c r="N348" s="2" t="n"/>
      <c r="O348" s="2" t="n">
        <v>57</v>
      </c>
      <c r="P348" s="2" t="n"/>
      <c r="Q348" s="2" t="n"/>
      <c r="R348" s="2" t="n">
        <v>90</v>
      </c>
      <c r="S348" s="2" t="n">
        <v>90</v>
      </c>
      <c r="T348" s="2" t="n">
        <v>5</v>
      </c>
      <c r="U348" s="2" t="n"/>
      <c r="V348" s="2">
        <f>SUM(J348:U348)*G348</f>
        <v/>
      </c>
      <c r="W348" s="2">
        <f>MAX(J348:U348)</f>
        <v/>
      </c>
      <c r="X348" s="2">
        <f>W348*G348</f>
        <v/>
      </c>
    </row>
    <row r="349">
      <c r="A349" s="2" t="inlineStr">
        <is>
          <t>14-K-092</t>
        </is>
      </c>
      <c r="B349" s="3" t="inlineStr">
        <is>
          <t>OJC-A1-LC/LC-SM-25-PC/PC-SP</t>
        </is>
      </c>
      <c r="C349" s="2" t="inlineStr">
        <is>
          <t>K9089050</t>
        </is>
      </c>
      <c r="D349" s="2" t="inlineStr">
        <is>
          <t>a1</t>
        </is>
      </c>
      <c r="E349" s="2" t="inlineStr">
        <is>
          <t>2.0mm</t>
        </is>
      </c>
      <c r="F349" s="2" t="n">
        <v>1</v>
      </c>
      <c r="G349" s="2" t="n">
        <v>25</v>
      </c>
      <c r="H349" s="2" t="inlineStr">
        <is>
          <t>LC/PC</t>
        </is>
      </c>
      <c r="I349" s="2" t="inlineStr">
        <is>
          <t>LC/PC</t>
        </is>
      </c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>
        <v>5</v>
      </c>
      <c r="U349" s="2" t="n"/>
      <c r="V349" s="2">
        <f>SUM(J349:U349)*G349</f>
        <v/>
      </c>
      <c r="W349" s="2">
        <f>MAX(J349:U349)</f>
        <v/>
      </c>
      <c r="X349" s="2">
        <f>W349*G349</f>
        <v/>
      </c>
    </row>
    <row r="350">
      <c r="A350" s="2" t="inlineStr">
        <is>
          <t>14-K-093</t>
        </is>
      </c>
      <c r="B350" s="3" t="inlineStr">
        <is>
          <t>OJC-A1-LC/LC-SM-2-PC/PC-DP</t>
        </is>
      </c>
      <c r="C350" s="2" t="inlineStr">
        <is>
          <t>K9089172</t>
        </is>
      </c>
      <c r="D350" s="2" t="inlineStr">
        <is>
          <t>a1</t>
        </is>
      </c>
      <c r="E350" s="2" t="inlineStr">
        <is>
          <t>2.0mm</t>
        </is>
      </c>
      <c r="F350" s="2" t="n">
        <v>2</v>
      </c>
      <c r="G350" s="2" t="n">
        <v>2</v>
      </c>
      <c r="H350" s="2" t="inlineStr">
        <is>
          <t>LC/PC</t>
        </is>
      </c>
      <c r="I350" s="2" t="inlineStr">
        <is>
          <t>LC/PC</t>
        </is>
      </c>
      <c r="J350" s="2" t="n">
        <v>400</v>
      </c>
      <c r="K350" s="2" t="n"/>
      <c r="L350" s="2" t="n"/>
      <c r="M350" s="2" t="n">
        <v>56</v>
      </c>
      <c r="N350" s="2" t="n"/>
      <c r="O350" s="2" t="n">
        <v>70</v>
      </c>
      <c r="P350" s="2" t="n"/>
      <c r="Q350" s="2" t="n"/>
      <c r="R350" s="2" t="n"/>
      <c r="S350" s="2" t="n"/>
      <c r="T350" s="2" t="n">
        <v>102</v>
      </c>
      <c r="U350" s="2" t="n">
        <v>61</v>
      </c>
      <c r="V350" s="2">
        <f>SUM(J350:U350)*G350</f>
        <v/>
      </c>
      <c r="W350" s="2">
        <f>MAX(J350:U350)</f>
        <v/>
      </c>
      <c r="X350" s="2">
        <f>W350*G350</f>
        <v/>
      </c>
    </row>
    <row r="351">
      <c r="A351" s="2" t="inlineStr">
        <is>
          <t>14-K-094</t>
        </is>
      </c>
      <c r="B351" s="3" t="inlineStr">
        <is>
          <t>OJC-A1-LC/LC-SM-30-PC/PC-DP</t>
        </is>
      </c>
      <c r="C351" s="2" t="inlineStr">
        <is>
          <t>K9089180</t>
        </is>
      </c>
      <c r="D351" s="2" t="inlineStr">
        <is>
          <t>a1</t>
        </is>
      </c>
      <c r="E351" s="2" t="inlineStr">
        <is>
          <t>2.0mm</t>
        </is>
      </c>
      <c r="F351" s="2" t="n">
        <v>2</v>
      </c>
      <c r="G351" s="2" t="n">
        <v>30</v>
      </c>
      <c r="H351" s="2" t="inlineStr">
        <is>
          <t>LC/PC</t>
        </is>
      </c>
      <c r="I351" s="2" t="inlineStr">
        <is>
          <t>LC/PC</t>
        </is>
      </c>
      <c r="J351" s="2" t="n"/>
      <c r="K351" s="2" t="n"/>
      <c r="L351" s="2" t="n"/>
      <c r="M351" s="2" t="n">
        <v>20</v>
      </c>
      <c r="N351" s="2" t="n"/>
      <c r="O351" s="2" t="n"/>
      <c r="P351" s="2" t="n"/>
      <c r="Q351" s="2" t="n"/>
      <c r="R351" s="2" t="n"/>
      <c r="S351" s="2" t="n"/>
      <c r="T351" s="2" t="n">
        <v>55</v>
      </c>
      <c r="U351" s="2" t="n">
        <v>20</v>
      </c>
      <c r="V351" s="2">
        <f>SUM(J351:U351)*G351</f>
        <v/>
      </c>
      <c r="W351" s="2">
        <f>MAX(J351:U351)</f>
        <v/>
      </c>
      <c r="X351" s="2">
        <f>W351*G351</f>
        <v/>
      </c>
    </row>
    <row r="352">
      <c r="A352" s="2" t="inlineStr">
        <is>
          <t>14-K-095</t>
        </is>
      </c>
      <c r="B352" s="3" t="inlineStr">
        <is>
          <t>OJC-A1-LC/LC-SM-30-PC/PC-SP</t>
        </is>
      </c>
      <c r="C352" s="2" t="inlineStr">
        <is>
          <t>K9089051</t>
        </is>
      </c>
      <c r="D352" s="2" t="inlineStr">
        <is>
          <t>a1</t>
        </is>
      </c>
      <c r="E352" s="2" t="inlineStr">
        <is>
          <t>2.0mm</t>
        </is>
      </c>
      <c r="F352" s="2" t="n">
        <v>1</v>
      </c>
      <c r="G352" s="2" t="n">
        <v>30</v>
      </c>
      <c r="H352" s="2" t="inlineStr">
        <is>
          <t>LC/PC</t>
        </is>
      </c>
      <c r="I352" s="2" t="inlineStr">
        <is>
          <t>LC/PC</t>
        </is>
      </c>
      <c r="J352" s="2" t="n"/>
      <c r="K352" s="2" t="n"/>
      <c r="L352" s="2" t="n"/>
      <c r="M352" s="2" t="n"/>
      <c r="N352" s="2" t="n"/>
      <c r="O352" s="2" t="n">
        <v>3</v>
      </c>
      <c r="P352" s="2" t="n"/>
      <c r="Q352" s="2" t="n"/>
      <c r="R352" s="2" t="n"/>
      <c r="S352" s="2" t="n"/>
      <c r="T352" s="2" t="n">
        <v>5</v>
      </c>
      <c r="U352" s="2" t="n"/>
      <c r="V352" s="2">
        <f>SUM(J352:U352)*G352</f>
        <v/>
      </c>
      <c r="W352" s="2">
        <f>MAX(J352:U352)</f>
        <v/>
      </c>
      <c r="X352" s="2">
        <f>W352*G352</f>
        <v/>
      </c>
    </row>
    <row r="353">
      <c r="A353" s="2" t="inlineStr">
        <is>
          <t>14-K-096</t>
        </is>
      </c>
      <c r="B353" s="3" t="inlineStr">
        <is>
          <t>OJC-A1-LC/LC-SM-35-PC/PC-DP</t>
        </is>
      </c>
      <c r="C353" s="2" t="inlineStr">
        <is>
          <t>K9089181</t>
        </is>
      </c>
      <c r="D353" s="2" t="inlineStr">
        <is>
          <t>a1</t>
        </is>
      </c>
      <c r="E353" s="2" t="inlineStr">
        <is>
          <t>2.0mm</t>
        </is>
      </c>
      <c r="F353" s="2" t="n">
        <v>2</v>
      </c>
      <c r="G353" s="2" t="n">
        <v>35</v>
      </c>
      <c r="H353" s="2" t="inlineStr">
        <is>
          <t>LC/PC</t>
        </is>
      </c>
      <c r="I353" s="2" t="inlineStr">
        <is>
          <t>LC/PC</t>
        </is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>
        <v>28</v>
      </c>
      <c r="S353" s="2" t="n"/>
      <c r="T353" s="2" t="n"/>
      <c r="U353" s="2" t="n">
        <v>30</v>
      </c>
      <c r="V353" s="2">
        <f>SUM(J353:U353)*G353</f>
        <v/>
      </c>
      <c r="W353" s="2">
        <f>MAX(J353:U353)</f>
        <v/>
      </c>
      <c r="X353" s="2">
        <f>W353*G353</f>
        <v/>
      </c>
    </row>
    <row r="354">
      <c r="A354" s="2" t="inlineStr">
        <is>
          <t>14-K-097</t>
        </is>
      </c>
      <c r="B354" s="3" t="inlineStr">
        <is>
          <t>OJC-A1-LC/LC-SM-3-PC/PC-DP</t>
        </is>
      </c>
      <c r="C354" s="2" t="inlineStr">
        <is>
          <t>K9089173</t>
        </is>
      </c>
      <c r="D354" s="2" t="inlineStr">
        <is>
          <t>a1</t>
        </is>
      </c>
      <c r="E354" s="2" t="inlineStr">
        <is>
          <t>2.0mm</t>
        </is>
      </c>
      <c r="F354" s="2" t="n">
        <v>2</v>
      </c>
      <c r="G354" s="2" t="n">
        <v>3</v>
      </c>
      <c r="H354" s="2" t="inlineStr">
        <is>
          <t>LC/PC</t>
        </is>
      </c>
      <c r="I354" s="2" t="inlineStr">
        <is>
          <t>LC/PC</t>
        </is>
      </c>
      <c r="J354" s="2" t="n"/>
      <c r="K354" s="2" t="n"/>
      <c r="L354" s="2" t="n"/>
      <c r="M354" s="2" t="n">
        <v>21</v>
      </c>
      <c r="N354" s="2" t="n">
        <v>500</v>
      </c>
      <c r="O354" s="2" t="n"/>
      <c r="P354" s="2" t="n"/>
      <c r="Q354" s="2" t="n"/>
      <c r="R354" s="2" t="n"/>
      <c r="S354" s="2" t="n"/>
      <c r="T354" s="2" t="n"/>
      <c r="U354" s="2" t="n"/>
      <c r="V354" s="2">
        <f>SUM(J354:U354)*G354</f>
        <v/>
      </c>
      <c r="W354" s="2">
        <f>MAX(J354:U354)</f>
        <v/>
      </c>
      <c r="X354" s="2">
        <f>W354*G354</f>
        <v/>
      </c>
    </row>
    <row r="355">
      <c r="A355" s="2" t="inlineStr">
        <is>
          <t>14-K-100</t>
        </is>
      </c>
      <c r="B355" s="3" t="inlineStr">
        <is>
          <t>OJC-A1-LC/LC-SM-45-PC/PC-DP</t>
        </is>
      </c>
      <c r="C355" s="2" t="inlineStr">
        <is>
          <t>K9089183</t>
        </is>
      </c>
      <c r="D355" s="2" t="inlineStr">
        <is>
          <t>a1</t>
        </is>
      </c>
      <c r="E355" s="2" t="inlineStr">
        <is>
          <t>2.0mm</t>
        </is>
      </c>
      <c r="F355" s="2" t="n">
        <v>2</v>
      </c>
      <c r="G355" s="2" t="n">
        <v>45</v>
      </c>
      <c r="H355" s="2" t="inlineStr">
        <is>
          <t>LC/PC</t>
        </is>
      </c>
      <c r="I355" s="2" t="inlineStr">
        <is>
          <t>LC/PC</t>
        </is>
      </c>
      <c r="J355" s="2" t="n"/>
      <c r="K355" s="2" t="n"/>
      <c r="L355" s="2" t="n">
        <v>2</v>
      </c>
      <c r="M355" s="2" t="n"/>
      <c r="N355" s="2" t="n"/>
      <c r="O355" s="2" t="n"/>
      <c r="P355" s="2" t="n"/>
      <c r="Q355" s="2" t="n"/>
      <c r="R355" s="2" t="n"/>
      <c r="S355" s="2" t="n"/>
      <c r="T355" s="2" t="n">
        <v>30</v>
      </c>
      <c r="U355" s="2" t="n"/>
      <c r="V355" s="2">
        <f>SUM(J355:U355)*G355</f>
        <v/>
      </c>
      <c r="W355" s="2">
        <f>MAX(J355:U355)</f>
        <v/>
      </c>
      <c r="X355" s="2">
        <f>W355*G355</f>
        <v/>
      </c>
    </row>
    <row r="356">
      <c r="A356" s="2" t="inlineStr">
        <is>
          <t>14-K-103</t>
        </is>
      </c>
      <c r="B356" s="3" t="inlineStr">
        <is>
          <t>OJC-A1-LC/LC-SM-50-PC/PC-DP</t>
        </is>
      </c>
      <c r="C356" s="2" t="inlineStr">
        <is>
          <t>K9089184</t>
        </is>
      </c>
      <c r="D356" s="2" t="inlineStr">
        <is>
          <t>a1</t>
        </is>
      </c>
      <c r="E356" s="2" t="inlineStr">
        <is>
          <t>2.0mm</t>
        </is>
      </c>
      <c r="F356" s="2" t="n">
        <v>2</v>
      </c>
      <c r="G356" s="2" t="n">
        <v>50</v>
      </c>
      <c r="H356" s="2" t="inlineStr">
        <is>
          <t>LC/PC</t>
        </is>
      </c>
      <c r="I356" s="2" t="inlineStr">
        <is>
          <t>LC/PC</t>
        </is>
      </c>
      <c r="J356" s="2" t="n">
        <v>1</v>
      </c>
      <c r="K356" s="2" t="n">
        <v>30</v>
      </c>
      <c r="L356" s="2" t="n">
        <v>10</v>
      </c>
      <c r="M356" s="2" t="n"/>
      <c r="N356" s="2" t="n"/>
      <c r="O356" s="2" t="n">
        <v>21</v>
      </c>
      <c r="P356" s="2" t="n"/>
      <c r="Q356" s="2" t="n"/>
      <c r="R356" s="2" t="n"/>
      <c r="S356" s="2" t="n"/>
      <c r="T356" s="2" t="n"/>
      <c r="U356" s="2" t="n">
        <v>2</v>
      </c>
      <c r="V356" s="2">
        <f>SUM(J356:U356)*G356</f>
        <v/>
      </c>
      <c r="W356" s="2">
        <f>MAX(J356:U356)</f>
        <v/>
      </c>
      <c r="X356" s="2">
        <f>W356*G356</f>
        <v/>
      </c>
    </row>
    <row r="357">
      <c r="A357" s="2" t="inlineStr">
        <is>
          <t>14-K-104</t>
        </is>
      </c>
      <c r="B357" s="3" t="inlineStr">
        <is>
          <t>OJC-A1-LC/LC-SM-50-PC/PC-SP</t>
        </is>
      </c>
      <c r="C357" s="2" t="inlineStr">
        <is>
          <t>K9089055</t>
        </is>
      </c>
      <c r="D357" s="2" t="inlineStr">
        <is>
          <t>a1</t>
        </is>
      </c>
      <c r="E357" s="2" t="inlineStr">
        <is>
          <t>2.0mm</t>
        </is>
      </c>
      <c r="F357" s="2" t="n">
        <v>1</v>
      </c>
      <c r="G357" s="2" t="n">
        <v>50</v>
      </c>
      <c r="H357" s="2" t="inlineStr">
        <is>
          <t>LC/PC</t>
        </is>
      </c>
      <c r="I357" s="2" t="inlineStr">
        <is>
          <t>LC/PC</t>
        </is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>
        <v>1</v>
      </c>
      <c r="S357" s="2" t="n"/>
      <c r="T357" s="2" t="n"/>
      <c r="U357" s="2" t="n"/>
      <c r="V357" s="2">
        <f>SUM(J357:U357)*G357</f>
        <v/>
      </c>
      <c r="W357" s="2">
        <f>MAX(J357:U357)</f>
        <v/>
      </c>
      <c r="X357" s="2">
        <f>W357*G357</f>
        <v/>
      </c>
    </row>
    <row r="358">
      <c r="A358" s="2" t="inlineStr">
        <is>
          <t>14-K-106</t>
        </is>
      </c>
      <c r="B358" s="3" t="inlineStr">
        <is>
          <t>OJC-A1-LC/LC-SM-55-PC/PC-DP</t>
        </is>
      </c>
      <c r="C358" s="2" t="inlineStr"/>
      <c r="D358" s="2" t="inlineStr">
        <is>
          <t>a1</t>
        </is>
      </c>
      <c r="E358" s="2" t="inlineStr">
        <is>
          <t>2.0mm</t>
        </is>
      </c>
      <c r="F358" s="2" t="n">
        <v>2</v>
      </c>
      <c r="G358" s="2" t="n">
        <v>55</v>
      </c>
      <c r="H358" s="2" t="inlineStr">
        <is>
          <t>LC/PC</t>
        </is>
      </c>
      <c r="I358" s="2" t="inlineStr">
        <is>
          <t>LC/PC</t>
        </is>
      </c>
      <c r="J358" s="2" t="n">
        <v>4</v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>
        <f>SUM(J358:U358)*G358</f>
        <v/>
      </c>
      <c r="W358" s="2">
        <f>MAX(J358:U358)</f>
        <v/>
      </c>
      <c r="X358" s="2">
        <f>W358*G358</f>
        <v/>
      </c>
    </row>
    <row r="359">
      <c r="A359" s="2" t="inlineStr">
        <is>
          <t>14-K-107</t>
        </is>
      </c>
      <c r="B359" s="3" t="inlineStr">
        <is>
          <t>OJC-A1-LC/LC-SM-5-PC/PC-DP</t>
        </is>
      </c>
      <c r="C359" s="2" t="inlineStr">
        <is>
          <t>K9089175</t>
        </is>
      </c>
      <c r="D359" s="2" t="inlineStr">
        <is>
          <t>a1</t>
        </is>
      </c>
      <c r="E359" s="2" t="inlineStr">
        <is>
          <t>2.0mm</t>
        </is>
      </c>
      <c r="F359" s="2" t="n">
        <v>2</v>
      </c>
      <c r="G359" s="2" t="n">
        <v>5</v>
      </c>
      <c r="H359" s="2" t="inlineStr">
        <is>
          <t>LC/PC</t>
        </is>
      </c>
      <c r="I359" s="2" t="inlineStr">
        <is>
          <t>LC/PC</t>
        </is>
      </c>
      <c r="J359" s="2" t="n">
        <v>300</v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>
        <f>SUM(J359:U359)*G359</f>
        <v/>
      </c>
      <c r="W359" s="2">
        <f>MAX(J359:U359)</f>
        <v/>
      </c>
      <c r="X359" s="2">
        <f>W359*G359</f>
        <v/>
      </c>
    </row>
    <row r="360">
      <c r="A360" s="2" t="inlineStr">
        <is>
          <t>14-K-108</t>
        </is>
      </c>
      <c r="B360" s="3" t="inlineStr">
        <is>
          <t>OJC-A1-LC/LC-SM-5-PC/PC-SP</t>
        </is>
      </c>
      <c r="C360" s="2" t="inlineStr">
        <is>
          <t>K9089046</t>
        </is>
      </c>
      <c r="D360" s="2" t="inlineStr">
        <is>
          <t>a1</t>
        </is>
      </c>
      <c r="E360" s="2" t="inlineStr">
        <is>
          <t>2.0mm</t>
        </is>
      </c>
      <c r="F360" s="2" t="n">
        <v>1</v>
      </c>
      <c r="G360" s="2" t="n">
        <v>5</v>
      </c>
      <c r="H360" s="2" t="inlineStr">
        <is>
          <t>LC/PC</t>
        </is>
      </c>
      <c r="I360" s="2" t="inlineStr">
        <is>
          <t>LC/PC</t>
        </is>
      </c>
      <c r="J360" s="2" t="n"/>
      <c r="K360" s="2" t="n">
        <v>50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>
        <f>SUM(J360:U360)*G360</f>
        <v/>
      </c>
      <c r="W360" s="2">
        <f>MAX(J360:U360)</f>
        <v/>
      </c>
      <c r="X360" s="2">
        <f>W360*G360</f>
        <v/>
      </c>
    </row>
    <row r="361">
      <c r="A361" s="2" t="inlineStr">
        <is>
          <t>14-K-110</t>
        </is>
      </c>
      <c r="B361" s="3" t="inlineStr">
        <is>
          <t>OJC-A1-LC/LC-SM-7-PC/PC-DP</t>
        </is>
      </c>
      <c r="C361" s="2" t="inlineStr"/>
      <c r="D361" s="2" t="inlineStr">
        <is>
          <t>a1</t>
        </is>
      </c>
      <c r="E361" s="2" t="inlineStr">
        <is>
          <t>2.0mm</t>
        </is>
      </c>
      <c r="F361" s="2" t="n">
        <v>2</v>
      </c>
      <c r="G361" s="2" t="n">
        <v>7</v>
      </c>
      <c r="H361" s="2" t="inlineStr">
        <is>
          <t>LC/PC</t>
        </is>
      </c>
      <c r="I361" s="2" t="inlineStr">
        <is>
          <t>LC/PC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>
        <v>7</v>
      </c>
      <c r="R361" s="2" t="n"/>
      <c r="S361" s="2" t="n">
        <v>112</v>
      </c>
      <c r="T361" s="2" t="n">
        <v>24</v>
      </c>
      <c r="U361" s="2" t="n"/>
      <c r="V361" s="2">
        <f>SUM(J361:U361)*G361</f>
        <v/>
      </c>
      <c r="W361" s="2">
        <f>MAX(J361:U361)</f>
        <v/>
      </c>
      <c r="X361" s="2">
        <f>W361*G361</f>
        <v/>
      </c>
    </row>
    <row r="362">
      <c r="A362" s="2" t="inlineStr">
        <is>
          <t>14-K-111</t>
        </is>
      </c>
      <c r="B362" s="3" t="inlineStr">
        <is>
          <t>OJC-A1-LC/LC-SM-8-PC/PC-DP</t>
        </is>
      </c>
      <c r="C362" s="2" t="inlineStr"/>
      <c r="D362" s="2" t="inlineStr">
        <is>
          <t>a1</t>
        </is>
      </c>
      <c r="E362" s="2" t="inlineStr">
        <is>
          <t>2.0mm</t>
        </is>
      </c>
      <c r="F362" s="2" t="n">
        <v>2</v>
      </c>
      <c r="G362" s="2" t="n">
        <v>8</v>
      </c>
      <c r="H362" s="2" t="inlineStr">
        <is>
          <t>LC/PC</t>
        </is>
      </c>
      <c r="I362" s="2" t="inlineStr">
        <is>
          <t>LC/PC</t>
        </is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>
        <v>20</v>
      </c>
      <c r="U362" s="2" t="n"/>
      <c r="V362" s="2">
        <f>SUM(J362:U362)*G362</f>
        <v/>
      </c>
      <c r="W362" s="2">
        <f>MAX(J362:U362)</f>
        <v/>
      </c>
      <c r="X362" s="2">
        <f>W362*G362</f>
        <v/>
      </c>
    </row>
    <row r="363">
      <c r="A363" s="2" t="inlineStr">
        <is>
          <t>14-K-144</t>
        </is>
      </c>
      <c r="B363" s="3" t="inlineStr">
        <is>
          <t>OJC-A1-SC/LC-MM(OM3)-15-PC/PC-DP</t>
        </is>
      </c>
      <c r="C363" s="2" t="inlineStr"/>
      <c r="D363" s="2" t="inlineStr">
        <is>
          <t>om3</t>
        </is>
      </c>
      <c r="E363" s="2" t="inlineStr">
        <is>
          <t>2.0mm</t>
        </is>
      </c>
      <c r="F363" s="2" t="n">
        <v>2</v>
      </c>
      <c r="G363" s="2" t="n">
        <v>15</v>
      </c>
      <c r="H363" s="2" t="inlineStr">
        <is>
          <t>SC/PC</t>
        </is>
      </c>
      <c r="I363" s="2" t="inlineStr">
        <is>
          <t>LC/PC</t>
        </is>
      </c>
      <c r="J363" s="2" t="n"/>
      <c r="K363" s="2" t="n"/>
      <c r="L363" s="2" t="n"/>
      <c r="M363" s="2" t="n"/>
      <c r="N363" s="2" t="n">
        <v>10</v>
      </c>
      <c r="O363" s="2" t="n"/>
      <c r="P363" s="2" t="n">
        <v>2</v>
      </c>
      <c r="Q363" s="2" t="n"/>
      <c r="R363" s="2" t="n"/>
      <c r="S363" s="2" t="n"/>
      <c r="T363" s="2" t="n"/>
      <c r="U363" s="2" t="n"/>
      <c r="V363" s="2">
        <f>SUM(J363:U363)*G363</f>
        <v/>
      </c>
      <c r="W363" s="2">
        <f>MAX(J363:U363)</f>
        <v/>
      </c>
      <c r="X363" s="2">
        <f>W363*G363</f>
        <v/>
      </c>
    </row>
    <row r="364">
      <c r="A364" s="2" t="inlineStr">
        <is>
          <t>14-K-148</t>
        </is>
      </c>
      <c r="B364" s="3" t="inlineStr">
        <is>
          <t>OJC-A1-SC/LC-MM-10-PC/PC-DP</t>
        </is>
      </c>
      <c r="C364" s="2" t="inlineStr">
        <is>
          <t>K9089322</t>
        </is>
      </c>
      <c r="D364" s="2" t="inlineStr">
        <is>
          <t>om1</t>
        </is>
      </c>
      <c r="E364" s="2" t="inlineStr">
        <is>
          <t>2.0mm</t>
        </is>
      </c>
      <c r="F364" s="2" t="n">
        <v>2</v>
      </c>
      <c r="G364" s="2" t="n">
        <v>10</v>
      </c>
      <c r="H364" s="2" t="inlineStr">
        <is>
          <t>SC/PC</t>
        </is>
      </c>
      <c r="I364" s="2" t="inlineStr">
        <is>
          <t>LC/PC</t>
        </is>
      </c>
      <c r="J364" s="2" t="n"/>
      <c r="K364" s="2" t="n"/>
      <c r="L364" s="2" t="n"/>
      <c r="M364" s="2" t="n"/>
      <c r="N364" s="2" t="n"/>
      <c r="O364" s="2" t="n"/>
      <c r="P364" s="2" t="n"/>
      <c r="Q364" s="2" t="n">
        <v>8</v>
      </c>
      <c r="R364" s="2" t="n"/>
      <c r="S364" s="2" t="n">
        <v>10</v>
      </c>
      <c r="T364" s="2" t="n">
        <v>10</v>
      </c>
      <c r="U364" s="2" t="n"/>
      <c r="V364" s="2">
        <f>SUM(J364:U364)*G364</f>
        <v/>
      </c>
      <c r="W364" s="2">
        <f>MAX(J364:U364)</f>
        <v/>
      </c>
      <c r="X364" s="2">
        <f>W364*G364</f>
        <v/>
      </c>
    </row>
    <row r="365">
      <c r="A365" s="2" t="inlineStr">
        <is>
          <t>14-K-150</t>
        </is>
      </c>
      <c r="B365" s="3" t="inlineStr">
        <is>
          <t>OJC-A1-SC/LC-MM-15-PC/PC-DP</t>
        </is>
      </c>
      <c r="C365" s="2" t="inlineStr">
        <is>
          <t>K9089323</t>
        </is>
      </c>
      <c r="D365" s="2" t="inlineStr">
        <is>
          <t>om1</t>
        </is>
      </c>
      <c r="E365" s="2" t="inlineStr">
        <is>
          <t>2.0mm</t>
        </is>
      </c>
      <c r="F365" s="2" t="n">
        <v>2</v>
      </c>
      <c r="G365" s="2" t="n">
        <v>15</v>
      </c>
      <c r="H365" s="2" t="inlineStr">
        <is>
          <t>SC/PC</t>
        </is>
      </c>
      <c r="I365" s="2" t="inlineStr">
        <is>
          <t>LC/PC</t>
        </is>
      </c>
      <c r="J365" s="2" t="n">
        <v>32</v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>
        <v>10</v>
      </c>
      <c r="U365" s="2" t="n"/>
      <c r="V365" s="2">
        <f>SUM(J365:U365)*G365</f>
        <v/>
      </c>
      <c r="W365" s="2">
        <f>MAX(J365:U365)</f>
        <v/>
      </c>
      <c r="X365" s="2">
        <f>W365*G365</f>
        <v/>
      </c>
    </row>
    <row r="366">
      <c r="A366" s="2" t="inlineStr">
        <is>
          <t>14-K-154</t>
        </is>
      </c>
      <c r="B366" s="3" t="inlineStr">
        <is>
          <t>OJC-A1-SC/LC-MM-20-PC/PC-DP</t>
        </is>
      </c>
      <c r="C366" s="2" t="inlineStr">
        <is>
          <t>K9089324</t>
        </is>
      </c>
      <c r="D366" s="2" t="inlineStr">
        <is>
          <t>om1</t>
        </is>
      </c>
      <c r="E366" s="2" t="inlineStr">
        <is>
          <t>2.0mm</t>
        </is>
      </c>
      <c r="F366" s="2" t="n">
        <v>2</v>
      </c>
      <c r="G366" s="2" t="n">
        <v>20</v>
      </c>
      <c r="H366" s="2" t="inlineStr">
        <is>
          <t>SC/PC</t>
        </is>
      </c>
      <c r="I366" s="2" t="inlineStr">
        <is>
          <t>LC/PC</t>
        </is>
      </c>
      <c r="J366" s="2" t="n"/>
      <c r="K366" s="2" t="n"/>
      <c r="L366" s="2" t="n">
        <v>2</v>
      </c>
      <c r="M366" s="2" t="n"/>
      <c r="N366" s="2" t="n"/>
      <c r="O366" s="2" t="n"/>
      <c r="P366" s="2" t="n">
        <v>10</v>
      </c>
      <c r="Q366" s="2" t="n"/>
      <c r="R366" s="2" t="n"/>
      <c r="S366" s="2" t="n"/>
      <c r="T366" s="2" t="n">
        <v>10</v>
      </c>
      <c r="U366" s="2" t="n"/>
      <c r="V366" s="2">
        <f>SUM(J366:U366)*G366</f>
        <v/>
      </c>
      <c r="W366" s="2">
        <f>MAX(J366:U366)</f>
        <v/>
      </c>
      <c r="X366" s="2">
        <f>W366*G366</f>
        <v/>
      </c>
    </row>
    <row r="367">
      <c r="A367" s="2" t="inlineStr">
        <is>
          <t>14-K-157</t>
        </is>
      </c>
      <c r="B367" s="3" t="inlineStr">
        <is>
          <t>OJC-A1-SC/LC-MM-2-PC/PC-DP</t>
        </is>
      </c>
      <c r="C367" s="2" t="inlineStr">
        <is>
          <t>K9089318</t>
        </is>
      </c>
      <c r="D367" s="2" t="inlineStr">
        <is>
          <t>om1</t>
        </is>
      </c>
      <c r="E367" s="2" t="inlineStr">
        <is>
          <t>2.0mm</t>
        </is>
      </c>
      <c r="F367" s="2" t="n">
        <v>2</v>
      </c>
      <c r="G367" s="2" t="n">
        <v>2</v>
      </c>
      <c r="H367" s="2" t="inlineStr">
        <is>
          <t>SC/PC</t>
        </is>
      </c>
      <c r="I367" s="2" t="inlineStr">
        <is>
          <t>LC/PC</t>
        </is>
      </c>
      <c r="J367" s="2" t="n"/>
      <c r="K367" s="2" t="n"/>
      <c r="L367" s="2" t="n">
        <v>4</v>
      </c>
      <c r="M367" s="2" t="n"/>
      <c r="N367" s="2" t="n"/>
      <c r="O367" s="2" t="n">
        <v>6</v>
      </c>
      <c r="P367" s="2" t="n"/>
      <c r="Q367" s="2" t="n">
        <v>2</v>
      </c>
      <c r="R367" s="2" t="n"/>
      <c r="S367" s="2" t="n"/>
      <c r="T367" s="2" t="n"/>
      <c r="U367" s="2" t="n"/>
      <c r="V367" s="2">
        <f>SUM(J367:U367)*G367</f>
        <v/>
      </c>
      <c r="W367" s="2">
        <f>MAX(J367:U367)</f>
        <v/>
      </c>
      <c r="X367" s="2">
        <f>W367*G367</f>
        <v/>
      </c>
    </row>
    <row r="368">
      <c r="A368" s="2" t="inlineStr">
        <is>
          <t>14-K-160</t>
        </is>
      </c>
      <c r="B368" s="3" t="inlineStr">
        <is>
          <t>OJC-A1-SC/LC-MM-35-PC/PC-DP</t>
        </is>
      </c>
      <c r="C368" s="2" t="inlineStr">
        <is>
          <t>K9089327</t>
        </is>
      </c>
      <c r="D368" s="2" t="inlineStr">
        <is>
          <t>om1</t>
        </is>
      </c>
      <c r="E368" s="2" t="inlineStr">
        <is>
          <t>2.0mm</t>
        </is>
      </c>
      <c r="F368" s="2" t="n">
        <v>2</v>
      </c>
      <c r="G368" s="2" t="n">
        <v>35</v>
      </c>
      <c r="H368" s="2" t="inlineStr">
        <is>
          <t>SC/PC</t>
        </is>
      </c>
      <c r="I368" s="2" t="inlineStr">
        <is>
          <t>LC/PC</t>
        </is>
      </c>
      <c r="J368" s="2" t="n"/>
      <c r="K368" s="2" t="n"/>
      <c r="L368" s="2" t="n">
        <v>20</v>
      </c>
      <c r="M368" s="2" t="n"/>
      <c r="N368" s="2" t="n"/>
      <c r="O368" s="2" t="n"/>
      <c r="P368" s="2" t="n"/>
      <c r="Q368" s="2" t="n">
        <v>12</v>
      </c>
      <c r="R368" s="2" t="n"/>
      <c r="S368" s="2" t="n"/>
      <c r="T368" s="2" t="n"/>
      <c r="U368" s="2" t="n"/>
      <c r="V368" s="2">
        <f>SUM(J368:U368)*G368</f>
        <v/>
      </c>
      <c r="W368" s="2">
        <f>MAX(J368:U368)</f>
        <v/>
      </c>
      <c r="X368" s="2">
        <f>W368*G368</f>
        <v/>
      </c>
    </row>
    <row r="369">
      <c r="A369" s="2" t="inlineStr">
        <is>
          <t>14-K-161</t>
        </is>
      </c>
      <c r="B369" s="3" t="inlineStr">
        <is>
          <t>OJC-A1-SC/LC-MM-3-PC/PC-DP</t>
        </is>
      </c>
      <c r="C369" s="2" t="inlineStr">
        <is>
          <t>K9089319</t>
        </is>
      </c>
      <c r="D369" s="2" t="inlineStr">
        <is>
          <t>om1</t>
        </is>
      </c>
      <c r="E369" s="2" t="inlineStr">
        <is>
          <t>2.0mm</t>
        </is>
      </c>
      <c r="F369" s="2" t="n">
        <v>2</v>
      </c>
      <c r="G369" s="2" t="n">
        <v>3</v>
      </c>
      <c r="H369" s="2" t="inlineStr">
        <is>
          <t>SC/PC</t>
        </is>
      </c>
      <c r="I369" s="2" t="inlineStr">
        <is>
          <t>LC/PC</t>
        </is>
      </c>
      <c r="J369" s="2" t="n"/>
      <c r="K369" s="2" t="n"/>
      <c r="L369" s="2" t="n">
        <v>135</v>
      </c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>
        <f>SUM(J369:U369)*G369</f>
        <v/>
      </c>
      <c r="W369" s="2">
        <f>MAX(J369:U369)</f>
        <v/>
      </c>
      <c r="X369" s="2">
        <f>W369*G369</f>
        <v/>
      </c>
    </row>
    <row r="370">
      <c r="A370" s="2" t="inlineStr">
        <is>
          <t>14-K-163</t>
        </is>
      </c>
      <c r="B370" s="3" t="inlineStr">
        <is>
          <t>OJC-A1-SC/LC-MM-40-PC/PC-DP</t>
        </is>
      </c>
      <c r="C370" s="2" t="inlineStr">
        <is>
          <t>K9089328</t>
        </is>
      </c>
      <c r="D370" s="2" t="inlineStr">
        <is>
          <t>om1</t>
        </is>
      </c>
      <c r="E370" s="2" t="inlineStr">
        <is>
          <t>2.0mm</t>
        </is>
      </c>
      <c r="F370" s="2" t="n">
        <v>2</v>
      </c>
      <c r="G370" s="2" t="n">
        <v>40</v>
      </c>
      <c r="H370" s="2" t="inlineStr">
        <is>
          <t>SC/PC</t>
        </is>
      </c>
      <c r="I370" s="2" t="inlineStr">
        <is>
          <t>LC/PC</t>
        </is>
      </c>
      <c r="J370" s="2" t="n"/>
      <c r="K370" s="2" t="n"/>
      <c r="L370" s="2" t="n"/>
      <c r="M370" s="2" t="n"/>
      <c r="N370" s="2" t="n"/>
      <c r="O370" s="2" t="n"/>
      <c r="P370" s="2" t="n"/>
      <c r="Q370" s="2" t="n">
        <v>6</v>
      </c>
      <c r="R370" s="2" t="n"/>
      <c r="S370" s="2" t="n"/>
      <c r="T370" s="2" t="n"/>
      <c r="U370" s="2" t="n"/>
      <c r="V370" s="2">
        <f>SUM(J370:U370)*G370</f>
        <v/>
      </c>
      <c r="W370" s="2">
        <f>MAX(J370:U370)</f>
        <v/>
      </c>
      <c r="X370" s="2">
        <f>W370*G370</f>
        <v/>
      </c>
    </row>
    <row r="371">
      <c r="A371" s="2" t="inlineStr">
        <is>
          <t>14-K-169</t>
        </is>
      </c>
      <c r="B371" s="3" t="inlineStr">
        <is>
          <t>OJC-A1-SC/LC-SM-0.5-PC/PC-DP</t>
        </is>
      </c>
      <c r="C371" s="2" t="inlineStr"/>
      <c r="D371" s="2" t="inlineStr">
        <is>
          <t>a1</t>
        </is>
      </c>
      <c r="E371" s="2" t="inlineStr">
        <is>
          <t>2.0mm</t>
        </is>
      </c>
      <c r="F371" s="2" t="n">
        <v>2</v>
      </c>
      <c r="G371" s="2" t="n">
        <v>0.5</v>
      </c>
      <c r="H371" s="2" t="inlineStr">
        <is>
          <t>SC/PC</t>
        </is>
      </c>
      <c r="I371" s="2" t="inlineStr">
        <is>
          <t>LC/PC</t>
        </is>
      </c>
      <c r="J371" s="2" t="n"/>
      <c r="K371" s="2" t="n"/>
      <c r="L371" s="2" t="n"/>
      <c r="M371" s="2" t="n"/>
      <c r="N371" s="2" t="n"/>
      <c r="O371" s="2" t="n">
        <v>3</v>
      </c>
      <c r="P371" s="2" t="n"/>
      <c r="Q371" s="2" t="n"/>
      <c r="R371" s="2" t="n"/>
      <c r="S371" s="2" t="n"/>
      <c r="T371" s="2" t="n"/>
      <c r="U371" s="2" t="n"/>
      <c r="V371" s="2">
        <f>SUM(J371:U371)*G371</f>
        <v/>
      </c>
      <c r="W371" s="2">
        <f>MAX(J371:U371)</f>
        <v/>
      </c>
      <c r="X371" s="2">
        <f>W371*G371</f>
        <v/>
      </c>
    </row>
    <row r="372">
      <c r="A372" s="2" t="inlineStr">
        <is>
          <t>14-K-176</t>
        </is>
      </c>
      <c r="B372" s="3" t="inlineStr">
        <is>
          <t>OJC-A1-SC/LC-SM-10-PC/PC-DP</t>
        </is>
      </c>
      <c r="C372" s="2" t="inlineStr">
        <is>
          <t>K9089162</t>
        </is>
      </c>
      <c r="D372" s="2" t="inlineStr">
        <is>
          <t>a1</t>
        </is>
      </c>
      <c r="E372" s="2" t="inlineStr">
        <is>
          <t>2.0mm</t>
        </is>
      </c>
      <c r="F372" s="2" t="n">
        <v>2</v>
      </c>
      <c r="G372" s="2" t="n">
        <v>10</v>
      </c>
      <c r="H372" s="2" t="inlineStr">
        <is>
          <t>SC/PC</t>
        </is>
      </c>
      <c r="I372" s="2" t="inlineStr">
        <is>
          <t>LC/PC</t>
        </is>
      </c>
      <c r="J372" s="2" t="n">
        <v>500</v>
      </c>
      <c r="K372" s="2" t="n"/>
      <c r="L372" s="2" t="n">
        <v>77</v>
      </c>
      <c r="M372" s="2" t="n">
        <v>270</v>
      </c>
      <c r="N372" s="2" t="n">
        <v>22</v>
      </c>
      <c r="O372" s="2" t="n"/>
      <c r="P372" s="2" t="n"/>
      <c r="Q372" s="2" t="n"/>
      <c r="R372" s="2" t="n"/>
      <c r="S372" s="2" t="n"/>
      <c r="T372" s="2" t="n"/>
      <c r="U372" s="2" t="n">
        <v>120</v>
      </c>
      <c r="V372" s="2">
        <f>SUM(J372:U372)*G372</f>
        <v/>
      </c>
      <c r="W372" s="2">
        <f>MAX(J372:U372)</f>
        <v/>
      </c>
      <c r="X372" s="2">
        <f>W372*G372</f>
        <v/>
      </c>
    </row>
    <row r="373">
      <c r="A373" s="2" t="inlineStr">
        <is>
          <t>14-K-179</t>
        </is>
      </c>
      <c r="B373" s="3" t="inlineStr">
        <is>
          <t>OJC-A1-SC/LC-SM-12-PC/PC-DP</t>
        </is>
      </c>
      <c r="C373" s="2" t="inlineStr"/>
      <c r="D373" s="2" t="inlineStr">
        <is>
          <t>a1</t>
        </is>
      </c>
      <c r="E373" s="2" t="inlineStr">
        <is>
          <t>2.0mm</t>
        </is>
      </c>
      <c r="F373" s="2" t="n">
        <v>2</v>
      </c>
      <c r="G373" s="2" t="n">
        <v>12</v>
      </c>
      <c r="H373" s="2" t="inlineStr">
        <is>
          <t>SC/PC</t>
        </is>
      </c>
      <c r="I373" s="2" t="inlineStr">
        <is>
          <t>LC/PC</t>
        </is>
      </c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>
        <v>50</v>
      </c>
      <c r="T373" s="2" t="n"/>
      <c r="U373" s="2" t="n"/>
      <c r="V373" s="2">
        <f>SUM(J373:U373)*G373</f>
        <v/>
      </c>
      <c r="W373" s="2">
        <f>MAX(J373:U373)</f>
        <v/>
      </c>
      <c r="X373" s="2">
        <f>W373*G373</f>
        <v/>
      </c>
    </row>
    <row r="374">
      <c r="A374" s="2" t="inlineStr">
        <is>
          <t>14-K-181</t>
        </is>
      </c>
      <c r="B374" s="3" t="inlineStr">
        <is>
          <t>OJC-A1-SC/LC-SM-13-PC/PC-DP</t>
        </is>
      </c>
      <c r="C374" s="2" t="inlineStr"/>
      <c r="D374" s="2" t="inlineStr">
        <is>
          <t>a1</t>
        </is>
      </c>
      <c r="E374" s="2" t="inlineStr">
        <is>
          <t>2.0mm</t>
        </is>
      </c>
      <c r="F374" s="2" t="n">
        <v>2</v>
      </c>
      <c r="G374" s="2" t="n">
        <v>13</v>
      </c>
      <c r="H374" s="2" t="inlineStr">
        <is>
          <t>SC/PC</t>
        </is>
      </c>
      <c r="I374" s="2" t="inlineStr">
        <is>
          <t>LC/PC</t>
        </is>
      </c>
      <c r="J374" s="2" t="n"/>
      <c r="K374" s="2" t="n"/>
      <c r="L374" s="2" t="n"/>
      <c r="M374" s="2" t="n"/>
      <c r="N374" s="2" t="n"/>
      <c r="O374" s="2" t="n">
        <v>50</v>
      </c>
      <c r="P374" s="2" t="n"/>
      <c r="Q374" s="2" t="n"/>
      <c r="R374" s="2" t="n"/>
      <c r="S374" s="2" t="n"/>
      <c r="T374" s="2" t="n"/>
      <c r="U374" s="2" t="n"/>
      <c r="V374" s="2">
        <f>SUM(J374:U374)*G374</f>
        <v/>
      </c>
      <c r="W374" s="2">
        <f>MAX(J374:U374)</f>
        <v/>
      </c>
      <c r="X374" s="2">
        <f>W374*G374</f>
        <v/>
      </c>
    </row>
    <row r="375">
      <c r="A375" s="2" t="inlineStr">
        <is>
          <t>14-K-188</t>
        </is>
      </c>
      <c r="B375" s="3" t="inlineStr">
        <is>
          <t>OJC-A1-SC/LC-SM-15-PC/PC-DP</t>
        </is>
      </c>
      <c r="C375" s="2" t="inlineStr">
        <is>
          <t>K9089163</t>
        </is>
      </c>
      <c r="D375" s="2" t="inlineStr">
        <is>
          <t>a1</t>
        </is>
      </c>
      <c r="E375" s="2" t="inlineStr">
        <is>
          <t>2.0mm</t>
        </is>
      </c>
      <c r="F375" s="2" t="n">
        <v>2</v>
      </c>
      <c r="G375" s="2" t="n">
        <v>15</v>
      </c>
      <c r="H375" s="2" t="inlineStr">
        <is>
          <t>SC/PC</t>
        </is>
      </c>
      <c r="I375" s="2" t="inlineStr">
        <is>
          <t>LC/PC</t>
        </is>
      </c>
      <c r="J375" s="2" t="n"/>
      <c r="K375" s="2" t="n"/>
      <c r="L375" s="2" t="n">
        <v>30</v>
      </c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>
        <f>SUM(J375:U375)*G375</f>
        <v/>
      </c>
      <c r="W375" s="2">
        <f>MAX(J375:U375)</f>
        <v/>
      </c>
      <c r="X375" s="2">
        <f>W375*G375</f>
        <v/>
      </c>
    </row>
    <row r="376">
      <c r="A376" s="2" t="inlineStr">
        <is>
          <t>14-K-189</t>
        </is>
      </c>
      <c r="B376" s="3" t="inlineStr">
        <is>
          <t>OJC-A1-SC/LC-SM-15-PC/PC-SP</t>
        </is>
      </c>
      <c r="C376" s="2" t="inlineStr">
        <is>
          <t>K9089034</t>
        </is>
      </c>
      <c r="D376" s="2" t="inlineStr">
        <is>
          <t>a1</t>
        </is>
      </c>
      <c r="E376" s="2" t="inlineStr">
        <is>
          <t>2.0mm</t>
        </is>
      </c>
      <c r="F376" s="2" t="n">
        <v>1</v>
      </c>
      <c r="G376" s="2" t="n">
        <v>15</v>
      </c>
      <c r="H376" s="2" t="inlineStr">
        <is>
          <t>SC/PC</t>
        </is>
      </c>
      <c r="I376" s="2" t="inlineStr">
        <is>
          <t>LC/PC</t>
        </is>
      </c>
      <c r="J376" s="2" t="n"/>
      <c r="K376" s="2" t="n"/>
      <c r="L376" s="2" t="n"/>
      <c r="M376" s="2" t="n"/>
      <c r="N376" s="2" t="n"/>
      <c r="O376" s="2" t="n">
        <v>14</v>
      </c>
      <c r="P376" s="2" t="n"/>
      <c r="Q376" s="2" t="n"/>
      <c r="R376" s="2" t="n"/>
      <c r="S376" s="2" t="n"/>
      <c r="T376" s="2" t="n"/>
      <c r="U376" s="2" t="n"/>
      <c r="V376" s="2">
        <f>SUM(J376:U376)*G376</f>
        <v/>
      </c>
      <c r="W376" s="2">
        <f>MAX(J376:U376)</f>
        <v/>
      </c>
      <c r="X376" s="2">
        <f>W376*G376</f>
        <v/>
      </c>
    </row>
    <row r="377">
      <c r="A377" s="2" t="inlineStr">
        <is>
          <t>14-K-198</t>
        </is>
      </c>
      <c r="B377" s="3" t="inlineStr">
        <is>
          <t>OJC-A1-SC/LC-SM-1-PC/PC-DP</t>
        </is>
      </c>
      <c r="C377" s="2" t="inlineStr">
        <is>
          <t>K9089157</t>
        </is>
      </c>
      <c r="D377" s="2" t="inlineStr">
        <is>
          <t>a1</t>
        </is>
      </c>
      <c r="E377" s="2" t="inlineStr">
        <is>
          <t>2.0mm</t>
        </is>
      </c>
      <c r="F377" s="2" t="n">
        <v>2</v>
      </c>
      <c r="G377" s="2" t="n">
        <v>1</v>
      </c>
      <c r="H377" s="2" t="inlineStr">
        <is>
          <t>SC/PC</t>
        </is>
      </c>
      <c r="I377" s="2" t="inlineStr">
        <is>
          <t>LC/PC</t>
        </is>
      </c>
      <c r="J377" s="2" t="n"/>
      <c r="K377" s="2" t="n"/>
      <c r="L377" s="2" t="n"/>
      <c r="M377" s="2" t="n"/>
      <c r="N377" s="2" t="n"/>
      <c r="O377" s="2" t="n">
        <v>354</v>
      </c>
      <c r="P377" s="2" t="n">
        <v>184</v>
      </c>
      <c r="Q377" s="2" t="n">
        <v>300</v>
      </c>
      <c r="R377" s="2" t="n"/>
      <c r="S377" s="2" t="n"/>
      <c r="T377" s="2" t="n"/>
      <c r="U377" s="2" t="n">
        <v>200</v>
      </c>
      <c r="V377" s="2">
        <f>SUM(J377:U377)*G377</f>
        <v/>
      </c>
      <c r="W377" s="2">
        <f>MAX(J377:U377)</f>
        <v/>
      </c>
      <c r="X377" s="2">
        <f>W377*G377</f>
        <v/>
      </c>
    </row>
    <row r="378">
      <c r="A378" s="2" t="inlineStr">
        <is>
          <t>14-K-199</t>
        </is>
      </c>
      <c r="B378" s="3" t="inlineStr">
        <is>
          <t>OJC-A1-SC/LC-SM-1-PC/PC-SP</t>
        </is>
      </c>
      <c r="C378" s="2" t="inlineStr">
        <is>
          <t>K9089028</t>
        </is>
      </c>
      <c r="D378" s="2" t="inlineStr">
        <is>
          <t>a1</t>
        </is>
      </c>
      <c r="E378" s="2" t="inlineStr">
        <is>
          <t>2.0mm</t>
        </is>
      </c>
      <c r="F378" s="2" t="n">
        <v>1</v>
      </c>
      <c r="G378" s="2" t="n">
        <v>1</v>
      </c>
      <c r="H378" s="2" t="inlineStr">
        <is>
          <t>SC/PC</t>
        </is>
      </c>
      <c r="I378" s="2" t="inlineStr">
        <is>
          <t>LC/PC</t>
        </is>
      </c>
      <c r="J378" s="2" t="n"/>
      <c r="K378" s="2" t="n"/>
      <c r="L378" s="2" t="n">
        <v>25</v>
      </c>
      <c r="M378" s="2" t="n">
        <v>31</v>
      </c>
      <c r="N378" s="2" t="n">
        <v>109</v>
      </c>
      <c r="O378" s="2" t="n">
        <v>105</v>
      </c>
      <c r="P378" s="2" t="n"/>
      <c r="Q378" s="2" t="n">
        <v>89</v>
      </c>
      <c r="R378" s="2" t="n">
        <v>263</v>
      </c>
      <c r="S378" s="2" t="n">
        <v>294</v>
      </c>
      <c r="T378" s="2" t="n">
        <v>181</v>
      </c>
      <c r="U378" s="2" t="n"/>
      <c r="V378" s="2">
        <f>SUM(J378:U378)*G378</f>
        <v/>
      </c>
      <c r="W378" s="2">
        <f>MAX(J378:U378)</f>
        <v/>
      </c>
      <c r="X378" s="2">
        <f>W378*G378</f>
        <v/>
      </c>
    </row>
    <row r="379">
      <c r="A379" s="2" t="inlineStr">
        <is>
          <t>14-K-203</t>
        </is>
      </c>
      <c r="B379" s="3" t="inlineStr">
        <is>
          <t>OJC-A1-SC/LC-SM-20-PC/APC-SP</t>
        </is>
      </c>
      <c r="C379" s="2" t="inlineStr">
        <is>
          <t>K9089069</t>
        </is>
      </c>
      <c r="D379" s="2" t="inlineStr">
        <is>
          <t>a1</t>
        </is>
      </c>
      <c r="E379" s="2" t="inlineStr">
        <is>
          <t>2.0mm</t>
        </is>
      </c>
      <c r="F379" s="2" t="n">
        <v>1</v>
      </c>
      <c r="G379" s="2" t="n">
        <v>20</v>
      </c>
      <c r="H379" s="2" t="inlineStr">
        <is>
          <t>SC/PC</t>
        </is>
      </c>
      <c r="I379" s="2" t="inlineStr">
        <is>
          <t>LC/APC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>
        <v>50</v>
      </c>
      <c r="V379" s="2">
        <f>SUM(J379:U379)*G379</f>
        <v/>
      </c>
      <c r="W379" s="2">
        <f>MAX(J379:U379)</f>
        <v/>
      </c>
      <c r="X379" s="2">
        <f>W379*G379</f>
        <v/>
      </c>
    </row>
    <row r="380">
      <c r="A380" s="2" t="inlineStr">
        <is>
          <t>14-K-204</t>
        </is>
      </c>
      <c r="B380" s="3" t="inlineStr">
        <is>
          <t>OJC-A1-SC/LC-SM-20-PC/PC-DP</t>
        </is>
      </c>
      <c r="C380" s="2" t="inlineStr">
        <is>
          <t>K9089164</t>
        </is>
      </c>
      <c r="D380" s="2" t="inlineStr">
        <is>
          <t>a1</t>
        </is>
      </c>
      <c r="E380" s="2" t="inlineStr">
        <is>
          <t>2.0mm</t>
        </is>
      </c>
      <c r="F380" s="2" t="n">
        <v>2</v>
      </c>
      <c r="G380" s="2" t="n">
        <v>20</v>
      </c>
      <c r="H380" s="2" t="inlineStr">
        <is>
          <t>SC/PC</t>
        </is>
      </c>
      <c r="I380" s="2" t="inlineStr">
        <is>
          <t>LC/PC</t>
        </is>
      </c>
      <c r="J380" s="2" t="n"/>
      <c r="K380" s="2" t="n"/>
      <c r="L380" s="2" t="n">
        <v>50</v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>
        <f>SUM(J380:U380)*G380</f>
        <v/>
      </c>
      <c r="W380" s="2">
        <f>MAX(J380:U380)</f>
        <v/>
      </c>
      <c r="X380" s="2">
        <f>W380*G380</f>
        <v/>
      </c>
    </row>
    <row r="381">
      <c r="A381" s="2" t="inlineStr">
        <is>
          <t>14-K-210</t>
        </is>
      </c>
      <c r="B381" s="3" t="inlineStr">
        <is>
          <t>OJC-A1-SC/LC-SM-25-PC/PC-SP</t>
        </is>
      </c>
      <c r="C381" s="2" t="inlineStr">
        <is>
          <t>K9089036</t>
        </is>
      </c>
      <c r="D381" s="2" t="inlineStr">
        <is>
          <t>a1</t>
        </is>
      </c>
      <c r="E381" s="2" t="inlineStr">
        <is>
          <t>2.0mm</t>
        </is>
      </c>
      <c r="F381" s="2" t="n">
        <v>1</v>
      </c>
      <c r="G381" s="2" t="n">
        <v>25</v>
      </c>
      <c r="H381" s="2" t="inlineStr">
        <is>
          <t>SC/PC</t>
        </is>
      </c>
      <c r="I381" s="2" t="inlineStr">
        <is>
          <t>LC/PC</t>
        </is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>
        <v>984</v>
      </c>
      <c r="S381" s="2" t="n"/>
      <c r="T381" s="2" t="n"/>
      <c r="U381" s="2" t="n"/>
      <c r="V381" s="2">
        <f>SUM(J381:U381)*G381</f>
        <v/>
      </c>
      <c r="W381" s="2">
        <f>MAX(J381:U381)</f>
        <v/>
      </c>
      <c r="X381" s="2">
        <f>W381*G381</f>
        <v/>
      </c>
    </row>
    <row r="382">
      <c r="A382" s="2" t="inlineStr">
        <is>
          <t>14-K-214</t>
        </is>
      </c>
      <c r="B382" s="3" t="inlineStr">
        <is>
          <t>OJC-A1-SC/LC-SM-2-PC/PC-DP</t>
        </is>
      </c>
      <c r="C382" s="2" t="inlineStr">
        <is>
          <t>K9089158</t>
        </is>
      </c>
      <c r="D382" s="2" t="inlineStr">
        <is>
          <t>a1</t>
        </is>
      </c>
      <c r="E382" s="2" t="inlineStr">
        <is>
          <t>2.0mm</t>
        </is>
      </c>
      <c r="F382" s="2" t="n">
        <v>2</v>
      </c>
      <c r="G382" s="2" t="n">
        <v>2</v>
      </c>
      <c r="H382" s="2" t="inlineStr">
        <is>
          <t>SC/PC</t>
        </is>
      </c>
      <c r="I382" s="2" t="inlineStr">
        <is>
          <t>LC/PC</t>
        </is>
      </c>
      <c r="J382" s="2" t="n"/>
      <c r="K382" s="2" t="n">
        <v>500</v>
      </c>
      <c r="L382" s="2" t="n"/>
      <c r="M382" s="2" t="n">
        <v>302</v>
      </c>
      <c r="N382" s="2" t="n">
        <v>300</v>
      </c>
      <c r="O382" s="2" t="n"/>
      <c r="P382" s="2" t="n"/>
      <c r="Q382" s="2" t="n"/>
      <c r="R382" s="2" t="n"/>
      <c r="S382" s="2" t="n"/>
      <c r="T382" s="2" t="n">
        <v>95</v>
      </c>
      <c r="U382" s="2" t="n">
        <v>230</v>
      </c>
      <c r="V382" s="2">
        <f>SUM(J382:U382)*G382</f>
        <v/>
      </c>
      <c r="W382" s="2">
        <f>MAX(J382:U382)</f>
        <v/>
      </c>
      <c r="X382" s="2">
        <f>W382*G382</f>
        <v/>
      </c>
    </row>
    <row r="383">
      <c r="A383" s="2" t="inlineStr">
        <is>
          <t>14-K-215</t>
        </is>
      </c>
      <c r="B383" s="3" t="inlineStr">
        <is>
          <t>OJC-A1-SC/LC-SM-2-PC/PC-SP</t>
        </is>
      </c>
      <c r="C383" s="2" t="inlineStr">
        <is>
          <t>K9089029</t>
        </is>
      </c>
      <c r="D383" s="2" t="inlineStr">
        <is>
          <t>a1</t>
        </is>
      </c>
      <c r="E383" s="2" t="inlineStr">
        <is>
          <t>2.0mm</t>
        </is>
      </c>
      <c r="F383" s="2" t="n">
        <v>1</v>
      </c>
      <c r="G383" s="2" t="n">
        <v>2</v>
      </c>
      <c r="H383" s="2" t="inlineStr">
        <is>
          <t>SC/PC</t>
        </is>
      </c>
      <c r="I383" s="2" t="inlineStr">
        <is>
          <t>LC/PC</t>
        </is>
      </c>
      <c r="J383" s="2" t="n"/>
      <c r="K383" s="2" t="n"/>
      <c r="L383" s="2" t="n"/>
      <c r="M383" s="2" t="n"/>
      <c r="N383" s="2" t="n"/>
      <c r="O383" s="2" t="n"/>
      <c r="P383" s="2" t="n"/>
      <c r="Q383" s="2" t="n">
        <v>662</v>
      </c>
      <c r="R383" s="2" t="n"/>
      <c r="S383" s="2" t="n"/>
      <c r="T383" s="2" t="n"/>
      <c r="U383" s="2" t="n"/>
      <c r="V383" s="2">
        <f>SUM(J383:U383)*G383</f>
        <v/>
      </c>
      <c r="W383" s="2">
        <f>MAX(J383:U383)</f>
        <v/>
      </c>
      <c r="X383" s="2">
        <f>W383*G383</f>
        <v/>
      </c>
    </row>
    <row r="384">
      <c r="A384" s="2" t="inlineStr">
        <is>
          <t>14-K-222</t>
        </is>
      </c>
      <c r="B384" s="3" t="inlineStr">
        <is>
          <t>OJC-A1-SC/LC-SM-3-APC/PC-DP</t>
        </is>
      </c>
      <c r="C384" s="2" t="inlineStr"/>
      <c r="D384" s="2" t="inlineStr">
        <is>
          <t>a1</t>
        </is>
      </c>
      <c r="E384" s="2" t="inlineStr">
        <is>
          <t>2.0mm</t>
        </is>
      </c>
      <c r="F384" s="2" t="n">
        <v>2</v>
      </c>
      <c r="G384" s="2" t="n">
        <v>3</v>
      </c>
      <c r="H384" s="2" t="inlineStr">
        <is>
          <t>SC/APC</t>
        </is>
      </c>
      <c r="I384" s="2" t="inlineStr">
        <is>
          <t>LC/PC</t>
        </is>
      </c>
      <c r="J384" s="2" t="n"/>
      <c r="K384" s="2" t="n"/>
      <c r="L384" s="2" t="n">
        <v>100</v>
      </c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>
        <f>SUM(J384:U384)*G384</f>
        <v/>
      </c>
      <c r="W384" s="2">
        <f>MAX(J384:U384)</f>
        <v/>
      </c>
      <c r="X384" s="2">
        <f>W384*G384</f>
        <v/>
      </c>
    </row>
    <row r="385">
      <c r="A385" s="2" t="inlineStr">
        <is>
          <t>14-K-223</t>
        </is>
      </c>
      <c r="B385" s="3" t="inlineStr">
        <is>
          <t>OJC-A1-SC/LC-SM-3-PC/APC-SP</t>
        </is>
      </c>
      <c r="C385" s="2" t="inlineStr">
        <is>
          <t>K9089065</t>
        </is>
      </c>
      <c r="D385" s="2" t="inlineStr">
        <is>
          <t>a1</t>
        </is>
      </c>
      <c r="E385" s="2" t="inlineStr">
        <is>
          <t>2.0mm</t>
        </is>
      </c>
      <c r="F385" s="2" t="n">
        <v>1</v>
      </c>
      <c r="G385" s="2" t="n">
        <v>3</v>
      </c>
      <c r="H385" s="2" t="inlineStr">
        <is>
          <t>SC/PC</t>
        </is>
      </c>
      <c r="I385" s="2" t="inlineStr">
        <is>
          <t>LC/APC</t>
        </is>
      </c>
      <c r="J385" s="2" t="n"/>
      <c r="K385" s="2" t="n">
        <v>20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>
        <f>SUM(J385:U385)*G385</f>
        <v/>
      </c>
      <c r="W385" s="2">
        <f>MAX(J385:U385)</f>
        <v/>
      </c>
      <c r="X385" s="2">
        <f>W385*G385</f>
        <v/>
      </c>
    </row>
    <row r="386">
      <c r="A386" s="2" t="inlineStr">
        <is>
          <t>14-K-225</t>
        </is>
      </c>
      <c r="B386" s="3" t="inlineStr">
        <is>
          <t>OJC-A1-SC/LC-SM-3-PC/PC-DP</t>
        </is>
      </c>
      <c r="C386" s="2" t="inlineStr">
        <is>
          <t>K9089159</t>
        </is>
      </c>
      <c r="D386" s="2" t="inlineStr">
        <is>
          <t>a1</t>
        </is>
      </c>
      <c r="E386" s="2" t="inlineStr">
        <is>
          <t>2.0mm</t>
        </is>
      </c>
      <c r="F386" s="2" t="n">
        <v>2</v>
      </c>
      <c r="G386" s="2" t="n">
        <v>3</v>
      </c>
      <c r="H386" s="2" t="inlineStr">
        <is>
          <t>SC/PC</t>
        </is>
      </c>
      <c r="I386" s="2" t="inlineStr">
        <is>
          <t>LC/PC</t>
        </is>
      </c>
      <c r="J386" s="2" t="n">
        <v>60</v>
      </c>
      <c r="K386" s="2" t="n">
        <v>300</v>
      </c>
      <c r="L386" s="2" t="n">
        <v>10</v>
      </c>
      <c r="M386" s="2" t="n"/>
      <c r="N386" s="2" t="n">
        <v>522</v>
      </c>
      <c r="O386" s="2" t="n"/>
      <c r="P386" s="2" t="n"/>
      <c r="Q386" s="2" t="n"/>
      <c r="R386" s="2" t="n"/>
      <c r="S386" s="2" t="n"/>
      <c r="T386" s="2" t="n"/>
      <c r="U386" s="2" t="n">
        <v>307</v>
      </c>
      <c r="V386" s="2">
        <f>SUM(J386:U386)*G386</f>
        <v/>
      </c>
      <c r="W386" s="2">
        <f>MAX(J386:U386)</f>
        <v/>
      </c>
      <c r="X386" s="2">
        <f>W386*G386</f>
        <v/>
      </c>
    </row>
    <row r="387">
      <c r="A387" s="2" t="inlineStr">
        <is>
          <t>14-K-227</t>
        </is>
      </c>
      <c r="B387" s="3" t="inlineStr">
        <is>
          <t>OJC-A1-SC/LC-SM-40-PC/PC-DP</t>
        </is>
      </c>
      <c r="C387" s="2" t="inlineStr">
        <is>
          <t>K9089168</t>
        </is>
      </c>
      <c r="D387" s="2" t="inlineStr">
        <is>
          <t>a1</t>
        </is>
      </c>
      <c r="E387" s="2" t="inlineStr">
        <is>
          <t>2.0mm</t>
        </is>
      </c>
      <c r="F387" s="2" t="n">
        <v>2</v>
      </c>
      <c r="G387" s="2" t="n">
        <v>40</v>
      </c>
      <c r="H387" s="2" t="inlineStr">
        <is>
          <t>SC/PC</t>
        </is>
      </c>
      <c r="I387" s="2" t="inlineStr">
        <is>
          <t>LC/PC</t>
        </is>
      </c>
      <c r="J387" s="2" t="n"/>
      <c r="K387" s="2" t="n"/>
      <c r="L387" s="2" t="n"/>
      <c r="M387" s="2" t="n"/>
      <c r="N387" s="2" t="n"/>
      <c r="O387" s="2" t="n">
        <v>13</v>
      </c>
      <c r="P387" s="2" t="n"/>
      <c r="Q387" s="2" t="n"/>
      <c r="R387" s="2" t="n"/>
      <c r="S387" s="2" t="n"/>
      <c r="T387" s="2" t="n"/>
      <c r="U387" s="2" t="n">
        <v>2</v>
      </c>
      <c r="V387" s="2">
        <f>SUM(J387:U387)*G387</f>
        <v/>
      </c>
      <c r="W387" s="2">
        <f>MAX(J387:U387)</f>
        <v/>
      </c>
      <c r="X387" s="2">
        <f>W387*G387</f>
        <v/>
      </c>
    </row>
    <row r="388">
      <c r="A388" s="2" t="inlineStr">
        <is>
          <t>14-K-229</t>
        </is>
      </c>
      <c r="B388" s="3" t="inlineStr">
        <is>
          <t>OJC-A1-SC/LC-SM-45-PC/PC-DP</t>
        </is>
      </c>
      <c r="C388" s="2" t="inlineStr">
        <is>
          <t>K9089169</t>
        </is>
      </c>
      <c r="D388" s="2" t="inlineStr">
        <is>
          <t>a1</t>
        </is>
      </c>
      <c r="E388" s="2" t="inlineStr">
        <is>
          <t>2.0mm</t>
        </is>
      </c>
      <c r="F388" s="2" t="n">
        <v>2</v>
      </c>
      <c r="G388" s="2" t="n">
        <v>45</v>
      </c>
      <c r="H388" s="2" t="inlineStr">
        <is>
          <t>SC/PC</t>
        </is>
      </c>
      <c r="I388" s="2" t="inlineStr">
        <is>
          <t>LC/PC</t>
        </is>
      </c>
      <c r="J388" s="2" t="n"/>
      <c r="K388" s="2" t="n"/>
      <c r="L388" s="2" t="n">
        <v>20</v>
      </c>
      <c r="M388" s="2" t="n">
        <v>101</v>
      </c>
      <c r="N388" s="2" t="n"/>
      <c r="O388" s="2" t="n">
        <v>4</v>
      </c>
      <c r="P388" s="2" t="n"/>
      <c r="Q388" s="2" t="n">
        <v>10</v>
      </c>
      <c r="R388" s="2" t="n"/>
      <c r="S388" s="2" t="n"/>
      <c r="T388" s="2" t="n"/>
      <c r="U388" s="2" t="n">
        <v>30</v>
      </c>
      <c r="V388" s="2">
        <f>SUM(J388:U388)*G388</f>
        <v/>
      </c>
      <c r="W388" s="2">
        <f>MAX(J388:U388)</f>
        <v/>
      </c>
      <c r="X388" s="2">
        <f>W388*G388</f>
        <v/>
      </c>
    </row>
    <row r="389">
      <c r="A389" s="2" t="inlineStr">
        <is>
          <t>14-K-230</t>
        </is>
      </c>
      <c r="B389" s="3" t="inlineStr">
        <is>
          <t>OJC-A1-SC/LC-SM-45-PC/PC-SP</t>
        </is>
      </c>
      <c r="C389" s="2" t="inlineStr">
        <is>
          <t>K9089040</t>
        </is>
      </c>
      <c r="D389" s="2" t="inlineStr">
        <is>
          <t>a1</t>
        </is>
      </c>
      <c r="E389" s="2" t="inlineStr">
        <is>
          <t>2.0mm</t>
        </is>
      </c>
      <c r="F389" s="2" t="n">
        <v>1</v>
      </c>
      <c r="G389" s="2" t="n">
        <v>45</v>
      </c>
      <c r="H389" s="2" t="inlineStr">
        <is>
          <t>SC/PC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/>
      <c r="O389" s="2" t="n"/>
      <c r="P389" s="2" t="n"/>
      <c r="Q389" s="2" t="n">
        <v>15</v>
      </c>
      <c r="R389" s="2" t="n">
        <v>20</v>
      </c>
      <c r="S389" s="2" t="n"/>
      <c r="T389" s="2" t="n"/>
      <c r="U389" s="2" t="n">
        <v>30</v>
      </c>
      <c r="V389" s="2">
        <f>SUM(J389:U389)*G389</f>
        <v/>
      </c>
      <c r="W389" s="2">
        <f>MAX(J389:U389)</f>
        <v/>
      </c>
      <c r="X389" s="2">
        <f>W389*G389</f>
        <v/>
      </c>
    </row>
    <row r="390">
      <c r="A390" s="2" t="inlineStr">
        <is>
          <t>14-K-231</t>
        </is>
      </c>
      <c r="B390" s="3" t="inlineStr">
        <is>
          <t>OJC-A1-SC/LC-SM-4-PC/PC-DP</t>
        </is>
      </c>
      <c r="C390" s="2" t="inlineStr">
        <is>
          <t>K9089160</t>
        </is>
      </c>
      <c r="D390" s="2" t="inlineStr">
        <is>
          <t>a1</t>
        </is>
      </c>
      <c r="E390" s="2" t="inlineStr">
        <is>
          <t>2.0mm</t>
        </is>
      </c>
      <c r="F390" s="2" t="n">
        <v>2</v>
      </c>
      <c r="G390" s="2" t="n">
        <v>4</v>
      </c>
      <c r="H390" s="2" t="inlineStr">
        <is>
          <t>SC/PC</t>
        </is>
      </c>
      <c r="I390" s="2" t="inlineStr">
        <is>
          <t>LC/PC</t>
        </is>
      </c>
      <c r="J390" s="2" t="n">
        <v>500</v>
      </c>
      <c r="K390" s="2" t="n"/>
      <c r="L390" s="2" t="n"/>
      <c r="M390" s="2" t="n">
        <v>230</v>
      </c>
      <c r="N390" s="2" t="n">
        <v>300</v>
      </c>
      <c r="O390" s="2" t="n"/>
      <c r="P390" s="2" t="n"/>
      <c r="Q390" s="2" t="n"/>
      <c r="R390" s="2" t="n"/>
      <c r="S390" s="2" t="n"/>
      <c r="T390" s="2" t="n"/>
      <c r="U390" s="2" t="n"/>
      <c r="V390" s="2">
        <f>SUM(J390:U390)*G390</f>
        <v/>
      </c>
      <c r="W390" s="2">
        <f>MAX(J390:U390)</f>
        <v/>
      </c>
      <c r="X390" s="2">
        <f>W390*G390</f>
        <v/>
      </c>
    </row>
    <row r="391">
      <c r="A391" s="2" t="inlineStr">
        <is>
          <t>14-K-232</t>
        </is>
      </c>
      <c r="B391" s="3" t="inlineStr">
        <is>
          <t>OJC-A1-SC/LC-SM-50-PC/PC-DP</t>
        </is>
      </c>
      <c r="C391" s="2" t="inlineStr">
        <is>
          <t>K9089170</t>
        </is>
      </c>
      <c r="D391" s="2" t="inlineStr">
        <is>
          <t>a1</t>
        </is>
      </c>
      <c r="E391" s="2" t="inlineStr">
        <is>
          <t>2.0mm</t>
        </is>
      </c>
      <c r="F391" s="2" t="n">
        <v>2</v>
      </c>
      <c r="G391" s="2" t="n">
        <v>50</v>
      </c>
      <c r="H391" s="2" t="inlineStr">
        <is>
          <t>SC/PC</t>
        </is>
      </c>
      <c r="I391" s="2" t="inlineStr">
        <is>
          <t>LC/PC</t>
        </is>
      </c>
      <c r="J391" s="2" t="n"/>
      <c r="K391" s="2" t="n">
        <v>10</v>
      </c>
      <c r="L391" s="2" t="n">
        <v>30</v>
      </c>
      <c r="M391" s="2" t="n"/>
      <c r="N391" s="2" t="n">
        <v>42</v>
      </c>
      <c r="O391" s="2" t="n">
        <v>31</v>
      </c>
      <c r="P391" s="2" t="n"/>
      <c r="Q391" s="2" t="n"/>
      <c r="R391" s="2" t="n"/>
      <c r="S391" s="2" t="n"/>
      <c r="T391" s="2" t="n"/>
      <c r="U391" s="2" t="n"/>
      <c r="V391" s="2">
        <f>SUM(J391:U391)*G391</f>
        <v/>
      </c>
      <c r="W391" s="2">
        <f>MAX(J391:U391)</f>
        <v/>
      </c>
      <c r="X391" s="2">
        <f>W391*G391</f>
        <v/>
      </c>
    </row>
    <row r="392">
      <c r="A392" s="2" t="inlineStr">
        <is>
          <t>14-K-236</t>
        </is>
      </c>
      <c r="B392" s="3" t="inlineStr">
        <is>
          <t>OJC-A1-SC/LC-SM-5-PC/PC-DP</t>
        </is>
      </c>
      <c r="C392" s="2" t="inlineStr">
        <is>
          <t>K9089161</t>
        </is>
      </c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5</v>
      </c>
      <c r="H392" s="2" t="inlineStr">
        <is>
          <t>SC/PC</t>
        </is>
      </c>
      <c r="I392" s="2" t="inlineStr">
        <is>
          <t>LC/PC</t>
        </is>
      </c>
      <c r="J392" s="2" t="n"/>
      <c r="K392" s="2" t="n">
        <v>200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>
        <v>175</v>
      </c>
      <c r="U392" s="2" t="n">
        <v>412</v>
      </c>
      <c r="V392" s="2">
        <f>SUM(J392:U392)*G392</f>
        <v/>
      </c>
      <c r="W392" s="2">
        <f>MAX(J392:U392)</f>
        <v/>
      </c>
      <c r="X392" s="2">
        <f>W392*G392</f>
        <v/>
      </c>
    </row>
    <row r="393">
      <c r="A393" s="2" t="inlineStr">
        <is>
          <t>14-K-239</t>
        </is>
      </c>
      <c r="B393" s="3" t="inlineStr">
        <is>
          <t>OJC-A1-SC/LC-SM-60-PC/PC-DP</t>
        </is>
      </c>
      <c r="C393" s="2" t="inlineStr"/>
      <c r="D393" s="2" t="inlineStr">
        <is>
          <t>a1</t>
        </is>
      </c>
      <c r="E393" s="2" t="inlineStr">
        <is>
          <t>2.0mm</t>
        </is>
      </c>
      <c r="F393" s="2" t="n">
        <v>2</v>
      </c>
      <c r="G393" s="2" t="n">
        <v>60</v>
      </c>
      <c r="H393" s="2" t="inlineStr">
        <is>
          <t>SC/PC</t>
        </is>
      </c>
      <c r="I393" s="2" t="inlineStr">
        <is>
          <t>LC/PC</t>
        </is>
      </c>
      <c r="J393" s="2" t="n"/>
      <c r="K393" s="2" t="n"/>
      <c r="L393" s="2" t="n"/>
      <c r="M393" s="2" t="n">
        <v>20</v>
      </c>
      <c r="N393" s="2" t="n"/>
      <c r="O393" s="2" t="n">
        <v>10</v>
      </c>
      <c r="P393" s="2" t="n"/>
      <c r="Q393" s="2" t="n"/>
      <c r="R393" s="2" t="n"/>
      <c r="S393" s="2" t="n"/>
      <c r="T393" s="2" t="n"/>
      <c r="U393" s="2" t="n"/>
      <c r="V393" s="2">
        <f>SUM(J393:U393)*G393</f>
        <v/>
      </c>
      <c r="W393" s="2">
        <f>MAX(J393:U393)</f>
        <v/>
      </c>
      <c r="X393" s="2">
        <f>W393*G393</f>
        <v/>
      </c>
    </row>
    <row r="394">
      <c r="A394" s="2" t="inlineStr">
        <is>
          <t>14-K-243</t>
        </is>
      </c>
      <c r="B394" s="3" t="inlineStr">
        <is>
          <t>OJC-A1-SC/LC-SM-6-PC/PC-DP</t>
        </is>
      </c>
      <c r="C394" s="2" t="inlineStr"/>
      <c r="D394" s="2" t="inlineStr">
        <is>
          <t>a1</t>
        </is>
      </c>
      <c r="E394" s="2" t="inlineStr">
        <is>
          <t>2.0mm</t>
        </is>
      </c>
      <c r="F394" s="2" t="n">
        <v>2</v>
      </c>
      <c r="G394" s="2" t="n">
        <v>6</v>
      </c>
      <c r="H394" s="2" t="inlineStr">
        <is>
          <t>SC/PC</t>
        </is>
      </c>
      <c r="I394" s="2" t="inlineStr">
        <is>
          <t>LC/PC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30</v>
      </c>
      <c r="S394" s="2" t="n"/>
      <c r="T394" s="2" t="n"/>
      <c r="U394" s="2" t="n"/>
      <c r="V394" s="2">
        <f>SUM(J394:U394)*G394</f>
        <v/>
      </c>
      <c r="W394" s="2">
        <f>MAX(J394:U394)</f>
        <v/>
      </c>
      <c r="X394" s="2">
        <f>W394*G394</f>
        <v/>
      </c>
    </row>
    <row r="395">
      <c r="A395" s="2" t="inlineStr">
        <is>
          <t>14-K-245</t>
        </is>
      </c>
      <c r="B395" s="3" t="inlineStr">
        <is>
          <t>OJC-A1-SC/LC-SM-70-PC/PC-DP</t>
        </is>
      </c>
      <c r="C395" s="2" t="inlineStr"/>
      <c r="D395" s="2" t="inlineStr">
        <is>
          <t>a1</t>
        </is>
      </c>
      <c r="E395" s="2" t="inlineStr">
        <is>
          <t>2.0mm</t>
        </is>
      </c>
      <c r="F395" s="2" t="n">
        <v>2</v>
      </c>
      <c r="G395" s="2" t="n">
        <v>70</v>
      </c>
      <c r="H395" s="2" t="inlineStr">
        <is>
          <t>SC/PC</t>
        </is>
      </c>
      <c r="I395" s="2" t="inlineStr">
        <is>
          <t>LC/PC</t>
        </is>
      </c>
      <c r="J395" s="2" t="n"/>
      <c r="K395" s="2" t="n"/>
      <c r="L395" s="2" t="n">
        <v>20</v>
      </c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>
        <f>SUM(J395:U395)*G395</f>
        <v/>
      </c>
      <c r="W395" s="2">
        <f>MAX(J395:U395)</f>
        <v/>
      </c>
      <c r="X395" s="2">
        <f>W395*G395</f>
        <v/>
      </c>
    </row>
    <row r="396">
      <c r="A396" s="2" t="inlineStr">
        <is>
          <t>14-K-247</t>
        </is>
      </c>
      <c r="B396" s="3" t="inlineStr">
        <is>
          <t>OJC-A1-SC/LC-SM-7-PC/PC-DP</t>
        </is>
      </c>
      <c r="C396" s="2" t="inlineStr"/>
      <c r="D396" s="2" t="inlineStr">
        <is>
          <t>a1</t>
        </is>
      </c>
      <c r="E396" s="2" t="inlineStr">
        <is>
          <t>2.0mm</t>
        </is>
      </c>
      <c r="F396" s="2" t="n">
        <v>2</v>
      </c>
      <c r="G396" s="2" t="n">
        <v>7</v>
      </c>
      <c r="H396" s="2" t="inlineStr">
        <is>
          <t>SC/PC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/>
      <c r="P396" s="2" t="n">
        <v>110</v>
      </c>
      <c r="Q396" s="2" t="n"/>
      <c r="R396" s="2" t="n">
        <v>120</v>
      </c>
      <c r="S396" s="2" t="n"/>
      <c r="T396" s="2" t="n"/>
      <c r="U396" s="2" t="n"/>
      <c r="V396" s="2">
        <f>SUM(J396:U396)*G396</f>
        <v/>
      </c>
      <c r="W396" s="2">
        <f>MAX(J396:U396)</f>
        <v/>
      </c>
      <c r="X396" s="2">
        <f>W396*G396</f>
        <v/>
      </c>
    </row>
    <row r="397">
      <c r="A397" s="2" t="inlineStr">
        <is>
          <t>14-K-261</t>
        </is>
      </c>
      <c r="B397" s="3" t="inlineStr">
        <is>
          <t>OJC-A1-SC/SC-MM-10-PC/PC-DP</t>
        </is>
      </c>
      <c r="C397" s="2" t="inlineStr">
        <is>
          <t>K9089310</t>
        </is>
      </c>
      <c r="D397" s="2" t="inlineStr">
        <is>
          <t>om1</t>
        </is>
      </c>
      <c r="E397" s="2" t="inlineStr">
        <is>
          <t>2.0mm</t>
        </is>
      </c>
      <c r="F397" s="2" t="n">
        <v>2</v>
      </c>
      <c r="G397" s="2" t="n">
        <v>10</v>
      </c>
      <c r="H397" s="2" t="inlineStr">
        <is>
          <t>SC/PC</t>
        </is>
      </c>
      <c r="I397" s="2" t="inlineStr">
        <is>
          <t>SC/PC</t>
        </is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>
        <v>26</v>
      </c>
      <c r="V397" s="2">
        <f>SUM(J397:U397)*G397</f>
        <v/>
      </c>
      <c r="W397" s="2">
        <f>MAX(J397:U397)</f>
        <v/>
      </c>
      <c r="X397" s="2">
        <f>W397*G397</f>
        <v/>
      </c>
    </row>
    <row r="398">
      <c r="A398" s="2" t="inlineStr">
        <is>
          <t>14-K-270</t>
        </is>
      </c>
      <c r="B398" s="3" t="inlineStr">
        <is>
          <t>OJC-A1-SC/SC-MM-2-PC/PC-DP</t>
        </is>
      </c>
      <c r="C398" s="2" t="inlineStr">
        <is>
          <t>K9089306</t>
        </is>
      </c>
      <c r="D398" s="2" t="inlineStr">
        <is>
          <t>om1</t>
        </is>
      </c>
      <c r="E398" s="2" t="inlineStr">
        <is>
          <t>2.0mm</t>
        </is>
      </c>
      <c r="F398" s="2" t="n">
        <v>2</v>
      </c>
      <c r="G398" s="2" t="n">
        <v>2</v>
      </c>
      <c r="H398" s="2" t="inlineStr">
        <is>
          <t>SC/PC</t>
        </is>
      </c>
      <c r="I398" s="2" t="inlineStr">
        <is>
          <t>SC/PC</t>
        </is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>
        <v>40</v>
      </c>
      <c r="V398" s="2">
        <f>SUM(J398:U398)*G398</f>
        <v/>
      </c>
      <c r="W398" s="2">
        <f>MAX(J398:U398)</f>
        <v/>
      </c>
      <c r="X398" s="2">
        <f>W398*G398</f>
        <v/>
      </c>
    </row>
    <row r="399">
      <c r="A399" s="2" t="inlineStr">
        <is>
          <t>14-K-274</t>
        </is>
      </c>
      <c r="B399" s="3" t="inlineStr">
        <is>
          <t>OJC-A1-SC/SC-MM-3-PC/PC-DP</t>
        </is>
      </c>
      <c r="C399" s="2" t="inlineStr">
        <is>
          <t>K9089307</t>
        </is>
      </c>
      <c r="D399" s="2" t="inlineStr">
        <is>
          <t>om1</t>
        </is>
      </c>
      <c r="E399" s="2" t="inlineStr">
        <is>
          <t>2.0mm</t>
        </is>
      </c>
      <c r="F399" s="2" t="n">
        <v>2</v>
      </c>
      <c r="G399" s="2" t="n">
        <v>3</v>
      </c>
      <c r="H399" s="2" t="inlineStr">
        <is>
          <t>SC/PC</t>
        </is>
      </c>
      <c r="I399" s="2" t="inlineStr">
        <is>
          <t>SC/PC</t>
        </is>
      </c>
      <c r="J399" s="2" t="n"/>
      <c r="K399" s="2" t="n">
        <v>10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>
        <f>SUM(J399:U399)*G399</f>
        <v/>
      </c>
      <c r="W399" s="2">
        <f>MAX(J399:U399)</f>
        <v/>
      </c>
      <c r="X399" s="2">
        <f>W399*G399</f>
        <v/>
      </c>
    </row>
    <row r="400">
      <c r="A400" s="2" t="inlineStr">
        <is>
          <t>14-K-281</t>
        </is>
      </c>
      <c r="B400" s="3" t="inlineStr">
        <is>
          <t>OJC-A1-SC/SC-SM-0.5-PC/PC-DP</t>
        </is>
      </c>
      <c r="C400" s="2" t="inlineStr"/>
      <c r="D400" s="2" t="inlineStr">
        <is>
          <t>a1</t>
        </is>
      </c>
      <c r="E400" s="2" t="inlineStr">
        <is>
          <t>2.0mm</t>
        </is>
      </c>
      <c r="F400" s="2" t="n">
        <v>2</v>
      </c>
      <c r="G400" s="2" t="n">
        <v>0.5</v>
      </c>
      <c r="H400" s="2" t="inlineStr">
        <is>
          <t>SC/PC</t>
        </is>
      </c>
      <c r="I400" s="2" t="inlineStr">
        <is>
          <t>SC/PC</t>
        </is>
      </c>
      <c r="J400" s="2" t="n"/>
      <c r="K400" s="2" t="n"/>
      <c r="L400" s="2" t="n"/>
      <c r="M400" s="2" t="n"/>
      <c r="N400" s="2" t="n"/>
      <c r="O400" s="2" t="n">
        <v>3</v>
      </c>
      <c r="P400" s="2" t="n"/>
      <c r="Q400" s="2" t="n"/>
      <c r="R400" s="2" t="n"/>
      <c r="S400" s="2" t="n"/>
      <c r="T400" s="2" t="n"/>
      <c r="U400" s="2" t="n"/>
      <c r="V400" s="2">
        <f>SUM(J400:U400)*G400</f>
        <v/>
      </c>
      <c r="W400" s="2">
        <f>MAX(J400:U400)</f>
        <v/>
      </c>
      <c r="X400" s="2">
        <f>W400*G400</f>
        <v/>
      </c>
    </row>
    <row r="401">
      <c r="A401" s="2" t="inlineStr">
        <is>
          <t>14-K-287</t>
        </is>
      </c>
      <c r="B401" s="3" t="inlineStr">
        <is>
          <t>OJC-A1-SC/SC-SM-10-APC/APC-SP</t>
        </is>
      </c>
      <c r="C401" s="2" t="inlineStr"/>
      <c r="D401" s="2" t="inlineStr">
        <is>
          <t>a1</t>
        </is>
      </c>
      <c r="E401" s="2" t="inlineStr">
        <is>
          <t>2.0mm</t>
        </is>
      </c>
      <c r="F401" s="2" t="n">
        <v>1</v>
      </c>
      <c r="G401" s="2" t="n">
        <v>10</v>
      </c>
      <c r="H401" s="2" t="inlineStr">
        <is>
          <t>SC/APC</t>
        </is>
      </c>
      <c r="I401" s="2" t="inlineStr">
        <is>
          <t>SC/APC</t>
        </is>
      </c>
      <c r="J401" s="2" t="n"/>
      <c r="K401" s="2" t="n"/>
      <c r="L401" s="2" t="n">
        <v>10</v>
      </c>
      <c r="M401" s="2" t="n">
        <v>10</v>
      </c>
      <c r="N401" s="2" t="n"/>
      <c r="O401" s="2" t="n"/>
      <c r="P401" s="2" t="n">
        <v>1</v>
      </c>
      <c r="Q401" s="2" t="n"/>
      <c r="R401" s="2" t="n"/>
      <c r="S401" s="2" t="n"/>
      <c r="T401" s="2" t="n">
        <v>19</v>
      </c>
      <c r="U401" s="2" t="n"/>
      <c r="V401" s="2">
        <f>SUM(J401:U401)*G401</f>
        <v/>
      </c>
      <c r="W401" s="2">
        <f>MAX(J401:U401)</f>
        <v/>
      </c>
      <c r="X401" s="2">
        <f>W401*G401</f>
        <v/>
      </c>
    </row>
    <row r="402">
      <c r="A402" s="2" t="inlineStr">
        <is>
          <t>14-K-288</t>
        </is>
      </c>
      <c r="B402" s="3" t="inlineStr">
        <is>
          <t>OJC-A1-SC/SC-SM-10-PC/APC-DP</t>
        </is>
      </c>
      <c r="C402" s="2" t="inlineStr">
        <is>
          <t>K9089188</t>
        </is>
      </c>
      <c r="D402" s="2" t="inlineStr">
        <is>
          <t>a1</t>
        </is>
      </c>
      <c r="E402" s="2" t="inlineStr">
        <is>
          <t>2.0mm</t>
        </is>
      </c>
      <c r="F402" s="2" t="n">
        <v>2</v>
      </c>
      <c r="G402" s="2" t="n">
        <v>10</v>
      </c>
      <c r="H402" s="2" t="inlineStr">
        <is>
          <t>SC/PC</t>
        </is>
      </c>
      <c r="I402" s="2" t="inlineStr">
        <is>
          <t>SC/APC</t>
        </is>
      </c>
      <c r="J402" s="2" t="n"/>
      <c r="K402" s="2" t="n"/>
      <c r="L402" s="2" t="n"/>
      <c r="M402" s="2" t="n"/>
      <c r="N402" s="2" t="n">
        <v>2</v>
      </c>
      <c r="O402" s="2" t="n"/>
      <c r="P402" s="2" t="n"/>
      <c r="Q402" s="2" t="n"/>
      <c r="R402" s="2" t="n"/>
      <c r="S402" s="2" t="n"/>
      <c r="T402" s="2" t="n"/>
      <c r="U402" s="2" t="n"/>
      <c r="V402" s="2">
        <f>SUM(J402:U402)*G402</f>
        <v/>
      </c>
      <c r="W402" s="2">
        <f>MAX(J402:U402)</f>
        <v/>
      </c>
      <c r="X402" s="2">
        <f>W402*G402</f>
        <v/>
      </c>
    </row>
    <row r="403">
      <c r="A403" s="2" t="inlineStr">
        <is>
          <t>14-K-289</t>
        </is>
      </c>
      <c r="B403" s="3" t="inlineStr">
        <is>
          <t>OJC-A1-SC/SC-SM-10-PC/APC-SP</t>
        </is>
      </c>
      <c r="C403" s="2" t="inlineStr">
        <is>
          <t>K9089059</t>
        </is>
      </c>
      <c r="D403" s="2" t="inlineStr">
        <is>
          <t>a1</t>
        </is>
      </c>
      <c r="E403" s="2" t="inlineStr">
        <is>
          <t>2.0mm</t>
        </is>
      </c>
      <c r="F403" s="2" t="n">
        <v>1</v>
      </c>
      <c r="G403" s="2" t="n">
        <v>10</v>
      </c>
      <c r="H403" s="2" t="inlineStr">
        <is>
          <t>SC/PC</t>
        </is>
      </c>
      <c r="I403" s="2" t="inlineStr">
        <is>
          <t>SC/APC</t>
        </is>
      </c>
      <c r="J403" s="2" t="n">
        <v>92</v>
      </c>
      <c r="K403" s="2" t="n"/>
      <c r="L403" s="2" t="n"/>
      <c r="M403" s="2" t="n"/>
      <c r="N403" s="2" t="n">
        <v>100</v>
      </c>
      <c r="O403" s="2" t="n">
        <v>100</v>
      </c>
      <c r="P403" s="2" t="n">
        <v>130</v>
      </c>
      <c r="Q403" s="2" t="n"/>
      <c r="R403" s="2" t="n">
        <v>10</v>
      </c>
      <c r="S403" s="2" t="n"/>
      <c r="T403" s="2" t="n"/>
      <c r="U403" s="2" t="n"/>
      <c r="V403" s="2">
        <f>SUM(J403:U403)*G403</f>
        <v/>
      </c>
      <c r="W403" s="2">
        <f>MAX(J403:U403)</f>
        <v/>
      </c>
      <c r="X403" s="2">
        <f>W403*G403</f>
        <v/>
      </c>
    </row>
    <row r="404">
      <c r="A404" s="2" t="inlineStr">
        <is>
          <t>14-K-290</t>
        </is>
      </c>
      <c r="B404" s="3" t="inlineStr">
        <is>
          <t>OJC-A1-SC/SC-SM-10-PC/PC-DP</t>
        </is>
      </c>
      <c r="C404" s="2" t="inlineStr">
        <is>
          <t>K9089132</t>
        </is>
      </c>
      <c r="D404" s="2" t="inlineStr">
        <is>
          <t>a1</t>
        </is>
      </c>
      <c r="E404" s="2" t="inlineStr">
        <is>
          <t>2.0mm</t>
        </is>
      </c>
      <c r="F404" s="2" t="n">
        <v>2</v>
      </c>
      <c r="G404" s="2" t="n">
        <v>10</v>
      </c>
      <c r="H404" s="2" t="inlineStr">
        <is>
          <t>SC/PC</t>
        </is>
      </c>
      <c r="I404" s="2" t="inlineStr">
        <is>
          <t>SC/PC</t>
        </is>
      </c>
      <c r="J404" s="2" t="n"/>
      <c r="K404" s="2" t="n"/>
      <c r="L404" s="2" t="n"/>
      <c r="M404" s="2" t="n"/>
      <c r="N404" s="2" t="n">
        <v>173</v>
      </c>
      <c r="O404" s="2" t="n">
        <v>465</v>
      </c>
      <c r="P404" s="2" t="n"/>
      <c r="Q404" s="2" t="n"/>
      <c r="R404" s="2" t="n"/>
      <c r="S404" s="2" t="n"/>
      <c r="T404" s="2" t="n"/>
      <c r="U404" s="2" t="n"/>
      <c r="V404" s="2">
        <f>SUM(J404:U404)*G404</f>
        <v/>
      </c>
      <c r="W404" s="2">
        <f>MAX(J404:U404)</f>
        <v/>
      </c>
      <c r="X404" s="2">
        <f>W404*G404</f>
        <v/>
      </c>
    </row>
    <row r="405">
      <c r="A405" s="2" t="inlineStr">
        <is>
          <t>14-K-291</t>
        </is>
      </c>
      <c r="B405" s="3" t="inlineStr">
        <is>
          <t>OJC-A1-SC/SC-SM-10-PC/PC-SP</t>
        </is>
      </c>
      <c r="C405" s="2" t="inlineStr">
        <is>
          <t>K9089003</t>
        </is>
      </c>
      <c r="D405" s="2" t="inlineStr">
        <is>
          <t>a1</t>
        </is>
      </c>
      <c r="E405" s="2" t="inlineStr">
        <is>
          <t>2.0mm</t>
        </is>
      </c>
      <c r="F405" s="2" t="n">
        <v>1</v>
      </c>
      <c r="G405" s="2" t="n">
        <v>10</v>
      </c>
      <c r="H405" s="2" t="inlineStr">
        <is>
          <t>SC/PC</t>
        </is>
      </c>
      <c r="I405" s="2" t="inlineStr">
        <is>
          <t>SC/PC</t>
        </is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>
        <v>1159</v>
      </c>
      <c r="T405" s="2" t="n">
        <v>52</v>
      </c>
      <c r="U405" s="2" t="n"/>
      <c r="V405" s="2">
        <f>SUM(J405:U405)*G405</f>
        <v/>
      </c>
      <c r="W405" s="2">
        <f>MAX(J405:U405)</f>
        <v/>
      </c>
      <c r="X405" s="2">
        <f>W405*G405</f>
        <v/>
      </c>
    </row>
    <row r="406">
      <c r="A406" s="2" t="inlineStr">
        <is>
          <t>14-K-294</t>
        </is>
      </c>
      <c r="B406" s="3" t="inlineStr">
        <is>
          <t>OJC-A1-SC/SC-SM-12-PC/PC-SP</t>
        </is>
      </c>
      <c r="C406" s="2" t="inlineStr">
        <is>
          <t>K9089005</t>
        </is>
      </c>
      <c r="D406" s="2" t="inlineStr">
        <is>
          <t>a1</t>
        </is>
      </c>
      <c r="E406" s="2" t="inlineStr">
        <is>
          <t>2.0mm</t>
        </is>
      </c>
      <c r="F406" s="2" t="n">
        <v>1</v>
      </c>
      <c r="G406" s="2" t="n">
        <v>12</v>
      </c>
      <c r="H406" s="2" t="inlineStr">
        <is>
          <t>SC/PC</t>
        </is>
      </c>
      <c r="I406" s="2" t="inlineStr">
        <is>
          <t>SC/PC</t>
        </is>
      </c>
      <c r="J406" s="2" t="n"/>
      <c r="K406" s="2" t="n">
        <v>9</v>
      </c>
      <c r="L406" s="2" t="n"/>
      <c r="M406" s="2" t="n"/>
      <c r="N406" s="2" t="n">
        <v>15</v>
      </c>
      <c r="O406" s="2" t="n"/>
      <c r="P406" s="2" t="n"/>
      <c r="Q406" s="2" t="n"/>
      <c r="R406" s="2" t="n"/>
      <c r="S406" s="2" t="n"/>
      <c r="T406" s="2" t="n"/>
      <c r="U406" s="2" t="n"/>
      <c r="V406" s="2">
        <f>SUM(J406:U406)*G406</f>
        <v/>
      </c>
      <c r="W406" s="2">
        <f>MAX(J406:U406)</f>
        <v/>
      </c>
      <c r="X406" s="2">
        <f>W406*G406</f>
        <v/>
      </c>
    </row>
    <row r="407">
      <c r="A407" s="2" t="inlineStr">
        <is>
          <t>14-K-295</t>
        </is>
      </c>
      <c r="B407" s="3" t="inlineStr">
        <is>
          <t>OJC-A1-SC/SC-SM-13-PC/PC-DP</t>
        </is>
      </c>
      <c r="C407" s="2" t="inlineStr">
        <is>
          <t>K9089135</t>
        </is>
      </c>
      <c r="D407" s="2" t="inlineStr">
        <is>
          <t>a1</t>
        </is>
      </c>
      <c r="E407" s="2" t="inlineStr">
        <is>
          <t>2.0mm</t>
        </is>
      </c>
      <c r="F407" s="2" t="n">
        <v>2</v>
      </c>
      <c r="G407" s="2" t="n">
        <v>13</v>
      </c>
      <c r="H407" s="2" t="inlineStr">
        <is>
          <t>SC/PC</t>
        </is>
      </c>
      <c r="I407" s="2" t="inlineStr">
        <is>
          <t>SC/PC</t>
        </is>
      </c>
      <c r="J407" s="2" t="n"/>
      <c r="K407" s="2" t="n"/>
      <c r="L407" s="2" t="n">
        <v>40</v>
      </c>
      <c r="M407" s="2" t="n"/>
      <c r="N407" s="2" t="n"/>
      <c r="O407" s="2" t="n"/>
      <c r="P407" s="2" t="n"/>
      <c r="Q407" s="2" t="n"/>
      <c r="R407" s="2" t="n"/>
      <c r="S407" s="2" t="n"/>
      <c r="T407" s="2" t="n">
        <v>100</v>
      </c>
      <c r="U407" s="2" t="n"/>
      <c r="V407" s="2">
        <f>SUM(J407:U407)*G407</f>
        <v/>
      </c>
      <c r="W407" s="2">
        <f>MAX(J407:U407)</f>
        <v/>
      </c>
      <c r="X407" s="2">
        <f>W407*G407</f>
        <v/>
      </c>
    </row>
    <row r="408">
      <c r="A408" s="2" t="inlineStr">
        <is>
          <t>14-K-299</t>
        </is>
      </c>
      <c r="B408" s="3" t="inlineStr">
        <is>
          <t>OJC-A1-SC/SC-SM-15-APC/APC-SP</t>
        </is>
      </c>
      <c r="C408" s="2" t="inlineStr"/>
      <c r="D408" s="2" t="inlineStr">
        <is>
          <t>a1</t>
        </is>
      </c>
      <c r="E408" s="2" t="inlineStr">
        <is>
          <t>2.0mm</t>
        </is>
      </c>
      <c r="F408" s="2" t="n">
        <v>1</v>
      </c>
      <c r="G408" s="2" t="n">
        <v>15</v>
      </c>
      <c r="H408" s="2" t="inlineStr">
        <is>
          <t>SC/APC</t>
        </is>
      </c>
      <c r="I408" s="2" t="inlineStr">
        <is>
          <t>SC/APC</t>
        </is>
      </c>
      <c r="J408" s="2" t="n"/>
      <c r="K408" s="2" t="n"/>
      <c r="L408" s="2" t="n"/>
      <c r="M408" s="2" t="n"/>
      <c r="N408" s="2" t="n">
        <v>18</v>
      </c>
      <c r="O408" s="2" t="n"/>
      <c r="P408" s="2" t="n"/>
      <c r="Q408" s="2" t="n"/>
      <c r="R408" s="2" t="n"/>
      <c r="S408" s="2" t="n"/>
      <c r="T408" s="2" t="n"/>
      <c r="U408" s="2" t="n"/>
      <c r="V408" s="2">
        <f>SUM(J408:U408)*G408</f>
        <v/>
      </c>
      <c r="W408" s="2">
        <f>MAX(J408:U408)</f>
        <v/>
      </c>
      <c r="X408" s="2">
        <f>W408*G408</f>
        <v/>
      </c>
    </row>
    <row r="409">
      <c r="A409" s="2" t="inlineStr">
        <is>
          <t>14-K-301</t>
        </is>
      </c>
      <c r="B409" s="3" t="inlineStr">
        <is>
          <t>OJC-A1-SC/SC-SM-15-PC/APC-SP</t>
        </is>
      </c>
      <c r="C409" s="2" t="inlineStr">
        <is>
          <t>K9089060</t>
        </is>
      </c>
      <c r="D409" s="2" t="inlineStr">
        <is>
          <t>a1</t>
        </is>
      </c>
      <c r="E409" s="2" t="inlineStr">
        <is>
          <t>2.0mm</t>
        </is>
      </c>
      <c r="F409" s="2" t="n">
        <v>1</v>
      </c>
      <c r="G409" s="2" t="n">
        <v>15</v>
      </c>
      <c r="H409" s="2" t="inlineStr">
        <is>
          <t>SC/PC</t>
        </is>
      </c>
      <c r="I409" s="2" t="inlineStr">
        <is>
          <t>SC/APC</t>
        </is>
      </c>
      <c r="J409" s="2" t="n">
        <v>40</v>
      </c>
      <c r="K409" s="2" t="n">
        <v>34</v>
      </c>
      <c r="L409" s="2" t="n"/>
      <c r="M409" s="2" t="n"/>
      <c r="N409" s="2" t="n"/>
      <c r="O409" s="2" t="n"/>
      <c r="P409" s="2" t="n">
        <v>100</v>
      </c>
      <c r="Q409" s="2" t="n"/>
      <c r="R409" s="2" t="n">
        <v>10</v>
      </c>
      <c r="S409" s="2" t="n"/>
      <c r="T409" s="2" t="n"/>
      <c r="U409" s="2" t="n"/>
      <c r="V409" s="2">
        <f>SUM(J409:U409)*G409</f>
        <v/>
      </c>
      <c r="W409" s="2">
        <f>MAX(J409:U409)</f>
        <v/>
      </c>
      <c r="X409" s="2">
        <f>W409*G409</f>
        <v/>
      </c>
    </row>
    <row r="410">
      <c r="A410" s="2" t="inlineStr">
        <is>
          <t>14-K-302</t>
        </is>
      </c>
      <c r="B410" s="3" t="inlineStr">
        <is>
          <t>OJC-A1-SC/SC-SM-15-PC/PC-DP</t>
        </is>
      </c>
      <c r="C410" s="2" t="inlineStr">
        <is>
          <t>K9089137</t>
        </is>
      </c>
      <c r="D410" s="2" t="inlineStr">
        <is>
          <t>a1</t>
        </is>
      </c>
      <c r="E410" s="2" t="inlineStr">
        <is>
          <t>2.0mm</t>
        </is>
      </c>
      <c r="F410" s="2" t="n">
        <v>2</v>
      </c>
      <c r="G410" s="2" t="n">
        <v>15</v>
      </c>
      <c r="H410" s="2" t="inlineStr">
        <is>
          <t>SC/PC</t>
        </is>
      </c>
      <c r="I410" s="2" t="inlineStr">
        <is>
          <t>SC/PC</t>
        </is>
      </c>
      <c r="J410" s="2" t="n"/>
      <c r="K410" s="2" t="n"/>
      <c r="L410" s="2" t="n"/>
      <c r="M410" s="2" t="n"/>
      <c r="N410" s="2" t="n">
        <v>942</v>
      </c>
      <c r="O410" s="2" t="n">
        <v>380</v>
      </c>
      <c r="P410" s="2" t="n"/>
      <c r="Q410" s="2" t="n"/>
      <c r="R410" s="2" t="n"/>
      <c r="S410" s="2" t="n"/>
      <c r="T410" s="2" t="n"/>
      <c r="U410" s="2" t="n"/>
      <c r="V410" s="2">
        <f>SUM(J410:U410)*G410</f>
        <v/>
      </c>
      <c r="W410" s="2">
        <f>MAX(J410:U410)</f>
        <v/>
      </c>
      <c r="X410" s="2">
        <f>W410*G410</f>
        <v/>
      </c>
    </row>
    <row r="411">
      <c r="A411" s="2" t="inlineStr">
        <is>
          <t>14-K-303</t>
        </is>
      </c>
      <c r="B411" s="3" t="inlineStr">
        <is>
          <t>OJC-A1-SC/SC-SM-15-PC/PC-SP</t>
        </is>
      </c>
      <c r="C411" s="2" t="inlineStr">
        <is>
          <t>K9089008</t>
        </is>
      </c>
      <c r="D411" s="2" t="inlineStr">
        <is>
          <t>a1</t>
        </is>
      </c>
      <c r="E411" s="2" t="inlineStr">
        <is>
          <t>2.0mm</t>
        </is>
      </c>
      <c r="F411" s="2" t="n">
        <v>1</v>
      </c>
      <c r="G411" s="2" t="n">
        <v>15</v>
      </c>
      <c r="H411" s="2" t="inlineStr">
        <is>
          <t>SC/PC</t>
        </is>
      </c>
      <c r="I411" s="2" t="inlineStr">
        <is>
          <t>SC/PC</t>
        </is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>
        <v>412</v>
      </c>
      <c r="T411" s="2" t="n">
        <v>500</v>
      </c>
      <c r="U411" s="2" t="n">
        <v>114</v>
      </c>
      <c r="V411" s="2">
        <f>SUM(J411:U411)*G411</f>
        <v/>
      </c>
      <c r="W411" s="2">
        <f>MAX(J411:U411)</f>
        <v/>
      </c>
      <c r="X411" s="2">
        <f>W411*G411</f>
        <v/>
      </c>
    </row>
    <row r="412">
      <c r="A412" s="2" t="inlineStr">
        <is>
          <t>14-K-315</t>
        </is>
      </c>
      <c r="B412" s="3" t="inlineStr">
        <is>
          <t>OJC-A1-SC/SC-SM-1-PC/PC-DP</t>
        </is>
      </c>
      <c r="C412" s="2" t="inlineStr">
        <is>
          <t>K9089123</t>
        </is>
      </c>
      <c r="D412" s="2" t="inlineStr">
        <is>
          <t>a1</t>
        </is>
      </c>
      <c r="E412" s="2" t="inlineStr">
        <is>
          <t>2.0mm</t>
        </is>
      </c>
      <c r="F412" s="2" t="n">
        <v>2</v>
      </c>
      <c r="G412" s="2" t="n">
        <v>1</v>
      </c>
      <c r="H412" s="2" t="inlineStr">
        <is>
          <t>SC/PC</t>
        </is>
      </c>
      <c r="I412" s="2" t="inlineStr">
        <is>
          <t>SC/PC</t>
        </is>
      </c>
      <c r="J412" s="2" t="n">
        <v>500</v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>
        <f>SUM(J412:U412)*G412</f>
        <v/>
      </c>
      <c r="W412" s="2">
        <f>MAX(J412:U412)</f>
        <v/>
      </c>
      <c r="X412" s="2">
        <f>W412*G412</f>
        <v/>
      </c>
    </row>
    <row r="413">
      <c r="A413" s="2" t="inlineStr">
        <is>
          <t>14-K-316</t>
        </is>
      </c>
      <c r="B413" s="3" t="inlineStr">
        <is>
          <t>OJC-A1-SC/SC-SM-1-PC/PC-SP</t>
        </is>
      </c>
      <c r="C413" s="2" t="inlineStr">
        <is>
          <t>K9088994</t>
        </is>
      </c>
      <c r="D413" s="2" t="inlineStr">
        <is>
          <t>a1</t>
        </is>
      </c>
      <c r="E413" s="2" t="inlineStr">
        <is>
          <t>2.0mm</t>
        </is>
      </c>
      <c r="F413" s="2" t="n">
        <v>1</v>
      </c>
      <c r="G413" s="2" t="n">
        <v>1</v>
      </c>
      <c r="H413" s="2" t="inlineStr">
        <is>
          <t>SC/PC</t>
        </is>
      </c>
      <c r="I413" s="2" t="inlineStr">
        <is>
          <t>SC/PC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>
        <v>50</v>
      </c>
      <c r="R413" s="2" t="n"/>
      <c r="S413" s="2" t="n"/>
      <c r="T413" s="2" t="n"/>
      <c r="U413" s="2" t="n"/>
      <c r="V413" s="2">
        <f>SUM(J413:U413)*G413</f>
        <v/>
      </c>
      <c r="W413" s="2">
        <f>MAX(J413:U413)</f>
        <v/>
      </c>
      <c r="X413" s="2">
        <f>W413*G413</f>
        <v/>
      </c>
    </row>
    <row r="414">
      <c r="A414" s="2" t="inlineStr">
        <is>
          <t>14-K-320</t>
        </is>
      </c>
      <c r="B414" s="3" t="inlineStr">
        <is>
          <t>OJC-A1-SC/SC-SM-20-PC/APC-SP</t>
        </is>
      </c>
      <c r="C414" s="2" t="inlineStr">
        <is>
          <t>K9089061</t>
        </is>
      </c>
      <c r="D414" s="2" t="inlineStr">
        <is>
          <t>a1</t>
        </is>
      </c>
      <c r="E414" s="2" t="inlineStr">
        <is>
          <t>2.0mm</t>
        </is>
      </c>
      <c r="F414" s="2" t="n">
        <v>1</v>
      </c>
      <c r="G414" s="2" t="n">
        <v>20</v>
      </c>
      <c r="H414" s="2" t="inlineStr">
        <is>
          <t>SC/PC</t>
        </is>
      </c>
      <c r="I414" s="2" t="inlineStr">
        <is>
          <t>SC/APC</t>
        </is>
      </c>
      <c r="J414" s="2" t="n"/>
      <c r="K414" s="2" t="n"/>
      <c r="L414" s="2" t="n"/>
      <c r="M414" s="2" t="n">
        <v>10</v>
      </c>
      <c r="N414" s="2" t="n"/>
      <c r="O414" s="2" t="n"/>
      <c r="P414" s="2" t="n">
        <v>100</v>
      </c>
      <c r="Q414" s="2" t="n"/>
      <c r="R414" s="2" t="n">
        <v>5</v>
      </c>
      <c r="S414" s="2" t="n"/>
      <c r="T414" s="2" t="n"/>
      <c r="U414" s="2" t="n"/>
      <c r="V414" s="2">
        <f>SUM(J414:U414)*G414</f>
        <v/>
      </c>
      <c r="W414" s="2">
        <f>MAX(J414:U414)</f>
        <v/>
      </c>
      <c r="X414" s="2">
        <f>W414*G414</f>
        <v/>
      </c>
    </row>
    <row r="415">
      <c r="A415" s="2" t="inlineStr">
        <is>
          <t>14-K-322</t>
        </is>
      </c>
      <c r="B415" s="3" t="inlineStr">
        <is>
          <t>OJC-A1-SC/SC-SM-20-PC/PC-SP</t>
        </is>
      </c>
      <c r="C415" s="2" t="inlineStr">
        <is>
          <t>K9089013</t>
        </is>
      </c>
      <c r="D415" s="2" t="inlineStr">
        <is>
          <t>a1</t>
        </is>
      </c>
      <c r="E415" s="2" t="inlineStr">
        <is>
          <t>2.0mm</t>
        </is>
      </c>
      <c r="F415" s="2" t="n">
        <v>1</v>
      </c>
      <c r="G415" s="2" t="n">
        <v>20</v>
      </c>
      <c r="H415" s="2" t="inlineStr">
        <is>
          <t>SC/PC</t>
        </is>
      </c>
      <c r="I415" s="2" t="inlineStr">
        <is>
          <t>SC/PC</t>
        </is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>
        <v>341</v>
      </c>
      <c r="T415" s="2" t="n">
        <v>1390</v>
      </c>
      <c r="U415" s="2" t="n">
        <v>180</v>
      </c>
      <c r="V415" s="2">
        <f>SUM(J415:U415)*G415</f>
        <v/>
      </c>
      <c r="W415" s="2">
        <f>MAX(J415:U415)</f>
        <v/>
      </c>
      <c r="X415" s="2">
        <f>W415*G415</f>
        <v/>
      </c>
    </row>
    <row r="416">
      <c r="A416" s="2" t="inlineStr">
        <is>
          <t>14-K-328</t>
        </is>
      </c>
      <c r="B416" s="3" t="inlineStr">
        <is>
          <t>OJC-A1-SC/SC-SM-23-PC/PC-SP</t>
        </is>
      </c>
      <c r="C416" s="2" t="inlineStr">
        <is>
          <t>K9089016</t>
        </is>
      </c>
      <c r="D416" s="2" t="inlineStr">
        <is>
          <t>a1</t>
        </is>
      </c>
      <c r="E416" s="2" t="inlineStr">
        <is>
          <t>2.0mm</t>
        </is>
      </c>
      <c r="F416" s="2" t="n">
        <v>1</v>
      </c>
      <c r="G416" s="2" t="n">
        <v>23</v>
      </c>
      <c r="H416" s="2" t="inlineStr">
        <is>
          <t>SC/PC</t>
        </is>
      </c>
      <c r="I416" s="2" t="inlineStr">
        <is>
          <t>SC/PC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>
        <v>50</v>
      </c>
      <c r="R416" s="2" t="n"/>
      <c r="S416" s="2" t="n"/>
      <c r="T416" s="2" t="n"/>
      <c r="U416" s="2" t="n"/>
      <c r="V416" s="2">
        <f>SUM(J416:U416)*G416</f>
        <v/>
      </c>
      <c r="W416" s="2">
        <f>MAX(J416:U416)</f>
        <v/>
      </c>
      <c r="X416" s="2">
        <f>W416*G416</f>
        <v/>
      </c>
    </row>
    <row r="417">
      <c r="A417" s="2" t="inlineStr">
        <is>
          <t>14-K-335</t>
        </is>
      </c>
      <c r="B417" s="3" t="inlineStr">
        <is>
          <t>OJC-A1-SC/SC-SM-25-PC/APC-SP</t>
        </is>
      </c>
      <c r="C417" s="2" t="inlineStr">
        <is>
          <t>K9089062</t>
        </is>
      </c>
      <c r="D417" s="2" t="inlineStr">
        <is>
          <t>a1</t>
        </is>
      </c>
      <c r="E417" s="2" t="inlineStr">
        <is>
          <t>2.0mm</t>
        </is>
      </c>
      <c r="F417" s="2" t="n">
        <v>1</v>
      </c>
      <c r="G417" s="2" t="n">
        <v>25</v>
      </c>
      <c r="H417" s="2" t="inlineStr">
        <is>
          <t>SC/PC</t>
        </is>
      </c>
      <c r="I417" s="2" t="inlineStr">
        <is>
          <t>SC/APC</t>
        </is>
      </c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>
        <v>5</v>
      </c>
      <c r="S417" s="2" t="n"/>
      <c r="T417" s="2" t="n"/>
      <c r="U417" s="2" t="n"/>
      <c r="V417" s="2">
        <f>SUM(J417:U417)*G417</f>
        <v/>
      </c>
      <c r="W417" s="2">
        <f>MAX(J417:U417)</f>
        <v/>
      </c>
      <c r="X417" s="2">
        <f>W417*G417</f>
        <v/>
      </c>
    </row>
    <row r="418">
      <c r="A418" s="2" t="inlineStr">
        <is>
          <t>14-K-336</t>
        </is>
      </c>
      <c r="B418" s="3" t="inlineStr">
        <is>
          <t>OJC-A1-SC/SC-SM-25-PC/PC-DP</t>
        </is>
      </c>
      <c r="C418" s="2" t="inlineStr">
        <is>
          <t>K9089147</t>
        </is>
      </c>
      <c r="D418" s="2" t="inlineStr">
        <is>
          <t>a1</t>
        </is>
      </c>
      <c r="E418" s="2" t="inlineStr">
        <is>
          <t>2.0mm</t>
        </is>
      </c>
      <c r="F418" s="2" t="n">
        <v>2</v>
      </c>
      <c r="G418" s="2" t="n">
        <v>25</v>
      </c>
      <c r="H418" s="2" t="inlineStr">
        <is>
          <t>SC/PC</t>
        </is>
      </c>
      <c r="I418" s="2" t="inlineStr">
        <is>
          <t>SC/PC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>
        <v>80</v>
      </c>
      <c r="R418" s="2" t="n"/>
      <c r="S418" s="2" t="n"/>
      <c r="T418" s="2" t="n"/>
      <c r="U418" s="2" t="n"/>
      <c r="V418" s="2">
        <f>SUM(J418:U418)*G418</f>
        <v/>
      </c>
      <c r="W418" s="2">
        <f>MAX(J418:U418)</f>
        <v/>
      </c>
      <c r="X418" s="2">
        <f>W418*G418</f>
        <v/>
      </c>
    </row>
    <row r="419">
      <c r="A419" s="2" t="inlineStr">
        <is>
          <t>14-K-337</t>
        </is>
      </c>
      <c r="B419" s="3" t="inlineStr">
        <is>
          <t>OJC-A1-SC/SC-SM-25-PC/PC-SP</t>
        </is>
      </c>
      <c r="C419" s="2" t="inlineStr">
        <is>
          <t>K9089018</t>
        </is>
      </c>
      <c r="D419" s="2" t="inlineStr">
        <is>
          <t>a1</t>
        </is>
      </c>
      <c r="E419" s="2" t="inlineStr">
        <is>
          <t>2.0mm</t>
        </is>
      </c>
      <c r="F419" s="2" t="n">
        <v>1</v>
      </c>
      <c r="G419" s="2" t="n">
        <v>25</v>
      </c>
      <c r="H419" s="2" t="inlineStr">
        <is>
          <t>SC/PC</t>
        </is>
      </c>
      <c r="I419" s="2" t="inlineStr">
        <is>
          <t>SC/PC</t>
        </is>
      </c>
      <c r="J419" s="2" t="n"/>
      <c r="K419" s="2" t="n"/>
      <c r="L419" s="2" t="n"/>
      <c r="M419" s="2" t="n"/>
      <c r="N419" s="2" t="n"/>
      <c r="O419" s="2" t="n"/>
      <c r="P419" s="2" t="n"/>
      <c r="Q419" s="2" t="n">
        <v>156</v>
      </c>
      <c r="R419" s="2" t="n">
        <v>180</v>
      </c>
      <c r="S419" s="2" t="n">
        <v>156</v>
      </c>
      <c r="T419" s="2" t="n">
        <v>550</v>
      </c>
      <c r="U419" s="2" t="n"/>
      <c r="V419" s="2">
        <f>SUM(J419:U419)*G419</f>
        <v/>
      </c>
      <c r="W419" s="2">
        <f>MAX(J419:U419)</f>
        <v/>
      </c>
      <c r="X419" s="2">
        <f>W419*G419</f>
        <v/>
      </c>
    </row>
    <row r="420">
      <c r="A420" s="2" t="inlineStr">
        <is>
          <t>14-K-346</t>
        </is>
      </c>
      <c r="B420" s="3" t="inlineStr">
        <is>
          <t>OJC-A1-SC/SC-SM-2-PC/PC-DP</t>
        </is>
      </c>
      <c r="C420" s="2" t="inlineStr">
        <is>
          <t>K9089124</t>
        </is>
      </c>
      <c r="D420" s="2" t="inlineStr">
        <is>
          <t>a1</t>
        </is>
      </c>
      <c r="E420" s="2" t="inlineStr">
        <is>
          <t>2.0mm</t>
        </is>
      </c>
      <c r="F420" s="2" t="n">
        <v>2</v>
      </c>
      <c r="G420" s="2" t="n">
        <v>2</v>
      </c>
      <c r="H420" s="2" t="inlineStr">
        <is>
          <t>SC/PC</t>
        </is>
      </c>
      <c r="I420" s="2" t="inlineStr">
        <is>
          <t>SC/PC</t>
        </is>
      </c>
      <c r="J420" s="2" t="n"/>
      <c r="K420" s="2" t="n"/>
      <c r="L420" s="2" t="n"/>
      <c r="M420" s="2" t="n"/>
      <c r="N420" s="2" t="n">
        <v>365</v>
      </c>
      <c r="O420" s="2" t="n">
        <v>100</v>
      </c>
      <c r="P420" s="2" t="n"/>
      <c r="Q420" s="2" t="n"/>
      <c r="R420" s="2" t="n"/>
      <c r="S420" s="2" t="n"/>
      <c r="T420" s="2" t="n"/>
      <c r="U420" s="2" t="n"/>
      <c r="V420" s="2">
        <f>SUM(J420:U420)*G420</f>
        <v/>
      </c>
      <c r="W420" s="2">
        <f>MAX(J420:U420)</f>
        <v/>
      </c>
      <c r="X420" s="2">
        <f>W420*G420</f>
        <v/>
      </c>
    </row>
    <row r="421">
      <c r="A421" s="2" t="inlineStr">
        <is>
          <t>14-K-350</t>
        </is>
      </c>
      <c r="B421" s="3" t="inlineStr">
        <is>
          <t>OJC-A1-SC/SC-SM-30-PC/APC-DP</t>
        </is>
      </c>
      <c r="C421" s="2" t="inlineStr"/>
      <c r="D421" s="2" t="inlineStr">
        <is>
          <t>a1</t>
        </is>
      </c>
      <c r="E421" s="2" t="inlineStr">
        <is>
          <t>2.0mm</t>
        </is>
      </c>
      <c r="F421" s="2" t="n">
        <v>2</v>
      </c>
      <c r="G421" s="2" t="n">
        <v>30</v>
      </c>
      <c r="H421" s="2" t="inlineStr">
        <is>
          <t>SC/PC</t>
        </is>
      </c>
      <c r="I421" s="2" t="inlineStr">
        <is>
          <t>SC/APC</t>
        </is>
      </c>
      <c r="J421" s="2" t="n"/>
      <c r="K421" s="2" t="n"/>
      <c r="L421" s="2" t="n"/>
      <c r="M421" s="2" t="n"/>
      <c r="N421" s="2" t="n">
        <v>3</v>
      </c>
      <c r="O421" s="2" t="n"/>
      <c r="P421" s="2" t="n"/>
      <c r="Q421" s="2" t="n"/>
      <c r="R421" s="2" t="n"/>
      <c r="S421" s="2" t="n"/>
      <c r="T421" s="2" t="n"/>
      <c r="U421" s="2" t="n"/>
      <c r="V421" s="2">
        <f>SUM(J421:U421)*G421</f>
        <v/>
      </c>
      <c r="W421" s="2">
        <f>MAX(J421:U421)</f>
        <v/>
      </c>
      <c r="X421" s="2">
        <f>W421*G421</f>
        <v/>
      </c>
    </row>
    <row r="422">
      <c r="A422" s="2" t="inlineStr">
        <is>
          <t>14-K-352</t>
        </is>
      </c>
      <c r="B422" s="3" t="inlineStr">
        <is>
          <t>OJC-A1-SC/SC-SM-30-PC/PC-DP</t>
        </is>
      </c>
      <c r="C422" s="2" t="inlineStr">
        <is>
          <t>K9089152</t>
        </is>
      </c>
      <c r="D422" s="2" t="inlineStr">
        <is>
          <t>a1</t>
        </is>
      </c>
      <c r="E422" s="2" t="inlineStr">
        <is>
          <t>2.0mm</t>
        </is>
      </c>
      <c r="F422" s="2" t="n">
        <v>2</v>
      </c>
      <c r="G422" s="2" t="n">
        <v>30</v>
      </c>
      <c r="H422" s="2" t="inlineStr">
        <is>
          <t>SC/PC</t>
        </is>
      </c>
      <c r="I422" s="2" t="inlineStr">
        <is>
          <t>SC/PC</t>
        </is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>
        <v>181</v>
      </c>
      <c r="V422" s="2">
        <f>SUM(J422:U422)*G422</f>
        <v/>
      </c>
      <c r="W422" s="2">
        <f>MAX(J422:U422)</f>
        <v/>
      </c>
      <c r="X422" s="2">
        <f>W422*G422</f>
        <v/>
      </c>
    </row>
    <row r="423">
      <c r="A423" s="2" t="inlineStr">
        <is>
          <t>14-K-353</t>
        </is>
      </c>
      <c r="B423" s="3" t="inlineStr">
        <is>
          <t>OJC-A1-SC/SC-SM-30-PC/PC-SP</t>
        </is>
      </c>
      <c r="C423" s="2" t="inlineStr">
        <is>
          <t>K9089023</t>
        </is>
      </c>
      <c r="D423" s="2" t="inlineStr">
        <is>
          <t>a1</t>
        </is>
      </c>
      <c r="E423" s="2" t="inlineStr">
        <is>
          <t>2.0mm</t>
        </is>
      </c>
      <c r="F423" s="2" t="n">
        <v>1</v>
      </c>
      <c r="G423" s="2" t="n">
        <v>30</v>
      </c>
      <c r="H423" s="2" t="inlineStr">
        <is>
          <t>SC/PC</t>
        </is>
      </c>
      <c r="I423" s="2" t="inlineStr">
        <is>
          <t>SC/PC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>
        <v>225</v>
      </c>
      <c r="S423" s="2" t="n">
        <v>150</v>
      </c>
      <c r="T423" s="2" t="n">
        <v>334</v>
      </c>
      <c r="U423" s="2" t="n">
        <v>80</v>
      </c>
      <c r="V423" s="2">
        <f>SUM(J423:U423)*G423</f>
        <v/>
      </c>
      <c r="W423" s="2">
        <f>MAX(J423:U423)</f>
        <v/>
      </c>
      <c r="X423" s="2">
        <f>W423*G423</f>
        <v/>
      </c>
    </row>
    <row r="424">
      <c r="A424" s="2" t="inlineStr">
        <is>
          <t>14-K-354</t>
        </is>
      </c>
      <c r="B424" s="3" t="inlineStr">
        <is>
          <t>OJC-A1-SC/SC-SM-35-PC/PC-DP</t>
        </is>
      </c>
      <c r="C424" s="2" t="inlineStr">
        <is>
          <t>K9089153</t>
        </is>
      </c>
      <c r="D424" s="2" t="inlineStr">
        <is>
          <t>a1</t>
        </is>
      </c>
      <c r="E424" s="2" t="inlineStr">
        <is>
          <t>2.0mm</t>
        </is>
      </c>
      <c r="F424" s="2" t="n">
        <v>2</v>
      </c>
      <c r="G424" s="2" t="n">
        <v>35</v>
      </c>
      <c r="H424" s="2" t="inlineStr">
        <is>
          <t>SC/PC</t>
        </is>
      </c>
      <c r="I424" s="2" t="inlineStr">
        <is>
          <t>SC/PC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>
        <v>103</v>
      </c>
      <c r="U424" s="2" t="n">
        <v>60</v>
      </c>
      <c r="V424" s="2">
        <f>SUM(J424:U424)*G424</f>
        <v/>
      </c>
      <c r="W424" s="2">
        <f>MAX(J424:U424)</f>
        <v/>
      </c>
      <c r="X424" s="2">
        <f>W424*G424</f>
        <v/>
      </c>
    </row>
    <row r="425">
      <c r="A425" s="2" t="inlineStr">
        <is>
          <t>14-K-355</t>
        </is>
      </c>
      <c r="B425" s="3" t="inlineStr">
        <is>
          <t>OJC-A1-SC/SC-SM-35-PC/PC-SP</t>
        </is>
      </c>
      <c r="C425" s="2" t="inlineStr">
        <is>
          <t>K9089024</t>
        </is>
      </c>
      <c r="D425" s="2" t="inlineStr">
        <is>
          <t>a1</t>
        </is>
      </c>
      <c r="E425" s="2" t="inlineStr">
        <is>
          <t>2.0mm</t>
        </is>
      </c>
      <c r="F425" s="2" t="n">
        <v>1</v>
      </c>
      <c r="G425" s="2" t="n">
        <v>35</v>
      </c>
      <c r="H425" s="2" t="inlineStr">
        <is>
          <t>SC/PC</t>
        </is>
      </c>
      <c r="I425" s="2" t="inlineStr">
        <is>
          <t>SC/PC</t>
        </is>
      </c>
      <c r="J425" s="2" t="n">
        <v>30</v>
      </c>
      <c r="K425" s="2" t="n"/>
      <c r="L425" s="2" t="n"/>
      <c r="M425" s="2" t="n"/>
      <c r="N425" s="2" t="n"/>
      <c r="O425" s="2" t="n"/>
      <c r="P425" s="2" t="n"/>
      <c r="Q425" s="2" t="n">
        <v>200</v>
      </c>
      <c r="R425" s="2" t="n">
        <v>200</v>
      </c>
      <c r="S425" s="2" t="n"/>
      <c r="T425" s="2" t="n">
        <v>100</v>
      </c>
      <c r="U425" s="2" t="n"/>
      <c r="V425" s="2">
        <f>SUM(J425:U425)*G425</f>
        <v/>
      </c>
      <c r="W425" s="2">
        <f>MAX(J425:U425)</f>
        <v/>
      </c>
      <c r="X425" s="2">
        <f>W425*G425</f>
        <v/>
      </c>
    </row>
    <row r="426">
      <c r="A426" s="2" t="inlineStr">
        <is>
          <t>14-K-360</t>
        </is>
      </c>
      <c r="B426" s="3" t="inlineStr">
        <is>
          <t>OJC-A1-SC/SC-SM-3-PC/APC-SP</t>
        </is>
      </c>
      <c r="C426" s="2" t="inlineStr">
        <is>
          <t>K9089057</t>
        </is>
      </c>
      <c r="D426" s="2" t="inlineStr">
        <is>
          <t>a1</t>
        </is>
      </c>
      <c r="E426" s="2" t="inlineStr">
        <is>
          <t>2.0mm</t>
        </is>
      </c>
      <c r="F426" s="2" t="n">
        <v>1</v>
      </c>
      <c r="G426" s="2" t="n">
        <v>3</v>
      </c>
      <c r="H426" s="2" t="inlineStr">
        <is>
          <t>SC/PC</t>
        </is>
      </c>
      <c r="I426" s="2" t="inlineStr">
        <is>
          <t>SC/APC</t>
        </is>
      </c>
      <c r="J426" s="2" t="n">
        <v>27</v>
      </c>
      <c r="K426" s="2" t="n">
        <v>400</v>
      </c>
      <c r="L426" s="2" t="n"/>
      <c r="M426" s="2" t="n"/>
      <c r="N426" s="2" t="n"/>
      <c r="O426" s="2" t="n"/>
      <c r="P426" s="2" t="n"/>
      <c r="Q426" s="2" t="n">
        <v>20</v>
      </c>
      <c r="R426" s="2" t="n">
        <v>40</v>
      </c>
      <c r="S426" s="2" t="n"/>
      <c r="T426" s="2" t="n"/>
      <c r="U426" s="2" t="n"/>
      <c r="V426" s="2">
        <f>SUM(J426:U426)*G426</f>
        <v/>
      </c>
      <c r="W426" s="2">
        <f>MAX(J426:U426)</f>
        <v/>
      </c>
      <c r="X426" s="2">
        <f>W426*G426</f>
        <v/>
      </c>
    </row>
    <row r="427">
      <c r="A427" s="2" t="inlineStr">
        <is>
          <t>14-K-361</t>
        </is>
      </c>
      <c r="B427" s="3" t="inlineStr">
        <is>
          <t>OJC-A1-SC/SC-SM-3-PC/PC-DP</t>
        </is>
      </c>
      <c r="C427" s="2" t="inlineStr">
        <is>
          <t>K9089125</t>
        </is>
      </c>
      <c r="D427" s="2" t="inlineStr">
        <is>
          <t>a1</t>
        </is>
      </c>
      <c r="E427" s="2" t="inlineStr">
        <is>
          <t>2.0mm</t>
        </is>
      </c>
      <c r="F427" s="2" t="n">
        <v>2</v>
      </c>
      <c r="G427" s="2" t="n">
        <v>3</v>
      </c>
      <c r="H427" s="2" t="inlineStr">
        <is>
          <t>SC/PC</t>
        </is>
      </c>
      <c r="I427" s="2" t="inlineStr">
        <is>
          <t>SC/PC</t>
        </is>
      </c>
      <c r="J427" s="2" t="n"/>
      <c r="K427" s="2" t="n">
        <v>300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>
        <f>SUM(J427:U427)*G427</f>
        <v/>
      </c>
      <c r="W427" s="2">
        <f>MAX(J427:U427)</f>
        <v/>
      </c>
      <c r="X427" s="2">
        <f>W427*G427</f>
        <v/>
      </c>
    </row>
    <row r="428">
      <c r="A428" s="2" t="inlineStr">
        <is>
          <t>14-K-364</t>
        </is>
      </c>
      <c r="B428" s="3" t="inlineStr">
        <is>
          <t>OJC-A1-SC/SC-SM-40-PC/PC-DP</t>
        </is>
      </c>
      <c r="C428" s="2" t="inlineStr">
        <is>
          <t>K9089154</t>
        </is>
      </c>
      <c r="D428" s="2" t="inlineStr">
        <is>
          <t>a1</t>
        </is>
      </c>
      <c r="E428" s="2" t="inlineStr">
        <is>
          <t>2.0mm</t>
        </is>
      </c>
      <c r="F428" s="2" t="n">
        <v>2</v>
      </c>
      <c r="G428" s="2" t="n">
        <v>40</v>
      </c>
      <c r="H428" s="2" t="inlineStr">
        <is>
          <t>SC/PC</t>
        </is>
      </c>
      <c r="I428" s="2" t="inlineStr">
        <is>
          <t>SC/PC</t>
        </is>
      </c>
      <c r="J428" s="2" t="n"/>
      <c r="K428" s="2" t="n"/>
      <c r="L428" s="2" t="n"/>
      <c r="M428" s="2" t="n"/>
      <c r="N428" s="2" t="n"/>
      <c r="O428" s="2" t="n"/>
      <c r="P428" s="2" t="n">
        <v>112</v>
      </c>
      <c r="Q428" s="2" t="n"/>
      <c r="R428" s="2" t="n"/>
      <c r="S428" s="2" t="n"/>
      <c r="T428" s="2" t="n"/>
      <c r="U428" s="2" t="n"/>
      <c r="V428" s="2">
        <f>SUM(J428:U428)*G428</f>
        <v/>
      </c>
      <c r="W428" s="2">
        <f>MAX(J428:U428)</f>
        <v/>
      </c>
      <c r="X428" s="2">
        <f>W428*G428</f>
        <v/>
      </c>
    </row>
    <row r="429">
      <c r="A429" s="2" t="inlineStr">
        <is>
          <t>14-K-366</t>
        </is>
      </c>
      <c r="B429" s="3" t="inlineStr">
        <is>
          <t>OJC-A1-SC/SC-SM-45-PC/PC-DP</t>
        </is>
      </c>
      <c r="C429" s="2" t="inlineStr">
        <is>
          <t>K9089155</t>
        </is>
      </c>
      <c r="D429" s="2" t="inlineStr">
        <is>
          <t>a1</t>
        </is>
      </c>
      <c r="E429" s="2" t="inlineStr">
        <is>
          <t>2.0mm</t>
        </is>
      </c>
      <c r="F429" s="2" t="n">
        <v>2</v>
      </c>
      <c r="G429" s="2" t="n">
        <v>45</v>
      </c>
      <c r="H429" s="2" t="inlineStr">
        <is>
          <t>SC/PC</t>
        </is>
      </c>
      <c r="I429" s="2" t="inlineStr">
        <is>
          <t>SC/PC</t>
        </is>
      </c>
      <c r="J429" s="2" t="n"/>
      <c r="K429" s="2" t="n"/>
      <c r="L429" s="2" t="n"/>
      <c r="M429" s="2" t="n"/>
      <c r="N429" s="2" t="n"/>
      <c r="O429" s="2" t="n">
        <v>5</v>
      </c>
      <c r="P429" s="2" t="n"/>
      <c r="Q429" s="2" t="n"/>
      <c r="R429" s="2" t="n"/>
      <c r="S429" s="2" t="n"/>
      <c r="T429" s="2" t="n"/>
      <c r="U429" s="2" t="n">
        <v>30</v>
      </c>
      <c r="V429" s="2">
        <f>SUM(J429:U429)*G429</f>
        <v/>
      </c>
      <c r="W429" s="2">
        <f>MAX(J429:U429)</f>
        <v/>
      </c>
      <c r="X429" s="2">
        <f>W429*G429</f>
        <v/>
      </c>
    </row>
    <row r="430">
      <c r="A430" s="2" t="inlineStr">
        <is>
          <t>14-K-367</t>
        </is>
      </c>
      <c r="B430" s="3" t="inlineStr">
        <is>
          <t>OJC-A1-SC/SC-SM-45-PC/PC-SP</t>
        </is>
      </c>
      <c r="C430" s="2" t="inlineStr">
        <is>
          <t>K9089026</t>
        </is>
      </c>
      <c r="D430" s="2" t="inlineStr">
        <is>
          <t>a1</t>
        </is>
      </c>
      <c r="E430" s="2" t="inlineStr">
        <is>
          <t>2.0mm</t>
        </is>
      </c>
      <c r="F430" s="2" t="n">
        <v>1</v>
      </c>
      <c r="G430" s="2" t="n">
        <v>45</v>
      </c>
      <c r="H430" s="2" t="inlineStr">
        <is>
          <t>SC/PC</t>
        </is>
      </c>
      <c r="I430" s="2" t="inlineStr">
        <is>
          <t>SC/PC</t>
        </is>
      </c>
      <c r="J430" s="2" t="n"/>
      <c r="K430" s="2" t="n"/>
      <c r="L430" s="2" t="n"/>
      <c r="M430" s="2" t="n"/>
      <c r="N430" s="2" t="n"/>
      <c r="O430" s="2" t="n"/>
      <c r="P430" s="2" t="n"/>
      <c r="Q430" s="2" t="n">
        <v>15</v>
      </c>
      <c r="R430" s="2" t="n"/>
      <c r="S430" s="2" t="n"/>
      <c r="T430" s="2" t="n"/>
      <c r="U430" s="2" t="n">
        <v>30</v>
      </c>
      <c r="V430" s="2">
        <f>SUM(J430:U430)*G430</f>
        <v/>
      </c>
      <c r="W430" s="2">
        <f>MAX(J430:U430)</f>
        <v/>
      </c>
      <c r="X430" s="2">
        <f>W430*G430</f>
        <v/>
      </c>
    </row>
    <row r="431">
      <c r="A431" s="2" t="inlineStr">
        <is>
          <t>14-K-367</t>
        </is>
      </c>
      <c r="B431" s="3" t="inlineStr">
        <is>
          <t>OJC-A1-SC/SC-SM-45-PC/PC-SP</t>
        </is>
      </c>
      <c r="C431" s="2" t="inlineStr">
        <is>
          <t>K9089026, 녹색</t>
        </is>
      </c>
      <c r="D431" s="2" t="inlineStr">
        <is>
          <t>a1-녹</t>
        </is>
      </c>
      <c r="E431" s="2" t="inlineStr">
        <is>
          <t>2.0mm</t>
        </is>
      </c>
      <c r="F431" s="2" t="n">
        <v>1</v>
      </c>
      <c r="G431" s="2" t="n">
        <v>45</v>
      </c>
      <c r="H431" s="2" t="inlineStr">
        <is>
          <t>SC/PC</t>
        </is>
      </c>
      <c r="I431" s="2" t="inlineStr">
        <is>
          <t>SC/PC</t>
        </is>
      </c>
      <c r="J431" s="2" t="n"/>
      <c r="K431" s="2" t="n"/>
      <c r="L431" s="2" t="n">
        <v>50</v>
      </c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>
        <f>SUM(J431:U431)*G431</f>
        <v/>
      </c>
      <c r="W431" s="2">
        <f>MAX(J431:U431)</f>
        <v/>
      </c>
      <c r="X431" s="2">
        <f>W431*G431</f>
        <v/>
      </c>
    </row>
    <row r="432">
      <c r="A432" s="2" t="inlineStr">
        <is>
          <t>14-K-368</t>
        </is>
      </c>
      <c r="B432" s="3" t="inlineStr">
        <is>
          <t>OJC-A1-SC/SC-SM-4-PC/PC-DP</t>
        </is>
      </c>
      <c r="C432" s="2" t="inlineStr">
        <is>
          <t>K9089126</t>
        </is>
      </c>
      <c r="D432" s="2" t="inlineStr">
        <is>
          <t>a1</t>
        </is>
      </c>
      <c r="E432" s="2" t="inlineStr">
        <is>
          <t>2.0mm</t>
        </is>
      </c>
      <c r="F432" s="2" t="n">
        <v>2</v>
      </c>
      <c r="G432" s="2" t="n">
        <v>4</v>
      </c>
      <c r="H432" s="2" t="inlineStr">
        <is>
          <t>SC/PC</t>
        </is>
      </c>
      <c r="I432" s="2" t="inlineStr">
        <is>
          <t>SC/PC</t>
        </is>
      </c>
      <c r="J432" s="2" t="n"/>
      <c r="K432" s="2" t="n"/>
      <c r="L432" s="2" t="n"/>
      <c r="M432" s="2" t="n">
        <v>500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>
        <f>SUM(J432:U432)*G432</f>
        <v/>
      </c>
      <c r="W432" s="2">
        <f>MAX(J432:U432)</f>
        <v/>
      </c>
      <c r="X432" s="2">
        <f>W432*G432</f>
        <v/>
      </c>
    </row>
    <row r="433">
      <c r="A433" s="2" t="inlineStr">
        <is>
          <t>14-K-369</t>
        </is>
      </c>
      <c r="B433" s="3" t="inlineStr">
        <is>
          <t>OJC-A1-SC/SC-SM-4-PC/PC-SP</t>
        </is>
      </c>
      <c r="C433" s="2" t="inlineStr">
        <is>
          <t>K9088997</t>
        </is>
      </c>
      <c r="D433" s="2" t="inlineStr">
        <is>
          <t>a1</t>
        </is>
      </c>
      <c r="E433" s="2" t="inlineStr">
        <is>
          <t>2.0mm</t>
        </is>
      </c>
      <c r="F433" s="2" t="n">
        <v>1</v>
      </c>
      <c r="G433" s="2" t="n">
        <v>4</v>
      </c>
      <c r="H433" s="2" t="inlineStr">
        <is>
          <t>SC/PC</t>
        </is>
      </c>
      <c r="I433" s="2" t="inlineStr">
        <is>
          <t>SC/PC</t>
        </is>
      </c>
      <c r="J433" s="2" t="n"/>
      <c r="K433" s="2" t="n"/>
      <c r="L433" s="2" t="n"/>
      <c r="M433" s="2" t="n"/>
      <c r="N433" s="2" t="n"/>
      <c r="O433" s="2" t="n"/>
      <c r="P433" s="2" t="n"/>
      <c r="Q433" s="2" t="n">
        <v>20</v>
      </c>
      <c r="R433" s="2" t="n"/>
      <c r="S433" s="2" t="n"/>
      <c r="T433" s="2" t="n"/>
      <c r="U433" s="2" t="n"/>
      <c r="V433" s="2">
        <f>SUM(J433:U433)*G433</f>
        <v/>
      </c>
      <c r="W433" s="2">
        <f>MAX(J433:U433)</f>
        <v/>
      </c>
      <c r="X433" s="2">
        <f>W433*G433</f>
        <v/>
      </c>
    </row>
    <row r="434">
      <c r="A434" s="2" t="inlineStr">
        <is>
          <t>14-K-371</t>
        </is>
      </c>
      <c r="B434" s="3" t="inlineStr">
        <is>
          <t>OJC-A1-SC/SC-SM-50-PC/PC-DP</t>
        </is>
      </c>
      <c r="C434" s="2" t="inlineStr">
        <is>
          <t>K9089156</t>
        </is>
      </c>
      <c r="D434" s="2" t="inlineStr">
        <is>
          <t>a1</t>
        </is>
      </c>
      <c r="E434" s="2" t="inlineStr">
        <is>
          <t>2.0mm</t>
        </is>
      </c>
      <c r="F434" s="2" t="n">
        <v>2</v>
      </c>
      <c r="G434" s="2" t="n">
        <v>50</v>
      </c>
      <c r="H434" s="2" t="inlineStr">
        <is>
          <t>SC/PC</t>
        </is>
      </c>
      <c r="I434" s="2" t="inlineStr">
        <is>
          <t>SC/PC</t>
        </is>
      </c>
      <c r="J434" s="2" t="n"/>
      <c r="K434" s="2" t="n"/>
      <c r="L434" s="2" t="n"/>
      <c r="M434" s="2" t="n"/>
      <c r="N434" s="2" t="n"/>
      <c r="O434" s="2" t="n">
        <v>32</v>
      </c>
      <c r="P434" s="2" t="n"/>
      <c r="Q434" s="2" t="n"/>
      <c r="R434" s="2" t="n"/>
      <c r="S434" s="2" t="n"/>
      <c r="T434" s="2" t="n"/>
      <c r="U434" s="2" t="n"/>
      <c r="V434" s="2">
        <f>SUM(J434:U434)*G434</f>
        <v/>
      </c>
      <c r="W434" s="2">
        <f>MAX(J434:U434)</f>
        <v/>
      </c>
      <c r="X434" s="2">
        <f>W434*G434</f>
        <v/>
      </c>
    </row>
    <row r="435">
      <c r="A435" s="2" t="inlineStr">
        <is>
          <t>14-K-372</t>
        </is>
      </c>
      <c r="B435" s="3" t="inlineStr">
        <is>
          <t>OJC-A1-SC/SC-SM-50-PC/PC-SP</t>
        </is>
      </c>
      <c r="C435" s="2" t="inlineStr">
        <is>
          <t>K9089027</t>
        </is>
      </c>
      <c r="D435" s="2" t="inlineStr">
        <is>
          <t>a1</t>
        </is>
      </c>
      <c r="E435" s="2" t="inlineStr">
        <is>
          <t>2.0mm</t>
        </is>
      </c>
      <c r="F435" s="2" t="n">
        <v>1</v>
      </c>
      <c r="G435" s="2" t="n">
        <v>50</v>
      </c>
      <c r="H435" s="2" t="inlineStr">
        <is>
          <t>SC/PC</t>
        </is>
      </c>
      <c r="I435" s="2" t="inlineStr">
        <is>
          <t>SC/PC</t>
        </is>
      </c>
      <c r="J435" s="2" t="n">
        <v>30</v>
      </c>
      <c r="K435" s="2" t="n"/>
      <c r="L435" s="2" t="n"/>
      <c r="M435" s="2" t="n"/>
      <c r="N435" s="2" t="n"/>
      <c r="O435" s="2" t="n">
        <v>15</v>
      </c>
      <c r="P435" s="2" t="n"/>
      <c r="Q435" s="2" t="n"/>
      <c r="R435" s="2" t="n"/>
      <c r="S435" s="2" t="n">
        <v>100</v>
      </c>
      <c r="T435" s="2" t="n"/>
      <c r="U435" s="2" t="n"/>
      <c r="V435" s="2">
        <f>SUM(J435:U435)*G435</f>
        <v/>
      </c>
      <c r="W435" s="2">
        <f>MAX(J435:U435)</f>
        <v/>
      </c>
      <c r="X435" s="2">
        <f>W435*G435</f>
        <v/>
      </c>
    </row>
    <row r="436">
      <c r="A436" s="2" t="inlineStr">
        <is>
          <t>14-K-374</t>
        </is>
      </c>
      <c r="B436" s="3" t="inlineStr">
        <is>
          <t>OJC-A1-SC/SC-SM-5-APC/APC-DP</t>
        </is>
      </c>
      <c r="C436" s="2" t="inlineStr"/>
      <c r="D436" s="2" t="inlineStr">
        <is>
          <t>a1</t>
        </is>
      </c>
      <c r="E436" s="2" t="inlineStr">
        <is>
          <t>2.0mm</t>
        </is>
      </c>
      <c r="F436" s="2" t="n">
        <v>2</v>
      </c>
      <c r="G436" s="2" t="n">
        <v>5</v>
      </c>
      <c r="H436" s="2" t="inlineStr">
        <is>
          <t>SC/APC</t>
        </is>
      </c>
      <c r="I436" s="2" t="inlineStr">
        <is>
          <t>SC/APC</t>
        </is>
      </c>
      <c r="J436" s="2" t="n"/>
      <c r="K436" s="2" t="n"/>
      <c r="L436" s="2" t="n"/>
      <c r="M436" s="2" t="n">
        <v>30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>
        <f>SUM(J436:U436)*G436</f>
        <v/>
      </c>
      <c r="W436" s="2">
        <f>MAX(J436:U436)</f>
        <v/>
      </c>
      <c r="X436" s="2">
        <f>W436*G436</f>
        <v/>
      </c>
    </row>
    <row r="437">
      <c r="A437" s="2" t="inlineStr">
        <is>
          <t>14-K-377</t>
        </is>
      </c>
      <c r="B437" s="3" t="inlineStr">
        <is>
          <t>OJC-A1-SC/SC-SM-5-PC/APC-SP</t>
        </is>
      </c>
      <c r="C437" s="2" t="inlineStr">
        <is>
          <t>K9089058</t>
        </is>
      </c>
      <c r="D437" s="2" t="inlineStr">
        <is>
          <t>a1</t>
        </is>
      </c>
      <c r="E437" s="2" t="inlineStr">
        <is>
          <t>2.0mm</t>
        </is>
      </c>
      <c r="F437" s="2" t="n">
        <v>1</v>
      </c>
      <c r="G437" s="2" t="n">
        <v>5</v>
      </c>
      <c r="H437" s="2" t="inlineStr">
        <is>
          <t>SC/PC</t>
        </is>
      </c>
      <c r="I437" s="2" t="inlineStr">
        <is>
          <t>SC/APC</t>
        </is>
      </c>
      <c r="J437" s="2" t="n"/>
      <c r="K437" s="2" t="n">
        <v>31</v>
      </c>
      <c r="L437" s="2" t="n">
        <v>7</v>
      </c>
      <c r="M437" s="2" t="n"/>
      <c r="N437" s="2" t="n">
        <v>100</v>
      </c>
      <c r="O437" s="2" t="n"/>
      <c r="P437" s="2" t="n"/>
      <c r="Q437" s="2" t="n">
        <v>11</v>
      </c>
      <c r="R437" s="2" t="n"/>
      <c r="S437" s="2" t="n"/>
      <c r="T437" s="2" t="n"/>
      <c r="U437" s="2" t="n"/>
      <c r="V437" s="2">
        <f>SUM(J437:U437)*G437</f>
        <v/>
      </c>
      <c r="W437" s="2">
        <f>MAX(J437:U437)</f>
        <v/>
      </c>
      <c r="X437" s="2">
        <f>W437*G437</f>
        <v/>
      </c>
    </row>
    <row r="438">
      <c r="A438" s="2" t="inlineStr">
        <is>
          <t>14-K-378</t>
        </is>
      </c>
      <c r="B438" s="3" t="inlineStr">
        <is>
          <t>OJC-A1-SC/SC-SM-5-PC/PC-DP</t>
        </is>
      </c>
      <c r="C438" s="2" t="inlineStr">
        <is>
          <t>K9089127</t>
        </is>
      </c>
      <c r="D438" s="2" t="inlineStr">
        <is>
          <t>a1</t>
        </is>
      </c>
      <c r="E438" s="2" t="inlineStr">
        <is>
          <t>2.0mm</t>
        </is>
      </c>
      <c r="F438" s="2" t="n">
        <v>2</v>
      </c>
      <c r="G438" s="2" t="n">
        <v>5</v>
      </c>
      <c r="H438" s="2" t="inlineStr">
        <is>
          <t>SC/PC</t>
        </is>
      </c>
      <c r="I438" s="2" t="inlineStr">
        <is>
          <t>SC/PC</t>
        </is>
      </c>
      <c r="J438" s="2" t="n"/>
      <c r="K438" s="2" t="n"/>
      <c r="L438" s="2" t="n"/>
      <c r="M438" s="2" t="n">
        <v>360</v>
      </c>
      <c r="N438" s="2" t="n">
        <v>500</v>
      </c>
      <c r="O438" s="2" t="n">
        <v>350</v>
      </c>
      <c r="P438" s="2" t="n"/>
      <c r="Q438" s="2" t="n"/>
      <c r="R438" s="2" t="n"/>
      <c r="S438" s="2" t="n"/>
      <c r="T438" s="2" t="n"/>
      <c r="U438" s="2" t="n"/>
      <c r="V438" s="2">
        <f>SUM(J438:U438)*G438</f>
        <v/>
      </c>
      <c r="W438" s="2">
        <f>MAX(J438:U438)</f>
        <v/>
      </c>
      <c r="X438" s="2">
        <f>W438*G438</f>
        <v/>
      </c>
    </row>
    <row r="439">
      <c r="A439" s="2" t="inlineStr">
        <is>
          <t>14-K-380</t>
        </is>
      </c>
      <c r="B439" s="3" t="inlineStr">
        <is>
          <t>OJC-A1-SC/SC-SM-60-PC/PC-DP</t>
        </is>
      </c>
      <c r="C439" s="2" t="inlineStr">
        <is>
          <t>K9089123</t>
        </is>
      </c>
      <c r="D439" s="2" t="inlineStr">
        <is>
          <t>a1</t>
        </is>
      </c>
      <c r="E439" s="2" t="inlineStr">
        <is>
          <t>2.0mm</t>
        </is>
      </c>
      <c r="F439" s="2" t="n">
        <v>2</v>
      </c>
      <c r="G439" s="2" t="n">
        <v>60</v>
      </c>
      <c r="H439" s="2" t="inlineStr">
        <is>
          <t>SC/PC</t>
        </is>
      </c>
      <c r="I439" s="2" t="inlineStr">
        <is>
          <t>SC/PC</t>
        </is>
      </c>
      <c r="J439" s="2" t="n"/>
      <c r="K439" s="2" t="n"/>
      <c r="L439" s="2" t="n"/>
      <c r="M439" s="2" t="n"/>
      <c r="N439" s="2" t="n"/>
      <c r="O439" s="2" t="n">
        <v>3</v>
      </c>
      <c r="P439" s="2" t="n"/>
      <c r="Q439" s="2" t="n"/>
      <c r="R439" s="2" t="n"/>
      <c r="S439" s="2" t="n"/>
      <c r="T439" s="2" t="n"/>
      <c r="U439" s="2" t="n"/>
      <c r="V439" s="2">
        <f>SUM(J439:U439)*G439</f>
        <v/>
      </c>
      <c r="W439" s="2">
        <f>MAX(J439:U439)</f>
        <v/>
      </c>
      <c r="X439" s="2">
        <f>W439*G439</f>
        <v/>
      </c>
    </row>
    <row r="440">
      <c r="A440" s="2" t="inlineStr">
        <is>
          <t>14-K-385</t>
        </is>
      </c>
      <c r="B440" s="3" t="inlineStr">
        <is>
          <t>OJC-A1-SC/SC-SM-6-PC/PC-SP</t>
        </is>
      </c>
      <c r="C440" s="2" t="inlineStr">
        <is>
          <t>K9088999</t>
        </is>
      </c>
      <c r="D440" s="2" t="inlineStr">
        <is>
          <t>a1</t>
        </is>
      </c>
      <c r="E440" s="2" t="inlineStr">
        <is>
          <t>2.0mm</t>
        </is>
      </c>
      <c r="F440" s="2" t="n">
        <v>1</v>
      </c>
      <c r="G440" s="2" t="n">
        <v>6</v>
      </c>
      <c r="H440" s="2" t="inlineStr">
        <is>
          <t>SC/PC</t>
        </is>
      </c>
      <c r="I440" s="2" t="inlineStr">
        <is>
          <t>SC/PC</t>
        </is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>
        <v>200</v>
      </c>
      <c r="U440" s="2" t="n"/>
      <c r="V440" s="2">
        <f>SUM(J440:U440)*G440</f>
        <v/>
      </c>
      <c r="W440" s="2">
        <f>MAX(J440:U440)</f>
        <v/>
      </c>
      <c r="X440" s="2">
        <f>W440*G440</f>
        <v/>
      </c>
    </row>
    <row r="441">
      <c r="A441" s="2" t="inlineStr">
        <is>
          <t>14-K-388</t>
        </is>
      </c>
      <c r="B441" s="3" t="inlineStr">
        <is>
          <t>OJC-A1-SC/SC-SM-7-PC/PC-DP</t>
        </is>
      </c>
      <c r="C441" s="2" t="inlineStr">
        <is>
          <t>K9089129</t>
        </is>
      </c>
      <c r="D441" s="2" t="inlineStr">
        <is>
          <t>a1</t>
        </is>
      </c>
      <c r="E441" s="2" t="inlineStr">
        <is>
          <t>2.0mm</t>
        </is>
      </c>
      <c r="F441" s="2" t="n">
        <v>2</v>
      </c>
      <c r="G441" s="2" t="n">
        <v>7</v>
      </c>
      <c r="H441" s="2" t="inlineStr">
        <is>
          <t>SC/PC</t>
        </is>
      </c>
      <c r="I441" s="2" t="inlineStr">
        <is>
          <t>SC/PC</t>
        </is>
      </c>
      <c r="J441" s="2" t="n"/>
      <c r="K441" s="2" t="n"/>
      <c r="L441" s="2" t="n"/>
      <c r="M441" s="2" t="n"/>
      <c r="N441" s="2" t="n">
        <v>286</v>
      </c>
      <c r="O441" s="2" t="n"/>
      <c r="P441" s="2" t="n"/>
      <c r="Q441" s="2" t="n"/>
      <c r="R441" s="2" t="n"/>
      <c r="S441" s="2" t="n"/>
      <c r="T441" s="2" t="n">
        <v>104</v>
      </c>
      <c r="U441" s="2" t="n"/>
      <c r="V441" s="2">
        <f>SUM(J441:U441)*G441</f>
        <v/>
      </c>
      <c r="W441" s="2">
        <f>MAX(J441:U441)</f>
        <v/>
      </c>
      <c r="X441" s="2">
        <f>W441*G441</f>
        <v/>
      </c>
    </row>
    <row r="442">
      <c r="A442" s="2" t="inlineStr">
        <is>
          <t>14-K-389</t>
        </is>
      </c>
      <c r="B442" s="3" t="inlineStr">
        <is>
          <t>OJC-A1-SC/SC-SM-7-PC/PC-SP</t>
        </is>
      </c>
      <c r="C442" s="2" t="inlineStr">
        <is>
          <t>K9089000</t>
        </is>
      </c>
      <c r="D442" s="2" t="inlineStr">
        <is>
          <t>a1</t>
        </is>
      </c>
      <c r="E442" s="2" t="inlineStr">
        <is>
          <t>2.0mm</t>
        </is>
      </c>
      <c r="F442" s="2" t="n">
        <v>1</v>
      </c>
      <c r="G442" s="2" t="n">
        <v>7</v>
      </c>
      <c r="H442" s="2" t="inlineStr">
        <is>
          <t>SC/PC</t>
        </is>
      </c>
      <c r="I442" s="2" t="inlineStr">
        <is>
          <t>SC/PC</t>
        </is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>
        <v>29</v>
      </c>
      <c r="U442" s="2" t="n"/>
      <c r="V442" s="2">
        <f>SUM(J442:U442)*G442</f>
        <v/>
      </c>
      <c r="W442" s="2">
        <f>MAX(J442:U442)</f>
        <v/>
      </c>
      <c r="X442" s="2">
        <f>W442*G442</f>
        <v/>
      </c>
    </row>
    <row r="443">
      <c r="A443" s="2" t="inlineStr">
        <is>
          <t>14-K-392</t>
        </is>
      </c>
      <c r="B443" s="3" t="inlineStr">
        <is>
          <t>OJC-A1-SC/SC-SM-8-PC/PC-DP</t>
        </is>
      </c>
      <c r="C443" s="2" t="inlineStr">
        <is>
          <t>K9089130</t>
        </is>
      </c>
      <c r="D443" s="2" t="inlineStr">
        <is>
          <t>a1</t>
        </is>
      </c>
      <c r="E443" s="2" t="inlineStr">
        <is>
          <t>2.0mm</t>
        </is>
      </c>
      <c r="F443" s="2" t="n">
        <v>2</v>
      </c>
      <c r="G443" s="2" t="n">
        <v>8</v>
      </c>
      <c r="H443" s="2" t="inlineStr">
        <is>
          <t>SC/PC</t>
        </is>
      </c>
      <c r="I443" s="2" t="inlineStr">
        <is>
          <t>SC/PC</t>
        </is>
      </c>
      <c r="J443" s="2" t="n"/>
      <c r="K443" s="2" t="n"/>
      <c r="L443" s="2" t="n">
        <v>200</v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>
        <f>SUM(J443:U443)*G443</f>
        <v/>
      </c>
      <c r="W443" s="2">
        <f>MAX(J443:U443)</f>
        <v/>
      </c>
      <c r="X443" s="2">
        <f>W443*G443</f>
        <v/>
      </c>
    </row>
    <row r="444">
      <c r="A444" s="2" t="inlineStr">
        <is>
          <t>14-K-414</t>
        </is>
      </c>
      <c r="B444" s="3" t="inlineStr">
        <is>
          <t>OJC-A1-SC/LC-SM-3-APC/PC-SP</t>
        </is>
      </c>
      <c r="C444" s="2" t="inlineStr"/>
      <c r="D444" s="2" t="inlineStr">
        <is>
          <t>a1</t>
        </is>
      </c>
      <c r="E444" s="2" t="inlineStr">
        <is>
          <t>2.0mm</t>
        </is>
      </c>
      <c r="F444" s="2" t="n">
        <v>1</v>
      </c>
      <c r="G444" s="2" t="n">
        <v>3</v>
      </c>
      <c r="H444" s="2" t="inlineStr">
        <is>
          <t>SC/APC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>
        <v>1</v>
      </c>
      <c r="U444" s="2" t="n"/>
      <c r="V444" s="2">
        <f>SUM(J444:U444)*G444</f>
        <v/>
      </c>
      <c r="W444" s="2">
        <f>MAX(J444:U444)</f>
        <v/>
      </c>
      <c r="X444" s="2">
        <f>W444*G444</f>
        <v/>
      </c>
    </row>
    <row r="445">
      <c r="A445" s="2" t="inlineStr">
        <is>
          <t>14-K-425</t>
        </is>
      </c>
      <c r="B445" s="3" t="inlineStr">
        <is>
          <t>OJC-C2-SC/LC-SM-10-PC/PC-12C</t>
        </is>
      </c>
      <c r="C445" s="2" t="inlineStr">
        <is>
          <t>K9089468</t>
        </is>
      </c>
      <c r="D445" s="2" t="inlineStr">
        <is>
          <t>a1-12c</t>
        </is>
      </c>
      <c r="E445" s="2" t="inlineStr">
        <is>
          <t>2.0mm</t>
        </is>
      </c>
      <c r="F445" s="2" t="n">
        <v>12</v>
      </c>
      <c r="G445" s="2" t="n">
        <v>10</v>
      </c>
      <c r="H445" s="2" t="inlineStr">
        <is>
          <t>SC/PC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>
        <v>2</v>
      </c>
      <c r="S445" s="2" t="n"/>
      <c r="T445" s="2" t="n"/>
      <c r="U445" s="2" t="n"/>
      <c r="V445" s="2">
        <f>SUM(J445:U445)*G445</f>
        <v/>
      </c>
      <c r="W445" s="2">
        <f>MAX(J445:U445)</f>
        <v/>
      </c>
      <c r="X445" s="2">
        <f>W445*G445</f>
        <v/>
      </c>
    </row>
    <row r="446">
      <c r="A446" s="2" t="inlineStr">
        <is>
          <t>14-K-429</t>
        </is>
      </c>
      <c r="B446" s="3" t="inlineStr">
        <is>
          <t>OJC-C2-SC/LC-SM-15-PC/PC-20C</t>
        </is>
      </c>
      <c r="C446" s="2" t="inlineStr">
        <is>
          <t>K9094344</t>
        </is>
      </c>
      <c r="D446" s="2" t="inlineStr">
        <is>
          <t>a1-20c</t>
        </is>
      </c>
      <c r="E446" s="2" t="inlineStr">
        <is>
          <t>2.0mm</t>
        </is>
      </c>
      <c r="F446" s="2" t="n">
        <v>20</v>
      </c>
      <c r="G446" s="2" t="n">
        <v>15</v>
      </c>
      <c r="H446" s="2" t="inlineStr">
        <is>
          <t>SC/PC</t>
        </is>
      </c>
      <c r="I446" s="2" t="inlineStr">
        <is>
          <t>LC/PC</t>
        </is>
      </c>
      <c r="J446" s="2" t="n"/>
      <c r="K446" s="2" t="n">
        <v>2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>
        <f>SUM(J446:U446)*G446</f>
        <v/>
      </c>
      <c r="W446" s="2">
        <f>MAX(J446:U446)</f>
        <v/>
      </c>
      <c r="X446" s="2">
        <f>W446*G446</f>
        <v/>
      </c>
    </row>
    <row r="447">
      <c r="A447" s="2" t="inlineStr">
        <is>
          <t>14-K-443</t>
        </is>
      </c>
      <c r="B447" s="3" t="inlineStr">
        <is>
          <t>OJC-C2-SC/LC-SM-25-PC/PC-12C</t>
        </is>
      </c>
      <c r="C447" s="2" t="inlineStr">
        <is>
          <t>K9089468</t>
        </is>
      </c>
      <c r="D447" s="2" t="inlineStr">
        <is>
          <t>a1-12c</t>
        </is>
      </c>
      <c r="E447" s="2" t="inlineStr">
        <is>
          <t>2.0mm</t>
        </is>
      </c>
      <c r="F447" s="2" t="n">
        <v>12</v>
      </c>
      <c r="G447" s="2" t="n">
        <v>25</v>
      </c>
      <c r="H447" s="2" t="inlineStr">
        <is>
          <t>SC/PC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2</v>
      </c>
      <c r="S447" s="2" t="n"/>
      <c r="T447" s="2" t="n"/>
      <c r="U447" s="2" t="n"/>
      <c r="V447" s="2">
        <f>SUM(J447:U447)*G447</f>
        <v/>
      </c>
      <c r="W447" s="2">
        <f>MAX(J447:U447)</f>
        <v/>
      </c>
      <c r="X447" s="2">
        <f>W447*G447</f>
        <v/>
      </c>
    </row>
    <row r="448">
      <c r="A448" s="2" t="inlineStr">
        <is>
          <t>14-K-450</t>
        </is>
      </c>
      <c r="B448" s="3" t="inlineStr">
        <is>
          <t>OJC-C2-SC/LC-SM-30-PC/PC-12C</t>
        </is>
      </c>
      <c r="C448" s="2" t="inlineStr">
        <is>
          <t>K9089468</t>
        </is>
      </c>
      <c r="D448" s="2" t="inlineStr">
        <is>
          <t>a1-12c</t>
        </is>
      </c>
      <c r="E448" s="2" t="inlineStr">
        <is>
          <t>2.0mm</t>
        </is>
      </c>
      <c r="F448" s="2" t="n">
        <v>12</v>
      </c>
      <c r="G448" s="2" t="n">
        <v>30</v>
      </c>
      <c r="H448" s="2" t="inlineStr">
        <is>
          <t>SC/PC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>
        <v>2</v>
      </c>
      <c r="S448" s="2" t="n"/>
      <c r="T448" s="2" t="n"/>
      <c r="U448" s="2" t="n"/>
      <c r="V448" s="2">
        <f>SUM(J448:U448)*G448</f>
        <v/>
      </c>
      <c r="W448" s="2">
        <f>MAX(J448:U448)</f>
        <v/>
      </c>
      <c r="X448" s="2">
        <f>W448*G448</f>
        <v/>
      </c>
    </row>
    <row r="449">
      <c r="A449" s="2" t="inlineStr">
        <is>
          <t>14-K-456</t>
        </is>
      </c>
      <c r="B449" s="3" t="inlineStr">
        <is>
          <t>OJC-C2-SC/SC-SM-10-PC/PC-12C</t>
        </is>
      </c>
      <c r="C449" s="2" t="inlineStr">
        <is>
          <t>K9089453</t>
        </is>
      </c>
      <c r="D449" s="2" t="inlineStr">
        <is>
          <t>a1-12c</t>
        </is>
      </c>
      <c r="E449" s="2" t="inlineStr">
        <is>
          <t>2.0mm</t>
        </is>
      </c>
      <c r="F449" s="2" t="n">
        <v>12</v>
      </c>
      <c r="G449" s="2" t="n">
        <v>10</v>
      </c>
      <c r="H449" s="2" t="inlineStr">
        <is>
          <t>SC/PC</t>
        </is>
      </c>
      <c r="I449" s="2" t="inlineStr">
        <is>
          <t>SC/PC</t>
        </is>
      </c>
      <c r="J449" s="2" t="n">
        <v>10</v>
      </c>
      <c r="K449" s="2" t="n"/>
      <c r="L449" s="2" t="n"/>
      <c r="M449" s="2" t="n">
        <v>20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>
        <f>SUM(J449:U449)*G449</f>
        <v/>
      </c>
      <c r="W449" s="2">
        <f>MAX(J449:U449)</f>
        <v/>
      </c>
      <c r="X449" s="2">
        <f>W449*G449</f>
        <v/>
      </c>
    </row>
    <row r="450">
      <c r="A450" s="2" t="inlineStr">
        <is>
          <t>14-K-457</t>
        </is>
      </c>
      <c r="B450" s="3" t="inlineStr">
        <is>
          <t>OJC-C2-SC/SC-SM-10-PC/PC-16C</t>
        </is>
      </c>
      <c r="C450" s="2" t="inlineStr">
        <is>
          <t>K9094339</t>
        </is>
      </c>
      <c r="D450" s="2" t="inlineStr">
        <is>
          <t>a1-16c</t>
        </is>
      </c>
      <c r="E450" s="2" t="inlineStr">
        <is>
          <t>2.0mm</t>
        </is>
      </c>
      <c r="F450" s="2" t="n">
        <v>16</v>
      </c>
      <c r="G450" s="2" t="n">
        <v>10</v>
      </c>
      <c r="H450" s="2" t="inlineStr">
        <is>
          <t>SC/PC</t>
        </is>
      </c>
      <c r="I450" s="2" t="inlineStr">
        <is>
          <t>SC/PC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>
        <v>50</v>
      </c>
      <c r="R450" s="2" t="n"/>
      <c r="S450" s="2" t="n"/>
      <c r="T450" s="2" t="n"/>
      <c r="U450" s="2" t="n"/>
      <c r="V450" s="2">
        <f>SUM(J450:U450)*G450</f>
        <v/>
      </c>
      <c r="W450" s="2">
        <f>MAX(J450:U450)</f>
        <v/>
      </c>
      <c r="X450" s="2">
        <f>W450*G450</f>
        <v/>
      </c>
    </row>
    <row r="451">
      <c r="A451" s="2" t="inlineStr">
        <is>
          <t>14-K-459</t>
        </is>
      </c>
      <c r="B451" s="3" t="inlineStr">
        <is>
          <t>OJC-C2-SC/SC-SM-10-PC/PC-8C</t>
        </is>
      </c>
      <c r="C451" s="2" t="inlineStr">
        <is>
          <t>K9089452</t>
        </is>
      </c>
      <c r="D451" s="2" t="inlineStr">
        <is>
          <t>a1-8c</t>
        </is>
      </c>
      <c r="E451" s="2" t="inlineStr">
        <is>
          <t>2.0mm</t>
        </is>
      </c>
      <c r="F451" s="2" t="n">
        <v>8</v>
      </c>
      <c r="G451" s="2" t="n">
        <v>10</v>
      </c>
      <c r="H451" s="2" t="inlineStr">
        <is>
          <t>SC/PC</t>
        </is>
      </c>
      <c r="I451" s="2" t="inlineStr">
        <is>
          <t>SC/PC</t>
        </is>
      </c>
      <c r="J451" s="2" t="n">
        <v>10</v>
      </c>
      <c r="K451" s="2" t="n">
        <v>15</v>
      </c>
      <c r="L451" s="2" t="n">
        <v>8</v>
      </c>
      <c r="M451" s="2" t="n"/>
      <c r="N451" s="2" t="n"/>
      <c r="O451" s="2" t="n"/>
      <c r="P451" s="2" t="n"/>
      <c r="Q451" s="2" t="n"/>
      <c r="R451" s="2" t="n"/>
      <c r="S451" s="2" t="n"/>
      <c r="T451" s="2" t="n">
        <v>5</v>
      </c>
      <c r="U451" s="2" t="n">
        <v>60</v>
      </c>
      <c r="V451" s="2">
        <f>SUM(J451:U451)*G451</f>
        <v/>
      </c>
      <c r="W451" s="2">
        <f>MAX(J451:U451)</f>
        <v/>
      </c>
      <c r="X451" s="2">
        <f>W451*G451</f>
        <v/>
      </c>
    </row>
    <row r="452">
      <c r="A452" s="2" t="inlineStr">
        <is>
          <t>14-K-474</t>
        </is>
      </c>
      <c r="B452" s="3" t="inlineStr">
        <is>
          <t>OJC-C2-SC/SC-SM-15-PC/PC-12C</t>
        </is>
      </c>
      <c r="C452" s="2" t="inlineStr">
        <is>
          <t>K9089453</t>
        </is>
      </c>
      <c r="D452" s="2" t="inlineStr">
        <is>
          <t>a1-12c</t>
        </is>
      </c>
      <c r="E452" s="2" t="inlineStr">
        <is>
          <t>2.0mm</t>
        </is>
      </c>
      <c r="F452" s="2" t="n">
        <v>12</v>
      </c>
      <c r="G452" s="2" t="n">
        <v>15</v>
      </c>
      <c r="H452" s="2" t="inlineStr">
        <is>
          <t>SC/PC</t>
        </is>
      </c>
      <c r="I452" s="2" t="inlineStr">
        <is>
          <t>SC/PC</t>
        </is>
      </c>
      <c r="J452" s="2" t="n"/>
      <c r="K452" s="2" t="n"/>
      <c r="L452" s="2" t="n"/>
      <c r="M452" s="2" t="n">
        <v>6</v>
      </c>
      <c r="N452" s="2" t="n"/>
      <c r="O452" s="2" t="n"/>
      <c r="P452" s="2" t="n"/>
      <c r="Q452" s="2" t="n">
        <v>20</v>
      </c>
      <c r="R452" s="2" t="n"/>
      <c r="S452" s="2" t="n"/>
      <c r="T452" s="2" t="n"/>
      <c r="U452" s="2" t="n"/>
      <c r="V452" s="2">
        <f>SUM(J452:U452)*G452</f>
        <v/>
      </c>
      <c r="W452" s="2">
        <f>MAX(J452:U452)</f>
        <v/>
      </c>
      <c r="X452" s="2">
        <f>W452*G452</f>
        <v/>
      </c>
    </row>
    <row r="453">
      <c r="A453" s="2" t="inlineStr">
        <is>
          <t>14-K-533</t>
        </is>
      </c>
      <c r="B453" s="3" t="inlineStr">
        <is>
          <t>OJC-C2-SC/SC-SM-3-PC/PC-16C</t>
        </is>
      </c>
      <c r="C453" s="2" t="inlineStr">
        <is>
          <t>K9094339</t>
        </is>
      </c>
      <c r="D453" s="2" t="inlineStr">
        <is>
          <t>a1-16c</t>
        </is>
      </c>
      <c r="E453" s="2" t="inlineStr">
        <is>
          <t>2.0mm</t>
        </is>
      </c>
      <c r="F453" s="2" t="n">
        <v>16</v>
      </c>
      <c r="G453" s="2" t="n">
        <v>3</v>
      </c>
      <c r="H453" s="2" t="inlineStr">
        <is>
          <t>SC/PC</t>
        </is>
      </c>
      <c r="I453" s="2" t="inlineStr">
        <is>
          <t>SC/PC</t>
        </is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>
        <v>200</v>
      </c>
      <c r="S453" s="2" t="n"/>
      <c r="T453" s="2" t="n"/>
      <c r="U453" s="2" t="n"/>
      <c r="V453" s="2">
        <f>SUM(J453:U453)*G453</f>
        <v/>
      </c>
      <c r="W453" s="2">
        <f>MAX(J453:U453)</f>
        <v/>
      </c>
      <c r="X453" s="2">
        <f>W453*G453</f>
        <v/>
      </c>
    </row>
    <row r="454">
      <c r="A454" s="2" t="inlineStr">
        <is>
          <t>14-K-546</t>
        </is>
      </c>
      <c r="B454" s="3" t="inlineStr">
        <is>
          <t>OJC-C2-SC/SC-SM-50-PC/PC-20C</t>
        </is>
      </c>
      <c r="C454" s="2" t="inlineStr">
        <is>
          <t>K9094342</t>
        </is>
      </c>
      <c r="D454" s="2" t="inlineStr">
        <is>
          <t>a1-20c</t>
        </is>
      </c>
      <c r="E454" s="2" t="inlineStr">
        <is>
          <t>2.0mm</t>
        </is>
      </c>
      <c r="F454" s="2" t="n">
        <v>20</v>
      </c>
      <c r="G454" s="2" t="n">
        <v>50</v>
      </c>
      <c r="H454" s="2" t="inlineStr">
        <is>
          <t>SC/PC</t>
        </is>
      </c>
      <c r="I454" s="2" t="inlineStr">
        <is>
          <t>SC/PC</t>
        </is>
      </c>
      <c r="J454" s="2" t="n"/>
      <c r="K454" s="2" t="n"/>
      <c r="L454" s="2" t="n"/>
      <c r="M454" s="2" t="n"/>
      <c r="N454" s="2" t="n">
        <v>4</v>
      </c>
      <c r="O454" s="2" t="n"/>
      <c r="P454" s="2" t="n"/>
      <c r="Q454" s="2" t="n"/>
      <c r="R454" s="2" t="n"/>
      <c r="S454" s="2" t="n"/>
      <c r="T454" s="2" t="n"/>
      <c r="U454" s="2" t="n"/>
      <c r="V454" s="2">
        <f>SUM(J454:U454)*G454</f>
        <v/>
      </c>
      <c r="W454" s="2">
        <f>MAX(J454:U454)</f>
        <v/>
      </c>
      <c r="X454" s="2">
        <f>W454*G454</f>
        <v/>
      </c>
    </row>
    <row r="455">
      <c r="A455" s="2" t="inlineStr">
        <is>
          <t>14-K-550</t>
        </is>
      </c>
      <c r="B455" s="3" t="inlineStr">
        <is>
          <t>OJC-C2-SC/SC-SM-5-PC/PC-16C</t>
        </is>
      </c>
      <c r="C455" s="2" t="inlineStr">
        <is>
          <t>K9094339</t>
        </is>
      </c>
      <c r="D455" s="2" t="inlineStr">
        <is>
          <t>a1-16c</t>
        </is>
      </c>
      <c r="E455" s="2" t="inlineStr">
        <is>
          <t>2.0mm</t>
        </is>
      </c>
      <c r="F455" s="2" t="n">
        <v>16</v>
      </c>
      <c r="G455" s="2" t="n">
        <v>5</v>
      </c>
      <c r="H455" s="2" t="inlineStr">
        <is>
          <t>SC/PC</t>
        </is>
      </c>
      <c r="I455" s="2" t="inlineStr">
        <is>
          <t>SC/PC</t>
        </is>
      </c>
      <c r="J455" s="2" t="n"/>
      <c r="K455" s="2" t="n"/>
      <c r="L455" s="2" t="n"/>
      <c r="M455" s="2" t="n"/>
      <c r="N455" s="2" t="n"/>
      <c r="O455" s="2" t="n"/>
      <c r="P455" s="2" t="n"/>
      <c r="Q455" s="2" t="n">
        <v>45</v>
      </c>
      <c r="R455" s="2" t="n">
        <v>55</v>
      </c>
      <c r="S455" s="2" t="n">
        <v>44</v>
      </c>
      <c r="T455" s="2" t="n"/>
      <c r="U455" s="2" t="n"/>
      <c r="V455" s="2">
        <f>SUM(J455:U455)*G455</f>
        <v/>
      </c>
      <c r="W455" s="2">
        <f>MAX(J455:U455)</f>
        <v/>
      </c>
      <c r="X455" s="2">
        <f>W455*G455</f>
        <v/>
      </c>
    </row>
    <row r="456">
      <c r="A456" s="2" t="inlineStr">
        <is>
          <t>14-K-594</t>
        </is>
      </c>
      <c r="B456" s="3" t="inlineStr">
        <is>
          <t>OJC-A1-SC/LC-SM-18-PC/PC-DP</t>
        </is>
      </c>
      <c r="C456" s="2" t="inlineStr"/>
      <c r="D456" s="2" t="inlineStr">
        <is>
          <t>a1</t>
        </is>
      </c>
      <c r="E456" s="2" t="inlineStr">
        <is>
          <t>2.0mm</t>
        </is>
      </c>
      <c r="F456" s="2" t="n">
        <v>2</v>
      </c>
      <c r="G456" s="2" t="n">
        <v>18</v>
      </c>
      <c r="H456" s="2" t="inlineStr">
        <is>
          <t>SC/PC</t>
        </is>
      </c>
      <c r="I456" s="2" t="inlineStr">
        <is>
          <t>LC/PC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>
        <v>50</v>
      </c>
      <c r="T456" s="2" t="n"/>
      <c r="U456" s="2" t="n"/>
      <c r="V456" s="2">
        <f>SUM(J456:U456)*G456</f>
        <v/>
      </c>
      <c r="W456" s="2">
        <f>MAX(J456:U456)</f>
        <v/>
      </c>
      <c r="X456" s="2">
        <f>W456*G456</f>
        <v/>
      </c>
    </row>
    <row r="457">
      <c r="A457" s="2" t="inlineStr">
        <is>
          <t>14-K-604</t>
        </is>
      </c>
      <c r="B457" s="3" t="inlineStr">
        <is>
          <t>OJC-A1-SC/SC-SM-1.5-PC/PC-DP</t>
        </is>
      </c>
      <c r="C457" s="2" t="inlineStr"/>
      <c r="D457" s="2" t="inlineStr">
        <is>
          <t>a1</t>
        </is>
      </c>
      <c r="E457" s="2" t="inlineStr">
        <is>
          <t>2.0mm</t>
        </is>
      </c>
      <c r="F457" s="2" t="n">
        <v>2</v>
      </c>
      <c r="G457" s="2" t="n">
        <v>1.5</v>
      </c>
      <c r="H457" s="2" t="inlineStr">
        <is>
          <t>SC/PC</t>
        </is>
      </c>
      <c r="I457" s="2" t="inlineStr">
        <is>
          <t>SC/PC</t>
        </is>
      </c>
      <c r="J457" s="2" t="n"/>
      <c r="K457" s="2" t="n"/>
      <c r="L457" s="2" t="n">
        <v>100</v>
      </c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>
        <f>SUM(J457:U457)*G457</f>
        <v/>
      </c>
      <c r="W457" s="2">
        <f>MAX(J457:U457)</f>
        <v/>
      </c>
      <c r="X457" s="2">
        <f>W457*G457</f>
        <v/>
      </c>
    </row>
    <row r="458">
      <c r="A458" s="2" t="inlineStr">
        <is>
          <t>14-K-616</t>
        </is>
      </c>
      <c r="B458" s="3" t="inlineStr">
        <is>
          <t>OJC-A1-LC/LC-SM-6-PC/PC-DP</t>
        </is>
      </c>
      <c r="C458" s="2" t="inlineStr"/>
      <c r="D458" s="2" t="inlineStr">
        <is>
          <t>a1</t>
        </is>
      </c>
      <c r="E458" s="2" t="inlineStr">
        <is>
          <t>2.0mm</t>
        </is>
      </c>
      <c r="F458" s="2" t="n">
        <v>2</v>
      </c>
      <c r="G458" s="2" t="n">
        <v>6</v>
      </c>
      <c r="H458" s="2" t="inlineStr">
        <is>
          <t>LC/PC</t>
        </is>
      </c>
      <c r="I458" s="2" t="inlineStr">
        <is>
          <t>LC/PC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>
        <v>30</v>
      </c>
      <c r="S458" s="2" t="n"/>
      <c r="T458" s="2" t="n"/>
      <c r="U458" s="2" t="n"/>
      <c r="V458" s="2">
        <f>SUM(J458:U458)*G458</f>
        <v/>
      </c>
      <c r="W458" s="2">
        <f>MAX(J458:U458)</f>
        <v/>
      </c>
      <c r="X458" s="2">
        <f>W458*G458</f>
        <v/>
      </c>
    </row>
    <row r="459">
      <c r="A459" s="2" t="inlineStr">
        <is>
          <t>14-K-628</t>
        </is>
      </c>
      <c r="B459" s="3" t="inlineStr">
        <is>
          <t>OJC-A1-LC/LC-MM(OM3)-28-PC/PC-DP</t>
        </is>
      </c>
      <c r="C459" s="2" t="inlineStr"/>
      <c r="D459" s="2" t="inlineStr">
        <is>
          <t>om3</t>
        </is>
      </c>
      <c r="E459" s="2" t="inlineStr">
        <is>
          <t>2.0mm</t>
        </is>
      </c>
      <c r="F459" s="2" t="n">
        <v>2</v>
      </c>
      <c r="G459" s="2" t="n">
        <v>28</v>
      </c>
      <c r="H459" s="2" t="inlineStr">
        <is>
          <t>LC/PC</t>
        </is>
      </c>
      <c r="I459" s="2" t="inlineStr">
        <is>
          <t>LC/PC</t>
        </is>
      </c>
      <c r="J459" s="2" t="n">
        <v>1</v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>
        <f>SUM(J459:U459)*G459</f>
        <v/>
      </c>
      <c r="W459" s="2">
        <f>MAX(J459:U459)</f>
        <v/>
      </c>
      <c r="X459" s="2">
        <f>W459*G459</f>
        <v/>
      </c>
    </row>
    <row r="460">
      <c r="A460" s="2" t="inlineStr">
        <is>
          <t>14-K-629</t>
        </is>
      </c>
      <c r="B460" s="3" t="inlineStr">
        <is>
          <t>OJC-A1-SC/LC-MM(OM3)-35-PC/PC-DP</t>
        </is>
      </c>
      <c r="C460" s="2" t="inlineStr"/>
      <c r="D460" s="2" t="inlineStr">
        <is>
          <t>om3</t>
        </is>
      </c>
      <c r="E460" s="2" t="inlineStr">
        <is>
          <t>2.0mm</t>
        </is>
      </c>
      <c r="F460" s="2" t="n">
        <v>2</v>
      </c>
      <c r="G460" s="2" t="n">
        <v>35</v>
      </c>
      <c r="H460" s="2" t="inlineStr">
        <is>
          <t>SC/PC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>
        <v>4</v>
      </c>
      <c r="O460" s="2" t="n"/>
      <c r="P460" s="2" t="n"/>
      <c r="Q460" s="2" t="n"/>
      <c r="R460" s="2" t="n"/>
      <c r="S460" s="2" t="n"/>
      <c r="T460" s="2" t="n"/>
      <c r="U460" s="2" t="n"/>
      <c r="V460" s="2">
        <f>SUM(J460:U460)*G460</f>
        <v/>
      </c>
      <c r="W460" s="2">
        <f>MAX(J460:U460)</f>
        <v/>
      </c>
      <c r="X460" s="2">
        <f>W460*G460</f>
        <v/>
      </c>
    </row>
    <row r="461">
      <c r="A461" s="2" t="inlineStr">
        <is>
          <t>14-K-638</t>
        </is>
      </c>
      <c r="B461" s="3" t="inlineStr">
        <is>
          <t>OJC-A1-SC/SC-SM-9-PC/PC-SP</t>
        </is>
      </c>
      <c r="C461" s="2" t="inlineStr">
        <is>
          <t>K9089002</t>
        </is>
      </c>
      <c r="D461" s="2" t="inlineStr">
        <is>
          <t>a1</t>
        </is>
      </c>
      <c r="E461" s="2" t="inlineStr">
        <is>
          <t>2.0mm</t>
        </is>
      </c>
      <c r="F461" s="2" t="n">
        <v>1</v>
      </c>
      <c r="G461" s="2" t="n">
        <v>9</v>
      </c>
      <c r="H461" s="2" t="inlineStr">
        <is>
          <t>SC/PC</t>
        </is>
      </c>
      <c r="I461" s="2" t="inlineStr">
        <is>
          <t>SC/PC</t>
        </is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>
        <v>100</v>
      </c>
      <c r="U461" s="2" t="n"/>
      <c r="V461" s="2">
        <f>SUM(J461:U461)*G461</f>
        <v/>
      </c>
      <c r="W461" s="2">
        <f>MAX(J461:U461)</f>
        <v/>
      </c>
      <c r="X461" s="2">
        <f>W461*G461</f>
        <v/>
      </c>
    </row>
    <row r="462">
      <c r="A462" s="2" t="inlineStr">
        <is>
          <t>14-K-639</t>
        </is>
      </c>
      <c r="B462" s="3" t="inlineStr">
        <is>
          <t>OJC-A1-SC/SC-SM-11-PC/PC-SP</t>
        </is>
      </c>
      <c r="C462" s="2" t="inlineStr">
        <is>
          <t>K9089004</t>
        </is>
      </c>
      <c r="D462" s="2" t="inlineStr">
        <is>
          <t>a1</t>
        </is>
      </c>
      <c r="E462" s="2" t="inlineStr">
        <is>
          <t>2.0mm</t>
        </is>
      </c>
      <c r="F462" s="2" t="n">
        <v>1</v>
      </c>
      <c r="G462" s="2" t="n">
        <v>11</v>
      </c>
      <c r="H462" s="2" t="inlineStr">
        <is>
          <t>SC/PC</t>
        </is>
      </c>
      <c r="I462" s="2" t="inlineStr">
        <is>
          <t>SC/PC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>
        <v>100</v>
      </c>
      <c r="U462" s="2" t="n"/>
      <c r="V462" s="2">
        <f>SUM(J462:U462)*G462</f>
        <v/>
      </c>
      <c r="W462" s="2">
        <f>MAX(J462:U462)</f>
        <v/>
      </c>
      <c r="X462" s="2">
        <f>W462*G462</f>
        <v/>
      </c>
    </row>
    <row r="463">
      <c r="A463" s="2" t="inlineStr">
        <is>
          <t>14-K-640</t>
        </is>
      </c>
      <c r="B463" s="3" t="inlineStr">
        <is>
          <t>OJC-A1-LC/LC-MM-7-PC/PC-DP</t>
        </is>
      </c>
      <c r="C463" s="2" t="inlineStr"/>
      <c r="D463" s="2" t="inlineStr">
        <is>
          <t>om1</t>
        </is>
      </c>
      <c r="E463" s="2" t="inlineStr">
        <is>
          <t>2.0mm</t>
        </is>
      </c>
      <c r="F463" s="2" t="n">
        <v>2</v>
      </c>
      <c r="G463" s="2" t="n">
        <v>7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/>
      <c r="O463" s="2" t="n"/>
      <c r="P463" s="2" t="n">
        <v>4</v>
      </c>
      <c r="Q463" s="2" t="n"/>
      <c r="R463" s="2" t="n"/>
      <c r="S463" s="2" t="n">
        <v>7</v>
      </c>
      <c r="T463" s="2" t="n"/>
      <c r="U463" s="2" t="n"/>
      <c r="V463" s="2">
        <f>SUM(J463:U463)*G463</f>
        <v/>
      </c>
      <c r="W463" s="2">
        <f>MAX(J463:U463)</f>
        <v/>
      </c>
      <c r="X463" s="2">
        <f>W463*G463</f>
        <v/>
      </c>
    </row>
    <row r="464">
      <c r="A464" s="2" t="inlineStr">
        <is>
          <t>14-K-641</t>
        </is>
      </c>
      <c r="B464" s="3" t="inlineStr">
        <is>
          <t>OJC-A1-LC/LC-MM-8-PC/PC-DP</t>
        </is>
      </c>
      <c r="C464" s="2" t="inlineStr"/>
      <c r="D464" s="2" t="inlineStr">
        <is>
          <t>om1</t>
        </is>
      </c>
      <c r="E464" s="2" t="inlineStr">
        <is>
          <t>2.0mm</t>
        </is>
      </c>
      <c r="F464" s="2" t="n">
        <v>2</v>
      </c>
      <c r="G464" s="2" t="n">
        <v>8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/>
      <c r="O464" s="2" t="n"/>
      <c r="P464" s="2" t="n">
        <v>4</v>
      </c>
      <c r="Q464" s="2" t="n"/>
      <c r="R464" s="2" t="n"/>
      <c r="S464" s="2" t="n"/>
      <c r="T464" s="2" t="n"/>
      <c r="U464" s="2" t="n"/>
      <c r="V464" s="2">
        <f>SUM(J464:U464)*G464</f>
        <v/>
      </c>
      <c r="W464" s="2">
        <f>MAX(J464:U464)</f>
        <v/>
      </c>
      <c r="X464" s="2">
        <f>W464*G464</f>
        <v/>
      </c>
    </row>
    <row r="465">
      <c r="A465" s="2" t="inlineStr">
        <is>
          <t>14-K-648</t>
        </is>
      </c>
      <c r="B465" s="3" t="inlineStr">
        <is>
          <t>OJC-A1-LC/LC-MM(OM3)-45-PC/PC-DP</t>
        </is>
      </c>
      <c r="C465" s="2" t="inlineStr"/>
      <c r="D465" s="2" t="inlineStr">
        <is>
          <t>om3</t>
        </is>
      </c>
      <c r="E465" s="2" t="inlineStr">
        <is>
          <t>2.0mm</t>
        </is>
      </c>
      <c r="F465" s="2" t="n">
        <v>2</v>
      </c>
      <c r="G465" s="2" t="n">
        <v>45</v>
      </c>
      <c r="H465" s="2" t="inlineStr">
        <is>
          <t>LC/PC</t>
        </is>
      </c>
      <c r="I465" s="2" t="inlineStr">
        <is>
          <t>LC/PC</t>
        </is>
      </c>
      <c r="J465" s="2" t="n">
        <v>10</v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>
        <v>10</v>
      </c>
      <c r="T465" s="2" t="n"/>
      <c r="U465" s="2" t="n"/>
      <c r="V465" s="2">
        <f>SUM(J465:U465)*G465</f>
        <v/>
      </c>
      <c r="W465" s="2">
        <f>MAX(J465:U465)</f>
        <v/>
      </c>
      <c r="X465" s="2">
        <f>W465*G465</f>
        <v/>
      </c>
    </row>
    <row r="466">
      <c r="A466" s="2" t="inlineStr">
        <is>
          <t>14-K-651</t>
        </is>
      </c>
      <c r="B466" s="3" t="inlineStr">
        <is>
          <t>OJC-A1-SC/LC-SM-10-PC/PC-DP</t>
        </is>
      </c>
      <c r="C466" s="2" t="inlineStr">
        <is>
          <t>K9089162_청색</t>
        </is>
      </c>
      <c r="D466" s="2" t="inlineStr">
        <is>
          <t>a1-청</t>
        </is>
      </c>
      <c r="E466" s="2" t="inlineStr">
        <is>
          <t>2.0mm</t>
        </is>
      </c>
      <c r="F466" s="2" t="n">
        <v>2</v>
      </c>
      <c r="G466" s="2" t="n">
        <v>10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>
        <v>50</v>
      </c>
      <c r="T466" s="2" t="n"/>
      <c r="U466" s="2" t="n"/>
      <c r="V466" s="2">
        <f>SUM(J466:U466)*G466</f>
        <v/>
      </c>
      <c r="W466" s="2">
        <f>MAX(J466:U466)</f>
        <v/>
      </c>
      <c r="X466" s="2">
        <f>W466*G466</f>
        <v/>
      </c>
    </row>
    <row r="467">
      <c r="A467" s="2" t="inlineStr">
        <is>
          <t>14-K-652</t>
        </is>
      </c>
      <c r="B467" s="3" t="inlineStr">
        <is>
          <t>OJC-A1-SC/LC-SM-15-PC/PC-DP</t>
        </is>
      </c>
      <c r="C467" s="2" t="inlineStr">
        <is>
          <t>K9089163_청색</t>
        </is>
      </c>
      <c r="D467" s="2" t="inlineStr">
        <is>
          <t>a1-청</t>
        </is>
      </c>
      <c r="E467" s="2" t="inlineStr">
        <is>
          <t>2.0mm</t>
        </is>
      </c>
      <c r="F467" s="2" t="n">
        <v>2</v>
      </c>
      <c r="G467" s="2" t="n">
        <v>15</v>
      </c>
      <c r="H467" s="2" t="inlineStr">
        <is>
          <t>SC/PC</t>
        </is>
      </c>
      <c r="I467" s="2" t="inlineStr">
        <is>
          <t>LC/PC</t>
        </is>
      </c>
      <c r="J467" s="2" t="n"/>
      <c r="K467" s="2" t="n"/>
      <c r="L467" s="2" t="n"/>
      <c r="M467" s="2" t="n"/>
      <c r="N467" s="2" t="n"/>
      <c r="O467" s="2" t="n">
        <v>50</v>
      </c>
      <c r="P467" s="2" t="n"/>
      <c r="Q467" s="2" t="n"/>
      <c r="R467" s="2" t="n">
        <v>50</v>
      </c>
      <c r="S467" s="2" t="n">
        <v>50</v>
      </c>
      <c r="T467" s="2" t="n"/>
      <c r="U467" s="2" t="n"/>
      <c r="V467" s="2">
        <f>SUM(J467:U467)*G467</f>
        <v/>
      </c>
      <c r="W467" s="2">
        <f>MAX(J467:U467)</f>
        <v/>
      </c>
      <c r="X467" s="2">
        <f>W467*G467</f>
        <v/>
      </c>
    </row>
    <row r="468">
      <c r="A468" s="2" t="inlineStr">
        <is>
          <t>14-K-653</t>
        </is>
      </c>
      <c r="B468" s="3" t="inlineStr">
        <is>
          <t>OJC-A1-SC/LC-SM-20-PC/PC-DP</t>
        </is>
      </c>
      <c r="C468" s="2" t="inlineStr">
        <is>
          <t>K9089164_청색</t>
        </is>
      </c>
      <c r="D468" s="2" t="inlineStr">
        <is>
          <t>a1-청</t>
        </is>
      </c>
      <c r="E468" s="2" t="inlineStr">
        <is>
          <t>2.0mm</t>
        </is>
      </c>
      <c r="F468" s="2" t="n">
        <v>2</v>
      </c>
      <c r="G468" s="2" t="n">
        <v>20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>
        <v>50</v>
      </c>
      <c r="T468" s="2" t="n"/>
      <c r="U468" s="2" t="n"/>
      <c r="V468" s="2">
        <f>SUM(J468:U468)*G468</f>
        <v/>
      </c>
      <c r="W468" s="2">
        <f>MAX(J468:U468)</f>
        <v/>
      </c>
      <c r="X468" s="2">
        <f>W468*G468</f>
        <v/>
      </c>
    </row>
    <row r="469">
      <c r="A469" s="2" t="inlineStr">
        <is>
          <t>14-K-663</t>
        </is>
      </c>
      <c r="B469" s="3" t="inlineStr">
        <is>
          <t>OJC-A1-LC/LC-MM(OM3)-40-PC/PC-DP</t>
        </is>
      </c>
      <c r="C469" s="2" t="inlineStr"/>
      <c r="D469" s="2" t="inlineStr">
        <is>
          <t>om3</t>
        </is>
      </c>
      <c r="E469" s="2" t="inlineStr">
        <is>
          <t>2.0mm</t>
        </is>
      </c>
      <c r="F469" s="2" t="n">
        <v>2</v>
      </c>
      <c r="G469" s="2" t="n">
        <v>40</v>
      </c>
      <c r="H469" s="2" t="inlineStr">
        <is>
          <t>LC/PC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>
        <v>8</v>
      </c>
      <c r="R469" s="2" t="n"/>
      <c r="S469" s="2" t="n"/>
      <c r="T469" s="2" t="n"/>
      <c r="U469" s="2" t="n"/>
      <c r="V469" s="2">
        <f>SUM(J469:U469)*G469</f>
        <v/>
      </c>
      <c r="W469" s="2">
        <f>MAX(J469:U469)</f>
        <v/>
      </c>
      <c r="X469" s="2">
        <f>W469*G469</f>
        <v/>
      </c>
    </row>
    <row r="470">
      <c r="A470" s="2" t="inlineStr">
        <is>
          <t>14-K-668</t>
        </is>
      </c>
      <c r="B470" s="3" t="inlineStr">
        <is>
          <t>OJC-A1-SC/SC-SM-25-PC/PC-DP</t>
        </is>
      </c>
      <c r="C470" s="2" t="inlineStr">
        <is>
          <t>K9089147_녹색</t>
        </is>
      </c>
      <c r="D470" s="2" t="inlineStr">
        <is>
          <t>a1-녹</t>
        </is>
      </c>
      <c r="E470" s="2" t="inlineStr">
        <is>
          <t>2.0mm</t>
        </is>
      </c>
      <c r="F470" s="2" t="n">
        <v>2</v>
      </c>
      <c r="G470" s="2" t="n">
        <v>25</v>
      </c>
      <c r="H470" s="2" t="inlineStr">
        <is>
          <t>SC/PC</t>
        </is>
      </c>
      <c r="I470" s="2" t="inlineStr">
        <is>
          <t>SC/PC</t>
        </is>
      </c>
      <c r="J470" s="2" t="n"/>
      <c r="K470" s="2" t="n">
        <v>100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>
        <f>SUM(J470:U470)*G470</f>
        <v/>
      </c>
      <c r="W470" s="2">
        <f>MAX(J470:U470)</f>
        <v/>
      </c>
      <c r="X470" s="2">
        <f>W470*G470</f>
        <v/>
      </c>
    </row>
    <row r="471">
      <c r="A471" s="2" t="inlineStr">
        <is>
          <t>14-K-670</t>
        </is>
      </c>
      <c r="B471" s="3" t="inlineStr">
        <is>
          <t>OJC-A1-SC/SC-SM-15-PC/PC-DP</t>
        </is>
      </c>
      <c r="C471" s="2" t="inlineStr">
        <is>
          <t>K9089137_녹색</t>
        </is>
      </c>
      <c r="D471" s="2" t="inlineStr">
        <is>
          <t>a1-녹</t>
        </is>
      </c>
      <c r="E471" s="2" t="inlineStr">
        <is>
          <t>2.0mm</t>
        </is>
      </c>
      <c r="F471" s="2" t="n">
        <v>2</v>
      </c>
      <c r="G471" s="2" t="n">
        <v>15</v>
      </c>
      <c r="H471" s="2" t="inlineStr">
        <is>
          <t>SC/PC</t>
        </is>
      </c>
      <c r="I471" s="2" t="inlineStr">
        <is>
          <t>SC/PC</t>
        </is>
      </c>
      <c r="J471" s="2" t="n"/>
      <c r="K471" s="2" t="n"/>
      <c r="L471" s="2" t="n"/>
      <c r="M471" s="2" t="n"/>
      <c r="N471" s="2" t="n"/>
      <c r="O471" s="2" t="n"/>
      <c r="P471" s="2" t="n">
        <v>30</v>
      </c>
      <c r="Q471" s="2" t="n"/>
      <c r="R471" s="2" t="n"/>
      <c r="S471" s="2" t="n"/>
      <c r="T471" s="2" t="n"/>
      <c r="U471" s="2" t="n">
        <v>100</v>
      </c>
      <c r="V471" s="2">
        <f>SUM(J471:U471)*G471</f>
        <v/>
      </c>
      <c r="W471" s="2">
        <f>MAX(J471:U471)</f>
        <v/>
      </c>
      <c r="X471" s="2">
        <f>W471*G471</f>
        <v/>
      </c>
    </row>
    <row r="472">
      <c r="A472" s="2" t="inlineStr">
        <is>
          <t>14-K-671</t>
        </is>
      </c>
      <c r="B472" s="3" t="inlineStr">
        <is>
          <t>OJC-A1-SC/SC-SM-20-PC/PC-SP</t>
        </is>
      </c>
      <c r="C472" s="2" t="inlineStr">
        <is>
          <t>K9089013_녹색</t>
        </is>
      </c>
      <c r="D472" s="2" t="inlineStr">
        <is>
          <t>a1-녹</t>
        </is>
      </c>
      <c r="E472" s="2" t="inlineStr">
        <is>
          <t>2.0mm</t>
        </is>
      </c>
      <c r="F472" s="2" t="n">
        <v>1</v>
      </c>
      <c r="G472" s="2" t="n">
        <v>20</v>
      </c>
      <c r="H472" s="2" t="inlineStr">
        <is>
          <t>SC/PC</t>
        </is>
      </c>
      <c r="I472" s="2" t="inlineStr">
        <is>
          <t>SC/PC</t>
        </is>
      </c>
      <c r="J472" s="2" t="n"/>
      <c r="K472" s="2" t="n"/>
      <c r="L472" s="2" t="n"/>
      <c r="M472" s="2" t="n"/>
      <c r="N472" s="2" t="n"/>
      <c r="O472" s="2" t="n">
        <v>9</v>
      </c>
      <c r="P472" s="2" t="n">
        <v>50</v>
      </c>
      <c r="Q472" s="2" t="n"/>
      <c r="R472" s="2" t="n"/>
      <c r="S472" s="2" t="n"/>
      <c r="T472" s="2" t="n"/>
      <c r="U472" s="2" t="n"/>
      <c r="V472" s="2">
        <f>SUM(J472:U472)*G472</f>
        <v/>
      </c>
      <c r="W472" s="2">
        <f>MAX(J472:U472)</f>
        <v/>
      </c>
      <c r="X472" s="2">
        <f>W472*G472</f>
        <v/>
      </c>
    </row>
    <row r="473">
      <c r="A473" s="2" t="inlineStr">
        <is>
          <t>14-K-678</t>
        </is>
      </c>
      <c r="B473" s="3" t="inlineStr">
        <is>
          <t>OJC-A1-SC/SC-SM-35-PC/PC-DP</t>
        </is>
      </c>
      <c r="C473" s="2" t="inlineStr">
        <is>
          <t>K9089153_녹색</t>
        </is>
      </c>
      <c r="D473" s="2" t="inlineStr">
        <is>
          <t>a1-녹</t>
        </is>
      </c>
      <c r="E473" s="2" t="inlineStr">
        <is>
          <t>2.0mm</t>
        </is>
      </c>
      <c r="F473" s="2" t="n">
        <v>2</v>
      </c>
      <c r="G473" s="2" t="n">
        <v>35</v>
      </c>
      <c r="H473" s="2" t="inlineStr">
        <is>
          <t>SC/PC</t>
        </is>
      </c>
      <c r="I473" s="2" t="inlineStr">
        <is>
          <t>SC/PC</t>
        </is>
      </c>
      <c r="J473" s="2" t="n"/>
      <c r="K473" s="2" t="n">
        <v>100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>
        <f>SUM(J473:U473)*G473</f>
        <v/>
      </c>
      <c r="W473" s="2">
        <f>MAX(J473:U473)</f>
        <v/>
      </c>
      <c r="X473" s="2">
        <f>W473*G473</f>
        <v/>
      </c>
    </row>
    <row r="474">
      <c r="A474" s="2" t="inlineStr">
        <is>
          <t>14-K-682</t>
        </is>
      </c>
      <c r="B474" s="3" t="inlineStr">
        <is>
          <t>OJC-A1-SC/SC-SM-25-PC/PC-DP</t>
        </is>
      </c>
      <c r="C474" s="2" t="inlineStr">
        <is>
          <t>K9089147_적색</t>
        </is>
      </c>
      <c r="D474" s="2" t="inlineStr">
        <is>
          <t>a1-적</t>
        </is>
      </c>
      <c r="E474" s="2" t="inlineStr">
        <is>
          <t>2.0mm</t>
        </is>
      </c>
      <c r="F474" s="2" t="n">
        <v>2</v>
      </c>
      <c r="G474" s="2" t="n">
        <v>25</v>
      </c>
      <c r="H474" s="2" t="inlineStr">
        <is>
          <t>SC/PC</t>
        </is>
      </c>
      <c r="I474" s="2" t="inlineStr">
        <is>
          <t>SC/PC</t>
        </is>
      </c>
      <c r="J474" s="2" t="n"/>
      <c r="K474" s="2" t="n"/>
      <c r="L474" s="2" t="n">
        <v>20</v>
      </c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>
        <f>SUM(J474:U474)*G474</f>
        <v/>
      </c>
      <c r="W474" s="2">
        <f>MAX(J474:U474)</f>
        <v/>
      </c>
      <c r="X474" s="2">
        <f>W474*G474</f>
        <v/>
      </c>
    </row>
    <row r="475">
      <c r="A475" s="2" t="inlineStr">
        <is>
          <t>14-K-683</t>
        </is>
      </c>
      <c r="B475" s="3" t="inlineStr">
        <is>
          <t>OJC-A1-SC/SC-SM-15-PC/PC-DP</t>
        </is>
      </c>
      <c r="C475" s="2" t="inlineStr">
        <is>
          <t>K9089137_적색</t>
        </is>
      </c>
      <c r="D475" s="2" t="inlineStr">
        <is>
          <t>a1-적</t>
        </is>
      </c>
      <c r="E475" s="2" t="inlineStr">
        <is>
          <t>2.0mm</t>
        </is>
      </c>
      <c r="F475" s="2" t="n">
        <v>2</v>
      </c>
      <c r="G475" s="2" t="n">
        <v>15</v>
      </c>
      <c r="H475" s="2" t="inlineStr">
        <is>
          <t>SC/PC</t>
        </is>
      </c>
      <c r="I475" s="2" t="inlineStr">
        <is>
          <t>SC/PC</t>
        </is>
      </c>
      <c r="J475" s="2" t="n"/>
      <c r="K475" s="2" t="n">
        <v>10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>
        <f>SUM(J475:U475)*G475</f>
        <v/>
      </c>
      <c r="W475" s="2">
        <f>MAX(J475:U475)</f>
        <v/>
      </c>
      <c r="X475" s="2">
        <f>W475*G475</f>
        <v/>
      </c>
    </row>
    <row r="476">
      <c r="A476" s="2" t="inlineStr">
        <is>
          <t>14-K-684</t>
        </is>
      </c>
      <c r="B476" s="3" t="inlineStr">
        <is>
          <t>OJC-A1-SC/SC-SM-10-PC/PC-DP</t>
        </is>
      </c>
      <c r="C476" s="2" t="inlineStr">
        <is>
          <t>K9089132_적색</t>
        </is>
      </c>
      <c r="D476" s="2" t="inlineStr">
        <is>
          <t>a1-적</t>
        </is>
      </c>
      <c r="E476" s="2" t="inlineStr">
        <is>
          <t>2.0mm</t>
        </is>
      </c>
      <c r="F476" s="2" t="n">
        <v>2</v>
      </c>
      <c r="G476" s="2" t="n">
        <v>10</v>
      </c>
      <c r="H476" s="2" t="inlineStr">
        <is>
          <t>SC/PC</t>
        </is>
      </c>
      <c r="I476" s="2" t="inlineStr">
        <is>
          <t>SC/PC</t>
        </is>
      </c>
      <c r="J476" s="2" t="n"/>
      <c r="K476" s="2" t="n"/>
      <c r="L476" s="2" t="n">
        <v>30</v>
      </c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>
        <f>SUM(J476:U476)*G476</f>
        <v/>
      </c>
      <c r="W476" s="2">
        <f>MAX(J476:U476)</f>
        <v/>
      </c>
      <c r="X476" s="2">
        <f>W476*G476</f>
        <v/>
      </c>
    </row>
    <row r="477">
      <c r="A477" s="2" t="inlineStr">
        <is>
          <t>14-K-696</t>
        </is>
      </c>
      <c r="B477" s="3" t="inlineStr">
        <is>
          <t>OJC-A1-SC/SC-SM-3-PC/PC-SP</t>
        </is>
      </c>
      <c r="C477" s="2" t="inlineStr">
        <is>
          <t>K9088996_적색</t>
        </is>
      </c>
      <c r="D477" s="2" t="inlineStr">
        <is>
          <t>a1-적</t>
        </is>
      </c>
      <c r="E477" s="2" t="inlineStr">
        <is>
          <t>2.0mm</t>
        </is>
      </c>
      <c r="F477" s="2" t="n">
        <v>1</v>
      </c>
      <c r="G477" s="2" t="n">
        <v>3</v>
      </c>
      <c r="H477" s="2" t="inlineStr">
        <is>
          <t>SC/PC</t>
        </is>
      </c>
      <c r="I477" s="2" t="inlineStr">
        <is>
          <t>SC/PC</t>
        </is>
      </c>
      <c r="J477" s="2" t="n"/>
      <c r="K477" s="2" t="n"/>
      <c r="L477" s="2" t="n">
        <v>50</v>
      </c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>
        <f>SUM(J477:U477)*G477</f>
        <v/>
      </c>
      <c r="W477" s="2">
        <f>MAX(J477:U477)</f>
        <v/>
      </c>
      <c r="X477" s="2">
        <f>W477*G477</f>
        <v/>
      </c>
    </row>
    <row r="478">
      <c r="A478" s="2" t="inlineStr">
        <is>
          <t>14-K-704</t>
        </is>
      </c>
      <c r="B478" s="3" t="inlineStr">
        <is>
          <t>OJC-A1-SC/SC-SM-10-PC/PC-SP</t>
        </is>
      </c>
      <c r="C478" s="2" t="inlineStr">
        <is>
          <t>K9089003_녹색</t>
        </is>
      </c>
      <c r="D478" s="2" t="inlineStr">
        <is>
          <t>a1-녹</t>
        </is>
      </c>
      <c r="E478" s="2" t="inlineStr">
        <is>
          <t>2.0mm</t>
        </is>
      </c>
      <c r="F478" s="2" t="n">
        <v>1</v>
      </c>
      <c r="G478" s="2" t="n">
        <v>10</v>
      </c>
      <c r="H478" s="2" t="inlineStr">
        <is>
          <t>SC/PC</t>
        </is>
      </c>
      <c r="I478" s="2" t="inlineStr">
        <is>
          <t>SC/PC</t>
        </is>
      </c>
      <c r="J478" s="2" t="n"/>
      <c r="K478" s="2" t="n"/>
      <c r="L478" s="2" t="n"/>
      <c r="M478" s="2" t="n"/>
      <c r="N478" s="2" t="n"/>
      <c r="O478" s="2" t="n">
        <v>24</v>
      </c>
      <c r="P478" s="2" t="n">
        <v>50</v>
      </c>
      <c r="Q478" s="2" t="n">
        <v>3</v>
      </c>
      <c r="R478" s="2" t="n"/>
      <c r="S478" s="2" t="n">
        <v>3</v>
      </c>
      <c r="T478" s="2" t="n"/>
      <c r="U478" s="2" t="n"/>
      <c r="V478" s="2">
        <f>SUM(J478:U478)*G478</f>
        <v/>
      </c>
      <c r="W478" s="2">
        <f>MAX(J478:U478)</f>
        <v/>
      </c>
      <c r="X478" s="2">
        <f>W478*G478</f>
        <v/>
      </c>
    </row>
    <row r="479">
      <c r="A479" s="2" t="inlineStr">
        <is>
          <t>14-K-705</t>
        </is>
      </c>
      <c r="B479" s="3" t="inlineStr">
        <is>
          <t>OJC-A1-SC/SC-SM-15-PC/PC-SP</t>
        </is>
      </c>
      <c r="C479" s="2" t="inlineStr">
        <is>
          <t>K9089008_녹색</t>
        </is>
      </c>
      <c r="D479" s="2" t="inlineStr">
        <is>
          <t>a1-녹</t>
        </is>
      </c>
      <c r="E479" s="2" t="inlineStr">
        <is>
          <t>2.0mm</t>
        </is>
      </c>
      <c r="F479" s="2" t="n">
        <v>1</v>
      </c>
      <c r="G479" s="2" t="n">
        <v>15</v>
      </c>
      <c r="H479" s="2" t="inlineStr">
        <is>
          <t>SC/PC</t>
        </is>
      </c>
      <c r="I479" s="2" t="inlineStr">
        <is>
          <t>SC/PC</t>
        </is>
      </c>
      <c r="J479" s="2" t="n"/>
      <c r="K479" s="2" t="n"/>
      <c r="L479" s="2" t="n"/>
      <c r="M479" s="2" t="n"/>
      <c r="N479" s="2" t="n"/>
      <c r="O479" s="2" t="n">
        <v>36</v>
      </c>
      <c r="P479" s="2" t="n">
        <v>4</v>
      </c>
      <c r="Q479" s="2" t="n">
        <v>7</v>
      </c>
      <c r="R479" s="2" t="n"/>
      <c r="S479" s="2" t="n">
        <v>6</v>
      </c>
      <c r="T479" s="2" t="n">
        <v>26</v>
      </c>
      <c r="U479" s="2" t="n">
        <v>76</v>
      </c>
      <c r="V479" s="2">
        <f>SUM(J479:U479)*G479</f>
        <v/>
      </c>
      <c r="W479" s="2">
        <f>MAX(J479:U479)</f>
        <v/>
      </c>
      <c r="X479" s="2">
        <f>W479*G479</f>
        <v/>
      </c>
    </row>
    <row r="480">
      <c r="A480" s="2" t="inlineStr">
        <is>
          <t>14-K-706</t>
        </is>
      </c>
      <c r="B480" s="3" t="inlineStr">
        <is>
          <t>OJC-A1-SC/SC-SM-3-APC/APC-SP</t>
        </is>
      </c>
      <c r="C480" s="2" t="inlineStr">
        <is>
          <t>K9089111_녹색</t>
        </is>
      </c>
      <c r="D480" s="2" t="inlineStr">
        <is>
          <t>a1-녹</t>
        </is>
      </c>
      <c r="E480" s="2" t="inlineStr">
        <is>
          <t>2.0mm</t>
        </is>
      </c>
      <c r="F480" s="2" t="n">
        <v>1</v>
      </c>
      <c r="G480" s="2" t="n">
        <v>3</v>
      </c>
      <c r="H480" s="2" t="inlineStr">
        <is>
          <t>SC/APC</t>
        </is>
      </c>
      <c r="I480" s="2" t="inlineStr">
        <is>
          <t>SC/APC</t>
        </is>
      </c>
      <c r="J480" s="2" t="n">
        <v>3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>
        <f>SUM(J480:U480)*G480</f>
        <v/>
      </c>
      <c r="W480" s="2">
        <f>MAX(J480:U480)</f>
        <v/>
      </c>
      <c r="X480" s="2">
        <f>W480*G480</f>
        <v/>
      </c>
    </row>
    <row r="481">
      <c r="A481" s="2" t="inlineStr">
        <is>
          <t>14-K-708</t>
        </is>
      </c>
      <c r="B481" s="3" t="inlineStr">
        <is>
          <t>OJC-A1-SC/SC-SM-10-PC/PC-DP</t>
        </is>
      </c>
      <c r="C481" s="2" t="inlineStr">
        <is>
          <t>K9089132_청색</t>
        </is>
      </c>
      <c r="D481" s="2" t="inlineStr">
        <is>
          <t>a1-청</t>
        </is>
      </c>
      <c r="E481" s="2" t="inlineStr">
        <is>
          <t>2.0mm</t>
        </is>
      </c>
      <c r="F481" s="2" t="n">
        <v>2</v>
      </c>
      <c r="G481" s="2" t="n">
        <v>10</v>
      </c>
      <c r="H481" s="2" t="inlineStr">
        <is>
          <t>SC/PC</t>
        </is>
      </c>
      <c r="I481" s="2" t="inlineStr">
        <is>
          <t>SC/PC</t>
        </is>
      </c>
      <c r="J481" s="2" t="n"/>
      <c r="K481" s="2" t="n"/>
      <c r="L481" s="2" t="n"/>
      <c r="M481" s="2" t="n"/>
      <c r="N481" s="2" t="n"/>
      <c r="O481" s="2" t="n"/>
      <c r="P481" s="2" t="n">
        <v>30</v>
      </c>
      <c r="Q481" s="2" t="n"/>
      <c r="R481" s="2" t="n"/>
      <c r="S481" s="2" t="n"/>
      <c r="T481" s="2" t="n">
        <v>110</v>
      </c>
      <c r="U481" s="2" t="n"/>
      <c r="V481" s="2">
        <f>SUM(J481:U481)*G481</f>
        <v/>
      </c>
      <c r="W481" s="2">
        <f>MAX(J481:U481)</f>
        <v/>
      </c>
      <c r="X481" s="2">
        <f>W481*G481</f>
        <v/>
      </c>
    </row>
    <row r="482">
      <c r="A482" s="2" t="inlineStr">
        <is>
          <t>14-K-709</t>
        </is>
      </c>
      <c r="B482" s="3" t="inlineStr">
        <is>
          <t>OJC-A1-SC/SC-SM-15-PC/PC-DP</t>
        </is>
      </c>
      <c r="C482" s="2" t="inlineStr">
        <is>
          <t>K9089137_청색</t>
        </is>
      </c>
      <c r="D482" s="2" t="inlineStr">
        <is>
          <t>a1-청</t>
        </is>
      </c>
      <c r="E482" s="2" t="inlineStr">
        <is>
          <t>2.0mm</t>
        </is>
      </c>
      <c r="F482" s="2" t="n">
        <v>2</v>
      </c>
      <c r="G482" s="2" t="n">
        <v>15</v>
      </c>
      <c r="H482" s="2" t="inlineStr">
        <is>
          <t>SC/PC</t>
        </is>
      </c>
      <c r="I482" s="2" t="inlineStr">
        <is>
          <t>SC/PC</t>
        </is>
      </c>
      <c r="J482" s="2" t="n"/>
      <c r="K482" s="2" t="n"/>
      <c r="L482" s="2" t="n"/>
      <c r="M482" s="2" t="n"/>
      <c r="N482" s="2" t="n"/>
      <c r="O482" s="2" t="n"/>
      <c r="P482" s="2" t="n">
        <v>30</v>
      </c>
      <c r="Q482" s="2" t="n"/>
      <c r="R482" s="2" t="n"/>
      <c r="S482" s="2" t="n"/>
      <c r="T482" s="2" t="n">
        <v>80</v>
      </c>
      <c r="U482" s="2" t="n"/>
      <c r="V482" s="2">
        <f>SUM(J482:U482)*G482</f>
        <v/>
      </c>
      <c r="W482" s="2">
        <f>MAX(J482:U482)</f>
        <v/>
      </c>
      <c r="X482" s="2">
        <f>W482*G482</f>
        <v/>
      </c>
    </row>
    <row r="483">
      <c r="A483" s="2" t="inlineStr">
        <is>
          <t>14-K-710</t>
        </is>
      </c>
      <c r="B483" s="3" t="inlineStr">
        <is>
          <t>OJC-A1-SC/SC-SM-20-PC/PC-DP</t>
        </is>
      </c>
      <c r="C483" s="2" t="inlineStr">
        <is>
          <t>K9089142_청색</t>
        </is>
      </c>
      <c r="D483" s="2" t="inlineStr">
        <is>
          <t>a1-청</t>
        </is>
      </c>
      <c r="E483" s="2" t="inlineStr">
        <is>
          <t>2.0mm</t>
        </is>
      </c>
      <c r="F483" s="2" t="n">
        <v>2</v>
      </c>
      <c r="G483" s="2" t="n">
        <v>20</v>
      </c>
      <c r="H483" s="2" t="inlineStr">
        <is>
          <t>SC/PC</t>
        </is>
      </c>
      <c r="I483" s="2" t="inlineStr">
        <is>
          <t>SC/PC</t>
        </is>
      </c>
      <c r="J483" s="2" t="n"/>
      <c r="K483" s="2" t="n"/>
      <c r="L483" s="2" t="n"/>
      <c r="M483" s="2" t="n"/>
      <c r="N483" s="2" t="n"/>
      <c r="O483" s="2" t="n"/>
      <c r="P483" s="2" t="n">
        <v>30</v>
      </c>
      <c r="Q483" s="2" t="n"/>
      <c r="R483" s="2" t="n"/>
      <c r="S483" s="2" t="n"/>
      <c r="T483" s="2" t="n">
        <v>30</v>
      </c>
      <c r="U483" s="2" t="n"/>
      <c r="V483" s="2">
        <f>SUM(J483:U483)*G483</f>
        <v/>
      </c>
      <c r="W483" s="2">
        <f>MAX(J483:U483)</f>
        <v/>
      </c>
      <c r="X483" s="2">
        <f>W483*G483</f>
        <v/>
      </c>
    </row>
    <row r="484">
      <c r="A484" s="2" t="inlineStr">
        <is>
          <t>14-K-711</t>
        </is>
      </c>
      <c r="B484" s="3" t="inlineStr">
        <is>
          <t>OJC-A1-SC/SC-SM-25-PC/PC-DP</t>
        </is>
      </c>
      <c r="C484" s="2" t="inlineStr">
        <is>
          <t>K9089147_청색</t>
        </is>
      </c>
      <c r="D484" s="2" t="inlineStr">
        <is>
          <t>a1-청</t>
        </is>
      </c>
      <c r="E484" s="2" t="inlineStr">
        <is>
          <t>2.0mm</t>
        </is>
      </c>
      <c r="F484" s="2" t="n">
        <v>2</v>
      </c>
      <c r="G484" s="2" t="n">
        <v>25</v>
      </c>
      <c r="H484" s="2" t="inlineStr">
        <is>
          <t>SC/PC</t>
        </is>
      </c>
      <c r="I484" s="2" t="inlineStr">
        <is>
          <t>SC/PC</t>
        </is>
      </c>
      <c r="J484" s="2" t="n"/>
      <c r="K484" s="2" t="n"/>
      <c r="L484" s="2" t="n"/>
      <c r="M484" s="2" t="n"/>
      <c r="N484" s="2" t="n"/>
      <c r="O484" s="2" t="n"/>
      <c r="P484" s="2" t="n">
        <v>30</v>
      </c>
      <c r="Q484" s="2" t="n"/>
      <c r="R484" s="2" t="n"/>
      <c r="S484" s="2" t="n"/>
      <c r="T484" s="2" t="n"/>
      <c r="U484" s="2" t="n"/>
      <c r="V484" s="2">
        <f>SUM(J484:U484)*G484</f>
        <v/>
      </c>
      <c r="W484" s="2">
        <f>MAX(J484:U484)</f>
        <v/>
      </c>
      <c r="X484" s="2">
        <f>W484*G484</f>
        <v/>
      </c>
    </row>
    <row r="485">
      <c r="A485" s="2" t="inlineStr">
        <is>
          <t>14-K-713</t>
        </is>
      </c>
      <c r="B485" s="3" t="inlineStr">
        <is>
          <t>OJC-A1-SC/SC-SM-30-PC/PC-DP</t>
        </is>
      </c>
      <c r="C485" s="2" t="inlineStr">
        <is>
          <t>K9089152_적색</t>
        </is>
      </c>
      <c r="D485" s="2" t="inlineStr">
        <is>
          <t>a1-적</t>
        </is>
      </c>
      <c r="E485" s="2" t="inlineStr">
        <is>
          <t>2.0mm</t>
        </is>
      </c>
      <c r="F485" s="2" t="n">
        <v>2</v>
      </c>
      <c r="G485" s="2" t="n">
        <v>30</v>
      </c>
      <c r="H485" s="2" t="inlineStr">
        <is>
          <t>SC/PC</t>
        </is>
      </c>
      <c r="I485" s="2" t="inlineStr">
        <is>
          <t>SC/PC</t>
        </is>
      </c>
      <c r="J485" s="2" t="n"/>
      <c r="K485" s="2" t="n"/>
      <c r="L485" s="2" t="n">
        <v>40</v>
      </c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>
        <f>SUM(J485:U485)*G485</f>
        <v/>
      </c>
      <c r="W485" s="2">
        <f>MAX(J485:U485)</f>
        <v/>
      </c>
      <c r="X485" s="2">
        <f>W485*G485</f>
        <v/>
      </c>
    </row>
    <row r="486">
      <c r="A486" s="2" t="inlineStr">
        <is>
          <t>14-K-719</t>
        </is>
      </c>
      <c r="B486" s="3" t="inlineStr">
        <is>
          <t>OJC-A1-LC/LC-SM-20-PC/PC-DP</t>
        </is>
      </c>
      <c r="C486" s="2" t="inlineStr">
        <is>
          <t>K9089178_청색</t>
        </is>
      </c>
      <c r="D486" s="2" t="inlineStr">
        <is>
          <t>a1-청</t>
        </is>
      </c>
      <c r="E486" s="2" t="inlineStr">
        <is>
          <t>2.0mm</t>
        </is>
      </c>
      <c r="F486" s="2" t="n">
        <v>2</v>
      </c>
      <c r="G486" s="2" t="n">
        <v>20</v>
      </c>
      <c r="H486" s="2" t="inlineStr">
        <is>
          <t>LC/PC</t>
        </is>
      </c>
      <c r="I486" s="2" t="inlineStr">
        <is>
          <t>LC/PC</t>
        </is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>
        <v>50</v>
      </c>
      <c r="T486" s="2" t="n"/>
      <c r="U486" s="2" t="n"/>
      <c r="V486" s="2">
        <f>SUM(J486:U486)*G486</f>
        <v/>
      </c>
      <c r="W486" s="2">
        <f>MAX(J486:U486)</f>
        <v/>
      </c>
      <c r="X486" s="2">
        <f>W486*G486</f>
        <v/>
      </c>
    </row>
    <row r="487">
      <c r="A487" s="2" t="inlineStr">
        <is>
          <t>14-K-720</t>
        </is>
      </c>
      <c r="B487" s="3" t="inlineStr">
        <is>
          <t>OJC-A1-LC/LC-SM-15-PC/PC-DP</t>
        </is>
      </c>
      <c r="C487" s="2" t="inlineStr">
        <is>
          <t>K9089177_청색</t>
        </is>
      </c>
      <c r="D487" s="2" t="inlineStr">
        <is>
          <t>a1-청</t>
        </is>
      </c>
      <c r="E487" s="2" t="inlineStr">
        <is>
          <t>2.0mm</t>
        </is>
      </c>
      <c r="F487" s="2" t="n">
        <v>2</v>
      </c>
      <c r="G487" s="2" t="n">
        <v>15</v>
      </c>
      <c r="H487" s="2" t="inlineStr">
        <is>
          <t>LC/PC</t>
        </is>
      </c>
      <c r="I487" s="2" t="inlineStr">
        <is>
          <t>LC/PC</t>
        </is>
      </c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>
        <v>50</v>
      </c>
      <c r="T487" s="2" t="n"/>
      <c r="U487" s="2" t="n"/>
      <c r="V487" s="2">
        <f>SUM(J487:U487)*G487</f>
        <v/>
      </c>
      <c r="W487" s="2">
        <f>MAX(J487:U487)</f>
        <v/>
      </c>
      <c r="X487" s="2">
        <f>W487*G487</f>
        <v/>
      </c>
    </row>
    <row r="488">
      <c r="A488" s="2" t="inlineStr">
        <is>
          <t>14-K-721</t>
        </is>
      </c>
      <c r="B488" s="3" t="inlineStr">
        <is>
          <t>OJC-A1-LC/LC-SM-10-PC/PC-DP</t>
        </is>
      </c>
      <c r="C488" s="2" t="inlineStr">
        <is>
          <t>K9089176_청색</t>
        </is>
      </c>
      <c r="D488" s="2" t="inlineStr">
        <is>
          <t>a1-청</t>
        </is>
      </c>
      <c r="E488" s="2" t="inlineStr">
        <is>
          <t>2.0mm</t>
        </is>
      </c>
      <c r="F488" s="2" t="n">
        <v>2</v>
      </c>
      <c r="G488" s="2" t="n">
        <v>10</v>
      </c>
      <c r="H488" s="2" t="inlineStr">
        <is>
          <t>LC/PC</t>
        </is>
      </c>
      <c r="I488" s="2" t="inlineStr">
        <is>
          <t>LC/PC</t>
        </is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>
        <v>50</v>
      </c>
      <c r="S488" s="2" t="n">
        <v>50</v>
      </c>
      <c r="T488" s="2" t="n"/>
      <c r="U488" s="2" t="n"/>
      <c r="V488" s="2">
        <f>SUM(J488:U488)*G488</f>
        <v/>
      </c>
      <c r="W488" s="2">
        <f>MAX(J488:U488)</f>
        <v/>
      </c>
      <c r="X488" s="2">
        <f>W488*G488</f>
        <v/>
      </c>
    </row>
    <row r="489">
      <c r="A489" s="2" t="inlineStr">
        <is>
          <t>14-K-724</t>
        </is>
      </c>
      <c r="B489" s="3" t="inlineStr">
        <is>
          <t>OJC-A1-SC/SC-SM-25-PC/PC-SP</t>
        </is>
      </c>
      <c r="C489" s="2" t="inlineStr">
        <is>
          <t>K9089018_녹색</t>
        </is>
      </c>
      <c r="D489" s="2" t="inlineStr">
        <is>
          <t>a1-녹</t>
        </is>
      </c>
      <c r="E489" s="2" t="inlineStr">
        <is>
          <t>2.0mm</t>
        </is>
      </c>
      <c r="F489" s="2" t="n">
        <v>1</v>
      </c>
      <c r="G489" s="2" t="n">
        <v>25</v>
      </c>
      <c r="H489" s="2" t="inlineStr">
        <is>
          <t>SC/PC</t>
        </is>
      </c>
      <c r="I489" s="2" t="inlineStr">
        <is>
          <t>SC/PC</t>
        </is>
      </c>
      <c r="J489" s="2" t="n"/>
      <c r="K489" s="2" t="n"/>
      <c r="L489" s="2" t="n"/>
      <c r="M489" s="2" t="n"/>
      <c r="N489" s="2" t="n"/>
      <c r="O489" s="2" t="n"/>
      <c r="P489" s="2" t="n">
        <v>50</v>
      </c>
      <c r="Q489" s="2" t="n"/>
      <c r="R489" s="2" t="n"/>
      <c r="S489" s="2" t="n"/>
      <c r="T489" s="2" t="n"/>
      <c r="U489" s="2" t="n"/>
      <c r="V489" s="2">
        <f>SUM(J489:U489)*G489</f>
        <v/>
      </c>
      <c r="W489" s="2">
        <f>MAX(J489:U489)</f>
        <v/>
      </c>
      <c r="X489" s="2">
        <f>W489*G489</f>
        <v/>
      </c>
    </row>
    <row r="490">
      <c r="A490" s="2" t="inlineStr">
        <is>
          <t>14-K-732</t>
        </is>
      </c>
      <c r="B490" s="3" t="inlineStr">
        <is>
          <t>OJC-C2-SC/SC-SM-20-PC/PC-16C</t>
        </is>
      </c>
      <c r="C490" s="2" t="inlineStr">
        <is>
          <t>K9094339</t>
        </is>
      </c>
      <c r="D490" s="2" t="inlineStr">
        <is>
          <t>a1-16c</t>
        </is>
      </c>
      <c r="E490" s="2" t="inlineStr">
        <is>
          <t>2.0mm</t>
        </is>
      </c>
      <c r="F490" s="2" t="n">
        <v>16</v>
      </c>
      <c r="G490" s="2" t="n">
        <v>20</v>
      </c>
      <c r="H490" s="2" t="inlineStr">
        <is>
          <t>SC/PC</t>
        </is>
      </c>
      <c r="I490" s="2" t="inlineStr">
        <is>
          <t>SC/PC</t>
        </is>
      </c>
      <c r="J490" s="2" t="n"/>
      <c r="K490" s="2" t="n"/>
      <c r="L490" s="2" t="n"/>
      <c r="M490" s="2" t="n"/>
      <c r="N490" s="2" t="n"/>
      <c r="O490" s="2" t="n"/>
      <c r="P490" s="2" t="n"/>
      <c r="Q490" s="2" t="n">
        <v>10</v>
      </c>
      <c r="R490" s="2" t="n"/>
      <c r="S490" s="2" t="n"/>
      <c r="T490" s="2" t="n"/>
      <c r="U490" s="2" t="n"/>
      <c r="V490" s="2">
        <f>SUM(J490:U490)*G490</f>
        <v/>
      </c>
      <c r="W490" s="2">
        <f>MAX(J490:U490)</f>
        <v/>
      </c>
      <c r="X490" s="2">
        <f>W490*G490</f>
        <v/>
      </c>
    </row>
    <row r="491">
      <c r="A491" s="2" t="inlineStr">
        <is>
          <t>14-K-744</t>
        </is>
      </c>
      <c r="B491" s="3" t="inlineStr">
        <is>
          <t>OJC-A1-LC/LC-MM(OM3)-2-PC/PC-DP</t>
        </is>
      </c>
      <c r="C491" s="2" t="inlineStr"/>
      <c r="D491" s="2" t="inlineStr">
        <is>
          <t>om3</t>
        </is>
      </c>
      <c r="E491" s="2" t="inlineStr">
        <is>
          <t>2.0mm</t>
        </is>
      </c>
      <c r="F491" s="2" t="n">
        <v>2</v>
      </c>
      <c r="G491" s="2" t="n">
        <v>2</v>
      </c>
      <c r="H491" s="2" t="inlineStr">
        <is>
          <t>LC/PC</t>
        </is>
      </c>
      <c r="I491" s="2" t="inlineStr">
        <is>
          <t>LC/PC</t>
        </is>
      </c>
      <c r="J491" s="2" t="n">
        <v>36</v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>
        <f>SUM(J491:U491)*G491</f>
        <v/>
      </c>
      <c r="W491" s="2">
        <f>MAX(J491:U491)</f>
        <v/>
      </c>
      <c r="X491" s="2">
        <f>W491*G491</f>
        <v/>
      </c>
    </row>
    <row r="492">
      <c r="A492" s="2" t="inlineStr">
        <is>
          <t>14-K-775</t>
        </is>
      </c>
      <c r="B492" s="3" t="inlineStr">
        <is>
          <t>OJC-A1-SC/SC-SM-20-PC/PC-DP</t>
        </is>
      </c>
      <c r="C492" s="2" t="inlineStr">
        <is>
          <t>K9089142_적색</t>
        </is>
      </c>
      <c r="D492" s="2" t="inlineStr">
        <is>
          <t>a1-적</t>
        </is>
      </c>
      <c r="E492" s="2" t="inlineStr">
        <is>
          <t>2.0mm</t>
        </is>
      </c>
      <c r="F492" s="2" t="n">
        <v>2</v>
      </c>
      <c r="G492" s="2" t="n">
        <v>20</v>
      </c>
      <c r="H492" s="2" t="inlineStr">
        <is>
          <t>SC/PC</t>
        </is>
      </c>
      <c r="I492" s="2" t="inlineStr">
        <is>
          <t>SC/PC</t>
        </is>
      </c>
      <c r="J492" s="2" t="n"/>
      <c r="K492" s="2" t="n">
        <v>1</v>
      </c>
      <c r="L492" s="2" t="n"/>
      <c r="M492" s="2" t="n">
        <v>4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>
        <f>SUM(J492:U492)*G492</f>
        <v/>
      </c>
      <c r="W492" s="2">
        <f>MAX(J492:U492)</f>
        <v/>
      </c>
      <c r="X492" s="2">
        <f>W492*G492</f>
        <v/>
      </c>
    </row>
    <row r="493">
      <c r="A493" s="2" t="inlineStr">
        <is>
          <t>14-K-780</t>
        </is>
      </c>
      <c r="B493" s="3" t="inlineStr">
        <is>
          <t>OJC-A1-SC/LC-SM-15-PC/PC-DP</t>
        </is>
      </c>
      <c r="C493" s="2" t="inlineStr">
        <is>
          <t>K9089163_적색</t>
        </is>
      </c>
      <c r="D493" s="2" t="inlineStr">
        <is>
          <t>a1-적</t>
        </is>
      </c>
      <c r="E493" s="2" t="inlineStr">
        <is>
          <t>2.0mm</t>
        </is>
      </c>
      <c r="F493" s="2" t="n">
        <v>2</v>
      </c>
      <c r="G493" s="2" t="n">
        <v>15</v>
      </c>
      <c r="H493" s="2" t="inlineStr">
        <is>
          <t>SC/PC</t>
        </is>
      </c>
      <c r="I493" s="2" t="inlineStr">
        <is>
          <t>LC/PC</t>
        </is>
      </c>
      <c r="J493" s="2" t="n"/>
      <c r="K493" s="2" t="n">
        <v>20</v>
      </c>
      <c r="L493" s="2" t="n">
        <v>50</v>
      </c>
      <c r="M493" s="2" t="n"/>
      <c r="N493" s="2" t="n">
        <v>30</v>
      </c>
      <c r="O493" s="2" t="n"/>
      <c r="P493" s="2" t="n"/>
      <c r="Q493" s="2" t="n"/>
      <c r="R493" s="2" t="n"/>
      <c r="S493" s="2" t="n"/>
      <c r="T493" s="2" t="n">
        <v>48</v>
      </c>
      <c r="U493" s="2" t="n"/>
      <c r="V493" s="2">
        <f>SUM(J493:U493)*G493</f>
        <v/>
      </c>
      <c r="W493" s="2">
        <f>MAX(J493:U493)</f>
        <v/>
      </c>
      <c r="X493" s="2">
        <f>W493*G493</f>
        <v/>
      </c>
    </row>
    <row r="494">
      <c r="A494" s="2" t="inlineStr">
        <is>
          <t>14-K-781</t>
        </is>
      </c>
      <c r="B494" s="3" t="inlineStr">
        <is>
          <t>OJC-A1-SC/LC-SM-20-PC/PC-DP</t>
        </is>
      </c>
      <c r="C494" s="2" t="inlineStr">
        <is>
          <t>K9089164_적색</t>
        </is>
      </c>
      <c r="D494" s="2" t="inlineStr">
        <is>
          <t>a1-적</t>
        </is>
      </c>
      <c r="E494" s="2" t="inlineStr">
        <is>
          <t>2.0mm</t>
        </is>
      </c>
      <c r="F494" s="2" t="n">
        <v>2</v>
      </c>
      <c r="G494" s="2" t="n">
        <v>20</v>
      </c>
      <c r="H494" s="2" t="inlineStr">
        <is>
          <t>SC/PC</t>
        </is>
      </c>
      <c r="I494" s="2" t="inlineStr">
        <is>
          <t>LC/PC</t>
        </is>
      </c>
      <c r="J494" s="2" t="n"/>
      <c r="K494" s="2" t="n">
        <v>20</v>
      </c>
      <c r="L494" s="2" t="n">
        <v>70</v>
      </c>
      <c r="M494" s="2" t="n">
        <v>20</v>
      </c>
      <c r="N494" s="2" t="n">
        <v>40</v>
      </c>
      <c r="O494" s="2" t="n"/>
      <c r="P494" s="2" t="n"/>
      <c r="Q494" s="2" t="n"/>
      <c r="R494" s="2" t="n"/>
      <c r="S494" s="2" t="n"/>
      <c r="T494" s="2" t="n"/>
      <c r="U494" s="2" t="n"/>
      <c r="V494" s="2">
        <f>SUM(J494:U494)*G494</f>
        <v/>
      </c>
      <c r="W494" s="2">
        <f>MAX(J494:U494)</f>
        <v/>
      </c>
      <c r="X494" s="2">
        <f>W494*G494</f>
        <v/>
      </c>
    </row>
    <row r="495">
      <c r="A495" s="2" t="inlineStr">
        <is>
          <t>14-K-782</t>
        </is>
      </c>
      <c r="B495" s="3" t="inlineStr">
        <is>
          <t>OJC-A1-SC/LC-SM-25-PC/PC-DP</t>
        </is>
      </c>
      <c r="C495" s="2" t="inlineStr">
        <is>
          <t>K9089165_적색</t>
        </is>
      </c>
      <c r="D495" s="2" t="inlineStr">
        <is>
          <t>a1-적</t>
        </is>
      </c>
      <c r="E495" s="2" t="inlineStr">
        <is>
          <t>2.0mm</t>
        </is>
      </c>
      <c r="F495" s="2" t="n">
        <v>2</v>
      </c>
      <c r="G495" s="2" t="n">
        <v>25</v>
      </c>
      <c r="H495" s="2" t="inlineStr">
        <is>
          <t>SC/PC</t>
        </is>
      </c>
      <c r="I495" s="2" t="inlineStr">
        <is>
          <t>LC/PC</t>
        </is>
      </c>
      <c r="J495" s="2" t="n"/>
      <c r="K495" s="2" t="n">
        <v>20</v>
      </c>
      <c r="L495" s="2" t="n">
        <v>30</v>
      </c>
      <c r="M495" s="2" t="n"/>
      <c r="N495" s="2" t="n">
        <v>40</v>
      </c>
      <c r="O495" s="2" t="n"/>
      <c r="P495" s="2" t="n"/>
      <c r="Q495" s="2" t="n"/>
      <c r="R495" s="2" t="n"/>
      <c r="S495" s="2" t="n"/>
      <c r="T495" s="2" t="n"/>
      <c r="U495" s="2" t="n"/>
      <c r="V495" s="2">
        <f>SUM(J495:U495)*G495</f>
        <v/>
      </c>
      <c r="W495" s="2">
        <f>MAX(J495:U495)</f>
        <v/>
      </c>
      <c r="X495" s="2">
        <f>W495*G495</f>
        <v/>
      </c>
    </row>
    <row r="496">
      <c r="A496" s="2" t="inlineStr">
        <is>
          <t>14-K-783</t>
        </is>
      </c>
      <c r="B496" s="3" t="inlineStr">
        <is>
          <t>OJC-A1-LC/LC-SM-20-PC/PC-DP</t>
        </is>
      </c>
      <c r="C496" s="2" t="inlineStr">
        <is>
          <t>K9089178_적색</t>
        </is>
      </c>
      <c r="D496" s="2" t="inlineStr">
        <is>
          <t>a1-적</t>
        </is>
      </c>
      <c r="E496" s="2" t="inlineStr">
        <is>
          <t>2.0mm</t>
        </is>
      </c>
      <c r="F496" s="2" t="n">
        <v>2</v>
      </c>
      <c r="G496" s="2" t="n">
        <v>20</v>
      </c>
      <c r="H496" s="2" t="inlineStr">
        <is>
          <t>LC/PC</t>
        </is>
      </c>
      <c r="I496" s="2" t="inlineStr">
        <is>
          <t>LC/PC</t>
        </is>
      </c>
      <c r="J496" s="2" t="n"/>
      <c r="K496" s="2" t="n">
        <v>20</v>
      </c>
      <c r="L496" s="2" t="n">
        <v>20</v>
      </c>
      <c r="M496" s="2" t="n"/>
      <c r="N496" s="2" t="n">
        <v>20</v>
      </c>
      <c r="O496" s="2" t="n"/>
      <c r="P496" s="2" t="n"/>
      <c r="Q496" s="2" t="n"/>
      <c r="R496" s="2" t="n"/>
      <c r="S496" s="2" t="n"/>
      <c r="T496" s="2" t="n"/>
      <c r="U496" s="2" t="n"/>
      <c r="V496" s="2">
        <f>SUM(J496:U496)*G496</f>
        <v/>
      </c>
      <c r="W496" s="2">
        <f>MAX(J496:U496)</f>
        <v/>
      </c>
      <c r="X496" s="2">
        <f>W496*G496</f>
        <v/>
      </c>
    </row>
    <row r="497">
      <c r="A497" s="2" t="inlineStr">
        <is>
          <t>14-K-784</t>
        </is>
      </c>
      <c r="B497" s="3" t="inlineStr">
        <is>
          <t>OJC-A1-LC/LC-SM-25-PC/PC-DP</t>
        </is>
      </c>
      <c r="C497" s="2" t="inlineStr">
        <is>
          <t>K9089179_적색</t>
        </is>
      </c>
      <c r="D497" s="2" t="inlineStr">
        <is>
          <t>a1-적</t>
        </is>
      </c>
      <c r="E497" s="2" t="inlineStr">
        <is>
          <t>2.0mm</t>
        </is>
      </c>
      <c r="F497" s="2" t="n">
        <v>2</v>
      </c>
      <c r="G497" s="2" t="n">
        <v>25</v>
      </c>
      <c r="H497" s="2" t="inlineStr">
        <is>
          <t>LC/PC</t>
        </is>
      </c>
      <c r="I497" s="2" t="inlineStr">
        <is>
          <t>LC/PC</t>
        </is>
      </c>
      <c r="J497" s="2" t="n"/>
      <c r="K497" s="2" t="n">
        <v>20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>
        <f>SUM(J497:U497)*G497</f>
        <v/>
      </c>
      <c r="W497" s="2">
        <f>MAX(J497:U497)</f>
        <v/>
      </c>
      <c r="X497" s="2">
        <f>W497*G497</f>
        <v/>
      </c>
    </row>
    <row r="498">
      <c r="A498" s="2" t="inlineStr">
        <is>
          <t>14-K-786</t>
        </is>
      </c>
      <c r="B498" s="3" t="inlineStr">
        <is>
          <t>OJC-A1-LC/LC-SM-30-PC/PC-DP</t>
        </is>
      </c>
      <c r="C498" s="2" t="inlineStr">
        <is>
          <t>K9089180_적색</t>
        </is>
      </c>
      <c r="D498" s="2" t="inlineStr">
        <is>
          <t>a1-적</t>
        </is>
      </c>
      <c r="E498" s="2" t="inlineStr">
        <is>
          <t>2.0mm</t>
        </is>
      </c>
      <c r="F498" s="2" t="n">
        <v>2</v>
      </c>
      <c r="G498" s="2" t="n">
        <v>30</v>
      </c>
      <c r="H498" s="2" t="inlineStr">
        <is>
          <t>LC/PC</t>
        </is>
      </c>
      <c r="I498" s="2" t="inlineStr">
        <is>
          <t>LC/PC</t>
        </is>
      </c>
      <c r="J498" s="2" t="n">
        <v>1</v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>
        <f>SUM(J498:U498)*G498</f>
        <v/>
      </c>
      <c r="W498" s="2">
        <f>MAX(J498:U498)</f>
        <v/>
      </c>
      <c r="X498" s="2">
        <f>W498*G498</f>
        <v/>
      </c>
    </row>
    <row r="499">
      <c r="A499" s="2" t="inlineStr">
        <is>
          <t>14-K-787</t>
        </is>
      </c>
      <c r="B499" s="3" t="inlineStr">
        <is>
          <t>OJC-A1-SC/LC-SM-30-PC/PC-DP</t>
        </is>
      </c>
      <c r="C499" s="2" t="inlineStr">
        <is>
          <t>K9089166_적색</t>
        </is>
      </c>
      <c r="D499" s="2" t="inlineStr">
        <is>
          <t>a1-적</t>
        </is>
      </c>
      <c r="E499" s="2" t="inlineStr">
        <is>
          <t>2.0mm</t>
        </is>
      </c>
      <c r="F499" s="2" t="n">
        <v>2</v>
      </c>
      <c r="G499" s="2" t="n">
        <v>30</v>
      </c>
      <c r="H499" s="2" t="inlineStr">
        <is>
          <t>SC/PC</t>
        </is>
      </c>
      <c r="I499" s="2" t="inlineStr">
        <is>
          <t>LC/PC</t>
        </is>
      </c>
      <c r="J499" s="2" t="n"/>
      <c r="K499" s="2" t="n"/>
      <c r="L499" s="2" t="n"/>
      <c r="M499" s="2" t="n"/>
      <c r="N499" s="2" t="n">
        <v>20</v>
      </c>
      <c r="O499" s="2" t="n"/>
      <c r="P499" s="2" t="n"/>
      <c r="Q499" s="2" t="n"/>
      <c r="R499" s="2" t="n"/>
      <c r="S499" s="2" t="n"/>
      <c r="T499" s="2" t="n"/>
      <c r="U499" s="2" t="n"/>
      <c r="V499" s="2">
        <f>SUM(J499:U499)*G499</f>
        <v/>
      </c>
      <c r="W499" s="2">
        <f>MAX(J499:U499)</f>
        <v/>
      </c>
      <c r="X499" s="2">
        <f>W499*G499</f>
        <v/>
      </c>
    </row>
    <row r="500">
      <c r="A500" s="2" t="inlineStr">
        <is>
          <t>14-K-789</t>
        </is>
      </c>
      <c r="B500" s="3" t="inlineStr">
        <is>
          <t>OJC-A1-LC/LC-MM(OM3)-7-PC/PC-DP</t>
        </is>
      </c>
      <c r="C500" s="2" t="inlineStr"/>
      <c r="D500" s="2" t="inlineStr">
        <is>
          <t>om3</t>
        </is>
      </c>
      <c r="E500" s="2" t="inlineStr">
        <is>
          <t>2.0mm</t>
        </is>
      </c>
      <c r="F500" s="2" t="n">
        <v>2</v>
      </c>
      <c r="G500" s="2" t="n">
        <v>7</v>
      </c>
      <c r="H500" s="2" t="inlineStr">
        <is>
          <t>LC/PC</t>
        </is>
      </c>
      <c r="I500" s="2" t="inlineStr">
        <is>
          <t>LC/PC</t>
        </is>
      </c>
      <c r="J500" s="2" t="n"/>
      <c r="K500" s="2" t="n"/>
      <c r="L500" s="2" t="n">
        <v>2</v>
      </c>
      <c r="M500" s="2" t="n"/>
      <c r="N500" s="2" t="n"/>
      <c r="O500" s="2" t="n"/>
      <c r="P500" s="2" t="n"/>
      <c r="Q500" s="2" t="n"/>
      <c r="R500" s="2" t="n"/>
      <c r="S500" s="2" t="n">
        <v>12</v>
      </c>
      <c r="T500" s="2" t="n"/>
      <c r="U500" s="2" t="n"/>
      <c r="V500" s="2">
        <f>SUM(J500:U500)*G500</f>
        <v/>
      </c>
      <c r="W500" s="2">
        <f>MAX(J500:U500)</f>
        <v/>
      </c>
      <c r="X500" s="2">
        <f>W500*G500</f>
        <v/>
      </c>
    </row>
    <row r="501">
      <c r="A501" s="2" t="inlineStr">
        <is>
          <t>14-K-790</t>
        </is>
      </c>
      <c r="B501" s="3" t="inlineStr">
        <is>
          <t>OJC-A1-LC/LC-SM-9-PC/PC-DP</t>
        </is>
      </c>
      <c r="C501" s="2" t="inlineStr"/>
      <c r="D501" s="2" t="inlineStr">
        <is>
          <t>a1</t>
        </is>
      </c>
      <c r="E501" s="2" t="inlineStr">
        <is>
          <t>2.0mm</t>
        </is>
      </c>
      <c r="F501" s="2" t="n">
        <v>2</v>
      </c>
      <c r="G501" s="2" t="n">
        <v>9</v>
      </c>
      <c r="H501" s="2" t="inlineStr">
        <is>
          <t>LC/PC</t>
        </is>
      </c>
      <c r="I501" s="2" t="inlineStr">
        <is>
          <t>LC/PC</t>
        </is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>
        <v>40</v>
      </c>
      <c r="U501" s="2" t="n"/>
      <c r="V501" s="2">
        <f>SUM(J501:U501)*G501</f>
        <v/>
      </c>
      <c r="W501" s="2">
        <f>MAX(J501:U501)</f>
        <v/>
      </c>
      <c r="X501" s="2">
        <f>W501*G501</f>
        <v/>
      </c>
    </row>
    <row r="502">
      <c r="A502" s="2" t="inlineStr">
        <is>
          <t>14-K-808</t>
        </is>
      </c>
      <c r="B502" s="3" t="inlineStr">
        <is>
          <t>OJC-A1-LC/LC-SM-70-PC/PC-DP</t>
        </is>
      </c>
      <c r="C502" s="2" t="inlineStr"/>
      <c r="D502" s="2" t="inlineStr">
        <is>
          <t>a1</t>
        </is>
      </c>
      <c r="E502" s="2" t="inlineStr">
        <is>
          <t>2.0mm</t>
        </is>
      </c>
      <c r="F502" s="2" t="n">
        <v>2</v>
      </c>
      <c r="G502" s="2" t="n">
        <v>70</v>
      </c>
      <c r="H502" s="2" t="inlineStr">
        <is>
          <t>LC/PC</t>
        </is>
      </c>
      <c r="I502" s="2" t="inlineStr">
        <is>
          <t>LC/PC</t>
        </is>
      </c>
      <c r="J502" s="2" t="n"/>
      <c r="K502" s="2" t="n"/>
      <c r="L502" s="2" t="n"/>
      <c r="M502" s="2" t="n"/>
      <c r="N502" s="2" t="n"/>
      <c r="O502" s="2" t="n">
        <v>7</v>
      </c>
      <c r="P502" s="2" t="n">
        <v>1</v>
      </c>
      <c r="Q502" s="2" t="n"/>
      <c r="R502" s="2" t="n"/>
      <c r="S502" s="2" t="n"/>
      <c r="T502" s="2" t="n"/>
      <c r="U502" s="2" t="n"/>
      <c r="V502" s="2">
        <f>SUM(J502:U502)*G502</f>
        <v/>
      </c>
      <c r="W502" s="2">
        <f>MAX(J502:U502)</f>
        <v/>
      </c>
      <c r="X502" s="2">
        <f>W502*G502</f>
        <v/>
      </c>
    </row>
    <row r="503">
      <c r="A503" s="2" t="inlineStr">
        <is>
          <t>14-K-810</t>
        </is>
      </c>
      <c r="B503" s="3" t="inlineStr">
        <is>
          <t>OJC-A1-SC/LC-SM-5-PC/PC-DP</t>
        </is>
      </c>
      <c r="C503" s="2" t="inlineStr">
        <is>
          <t>K9089161_청색</t>
        </is>
      </c>
      <c r="D503" s="2" t="inlineStr">
        <is>
          <t>a1-청</t>
        </is>
      </c>
      <c r="E503" s="2" t="inlineStr">
        <is>
          <t>2.0mm</t>
        </is>
      </c>
      <c r="F503" s="2" t="n">
        <v>2</v>
      </c>
      <c r="G503" s="2" t="n">
        <v>5</v>
      </c>
      <c r="H503" s="2" t="inlineStr">
        <is>
          <t>SC/PC</t>
        </is>
      </c>
      <c r="I503" s="2" t="inlineStr">
        <is>
          <t>LC/PC</t>
        </is>
      </c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>
        <v>50</v>
      </c>
      <c r="T503" s="2" t="n"/>
      <c r="U503" s="2" t="n"/>
      <c r="V503" s="2">
        <f>SUM(J503:U503)*G503</f>
        <v/>
      </c>
      <c r="W503" s="2">
        <f>MAX(J503:U503)</f>
        <v/>
      </c>
      <c r="X503" s="2">
        <f>W503*G503</f>
        <v/>
      </c>
    </row>
    <row r="504">
      <c r="A504" s="2" t="inlineStr">
        <is>
          <t>14-K-814</t>
        </is>
      </c>
      <c r="B504" s="3" t="inlineStr">
        <is>
          <t>OJC-A1-LC/LC-SM-0.3-PC/PC-SP</t>
        </is>
      </c>
      <c r="C504" s="2" t="inlineStr"/>
      <c r="D504" s="2" t="inlineStr">
        <is>
          <t>a1</t>
        </is>
      </c>
      <c r="E504" s="2" t="inlineStr">
        <is>
          <t>2.0mm</t>
        </is>
      </c>
      <c r="F504" s="2" t="n">
        <v>1</v>
      </c>
      <c r="G504" s="2" t="n">
        <v>0.3</v>
      </c>
      <c r="H504" s="2" t="inlineStr">
        <is>
          <t>LC/PC</t>
        </is>
      </c>
      <c r="I504" s="2" t="inlineStr">
        <is>
          <t>LC/PC</t>
        </is>
      </c>
      <c r="J504" s="2" t="n"/>
      <c r="K504" s="2" t="n"/>
      <c r="L504" s="2" t="n">
        <v>200</v>
      </c>
      <c r="M504" s="2" t="n"/>
      <c r="N504" s="2" t="n"/>
      <c r="O504" s="2" t="n"/>
      <c r="P504" s="2" t="n"/>
      <c r="Q504" s="2" t="n"/>
      <c r="R504" s="2" t="n"/>
      <c r="S504" s="2" t="n"/>
      <c r="T504" s="2" t="n">
        <v>100</v>
      </c>
      <c r="U504" s="2" t="n"/>
      <c r="V504" s="2">
        <f>SUM(J504:U504)*G504</f>
        <v/>
      </c>
      <c r="W504" s="2">
        <f>MAX(J504:U504)</f>
        <v/>
      </c>
      <c r="X504" s="2">
        <f>W504*G504</f>
        <v/>
      </c>
    </row>
    <row r="505">
      <c r="A505" s="2" t="inlineStr">
        <is>
          <t>14-K-822</t>
        </is>
      </c>
      <c r="B505" s="3" t="inlineStr">
        <is>
          <t>OJC-A1-SC/SC-SM-5-PC/PC-SP</t>
        </is>
      </c>
      <c r="C505" s="2" t="inlineStr">
        <is>
          <t>K9088998_청색</t>
        </is>
      </c>
      <c r="D505" s="2" t="inlineStr">
        <is>
          <t>a1-청</t>
        </is>
      </c>
      <c r="E505" s="2" t="inlineStr">
        <is>
          <t>2.0mm</t>
        </is>
      </c>
      <c r="F505" s="2" t="n">
        <v>1</v>
      </c>
      <c r="G505" s="2" t="n">
        <v>5</v>
      </c>
      <c r="H505" s="2" t="inlineStr">
        <is>
          <t>SC/PC</t>
        </is>
      </c>
      <c r="I505" s="2" t="inlineStr">
        <is>
          <t>SC/PC</t>
        </is>
      </c>
      <c r="J505" s="2" t="n"/>
      <c r="K505" s="2" t="n"/>
      <c r="L505" s="2" t="n">
        <v>50</v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>
        <f>SUM(J505:U505)*G505</f>
        <v/>
      </c>
      <c r="W505" s="2">
        <f>MAX(J505:U505)</f>
        <v/>
      </c>
      <c r="X505" s="2">
        <f>W505*G505</f>
        <v/>
      </c>
    </row>
    <row r="506">
      <c r="A506" s="2" t="inlineStr">
        <is>
          <t>14-K-824</t>
        </is>
      </c>
      <c r="B506" s="3" t="inlineStr">
        <is>
          <t>OJC-A1-SC/SC-SM-5-PC/PC-SP</t>
        </is>
      </c>
      <c r="C506" s="2" t="inlineStr">
        <is>
          <t>K9088998_녹색</t>
        </is>
      </c>
      <c r="D506" s="2" t="inlineStr">
        <is>
          <t>a1-녹</t>
        </is>
      </c>
      <c r="E506" s="2" t="inlineStr">
        <is>
          <t>2.0mm</t>
        </is>
      </c>
      <c r="F506" s="2" t="n">
        <v>1</v>
      </c>
      <c r="G506" s="2" t="n">
        <v>5</v>
      </c>
      <c r="H506" s="2" t="inlineStr">
        <is>
          <t>SC/PC</t>
        </is>
      </c>
      <c r="I506" s="2" t="inlineStr">
        <is>
          <t>SC/PC</t>
        </is>
      </c>
      <c r="J506" s="2" t="n"/>
      <c r="K506" s="2" t="n"/>
      <c r="L506" s="2" t="n"/>
      <c r="M506" s="2" t="n"/>
      <c r="N506" s="2" t="n">
        <v>15</v>
      </c>
      <c r="O506" s="2" t="n">
        <v>423</v>
      </c>
      <c r="P506" s="2" t="n"/>
      <c r="Q506" s="2" t="n"/>
      <c r="R506" s="2" t="n"/>
      <c r="S506" s="2" t="n">
        <v>15</v>
      </c>
      <c r="T506" s="2" t="n"/>
      <c r="U506" s="2" t="n"/>
      <c r="V506" s="2">
        <f>SUM(J506:U506)*G506</f>
        <v/>
      </c>
      <c r="W506" s="2">
        <f>MAX(J506:U506)</f>
        <v/>
      </c>
      <c r="X506" s="2">
        <f>W506*G506</f>
        <v/>
      </c>
    </row>
    <row r="507">
      <c r="A507" s="2" t="inlineStr">
        <is>
          <t>14-K-829</t>
        </is>
      </c>
      <c r="B507" s="3" t="inlineStr">
        <is>
          <t>OJC-A1-SC/SC-SM-55-PC/PC-DP</t>
        </is>
      </c>
      <c r="C507" s="2" t="inlineStr"/>
      <c r="D507" s="2" t="inlineStr">
        <is>
          <t>a1</t>
        </is>
      </c>
      <c r="E507" s="2" t="inlineStr">
        <is>
          <t>2.0mm</t>
        </is>
      </c>
      <c r="F507" s="2" t="n">
        <v>2</v>
      </c>
      <c r="G507" s="2" t="n">
        <v>55</v>
      </c>
      <c r="H507" s="2" t="inlineStr">
        <is>
          <t>SC/PC</t>
        </is>
      </c>
      <c r="I507" s="2" t="inlineStr">
        <is>
          <t>SC/PC</t>
        </is>
      </c>
      <c r="J507" s="2" t="n"/>
      <c r="K507" s="2" t="n"/>
      <c r="L507" s="2" t="n"/>
      <c r="M507" s="2" t="n"/>
      <c r="N507" s="2" t="n"/>
      <c r="O507" s="2" t="n">
        <v>3</v>
      </c>
      <c r="P507" s="2" t="n"/>
      <c r="Q507" s="2" t="n"/>
      <c r="R507" s="2" t="n"/>
      <c r="S507" s="2" t="n"/>
      <c r="T507" s="2" t="n"/>
      <c r="U507" s="2" t="n"/>
      <c r="V507" s="2">
        <f>SUM(J507:U507)*G507</f>
        <v/>
      </c>
      <c r="W507" s="2">
        <f>MAX(J507:U507)</f>
        <v/>
      </c>
      <c r="X507" s="2">
        <f>W507*G507</f>
        <v/>
      </c>
    </row>
    <row r="508">
      <c r="A508" s="2" t="inlineStr">
        <is>
          <t>14-K-832</t>
        </is>
      </c>
      <c r="B508" s="3" t="inlineStr">
        <is>
          <t>OJC-A1-LC/LC-SM-5-PC/PC-DP</t>
        </is>
      </c>
      <c r="C508" s="2" t="inlineStr">
        <is>
          <t>K9089175_청색</t>
        </is>
      </c>
      <c r="D508" s="2" t="inlineStr">
        <is>
          <t>a1-청</t>
        </is>
      </c>
      <c r="E508" s="2" t="inlineStr">
        <is>
          <t>2.0mm</t>
        </is>
      </c>
      <c r="F508" s="2" t="n">
        <v>2</v>
      </c>
      <c r="G508" s="2" t="n">
        <v>5</v>
      </c>
      <c r="H508" s="2" t="inlineStr">
        <is>
          <t>LC/PC</t>
        </is>
      </c>
      <c r="I508" s="2" t="inlineStr">
        <is>
          <t>LC/PC</t>
        </is>
      </c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>
        <v>50</v>
      </c>
      <c r="S508" s="2" t="n">
        <v>50</v>
      </c>
      <c r="T508" s="2" t="n"/>
      <c r="U508" s="2" t="n"/>
      <c r="V508" s="2">
        <f>SUM(J508:U508)*G508</f>
        <v/>
      </c>
      <c r="W508" s="2">
        <f>MAX(J508:U508)</f>
        <v/>
      </c>
      <c r="X508" s="2">
        <f>W508*G508</f>
        <v/>
      </c>
    </row>
    <row r="509">
      <c r="A509" s="2" t="inlineStr">
        <is>
          <t>14-K-837</t>
        </is>
      </c>
      <c r="B509" s="3" t="inlineStr">
        <is>
          <t>OJC-A1-LC/LC-MM(OM3)-70-PC/PC-DP</t>
        </is>
      </c>
      <c r="C509" s="2" t="inlineStr"/>
      <c r="D509" s="2" t="inlineStr">
        <is>
          <t>om3</t>
        </is>
      </c>
      <c r="E509" s="2" t="inlineStr">
        <is>
          <t>2.0mm</t>
        </is>
      </c>
      <c r="F509" s="2" t="n">
        <v>2</v>
      </c>
      <c r="G509" s="2" t="n">
        <v>70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/>
      <c r="N509" s="2" t="n"/>
      <c r="O509" s="2" t="n">
        <v>3</v>
      </c>
      <c r="P509" s="2" t="n"/>
      <c r="Q509" s="2" t="n"/>
      <c r="R509" s="2" t="n"/>
      <c r="S509" s="2" t="n"/>
      <c r="T509" s="2" t="n"/>
      <c r="U509" s="2" t="n"/>
      <c r="V509" s="2">
        <f>SUM(J509:U509)*G509</f>
        <v/>
      </c>
      <c r="W509" s="2">
        <f>MAX(J509:U509)</f>
        <v/>
      </c>
      <c r="X509" s="2">
        <f>W509*G509</f>
        <v/>
      </c>
    </row>
    <row r="510">
      <c r="A510" s="2" t="inlineStr">
        <is>
          <t>14-K-838</t>
        </is>
      </c>
      <c r="B510" s="3" t="inlineStr">
        <is>
          <t>OJC-A1-LC/LC-MM(OM3)-90-PC/PC-DP</t>
        </is>
      </c>
      <c r="C510" s="2" t="inlineStr"/>
      <c r="D510" s="2" t="inlineStr">
        <is>
          <t>om3</t>
        </is>
      </c>
      <c r="E510" s="2" t="inlineStr">
        <is>
          <t>2.0mm</t>
        </is>
      </c>
      <c r="F510" s="2" t="n">
        <v>2</v>
      </c>
      <c r="G510" s="2" t="n">
        <v>90</v>
      </c>
      <c r="H510" s="2" t="inlineStr">
        <is>
          <t>LC/PC</t>
        </is>
      </c>
      <c r="I510" s="2" t="inlineStr">
        <is>
          <t>LC/PC</t>
        </is>
      </c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>
        <v>7</v>
      </c>
      <c r="U510" s="2" t="n"/>
      <c r="V510" s="2">
        <f>SUM(J510:U510)*G510</f>
        <v/>
      </c>
      <c r="W510" s="2">
        <f>MAX(J510:U510)</f>
        <v/>
      </c>
      <c r="X510" s="2">
        <f>W510*G510</f>
        <v/>
      </c>
    </row>
    <row r="511">
      <c r="A511" s="2" t="inlineStr">
        <is>
          <t>14-K-842</t>
        </is>
      </c>
      <c r="B511" s="3" t="inlineStr">
        <is>
          <t>OJC-A1-SC/SC-SM-10-PC/PC-SP</t>
        </is>
      </c>
      <c r="C511" s="2" t="inlineStr">
        <is>
          <t>K9089003_청색</t>
        </is>
      </c>
      <c r="D511" s="2" t="inlineStr">
        <is>
          <t>a1-청</t>
        </is>
      </c>
      <c r="E511" s="2" t="inlineStr">
        <is>
          <t>2.0mm</t>
        </is>
      </c>
      <c r="F511" s="2" t="n">
        <v>1</v>
      </c>
      <c r="G511" s="2" t="n">
        <v>10</v>
      </c>
      <c r="H511" s="2" t="inlineStr">
        <is>
          <t>SC/PC</t>
        </is>
      </c>
      <c r="I511" s="2" t="inlineStr">
        <is>
          <t>SC/PC</t>
        </is>
      </c>
      <c r="J511" s="2" t="n">
        <v>1</v>
      </c>
      <c r="K511" s="2" t="n"/>
      <c r="L511" s="2" t="n">
        <v>100</v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>
        <f>SUM(J511:U511)*G511</f>
        <v/>
      </c>
      <c r="W511" s="2">
        <f>MAX(J511:U511)</f>
        <v/>
      </c>
      <c r="X511" s="2">
        <f>W511*G511</f>
        <v/>
      </c>
    </row>
    <row r="512">
      <c r="A512" s="2" t="inlineStr">
        <is>
          <t>14-K-845</t>
        </is>
      </c>
      <c r="B512" s="3" t="inlineStr">
        <is>
          <t>OJC-A1-SC/LC-SM-25-PC/APC-SP</t>
        </is>
      </c>
      <c r="C512" s="2" t="inlineStr">
        <is>
          <t>K9089070</t>
        </is>
      </c>
      <c r="D512" s="2" t="inlineStr">
        <is>
          <t>a1</t>
        </is>
      </c>
      <c r="E512" s="2" t="inlineStr">
        <is>
          <t>2.0mm</t>
        </is>
      </c>
      <c r="F512" s="2" t="n">
        <v>1</v>
      </c>
      <c r="G512" s="2" t="n">
        <v>25</v>
      </c>
      <c r="H512" s="2" t="inlineStr">
        <is>
          <t>SC/PC</t>
        </is>
      </c>
      <c r="I512" s="2" t="inlineStr">
        <is>
          <t>LC/APC</t>
        </is>
      </c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>
        <v>50</v>
      </c>
      <c r="V512" s="2">
        <f>SUM(J512:U512)*G512</f>
        <v/>
      </c>
      <c r="W512" s="2">
        <f>MAX(J512:U512)</f>
        <v/>
      </c>
      <c r="X512" s="2">
        <f>W512*G512</f>
        <v/>
      </c>
    </row>
    <row r="513">
      <c r="A513" s="2" t="inlineStr">
        <is>
          <t>14-K-851</t>
        </is>
      </c>
      <c r="B513" s="3" t="inlineStr">
        <is>
          <t>OJC-A1-SC/SC-SM-3-PC/PC-SP</t>
        </is>
      </c>
      <c r="C513" s="2" t="inlineStr">
        <is>
          <t>K9088996_포앤티</t>
        </is>
      </c>
      <c r="D513" s="2" t="inlineStr">
        <is>
          <t>a1</t>
        </is>
      </c>
      <c r="E513" s="2" t="inlineStr">
        <is>
          <t>2.0mm</t>
        </is>
      </c>
      <c r="F513" s="2" t="n">
        <v>1</v>
      </c>
      <c r="G513" s="2" t="n">
        <v>3</v>
      </c>
      <c r="H513" s="2" t="inlineStr">
        <is>
          <t>SC/PC</t>
        </is>
      </c>
      <c r="I513" s="2" t="inlineStr">
        <is>
          <t>SC/PC</t>
        </is>
      </c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>
        <v>300</v>
      </c>
      <c r="U513" s="2" t="n"/>
      <c r="V513" s="2">
        <f>SUM(J513:U513)*G513</f>
        <v/>
      </c>
      <c r="W513" s="2">
        <f>MAX(J513:U513)</f>
        <v/>
      </c>
      <c r="X513" s="2">
        <f>W513*G513</f>
        <v/>
      </c>
    </row>
    <row r="514">
      <c r="A514" s="2" t="inlineStr">
        <is>
          <t>14-K-855</t>
        </is>
      </c>
      <c r="B514" s="3" t="inlineStr">
        <is>
          <t>OJC-A1-SC/SC-SM-2-PC/PC-SP</t>
        </is>
      </c>
      <c r="C514" s="2" t="inlineStr">
        <is>
          <t>K9088995_청색</t>
        </is>
      </c>
      <c r="D514" s="2" t="inlineStr">
        <is>
          <t>a1-청</t>
        </is>
      </c>
      <c r="E514" s="2" t="inlineStr">
        <is>
          <t>2.0mm</t>
        </is>
      </c>
      <c r="F514" s="2" t="n">
        <v>1</v>
      </c>
      <c r="G514" s="2" t="n">
        <v>2</v>
      </c>
      <c r="H514" s="2" t="inlineStr">
        <is>
          <t>SC/PC</t>
        </is>
      </c>
      <c r="I514" s="2" t="inlineStr">
        <is>
          <t>SC/PC</t>
        </is>
      </c>
      <c r="J514" s="2" t="n">
        <v>10</v>
      </c>
      <c r="K514" s="2" t="n"/>
      <c r="L514" s="2" t="n">
        <v>10</v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>
        <f>SUM(J514:U514)*G514</f>
        <v/>
      </c>
      <c r="W514" s="2">
        <f>MAX(J514:U514)</f>
        <v/>
      </c>
      <c r="X514" s="2">
        <f>W514*G514</f>
        <v/>
      </c>
    </row>
    <row r="515">
      <c r="A515" s="2" t="inlineStr">
        <is>
          <t>14-K-856</t>
        </is>
      </c>
      <c r="B515" s="3" t="inlineStr">
        <is>
          <t>OJC-A1-SC/SC-SM-1-PC/PC-SP</t>
        </is>
      </c>
      <c r="C515" s="2" t="inlineStr">
        <is>
          <t>K9088994_청색</t>
        </is>
      </c>
      <c r="D515" s="2" t="inlineStr">
        <is>
          <t>a1-청</t>
        </is>
      </c>
      <c r="E515" s="2" t="inlineStr">
        <is>
          <t>2.0mm</t>
        </is>
      </c>
      <c r="F515" s="2" t="n">
        <v>1</v>
      </c>
      <c r="G515" s="2" t="n">
        <v>1</v>
      </c>
      <c r="H515" s="2" t="inlineStr">
        <is>
          <t>SC/PC</t>
        </is>
      </c>
      <c r="I515" s="2" t="inlineStr">
        <is>
          <t>SC/PC</t>
        </is>
      </c>
      <c r="J515" s="2" t="n">
        <v>10</v>
      </c>
      <c r="K515" s="2" t="n"/>
      <c r="L515" s="2" t="n">
        <v>10</v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>
        <f>SUM(J515:U515)*G515</f>
        <v/>
      </c>
      <c r="W515" s="2">
        <f>MAX(J515:U515)</f>
        <v/>
      </c>
      <c r="X515" s="2">
        <f>W515*G515</f>
        <v/>
      </c>
    </row>
    <row r="516">
      <c r="A516" s="2" t="inlineStr">
        <is>
          <t>14-K-857</t>
        </is>
      </c>
      <c r="B516" s="3" t="inlineStr">
        <is>
          <t>OJC-A1-SC/SC-SM-3-PC/PC-SP</t>
        </is>
      </c>
      <c r="C516" s="2" t="inlineStr">
        <is>
          <t>K9088996_청색</t>
        </is>
      </c>
      <c r="D516" s="2" t="inlineStr">
        <is>
          <t>a1-청</t>
        </is>
      </c>
      <c r="E516" s="2" t="inlineStr">
        <is>
          <t>2.0mm</t>
        </is>
      </c>
      <c r="F516" s="2" t="n">
        <v>1</v>
      </c>
      <c r="G516" s="2" t="n">
        <v>3</v>
      </c>
      <c r="H516" s="2" t="inlineStr">
        <is>
          <t>SC/PC</t>
        </is>
      </c>
      <c r="I516" s="2" t="inlineStr">
        <is>
          <t>SC/PC</t>
        </is>
      </c>
      <c r="J516" s="2" t="n">
        <v>12</v>
      </c>
      <c r="K516" s="2" t="n"/>
      <c r="L516" s="2" t="n">
        <v>10</v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>
        <f>SUM(J516:U516)*G516</f>
        <v/>
      </c>
      <c r="W516" s="2">
        <f>MAX(J516:U516)</f>
        <v/>
      </c>
      <c r="X516" s="2">
        <f>W516*G516</f>
        <v/>
      </c>
    </row>
    <row r="517">
      <c r="A517" s="2" t="inlineStr">
        <is>
          <t>14-K-883</t>
        </is>
      </c>
      <c r="B517" s="3" t="inlineStr">
        <is>
          <t>OJC-A1-SC/LC-SM-15-PC/PC-DP</t>
        </is>
      </c>
      <c r="C517" s="2" t="inlineStr">
        <is>
          <t>K9089163_포앤티</t>
        </is>
      </c>
      <c r="D517" s="2" t="inlineStr">
        <is>
          <t>a1</t>
        </is>
      </c>
      <c r="E517" s="2" t="inlineStr">
        <is>
          <t>2.0mm</t>
        </is>
      </c>
      <c r="F517" s="2" t="n">
        <v>2</v>
      </c>
      <c r="G517" s="2" t="n">
        <v>15</v>
      </c>
      <c r="H517" s="2" t="inlineStr">
        <is>
          <t>SC/PC</t>
        </is>
      </c>
      <c r="I517" s="2" t="inlineStr">
        <is>
          <t>LC/PC</t>
        </is>
      </c>
      <c r="J517" s="2" t="n"/>
      <c r="K517" s="2" t="n">
        <v>1000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>
        <f>SUM(J517:U517)*G517</f>
        <v/>
      </c>
      <c r="W517" s="2">
        <f>MAX(J517:U517)</f>
        <v/>
      </c>
      <c r="X517" s="2">
        <f>W517*G517</f>
        <v/>
      </c>
    </row>
    <row r="518">
      <c r="A518" s="2" t="inlineStr">
        <is>
          <t>14-K-928</t>
        </is>
      </c>
      <c r="B518" s="3" t="inlineStr">
        <is>
          <t>OJC-A1-LC/LC-SM-3-PC/PC-DP</t>
        </is>
      </c>
      <c r="C518" s="2" t="inlineStr">
        <is>
          <t>K9089173_청색</t>
        </is>
      </c>
      <c r="D518" s="2" t="inlineStr">
        <is>
          <t>a1-청</t>
        </is>
      </c>
      <c r="E518" s="2" t="inlineStr">
        <is>
          <t>2.0mm</t>
        </is>
      </c>
      <c r="F518" s="2" t="n">
        <v>2</v>
      </c>
      <c r="G518" s="2" t="n">
        <v>3</v>
      </c>
      <c r="H518" s="2" t="inlineStr">
        <is>
          <t>LC/PC</t>
        </is>
      </c>
      <c r="I518" s="2" t="inlineStr">
        <is>
          <t>LC/PC</t>
        </is>
      </c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>
        <v>50</v>
      </c>
      <c r="T518" s="2" t="n"/>
      <c r="U518" s="2" t="n"/>
      <c r="V518" s="2">
        <f>SUM(J518:U518)*G518</f>
        <v/>
      </c>
      <c r="W518" s="2">
        <f>MAX(J518:U518)</f>
        <v/>
      </c>
      <c r="X518" s="2">
        <f>W518*G518</f>
        <v/>
      </c>
    </row>
    <row r="519">
      <c r="A519" s="2" t="inlineStr">
        <is>
          <t>14-K-940</t>
        </is>
      </c>
      <c r="B519" s="3" t="inlineStr">
        <is>
          <t>OJC-A1-SC/LC-SM-3-PC/PC-DP</t>
        </is>
      </c>
      <c r="C519" s="2" t="inlineStr">
        <is>
          <t>청색</t>
        </is>
      </c>
      <c r="D519" s="2" t="inlineStr">
        <is>
          <t>a1-청</t>
        </is>
      </c>
      <c r="E519" s="2" t="inlineStr">
        <is>
          <t>2.0mm</t>
        </is>
      </c>
      <c r="F519" s="2" t="n">
        <v>2</v>
      </c>
      <c r="G519" s="2" t="n">
        <v>3</v>
      </c>
      <c r="H519" s="2" t="inlineStr">
        <is>
          <t>SC/PC</t>
        </is>
      </c>
      <c r="I519" s="2" t="inlineStr">
        <is>
          <t>LC/PC</t>
        </is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>
        <v>50</v>
      </c>
      <c r="T519" s="2" t="n"/>
      <c r="U519" s="2" t="n"/>
      <c r="V519" s="2">
        <f>SUM(J519:U519)*G519</f>
        <v/>
      </c>
      <c r="W519" s="2">
        <f>MAX(J519:U519)</f>
        <v/>
      </c>
      <c r="X519" s="2">
        <f>W519*G519</f>
        <v/>
      </c>
    </row>
    <row r="520">
      <c r="A520" s="2" t="inlineStr">
        <is>
          <t>14-K-958</t>
        </is>
      </c>
      <c r="B520" s="3" t="inlineStr">
        <is>
          <t>OJC-A1-SC/SC-SM-45-PC/PC-DP</t>
        </is>
      </c>
      <c r="C520" s="2" t="inlineStr">
        <is>
          <t>K9089155_녹색</t>
        </is>
      </c>
      <c r="D520" s="2" t="inlineStr">
        <is>
          <t>a1-녹</t>
        </is>
      </c>
      <c r="E520" s="2" t="inlineStr">
        <is>
          <t>2.0mm</t>
        </is>
      </c>
      <c r="F520" s="2" t="n">
        <v>2</v>
      </c>
      <c r="G520" s="2" t="n">
        <v>45</v>
      </c>
      <c r="H520" s="2" t="inlineStr">
        <is>
          <t>SC/PC</t>
        </is>
      </c>
      <c r="I520" s="2" t="inlineStr">
        <is>
          <t>SC/PC</t>
        </is>
      </c>
      <c r="J520" s="2" t="n"/>
      <c r="K520" s="2" t="n">
        <v>100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>
        <f>SUM(J520:U520)*G520</f>
        <v/>
      </c>
      <c r="W520" s="2">
        <f>MAX(J520:U520)</f>
        <v/>
      </c>
      <c r="X520" s="2">
        <f>W520*G520</f>
        <v/>
      </c>
    </row>
    <row r="521">
      <c r="A521" s="2" t="inlineStr">
        <is>
          <t>14-K-972</t>
        </is>
      </c>
      <c r="B521" s="3" t="inlineStr">
        <is>
          <t>OJC-C2-SC/SC-SM-10-PC/PC-24C</t>
        </is>
      </c>
      <c r="C521" s="2" t="inlineStr">
        <is>
          <t>K9186717</t>
        </is>
      </c>
      <c r="D521" s="2" t="inlineStr">
        <is>
          <t>a1-24c</t>
        </is>
      </c>
      <c r="E521" s="2" t="inlineStr">
        <is>
          <t>2.0mm</t>
        </is>
      </c>
      <c r="F521" s="2" t="n">
        <v>24</v>
      </c>
      <c r="G521" s="2" t="n">
        <v>10</v>
      </c>
      <c r="H521" s="2" t="inlineStr">
        <is>
          <t>SC/PC</t>
        </is>
      </c>
      <c r="I521" s="2" t="inlineStr">
        <is>
          <t>SC/PC</t>
        </is>
      </c>
      <c r="J521" s="2" t="n"/>
      <c r="K521" s="2" t="n"/>
      <c r="L521" s="2" t="n"/>
      <c r="M521" s="2" t="n">
        <v>20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>
        <f>SUM(J521:U521)*G521</f>
        <v/>
      </c>
      <c r="W521" s="2">
        <f>MAX(J521:U521)</f>
        <v/>
      </c>
      <c r="X521" s="2">
        <f>W521*G521</f>
        <v/>
      </c>
    </row>
    <row r="522">
      <c r="A522" s="2" t="inlineStr">
        <is>
          <t>14-K-989</t>
        </is>
      </c>
      <c r="B522" s="3" t="inlineStr">
        <is>
          <t>OJC-A1-SC/SC-SM-25-PC/PC-SP</t>
        </is>
      </c>
      <c r="C522" s="2" t="inlineStr">
        <is>
          <t>K9089018_청색</t>
        </is>
      </c>
      <c r="D522" s="2" t="inlineStr">
        <is>
          <t>a1-청</t>
        </is>
      </c>
      <c r="E522" s="2" t="inlineStr">
        <is>
          <t>2.0mm</t>
        </is>
      </c>
      <c r="F522" s="2" t="n">
        <v>1</v>
      </c>
      <c r="G522" s="2" t="n">
        <v>25</v>
      </c>
      <c r="H522" s="2" t="inlineStr">
        <is>
          <t>SC/PC</t>
        </is>
      </c>
      <c r="I522" s="2" t="inlineStr">
        <is>
          <t>SC/PC</t>
        </is>
      </c>
      <c r="J522" s="2" t="n"/>
      <c r="K522" s="2" t="n"/>
      <c r="L522" s="2" t="n">
        <v>50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>
        <f>SUM(J522:U522)*G522</f>
        <v/>
      </c>
      <c r="W522" s="2">
        <f>MAX(J522:U522)</f>
        <v/>
      </c>
      <c r="X522" s="2">
        <f>W522*G522</f>
        <v/>
      </c>
    </row>
    <row r="523">
      <c r="A523" s="2" t="inlineStr">
        <is>
          <t>14-K-A101</t>
        </is>
      </c>
      <c r="B523" s="3" t="inlineStr">
        <is>
          <t>OJC-A1-LC/LC-SM-1-PC/PC-DP</t>
        </is>
      </c>
      <c r="C523" s="2" t="inlineStr">
        <is>
          <t>K9089171_청색</t>
        </is>
      </c>
      <c r="D523" s="2" t="inlineStr">
        <is>
          <t>a1-청</t>
        </is>
      </c>
      <c r="E523" s="2" t="inlineStr">
        <is>
          <t>2.0mm</t>
        </is>
      </c>
      <c r="F523" s="2" t="n">
        <v>2</v>
      </c>
      <c r="G523" s="2" t="n">
        <v>1</v>
      </c>
      <c r="H523" s="2" t="inlineStr">
        <is>
          <t>LC/PC</t>
        </is>
      </c>
      <c r="I523" s="2" t="inlineStr">
        <is>
          <t>LC/PC</t>
        </is>
      </c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>
        <v>8</v>
      </c>
      <c r="T523" s="2" t="n"/>
      <c r="U523" s="2" t="n"/>
      <c r="V523" s="2">
        <f>SUM(J523:U523)*G523</f>
        <v/>
      </c>
      <c r="W523" s="2">
        <f>MAX(J523:U523)</f>
        <v/>
      </c>
      <c r="X523" s="2">
        <f>W523*G523</f>
        <v/>
      </c>
    </row>
    <row r="524">
      <c r="A524" s="2" t="inlineStr">
        <is>
          <t>14-K-A131</t>
        </is>
      </c>
      <c r="B524" s="3" t="inlineStr">
        <is>
          <t>OJC-A1-LC/LC-SM-2-APC/APC-DP</t>
        </is>
      </c>
      <c r="C524" s="2" t="inlineStr"/>
      <c r="D524" s="2" t="inlineStr">
        <is>
          <t>a1</t>
        </is>
      </c>
      <c r="E524" s="2" t="inlineStr">
        <is>
          <t>2.0mm</t>
        </is>
      </c>
      <c r="F524" s="2" t="n">
        <v>2</v>
      </c>
      <c r="G524" s="2" t="n">
        <v>2</v>
      </c>
      <c r="H524" s="2" t="inlineStr">
        <is>
          <t>LC/APC</t>
        </is>
      </c>
      <c r="I524" s="2" t="inlineStr">
        <is>
          <t>LC/APC</t>
        </is>
      </c>
      <c r="J524" s="2" t="n"/>
      <c r="K524" s="2" t="n"/>
      <c r="L524" s="2" t="n">
        <v>50</v>
      </c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>
        <f>SUM(J524:U524)*G524</f>
        <v/>
      </c>
      <c r="W524" s="2">
        <f>MAX(J524:U524)</f>
        <v/>
      </c>
      <c r="X524" s="2">
        <f>W524*G524</f>
        <v/>
      </c>
    </row>
    <row r="525">
      <c r="A525" s="2" t="inlineStr">
        <is>
          <t>14-K-A143</t>
        </is>
      </c>
      <c r="B525" s="3" t="inlineStr">
        <is>
          <t>OJC-A1-LC/LC-SM-15-PC/PC-DP</t>
        </is>
      </c>
      <c r="C525" s="2" t="inlineStr">
        <is>
          <t>K9089177_녹색</t>
        </is>
      </c>
      <c r="D525" s="2" t="inlineStr">
        <is>
          <t>a1-녹</t>
        </is>
      </c>
      <c r="E525" s="2" t="inlineStr">
        <is>
          <t>2.0mm</t>
        </is>
      </c>
      <c r="F525" s="2" t="n">
        <v>2</v>
      </c>
      <c r="G525" s="2" t="n">
        <v>15</v>
      </c>
      <c r="H525" s="2" t="inlineStr">
        <is>
          <t>LC/PC</t>
        </is>
      </c>
      <c r="I525" s="2" t="inlineStr">
        <is>
          <t>LC/PC</t>
        </is>
      </c>
      <c r="J525" s="2" t="n"/>
      <c r="K525" s="2" t="n"/>
      <c r="L525" s="2" t="n"/>
      <c r="M525" s="2" t="n"/>
      <c r="N525" s="2" t="n"/>
      <c r="O525" s="2" t="n">
        <v>34</v>
      </c>
      <c r="P525" s="2" t="n"/>
      <c r="Q525" s="2" t="n"/>
      <c r="R525" s="2" t="n">
        <v>22</v>
      </c>
      <c r="S525" s="2" t="n"/>
      <c r="T525" s="2" t="n">
        <v>22</v>
      </c>
      <c r="U525" s="2" t="n">
        <v>18</v>
      </c>
      <c r="V525" s="2">
        <f>SUM(J525:U525)*G525</f>
        <v/>
      </c>
      <c r="W525" s="2">
        <f>MAX(J525:U525)</f>
        <v/>
      </c>
      <c r="X525" s="2">
        <f>W525*G525</f>
        <v/>
      </c>
    </row>
    <row r="526">
      <c r="A526" s="2" t="inlineStr">
        <is>
          <t>14-K-A144</t>
        </is>
      </c>
      <c r="B526" s="3" t="inlineStr">
        <is>
          <t>OJC-A1-SC/LC-SM-10-PC/PC-SP</t>
        </is>
      </c>
      <c r="C526" s="2" t="inlineStr">
        <is>
          <t>K9089033_녹색</t>
        </is>
      </c>
      <c r="D526" s="2" t="inlineStr">
        <is>
          <t>a1-녹</t>
        </is>
      </c>
      <c r="E526" s="2" t="inlineStr">
        <is>
          <t>2.0mm</t>
        </is>
      </c>
      <c r="F526" s="2" t="n">
        <v>1</v>
      </c>
      <c r="G526" s="2" t="n">
        <v>10</v>
      </c>
      <c r="H526" s="2" t="inlineStr">
        <is>
          <t>SC/PC</t>
        </is>
      </c>
      <c r="I526" s="2" t="inlineStr">
        <is>
          <t>LC/PC</t>
        </is>
      </c>
      <c r="J526" s="2" t="n"/>
      <c r="K526" s="2" t="n"/>
      <c r="L526" s="2" t="n"/>
      <c r="M526" s="2" t="n"/>
      <c r="N526" s="2" t="n"/>
      <c r="O526" s="2" t="n">
        <v>9</v>
      </c>
      <c r="P526" s="2" t="n"/>
      <c r="Q526" s="2" t="n"/>
      <c r="R526" s="2" t="n"/>
      <c r="S526" s="2" t="n"/>
      <c r="T526" s="2" t="n"/>
      <c r="U526" s="2" t="n">
        <v>72</v>
      </c>
      <c r="V526" s="2">
        <f>SUM(J526:U526)*G526</f>
        <v/>
      </c>
      <c r="W526" s="2">
        <f>MAX(J526:U526)</f>
        <v/>
      </c>
      <c r="X526" s="2">
        <f>W526*G526</f>
        <v/>
      </c>
    </row>
    <row r="527">
      <c r="A527" s="2" t="inlineStr">
        <is>
          <t>14-K-A145</t>
        </is>
      </c>
      <c r="B527" s="3" t="inlineStr">
        <is>
          <t>OJC-A1-SC/LC-SM-15-PC/PC-SP</t>
        </is>
      </c>
      <c r="C527" s="2" t="inlineStr">
        <is>
          <t>K9089034_녹색</t>
        </is>
      </c>
      <c r="D527" s="2" t="inlineStr">
        <is>
          <t>a1-녹</t>
        </is>
      </c>
      <c r="E527" s="2" t="inlineStr">
        <is>
          <t>2.0mm</t>
        </is>
      </c>
      <c r="F527" s="2" t="n">
        <v>1</v>
      </c>
      <c r="G527" s="2" t="n">
        <v>15</v>
      </c>
      <c r="H527" s="2" t="inlineStr">
        <is>
          <t>SC/PC</t>
        </is>
      </c>
      <c r="I527" s="2" t="inlineStr">
        <is>
          <t>LC/PC</t>
        </is>
      </c>
      <c r="J527" s="2" t="n"/>
      <c r="K527" s="2" t="n"/>
      <c r="L527" s="2" t="n"/>
      <c r="M527" s="2" t="n"/>
      <c r="N527" s="2" t="n"/>
      <c r="O527" s="2" t="n">
        <v>30</v>
      </c>
      <c r="P527" s="2" t="n"/>
      <c r="Q527" s="2" t="n"/>
      <c r="R527" s="2" t="n"/>
      <c r="S527" s="2" t="n"/>
      <c r="T527" s="2" t="n"/>
      <c r="U527" s="2" t="n"/>
      <c r="V527" s="2">
        <f>SUM(J527:U527)*G527</f>
        <v/>
      </c>
      <c r="W527" s="2">
        <f>MAX(J527:U527)</f>
        <v/>
      </c>
      <c r="X527" s="2">
        <f>W527*G527</f>
        <v/>
      </c>
    </row>
    <row r="528">
      <c r="A528" s="2" t="inlineStr">
        <is>
          <t>14-K-A146</t>
        </is>
      </c>
      <c r="B528" s="3" t="inlineStr">
        <is>
          <t>OJC-A1-SC/LC-SM-20-PC/PC-SP</t>
        </is>
      </c>
      <c r="C528" s="2" t="inlineStr">
        <is>
          <t>K9089035_녹색</t>
        </is>
      </c>
      <c r="D528" s="2" t="inlineStr">
        <is>
          <t>a1-녹</t>
        </is>
      </c>
      <c r="E528" s="2" t="inlineStr">
        <is>
          <t>2.0mm</t>
        </is>
      </c>
      <c r="F528" s="2" t="n">
        <v>1</v>
      </c>
      <c r="G528" s="2" t="n">
        <v>20</v>
      </c>
      <c r="H528" s="2" t="inlineStr">
        <is>
          <t>SC/PC</t>
        </is>
      </c>
      <c r="I528" s="2" t="inlineStr">
        <is>
          <t>LC/PC</t>
        </is>
      </c>
      <c r="J528" s="2" t="n"/>
      <c r="K528" s="2" t="n">
        <v>60</v>
      </c>
      <c r="L528" s="2" t="n"/>
      <c r="M528" s="2" t="n"/>
      <c r="N528" s="2" t="n"/>
      <c r="O528" s="2" t="n">
        <v>6</v>
      </c>
      <c r="P528" s="2" t="n"/>
      <c r="Q528" s="2" t="n">
        <v>3</v>
      </c>
      <c r="R528" s="2" t="n">
        <v>3</v>
      </c>
      <c r="S528" s="2" t="n">
        <v>3</v>
      </c>
      <c r="T528" s="2" t="n">
        <v>20</v>
      </c>
      <c r="U528" s="2" t="n">
        <v>72</v>
      </c>
      <c r="V528" s="2">
        <f>SUM(J528:U528)*G528</f>
        <v/>
      </c>
      <c r="W528" s="2">
        <f>MAX(J528:U528)</f>
        <v/>
      </c>
      <c r="X528" s="2">
        <f>W528*G528</f>
        <v/>
      </c>
    </row>
    <row r="529">
      <c r="A529" s="2" t="inlineStr">
        <is>
          <t>14-K-A147</t>
        </is>
      </c>
      <c r="B529" s="3" t="inlineStr">
        <is>
          <t>OJC-A1-SC/LC-SM-3-PC/PC-SP</t>
        </is>
      </c>
      <c r="C529" s="2" t="inlineStr">
        <is>
          <t>K9089030_녹색</t>
        </is>
      </c>
      <c r="D529" s="2" t="inlineStr">
        <is>
          <t>a1-녹</t>
        </is>
      </c>
      <c r="E529" s="2" t="inlineStr">
        <is>
          <t>2.0mm</t>
        </is>
      </c>
      <c r="F529" s="2" t="n">
        <v>1</v>
      </c>
      <c r="G529" s="2" t="n">
        <v>3</v>
      </c>
      <c r="H529" s="2" t="inlineStr">
        <is>
          <t>SC/PC</t>
        </is>
      </c>
      <c r="I529" s="2" t="inlineStr">
        <is>
          <t>LC/PC</t>
        </is>
      </c>
      <c r="J529" s="2" t="n"/>
      <c r="K529" s="2" t="n">
        <v>60</v>
      </c>
      <c r="L529" s="2" t="n"/>
      <c r="M529" s="2" t="n"/>
      <c r="N529" s="2" t="n"/>
      <c r="O529" s="2" t="n"/>
      <c r="P529" s="2" t="n"/>
      <c r="Q529" s="2" t="n">
        <v>3</v>
      </c>
      <c r="R529" s="2" t="n">
        <v>3</v>
      </c>
      <c r="S529" s="2" t="n">
        <v>3</v>
      </c>
      <c r="T529" s="2" t="n">
        <v>20</v>
      </c>
      <c r="U529" s="2" t="n"/>
      <c r="V529" s="2">
        <f>SUM(J529:U529)*G529</f>
        <v/>
      </c>
      <c r="W529" s="2">
        <f>MAX(J529:U529)</f>
        <v/>
      </c>
      <c r="X529" s="2">
        <f>W529*G529</f>
        <v/>
      </c>
    </row>
    <row r="530">
      <c r="A530" s="2" t="inlineStr">
        <is>
          <t>14-K-A156</t>
        </is>
      </c>
      <c r="B530" s="3" t="inlineStr">
        <is>
          <t>OJC-A1-LC/LC-MM(OM4)-1-PC/PC-DP</t>
        </is>
      </c>
      <c r="C530" s="2" t="inlineStr"/>
      <c r="D530" s="2" t="inlineStr">
        <is>
          <t>om1</t>
        </is>
      </c>
      <c r="E530" s="2" t="inlineStr">
        <is>
          <t>2.0mm</t>
        </is>
      </c>
      <c r="F530" s="2" t="n">
        <v>2</v>
      </c>
      <c r="G530" s="2" t="n"/>
      <c r="H530" s="2" t="inlineStr">
        <is>
          <t>LC/PC</t>
        </is>
      </c>
      <c r="I530" s="2" t="inlineStr">
        <is>
          <t>LC/PC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>
        <v>16</v>
      </c>
      <c r="U530" s="2" t="n"/>
      <c r="V530" s="2">
        <f>SUM(J530:U530)*G530</f>
        <v/>
      </c>
      <c r="W530" s="2">
        <f>MAX(J530:U530)</f>
        <v/>
      </c>
      <c r="X530" s="2">
        <f>W530*G530</f>
        <v/>
      </c>
    </row>
    <row r="531">
      <c r="A531" s="2" t="inlineStr">
        <is>
          <t>14-K-A163</t>
        </is>
      </c>
      <c r="B531" s="3" t="inlineStr">
        <is>
          <t>OJC-A1-SC/LC-SM-30-PC/PC-SP</t>
        </is>
      </c>
      <c r="C531" s="2" t="inlineStr">
        <is>
          <t>K9089037_녹색</t>
        </is>
      </c>
      <c r="D531" s="2" t="inlineStr">
        <is>
          <t>a1-녹</t>
        </is>
      </c>
      <c r="E531" s="2" t="inlineStr">
        <is>
          <t>2.0mm</t>
        </is>
      </c>
      <c r="F531" s="2" t="n">
        <v>1</v>
      </c>
      <c r="G531" s="2" t="n">
        <v>30</v>
      </c>
      <c r="H531" s="2" t="inlineStr">
        <is>
          <t>SC/PC</t>
        </is>
      </c>
      <c r="I531" s="2" t="inlineStr">
        <is>
          <t>LC/PC</t>
        </is>
      </c>
      <c r="J531" s="2" t="n"/>
      <c r="K531" s="2" t="n"/>
      <c r="L531" s="2" t="n"/>
      <c r="M531" s="2" t="n"/>
      <c r="N531" s="2" t="n"/>
      <c r="O531" s="2" t="n">
        <v>9</v>
      </c>
      <c r="P531" s="2" t="n"/>
      <c r="Q531" s="2" t="n"/>
      <c r="R531" s="2" t="n"/>
      <c r="S531" s="2" t="n"/>
      <c r="T531" s="2" t="n"/>
      <c r="U531" s="2" t="n">
        <v>72</v>
      </c>
      <c r="V531" s="2">
        <f>SUM(J531:U531)*G531</f>
        <v/>
      </c>
      <c r="W531" s="2">
        <f>MAX(J531:U531)</f>
        <v/>
      </c>
      <c r="X531" s="2">
        <f>W531*G531</f>
        <v/>
      </c>
    </row>
    <row r="532">
      <c r="A532" s="2" t="inlineStr">
        <is>
          <t>14-K-A19</t>
        </is>
      </c>
      <c r="B532" s="3" t="inlineStr">
        <is>
          <t>OJC-A1-SC/SC-SM-20-PC/PC-SP</t>
        </is>
      </c>
      <c r="C532" s="2" t="inlineStr">
        <is>
          <t>K9089013_청색</t>
        </is>
      </c>
      <c r="D532" s="2" t="inlineStr">
        <is>
          <t>a1-청</t>
        </is>
      </c>
      <c r="E532" s="2" t="inlineStr">
        <is>
          <t>2.0mm</t>
        </is>
      </c>
      <c r="F532" s="2" t="n">
        <v>1</v>
      </c>
      <c r="G532" s="2" t="n">
        <v>20</v>
      </c>
      <c r="H532" s="2" t="inlineStr">
        <is>
          <t>SC/PC</t>
        </is>
      </c>
      <c r="I532" s="2" t="inlineStr">
        <is>
          <t>SC/PC</t>
        </is>
      </c>
      <c r="J532" s="2" t="n"/>
      <c r="K532" s="2" t="n"/>
      <c r="L532" s="2" t="n">
        <v>100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>
        <f>SUM(J532:U532)*G532</f>
        <v/>
      </c>
      <c r="W532" s="2">
        <f>MAX(J532:U532)</f>
        <v/>
      </c>
      <c r="X532" s="2">
        <f>W532*G532</f>
        <v/>
      </c>
    </row>
    <row r="533">
      <c r="A533" s="2" t="inlineStr">
        <is>
          <t>14-K-A194</t>
        </is>
      </c>
      <c r="B533" s="3" t="inlineStr">
        <is>
          <t>OJC-A1-SC/LC-SM-1-APC/PC-DP</t>
        </is>
      </c>
      <c r="C533" s="2" t="inlineStr">
        <is>
          <t>K9089240</t>
        </is>
      </c>
      <c r="D533" s="2" t="inlineStr">
        <is>
          <t>a1</t>
        </is>
      </c>
      <c r="E533" s="2" t="inlineStr">
        <is>
          <t>2.0mm</t>
        </is>
      </c>
      <c r="F533" s="2" t="n">
        <v>2</v>
      </c>
      <c r="G533" s="2" t="n">
        <v>1</v>
      </c>
      <c r="H533" s="2" t="inlineStr">
        <is>
          <t>SC/APC</t>
        </is>
      </c>
      <c r="I533" s="2" t="inlineStr">
        <is>
          <t>LC/PC</t>
        </is>
      </c>
      <c r="J533" s="2" t="n"/>
      <c r="K533" s="2" t="n">
        <v>6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>
        <f>SUM(J533:U533)*G533</f>
        <v/>
      </c>
      <c r="W533" s="2">
        <f>MAX(J533:U533)</f>
        <v/>
      </c>
      <c r="X533" s="2">
        <f>W533*G533</f>
        <v/>
      </c>
    </row>
    <row r="534">
      <c r="A534" s="2" t="inlineStr">
        <is>
          <t>14-K-A22</t>
        </is>
      </c>
      <c r="B534" s="3" t="inlineStr">
        <is>
          <t>OJC-A1-SC/SC-SM-15-PC/PC-SP</t>
        </is>
      </c>
      <c r="C534" s="2" t="inlineStr">
        <is>
          <t>K9089008_청색</t>
        </is>
      </c>
      <c r="D534" s="2" t="inlineStr">
        <is>
          <t>a1-청</t>
        </is>
      </c>
      <c r="E534" s="2" t="inlineStr">
        <is>
          <t>2.0mm</t>
        </is>
      </c>
      <c r="F534" s="2" t="n">
        <v>1</v>
      </c>
      <c r="G534" s="2" t="n">
        <v>15</v>
      </c>
      <c r="H534" s="2" t="inlineStr">
        <is>
          <t>SC/PC</t>
        </is>
      </c>
      <c r="I534" s="2" t="inlineStr">
        <is>
          <t>SC/PC</t>
        </is>
      </c>
      <c r="J534" s="2" t="n"/>
      <c r="K534" s="2" t="n"/>
      <c r="L534" s="2" t="n">
        <v>150</v>
      </c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>
        <f>SUM(J534:U534)*G534</f>
        <v/>
      </c>
      <c r="W534" s="2">
        <f>MAX(J534:U534)</f>
        <v/>
      </c>
      <c r="X534" s="2">
        <f>W534*G534</f>
        <v/>
      </c>
    </row>
    <row r="535">
      <c r="A535" s="2" t="inlineStr">
        <is>
          <t>14-K-A252</t>
        </is>
      </c>
      <c r="B535" s="3" t="inlineStr">
        <is>
          <t>OJC-A1-LC/LC-MM(OM3)-12-PC/PC-DP</t>
        </is>
      </c>
      <c r="C535" s="2" t="inlineStr"/>
      <c r="D535" s="2" t="inlineStr">
        <is>
          <t>om3</t>
        </is>
      </c>
      <c r="E535" s="2" t="inlineStr">
        <is>
          <t>2.0mm</t>
        </is>
      </c>
      <c r="F535" s="2" t="n">
        <v>2</v>
      </c>
      <c r="G535" s="2" t="n">
        <v>12</v>
      </c>
      <c r="H535" s="2" t="inlineStr">
        <is>
          <t>LC/PC</t>
        </is>
      </c>
      <c r="I535" s="2" t="inlineStr">
        <is>
          <t>LC/PC</t>
        </is>
      </c>
      <c r="J535" s="2" t="n"/>
      <c r="K535" s="2" t="n"/>
      <c r="L535" s="2" t="n"/>
      <c r="M535" s="2" t="n"/>
      <c r="N535" s="2" t="n"/>
      <c r="O535" s="2" t="n">
        <v>4</v>
      </c>
      <c r="P535" s="2" t="n"/>
      <c r="Q535" s="2" t="n"/>
      <c r="R535" s="2" t="n"/>
      <c r="S535" s="2" t="n"/>
      <c r="T535" s="2" t="n"/>
      <c r="U535" s="2" t="n"/>
      <c r="V535" s="2">
        <f>SUM(J535:U535)*G535</f>
        <v/>
      </c>
      <c r="W535" s="2">
        <f>MAX(J535:U535)</f>
        <v/>
      </c>
      <c r="X535" s="2">
        <f>W535*G535</f>
        <v/>
      </c>
    </row>
    <row r="536">
      <c r="A536" s="2" t="inlineStr">
        <is>
          <t>14-K-A261</t>
        </is>
      </c>
      <c r="B536" s="3" t="inlineStr">
        <is>
          <t>OJC-A1-SC/LC-SM-25-PC/PC-SP</t>
        </is>
      </c>
      <c r="C536" s="2" t="inlineStr">
        <is>
          <t>K9089036_녹색</t>
        </is>
      </c>
      <c r="D536" s="2" t="inlineStr">
        <is>
          <t>a1-녹</t>
        </is>
      </c>
      <c r="E536" s="2" t="inlineStr">
        <is>
          <t>2.0mm</t>
        </is>
      </c>
      <c r="F536" s="2" t="n">
        <v>1</v>
      </c>
      <c r="G536" s="2" t="n">
        <v>25</v>
      </c>
      <c r="H536" s="2" t="inlineStr">
        <is>
          <t>SC/PC</t>
        </is>
      </c>
      <c r="I536" s="2" t="inlineStr">
        <is>
          <t>LC/PC</t>
        </is>
      </c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>
        <v>44</v>
      </c>
      <c r="U536" s="2" t="n">
        <v>270</v>
      </c>
      <c r="V536" s="2">
        <f>SUM(J536:U536)*G536</f>
        <v/>
      </c>
      <c r="W536" s="2">
        <f>MAX(J536:U536)</f>
        <v/>
      </c>
      <c r="X536" s="2">
        <f>W536*G536</f>
        <v/>
      </c>
    </row>
    <row r="537">
      <c r="A537" s="2" t="inlineStr">
        <is>
          <t>14-K-A263</t>
        </is>
      </c>
      <c r="B537" s="3" t="inlineStr">
        <is>
          <t>OJC-C2-SC/SC-SM-15-PC/PC-16C</t>
        </is>
      </c>
      <c r="C537" s="2" t="inlineStr">
        <is>
          <t>K9094339, 양단 분기부 1.5M</t>
        </is>
      </c>
      <c r="D537" s="2" t="inlineStr">
        <is>
          <t>a1-16c</t>
        </is>
      </c>
      <c r="E537" s="2" t="inlineStr">
        <is>
          <t>2.0mm</t>
        </is>
      </c>
      <c r="F537" s="2" t="n">
        <v>16</v>
      </c>
      <c r="G537" s="2" t="n">
        <v>15</v>
      </c>
      <c r="H537" s="2" t="inlineStr">
        <is>
          <t>SC/PC</t>
        </is>
      </c>
      <c r="I537" s="2" t="inlineStr">
        <is>
          <t>SC/PC</t>
        </is>
      </c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>
        <v>8</v>
      </c>
      <c r="S537" s="2" t="n"/>
      <c r="T537" s="2" t="n"/>
      <c r="U537" s="2" t="n"/>
      <c r="V537" s="2">
        <f>SUM(J537:U537)*G537</f>
        <v/>
      </c>
      <c r="W537" s="2">
        <f>MAX(J537:U537)</f>
        <v/>
      </c>
      <c r="X537" s="2">
        <f>W537*G537</f>
        <v/>
      </c>
    </row>
    <row r="538">
      <c r="A538" s="2" t="inlineStr">
        <is>
          <t>14-K-A264</t>
        </is>
      </c>
      <c r="B538" s="3" t="inlineStr">
        <is>
          <t>OJC-A1-LC/LC-SM-17-PC/PC-DP</t>
        </is>
      </c>
      <c r="C538" s="2" t="inlineStr">
        <is>
          <t>적색</t>
        </is>
      </c>
      <c r="D538" s="2" t="inlineStr">
        <is>
          <t>a1-적</t>
        </is>
      </c>
      <c r="E538" s="2" t="inlineStr">
        <is>
          <t>2.0mm</t>
        </is>
      </c>
      <c r="F538" s="2" t="n">
        <v>2</v>
      </c>
      <c r="G538" s="2" t="n">
        <v>17</v>
      </c>
      <c r="H538" s="2" t="inlineStr">
        <is>
          <t>LC/PC</t>
        </is>
      </c>
      <c r="I538" s="2" t="inlineStr">
        <is>
          <t>LC/PC</t>
        </is>
      </c>
      <c r="J538" s="2" t="n">
        <v>1</v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>
        <f>SUM(J538:U538)*G538</f>
        <v/>
      </c>
      <c r="W538" s="2">
        <f>MAX(J538:U538)</f>
        <v/>
      </c>
      <c r="X538" s="2">
        <f>W538*G538</f>
        <v/>
      </c>
    </row>
    <row r="539">
      <c r="A539" s="2" t="inlineStr">
        <is>
          <t>14-K-A27</t>
        </is>
      </c>
      <c r="B539" s="3" t="inlineStr">
        <is>
          <t>OJC-C2-SC/SC-SM-50-PC/PC-16C</t>
        </is>
      </c>
      <c r="C539" s="2" t="inlineStr">
        <is>
          <t>K9094339</t>
        </is>
      </c>
      <c r="D539" s="2" t="inlineStr">
        <is>
          <t>a1-16c</t>
        </is>
      </c>
      <c r="E539" s="2" t="inlineStr">
        <is>
          <t>2.0mm</t>
        </is>
      </c>
      <c r="F539" s="2" t="n">
        <v>16</v>
      </c>
      <c r="G539" s="2" t="n">
        <v>50</v>
      </c>
      <c r="H539" s="2" t="inlineStr">
        <is>
          <t>SC/PC</t>
        </is>
      </c>
      <c r="I539" s="2" t="inlineStr">
        <is>
          <t>SC/PC</t>
        </is>
      </c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>
        <v>2</v>
      </c>
      <c r="T539" s="2" t="n"/>
      <c r="U539" s="2" t="n"/>
      <c r="V539" s="2">
        <f>SUM(J539:U539)*G539</f>
        <v/>
      </c>
      <c r="W539" s="2">
        <f>MAX(J539:U539)</f>
        <v/>
      </c>
      <c r="X539" s="2">
        <f>W539*G539</f>
        <v/>
      </c>
    </row>
    <row r="540">
      <c r="A540" s="2" t="inlineStr">
        <is>
          <t>14-K-A280</t>
        </is>
      </c>
      <c r="B540" s="3" t="inlineStr">
        <is>
          <t>OJC-A1-LC/LC-SM-25-PC/PC-DP</t>
        </is>
      </c>
      <c r="C540" s="2" t="inlineStr">
        <is>
          <t>K9089179_녹색</t>
        </is>
      </c>
      <c r="D540" s="2" t="inlineStr">
        <is>
          <t>a1-녹</t>
        </is>
      </c>
      <c r="E540" s="2" t="inlineStr">
        <is>
          <t>2.0mm</t>
        </is>
      </c>
      <c r="F540" s="2" t="n">
        <v>2</v>
      </c>
      <c r="G540" s="2" t="n">
        <v>25</v>
      </c>
      <c r="H540" s="2" t="inlineStr">
        <is>
          <t>LC/PC</t>
        </is>
      </c>
      <c r="I540" s="2" t="inlineStr">
        <is>
          <t>LC/PC</t>
        </is>
      </c>
      <c r="J540" s="2" t="n"/>
      <c r="K540" s="2" t="n"/>
      <c r="L540" s="2" t="n"/>
      <c r="M540" s="2" t="n"/>
      <c r="N540" s="2" t="n"/>
      <c r="O540" s="2" t="n">
        <v>28</v>
      </c>
      <c r="P540" s="2" t="n"/>
      <c r="Q540" s="2" t="n"/>
      <c r="R540" s="2" t="n"/>
      <c r="S540" s="2" t="n">
        <v>4</v>
      </c>
      <c r="T540" s="2" t="n"/>
      <c r="U540" s="2" t="n">
        <v>35</v>
      </c>
      <c r="V540" s="2">
        <f>SUM(J540:U540)*G540</f>
        <v/>
      </c>
      <c r="W540" s="2">
        <f>MAX(J540:U540)</f>
        <v/>
      </c>
      <c r="X540" s="2">
        <f>W540*G540</f>
        <v/>
      </c>
    </row>
    <row r="541">
      <c r="A541" s="2" t="inlineStr">
        <is>
          <t>14-K-A302</t>
        </is>
      </c>
      <c r="B541" s="3" t="inlineStr">
        <is>
          <t>OJC-A1-LC/LC-MM(OM3)-11-PC/PC-DP</t>
        </is>
      </c>
      <c r="C541" s="2" t="inlineStr"/>
      <c r="D541" s="2" t="inlineStr">
        <is>
          <t>om3</t>
        </is>
      </c>
      <c r="E541" s="2" t="inlineStr">
        <is>
          <t>2.0mm</t>
        </is>
      </c>
      <c r="F541" s="2" t="n">
        <v>2</v>
      </c>
      <c r="G541" s="2" t="n">
        <v>11</v>
      </c>
      <c r="H541" s="2" t="inlineStr">
        <is>
          <t>LC/PC</t>
        </is>
      </c>
      <c r="I541" s="2" t="inlineStr">
        <is>
          <t>LC/PC</t>
        </is>
      </c>
      <c r="J541" s="2" t="n"/>
      <c r="K541" s="2" t="n"/>
      <c r="L541" s="2" t="n"/>
      <c r="M541" s="2" t="n"/>
      <c r="N541" s="2" t="n"/>
      <c r="O541" s="2" t="n">
        <v>4</v>
      </c>
      <c r="P541" s="2" t="n"/>
      <c r="Q541" s="2" t="n"/>
      <c r="R541" s="2" t="n"/>
      <c r="S541" s="2" t="n"/>
      <c r="T541" s="2" t="n"/>
      <c r="U541" s="2" t="n"/>
      <c r="V541" s="2">
        <f>SUM(J541:U541)*G541</f>
        <v/>
      </c>
      <c r="W541" s="2">
        <f>MAX(J541:U541)</f>
        <v/>
      </c>
      <c r="X541" s="2">
        <f>W541*G541</f>
        <v/>
      </c>
    </row>
    <row r="542">
      <c r="A542" s="2" t="inlineStr">
        <is>
          <t>14-K-A309</t>
        </is>
      </c>
      <c r="B542" s="3" t="inlineStr">
        <is>
          <t>OJC-A1-LC/LC-MM(OM3)-15-PC/PC-DP</t>
        </is>
      </c>
      <c r="C542" s="2" t="inlineStr">
        <is>
          <t>LC/DP Clip Type</t>
        </is>
      </c>
      <c r="D542" s="2" t="inlineStr">
        <is>
          <t>om3</t>
        </is>
      </c>
      <c r="E542" s="2" t="inlineStr">
        <is>
          <t>2.0mm</t>
        </is>
      </c>
      <c r="F542" s="2" t="n">
        <v>2</v>
      </c>
      <c r="G542" s="2" t="n">
        <v>15</v>
      </c>
      <c r="H542" s="2" t="inlineStr">
        <is>
          <t>LC/PC</t>
        </is>
      </c>
      <c r="I542" s="2" t="inlineStr">
        <is>
          <t>LC/PC</t>
        </is>
      </c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>
        <v>5</v>
      </c>
      <c r="S542" s="2" t="n"/>
      <c r="T542" s="2" t="n"/>
      <c r="U542" s="2" t="n"/>
      <c r="V542" s="2">
        <f>SUM(J542:U542)*G542</f>
        <v/>
      </c>
      <c r="W542" s="2">
        <f>MAX(J542:U542)</f>
        <v/>
      </c>
      <c r="X542" s="2">
        <f>W542*G542</f>
        <v/>
      </c>
    </row>
    <row r="543">
      <c r="A543" s="2" t="inlineStr">
        <is>
          <t>14-K-A62</t>
        </is>
      </c>
      <c r="B543" s="3" t="inlineStr">
        <is>
          <t>OJC-A1-LC/LC-SM-3-APC/APC-SP</t>
        </is>
      </c>
      <c r="C543" s="2" t="inlineStr"/>
      <c r="D543" s="2" t="inlineStr">
        <is>
          <t>a1</t>
        </is>
      </c>
      <c r="E543" s="2" t="inlineStr">
        <is>
          <t>2.0mm</t>
        </is>
      </c>
      <c r="F543" s="2" t="n">
        <v>1</v>
      </c>
      <c r="G543" s="2" t="n">
        <v>3</v>
      </c>
      <c r="H543" s="2" t="inlineStr">
        <is>
          <t>LC/APC</t>
        </is>
      </c>
      <c r="I543" s="2" t="inlineStr">
        <is>
          <t>LC/APC</t>
        </is>
      </c>
      <c r="J543" s="2" t="n"/>
      <c r="K543" s="2" t="n"/>
      <c r="L543" s="2" t="n"/>
      <c r="M543" s="2" t="n"/>
      <c r="N543" s="2" t="n"/>
      <c r="O543" s="2" t="n"/>
      <c r="P543" s="2" t="n">
        <v>20</v>
      </c>
      <c r="Q543" s="2" t="n"/>
      <c r="R543" s="2" t="n"/>
      <c r="S543" s="2" t="n"/>
      <c r="T543" s="2" t="n"/>
      <c r="U543" s="2" t="n"/>
      <c r="V543" s="2">
        <f>SUM(J543:U543)*G543</f>
        <v/>
      </c>
      <c r="W543" s="2">
        <f>MAX(J543:U543)</f>
        <v/>
      </c>
      <c r="X543" s="2">
        <f>W543*G543</f>
        <v/>
      </c>
    </row>
    <row r="544">
      <c r="A544" s="2" t="inlineStr">
        <is>
          <t>14-K-A67</t>
        </is>
      </c>
      <c r="B544" s="3" t="inlineStr">
        <is>
          <t>OJC-A1-SC/LC-SM-30-PC/APC-SP</t>
        </is>
      </c>
      <c r="C544" s="2" t="inlineStr">
        <is>
          <t>K9089071</t>
        </is>
      </c>
      <c r="D544" s="2" t="inlineStr">
        <is>
          <t>a1</t>
        </is>
      </c>
      <c r="E544" s="2" t="inlineStr">
        <is>
          <t>2.0mm</t>
        </is>
      </c>
      <c r="F544" s="2" t="n">
        <v>1</v>
      </c>
      <c r="G544" s="2" t="n">
        <v>30</v>
      </c>
      <c r="H544" s="2" t="inlineStr">
        <is>
          <t>SC/PC</t>
        </is>
      </c>
      <c r="I544" s="2" t="inlineStr">
        <is>
          <t>LC/APC</t>
        </is>
      </c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>
        <v>30</v>
      </c>
      <c r="V544" s="2">
        <f>SUM(J544:U544)*G544</f>
        <v/>
      </c>
      <c r="W544" s="2">
        <f>MAX(J544:U544)</f>
        <v/>
      </c>
      <c r="X544" s="2">
        <f>W544*G544</f>
        <v/>
      </c>
    </row>
    <row r="545">
      <c r="A545" s="2" t="inlineStr">
        <is>
          <t>14-K-A73</t>
        </is>
      </c>
      <c r="B545" s="3" t="inlineStr">
        <is>
          <t>OJC-C2-SC/SC-SM-20-PC/PC-24C</t>
        </is>
      </c>
      <c r="C545" s="2" t="inlineStr">
        <is>
          <t>K9186717</t>
        </is>
      </c>
      <c r="D545" s="2" t="inlineStr">
        <is>
          <t>a1-24c</t>
        </is>
      </c>
      <c r="E545" s="2" t="inlineStr">
        <is>
          <t>2.0mm</t>
        </is>
      </c>
      <c r="F545" s="2" t="n">
        <v>24</v>
      </c>
      <c r="G545" s="2" t="n">
        <v>20</v>
      </c>
      <c r="H545" s="2" t="inlineStr">
        <is>
          <t>SC/PC</t>
        </is>
      </c>
      <c r="I545" s="2" t="inlineStr">
        <is>
          <t>SC/PC</t>
        </is>
      </c>
      <c r="J545" s="2" t="n"/>
      <c r="K545" s="2" t="n"/>
      <c r="L545" s="2" t="n">
        <v>3</v>
      </c>
      <c r="M545" s="2" t="n">
        <v>1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>
        <f>SUM(J545:U545)*G545</f>
        <v/>
      </c>
      <c r="W545" s="2">
        <f>MAX(J545:U545)</f>
        <v/>
      </c>
      <c r="X545" s="2">
        <f>W545*G545</f>
        <v/>
      </c>
    </row>
    <row r="546">
      <c r="A546" s="2" t="inlineStr">
        <is>
          <t>14-K-A736</t>
        </is>
      </c>
      <c r="B546" s="3" t="inlineStr">
        <is>
          <t>OJC-A1-LC/LC-MM(OM3)-25-PC/PC-DP</t>
        </is>
      </c>
      <c r="C546" s="2" t="inlineStr">
        <is>
          <t>LC/DP CLIP Type, 25M</t>
        </is>
      </c>
      <c r="D546" s="2" t="inlineStr">
        <is>
          <t>om3</t>
        </is>
      </c>
      <c r="E546" s="2" t="inlineStr">
        <is>
          <t>2.0mm</t>
        </is>
      </c>
      <c r="F546" s="2" t="n">
        <v>2</v>
      </c>
      <c r="G546" s="2" t="n">
        <v>25</v>
      </c>
      <c r="H546" s="2" t="inlineStr">
        <is>
          <t>LC/PC</t>
        </is>
      </c>
      <c r="I546" s="2" t="inlineStr">
        <is>
          <t>LC/PC</t>
        </is>
      </c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>
        <v>12</v>
      </c>
      <c r="T546" s="2" t="n"/>
      <c r="U546" s="2" t="n"/>
      <c r="V546" s="2">
        <f>SUM(J546:U546)*G546</f>
        <v/>
      </c>
      <c r="W546" s="2">
        <f>MAX(J546:U546)</f>
        <v/>
      </c>
      <c r="X546" s="2">
        <f>W546*G546</f>
        <v/>
      </c>
    </row>
    <row r="547">
      <c r="A547" s="2" t="inlineStr">
        <is>
          <t>14-K-A737</t>
        </is>
      </c>
      <c r="B547" s="3" t="inlineStr">
        <is>
          <t>OJC-A1-LC/LC-MM(OM3)-26-PC/PC-DP</t>
        </is>
      </c>
      <c r="C547" s="2" t="inlineStr">
        <is>
          <t>LC/DP CLIP Type, 26M</t>
        </is>
      </c>
      <c r="D547" s="2" t="inlineStr">
        <is>
          <t>om3</t>
        </is>
      </c>
      <c r="E547" s="2" t="inlineStr">
        <is>
          <t>2.0mm</t>
        </is>
      </c>
      <c r="F547" s="2" t="n">
        <v>2</v>
      </c>
      <c r="G547" s="2" t="n">
        <v>26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>
        <v>12</v>
      </c>
      <c r="T547" s="2" t="n"/>
      <c r="U547" s="2" t="n"/>
      <c r="V547" s="2">
        <f>SUM(J547:U547)*G547</f>
        <v/>
      </c>
      <c r="W547" s="2">
        <f>MAX(J547:U547)</f>
        <v/>
      </c>
      <c r="X547" s="2">
        <f>W547*G547</f>
        <v/>
      </c>
    </row>
    <row r="548">
      <c r="A548" s="2" t="inlineStr">
        <is>
          <t>14-K-A738</t>
        </is>
      </c>
      <c r="B548" s="3" t="inlineStr">
        <is>
          <t>OJC-A1-LC/LC-MM(OM3)-27-PC/PC-DP</t>
        </is>
      </c>
      <c r="C548" s="2" t="inlineStr">
        <is>
          <t>LC/DP CLIP Type, 27M</t>
        </is>
      </c>
      <c r="D548" s="2" t="inlineStr">
        <is>
          <t>om3</t>
        </is>
      </c>
      <c r="E548" s="2" t="inlineStr">
        <is>
          <t>2.0mm</t>
        </is>
      </c>
      <c r="F548" s="2" t="n">
        <v>2</v>
      </c>
      <c r="G548" s="2" t="n">
        <v>27</v>
      </c>
      <c r="H548" s="2" t="inlineStr">
        <is>
          <t>LC/PC</t>
        </is>
      </c>
      <c r="I548" s="2" t="inlineStr">
        <is>
          <t>LC/PC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>
        <v>12</v>
      </c>
      <c r="T548" s="2" t="n"/>
      <c r="U548" s="2" t="n"/>
      <c r="V548" s="2">
        <f>SUM(J548:U548)*G548</f>
        <v/>
      </c>
      <c r="W548" s="2">
        <f>MAX(J548:U548)</f>
        <v/>
      </c>
      <c r="X548" s="2">
        <f>W548*G548</f>
        <v/>
      </c>
    </row>
    <row r="549">
      <c r="A549" s="2" t="inlineStr">
        <is>
          <t>14-K-A739</t>
        </is>
      </c>
      <c r="B549" s="3" t="inlineStr">
        <is>
          <t>OJC-A1-LC/LC-MM(OM3)-28-PC/PC-DP</t>
        </is>
      </c>
      <c r="C549" s="2" t="inlineStr">
        <is>
          <t>LC/DP CLIP Type, 28M</t>
        </is>
      </c>
      <c r="D549" s="2" t="inlineStr">
        <is>
          <t>om3</t>
        </is>
      </c>
      <c r="E549" s="2" t="inlineStr">
        <is>
          <t>2.0mm</t>
        </is>
      </c>
      <c r="F549" s="2" t="n">
        <v>2</v>
      </c>
      <c r="G549" s="2" t="n">
        <v>28</v>
      </c>
      <c r="H549" s="2" t="inlineStr">
        <is>
          <t>LC/PC</t>
        </is>
      </c>
      <c r="I549" s="2" t="inlineStr">
        <is>
          <t>LC/PC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>
        <v>12</v>
      </c>
      <c r="T549" s="2" t="n"/>
      <c r="U549" s="2" t="n"/>
      <c r="V549" s="2">
        <f>SUM(J549:U549)*G549</f>
        <v/>
      </c>
      <c r="W549" s="2">
        <f>MAX(J549:U549)</f>
        <v/>
      </c>
      <c r="X549" s="2">
        <f>W549*G549</f>
        <v/>
      </c>
    </row>
    <row r="550">
      <c r="A550" s="2" t="inlineStr">
        <is>
          <t>14-K-A740</t>
        </is>
      </c>
      <c r="B550" s="3" t="inlineStr">
        <is>
          <t>OJC-A1-LC/LC-MM(OM3)-29-PC/PC-DP</t>
        </is>
      </c>
      <c r="C550" s="2" t="inlineStr">
        <is>
          <t>LC/DP CLIP Type, 29M</t>
        </is>
      </c>
      <c r="D550" s="2" t="inlineStr">
        <is>
          <t>om3</t>
        </is>
      </c>
      <c r="E550" s="2" t="inlineStr">
        <is>
          <t>2.0mm</t>
        </is>
      </c>
      <c r="F550" s="2" t="n">
        <v>2</v>
      </c>
      <c r="G550" s="2" t="n">
        <v>29</v>
      </c>
      <c r="H550" s="2" t="inlineStr">
        <is>
          <t>LC/PC</t>
        </is>
      </c>
      <c r="I550" s="2" t="inlineStr">
        <is>
          <t>LC/PC</t>
        </is>
      </c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>
        <v>12</v>
      </c>
      <c r="T550" s="2" t="n"/>
      <c r="U550" s="2" t="n"/>
      <c r="V550" s="2">
        <f>SUM(J550:U550)*G550</f>
        <v/>
      </c>
      <c r="W550" s="2">
        <f>MAX(J550:U550)</f>
        <v/>
      </c>
      <c r="X550" s="2">
        <f>W550*G550</f>
        <v/>
      </c>
    </row>
    <row r="551">
      <c r="A551" s="2" t="inlineStr">
        <is>
          <t>14-K-A741</t>
        </is>
      </c>
      <c r="B551" s="3" t="inlineStr">
        <is>
          <t>OJC-A1-LC/LC-MM(OM3)-30-PC/PC-DP</t>
        </is>
      </c>
      <c r="C551" s="2" t="inlineStr">
        <is>
          <t>LC/DP CLIP Type, 30M</t>
        </is>
      </c>
      <c r="D551" s="2" t="inlineStr">
        <is>
          <t>om3</t>
        </is>
      </c>
      <c r="E551" s="2" t="inlineStr">
        <is>
          <t>2.0mm</t>
        </is>
      </c>
      <c r="F551" s="2" t="n">
        <v>2</v>
      </c>
      <c r="G551" s="2" t="n">
        <v>30</v>
      </c>
      <c r="H551" s="2" t="inlineStr">
        <is>
          <t>LC/PC</t>
        </is>
      </c>
      <c r="I551" s="2" t="inlineStr">
        <is>
          <t>LC/PC</t>
        </is>
      </c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>
        <v>12</v>
      </c>
      <c r="T551" s="2" t="n"/>
      <c r="U551" s="2" t="n"/>
      <c r="V551" s="2">
        <f>SUM(J551:U551)*G551</f>
        <v/>
      </c>
      <c r="W551" s="2">
        <f>MAX(J551:U551)</f>
        <v/>
      </c>
      <c r="X551" s="2">
        <f>W551*G551</f>
        <v/>
      </c>
    </row>
    <row r="552">
      <c r="A552" s="2" t="inlineStr">
        <is>
          <t>14-K-A742</t>
        </is>
      </c>
      <c r="B552" s="3" t="inlineStr">
        <is>
          <t>OJC-A1-LC/LC-MM(OM3)-31-PC/PC-DP</t>
        </is>
      </c>
      <c r="C552" s="2" t="inlineStr">
        <is>
          <t>LC/DP CLIP Type, 31M</t>
        </is>
      </c>
      <c r="D552" s="2" t="inlineStr">
        <is>
          <t>om3</t>
        </is>
      </c>
      <c r="E552" s="2" t="inlineStr">
        <is>
          <t>2.0mm</t>
        </is>
      </c>
      <c r="F552" s="2" t="n">
        <v>2</v>
      </c>
      <c r="G552" s="2" t="n">
        <v>31</v>
      </c>
      <c r="H552" s="2" t="inlineStr">
        <is>
          <t>LC/PC</t>
        </is>
      </c>
      <c r="I552" s="2" t="inlineStr">
        <is>
          <t>LC/PC</t>
        </is>
      </c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>
        <v>12</v>
      </c>
      <c r="T552" s="2" t="n"/>
      <c r="U552" s="2" t="n"/>
      <c r="V552" s="2">
        <f>SUM(J552:U552)*G552</f>
        <v/>
      </c>
      <c r="W552" s="2">
        <f>MAX(J552:U552)</f>
        <v/>
      </c>
      <c r="X552" s="2">
        <f>W552*G552</f>
        <v/>
      </c>
    </row>
    <row r="553">
      <c r="A553" s="2" t="inlineStr">
        <is>
          <t>14-K-A747</t>
        </is>
      </c>
      <c r="B553" s="3" t="inlineStr">
        <is>
          <t>OJC-A1-LC/LC-MM(OM3)-36-PC/PC-DP</t>
        </is>
      </c>
      <c r="C553" s="2" t="inlineStr">
        <is>
          <t>LC/DP CLIP Type, 36M</t>
        </is>
      </c>
      <c r="D553" s="2" t="inlineStr">
        <is>
          <t>om3</t>
        </is>
      </c>
      <c r="E553" s="2" t="inlineStr">
        <is>
          <t>2.0mm</t>
        </is>
      </c>
      <c r="F553" s="2" t="n">
        <v>2</v>
      </c>
      <c r="G553" s="2" t="n">
        <v>36</v>
      </c>
      <c r="H553" s="2" t="inlineStr">
        <is>
          <t>LC/PC</t>
        </is>
      </c>
      <c r="I553" s="2" t="inlineStr">
        <is>
          <t>LC/PC</t>
        </is>
      </c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>
        <v>12</v>
      </c>
      <c r="T553" s="2" t="n"/>
      <c r="U553" s="2" t="n"/>
      <c r="V553" s="2">
        <f>SUM(J553:U553)*G553</f>
        <v/>
      </c>
      <c r="W553" s="2">
        <f>MAX(J553:U553)</f>
        <v/>
      </c>
      <c r="X553" s="2">
        <f>W553*G553</f>
        <v/>
      </c>
    </row>
    <row r="554">
      <c r="A554" s="2" t="inlineStr">
        <is>
          <t>14-K-A748</t>
        </is>
      </c>
      <c r="B554" s="3" t="inlineStr">
        <is>
          <t>OJC-A1-LC/LC-MM(OM3)-37-PC/PC-DP</t>
        </is>
      </c>
      <c r="C554" s="2" t="inlineStr">
        <is>
          <t>LC/DP CLIP Type, 37M</t>
        </is>
      </c>
      <c r="D554" s="2" t="inlineStr">
        <is>
          <t>om3</t>
        </is>
      </c>
      <c r="E554" s="2" t="inlineStr">
        <is>
          <t>2.0mm</t>
        </is>
      </c>
      <c r="F554" s="2" t="n">
        <v>2</v>
      </c>
      <c r="G554" s="2" t="n">
        <v>37</v>
      </c>
      <c r="H554" s="2" t="inlineStr">
        <is>
          <t>LC/PC</t>
        </is>
      </c>
      <c r="I554" s="2" t="inlineStr">
        <is>
          <t>LC/PC</t>
        </is>
      </c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>
        <v>12</v>
      </c>
      <c r="T554" s="2" t="n"/>
      <c r="U554" s="2" t="n"/>
      <c r="V554" s="2">
        <f>SUM(J554:U554)*G554</f>
        <v/>
      </c>
      <c r="W554" s="2">
        <f>MAX(J554:U554)</f>
        <v/>
      </c>
      <c r="X554" s="2">
        <f>W554*G554</f>
        <v/>
      </c>
    </row>
    <row r="555">
      <c r="A555" s="2" t="inlineStr">
        <is>
          <t>14-K-A749</t>
        </is>
      </c>
      <c r="B555" s="3" t="inlineStr">
        <is>
          <t>OJC-A1-LC/LC-MM(OM3)-38-PC/PC-DP</t>
        </is>
      </c>
      <c r="C555" s="2" t="inlineStr">
        <is>
          <t>LC/DP CLIP Type, 38M</t>
        </is>
      </c>
      <c r="D555" s="2" t="inlineStr">
        <is>
          <t>om3</t>
        </is>
      </c>
      <c r="E555" s="2" t="inlineStr">
        <is>
          <t>2.0mm</t>
        </is>
      </c>
      <c r="F555" s="2" t="n">
        <v>2</v>
      </c>
      <c r="G555" s="2" t="n">
        <v>38</v>
      </c>
      <c r="H555" s="2" t="inlineStr">
        <is>
          <t>LC/PC</t>
        </is>
      </c>
      <c r="I555" s="2" t="inlineStr">
        <is>
          <t>LC/PC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>
        <v>12</v>
      </c>
      <c r="T555" s="2" t="n"/>
      <c r="U555" s="2" t="n"/>
      <c r="V555" s="2">
        <f>SUM(J555:U555)*G555</f>
        <v/>
      </c>
      <c r="W555" s="2">
        <f>MAX(J555:U555)</f>
        <v/>
      </c>
      <c r="X555" s="2">
        <f>W555*G555</f>
        <v/>
      </c>
    </row>
    <row r="556">
      <c r="A556" s="2" t="inlineStr">
        <is>
          <t>14-K-A750</t>
        </is>
      </c>
      <c r="B556" s="3" t="inlineStr">
        <is>
          <t>OJC-A1-LC/LC-MM(OM3)-39-PC/PC-DP</t>
        </is>
      </c>
      <c r="C556" s="2" t="inlineStr">
        <is>
          <t>LC/DP CLIP Type, 39M</t>
        </is>
      </c>
      <c r="D556" s="2" t="inlineStr">
        <is>
          <t>om3</t>
        </is>
      </c>
      <c r="E556" s="2" t="inlineStr">
        <is>
          <t>2.0mm</t>
        </is>
      </c>
      <c r="F556" s="2" t="n">
        <v>2</v>
      </c>
      <c r="G556" s="2" t="n">
        <v>39</v>
      </c>
      <c r="H556" s="2" t="inlineStr">
        <is>
          <t>LC/PC</t>
        </is>
      </c>
      <c r="I556" s="2" t="inlineStr">
        <is>
          <t>LC/PC</t>
        </is>
      </c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>
        <v>12</v>
      </c>
      <c r="T556" s="2" t="n"/>
      <c r="U556" s="2" t="n"/>
      <c r="V556" s="2">
        <f>SUM(J556:U556)*G556</f>
        <v/>
      </c>
      <c r="W556" s="2">
        <f>MAX(J556:U556)</f>
        <v/>
      </c>
      <c r="X556" s="2">
        <f>W556*G556</f>
        <v/>
      </c>
    </row>
    <row r="557">
      <c r="A557" s="2" t="inlineStr">
        <is>
          <t>14-K-A751</t>
        </is>
      </c>
      <c r="B557" s="3" t="inlineStr">
        <is>
          <t>OJC-A1-LC/LC-MM(OM3)-40-PC/PC-DP</t>
        </is>
      </c>
      <c r="C557" s="2" t="inlineStr">
        <is>
          <t>LC/DP CLIP Type, 40M</t>
        </is>
      </c>
      <c r="D557" s="2" t="inlineStr">
        <is>
          <t>om3</t>
        </is>
      </c>
      <c r="E557" s="2" t="inlineStr">
        <is>
          <t>2.0mm</t>
        </is>
      </c>
      <c r="F557" s="2" t="n">
        <v>2</v>
      </c>
      <c r="G557" s="2" t="n">
        <v>40</v>
      </c>
      <c r="H557" s="2" t="inlineStr">
        <is>
          <t>LC/PC</t>
        </is>
      </c>
      <c r="I557" s="2" t="inlineStr">
        <is>
          <t>LC/PC</t>
        </is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>
        <v>12</v>
      </c>
      <c r="T557" s="2" t="n"/>
      <c r="U557" s="2" t="n"/>
      <c r="V557" s="2">
        <f>SUM(J557:U557)*G557</f>
        <v/>
      </c>
      <c r="W557" s="2">
        <f>MAX(J557:U557)</f>
        <v/>
      </c>
      <c r="X557" s="2">
        <f>W557*G557</f>
        <v/>
      </c>
    </row>
    <row r="558">
      <c r="A558" s="2" t="inlineStr">
        <is>
          <t>14-K-A752</t>
        </is>
      </c>
      <c r="B558" s="3" t="inlineStr">
        <is>
          <t>OJC-A1-LC/LC-MM(OM3)-41-PC/PC-DP</t>
        </is>
      </c>
      <c r="C558" s="2" t="inlineStr">
        <is>
          <t>LC/DP CLIP Type, 41M</t>
        </is>
      </c>
      <c r="D558" s="2" t="inlineStr">
        <is>
          <t>om3</t>
        </is>
      </c>
      <c r="E558" s="2" t="inlineStr">
        <is>
          <t>2.0mm</t>
        </is>
      </c>
      <c r="F558" s="2" t="n">
        <v>2</v>
      </c>
      <c r="G558" s="2" t="n">
        <v>41</v>
      </c>
      <c r="H558" s="2" t="inlineStr">
        <is>
          <t>LC/PC</t>
        </is>
      </c>
      <c r="I558" s="2" t="inlineStr">
        <is>
          <t>LC/PC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>
        <v>12</v>
      </c>
      <c r="T558" s="2" t="n"/>
      <c r="U558" s="2" t="n"/>
      <c r="V558" s="2">
        <f>SUM(J558:U558)*G558</f>
        <v/>
      </c>
      <c r="W558" s="2">
        <f>MAX(J558:U558)</f>
        <v/>
      </c>
      <c r="X558" s="2">
        <f>W558*G558</f>
        <v/>
      </c>
    </row>
    <row r="559">
      <c r="A559" s="2" t="inlineStr">
        <is>
          <t>14-K-A753</t>
        </is>
      </c>
      <c r="B559" s="3" t="inlineStr">
        <is>
          <t>OJC-A1-LC/LC-MM(OM3)-42-PC/PC-DP</t>
        </is>
      </c>
      <c r="C559" s="2" t="inlineStr">
        <is>
          <t>LC/DP CLIP Type, 42M</t>
        </is>
      </c>
      <c r="D559" s="2" t="inlineStr">
        <is>
          <t>om3</t>
        </is>
      </c>
      <c r="E559" s="2" t="inlineStr">
        <is>
          <t>2.0mm</t>
        </is>
      </c>
      <c r="F559" s="2" t="n">
        <v>2</v>
      </c>
      <c r="G559" s="2" t="n">
        <v>42</v>
      </c>
      <c r="H559" s="2" t="inlineStr">
        <is>
          <t>LC/PC</t>
        </is>
      </c>
      <c r="I559" s="2" t="inlineStr">
        <is>
          <t>LC/PC</t>
        </is>
      </c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>
        <v>14</v>
      </c>
      <c r="T559" s="2" t="n"/>
      <c r="U559" s="2" t="n"/>
      <c r="V559" s="2">
        <f>SUM(J559:U559)*G559</f>
        <v/>
      </c>
      <c r="W559" s="2">
        <f>MAX(J559:U559)</f>
        <v/>
      </c>
      <c r="X559" s="2">
        <f>W559*G559</f>
        <v/>
      </c>
    </row>
    <row r="560">
      <c r="A560" s="2" t="inlineStr">
        <is>
          <t>14-K-A87</t>
        </is>
      </c>
      <c r="B560" s="3" t="inlineStr">
        <is>
          <t>OJC-A1-LC/LC-SM-15-PC/PC-DP</t>
        </is>
      </c>
      <c r="C560" s="2" t="inlineStr">
        <is>
          <t>적색</t>
        </is>
      </c>
      <c r="D560" s="2" t="inlineStr">
        <is>
          <t>a1-적</t>
        </is>
      </c>
      <c r="E560" s="2" t="inlineStr">
        <is>
          <t>2.0mm</t>
        </is>
      </c>
      <c r="F560" s="2" t="n">
        <v>2</v>
      </c>
      <c r="G560" s="2" t="n">
        <v>15</v>
      </c>
      <c r="H560" s="2" t="inlineStr">
        <is>
          <t>LC/PC</t>
        </is>
      </c>
      <c r="I560" s="2" t="inlineStr">
        <is>
          <t>LC/PC</t>
        </is>
      </c>
      <c r="J560" s="2" t="n"/>
      <c r="K560" s="2" t="n">
        <v>20</v>
      </c>
      <c r="L560" s="2" t="n"/>
      <c r="M560" s="2" t="n"/>
      <c r="N560" s="2" t="n">
        <v>20</v>
      </c>
      <c r="O560" s="2" t="n"/>
      <c r="P560" s="2" t="n"/>
      <c r="Q560" s="2" t="n"/>
      <c r="R560" s="2" t="n"/>
      <c r="S560" s="2" t="n"/>
      <c r="T560" s="2" t="n"/>
      <c r="U560" s="2" t="n"/>
      <c r="V560" s="2">
        <f>SUM(J560:U560)*G560</f>
        <v/>
      </c>
      <c r="W560" s="2">
        <f>MAX(J560:U560)</f>
        <v/>
      </c>
      <c r="X560" s="2">
        <f>W560*G560</f>
        <v/>
      </c>
    </row>
    <row r="561">
      <c r="A561" s="2" t="inlineStr">
        <is>
          <t>14-K-A914</t>
        </is>
      </c>
      <c r="B561" s="3" t="inlineStr">
        <is>
          <t>OJC-A1-LC/LC-MM(OM4)-3-PC/PC-DP</t>
        </is>
      </c>
      <c r="C561" s="2" t="inlineStr">
        <is>
          <t>LC/DP CLIP Type, 3M</t>
        </is>
      </c>
      <c r="D561" s="2" t="inlineStr">
        <is>
          <t>om1</t>
        </is>
      </c>
      <c r="E561" s="2" t="inlineStr">
        <is>
          <t>2.0mm</t>
        </is>
      </c>
      <c r="F561" s="2" t="n">
        <v>2</v>
      </c>
      <c r="G561" s="2" t="n">
        <v>3</v>
      </c>
      <c r="H561" s="2" t="inlineStr">
        <is>
          <t>LC/PC</t>
        </is>
      </c>
      <c r="I561" s="2" t="inlineStr">
        <is>
          <t>LC/PC</t>
        </is>
      </c>
      <c r="J561" s="2" t="n"/>
      <c r="K561" s="2" t="n"/>
      <c r="L561" s="2" t="n"/>
      <c r="M561" s="2" t="n"/>
      <c r="N561" s="2" t="n">
        <v>10</v>
      </c>
      <c r="O561" s="2" t="n"/>
      <c r="P561" s="2" t="n"/>
      <c r="Q561" s="2" t="n"/>
      <c r="R561" s="2" t="n"/>
      <c r="S561" s="2" t="n"/>
      <c r="T561" s="2" t="n"/>
      <c r="U561" s="2" t="n"/>
      <c r="V561" s="2">
        <f>SUM(J561:U561)*G561</f>
        <v/>
      </c>
      <c r="W561" s="2">
        <f>MAX(J561:U561)</f>
        <v/>
      </c>
      <c r="X561" s="2">
        <f>W561*G561</f>
        <v/>
      </c>
    </row>
    <row r="562">
      <c r="A562" s="2" t="inlineStr">
        <is>
          <t>14-K-A92</t>
        </is>
      </c>
      <c r="B562" s="3" t="inlineStr">
        <is>
          <t>OJC-A1-LC/LC-SM-10-PC/PC-DP</t>
        </is>
      </c>
      <c r="C562" s="2" t="inlineStr">
        <is>
          <t>적색</t>
        </is>
      </c>
      <c r="D562" s="2" t="inlineStr">
        <is>
          <t>a1-적</t>
        </is>
      </c>
      <c r="E562" s="2" t="inlineStr">
        <is>
          <t>2.0mm</t>
        </is>
      </c>
      <c r="F562" s="2" t="n">
        <v>2</v>
      </c>
      <c r="G562" s="2" t="n">
        <v>10</v>
      </c>
      <c r="H562" s="2" t="inlineStr">
        <is>
          <t>LC/PC</t>
        </is>
      </c>
      <c r="I562" s="2" t="inlineStr">
        <is>
          <t>LC/PC</t>
        </is>
      </c>
      <c r="J562" s="2" t="n"/>
      <c r="K562" s="2" t="n"/>
      <c r="L562" s="2" t="n">
        <v>20</v>
      </c>
      <c r="M562" s="2" t="n"/>
      <c r="N562" s="2" t="n">
        <v>20</v>
      </c>
      <c r="O562" s="2" t="n"/>
      <c r="P562" s="2" t="n"/>
      <c r="Q562" s="2" t="n"/>
      <c r="R562" s="2" t="n"/>
      <c r="S562" s="2" t="n"/>
      <c r="T562" s="2" t="n"/>
      <c r="U562" s="2" t="n"/>
      <c r="V562" s="2">
        <f>SUM(J562:U562)*G562</f>
        <v/>
      </c>
      <c r="W562" s="2">
        <f>MAX(J562:U562)</f>
        <v/>
      </c>
      <c r="X562" s="2">
        <f>W562*G562</f>
        <v/>
      </c>
    </row>
    <row r="563">
      <c r="A563" s="2" t="inlineStr">
        <is>
          <t>14-K-A926</t>
        </is>
      </c>
      <c r="B563" s="3" t="inlineStr">
        <is>
          <t>OJC-A1-LC/LC-MM(OM4)-15-PC/PC-DP</t>
        </is>
      </c>
      <c r="C563" s="2" t="inlineStr">
        <is>
          <t>LC/DP CLIP Type, 15M</t>
        </is>
      </c>
      <c r="D563" s="2" t="inlineStr">
        <is>
          <t>om1</t>
        </is>
      </c>
      <c r="E563" s="2" t="inlineStr">
        <is>
          <t>2.0mm</t>
        </is>
      </c>
      <c r="F563" s="2" t="n">
        <v>2</v>
      </c>
      <c r="G563" s="2" t="n">
        <v>15</v>
      </c>
      <c r="H563" s="2" t="inlineStr">
        <is>
          <t>LC/PC</t>
        </is>
      </c>
      <c r="I563" s="2" t="inlineStr">
        <is>
          <t>LC/PC</t>
        </is>
      </c>
      <c r="J563" s="2" t="n"/>
      <c r="K563" s="2" t="n"/>
      <c r="L563" s="2" t="n"/>
      <c r="M563" s="2" t="n"/>
      <c r="N563" s="2" t="n">
        <v>7</v>
      </c>
      <c r="O563" s="2" t="n"/>
      <c r="P563" s="2" t="n"/>
      <c r="Q563" s="2" t="n"/>
      <c r="R563" s="2" t="n"/>
      <c r="S563" s="2" t="n"/>
      <c r="T563" s="2" t="n"/>
      <c r="U563" s="2" t="n"/>
      <c r="V563" s="2">
        <f>SUM(J563:U563)*G563</f>
        <v/>
      </c>
      <c r="W563" s="2">
        <f>MAX(J563:U563)</f>
        <v/>
      </c>
      <c r="X563" s="2">
        <f>W563*G563</f>
        <v/>
      </c>
    </row>
    <row r="564">
      <c r="A564" s="2" t="inlineStr">
        <is>
          <t>14-K-A95</t>
        </is>
      </c>
      <c r="B564" s="3" t="inlineStr">
        <is>
          <t>OJC-A1-LC/LC-SM-40-PC/PC-DP</t>
        </is>
      </c>
      <c r="C564" s="2" t="inlineStr">
        <is>
          <t>적색</t>
        </is>
      </c>
      <c r="D564" s="2" t="inlineStr">
        <is>
          <t>a1-적</t>
        </is>
      </c>
      <c r="E564" s="2" t="inlineStr">
        <is>
          <t>2.0mm</t>
        </is>
      </c>
      <c r="F564" s="2" t="n">
        <v>2</v>
      </c>
      <c r="G564" s="2" t="n">
        <v>40</v>
      </c>
      <c r="H564" s="2" t="inlineStr">
        <is>
          <t>LC/PC</t>
        </is>
      </c>
      <c r="I564" s="2" t="inlineStr">
        <is>
          <t>LC/PC</t>
        </is>
      </c>
      <c r="J564" s="2" t="n"/>
      <c r="K564" s="2" t="n"/>
      <c r="L564" s="2" t="n"/>
      <c r="M564" s="2" t="n"/>
      <c r="N564" s="2" t="n">
        <v>10</v>
      </c>
      <c r="O564" s="2" t="n"/>
      <c r="P564" s="2" t="n"/>
      <c r="Q564" s="2" t="n"/>
      <c r="R564" s="2" t="n"/>
      <c r="S564" s="2" t="n"/>
      <c r="T564" s="2" t="n"/>
      <c r="U564" s="2" t="n"/>
      <c r="V564" s="2">
        <f>SUM(J564:U564)*G564</f>
        <v/>
      </c>
      <c r="W564" s="2">
        <f>MAX(J564:U564)</f>
        <v/>
      </c>
      <c r="X564" s="2">
        <f>W564*G564</f>
        <v/>
      </c>
    </row>
    <row r="565">
      <c r="A565" s="2" t="inlineStr">
        <is>
          <t>14-K-B113</t>
        </is>
      </c>
      <c r="B565" s="3" t="inlineStr">
        <is>
          <t>OJC-C2-SC/LC-SM-20-PC/PC-20C</t>
        </is>
      </c>
      <c r="C565" s="2" t="inlineStr">
        <is>
          <t>K9094344, 양단 분기부 1.5M</t>
        </is>
      </c>
      <c r="D565" s="2" t="inlineStr">
        <is>
          <t>a1-20c</t>
        </is>
      </c>
      <c r="E565" s="2" t="inlineStr">
        <is>
          <t>2.0mm</t>
        </is>
      </c>
      <c r="F565" s="2" t="n">
        <v>20</v>
      </c>
      <c r="G565" s="2" t="n">
        <v>20</v>
      </c>
      <c r="H565" s="2" t="inlineStr">
        <is>
          <t>SC/PC</t>
        </is>
      </c>
      <c r="I565" s="2" t="inlineStr">
        <is>
          <t>LC/PC</t>
        </is>
      </c>
      <c r="J565" s="2" t="n"/>
      <c r="K565" s="2" t="n"/>
      <c r="L565" s="2" t="n"/>
      <c r="M565" s="2" t="n"/>
      <c r="N565" s="2" t="n"/>
      <c r="O565" s="2" t="n"/>
      <c r="P565" s="2" t="n">
        <v>10</v>
      </c>
      <c r="Q565" s="2" t="n"/>
      <c r="R565" s="2" t="n"/>
      <c r="S565" s="2" t="n"/>
      <c r="T565" s="2" t="n"/>
      <c r="U565" s="2" t="n"/>
      <c r="V565" s="2">
        <f>SUM(J565:U565)*G565</f>
        <v/>
      </c>
      <c r="W565" s="2">
        <f>MAX(J565:U565)</f>
        <v/>
      </c>
      <c r="X565" s="2">
        <f>W565*G565</f>
        <v/>
      </c>
    </row>
    <row r="566">
      <c r="A566" s="2" t="inlineStr">
        <is>
          <t>14-K-B134</t>
        </is>
      </c>
      <c r="B566" s="3" t="inlineStr">
        <is>
          <t>OJC-A1-SC/SC-SM-40-PC/APC-SP</t>
        </is>
      </c>
      <c r="C566" s="2" t="inlineStr"/>
      <c r="D566" s="2" t="inlineStr">
        <is>
          <t>a1</t>
        </is>
      </c>
      <c r="E566" s="2" t="inlineStr">
        <is>
          <t>2.0mm</t>
        </is>
      </c>
      <c r="F566" s="2" t="n">
        <v>1</v>
      </c>
      <c r="G566" s="2" t="n">
        <v>40</v>
      </c>
      <c r="H566" s="2" t="inlineStr">
        <is>
          <t>SC/PC</t>
        </is>
      </c>
      <c r="I566" s="2" t="inlineStr">
        <is>
          <t>SC/APC</t>
        </is>
      </c>
      <c r="J566" s="2" t="n"/>
      <c r="K566" s="2" t="n"/>
      <c r="L566" s="2" t="n"/>
      <c r="M566" s="2" t="n"/>
      <c r="N566" s="2" t="n"/>
      <c r="O566" s="2" t="n">
        <v>40</v>
      </c>
      <c r="P566" s="2" t="n"/>
      <c r="Q566" s="2" t="n"/>
      <c r="R566" s="2" t="n"/>
      <c r="S566" s="2" t="n"/>
      <c r="T566" s="2" t="n"/>
      <c r="U566" s="2" t="n"/>
      <c r="V566" s="2">
        <f>SUM(J566:U566)*G566</f>
        <v/>
      </c>
      <c r="W566" s="2">
        <f>MAX(J566:U566)</f>
        <v/>
      </c>
      <c r="X566" s="2">
        <f>W566*G566</f>
        <v/>
      </c>
    </row>
    <row r="567">
      <c r="A567" s="2" t="inlineStr">
        <is>
          <t>14-K-B154</t>
        </is>
      </c>
      <c r="B567" s="3" t="inlineStr">
        <is>
          <t>OJC-A1-SC/LC-SM-35-PC/PC-DP</t>
        </is>
      </c>
      <c r="C567" s="2" t="inlineStr">
        <is>
          <t>적색</t>
        </is>
      </c>
      <c r="D567" s="2" t="inlineStr">
        <is>
          <t>a1-적</t>
        </is>
      </c>
      <c r="E567" s="2" t="inlineStr">
        <is>
          <t>2.0mm</t>
        </is>
      </c>
      <c r="F567" s="2" t="n">
        <v>2</v>
      </c>
      <c r="G567" s="2" t="n">
        <v>35</v>
      </c>
      <c r="H567" s="2" t="inlineStr">
        <is>
          <t>SC/PC</t>
        </is>
      </c>
      <c r="I567" s="2" t="inlineStr">
        <is>
          <t>LC/PC</t>
        </is>
      </c>
      <c r="J567" s="2" t="n"/>
      <c r="K567" s="2" t="n"/>
      <c r="L567" s="2" t="n"/>
      <c r="M567" s="2" t="n"/>
      <c r="N567" s="2" t="n"/>
      <c r="O567" s="2" t="n">
        <v>30</v>
      </c>
      <c r="P567" s="2" t="n"/>
      <c r="Q567" s="2" t="n"/>
      <c r="R567" s="2" t="n"/>
      <c r="S567" s="2" t="n"/>
      <c r="T567" s="2" t="n"/>
      <c r="U567" s="2" t="n"/>
      <c r="V567" s="2">
        <f>SUM(J567:U567)*G567</f>
        <v/>
      </c>
      <c r="W567" s="2">
        <f>MAX(J567:U567)</f>
        <v/>
      </c>
      <c r="X567" s="2">
        <f>W567*G567</f>
        <v/>
      </c>
    </row>
    <row r="568">
      <c r="A568" s="2" t="inlineStr">
        <is>
          <t>14-K-B175</t>
        </is>
      </c>
      <c r="B568" s="3" t="inlineStr">
        <is>
          <t>OJC-A1-SC/LC-SM-22-PC/PC-DP</t>
        </is>
      </c>
      <c r="C568" s="2" t="inlineStr">
        <is>
          <t>적색</t>
        </is>
      </c>
      <c r="D568" s="2" t="inlineStr">
        <is>
          <t>a1-적</t>
        </is>
      </c>
      <c r="E568" s="2" t="inlineStr">
        <is>
          <t>2.0mm</t>
        </is>
      </c>
      <c r="F568" s="2" t="n">
        <v>2</v>
      </c>
      <c r="G568" s="2" t="n">
        <v>22</v>
      </c>
      <c r="H568" s="2" t="inlineStr">
        <is>
          <t>SC/PC</t>
        </is>
      </c>
      <c r="I568" s="2" t="inlineStr">
        <is>
          <t>LC/PC</t>
        </is>
      </c>
      <c r="J568" s="2" t="n">
        <v>1</v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>
        <f>SUM(J568:U568)*G568</f>
        <v/>
      </c>
      <c r="W568" s="2">
        <f>MAX(J568:U568)</f>
        <v/>
      </c>
      <c r="X568" s="2">
        <f>W568*G568</f>
        <v/>
      </c>
    </row>
    <row r="569">
      <c r="A569" s="2" t="inlineStr">
        <is>
          <t>14-K-B177</t>
        </is>
      </c>
      <c r="B569" s="3" t="inlineStr">
        <is>
          <t>OJC-A1-LC/LC-SM-30-PC/PC-DP</t>
        </is>
      </c>
      <c r="C569" s="2" t="inlineStr">
        <is>
          <t>녹색</t>
        </is>
      </c>
      <c r="D569" s="2" t="inlineStr">
        <is>
          <t>a1-녹</t>
        </is>
      </c>
      <c r="E569" s="2" t="inlineStr">
        <is>
          <t>2.0mm</t>
        </is>
      </c>
      <c r="F569" s="2" t="n">
        <v>2</v>
      </c>
      <c r="G569" s="2" t="n">
        <v>30</v>
      </c>
      <c r="H569" s="2" t="inlineStr">
        <is>
          <t>LC/PC</t>
        </is>
      </c>
      <c r="I569" s="2" t="inlineStr">
        <is>
          <t>LC/PC</t>
        </is>
      </c>
      <c r="J569" s="2" t="n"/>
      <c r="K569" s="2" t="n"/>
      <c r="L569" s="2" t="n"/>
      <c r="M569" s="2" t="n"/>
      <c r="N569" s="2" t="n"/>
      <c r="O569" s="2" t="n">
        <v>76</v>
      </c>
      <c r="P569" s="2" t="n"/>
      <c r="Q569" s="2" t="n"/>
      <c r="R569" s="2" t="n">
        <v>4</v>
      </c>
      <c r="S569" s="2" t="n"/>
      <c r="T569" s="2" t="n"/>
      <c r="U569" s="2" t="n"/>
      <c r="V569" s="2">
        <f>SUM(J569:U569)*G569</f>
        <v/>
      </c>
      <c r="W569" s="2">
        <f>MAX(J569:U569)</f>
        <v/>
      </c>
      <c r="X569" s="2">
        <f>W569*G569</f>
        <v/>
      </c>
    </row>
    <row r="570">
      <c r="A570" s="2" t="inlineStr">
        <is>
          <t>14-K-B204</t>
        </is>
      </c>
      <c r="B570" s="3" t="inlineStr">
        <is>
          <t>OJC-C2-SC/LC-SM-10-PC/PC-20C</t>
        </is>
      </c>
      <c r="C570" s="2" t="inlineStr"/>
      <c r="D570" s="2" t="inlineStr">
        <is>
          <t>a1-20c</t>
        </is>
      </c>
      <c r="E570" s="2" t="inlineStr">
        <is>
          <t>2.0mm</t>
        </is>
      </c>
      <c r="F570" s="2" t="n">
        <v>20</v>
      </c>
      <c r="G570" s="2" t="n">
        <v>10</v>
      </c>
      <c r="H570" s="2" t="inlineStr">
        <is>
          <t>SC/PC</t>
        </is>
      </c>
      <c r="I570" s="2" t="inlineStr">
        <is>
          <t>LC/PC</t>
        </is>
      </c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>
        <v>6</v>
      </c>
      <c r="S570" s="2" t="n"/>
      <c r="T570" s="2" t="n"/>
      <c r="U570" s="2" t="n"/>
      <c r="V570" s="2">
        <f>SUM(J570:U570)*G570</f>
        <v/>
      </c>
      <c r="W570" s="2">
        <f>MAX(J570:U570)</f>
        <v/>
      </c>
      <c r="X570" s="2">
        <f>W570*G570</f>
        <v/>
      </c>
    </row>
    <row r="571">
      <c r="A571" s="2" t="inlineStr">
        <is>
          <t>14-K-B220</t>
        </is>
      </c>
      <c r="B571" s="3" t="inlineStr">
        <is>
          <t>OJC-A1-SC/LC-MM(OM3)-25-PC/PC-DP</t>
        </is>
      </c>
      <c r="C571" s="2" t="inlineStr"/>
      <c r="D571" s="2" t="inlineStr">
        <is>
          <t>om3</t>
        </is>
      </c>
      <c r="E571" s="2" t="inlineStr">
        <is>
          <t>2.0mm</t>
        </is>
      </c>
      <c r="F571" s="2" t="n">
        <v>2</v>
      </c>
      <c r="G571" s="2" t="n">
        <v>25</v>
      </c>
      <c r="H571" s="2" t="inlineStr">
        <is>
          <t>SC/PC</t>
        </is>
      </c>
      <c r="I571" s="2" t="inlineStr">
        <is>
          <t>LC/PC</t>
        </is>
      </c>
      <c r="J571" s="2" t="n"/>
      <c r="K571" s="2" t="n"/>
      <c r="L571" s="2" t="n"/>
      <c r="M571" s="2" t="n"/>
      <c r="N571" s="2" t="n">
        <v>10</v>
      </c>
      <c r="O571" s="2" t="n"/>
      <c r="P571" s="2" t="n"/>
      <c r="Q571" s="2" t="n"/>
      <c r="R571" s="2" t="n"/>
      <c r="S571" s="2" t="n"/>
      <c r="T571" s="2" t="n"/>
      <c r="U571" s="2" t="n"/>
      <c r="V571" s="2">
        <f>SUM(J571:U571)*G571</f>
        <v/>
      </c>
      <c r="W571" s="2">
        <f>MAX(J571:U571)</f>
        <v/>
      </c>
      <c r="X571" s="2">
        <f>W571*G571</f>
        <v/>
      </c>
    </row>
    <row r="572">
      <c r="A572" s="2" t="inlineStr">
        <is>
          <t>14-K-B237</t>
        </is>
      </c>
      <c r="B572" s="3" t="inlineStr">
        <is>
          <t>OJC-A1-SC/SC-SM-10-APC/APC-SP</t>
        </is>
      </c>
      <c r="C572" s="2" t="inlineStr">
        <is>
          <t>녹색</t>
        </is>
      </c>
      <c r="D572" s="2" t="inlineStr">
        <is>
          <t>a1-녹</t>
        </is>
      </c>
      <c r="E572" s="2" t="inlineStr">
        <is>
          <t>2.0mm</t>
        </is>
      </c>
      <c r="F572" s="2" t="n">
        <v>1</v>
      </c>
      <c r="G572" s="2" t="n">
        <v>10</v>
      </c>
      <c r="H572" s="2" t="inlineStr">
        <is>
          <t>SC/APC</t>
        </is>
      </c>
      <c r="I572" s="2" t="inlineStr">
        <is>
          <t>SC/APC</t>
        </is>
      </c>
      <c r="J572" s="2" t="n">
        <v>2</v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>
        <f>SUM(J572:U572)*G572</f>
        <v/>
      </c>
      <c r="W572" s="2">
        <f>MAX(J572:U572)</f>
        <v/>
      </c>
      <c r="X572" s="2">
        <f>W572*G572</f>
        <v/>
      </c>
    </row>
    <row r="573">
      <c r="A573" s="2" t="inlineStr">
        <is>
          <t>14-K-B238</t>
        </is>
      </c>
      <c r="B573" s="3" t="inlineStr">
        <is>
          <t>OJC-A1-LC/LC-SM-14-PC/PC-DP</t>
        </is>
      </c>
      <c r="C573" s="2" t="inlineStr">
        <is>
          <t>적색</t>
        </is>
      </c>
      <c r="D573" s="2" t="inlineStr">
        <is>
          <t>a1-적</t>
        </is>
      </c>
      <c r="E573" s="2" t="inlineStr">
        <is>
          <t>2.0mm</t>
        </is>
      </c>
      <c r="F573" s="2" t="n">
        <v>2</v>
      </c>
      <c r="G573" s="2" t="n">
        <v>14</v>
      </c>
      <c r="H573" s="2" t="inlineStr">
        <is>
          <t>LC/PC</t>
        </is>
      </c>
      <c r="I573" s="2" t="inlineStr">
        <is>
          <t>LC/PC</t>
        </is>
      </c>
      <c r="J573" s="2" t="n">
        <v>1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>
        <f>SUM(J573:U573)*G573</f>
        <v/>
      </c>
      <c r="W573" s="2">
        <f>MAX(J573:U573)</f>
        <v/>
      </c>
      <c r="X573" s="2">
        <f>W573*G573</f>
        <v/>
      </c>
    </row>
    <row r="574">
      <c r="A574" s="2" t="inlineStr">
        <is>
          <t>14-K-B239</t>
        </is>
      </c>
      <c r="B574" s="3" t="inlineStr">
        <is>
          <t>OJC-A1-LC/LC-SM-27-PC/PC-DP</t>
        </is>
      </c>
      <c r="C574" s="2" t="inlineStr">
        <is>
          <t>적색</t>
        </is>
      </c>
      <c r="D574" s="2" t="inlineStr">
        <is>
          <t>a1-적</t>
        </is>
      </c>
      <c r="E574" s="2" t="inlineStr">
        <is>
          <t>2.0mm</t>
        </is>
      </c>
      <c r="F574" s="2" t="n">
        <v>2</v>
      </c>
      <c r="G574" s="2" t="n">
        <v>27</v>
      </c>
      <c r="H574" s="2" t="inlineStr">
        <is>
          <t>LC/PC</t>
        </is>
      </c>
      <c r="I574" s="2" t="inlineStr">
        <is>
          <t>LC/PC</t>
        </is>
      </c>
      <c r="J574" s="2" t="n">
        <v>1</v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>
        <f>SUM(J574:U574)*G574</f>
        <v/>
      </c>
      <c r="W574" s="2">
        <f>MAX(J574:U574)</f>
        <v/>
      </c>
      <c r="X574" s="2">
        <f>W574*G574</f>
        <v/>
      </c>
    </row>
    <row r="575">
      <c r="A575" s="2" t="inlineStr">
        <is>
          <t>14-K-B240</t>
        </is>
      </c>
      <c r="B575" s="3" t="inlineStr">
        <is>
          <t>OJC-A1-LC/LC-SM-28-PC/PC-DP</t>
        </is>
      </c>
      <c r="C575" s="2" t="inlineStr">
        <is>
          <t>적색</t>
        </is>
      </c>
      <c r="D575" s="2" t="inlineStr">
        <is>
          <t>a1-적</t>
        </is>
      </c>
      <c r="E575" s="2" t="inlineStr">
        <is>
          <t>2.0mm</t>
        </is>
      </c>
      <c r="F575" s="2" t="n">
        <v>2</v>
      </c>
      <c r="G575" s="2" t="n">
        <v>28</v>
      </c>
      <c r="H575" s="2" t="inlineStr">
        <is>
          <t>LC/PC</t>
        </is>
      </c>
      <c r="I575" s="2" t="inlineStr">
        <is>
          <t>LC/PC</t>
        </is>
      </c>
      <c r="J575" s="2" t="n">
        <v>2</v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>
        <f>SUM(J575:U575)*G575</f>
        <v/>
      </c>
      <c r="W575" s="2">
        <f>MAX(J575:U575)</f>
        <v/>
      </c>
      <c r="X575" s="2">
        <f>W575*G575</f>
        <v/>
      </c>
    </row>
    <row r="576">
      <c r="A576" s="2" t="inlineStr">
        <is>
          <t>14-K-B241</t>
        </is>
      </c>
      <c r="B576" s="3" t="inlineStr">
        <is>
          <t>OJC-A1-SC/LC-SM-17-PC/PC-DP</t>
        </is>
      </c>
      <c r="C576" s="2" t="inlineStr">
        <is>
          <t>적색</t>
        </is>
      </c>
      <c r="D576" s="2" t="inlineStr">
        <is>
          <t>a1-적</t>
        </is>
      </c>
      <c r="E576" s="2" t="inlineStr">
        <is>
          <t>2.0mm</t>
        </is>
      </c>
      <c r="F576" s="2" t="n">
        <v>2</v>
      </c>
      <c r="G576" s="2" t="n">
        <v>17</v>
      </c>
      <c r="H576" s="2" t="inlineStr">
        <is>
          <t>SC/PC</t>
        </is>
      </c>
      <c r="I576" s="2" t="inlineStr">
        <is>
          <t>LC/PC</t>
        </is>
      </c>
      <c r="J576" s="2" t="n">
        <v>1</v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>
        <f>SUM(J576:U576)*G576</f>
        <v/>
      </c>
      <c r="W576" s="2">
        <f>MAX(J576:U576)</f>
        <v/>
      </c>
      <c r="X576" s="2">
        <f>W576*G576</f>
        <v/>
      </c>
    </row>
    <row r="577">
      <c r="A577" s="2" t="inlineStr">
        <is>
          <t>14-K-B242</t>
        </is>
      </c>
      <c r="B577" s="3" t="inlineStr">
        <is>
          <t>OJC-A1-LC/LC-MM-19-PC/PC-DP</t>
        </is>
      </c>
      <c r="C577" s="2" t="inlineStr"/>
      <c r="D577" s="2" t="inlineStr">
        <is>
          <t>om1</t>
        </is>
      </c>
      <c r="E577" s="2" t="inlineStr">
        <is>
          <t>2.0mm</t>
        </is>
      </c>
      <c r="F577" s="2" t="n">
        <v>2</v>
      </c>
      <c r="G577" s="2" t="n">
        <v>19</v>
      </c>
      <c r="H577" s="2" t="inlineStr">
        <is>
          <t>LC/PC</t>
        </is>
      </c>
      <c r="I577" s="2" t="inlineStr">
        <is>
          <t>LC/PC</t>
        </is>
      </c>
      <c r="J577" s="2" t="n">
        <v>1</v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>
        <f>SUM(J577:U577)*G577</f>
        <v/>
      </c>
      <c r="W577" s="2">
        <f>MAX(J577:U577)</f>
        <v/>
      </c>
      <c r="X577" s="2">
        <f>W577*G577</f>
        <v/>
      </c>
    </row>
    <row r="578">
      <c r="A578" s="2" t="inlineStr">
        <is>
          <t>14-K-B243</t>
        </is>
      </c>
      <c r="B578" s="3" t="inlineStr">
        <is>
          <t>OJC-A1-LC/LC-MM-23-PC/PC-DP</t>
        </is>
      </c>
      <c r="C578" s="2" t="inlineStr"/>
      <c r="D578" s="2" t="inlineStr">
        <is>
          <t>om1</t>
        </is>
      </c>
      <c r="E578" s="2" t="inlineStr">
        <is>
          <t>2.0mm</t>
        </is>
      </c>
      <c r="F578" s="2" t="n">
        <v>2</v>
      </c>
      <c r="G578" s="2" t="n">
        <v>23</v>
      </c>
      <c r="H578" s="2" t="inlineStr">
        <is>
          <t>LC/PC</t>
        </is>
      </c>
      <c r="I578" s="2" t="inlineStr">
        <is>
          <t>LC/PC</t>
        </is>
      </c>
      <c r="J578" s="2" t="n">
        <v>1</v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>
        <f>SUM(J578:U578)*G578</f>
        <v/>
      </c>
      <c r="W578" s="2">
        <f>MAX(J578:U578)</f>
        <v/>
      </c>
      <c r="X578" s="2">
        <f>W578*G578</f>
        <v/>
      </c>
    </row>
    <row r="579">
      <c r="A579" s="2" t="inlineStr">
        <is>
          <t>14-K-B245</t>
        </is>
      </c>
      <c r="B579" s="3" t="inlineStr">
        <is>
          <t>OJC-C2-SC/SC-SM-10-PC/PC-20C</t>
        </is>
      </c>
      <c r="C579" s="2" t="inlineStr">
        <is>
          <t>K9094342, 양단 분기부 1.7M</t>
        </is>
      </c>
      <c r="D579" s="2" t="inlineStr">
        <is>
          <t>a1-20c</t>
        </is>
      </c>
      <c r="E579" s="2" t="inlineStr">
        <is>
          <t>2.0mm</t>
        </is>
      </c>
      <c r="F579" s="2" t="n">
        <v>20</v>
      </c>
      <c r="G579" s="2" t="n">
        <v>10</v>
      </c>
      <c r="H579" s="2" t="inlineStr">
        <is>
          <t>SC/PC</t>
        </is>
      </c>
      <c r="I579" s="2" t="inlineStr">
        <is>
          <t>SC/PC</t>
        </is>
      </c>
      <c r="J579" s="2" t="n"/>
      <c r="K579" s="2" t="n">
        <v>20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>
        <f>SUM(J579:U579)*G579</f>
        <v/>
      </c>
      <c r="W579" s="2">
        <f>MAX(J579:U579)</f>
        <v/>
      </c>
      <c r="X579" s="2">
        <f>W579*G579</f>
        <v/>
      </c>
    </row>
    <row r="580">
      <c r="A580" s="2" t="inlineStr">
        <is>
          <t>14-K-B246</t>
        </is>
      </c>
      <c r="B580" s="3" t="inlineStr">
        <is>
          <t>OJC-A1-LC/LC-SM-30-PC/PC-DP</t>
        </is>
      </c>
      <c r="C580" s="2" t="inlineStr">
        <is>
          <t>K9089180_자색</t>
        </is>
      </c>
      <c r="D580" s="2" t="inlineStr">
        <is>
          <t>a1-자</t>
        </is>
      </c>
      <c r="E580" s="2" t="inlineStr">
        <is>
          <t>2.0mm</t>
        </is>
      </c>
      <c r="F580" s="2" t="n">
        <v>2</v>
      </c>
      <c r="G580" s="2" t="n">
        <v>30</v>
      </c>
      <c r="H580" s="2" t="inlineStr">
        <is>
          <t>LC/PC</t>
        </is>
      </c>
      <c r="I580" s="2" t="inlineStr">
        <is>
          <t>LC/PC</t>
        </is>
      </c>
      <c r="J580" s="2" t="n"/>
      <c r="K580" s="2" t="n">
        <v>20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>
        <f>SUM(J580:U580)*G580</f>
        <v/>
      </c>
      <c r="W580" s="2">
        <f>MAX(J580:U580)</f>
        <v/>
      </c>
      <c r="X580" s="2">
        <f>W580*G580</f>
        <v/>
      </c>
    </row>
    <row r="581">
      <c r="A581" s="2" t="inlineStr">
        <is>
          <t>14-K-B247</t>
        </is>
      </c>
      <c r="B581" s="3" t="inlineStr">
        <is>
          <t>OJC-A1-LC/LC-SM-35-PC/PC-DP</t>
        </is>
      </c>
      <c r="C581" s="2" t="inlineStr">
        <is>
          <t>K9089181_자색</t>
        </is>
      </c>
      <c r="D581" s="2" t="inlineStr">
        <is>
          <t>a1-자</t>
        </is>
      </c>
      <c r="E581" s="2" t="inlineStr">
        <is>
          <t>2.0mm</t>
        </is>
      </c>
      <c r="F581" s="2" t="n">
        <v>2</v>
      </c>
      <c r="G581" s="2" t="n">
        <v>35</v>
      </c>
      <c r="H581" s="2" t="inlineStr">
        <is>
          <t>LC/PC</t>
        </is>
      </c>
      <c r="I581" s="2" t="inlineStr">
        <is>
          <t>LC/PC</t>
        </is>
      </c>
      <c r="J581" s="2" t="n"/>
      <c r="K581" s="2" t="n">
        <v>20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>
        <f>SUM(J581:U581)*G581</f>
        <v/>
      </c>
      <c r="W581" s="2">
        <f>MAX(J581:U581)</f>
        <v/>
      </c>
      <c r="X581" s="2">
        <f>W581*G581</f>
        <v/>
      </c>
    </row>
    <row r="582">
      <c r="A582" s="2" t="inlineStr">
        <is>
          <t>14-K-B248</t>
        </is>
      </c>
      <c r="B582" s="3" t="inlineStr">
        <is>
          <t>OJC-A1-SC/SC-SM-4-APC/APC-SP</t>
        </is>
      </c>
      <c r="C582" s="2" t="inlineStr"/>
      <c r="D582" s="2" t="inlineStr">
        <is>
          <t>a1</t>
        </is>
      </c>
      <c r="E582" s="2" t="inlineStr">
        <is>
          <t>2.0mm</t>
        </is>
      </c>
      <c r="F582" s="2" t="n">
        <v>1</v>
      </c>
      <c r="G582" s="2" t="n">
        <v>4</v>
      </c>
      <c r="H582" s="2" t="inlineStr">
        <is>
          <t>SC/APC</t>
        </is>
      </c>
      <c r="I582" s="2" t="inlineStr">
        <is>
          <t>SC/APC</t>
        </is>
      </c>
      <c r="J582" s="2" t="n"/>
      <c r="K582" s="2" t="n">
        <v>5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>
        <f>SUM(J582:U582)*G582</f>
        <v/>
      </c>
      <c r="W582" s="2">
        <f>MAX(J582:U582)</f>
        <v/>
      </c>
      <c r="X582" s="2">
        <f>W582*G582</f>
        <v/>
      </c>
    </row>
    <row r="583">
      <c r="A583" s="2" t="inlineStr">
        <is>
          <t>14-K-B249</t>
        </is>
      </c>
      <c r="B583" s="3" t="inlineStr">
        <is>
          <t>OJC-A1-LC/LC-SM-20-PC/PC-DP</t>
        </is>
      </c>
      <c r="C583" s="2" t="inlineStr">
        <is>
          <t>자색</t>
        </is>
      </c>
      <c r="D583" s="2" t="inlineStr">
        <is>
          <t>a1-자</t>
        </is>
      </c>
      <c r="E583" s="2" t="inlineStr">
        <is>
          <t>2.0mm</t>
        </is>
      </c>
      <c r="F583" s="2" t="n">
        <v>2</v>
      </c>
      <c r="G583" s="2" t="n">
        <v>20</v>
      </c>
      <c r="H583" s="2" t="inlineStr">
        <is>
          <t>LC/PC</t>
        </is>
      </c>
      <c r="I583" s="2" t="inlineStr">
        <is>
          <t>LC/PC</t>
        </is>
      </c>
      <c r="J583" s="2" t="n"/>
      <c r="K583" s="2" t="n">
        <v>20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>
        <f>SUM(J583:U583)*G583</f>
        <v/>
      </c>
      <c r="W583" s="2">
        <f>MAX(J583:U583)</f>
        <v/>
      </c>
      <c r="X583" s="2">
        <f>W583*G583</f>
        <v/>
      </c>
    </row>
    <row r="584">
      <c r="A584" s="2" t="inlineStr">
        <is>
          <t>14-K-B250</t>
        </is>
      </c>
      <c r="B584" s="3" t="inlineStr">
        <is>
          <t>OJC-C2-SC/SC-SM-1.5-PC/PC-24C</t>
        </is>
      </c>
      <c r="C584" s="2" t="inlineStr">
        <is>
          <t>K9186717, 양단분기부 30cm</t>
        </is>
      </c>
      <c r="D584" s="2" t="inlineStr">
        <is>
          <t>a1-24c</t>
        </is>
      </c>
      <c r="E584" s="2" t="inlineStr">
        <is>
          <t>2.0mm</t>
        </is>
      </c>
      <c r="F584" s="2" t="n">
        <v>24</v>
      </c>
      <c r="G584" s="2" t="n">
        <v>1.5</v>
      </c>
      <c r="H584" s="2" t="inlineStr">
        <is>
          <t>SC/PC</t>
        </is>
      </c>
      <c r="I584" s="2" t="inlineStr">
        <is>
          <t>SC/PC</t>
        </is>
      </c>
      <c r="J584" s="2" t="n"/>
      <c r="K584" s="2" t="n"/>
      <c r="L584" s="2" t="n"/>
      <c r="M584" s="2" t="n">
        <v>3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>
        <f>SUM(J584:U584)*G584</f>
        <v/>
      </c>
      <c r="W584" s="2">
        <f>MAX(J584:U584)</f>
        <v/>
      </c>
      <c r="X584" s="2">
        <f>W584*G584</f>
        <v/>
      </c>
    </row>
    <row r="585">
      <c r="A585" s="2" t="inlineStr">
        <is>
          <t>14-K-B251</t>
        </is>
      </c>
      <c r="B585" s="3" t="inlineStr">
        <is>
          <t>OJC-A1-SC/LC-MM(OM3)-50-PC/PC-DP</t>
        </is>
      </c>
      <c r="C585" s="2" t="inlineStr"/>
      <c r="D585" s="2" t="inlineStr">
        <is>
          <t>om3</t>
        </is>
      </c>
      <c r="E585" s="2" t="inlineStr">
        <is>
          <t>2.0mm</t>
        </is>
      </c>
      <c r="F585" s="2" t="n">
        <v>2</v>
      </c>
      <c r="G585" s="2" t="n">
        <v>50</v>
      </c>
      <c r="H585" s="2" t="inlineStr">
        <is>
          <t>SC/PC</t>
        </is>
      </c>
      <c r="I585" s="2" t="inlineStr">
        <is>
          <t>LC/PC</t>
        </is>
      </c>
      <c r="J585" s="2" t="n"/>
      <c r="K585" s="2" t="n"/>
      <c r="L585" s="2" t="n"/>
      <c r="M585" s="2" t="n"/>
      <c r="N585" s="2" t="n">
        <v>4</v>
      </c>
      <c r="O585" s="2" t="n"/>
      <c r="P585" s="2" t="n"/>
      <c r="Q585" s="2" t="n"/>
      <c r="R585" s="2" t="n"/>
      <c r="S585" s="2" t="n"/>
      <c r="T585" s="2" t="n"/>
      <c r="U585" s="2" t="n"/>
      <c r="V585" s="2">
        <f>SUM(J585:U585)*G585</f>
        <v/>
      </c>
      <c r="W585" s="2">
        <f>MAX(J585:U585)</f>
        <v/>
      </c>
      <c r="X585" s="2">
        <f>W585*G585</f>
        <v/>
      </c>
    </row>
    <row r="586">
      <c r="A586" s="2" t="inlineStr">
        <is>
          <t>14-K-B252</t>
        </is>
      </c>
      <c r="B586" s="3" t="inlineStr">
        <is>
          <t>OJC-A1-LC/LC-SM-80-PC/PC-DP</t>
        </is>
      </c>
      <c r="C586" s="2" t="inlineStr">
        <is>
          <t>적색</t>
        </is>
      </c>
      <c r="D586" s="2" t="inlineStr">
        <is>
          <t>a1-적</t>
        </is>
      </c>
      <c r="E586" s="2" t="inlineStr">
        <is>
          <t>2.0mm</t>
        </is>
      </c>
      <c r="F586" s="2" t="n">
        <v>2</v>
      </c>
      <c r="G586" s="2" t="n">
        <v>80</v>
      </c>
      <c r="H586" s="2" t="inlineStr">
        <is>
          <t>LC/PC</t>
        </is>
      </c>
      <c r="I586" s="2" t="inlineStr">
        <is>
          <t>LC/PC</t>
        </is>
      </c>
      <c r="J586" s="2" t="n"/>
      <c r="K586" s="2" t="n"/>
      <c r="L586" s="2" t="n"/>
      <c r="M586" s="2" t="n"/>
      <c r="N586" s="2" t="n">
        <v>4</v>
      </c>
      <c r="O586" s="2" t="n"/>
      <c r="P586" s="2" t="n"/>
      <c r="Q586" s="2" t="n"/>
      <c r="R586" s="2" t="n"/>
      <c r="S586" s="2" t="n"/>
      <c r="T586" s="2" t="n"/>
      <c r="U586" s="2" t="n"/>
      <c r="V586" s="2">
        <f>SUM(J586:U586)*G586</f>
        <v/>
      </c>
      <c r="W586" s="2">
        <f>MAX(J586:U586)</f>
        <v/>
      </c>
      <c r="X586" s="2">
        <f>W586*G586</f>
        <v/>
      </c>
    </row>
    <row r="587">
      <c r="A587" s="2" t="inlineStr">
        <is>
          <t>14-K-B253</t>
        </is>
      </c>
      <c r="B587" s="3" t="inlineStr">
        <is>
          <t>OJC-A1-LC/LC-SM-10-PC/PC-DP</t>
        </is>
      </c>
      <c r="C587" s="2" t="inlineStr">
        <is>
          <t>K9089175_녹색</t>
        </is>
      </c>
      <c r="D587" s="2" t="inlineStr">
        <is>
          <t>a1-녹</t>
        </is>
      </c>
      <c r="E587" s="2" t="inlineStr">
        <is>
          <t>2.0mm</t>
        </is>
      </c>
      <c r="F587" s="2" t="n">
        <v>2</v>
      </c>
      <c r="G587" s="2" t="n">
        <v>10</v>
      </c>
      <c r="H587" s="2" t="inlineStr">
        <is>
          <t>LC/PC</t>
        </is>
      </c>
      <c r="I587" s="2" t="inlineStr">
        <is>
          <t>LC/PC</t>
        </is>
      </c>
      <c r="J587" s="2" t="n"/>
      <c r="K587" s="2" t="n"/>
      <c r="L587" s="2" t="n"/>
      <c r="M587" s="2" t="n"/>
      <c r="N587" s="2" t="n"/>
      <c r="O587" s="2" t="n">
        <v>28</v>
      </c>
      <c r="P587" s="2" t="n"/>
      <c r="Q587" s="2" t="n"/>
      <c r="R587" s="2" t="n"/>
      <c r="S587" s="2" t="n"/>
      <c r="T587" s="2" t="n"/>
      <c r="U587" s="2" t="n"/>
      <c r="V587" s="2">
        <f>SUM(J587:U587)*G587</f>
        <v/>
      </c>
      <c r="W587" s="2">
        <f>MAX(J587:U587)</f>
        <v/>
      </c>
      <c r="X587" s="2">
        <f>W587*G587</f>
        <v/>
      </c>
    </row>
    <row r="588">
      <c r="A588" s="2" t="inlineStr">
        <is>
          <t>14-K-B253</t>
        </is>
      </c>
      <c r="B588" s="3" t="inlineStr">
        <is>
          <t>OJC-A1-LC/LC-SM-10-PC/PC-DP</t>
        </is>
      </c>
      <c r="C588" s="2" t="inlineStr">
        <is>
          <t>K9089176_녹색</t>
        </is>
      </c>
      <c r="D588" s="2" t="inlineStr">
        <is>
          <t>a1-녹</t>
        </is>
      </c>
      <c r="E588" s="2" t="inlineStr">
        <is>
          <t>2.0mm</t>
        </is>
      </c>
      <c r="F588" s="2" t="n">
        <v>2</v>
      </c>
      <c r="G588" s="2" t="n">
        <v>10</v>
      </c>
      <c r="H588" s="2" t="inlineStr">
        <is>
          <t>LC/PC</t>
        </is>
      </c>
      <c r="I588" s="2" t="inlineStr">
        <is>
          <t>LC/PC</t>
        </is>
      </c>
      <c r="J588" s="2" t="n"/>
      <c r="K588" s="2" t="n"/>
      <c r="L588" s="2" t="n"/>
      <c r="M588" s="2" t="n"/>
      <c r="N588" s="2" t="n"/>
      <c r="O588" s="2" t="n">
        <v>12</v>
      </c>
      <c r="P588" s="2" t="n"/>
      <c r="Q588" s="2" t="n">
        <v>4</v>
      </c>
      <c r="R588" s="2" t="n">
        <v>7</v>
      </c>
      <c r="S588" s="2" t="n"/>
      <c r="T588" s="2" t="n"/>
      <c r="U588" s="2" t="n">
        <v>43</v>
      </c>
      <c r="V588" s="2">
        <f>SUM(J588:U588)*G588</f>
        <v/>
      </c>
      <c r="W588" s="2">
        <f>MAX(J588:U588)</f>
        <v/>
      </c>
      <c r="X588" s="2">
        <f>W588*G588</f>
        <v/>
      </c>
    </row>
    <row r="589">
      <c r="A589" s="2" t="inlineStr">
        <is>
          <t>14-K-B258</t>
        </is>
      </c>
      <c r="B589" s="3" t="inlineStr">
        <is>
          <t>OJC-C2-SC/SC-SM-10-PC/PC-12C</t>
        </is>
      </c>
      <c r="C589" s="2" t="inlineStr">
        <is>
          <t>양단분기부 2M</t>
        </is>
      </c>
      <c r="D589" s="2" t="inlineStr">
        <is>
          <t>a1-12c</t>
        </is>
      </c>
      <c r="E589" s="2" t="inlineStr">
        <is>
          <t>2.0mm</t>
        </is>
      </c>
      <c r="F589" s="2" t="n">
        <v>12</v>
      </c>
      <c r="G589" s="2" t="n">
        <v>10</v>
      </c>
      <c r="H589" s="2" t="inlineStr">
        <is>
          <t>SC/PC</t>
        </is>
      </c>
      <c r="I589" s="2" t="inlineStr">
        <is>
          <t>SC/PC</t>
        </is>
      </c>
      <c r="J589" s="2" t="n"/>
      <c r="K589" s="2" t="n"/>
      <c r="L589" s="2" t="n"/>
      <c r="M589" s="2" t="n"/>
      <c r="N589" s="2" t="n"/>
      <c r="O589" s="2" t="n">
        <v>30</v>
      </c>
      <c r="P589" s="2" t="n"/>
      <c r="Q589" s="2" t="n"/>
      <c r="R589" s="2" t="n"/>
      <c r="S589" s="2" t="n"/>
      <c r="T589" s="2" t="n"/>
      <c r="U589" s="2" t="n"/>
      <c r="V589" s="2">
        <f>SUM(J589:U589)*G589</f>
        <v/>
      </c>
      <c r="W589" s="2">
        <f>MAX(J589:U589)</f>
        <v/>
      </c>
      <c r="X589" s="2">
        <f>W589*G589</f>
        <v/>
      </c>
    </row>
    <row r="590">
      <c r="A590" s="2" t="inlineStr">
        <is>
          <t>14-K-B259</t>
        </is>
      </c>
      <c r="B590" s="3" t="inlineStr">
        <is>
          <t>OJC-C2-SC/SC-SM-15-PC/PC-12C</t>
        </is>
      </c>
      <c r="C590" s="2" t="inlineStr">
        <is>
          <t>양단분기부 2M</t>
        </is>
      </c>
      <c r="D590" s="2" t="inlineStr">
        <is>
          <t>a1-12c</t>
        </is>
      </c>
      <c r="E590" s="2" t="inlineStr">
        <is>
          <t>2.0mm</t>
        </is>
      </c>
      <c r="F590" s="2" t="n">
        <v>12</v>
      </c>
      <c r="G590" s="2" t="n">
        <v>15</v>
      </c>
      <c r="H590" s="2" t="inlineStr">
        <is>
          <t>SC/PC</t>
        </is>
      </c>
      <c r="I590" s="2" t="inlineStr">
        <is>
          <t>SC/PC</t>
        </is>
      </c>
      <c r="J590" s="2" t="n"/>
      <c r="K590" s="2" t="n"/>
      <c r="L590" s="2" t="n"/>
      <c r="M590" s="2" t="n"/>
      <c r="N590" s="2" t="n"/>
      <c r="O590" s="2" t="n">
        <v>30</v>
      </c>
      <c r="P590" s="2" t="n"/>
      <c r="Q590" s="2" t="n"/>
      <c r="R590" s="2" t="n">
        <v>10</v>
      </c>
      <c r="S590" s="2" t="n"/>
      <c r="T590" s="2" t="n"/>
      <c r="U590" s="2" t="n"/>
      <c r="V590" s="2">
        <f>SUM(J590:U590)*G590</f>
        <v/>
      </c>
      <c r="W590" s="2">
        <f>MAX(J590:U590)</f>
        <v/>
      </c>
      <c r="X590" s="2">
        <f>W590*G590</f>
        <v/>
      </c>
    </row>
    <row r="591">
      <c r="A591" s="2" t="inlineStr">
        <is>
          <t>14-K-B260</t>
        </is>
      </c>
      <c r="B591" s="3" t="inlineStr">
        <is>
          <t>OJC-A1-LC/LC-MM(OM3)-6-PC/PC-DP</t>
        </is>
      </c>
      <c r="C591" s="2" t="inlineStr"/>
      <c r="D591" s="2" t="inlineStr">
        <is>
          <t>om3</t>
        </is>
      </c>
      <c r="E591" s="2" t="inlineStr">
        <is>
          <t>2.0mm</t>
        </is>
      </c>
      <c r="F591" s="2" t="n">
        <v>2</v>
      </c>
      <c r="G591" s="2" t="n">
        <v>6</v>
      </c>
      <c r="H591" s="2" t="inlineStr">
        <is>
          <t>LC/PC</t>
        </is>
      </c>
      <c r="I591" s="2" t="inlineStr">
        <is>
          <t>LC/PC</t>
        </is>
      </c>
      <c r="J591" s="2" t="n"/>
      <c r="K591" s="2" t="n"/>
      <c r="L591" s="2" t="n"/>
      <c r="M591" s="2" t="n"/>
      <c r="N591" s="2" t="n"/>
      <c r="O591" s="2" t="n">
        <v>5</v>
      </c>
      <c r="P591" s="2" t="n"/>
      <c r="Q591" s="2" t="n"/>
      <c r="R591" s="2" t="n"/>
      <c r="S591" s="2" t="n"/>
      <c r="T591" s="2" t="n"/>
      <c r="U591" s="2" t="n"/>
      <c r="V591" s="2">
        <f>SUM(J591:U591)*G591</f>
        <v/>
      </c>
      <c r="W591" s="2">
        <f>MAX(J591:U591)</f>
        <v/>
      </c>
      <c r="X591" s="2">
        <f>W591*G591</f>
        <v/>
      </c>
    </row>
    <row r="592">
      <c r="A592" s="2" t="inlineStr">
        <is>
          <t>14-K-B261</t>
        </is>
      </c>
      <c r="B592" s="3" t="inlineStr">
        <is>
          <t>OJC-A1-LC/LC-SM-2-PC/PC-DP</t>
        </is>
      </c>
      <c r="C592" s="2" t="inlineStr">
        <is>
          <t>녹색</t>
        </is>
      </c>
      <c r="D592" s="2" t="inlineStr">
        <is>
          <t>a1-녹</t>
        </is>
      </c>
      <c r="E592" s="2" t="inlineStr">
        <is>
          <t>2.0mm</t>
        </is>
      </c>
      <c r="F592" s="2" t="n">
        <v>2</v>
      </c>
      <c r="G592" s="2" t="n">
        <v>2</v>
      </c>
      <c r="H592" s="2" t="inlineStr">
        <is>
          <t>LC/PC</t>
        </is>
      </c>
      <c r="I592" s="2" t="inlineStr">
        <is>
          <t>LC/PC</t>
        </is>
      </c>
      <c r="J592" s="2" t="n"/>
      <c r="K592" s="2" t="n"/>
      <c r="L592" s="2" t="n"/>
      <c r="M592" s="2" t="n"/>
      <c r="N592" s="2" t="n"/>
      <c r="O592" s="2" t="n">
        <v>150</v>
      </c>
      <c r="P592" s="2" t="n"/>
      <c r="Q592" s="2" t="n"/>
      <c r="R592" s="2" t="n"/>
      <c r="S592" s="2" t="n"/>
      <c r="T592" s="2" t="n"/>
      <c r="U592" s="2" t="n"/>
      <c r="V592" s="2">
        <f>SUM(J592:U592)*G592</f>
        <v/>
      </c>
      <c r="W592" s="2">
        <f>MAX(J592:U592)</f>
        <v/>
      </c>
      <c r="X592" s="2">
        <f>W592*G592</f>
        <v/>
      </c>
    </row>
    <row r="593">
      <c r="A593" s="2" t="inlineStr">
        <is>
          <t>14-K-B262</t>
        </is>
      </c>
      <c r="B593" s="3" t="inlineStr">
        <is>
          <t>OJC-C2-SC/SC-SM-15-PC/PC-16C</t>
        </is>
      </c>
      <c r="C593" s="2" t="inlineStr">
        <is>
          <t>K9094339, 편단 분기부 2.0M</t>
        </is>
      </c>
      <c r="D593" s="2" t="inlineStr">
        <is>
          <t>a1-16c</t>
        </is>
      </c>
      <c r="E593" s="2" t="inlineStr">
        <is>
          <t>2.0mm</t>
        </is>
      </c>
      <c r="F593" s="2" t="n">
        <v>16</v>
      </c>
      <c r="G593" s="2" t="n">
        <v>15</v>
      </c>
      <c r="H593" s="2" t="inlineStr">
        <is>
          <t>SC/PC</t>
        </is>
      </c>
      <c r="I593" s="2" t="inlineStr">
        <is>
          <t>SC/PC</t>
        </is>
      </c>
      <c r="J593" s="2" t="n"/>
      <c r="K593" s="2" t="n"/>
      <c r="L593" s="2" t="n"/>
      <c r="M593" s="2" t="n"/>
      <c r="N593" s="2" t="n"/>
      <c r="O593" s="2" t="n"/>
      <c r="P593" s="2" t="n">
        <v>1</v>
      </c>
      <c r="Q593" s="2" t="n"/>
      <c r="R593" s="2" t="n"/>
      <c r="S593" s="2" t="n"/>
      <c r="T593" s="2" t="n"/>
      <c r="U593" s="2" t="n"/>
      <c r="V593" s="2">
        <f>SUM(J593:U593)*G593</f>
        <v/>
      </c>
      <c r="W593" s="2">
        <f>MAX(J593:U593)</f>
        <v/>
      </c>
      <c r="X593" s="2">
        <f>W593*G593</f>
        <v/>
      </c>
    </row>
    <row r="594">
      <c r="A594" s="2" t="inlineStr">
        <is>
          <t>14-K-B263</t>
        </is>
      </c>
      <c r="B594" s="3" t="inlineStr">
        <is>
          <t>OJC-C2-SC/SC-SM-20-PC/PC-16C</t>
        </is>
      </c>
      <c r="C594" s="2" t="inlineStr">
        <is>
          <t>K9094339, 편단 분기부 2.0M</t>
        </is>
      </c>
      <c r="D594" s="2" t="inlineStr">
        <is>
          <t>a1-16c</t>
        </is>
      </c>
      <c r="E594" s="2" t="inlineStr">
        <is>
          <t>2.0mm</t>
        </is>
      </c>
      <c r="F594" s="2" t="n">
        <v>16</v>
      </c>
      <c r="G594" s="2" t="n">
        <v>20</v>
      </c>
      <c r="H594" s="2" t="inlineStr">
        <is>
          <t>SC/PC</t>
        </is>
      </c>
      <c r="I594" s="2" t="inlineStr">
        <is>
          <t>SC/PC</t>
        </is>
      </c>
      <c r="J594" s="2" t="n"/>
      <c r="K594" s="2" t="n"/>
      <c r="L594" s="2" t="n"/>
      <c r="M594" s="2" t="n"/>
      <c r="N594" s="2" t="n"/>
      <c r="O594" s="2" t="n"/>
      <c r="P594" s="2" t="n">
        <v>4</v>
      </c>
      <c r="Q594" s="2" t="n"/>
      <c r="R594" s="2" t="n"/>
      <c r="S594" s="2" t="n"/>
      <c r="T594" s="2" t="n"/>
      <c r="U594" s="2" t="n"/>
      <c r="V594" s="2">
        <f>SUM(J594:U594)*G594</f>
        <v/>
      </c>
      <c r="W594" s="2">
        <f>MAX(J594:U594)</f>
        <v/>
      </c>
      <c r="X594" s="2">
        <f>W594*G594</f>
        <v/>
      </c>
    </row>
    <row r="595">
      <c r="A595" s="2" t="inlineStr">
        <is>
          <t>14-K-B264</t>
        </is>
      </c>
      <c r="B595" s="3" t="inlineStr">
        <is>
          <t>OJC-C2-SC/SC-SM-25-PC/PC-16C</t>
        </is>
      </c>
      <c r="C595" s="2" t="inlineStr">
        <is>
          <t>K9094339, 편단 분기부 2.0M</t>
        </is>
      </c>
      <c r="D595" s="2" t="inlineStr">
        <is>
          <t>a1-16c</t>
        </is>
      </c>
      <c r="E595" s="2" t="inlineStr">
        <is>
          <t>2.0mm</t>
        </is>
      </c>
      <c r="F595" s="2" t="n">
        <v>16</v>
      </c>
      <c r="G595" s="2" t="n">
        <v>25</v>
      </c>
      <c r="H595" s="2" t="inlineStr">
        <is>
          <t>SC/PC</t>
        </is>
      </c>
      <c r="I595" s="2" t="inlineStr">
        <is>
          <t>SC/PC</t>
        </is>
      </c>
      <c r="J595" s="2" t="n"/>
      <c r="K595" s="2" t="n"/>
      <c r="L595" s="2" t="n"/>
      <c r="M595" s="2" t="n"/>
      <c r="N595" s="2" t="n"/>
      <c r="O595" s="2" t="n"/>
      <c r="P595" s="2" t="n">
        <v>1</v>
      </c>
      <c r="Q595" s="2" t="n"/>
      <c r="R595" s="2" t="n"/>
      <c r="S595" s="2" t="n"/>
      <c r="T595" s="2" t="n"/>
      <c r="U595" s="2" t="n"/>
      <c r="V595" s="2">
        <f>SUM(J595:U595)*G595</f>
        <v/>
      </c>
      <c r="W595" s="2">
        <f>MAX(J595:U595)</f>
        <v/>
      </c>
      <c r="X595" s="2">
        <f>W595*G595</f>
        <v/>
      </c>
    </row>
    <row r="596">
      <c r="A596" s="2" t="inlineStr">
        <is>
          <t>14-K-B265</t>
        </is>
      </c>
      <c r="B596" s="3" t="inlineStr">
        <is>
          <t>OJC-C2-SC/SC-SM-20-PC/PC-20C</t>
        </is>
      </c>
      <c r="C596" s="2" t="inlineStr">
        <is>
          <t>K9094342, 편단 분기부 2.0M</t>
        </is>
      </c>
      <c r="D596" s="2" t="inlineStr">
        <is>
          <t>a1-20c</t>
        </is>
      </c>
      <c r="E596" s="2" t="inlineStr">
        <is>
          <t>2.0mm</t>
        </is>
      </c>
      <c r="F596" s="2" t="n">
        <v>20</v>
      </c>
      <c r="G596" s="2" t="n">
        <v>20</v>
      </c>
      <c r="H596" s="2" t="inlineStr">
        <is>
          <t>SC/PC</t>
        </is>
      </c>
      <c r="I596" s="2" t="inlineStr">
        <is>
          <t>SC/PC</t>
        </is>
      </c>
      <c r="J596" s="2" t="n"/>
      <c r="K596" s="2" t="n"/>
      <c r="L596" s="2" t="n"/>
      <c r="M596" s="2" t="n"/>
      <c r="N596" s="2" t="n"/>
      <c r="O596" s="2" t="n"/>
      <c r="P596" s="2" t="n">
        <v>10</v>
      </c>
      <c r="Q596" s="2" t="n"/>
      <c r="R596" s="2" t="n"/>
      <c r="S596" s="2" t="n"/>
      <c r="T596" s="2" t="n"/>
      <c r="U596" s="2" t="n"/>
      <c r="V596" s="2">
        <f>SUM(J596:U596)*G596</f>
        <v/>
      </c>
      <c r="W596" s="2">
        <f>MAX(J596:U596)</f>
        <v/>
      </c>
      <c r="X596" s="2">
        <f>W596*G596</f>
        <v/>
      </c>
    </row>
    <row r="597">
      <c r="A597" s="2" t="inlineStr">
        <is>
          <t>14-K-B276</t>
        </is>
      </c>
      <c r="B597" s="3" t="inlineStr">
        <is>
          <t>OJC-A1-LC/LC-MM-6-PC/PC-DP</t>
        </is>
      </c>
      <c r="C597" s="2" t="inlineStr"/>
      <c r="D597" s="2" t="inlineStr">
        <is>
          <t>om1</t>
        </is>
      </c>
      <c r="E597" s="2" t="inlineStr">
        <is>
          <t>2.0mm</t>
        </is>
      </c>
      <c r="F597" s="2" t="n">
        <v>2</v>
      </c>
      <c r="G597" s="2" t="n">
        <v>6</v>
      </c>
      <c r="H597" s="2" t="inlineStr">
        <is>
          <t>LC/PC</t>
        </is>
      </c>
      <c r="I597" s="2" t="inlineStr">
        <is>
          <t>LC/PC</t>
        </is>
      </c>
      <c r="J597" s="2" t="n"/>
      <c r="K597" s="2" t="n"/>
      <c r="L597" s="2" t="n"/>
      <c r="M597" s="2" t="n"/>
      <c r="N597" s="2" t="n"/>
      <c r="O597" s="2" t="n"/>
      <c r="P597" s="2" t="n"/>
      <c r="Q597" s="2" t="n">
        <v>20</v>
      </c>
      <c r="R597" s="2" t="n"/>
      <c r="S597" s="2" t="n"/>
      <c r="T597" s="2" t="n"/>
      <c r="U597" s="2" t="n"/>
      <c r="V597" s="2">
        <f>SUM(J597:U597)*G597</f>
        <v/>
      </c>
      <c r="W597" s="2">
        <f>MAX(J597:U597)</f>
        <v/>
      </c>
      <c r="X597" s="2">
        <f>W597*G597</f>
        <v/>
      </c>
    </row>
    <row r="598">
      <c r="A598" s="2" t="inlineStr">
        <is>
          <t>14-K-B277</t>
        </is>
      </c>
      <c r="B598" s="3" t="inlineStr">
        <is>
          <t>OJC-A1-SC/SC-SM-15-PC/APC-SP</t>
        </is>
      </c>
      <c r="C598" s="2" t="inlineStr">
        <is>
          <t>녹색</t>
        </is>
      </c>
      <c r="D598" s="2" t="inlineStr">
        <is>
          <t>a1-녹</t>
        </is>
      </c>
      <c r="E598" s="2" t="inlineStr">
        <is>
          <t>2.0mm</t>
        </is>
      </c>
      <c r="F598" s="2" t="n">
        <v>1</v>
      </c>
      <c r="G598" s="2" t="n">
        <v>15</v>
      </c>
      <c r="H598" s="2" t="inlineStr">
        <is>
          <t>SC/PC</t>
        </is>
      </c>
      <c r="I598" s="2" t="inlineStr">
        <is>
          <t>SC/APC</t>
        </is>
      </c>
      <c r="J598" s="2" t="n"/>
      <c r="K598" s="2" t="n"/>
      <c r="L598" s="2" t="n"/>
      <c r="M598" s="2" t="n"/>
      <c r="N598" s="2" t="n"/>
      <c r="O598" s="2" t="n"/>
      <c r="P598" s="2" t="n">
        <v>50</v>
      </c>
      <c r="Q598" s="2" t="n"/>
      <c r="R598" s="2" t="n"/>
      <c r="S598" s="2" t="n"/>
      <c r="T598" s="2" t="n"/>
      <c r="U598" s="2" t="n"/>
      <c r="V598" s="2">
        <f>SUM(J598:U598)*G598</f>
        <v/>
      </c>
      <c r="W598" s="2">
        <f>MAX(J598:U598)</f>
        <v/>
      </c>
      <c r="X598" s="2">
        <f>W598*G598</f>
        <v/>
      </c>
    </row>
    <row r="599">
      <c r="A599" s="2" t="inlineStr">
        <is>
          <t>14-K-B278</t>
        </is>
      </c>
      <c r="B599" s="3" t="inlineStr">
        <is>
          <t>OJC-A1-SC/SC-SM-30-PC/APC-SP</t>
        </is>
      </c>
      <c r="C599" s="2" t="inlineStr">
        <is>
          <t>녹색</t>
        </is>
      </c>
      <c r="D599" s="2" t="inlineStr">
        <is>
          <t>a1-녹</t>
        </is>
      </c>
      <c r="E599" s="2" t="inlineStr">
        <is>
          <t>2.0mm</t>
        </is>
      </c>
      <c r="F599" s="2" t="n">
        <v>1</v>
      </c>
      <c r="G599" s="2" t="n">
        <v>30</v>
      </c>
      <c r="H599" s="2" t="inlineStr">
        <is>
          <t>SC/PC</t>
        </is>
      </c>
      <c r="I599" s="2" t="inlineStr">
        <is>
          <t>SC/APC</t>
        </is>
      </c>
      <c r="J599" s="2" t="n"/>
      <c r="K599" s="2" t="n"/>
      <c r="L599" s="2" t="n"/>
      <c r="M599" s="2" t="n"/>
      <c r="N599" s="2" t="n"/>
      <c r="O599" s="2" t="n"/>
      <c r="P599" s="2" t="n">
        <v>50</v>
      </c>
      <c r="Q599" s="2" t="n"/>
      <c r="R599" s="2" t="n"/>
      <c r="S599" s="2" t="n"/>
      <c r="T599" s="2" t="n"/>
      <c r="U599" s="2" t="n"/>
      <c r="V599" s="2">
        <f>SUM(J599:U599)*G599</f>
        <v/>
      </c>
      <c r="W599" s="2">
        <f>MAX(J599:U599)</f>
        <v/>
      </c>
      <c r="X599" s="2">
        <f>W599*G599</f>
        <v/>
      </c>
    </row>
    <row r="600">
      <c r="A600" s="2" t="inlineStr">
        <is>
          <t>14-K-B279</t>
        </is>
      </c>
      <c r="B600" s="3" t="inlineStr">
        <is>
          <t>OJC-A1-LC/LC-SM-5-PC/APC-DP</t>
        </is>
      </c>
      <c r="C600" s="2" t="inlineStr"/>
      <c r="D600" s="2" t="inlineStr">
        <is>
          <t>a1</t>
        </is>
      </c>
      <c r="E600" s="2" t="inlineStr">
        <is>
          <t>2.0mm</t>
        </is>
      </c>
      <c r="F600" s="2" t="n">
        <v>2</v>
      </c>
      <c r="G600" s="2" t="n">
        <v>5</v>
      </c>
      <c r="H600" s="2" t="inlineStr">
        <is>
          <t>LC/PC</t>
        </is>
      </c>
      <c r="I600" s="2" t="inlineStr">
        <is>
          <t>LC/APC</t>
        </is>
      </c>
      <c r="J600" s="2" t="n"/>
      <c r="K600" s="2" t="n"/>
      <c r="L600" s="2" t="n"/>
      <c r="M600" s="2" t="n"/>
      <c r="N600" s="2" t="n"/>
      <c r="O600" s="2" t="n"/>
      <c r="P600" s="2" t="n">
        <v>4</v>
      </c>
      <c r="Q600" s="2" t="n"/>
      <c r="R600" s="2" t="n"/>
      <c r="S600" s="2" t="n"/>
      <c r="T600" s="2" t="n"/>
      <c r="U600" s="2" t="n"/>
      <c r="V600" s="2">
        <f>SUM(J600:U600)*G600</f>
        <v/>
      </c>
      <c r="W600" s="2">
        <f>MAX(J600:U600)</f>
        <v/>
      </c>
      <c r="X600" s="2">
        <f>W600*G600</f>
        <v/>
      </c>
    </row>
    <row r="601">
      <c r="A601" s="2" t="inlineStr">
        <is>
          <t>14-K-B289</t>
        </is>
      </c>
      <c r="B601" s="3" t="inlineStr">
        <is>
          <t>OJC-A1-SC/LC-MM-1-PC/PC-DP</t>
        </is>
      </c>
      <c r="C601" s="2" t="inlineStr">
        <is>
          <t>LC/DP CLIP Type, 1M</t>
        </is>
      </c>
      <c r="D601" s="2" t="inlineStr">
        <is>
          <t>om1</t>
        </is>
      </c>
      <c r="E601" s="2" t="inlineStr">
        <is>
          <t>2.0mm</t>
        </is>
      </c>
      <c r="F601" s="2" t="n">
        <v>2</v>
      </c>
      <c r="G601" s="2" t="n">
        <v>1</v>
      </c>
      <c r="H601" s="2" t="inlineStr">
        <is>
          <t>SC/PC</t>
        </is>
      </c>
      <c r="I601" s="2" t="inlineStr">
        <is>
          <t>LC/PC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>
        <v>20</v>
      </c>
      <c r="R601" s="2" t="n"/>
      <c r="S601" s="2" t="n"/>
      <c r="T601" s="2" t="n"/>
      <c r="U601" s="2" t="n"/>
      <c r="V601" s="2">
        <f>SUM(J601:U601)*G601</f>
        <v/>
      </c>
      <c r="W601" s="2">
        <f>MAX(J601:U601)</f>
        <v/>
      </c>
      <c r="X601" s="2">
        <f>W601*G601</f>
        <v/>
      </c>
    </row>
    <row r="602">
      <c r="A602" s="2" t="inlineStr">
        <is>
          <t>14-K-B298</t>
        </is>
      </c>
      <c r="B602" s="3" t="inlineStr">
        <is>
          <t>OJC-C2-SC/SC-SM-17-PC/PC-8C</t>
        </is>
      </c>
      <c r="C602" s="2" t="inlineStr">
        <is>
          <t>K9089452, 편단 분기부 2.0M</t>
        </is>
      </c>
      <c r="D602" s="2" t="inlineStr">
        <is>
          <t>a1-8c</t>
        </is>
      </c>
      <c r="E602" s="2" t="inlineStr">
        <is>
          <t>2.0mm</t>
        </is>
      </c>
      <c r="F602" s="2" t="n">
        <v>8</v>
      </c>
      <c r="G602" s="2" t="n">
        <v>17</v>
      </c>
      <c r="H602" s="2" t="inlineStr">
        <is>
          <t>SC/PC</t>
        </is>
      </c>
      <c r="I602" s="2" t="inlineStr">
        <is>
          <t>SC/PC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5</v>
      </c>
      <c r="S602" s="2" t="n"/>
      <c r="T602" s="2" t="n"/>
      <c r="U602" s="2" t="n"/>
      <c r="V602" s="2">
        <f>SUM(J602:U602)*G602</f>
        <v/>
      </c>
      <c r="W602" s="2">
        <f>MAX(J602:U602)</f>
        <v/>
      </c>
      <c r="X602" s="2">
        <f>W602*G602</f>
        <v/>
      </c>
    </row>
    <row r="603">
      <c r="A603" s="2" t="inlineStr">
        <is>
          <t>14-K-B299</t>
        </is>
      </c>
      <c r="B603" s="3" t="inlineStr">
        <is>
          <t>OJC-C2-SC/SC-SM-18-PC/PC-8C</t>
        </is>
      </c>
      <c r="C603" s="2" t="inlineStr">
        <is>
          <t>K9089452, 편단 분기부 2.0M</t>
        </is>
      </c>
      <c r="D603" s="2" t="inlineStr">
        <is>
          <t>a1-8c</t>
        </is>
      </c>
      <c r="E603" s="2" t="inlineStr">
        <is>
          <t>2.0mm</t>
        </is>
      </c>
      <c r="F603" s="2" t="n">
        <v>8</v>
      </c>
      <c r="G603" s="2" t="n">
        <v>18</v>
      </c>
      <c r="H603" s="2" t="inlineStr">
        <is>
          <t>SC/PC</t>
        </is>
      </c>
      <c r="I603" s="2" t="inlineStr">
        <is>
          <t>SC/PC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>
        <v>4</v>
      </c>
      <c r="S603" s="2" t="n"/>
      <c r="T603" s="2" t="n"/>
      <c r="U603" s="2" t="n"/>
      <c r="V603" s="2">
        <f>SUM(J603:U603)*G603</f>
        <v/>
      </c>
      <c r="W603" s="2">
        <f>MAX(J603:U603)</f>
        <v/>
      </c>
      <c r="X603" s="2">
        <f>W603*G603</f>
        <v/>
      </c>
    </row>
    <row r="604">
      <c r="A604" s="2" t="inlineStr">
        <is>
          <t>14-K-B300</t>
        </is>
      </c>
      <c r="B604" s="3" t="inlineStr">
        <is>
          <t>OJC-C2-SC/SC-SM-22-PC/PC-8C</t>
        </is>
      </c>
      <c r="C604" s="2" t="inlineStr">
        <is>
          <t>K9089452, 편단 분기부 2.0M</t>
        </is>
      </c>
      <c r="D604" s="2" t="inlineStr">
        <is>
          <t>a1-8c</t>
        </is>
      </c>
      <c r="E604" s="2" t="inlineStr">
        <is>
          <t>2.0mm</t>
        </is>
      </c>
      <c r="F604" s="2" t="n">
        <v>8</v>
      </c>
      <c r="G604" s="2" t="n">
        <v>22</v>
      </c>
      <c r="H604" s="2" t="inlineStr">
        <is>
          <t>SC/PC</t>
        </is>
      </c>
      <c r="I604" s="2" t="inlineStr">
        <is>
          <t>SC/PC</t>
        </is>
      </c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>
        <v>8</v>
      </c>
      <c r="S604" s="2" t="n"/>
      <c r="T604" s="2" t="n"/>
      <c r="U604" s="2" t="n"/>
      <c r="V604" s="2">
        <f>SUM(J604:U604)*G604</f>
        <v/>
      </c>
      <c r="W604" s="2">
        <f>MAX(J604:U604)</f>
        <v/>
      </c>
      <c r="X604" s="2">
        <f>W604*G604</f>
        <v/>
      </c>
    </row>
    <row r="605">
      <c r="A605" s="2" t="inlineStr">
        <is>
          <t>14-K-B301</t>
        </is>
      </c>
      <c r="B605" s="3" t="inlineStr">
        <is>
          <t>OJC-C2-SC/SC-SM-25-PC/PC-8C</t>
        </is>
      </c>
      <c r="C605" s="2" t="inlineStr">
        <is>
          <t>K9089452, 편단 분기부 2.0M</t>
        </is>
      </c>
      <c r="D605" s="2" t="inlineStr">
        <is>
          <t>a1-8c</t>
        </is>
      </c>
      <c r="E605" s="2" t="inlineStr">
        <is>
          <t>2.0mm</t>
        </is>
      </c>
      <c r="F605" s="2" t="n">
        <v>8</v>
      </c>
      <c r="G605" s="2" t="n">
        <v>25</v>
      </c>
      <c r="H605" s="2" t="inlineStr">
        <is>
          <t>SC/PC</t>
        </is>
      </c>
      <c r="I605" s="2" t="inlineStr">
        <is>
          <t>SC/PC</t>
        </is>
      </c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>
        <v>2</v>
      </c>
      <c r="S605" s="2" t="n"/>
      <c r="T605" s="2" t="n"/>
      <c r="U605" s="2" t="n"/>
      <c r="V605" s="2">
        <f>SUM(J605:U605)*G605</f>
        <v/>
      </c>
      <c r="W605" s="2">
        <f>MAX(J605:U605)</f>
        <v/>
      </c>
      <c r="X605" s="2">
        <f>W605*G605</f>
        <v/>
      </c>
    </row>
    <row r="606">
      <c r="A606" s="2" t="inlineStr">
        <is>
          <t>14-K-B305</t>
        </is>
      </c>
      <c r="B606" s="3" t="inlineStr">
        <is>
          <t>OJC-A1-LC/LC-SM-7-PC/PC-DP</t>
        </is>
      </c>
      <c r="C606" s="2" t="inlineStr">
        <is>
          <t>청색</t>
        </is>
      </c>
      <c r="D606" s="2" t="inlineStr">
        <is>
          <t>a1-청</t>
        </is>
      </c>
      <c r="E606" s="2" t="inlineStr">
        <is>
          <t>2.0mm</t>
        </is>
      </c>
      <c r="F606" s="2" t="n">
        <v>2</v>
      </c>
      <c r="G606" s="2" t="n">
        <v>7</v>
      </c>
      <c r="H606" s="2" t="inlineStr">
        <is>
          <t>LC/PC</t>
        </is>
      </c>
      <c r="I606" s="2" t="inlineStr">
        <is>
          <t>LC/PC</t>
        </is>
      </c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>
        <v>50</v>
      </c>
      <c r="S606" s="2" t="n">
        <v>50</v>
      </c>
      <c r="T606" s="2" t="n"/>
      <c r="U606" s="2" t="n"/>
      <c r="V606" s="2">
        <f>SUM(J606:U606)*G606</f>
        <v/>
      </c>
      <c r="W606" s="2">
        <f>MAX(J606:U606)</f>
        <v/>
      </c>
      <c r="X606" s="2">
        <f>W606*G606</f>
        <v/>
      </c>
    </row>
    <row r="607">
      <c r="A607" s="2" t="inlineStr">
        <is>
          <t>14-K-B306</t>
        </is>
      </c>
      <c r="B607" s="3" t="inlineStr">
        <is>
          <t>OJC-C2-SC/SC-SM-20-PC/PC-12C</t>
        </is>
      </c>
      <c r="C607" s="2" t="inlineStr">
        <is>
          <t>K9089453,편단 분기부 2M</t>
        </is>
      </c>
      <c r="D607" s="2" t="inlineStr">
        <is>
          <t>a1-12c</t>
        </is>
      </c>
      <c r="E607" s="2" t="inlineStr">
        <is>
          <t>2.0mm</t>
        </is>
      </c>
      <c r="F607" s="2" t="n">
        <v>12</v>
      </c>
      <c r="G607" s="2" t="n">
        <v>20</v>
      </c>
      <c r="H607" s="2" t="inlineStr">
        <is>
          <t>SC/PC</t>
        </is>
      </c>
      <c r="I607" s="2" t="inlineStr">
        <is>
          <t>SC/PC</t>
        </is>
      </c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>
        <v>7</v>
      </c>
      <c r="U607" s="2" t="n"/>
      <c r="V607" s="2">
        <f>SUM(J607:U607)*G607</f>
        <v/>
      </c>
      <c r="W607" s="2">
        <f>MAX(J607:U607)</f>
        <v/>
      </c>
      <c r="X607" s="2">
        <f>W607*G607</f>
        <v/>
      </c>
    </row>
    <row r="608">
      <c r="A608" s="2" t="inlineStr">
        <is>
          <t>14-K-B307</t>
        </is>
      </c>
      <c r="B608" s="3" t="inlineStr">
        <is>
          <t>OJC-A1-LC/LC-SM-11-PC/PC-DP</t>
        </is>
      </c>
      <c r="C608" s="2" t="inlineStr"/>
      <c r="D608" s="2" t="inlineStr">
        <is>
          <t>a1</t>
        </is>
      </c>
      <c r="E608" s="2" t="inlineStr">
        <is>
          <t>2.0mm</t>
        </is>
      </c>
      <c r="F608" s="2" t="n">
        <v>2</v>
      </c>
      <c r="G608" s="2" t="n">
        <v>11</v>
      </c>
      <c r="H608" s="2" t="inlineStr">
        <is>
          <t>LC/PC</t>
        </is>
      </c>
      <c r="I608" s="2" t="inlineStr">
        <is>
          <t>LC/PC</t>
        </is>
      </c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>
        <v>40</v>
      </c>
      <c r="U608" s="2" t="n"/>
      <c r="V608" s="2">
        <f>SUM(J608:U608)*G608</f>
        <v/>
      </c>
      <c r="W608" s="2">
        <f>MAX(J608:U608)</f>
        <v/>
      </c>
      <c r="X608" s="2">
        <f>W608*G608</f>
        <v/>
      </c>
    </row>
    <row r="609">
      <c r="A609" s="2" t="inlineStr">
        <is>
          <t>14-K-B308</t>
        </is>
      </c>
      <c r="B609" s="3" t="inlineStr">
        <is>
          <t>OJC-A1-LC/LC-MM-120-PC/PC-DP</t>
        </is>
      </c>
      <c r="C609" s="2" t="inlineStr"/>
      <c r="D609" s="2" t="inlineStr">
        <is>
          <t>om1</t>
        </is>
      </c>
      <c r="E609" s="2" t="inlineStr">
        <is>
          <t>2.0mm</t>
        </is>
      </c>
      <c r="F609" s="2" t="n">
        <v>2</v>
      </c>
      <c r="G609" s="2" t="n">
        <v>120</v>
      </c>
      <c r="H609" s="2" t="inlineStr">
        <is>
          <t>LC/PC</t>
        </is>
      </c>
      <c r="I609" s="2" t="inlineStr">
        <is>
          <t>LC/PC</t>
        </is>
      </c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>
        <v>6</v>
      </c>
      <c r="U609" s="2" t="n"/>
      <c r="V609" s="2">
        <f>SUM(J609:U609)*G609</f>
        <v/>
      </c>
      <c r="W609" s="2">
        <f>MAX(J609:U609)</f>
        <v/>
      </c>
      <c r="X609" s="2">
        <f>W609*G609</f>
        <v/>
      </c>
    </row>
    <row r="610">
      <c r="A610" s="2" t="inlineStr">
        <is>
          <t>14-K-B309</t>
        </is>
      </c>
      <c r="B610" s="3" t="inlineStr">
        <is>
          <t>OJC-A1-SC/SC-SM-1-PC/PC-DP</t>
        </is>
      </c>
      <c r="C610" s="2" t="inlineStr">
        <is>
          <t>K9089123_청색</t>
        </is>
      </c>
      <c r="D610" s="2" t="inlineStr">
        <is>
          <t>a1-청</t>
        </is>
      </c>
      <c r="E610" s="2" t="inlineStr">
        <is>
          <t>2.0mm</t>
        </is>
      </c>
      <c r="F610" s="2" t="n">
        <v>2</v>
      </c>
      <c r="G610" s="2" t="n">
        <v>1</v>
      </c>
      <c r="H610" s="2" t="inlineStr">
        <is>
          <t>SC/PC</t>
        </is>
      </c>
      <c r="I610" s="2" t="inlineStr">
        <is>
          <t>SC/PC</t>
        </is>
      </c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>
        <v>80</v>
      </c>
      <c r="U610" s="2" t="n"/>
      <c r="V610" s="2">
        <f>SUM(J610:U610)*G610</f>
        <v/>
      </c>
      <c r="W610" s="2">
        <f>MAX(J610:U610)</f>
        <v/>
      </c>
      <c r="X610" s="2">
        <f>W610*G610</f>
        <v/>
      </c>
    </row>
    <row r="611">
      <c r="A611" s="2" t="inlineStr">
        <is>
          <t>14-K-B310</t>
        </is>
      </c>
      <c r="B611" s="3" t="inlineStr">
        <is>
          <t>OJC-A1-SC/SC-SM-8-PC/PC-DP</t>
        </is>
      </c>
      <c r="C611" s="2" t="inlineStr">
        <is>
          <t>K9089130_청색</t>
        </is>
      </c>
      <c r="D611" s="2" t="inlineStr">
        <is>
          <t>a1-청</t>
        </is>
      </c>
      <c r="E611" s="2" t="inlineStr">
        <is>
          <t>2.0mm</t>
        </is>
      </c>
      <c r="F611" s="2" t="n">
        <v>2</v>
      </c>
      <c r="G611" s="2" t="n">
        <v>8</v>
      </c>
      <c r="H611" s="2" t="inlineStr">
        <is>
          <t>SC/PC</t>
        </is>
      </c>
      <c r="I611" s="2" t="inlineStr">
        <is>
          <t>SC/PC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>
        <v>50</v>
      </c>
      <c r="U611" s="2" t="n"/>
      <c r="V611" s="2">
        <f>SUM(J611:U611)*G611</f>
        <v/>
      </c>
      <c r="W611" s="2">
        <f>MAX(J611:U611)</f>
        <v/>
      </c>
      <c r="X611" s="2">
        <f>W611*G611</f>
        <v/>
      </c>
    </row>
    <row r="612">
      <c r="A612" s="2" t="inlineStr">
        <is>
          <t>14-K-B311</t>
        </is>
      </c>
      <c r="B612" s="3" t="inlineStr">
        <is>
          <t>OJC-A1-LC/LC-SM-23-PC/PC-DP</t>
        </is>
      </c>
      <c r="C612" s="2" t="inlineStr">
        <is>
          <t>23M_적색</t>
        </is>
      </c>
      <c r="D612" s="2" t="inlineStr">
        <is>
          <t>a1-적</t>
        </is>
      </c>
      <c r="E612" s="2" t="inlineStr">
        <is>
          <t>2.0mm</t>
        </is>
      </c>
      <c r="F612" s="2" t="n">
        <v>2</v>
      </c>
      <c r="G612" s="2" t="n">
        <v>23</v>
      </c>
      <c r="H612" s="2" t="inlineStr">
        <is>
          <t>LC/PC</t>
        </is>
      </c>
      <c r="I612" s="2" t="inlineStr">
        <is>
          <t>LC/PC</t>
        </is>
      </c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>
        <v>10</v>
      </c>
      <c r="V612" s="2">
        <f>SUM(J612:U612)*G612</f>
        <v/>
      </c>
      <c r="W612" s="2">
        <f>MAX(J612:U612)</f>
        <v/>
      </c>
      <c r="X612" s="2">
        <f>W612*G612</f>
        <v/>
      </c>
    </row>
    <row r="613">
      <c r="A613" s="2" t="inlineStr">
        <is>
          <t>14-K-B312</t>
        </is>
      </c>
      <c r="B613" s="3" t="inlineStr">
        <is>
          <t>OJC-A1-SC/LC-SM-20-PC/PC-DP</t>
        </is>
      </c>
      <c r="C613" s="2" t="inlineStr">
        <is>
          <t>20M_자색</t>
        </is>
      </c>
      <c r="D613" s="2" t="inlineStr">
        <is>
          <t>a1-자</t>
        </is>
      </c>
      <c r="E613" s="2" t="inlineStr">
        <is>
          <t>2.0mm</t>
        </is>
      </c>
      <c r="F613" s="2" t="n">
        <v>2</v>
      </c>
      <c r="G613" s="2" t="n">
        <v>20</v>
      </c>
      <c r="H613" s="2" t="inlineStr">
        <is>
          <t>SC/PC</t>
        </is>
      </c>
      <c r="I613" s="2" t="inlineStr">
        <is>
          <t>LC/PC</t>
        </is>
      </c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>
        <v>8</v>
      </c>
      <c r="V613" s="2">
        <f>SUM(J613:U613)*G613</f>
        <v/>
      </c>
      <c r="W613" s="2">
        <f>MAX(J613:U613)</f>
        <v/>
      </c>
      <c r="X613" s="2">
        <f>W613*G613</f>
        <v/>
      </c>
    </row>
    <row r="614">
      <c r="A614" s="2" t="inlineStr">
        <is>
          <t>14-K-B313</t>
        </is>
      </c>
      <c r="B614" s="3" t="inlineStr">
        <is>
          <t>OJC-A1-SC/LC-SM-25-PC/PC-DP</t>
        </is>
      </c>
      <c r="C614" s="2" t="inlineStr">
        <is>
          <t>25M_자색</t>
        </is>
      </c>
      <c r="D614" s="2" t="inlineStr">
        <is>
          <t>a1-자</t>
        </is>
      </c>
      <c r="E614" s="2" t="inlineStr">
        <is>
          <t>2.0mm</t>
        </is>
      </c>
      <c r="F614" s="2" t="n">
        <v>2</v>
      </c>
      <c r="G614" s="2" t="n">
        <v>25</v>
      </c>
      <c r="H614" s="2" t="inlineStr">
        <is>
          <t>SC/PC</t>
        </is>
      </c>
      <c r="I614" s="2" t="inlineStr">
        <is>
          <t>LC/PC</t>
        </is>
      </c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>
        <v>8</v>
      </c>
      <c r="V614" s="2">
        <f>SUM(J614:U614)*G614</f>
        <v/>
      </c>
      <c r="W614" s="2">
        <f>MAX(J614:U614)</f>
        <v/>
      </c>
      <c r="X614" s="2">
        <f>W614*G614</f>
        <v/>
      </c>
    </row>
    <row r="615">
      <c r="A615" s="2" t="inlineStr">
        <is>
          <t>14-M-011</t>
        </is>
      </c>
      <c r="B615" s="3" t="inlineStr">
        <is>
          <t>MOJC-SM-12C-LC/PC-LC/PC</t>
        </is>
      </c>
      <c r="C615" s="2" t="inlineStr">
        <is>
          <t>15M</t>
        </is>
      </c>
      <c r="D615" s="2" t="inlineStr">
        <is>
          <t>b3-12c</t>
        </is>
      </c>
      <c r="E615" s="2" t="inlineStr">
        <is>
          <t>2.0mm</t>
        </is>
      </c>
      <c r="F615" s="2" t="n">
        <v>12</v>
      </c>
      <c r="G615" s="2" t="n">
        <v>15</v>
      </c>
      <c r="H615" s="2" t="inlineStr">
        <is>
          <t>LC/PC</t>
        </is>
      </c>
      <c r="I615" s="2" t="inlineStr">
        <is>
          <t>LC/PC</t>
        </is>
      </c>
      <c r="J615" s="2" t="n"/>
      <c r="K615" s="2" t="n"/>
      <c r="L615" s="2" t="n"/>
      <c r="M615" s="2" t="n"/>
      <c r="N615" s="2" t="n"/>
      <c r="O615" s="2" t="n">
        <v>20</v>
      </c>
      <c r="P615" s="2" t="n"/>
      <c r="Q615" s="2" t="n"/>
      <c r="R615" s="2" t="n"/>
      <c r="S615" s="2" t="n"/>
      <c r="T615" s="2" t="n"/>
      <c r="U615" s="2" t="n"/>
      <c r="V615" s="2">
        <f>SUM(J615:U615)*G615</f>
        <v/>
      </c>
      <c r="W615" s="2">
        <f>MAX(J615:U615)</f>
        <v/>
      </c>
      <c r="X615" s="2">
        <f>W615*G615</f>
        <v/>
      </c>
    </row>
    <row r="616">
      <c r="A616" s="2" t="inlineStr">
        <is>
          <t>14-M-012</t>
        </is>
      </c>
      <c r="B616" s="3" t="inlineStr">
        <is>
          <t>MOJC-SM-12C-LC/PC-LC/PC</t>
        </is>
      </c>
      <c r="C616" s="2" t="inlineStr">
        <is>
          <t>17M</t>
        </is>
      </c>
      <c r="D616" s="2" t="inlineStr">
        <is>
          <t>b3-12c</t>
        </is>
      </c>
      <c r="E616" s="2" t="inlineStr">
        <is>
          <t>2.0mm</t>
        </is>
      </c>
      <c r="F616" s="2" t="n">
        <v>12</v>
      </c>
      <c r="G616" s="2" t="n">
        <v>17</v>
      </c>
      <c r="H616" s="2" t="inlineStr">
        <is>
          <t>LC/PC</t>
        </is>
      </c>
      <c r="I616" s="2" t="inlineStr">
        <is>
          <t>LC/PC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>
        <v>35</v>
      </c>
      <c r="T616" s="2" t="n"/>
      <c r="U616" s="2" t="n"/>
      <c r="V616" s="2">
        <f>SUM(J616:U616)*G616</f>
        <v/>
      </c>
      <c r="W616" s="2">
        <f>MAX(J616:U616)</f>
        <v/>
      </c>
      <c r="X616" s="2">
        <f>W616*G616</f>
        <v/>
      </c>
    </row>
    <row r="617">
      <c r="A617" s="2" t="inlineStr">
        <is>
          <t>14-M-013</t>
        </is>
      </c>
      <c r="B617" s="3" t="inlineStr">
        <is>
          <t>MOJC-SM-12C-LC/PC-LC/PC</t>
        </is>
      </c>
      <c r="C617" s="2" t="inlineStr">
        <is>
          <t>20M</t>
        </is>
      </c>
      <c r="D617" s="2" t="inlineStr">
        <is>
          <t>b3-12c</t>
        </is>
      </c>
      <c r="E617" s="2" t="inlineStr">
        <is>
          <t>2.0mm</t>
        </is>
      </c>
      <c r="F617" s="2" t="n">
        <v>12</v>
      </c>
      <c r="G617" s="2" t="n">
        <v>20</v>
      </c>
      <c r="H617" s="2" t="inlineStr">
        <is>
          <t>LC/PC</t>
        </is>
      </c>
      <c r="I617" s="2" t="inlineStr">
        <is>
          <t>LC/PC</t>
        </is>
      </c>
      <c r="J617" s="2" t="n"/>
      <c r="K617" s="2" t="n"/>
      <c r="L617" s="2" t="n"/>
      <c r="M617" s="2" t="n"/>
      <c r="N617" s="2" t="n"/>
      <c r="O617" s="2" t="n">
        <v>20</v>
      </c>
      <c r="P617" s="2" t="n"/>
      <c r="Q617" s="2" t="n"/>
      <c r="R617" s="2" t="n"/>
      <c r="S617" s="2" t="n"/>
      <c r="T617" s="2" t="n"/>
      <c r="U617" s="2" t="n"/>
      <c r="V617" s="2">
        <f>SUM(J617:U617)*G617</f>
        <v/>
      </c>
      <c r="W617" s="2">
        <f>MAX(J617:U617)</f>
        <v/>
      </c>
      <c r="X617" s="2">
        <f>W617*G617</f>
        <v/>
      </c>
    </row>
    <row r="618">
      <c r="A618" s="2" t="inlineStr">
        <is>
          <t>14-M-018</t>
        </is>
      </c>
      <c r="B618" s="3" t="inlineStr">
        <is>
          <t>MOJC-SM-12C-LC/PC-LC/PC</t>
        </is>
      </c>
      <c r="C618" s="2" t="inlineStr">
        <is>
          <t>7M</t>
        </is>
      </c>
      <c r="D618" s="2" t="inlineStr">
        <is>
          <t>b3-12c</t>
        </is>
      </c>
      <c r="E618" s="2" t="inlineStr">
        <is>
          <t>2.0mm</t>
        </is>
      </c>
      <c r="F618" s="2" t="n">
        <v>12</v>
      </c>
      <c r="G618" s="2" t="n">
        <v>7</v>
      </c>
      <c r="H618" s="2" t="inlineStr">
        <is>
          <t>LC/PC</t>
        </is>
      </c>
      <c r="I618" s="2" t="inlineStr">
        <is>
          <t>LC/PC</t>
        </is>
      </c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>
        <v>8</v>
      </c>
      <c r="T618" s="2" t="n"/>
      <c r="U618" s="2" t="n"/>
      <c r="V618" s="2">
        <f>SUM(J618:U618)*G618</f>
        <v/>
      </c>
      <c r="W618" s="2">
        <f>MAX(J618:U618)</f>
        <v/>
      </c>
      <c r="X618" s="2">
        <f>W618*G618</f>
        <v/>
      </c>
    </row>
    <row r="619">
      <c r="A619" s="2" t="inlineStr">
        <is>
          <t>14-M-038</t>
        </is>
      </c>
      <c r="B619" s="3" t="inlineStr">
        <is>
          <t>MOJC-SM-12C-SC/PC-SC/APC</t>
        </is>
      </c>
      <c r="C619" s="2" t="inlineStr">
        <is>
          <t>12M</t>
        </is>
      </c>
      <c r="D619" s="2" t="inlineStr">
        <is>
          <t>b3-12c</t>
        </is>
      </c>
      <c r="E619" s="2" t="inlineStr">
        <is>
          <t>2.0mm</t>
        </is>
      </c>
      <c r="F619" s="2" t="n">
        <v>12</v>
      </c>
      <c r="G619" s="2" t="n">
        <v>12</v>
      </c>
      <c r="H619" s="2" t="inlineStr">
        <is>
          <t>SC/PC</t>
        </is>
      </c>
      <c r="I619" s="2" t="inlineStr">
        <is>
          <t>SC/APC</t>
        </is>
      </c>
      <c r="J619" s="2" t="n"/>
      <c r="K619" s="2" t="n"/>
      <c r="L619" s="2" t="n"/>
      <c r="M619" s="2" t="n"/>
      <c r="N619" s="2" t="n"/>
      <c r="O619" s="2" t="n">
        <v>24</v>
      </c>
      <c r="P619" s="2" t="n"/>
      <c r="Q619" s="2" t="n"/>
      <c r="R619" s="2" t="n"/>
      <c r="S619" s="2" t="n"/>
      <c r="T619" s="2" t="n"/>
      <c r="U619" s="2" t="n"/>
      <c r="V619" s="2">
        <f>SUM(J619:U619)*G619</f>
        <v/>
      </c>
      <c r="W619" s="2">
        <f>MAX(J619:U619)</f>
        <v/>
      </c>
      <c r="X619" s="2">
        <f>W619*G619</f>
        <v/>
      </c>
    </row>
    <row r="620">
      <c r="A620" s="2" t="inlineStr">
        <is>
          <t>14-M-039</t>
        </is>
      </c>
      <c r="B620" s="3" t="inlineStr">
        <is>
          <t>MOJC-SM-12C-SC/PC-SC/APC</t>
        </is>
      </c>
      <c r="C620" s="2" t="inlineStr">
        <is>
          <t>15M</t>
        </is>
      </c>
      <c r="D620" s="2" t="inlineStr">
        <is>
          <t>b3-12c</t>
        </is>
      </c>
      <c r="E620" s="2" t="inlineStr">
        <is>
          <t>2.0mm</t>
        </is>
      </c>
      <c r="F620" s="2" t="n">
        <v>12</v>
      </c>
      <c r="G620" s="2" t="n">
        <v>15</v>
      </c>
      <c r="H620" s="2" t="inlineStr">
        <is>
          <t>SC/PC</t>
        </is>
      </c>
      <c r="I620" s="2" t="inlineStr">
        <is>
          <t>SC/APC</t>
        </is>
      </c>
      <c r="J620" s="2" t="n"/>
      <c r="K620" s="2" t="n"/>
      <c r="L620" s="2" t="n"/>
      <c r="M620" s="2" t="n"/>
      <c r="N620" s="2" t="n"/>
      <c r="O620" s="2" t="n">
        <v>3</v>
      </c>
      <c r="P620" s="2" t="n"/>
      <c r="Q620" s="2" t="n"/>
      <c r="R620" s="2" t="n"/>
      <c r="S620" s="2" t="n"/>
      <c r="T620" s="2" t="n"/>
      <c r="U620" s="2" t="n"/>
      <c r="V620" s="2">
        <f>SUM(J620:U620)*G620</f>
        <v/>
      </c>
      <c r="W620" s="2">
        <f>MAX(J620:U620)</f>
        <v/>
      </c>
      <c r="X620" s="2">
        <f>W620*G620</f>
        <v/>
      </c>
    </row>
    <row r="621">
      <c r="A621" s="2" t="inlineStr">
        <is>
          <t>14-M-043</t>
        </is>
      </c>
      <c r="B621" s="3" t="inlineStr">
        <is>
          <t>MOJC-SM-12C-SC/PC-SC/PC</t>
        </is>
      </c>
      <c r="C621" s="2" t="inlineStr">
        <is>
          <t>10M</t>
        </is>
      </c>
      <c r="D621" s="2" t="inlineStr">
        <is>
          <t>b3-12c</t>
        </is>
      </c>
      <c r="E621" s="2" t="inlineStr">
        <is>
          <t>2.0mm</t>
        </is>
      </c>
      <c r="F621" s="2" t="n">
        <v>12</v>
      </c>
      <c r="G621" s="2" t="n">
        <v>10</v>
      </c>
      <c r="H621" s="2" t="inlineStr">
        <is>
          <t>SC/PC</t>
        </is>
      </c>
      <c r="I621" s="2" t="inlineStr">
        <is>
          <t>SC/PC</t>
        </is>
      </c>
      <c r="J621" s="2" t="n">
        <v>35</v>
      </c>
      <c r="K621" s="2" t="n">
        <v>50</v>
      </c>
      <c r="L621" s="2" t="n"/>
      <c r="M621" s="2" t="n"/>
      <c r="N621" s="2" t="n">
        <v>5</v>
      </c>
      <c r="O621" s="2" t="n">
        <v>15</v>
      </c>
      <c r="P621" s="2" t="n">
        <v>22</v>
      </c>
      <c r="Q621" s="2" t="n">
        <v>25</v>
      </c>
      <c r="R621" s="2" t="n"/>
      <c r="S621" s="2" t="n">
        <v>27</v>
      </c>
      <c r="T621" s="2" t="n"/>
      <c r="U621" s="2" t="n">
        <v>58</v>
      </c>
      <c r="V621" s="2">
        <f>SUM(J621:U621)*G621</f>
        <v/>
      </c>
      <c r="W621" s="2">
        <f>MAX(J621:U621)</f>
        <v/>
      </c>
      <c r="X621" s="2">
        <f>W621*G621</f>
        <v/>
      </c>
    </row>
    <row r="622">
      <c r="A622" s="2" t="inlineStr">
        <is>
          <t>14-M-044</t>
        </is>
      </c>
      <c r="B622" s="3" t="inlineStr">
        <is>
          <t>MOJC-SM-12C-SC/PC-SC/PC</t>
        </is>
      </c>
      <c r="C622" s="2" t="inlineStr">
        <is>
          <t>12M</t>
        </is>
      </c>
      <c r="D622" s="2" t="inlineStr">
        <is>
          <t>b3-12c</t>
        </is>
      </c>
      <c r="E622" s="2" t="inlineStr">
        <is>
          <t>2.0mm</t>
        </is>
      </c>
      <c r="F622" s="2" t="n">
        <v>12</v>
      </c>
      <c r="G622" s="2" t="n">
        <v>12</v>
      </c>
      <c r="H622" s="2" t="inlineStr">
        <is>
          <t>SC/PC</t>
        </is>
      </c>
      <c r="I622" s="2" t="inlineStr">
        <is>
          <t>SC/PC</t>
        </is>
      </c>
      <c r="J622" s="2" t="n"/>
      <c r="K622" s="2" t="n"/>
      <c r="L622" s="2" t="n">
        <v>20</v>
      </c>
      <c r="M622" s="2" t="n"/>
      <c r="N622" s="2" t="n">
        <v>43</v>
      </c>
      <c r="O622" s="2" t="n"/>
      <c r="P622" s="2" t="n"/>
      <c r="Q622" s="2" t="n">
        <v>3</v>
      </c>
      <c r="R622" s="2" t="n"/>
      <c r="S622" s="2" t="n"/>
      <c r="T622" s="2" t="n"/>
      <c r="U622" s="2" t="n"/>
      <c r="V622" s="2">
        <f>SUM(J622:U622)*G622</f>
        <v/>
      </c>
      <c r="W622" s="2">
        <f>MAX(J622:U622)</f>
        <v/>
      </c>
      <c r="X622" s="2">
        <f>W622*G622</f>
        <v/>
      </c>
    </row>
    <row r="623">
      <c r="A623" s="2" t="inlineStr">
        <is>
          <t>14-M-045</t>
        </is>
      </c>
      <c r="B623" s="3" t="inlineStr">
        <is>
          <t>MOJC-SM-12C-SC/PC-SC/PC</t>
        </is>
      </c>
      <c r="C623" s="2" t="inlineStr">
        <is>
          <t>15M</t>
        </is>
      </c>
      <c r="D623" s="2" t="inlineStr">
        <is>
          <t>b3-12c</t>
        </is>
      </c>
      <c r="E623" s="2" t="inlineStr">
        <is>
          <t>2.0mm</t>
        </is>
      </c>
      <c r="F623" s="2" t="n">
        <v>12</v>
      </c>
      <c r="G623" s="2" t="n">
        <v>15</v>
      </c>
      <c r="H623" s="2" t="inlineStr">
        <is>
          <t>SC/PC</t>
        </is>
      </c>
      <c r="I623" s="2" t="inlineStr">
        <is>
          <t>SC/PC</t>
        </is>
      </c>
      <c r="J623" s="2" t="n"/>
      <c r="K623" s="2" t="n"/>
      <c r="L623" s="2" t="n"/>
      <c r="M623" s="2" t="n"/>
      <c r="N623" s="2" t="n"/>
      <c r="O623" s="2" t="n"/>
      <c r="P623" s="2" t="n">
        <v>1</v>
      </c>
      <c r="Q623" s="2" t="n">
        <v>8</v>
      </c>
      <c r="R623" s="2" t="n"/>
      <c r="S623" s="2" t="n"/>
      <c r="T623" s="2" t="n"/>
      <c r="U623" s="2" t="n"/>
      <c r="V623" s="2">
        <f>SUM(J623:U623)*G623</f>
        <v/>
      </c>
      <c r="W623" s="2">
        <f>MAX(J623:U623)</f>
        <v/>
      </c>
      <c r="X623" s="2">
        <f>W623*G623</f>
        <v/>
      </c>
    </row>
    <row r="624">
      <c r="A624" s="2" t="inlineStr">
        <is>
          <t>14-M-048</t>
        </is>
      </c>
      <c r="B624" s="3" t="inlineStr">
        <is>
          <t>MOJC-SM-12C-SC/PC-SC/PC</t>
        </is>
      </c>
      <c r="C624" s="2" t="inlineStr">
        <is>
          <t>20M</t>
        </is>
      </c>
      <c r="D624" s="2" t="inlineStr">
        <is>
          <t>b3-12c</t>
        </is>
      </c>
      <c r="E624" s="2" t="inlineStr">
        <is>
          <t>2.0mm</t>
        </is>
      </c>
      <c r="F624" s="2" t="n">
        <v>12</v>
      </c>
      <c r="G624" s="2" t="n">
        <v>20</v>
      </c>
      <c r="H624" s="2" t="inlineStr">
        <is>
          <t>SC/PC</t>
        </is>
      </c>
      <c r="I624" s="2" t="inlineStr">
        <is>
          <t>SC/PC</t>
        </is>
      </c>
      <c r="J624" s="2" t="n"/>
      <c r="K624" s="2" t="n"/>
      <c r="L624" s="2" t="n"/>
      <c r="M624" s="2" t="n"/>
      <c r="N624" s="2" t="n"/>
      <c r="O624" s="2" t="n"/>
      <c r="P624" s="2" t="n"/>
      <c r="Q624" s="2" t="n">
        <v>3</v>
      </c>
      <c r="R624" s="2" t="n"/>
      <c r="S624" s="2" t="n"/>
      <c r="T624" s="2" t="n"/>
      <c r="U624" s="2" t="n"/>
      <c r="V624" s="2">
        <f>SUM(J624:U624)*G624</f>
        <v/>
      </c>
      <c r="W624" s="2">
        <f>MAX(J624:U624)</f>
        <v/>
      </c>
      <c r="X624" s="2">
        <f>W624*G624</f>
        <v/>
      </c>
    </row>
    <row r="625">
      <c r="A625" s="2" t="inlineStr">
        <is>
          <t>14-M-052</t>
        </is>
      </c>
      <c r="B625" s="3" t="inlineStr">
        <is>
          <t>MOJC-SM-12C-SC/PC-SC/PC</t>
        </is>
      </c>
      <c r="C625" s="2" t="inlineStr">
        <is>
          <t>5M</t>
        </is>
      </c>
      <c r="D625" s="2" t="inlineStr">
        <is>
          <t>b3-12c</t>
        </is>
      </c>
      <c r="E625" s="2" t="inlineStr">
        <is>
          <t>2.0mm</t>
        </is>
      </c>
      <c r="F625" s="2" t="n">
        <v>12</v>
      </c>
      <c r="G625" s="2" t="n">
        <v>5</v>
      </c>
      <c r="H625" s="2" t="inlineStr">
        <is>
          <t>SC/PC</t>
        </is>
      </c>
      <c r="I625" s="2" t="inlineStr">
        <is>
          <t>SC/PC</t>
        </is>
      </c>
      <c r="J625" s="2" t="n"/>
      <c r="K625" s="2" t="n">
        <v>64</v>
      </c>
      <c r="L625" s="2" t="n"/>
      <c r="M625" s="2" t="n"/>
      <c r="N625" s="2" t="n"/>
      <c r="O625" s="2" t="n"/>
      <c r="P625" s="2" t="n"/>
      <c r="Q625" s="2" t="n">
        <v>22</v>
      </c>
      <c r="R625" s="2" t="n"/>
      <c r="S625" s="2" t="n"/>
      <c r="T625" s="2" t="n"/>
      <c r="U625" s="2" t="n"/>
      <c r="V625" s="2">
        <f>SUM(J625:U625)*G625</f>
        <v/>
      </c>
      <c r="W625" s="2">
        <f>MAX(J625:U625)</f>
        <v/>
      </c>
      <c r="X625" s="2">
        <f>W625*G625</f>
        <v/>
      </c>
    </row>
    <row r="626">
      <c r="A626" s="2" t="inlineStr">
        <is>
          <t>14-M-053</t>
        </is>
      </c>
      <c r="B626" s="3" t="inlineStr">
        <is>
          <t>MOJC-SM-12C-SC/PC-SC/PC</t>
        </is>
      </c>
      <c r="C626" s="2" t="inlineStr">
        <is>
          <t>7M</t>
        </is>
      </c>
      <c r="D626" s="2" t="inlineStr">
        <is>
          <t>b3-12c</t>
        </is>
      </c>
      <c r="E626" s="2" t="inlineStr">
        <is>
          <t>2.0mm</t>
        </is>
      </c>
      <c r="F626" s="2" t="n">
        <v>12</v>
      </c>
      <c r="G626" s="2" t="n">
        <v>7</v>
      </c>
      <c r="H626" s="2" t="inlineStr">
        <is>
          <t>SC/PC</t>
        </is>
      </c>
      <c r="I626" s="2" t="inlineStr">
        <is>
          <t>SC/PC</t>
        </is>
      </c>
      <c r="J626" s="2" t="n">
        <v>20</v>
      </c>
      <c r="K626" s="2" t="n"/>
      <c r="L626" s="2" t="n"/>
      <c r="M626" s="2" t="n"/>
      <c r="N626" s="2" t="n"/>
      <c r="O626" s="2" t="n">
        <v>58</v>
      </c>
      <c r="P626" s="2" t="n"/>
      <c r="Q626" s="2" t="n"/>
      <c r="R626" s="2" t="n"/>
      <c r="S626" s="2" t="n"/>
      <c r="T626" s="2" t="n"/>
      <c r="U626" s="2" t="n"/>
      <c r="V626" s="2">
        <f>SUM(J626:U626)*G626</f>
        <v/>
      </c>
      <c r="W626" s="2">
        <f>MAX(J626:U626)</f>
        <v/>
      </c>
      <c r="X626" s="2">
        <f>W626*G626</f>
        <v/>
      </c>
    </row>
    <row r="627">
      <c r="A627" s="2" t="inlineStr">
        <is>
          <t>14-M-054</t>
        </is>
      </c>
      <c r="B627" s="3" t="inlineStr">
        <is>
          <t>MOJC-SM-12C-SC/PC-SC/PC</t>
        </is>
      </c>
      <c r="C627" s="2" t="inlineStr">
        <is>
          <t>8M</t>
        </is>
      </c>
      <c r="D627" s="2" t="inlineStr">
        <is>
          <t>b3-12c</t>
        </is>
      </c>
      <c r="E627" s="2" t="inlineStr">
        <is>
          <t>2.0mm</t>
        </is>
      </c>
      <c r="F627" s="2" t="n">
        <v>12</v>
      </c>
      <c r="G627" s="2" t="n">
        <v>8</v>
      </c>
      <c r="H627" s="2" t="inlineStr">
        <is>
          <t>SC/PC</t>
        </is>
      </c>
      <c r="I627" s="2" t="inlineStr">
        <is>
          <t>SC/PC</t>
        </is>
      </c>
      <c r="J627" s="2" t="n"/>
      <c r="K627" s="2" t="n"/>
      <c r="L627" s="2" t="n"/>
      <c r="M627" s="2" t="n"/>
      <c r="N627" s="2" t="n">
        <v>109</v>
      </c>
      <c r="O627" s="2" t="n"/>
      <c r="P627" s="2" t="n"/>
      <c r="Q627" s="2" t="n">
        <v>21</v>
      </c>
      <c r="R627" s="2" t="n"/>
      <c r="S627" s="2" t="n"/>
      <c r="T627" s="2" t="n"/>
      <c r="U627" s="2" t="n">
        <v>90</v>
      </c>
      <c r="V627" s="2">
        <f>SUM(J627:U627)*G627</f>
        <v/>
      </c>
      <c r="W627" s="2">
        <f>MAX(J627:U627)</f>
        <v/>
      </c>
      <c r="X627" s="2">
        <f>W627*G627</f>
        <v/>
      </c>
    </row>
    <row r="628">
      <c r="A628" s="2" t="inlineStr">
        <is>
          <t>14-M-077</t>
        </is>
      </c>
      <c r="B628" s="3" t="inlineStr">
        <is>
          <t>MOJC-SM-6C-SC/PC-SC/PC</t>
        </is>
      </c>
      <c r="C628" s="2" t="inlineStr">
        <is>
          <t>10M</t>
        </is>
      </c>
      <c r="D628" s="2" t="inlineStr">
        <is>
          <t>b3-6c</t>
        </is>
      </c>
      <c r="E628" s="2" t="inlineStr">
        <is>
          <t>2.0mm</t>
        </is>
      </c>
      <c r="F628" s="2" t="n">
        <v>6</v>
      </c>
      <c r="G628" s="2" t="n">
        <v>10</v>
      </c>
      <c r="H628" s="2" t="inlineStr">
        <is>
          <t>SC/PC</t>
        </is>
      </c>
      <c r="I628" s="2" t="inlineStr">
        <is>
          <t>SC/PC</t>
        </is>
      </c>
      <c r="J628" s="2" t="n">
        <v>32</v>
      </c>
      <c r="K628" s="2" t="n"/>
      <c r="L628" s="2" t="n"/>
      <c r="M628" s="2" t="n">
        <v>10</v>
      </c>
      <c r="N628" s="2" t="n"/>
      <c r="O628" s="2" t="n"/>
      <c r="P628" s="2" t="n"/>
      <c r="Q628" s="2" t="n">
        <v>25</v>
      </c>
      <c r="R628" s="2" t="n"/>
      <c r="S628" s="2" t="n"/>
      <c r="T628" s="2" t="n"/>
      <c r="U628" s="2" t="n">
        <v>20</v>
      </c>
      <c r="V628" s="2">
        <f>SUM(J628:U628)*G628</f>
        <v/>
      </c>
      <c r="W628" s="2">
        <f>MAX(J628:U628)</f>
        <v/>
      </c>
      <c r="X628" s="2">
        <f>W628*G628</f>
        <v/>
      </c>
    </row>
    <row r="629">
      <c r="A629" s="2" t="inlineStr">
        <is>
          <t>14-M-078</t>
        </is>
      </c>
      <c r="B629" s="3" t="inlineStr">
        <is>
          <t>MOJC-SM-6C-SC/PC-SC/PC</t>
        </is>
      </c>
      <c r="C629" s="2" t="inlineStr">
        <is>
          <t>12M</t>
        </is>
      </c>
      <c r="D629" s="2" t="inlineStr">
        <is>
          <t>b3-6c</t>
        </is>
      </c>
      <c r="E629" s="2" t="inlineStr">
        <is>
          <t>2.0mm</t>
        </is>
      </c>
      <c r="F629" s="2" t="n">
        <v>6</v>
      </c>
      <c r="G629" s="2" t="n">
        <v>12</v>
      </c>
      <c r="H629" s="2" t="inlineStr">
        <is>
          <t>SC/PC</t>
        </is>
      </c>
      <c r="I629" s="2" t="inlineStr">
        <is>
          <t>SC/PC</t>
        </is>
      </c>
      <c r="J629" s="2" t="n"/>
      <c r="K629" s="2" t="n"/>
      <c r="L629" s="2" t="n"/>
      <c r="M629" s="2" t="n"/>
      <c r="N629" s="2" t="n">
        <v>15</v>
      </c>
      <c r="O629" s="2" t="n"/>
      <c r="P629" s="2" t="n"/>
      <c r="Q629" s="2" t="n"/>
      <c r="R629" s="2" t="n"/>
      <c r="S629" s="2" t="n"/>
      <c r="T629" s="2" t="n"/>
      <c r="U629" s="2" t="n"/>
      <c r="V629" s="2">
        <f>SUM(J629:U629)*G629</f>
        <v/>
      </c>
      <c r="W629" s="2">
        <f>MAX(J629:U629)</f>
        <v/>
      </c>
      <c r="X629" s="2">
        <f>W629*G629</f>
        <v/>
      </c>
    </row>
    <row r="630">
      <c r="A630" s="2" t="inlineStr">
        <is>
          <t>14-M-079</t>
        </is>
      </c>
      <c r="B630" s="3" t="inlineStr">
        <is>
          <t>MOJC-SM-6C-SC/PC-SC/PC</t>
        </is>
      </c>
      <c r="C630" s="2" t="inlineStr">
        <is>
          <t>15M</t>
        </is>
      </c>
      <c r="D630" s="2" t="inlineStr">
        <is>
          <t>b3-6c</t>
        </is>
      </c>
      <c r="E630" s="2" t="inlineStr">
        <is>
          <t>2.0mm</t>
        </is>
      </c>
      <c r="F630" s="2" t="n">
        <v>6</v>
      </c>
      <c r="G630" s="2" t="n">
        <v>15</v>
      </c>
      <c r="H630" s="2" t="inlineStr">
        <is>
          <t>SC/PC</t>
        </is>
      </c>
      <c r="I630" s="2" t="inlineStr">
        <is>
          <t>SC/PC</t>
        </is>
      </c>
      <c r="J630" s="2" t="n">
        <v>5</v>
      </c>
      <c r="K630" s="2" t="n"/>
      <c r="L630" s="2" t="n">
        <v>1</v>
      </c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>
        <v>10</v>
      </c>
      <c r="V630" s="2">
        <f>SUM(J630:U630)*G630</f>
        <v/>
      </c>
      <c r="W630" s="2">
        <f>MAX(J630:U630)</f>
        <v/>
      </c>
      <c r="X630" s="2">
        <f>W630*G630</f>
        <v/>
      </c>
    </row>
    <row r="631">
      <c r="A631" s="2" t="inlineStr">
        <is>
          <t>14-M-082</t>
        </is>
      </c>
      <c r="B631" s="3" t="inlineStr">
        <is>
          <t>MOJC-SM-6C-SC/PC-SC/PC</t>
        </is>
      </c>
      <c r="C631" s="2" t="inlineStr">
        <is>
          <t>20M</t>
        </is>
      </c>
      <c r="D631" s="2" t="inlineStr">
        <is>
          <t>b3-6c</t>
        </is>
      </c>
      <c r="E631" s="2" t="inlineStr">
        <is>
          <t>2.0mm</t>
        </is>
      </c>
      <c r="F631" s="2" t="n">
        <v>6</v>
      </c>
      <c r="G631" s="2" t="n">
        <v>20</v>
      </c>
      <c r="H631" s="2" t="inlineStr">
        <is>
          <t>SC/PC</t>
        </is>
      </c>
      <c r="I631" s="2" t="inlineStr">
        <is>
          <t>SC/PC</t>
        </is>
      </c>
      <c r="J631" s="2" t="n"/>
      <c r="K631" s="2" t="n"/>
      <c r="L631" s="2" t="n">
        <v>20</v>
      </c>
      <c r="M631" s="2" t="n"/>
      <c r="N631" s="2" t="n"/>
      <c r="O631" s="2" t="n"/>
      <c r="P631" s="2" t="n">
        <v>10</v>
      </c>
      <c r="Q631" s="2" t="n"/>
      <c r="R631" s="2" t="n"/>
      <c r="S631" s="2" t="n"/>
      <c r="T631" s="2" t="n"/>
      <c r="U631" s="2" t="n"/>
      <c r="V631" s="2">
        <f>SUM(J631:U631)*G631</f>
        <v/>
      </c>
      <c r="W631" s="2">
        <f>MAX(J631:U631)</f>
        <v/>
      </c>
      <c r="X631" s="2">
        <f>W631*G631</f>
        <v/>
      </c>
    </row>
    <row r="632">
      <c r="A632" s="2" t="inlineStr">
        <is>
          <t>14-M-084</t>
        </is>
      </c>
      <c r="B632" s="3" t="inlineStr">
        <is>
          <t>MOJC-SM-6C-SC/PC-SC/PC</t>
        </is>
      </c>
      <c r="C632" s="2" t="inlineStr">
        <is>
          <t>5M</t>
        </is>
      </c>
      <c r="D632" s="2" t="inlineStr">
        <is>
          <t>b3-6c</t>
        </is>
      </c>
      <c r="E632" s="2" t="inlineStr">
        <is>
          <t>2.0mm</t>
        </is>
      </c>
      <c r="F632" s="2" t="n">
        <v>6</v>
      </c>
      <c r="G632" s="2" t="n">
        <v>5</v>
      </c>
      <c r="H632" s="2" t="inlineStr">
        <is>
          <t>SC/PC</t>
        </is>
      </c>
      <c r="I632" s="2" t="inlineStr">
        <is>
          <t>SC/PC</t>
        </is>
      </c>
      <c r="J632" s="2" t="n"/>
      <c r="K632" s="2" t="n">
        <v>57</v>
      </c>
      <c r="L632" s="2" t="n"/>
      <c r="M632" s="2" t="n"/>
      <c r="N632" s="2" t="n"/>
      <c r="O632" s="2" t="n"/>
      <c r="P632" s="2" t="n">
        <v>2</v>
      </c>
      <c r="Q632" s="2" t="n"/>
      <c r="R632" s="2" t="n"/>
      <c r="S632" s="2" t="n"/>
      <c r="T632" s="2" t="n"/>
      <c r="U632" s="2" t="n"/>
      <c r="V632" s="2">
        <f>SUM(J632:U632)*G632</f>
        <v/>
      </c>
      <c r="W632" s="2">
        <f>MAX(J632:U632)</f>
        <v/>
      </c>
      <c r="X632" s="2">
        <f>W632*G632</f>
        <v/>
      </c>
    </row>
    <row r="633">
      <c r="A633" s="2" t="inlineStr">
        <is>
          <t>14-M-085</t>
        </is>
      </c>
      <c r="B633" s="3" t="inlineStr">
        <is>
          <t>MOJC-SM-6C-SC/PC-SC/PC</t>
        </is>
      </c>
      <c r="C633" s="2" t="inlineStr">
        <is>
          <t>7M</t>
        </is>
      </c>
      <c r="D633" s="2" t="inlineStr">
        <is>
          <t>b3-6c</t>
        </is>
      </c>
      <c r="E633" s="2" t="inlineStr">
        <is>
          <t>2.0mm</t>
        </is>
      </c>
      <c r="F633" s="2" t="n">
        <v>6</v>
      </c>
      <c r="G633" s="2" t="n">
        <v>7</v>
      </c>
      <c r="H633" s="2" t="inlineStr">
        <is>
          <t>SC/PC</t>
        </is>
      </c>
      <c r="I633" s="2" t="inlineStr">
        <is>
          <t>SC/PC</t>
        </is>
      </c>
      <c r="J633" s="2" t="n">
        <v>22</v>
      </c>
      <c r="K633" s="2" t="n"/>
      <c r="L633" s="2" t="n">
        <v>5</v>
      </c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>
        <f>SUM(J633:U633)*G633</f>
        <v/>
      </c>
      <c r="W633" s="2">
        <f>MAX(J633:U633)</f>
        <v/>
      </c>
      <c r="X633" s="2">
        <f>W633*G633</f>
        <v/>
      </c>
    </row>
    <row r="634">
      <c r="A634" s="2" t="inlineStr">
        <is>
          <t>14-M-093</t>
        </is>
      </c>
      <c r="B634" s="3" t="inlineStr">
        <is>
          <t>MOJC-SM-6C-SC/PC-SC/PC</t>
        </is>
      </c>
      <c r="C634" s="2" t="inlineStr">
        <is>
          <t>8M</t>
        </is>
      </c>
      <c r="D634" s="2" t="inlineStr">
        <is>
          <t>b3-6c</t>
        </is>
      </c>
      <c r="E634" s="2" t="inlineStr">
        <is>
          <t>2.0mm</t>
        </is>
      </c>
      <c r="F634" s="2" t="n">
        <v>6</v>
      </c>
      <c r="G634" s="2" t="n">
        <v>8</v>
      </c>
      <c r="H634" s="2" t="inlineStr">
        <is>
          <t>SC/PC</t>
        </is>
      </c>
      <c r="I634" s="2" t="inlineStr">
        <is>
          <t>SC/PC</t>
        </is>
      </c>
      <c r="J634" s="2" t="n"/>
      <c r="K634" s="2" t="n"/>
      <c r="L634" s="2" t="n"/>
      <c r="M634" s="2" t="n"/>
      <c r="N634" s="2" t="n">
        <v>74</v>
      </c>
      <c r="O634" s="2" t="n"/>
      <c r="P634" s="2" t="n"/>
      <c r="Q634" s="2" t="n"/>
      <c r="R634" s="2" t="n"/>
      <c r="S634" s="2" t="n"/>
      <c r="T634" s="2" t="n"/>
      <c r="U634" s="2" t="n"/>
      <c r="V634" s="2">
        <f>SUM(J634:U634)*G634</f>
        <v/>
      </c>
      <c r="W634" s="2">
        <f>MAX(J634:U634)</f>
        <v/>
      </c>
      <c r="X634" s="2">
        <f>W634*G634</f>
        <v/>
      </c>
    </row>
    <row r="635">
      <c r="A635" s="2" t="inlineStr">
        <is>
          <t>14-M-096</t>
        </is>
      </c>
      <c r="B635" s="3" t="inlineStr">
        <is>
          <t>MOJC-SM-12C-SC/PC-SC/APC</t>
        </is>
      </c>
      <c r="C635" s="2" t="inlineStr">
        <is>
          <t>8M</t>
        </is>
      </c>
      <c r="D635" s="2" t="inlineStr">
        <is>
          <t>b3-12c</t>
        </is>
      </c>
      <c r="E635" s="2" t="inlineStr">
        <is>
          <t>2.0mm</t>
        </is>
      </c>
      <c r="F635" s="2" t="n">
        <v>12</v>
      </c>
      <c r="G635" s="2" t="n">
        <v>8</v>
      </c>
      <c r="H635" s="2" t="inlineStr">
        <is>
          <t>SC/PC</t>
        </is>
      </c>
      <c r="I635" s="2" t="inlineStr">
        <is>
          <t>SC/APC</t>
        </is>
      </c>
      <c r="J635" s="2" t="n"/>
      <c r="K635" s="2" t="n"/>
      <c r="L635" s="2" t="n"/>
      <c r="M635" s="2" t="n"/>
      <c r="N635" s="2" t="n"/>
      <c r="O635" s="2" t="n">
        <v>54</v>
      </c>
      <c r="P635" s="2" t="n"/>
      <c r="Q635" s="2" t="n"/>
      <c r="R635" s="2" t="n"/>
      <c r="S635" s="2" t="n"/>
      <c r="T635" s="2" t="n"/>
      <c r="U635" s="2" t="n"/>
      <c r="V635" s="2">
        <f>SUM(J635:U635)*G635</f>
        <v/>
      </c>
      <c r="W635" s="2">
        <f>MAX(J635:U635)</f>
        <v/>
      </c>
      <c r="X635" s="2">
        <f>W635*G635</f>
        <v/>
      </c>
    </row>
    <row r="636">
      <c r="A636" s="2" t="inlineStr">
        <is>
          <t>14-M-102</t>
        </is>
      </c>
      <c r="B636" s="3" t="inlineStr">
        <is>
          <t>MOJC-SM-12C-SC/PC-SC/PC</t>
        </is>
      </c>
      <c r="C636" s="2" t="inlineStr">
        <is>
          <t>6M</t>
        </is>
      </c>
      <c r="D636" s="2" t="inlineStr">
        <is>
          <t>b3-12c</t>
        </is>
      </c>
      <c r="E636" s="2" t="inlineStr">
        <is>
          <t>2.0mm</t>
        </is>
      </c>
      <c r="F636" s="2" t="n">
        <v>12</v>
      </c>
      <c r="G636" s="2" t="n">
        <v>6</v>
      </c>
      <c r="H636" s="2" t="inlineStr">
        <is>
          <t>SC/PC</t>
        </is>
      </c>
      <c r="I636" s="2" t="inlineStr">
        <is>
          <t>SC/PC</t>
        </is>
      </c>
      <c r="J636" s="2" t="n"/>
      <c r="K636" s="2" t="n"/>
      <c r="L636" s="2" t="n"/>
      <c r="M636" s="2" t="n"/>
      <c r="N636" s="2" t="n"/>
      <c r="O636" s="2" t="n"/>
      <c r="P636" s="2" t="n">
        <v>71</v>
      </c>
      <c r="Q636" s="2" t="n"/>
      <c r="R636" s="2" t="n"/>
      <c r="S636" s="2" t="n"/>
      <c r="T636" s="2" t="n"/>
      <c r="U636" s="2" t="n"/>
      <c r="V636" s="2">
        <f>SUM(J636:U636)*G636</f>
        <v/>
      </c>
      <c r="W636" s="2">
        <f>MAX(J636:U636)</f>
        <v/>
      </c>
      <c r="X636" s="2">
        <f>W636*G636</f>
        <v/>
      </c>
    </row>
    <row r="637">
      <c r="A637" s="2" t="inlineStr">
        <is>
          <t>14-M-1024</t>
        </is>
      </c>
      <c r="B637" s="3" t="inlineStr">
        <is>
          <t>MOJC-SM-6C-SC/APC-SC/APC</t>
        </is>
      </c>
      <c r="C637" s="2" t="inlineStr">
        <is>
          <t>4M</t>
        </is>
      </c>
      <c r="D637" s="2" t="inlineStr">
        <is>
          <t>b3-6c</t>
        </is>
      </c>
      <c r="E637" s="2" t="inlineStr">
        <is>
          <t>2.0mm</t>
        </is>
      </c>
      <c r="F637" s="2" t="n">
        <v>6</v>
      </c>
      <c r="G637" s="2" t="n">
        <v>4</v>
      </c>
      <c r="H637" s="2" t="inlineStr">
        <is>
          <t>SC/APC</t>
        </is>
      </c>
      <c r="I637" s="2" t="inlineStr">
        <is>
          <t>SC/APC</t>
        </is>
      </c>
      <c r="J637" s="2" t="n"/>
      <c r="K637" s="2" t="n"/>
      <c r="L637" s="2" t="n"/>
      <c r="M637" s="2" t="n"/>
      <c r="N637" s="2" t="n"/>
      <c r="O637" s="2" t="n"/>
      <c r="P637" s="2" t="n">
        <v>1</v>
      </c>
      <c r="Q637" s="2" t="n"/>
      <c r="R637" s="2" t="n"/>
      <c r="S637" s="2" t="n"/>
      <c r="T637" s="2" t="n"/>
      <c r="U637" s="2" t="n"/>
      <c r="V637" s="2">
        <f>SUM(J637:U637)*G637</f>
        <v/>
      </c>
      <c r="W637" s="2">
        <f>MAX(J637:U637)</f>
        <v/>
      </c>
      <c r="X637" s="2">
        <f>W637*G637</f>
        <v/>
      </c>
    </row>
    <row r="638">
      <c r="A638" s="2" t="inlineStr">
        <is>
          <t>14-M-1026</t>
        </is>
      </c>
      <c r="B638" s="3" t="inlineStr">
        <is>
          <t>MOJC-SM-6C-SC/APC-SC/APC</t>
        </is>
      </c>
      <c r="C638" s="2" t="inlineStr">
        <is>
          <t>6M</t>
        </is>
      </c>
      <c r="D638" s="2" t="inlineStr">
        <is>
          <t>b3-6c</t>
        </is>
      </c>
      <c r="E638" s="2" t="inlineStr">
        <is>
          <t>2.0mm</t>
        </is>
      </c>
      <c r="F638" s="2" t="n">
        <v>6</v>
      </c>
      <c r="G638" s="2" t="n">
        <v>6</v>
      </c>
      <c r="H638" s="2" t="inlineStr">
        <is>
          <t>SC/APC</t>
        </is>
      </c>
      <c r="I638" s="2" t="inlineStr">
        <is>
          <t>SC/APC</t>
        </is>
      </c>
      <c r="J638" s="2" t="n"/>
      <c r="K638" s="2" t="n"/>
      <c r="L638" s="2" t="n"/>
      <c r="M638" s="2" t="n"/>
      <c r="N638" s="2" t="n"/>
      <c r="O638" s="2" t="n"/>
      <c r="P638" s="2" t="n">
        <v>12</v>
      </c>
      <c r="Q638" s="2" t="n"/>
      <c r="R638" s="2" t="n"/>
      <c r="S638" s="2" t="n"/>
      <c r="T638" s="2" t="n"/>
      <c r="U638" s="2" t="n"/>
      <c r="V638" s="2">
        <f>SUM(J638:U638)*G638</f>
        <v/>
      </c>
      <c r="W638" s="2">
        <f>MAX(J638:U638)</f>
        <v/>
      </c>
      <c r="X638" s="2">
        <f>W638*G638</f>
        <v/>
      </c>
    </row>
    <row r="639">
      <c r="A639" s="2" t="inlineStr">
        <is>
          <t>14-M-1030</t>
        </is>
      </c>
      <c r="B639" s="3" t="inlineStr">
        <is>
          <t>MOJC-SM-6C-SC/APC-SC/APC</t>
        </is>
      </c>
      <c r="C639" s="2" t="inlineStr">
        <is>
          <t>10M</t>
        </is>
      </c>
      <c r="D639" s="2" t="inlineStr">
        <is>
          <t>b3-6c</t>
        </is>
      </c>
      <c r="E639" s="2" t="inlineStr">
        <is>
          <t>2.0mm</t>
        </is>
      </c>
      <c r="F639" s="2" t="n">
        <v>6</v>
      </c>
      <c r="G639" s="2" t="n">
        <v>10</v>
      </c>
      <c r="H639" s="2" t="inlineStr">
        <is>
          <t>SC/APC</t>
        </is>
      </c>
      <c r="I639" s="2" t="inlineStr">
        <is>
          <t>SC/APC</t>
        </is>
      </c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>
        <v>9</v>
      </c>
      <c r="V639" s="2">
        <f>SUM(J639:U639)*G639</f>
        <v/>
      </c>
      <c r="W639" s="2">
        <f>MAX(J639:U639)</f>
        <v/>
      </c>
      <c r="X639" s="2">
        <f>W639*G639</f>
        <v/>
      </c>
    </row>
    <row r="640">
      <c r="A640" s="2" t="inlineStr">
        <is>
          <t>14-M-1035</t>
        </is>
      </c>
      <c r="B640" s="3" t="inlineStr">
        <is>
          <t>MOJC-SM-6C-SC/APC-SC/APC</t>
        </is>
      </c>
      <c r="C640" s="2" t="inlineStr">
        <is>
          <t>15M</t>
        </is>
      </c>
      <c r="D640" s="2" t="inlineStr">
        <is>
          <t>b3-6c</t>
        </is>
      </c>
      <c r="E640" s="2" t="inlineStr">
        <is>
          <t>2.0mm</t>
        </is>
      </c>
      <c r="F640" s="2" t="n">
        <v>6</v>
      </c>
      <c r="G640" s="2" t="n">
        <v>15</v>
      </c>
      <c r="H640" s="2" t="inlineStr">
        <is>
          <t>SC/APC</t>
        </is>
      </c>
      <c r="I640" s="2" t="inlineStr">
        <is>
          <t>SC/APC</t>
        </is>
      </c>
      <c r="J640" s="2" t="n">
        <v>10</v>
      </c>
      <c r="K640" s="2" t="n"/>
      <c r="L640" s="2" t="n"/>
      <c r="M640" s="2" t="n">
        <v>10</v>
      </c>
      <c r="N640" s="2" t="n">
        <v>3</v>
      </c>
      <c r="O640" s="2" t="n"/>
      <c r="P640" s="2" t="n"/>
      <c r="Q640" s="2" t="n"/>
      <c r="R640" s="2" t="n"/>
      <c r="S640" s="2" t="n"/>
      <c r="T640" s="2" t="n"/>
      <c r="U640" s="2" t="n"/>
      <c r="V640" s="2">
        <f>SUM(J640:U640)*G640</f>
        <v/>
      </c>
      <c r="W640" s="2">
        <f>MAX(J640:U640)</f>
        <v/>
      </c>
      <c r="X640" s="2">
        <f>W640*G640</f>
        <v/>
      </c>
    </row>
    <row r="641">
      <c r="A641" s="2" t="inlineStr">
        <is>
          <t>14-M-1113</t>
        </is>
      </c>
      <c r="B641" s="3" t="inlineStr">
        <is>
          <t>MOJC-SM-6C-SC/PC-SC/APC</t>
        </is>
      </c>
      <c r="C641" s="2" t="inlineStr">
        <is>
          <t>10M</t>
        </is>
      </c>
      <c r="D641" s="2" t="inlineStr">
        <is>
          <t>b3-6c</t>
        </is>
      </c>
      <c r="E641" s="2" t="inlineStr">
        <is>
          <t>2.0mm</t>
        </is>
      </c>
      <c r="F641" s="2" t="n">
        <v>6</v>
      </c>
      <c r="G641" s="2" t="n">
        <v>10</v>
      </c>
      <c r="H641" s="2" t="inlineStr">
        <is>
          <t>SC/PC</t>
        </is>
      </c>
      <c r="I641" s="2" t="inlineStr">
        <is>
          <t>SC/APC</t>
        </is>
      </c>
      <c r="J641" s="2" t="n">
        <v>1</v>
      </c>
      <c r="K641" s="2" t="n">
        <v>1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>
        <f>SUM(J641:U641)*G641</f>
        <v/>
      </c>
      <c r="W641" s="2">
        <f>MAX(J641:U641)</f>
        <v/>
      </c>
      <c r="X641" s="2">
        <f>W641*G641</f>
        <v/>
      </c>
    </row>
    <row r="642">
      <c r="A642" s="2" t="inlineStr">
        <is>
          <t>14-M-1142</t>
        </is>
      </c>
      <c r="B642" s="3" t="inlineStr">
        <is>
          <t>MOJC-SM-6C-SC/PC-SC/PC</t>
        </is>
      </c>
      <c r="C642" s="2" t="inlineStr">
        <is>
          <t>25M</t>
        </is>
      </c>
      <c r="D642" s="2" t="inlineStr">
        <is>
          <t>b3-6c</t>
        </is>
      </c>
      <c r="E642" s="2" t="inlineStr">
        <is>
          <t>2.0mm</t>
        </is>
      </c>
      <c r="F642" s="2" t="n">
        <v>6</v>
      </c>
      <c r="G642" s="2" t="n">
        <v>25</v>
      </c>
      <c r="H642" s="2" t="inlineStr">
        <is>
          <t>SC/PC</t>
        </is>
      </c>
      <c r="I642" s="2" t="inlineStr">
        <is>
          <t>SC/PC</t>
        </is>
      </c>
      <c r="J642" s="2" t="n"/>
      <c r="K642" s="2" t="n"/>
      <c r="L642" s="2" t="n"/>
      <c r="M642" s="2" t="n"/>
      <c r="N642" s="2" t="n"/>
      <c r="O642" s="2" t="n"/>
      <c r="P642" s="2" t="n">
        <v>10</v>
      </c>
      <c r="Q642" s="2" t="n"/>
      <c r="R642" s="2" t="n"/>
      <c r="S642" s="2" t="n"/>
      <c r="T642" s="2" t="n"/>
      <c r="U642" s="2" t="n"/>
      <c r="V642" s="2">
        <f>SUM(J642:U642)*G642</f>
        <v/>
      </c>
      <c r="W642" s="2">
        <f>MAX(J642:U642)</f>
        <v/>
      </c>
      <c r="X642" s="2">
        <f>W642*G642</f>
        <v/>
      </c>
    </row>
    <row r="643">
      <c r="A643" s="2" t="inlineStr">
        <is>
          <t>14-M-118</t>
        </is>
      </c>
      <c r="B643" s="3" t="inlineStr">
        <is>
          <t>MOJC-SM-6C-SC/PC-SC/PC</t>
        </is>
      </c>
      <c r="C643" s="2" t="inlineStr">
        <is>
          <t>4M</t>
        </is>
      </c>
      <c r="D643" s="2" t="inlineStr">
        <is>
          <t>b3-6c</t>
        </is>
      </c>
      <c r="E643" s="2" t="inlineStr">
        <is>
          <t>2.0mm</t>
        </is>
      </c>
      <c r="F643" s="2" t="n">
        <v>6</v>
      </c>
      <c r="G643" s="2" t="n">
        <v>4</v>
      </c>
      <c r="H643" s="2" t="inlineStr">
        <is>
          <t>SC/PC</t>
        </is>
      </c>
      <c r="I643" s="2" t="inlineStr">
        <is>
          <t>SC/PC</t>
        </is>
      </c>
      <c r="J643" s="2" t="n"/>
      <c r="K643" s="2" t="n"/>
      <c r="L643" s="2" t="n"/>
      <c r="M643" s="2" t="n"/>
      <c r="N643" s="2" t="n"/>
      <c r="O643" s="2" t="n"/>
      <c r="P643" s="2" t="n"/>
      <c r="Q643" s="2" t="n">
        <v>17</v>
      </c>
      <c r="R643" s="2" t="n">
        <v>52</v>
      </c>
      <c r="S643" s="2" t="n"/>
      <c r="T643" s="2" t="n"/>
      <c r="U643" s="2" t="n"/>
      <c r="V643" s="2">
        <f>SUM(J643:U643)*G643</f>
        <v/>
      </c>
      <c r="W643" s="2">
        <f>MAX(J643:U643)</f>
        <v/>
      </c>
      <c r="X643" s="2">
        <f>W643*G643</f>
        <v/>
      </c>
    </row>
    <row r="644">
      <c r="A644" s="2" t="inlineStr">
        <is>
          <t>14-M-119</t>
        </is>
      </c>
      <c r="B644" s="3" t="inlineStr">
        <is>
          <t>MOJC-SM-12C-SC/PC-SC/PC</t>
        </is>
      </c>
      <c r="C644" s="2" t="inlineStr">
        <is>
          <t>4M</t>
        </is>
      </c>
      <c r="D644" s="2" t="inlineStr">
        <is>
          <t>b3-12c</t>
        </is>
      </c>
      <c r="E644" s="2" t="inlineStr">
        <is>
          <t>2.0mm</t>
        </is>
      </c>
      <c r="F644" s="2" t="n">
        <v>12</v>
      </c>
      <c r="G644" s="2" t="n">
        <v>4</v>
      </c>
      <c r="H644" s="2" t="inlineStr">
        <is>
          <t>SC/PC</t>
        </is>
      </c>
      <c r="I644" s="2" t="inlineStr">
        <is>
          <t>SC/PC</t>
        </is>
      </c>
      <c r="J644" s="2" t="n"/>
      <c r="K644" s="2" t="n"/>
      <c r="L644" s="2" t="n"/>
      <c r="M644" s="2" t="n"/>
      <c r="N644" s="2" t="n"/>
      <c r="O644" s="2" t="n"/>
      <c r="P644" s="2" t="n"/>
      <c r="Q644" s="2" t="n">
        <v>52</v>
      </c>
      <c r="R644" s="2" t="n"/>
      <c r="S644" s="2" t="n"/>
      <c r="T644" s="2" t="n"/>
      <c r="U644" s="2" t="n"/>
      <c r="V644" s="2">
        <f>SUM(J644:U644)*G644</f>
        <v/>
      </c>
      <c r="W644" s="2">
        <f>MAX(J644:U644)</f>
        <v/>
      </c>
      <c r="X644" s="2">
        <f>W644*G644</f>
        <v/>
      </c>
    </row>
    <row r="645">
      <c r="A645" s="2" t="inlineStr">
        <is>
          <t>14-M-234</t>
        </is>
      </c>
      <c r="B645" s="3" t="inlineStr">
        <is>
          <t>MOJC-SM-12C-SC/PC-SC/PC</t>
        </is>
      </c>
      <c r="C645" s="2" t="inlineStr">
        <is>
          <t>3M</t>
        </is>
      </c>
      <c r="D645" s="2" t="inlineStr">
        <is>
          <t>b3-12c</t>
        </is>
      </c>
      <c r="E645" s="2" t="inlineStr">
        <is>
          <t>2.0mm</t>
        </is>
      </c>
      <c r="F645" s="2" t="n">
        <v>12</v>
      </c>
      <c r="G645" s="2" t="n">
        <v>3</v>
      </c>
      <c r="H645" s="2" t="inlineStr">
        <is>
          <t>SC/PC</t>
        </is>
      </c>
      <c r="I645" s="2" t="inlineStr">
        <is>
          <t>SC/PC</t>
        </is>
      </c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>
        <v>30</v>
      </c>
      <c r="S645" s="2" t="n"/>
      <c r="T645" s="2" t="n"/>
      <c r="U645" s="2" t="n"/>
      <c r="V645" s="2">
        <f>SUM(J645:U645)*G645</f>
        <v/>
      </c>
      <c r="W645" s="2">
        <f>MAX(J645:U645)</f>
        <v/>
      </c>
      <c r="X645" s="2">
        <f>W645*G645</f>
        <v/>
      </c>
    </row>
    <row r="646">
      <c r="A646" s="2" t="inlineStr">
        <is>
          <t>14-M-675</t>
        </is>
      </c>
      <c r="B646" s="3" t="inlineStr">
        <is>
          <t>MOJC-SM-12C-SC/PC-SC/APC</t>
        </is>
      </c>
      <c r="C646" s="2" t="inlineStr">
        <is>
          <t>10M</t>
        </is>
      </c>
      <c r="D646" s="2" t="inlineStr">
        <is>
          <t>b3-12c</t>
        </is>
      </c>
      <c r="E646" s="2" t="inlineStr">
        <is>
          <t>2.0mm</t>
        </is>
      </c>
      <c r="F646" s="2" t="n">
        <v>12</v>
      </c>
      <c r="G646" s="2" t="n">
        <v>10</v>
      </c>
      <c r="H646" s="2" t="inlineStr">
        <is>
          <t>SC/PC</t>
        </is>
      </c>
      <c r="I646" s="2" t="inlineStr">
        <is>
          <t>SC/APC</t>
        </is>
      </c>
      <c r="J646" s="2" t="n">
        <v>3</v>
      </c>
      <c r="K646" s="2" t="n">
        <v>3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>
        <f>SUM(J646:U646)*G646</f>
        <v/>
      </c>
      <c r="W646" s="2">
        <f>MAX(J646:U646)</f>
        <v/>
      </c>
      <c r="X646" s="2">
        <f>W646*G646</f>
        <v/>
      </c>
    </row>
    <row r="647">
      <c r="A647" s="2" t="inlineStr">
        <is>
          <t>14-M-844</t>
        </is>
      </c>
      <c r="B647" s="3" t="inlineStr">
        <is>
          <t>MOJC-SM-6C-LC/APC-SC/APC</t>
        </is>
      </c>
      <c r="C647" s="2" t="inlineStr">
        <is>
          <t>3M</t>
        </is>
      </c>
      <c r="D647" s="2" t="inlineStr">
        <is>
          <t>b3-6c</t>
        </is>
      </c>
      <c r="E647" s="2" t="inlineStr">
        <is>
          <t>2.0mm</t>
        </is>
      </c>
      <c r="F647" s="2" t="n">
        <v>6</v>
      </c>
      <c r="G647" s="2" t="n">
        <v>3</v>
      </c>
      <c r="H647" s="2" t="inlineStr">
        <is>
          <t>LC/APC</t>
        </is>
      </c>
      <c r="I647" s="2" t="inlineStr">
        <is>
          <t>SC/APC</t>
        </is>
      </c>
      <c r="J647" s="2" t="n">
        <v>5</v>
      </c>
      <c r="K647" s="2" t="n"/>
      <c r="L647" s="2" t="n"/>
      <c r="M647" s="2" t="n">
        <v>4</v>
      </c>
      <c r="N647" s="2" t="n">
        <v>2</v>
      </c>
      <c r="O647" s="2" t="n"/>
      <c r="P647" s="2" t="n">
        <v>4</v>
      </c>
      <c r="Q647" s="2" t="n"/>
      <c r="R647" s="2" t="n"/>
      <c r="S647" s="2" t="n"/>
      <c r="T647" s="2" t="n"/>
      <c r="U647" s="2" t="n"/>
      <c r="V647" s="2">
        <f>SUM(J647:U647)*G647</f>
        <v/>
      </c>
      <c r="W647" s="2">
        <f>MAX(J647:U647)</f>
        <v/>
      </c>
      <c r="X647" s="2">
        <f>W647*G647</f>
        <v/>
      </c>
    </row>
    <row r="648">
      <c r="A648" s="2" t="inlineStr">
        <is>
          <t>14-M-845</t>
        </is>
      </c>
      <c r="B648" s="3" t="inlineStr">
        <is>
          <t>MOJC-SM-6C-LC/APC-SC/APC</t>
        </is>
      </c>
      <c r="C648" s="2" t="inlineStr">
        <is>
          <t>4M</t>
        </is>
      </c>
      <c r="D648" s="2" t="inlineStr">
        <is>
          <t>b3-6c</t>
        </is>
      </c>
      <c r="E648" s="2" t="inlineStr">
        <is>
          <t>2.0mm</t>
        </is>
      </c>
      <c r="F648" s="2" t="n">
        <v>6</v>
      </c>
      <c r="G648" s="2" t="n">
        <v>4</v>
      </c>
      <c r="H648" s="2" t="inlineStr">
        <is>
          <t>LC/APC</t>
        </is>
      </c>
      <c r="I648" s="2" t="inlineStr">
        <is>
          <t>SC/APC</t>
        </is>
      </c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>
        <v>4</v>
      </c>
      <c r="V648" s="2">
        <f>SUM(J648:U648)*G648</f>
        <v/>
      </c>
      <c r="W648" s="2">
        <f>MAX(J648:U648)</f>
        <v/>
      </c>
      <c r="X648" s="2">
        <f>W648*G648</f>
        <v/>
      </c>
    </row>
    <row r="649">
      <c r="A649" s="2" t="inlineStr">
        <is>
          <t>14-M-A014</t>
        </is>
      </c>
      <c r="B649" s="3" t="inlineStr">
        <is>
          <t>MOJC-SM-24C-LC/PC-LC/PC</t>
        </is>
      </c>
      <c r="C649" s="2" t="inlineStr">
        <is>
          <t>15M</t>
        </is>
      </c>
      <c r="D649" s="2" t="inlineStr">
        <is>
          <t>b3-24c</t>
        </is>
      </c>
      <c r="E649" s="2" t="inlineStr">
        <is>
          <t>2.0mm</t>
        </is>
      </c>
      <c r="F649" s="2" t="n">
        <v>24</v>
      </c>
      <c r="G649" s="2" t="n">
        <v>15</v>
      </c>
      <c r="H649" s="2" t="inlineStr">
        <is>
          <t>LC/PC</t>
        </is>
      </c>
      <c r="I649" s="2" t="inlineStr">
        <is>
          <t>LC/PC</t>
        </is>
      </c>
      <c r="J649" s="2" t="n"/>
      <c r="K649" s="2" t="n">
        <v>6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>
        <f>SUM(J649:U649)*G649</f>
        <v/>
      </c>
      <c r="W649" s="2">
        <f>MAX(J649:U649)</f>
        <v/>
      </c>
      <c r="X649" s="2">
        <f>W649*G649</f>
        <v/>
      </c>
    </row>
    <row r="650">
      <c r="A650" s="2" t="inlineStr">
        <is>
          <t>14-M-A031</t>
        </is>
      </c>
      <c r="B650" s="3" t="inlineStr">
        <is>
          <t>MOJC-SM-12C-SC/PC-SC/PC</t>
        </is>
      </c>
      <c r="C650" s="2" t="inlineStr">
        <is>
          <t>10M, 분기부길이 1.5M</t>
        </is>
      </c>
      <c r="D650" s="2" t="inlineStr">
        <is>
          <t>b3-12c</t>
        </is>
      </c>
      <c r="E650" s="2" t="inlineStr">
        <is>
          <t>2.0mm</t>
        </is>
      </c>
      <c r="F650" s="2" t="n">
        <v>12</v>
      </c>
      <c r="G650" s="2" t="n">
        <v>10</v>
      </c>
      <c r="H650" s="2" t="inlineStr">
        <is>
          <t>SC/PC</t>
        </is>
      </c>
      <c r="I650" s="2" t="inlineStr">
        <is>
          <t>SC/PC</t>
        </is>
      </c>
      <c r="J650" s="2" t="n"/>
      <c r="K650" s="2" t="n">
        <v>4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>
        <f>SUM(J650:U650)*G650</f>
        <v/>
      </c>
      <c r="W650" s="2">
        <f>MAX(J650:U650)</f>
        <v/>
      </c>
      <c r="X650" s="2">
        <f>W650*G650</f>
        <v/>
      </c>
    </row>
    <row r="651">
      <c r="A651" s="2" t="inlineStr">
        <is>
          <t>14-M-A065</t>
        </is>
      </c>
      <c r="B651" s="3" t="inlineStr">
        <is>
          <t>MOJC-SM-12C-SC/PC-SC/PC</t>
        </is>
      </c>
      <c r="C651" s="2" t="inlineStr">
        <is>
          <t>12M, 분기부길이 1.5M</t>
        </is>
      </c>
      <c r="D651" s="2" t="inlineStr">
        <is>
          <t>b3-12c</t>
        </is>
      </c>
      <c r="E651" s="2" t="inlineStr">
        <is>
          <t>2.0mm</t>
        </is>
      </c>
      <c r="F651" s="2" t="n">
        <v>12</v>
      </c>
      <c r="G651" s="2" t="n">
        <v>12</v>
      </c>
      <c r="H651" s="2" t="inlineStr">
        <is>
          <t>SC/PC</t>
        </is>
      </c>
      <c r="I651" s="2" t="inlineStr">
        <is>
          <t>SC/PC</t>
        </is>
      </c>
      <c r="J651" s="2" t="n"/>
      <c r="K651" s="2" t="n">
        <v>4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>
        <f>SUM(J651:U651)*G651</f>
        <v/>
      </c>
      <c r="W651" s="2">
        <f>MAX(J651:U651)</f>
        <v/>
      </c>
      <c r="X651" s="2">
        <f>W651*G651</f>
        <v/>
      </c>
    </row>
    <row r="652">
      <c r="A652" s="2" t="inlineStr">
        <is>
          <t>14-M-A066</t>
        </is>
      </c>
      <c r="B652" s="3" t="inlineStr">
        <is>
          <t>MOJC-SM-16C-SC/PC-SC/PC</t>
        </is>
      </c>
      <c r="C652" s="2" t="inlineStr">
        <is>
          <t>3M</t>
        </is>
      </c>
      <c r="D652" s="2" t="inlineStr">
        <is>
          <t>b3-16c</t>
        </is>
      </c>
      <c r="E652" s="2" t="inlineStr">
        <is>
          <t>2.0mm</t>
        </is>
      </c>
      <c r="F652" s="2" t="n">
        <v>16</v>
      </c>
      <c r="G652" s="2" t="n">
        <v>3</v>
      </c>
      <c r="H652" s="2" t="inlineStr">
        <is>
          <t>SC/PC</t>
        </is>
      </c>
      <c r="I652" s="2" t="inlineStr">
        <is>
          <t>SC/PC</t>
        </is>
      </c>
      <c r="J652" s="2" t="n"/>
      <c r="K652" s="2" t="n">
        <v>41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>
        <f>SUM(J652:U652)*G652</f>
        <v/>
      </c>
      <c r="W652" s="2">
        <f>MAX(J652:U652)</f>
        <v/>
      </c>
      <c r="X652" s="2">
        <f>W652*G652</f>
        <v/>
      </c>
    </row>
    <row r="653">
      <c r="A653" s="2" t="inlineStr">
        <is>
          <t>14-M-A069</t>
        </is>
      </c>
      <c r="B653" s="3" t="inlineStr">
        <is>
          <t>MOJC-SM-6C-SC/APC-LC/APC</t>
        </is>
      </c>
      <c r="C653" s="2" t="inlineStr">
        <is>
          <t>3M</t>
        </is>
      </c>
      <c r="D653" s="2" t="inlineStr">
        <is>
          <t>b3-6c</t>
        </is>
      </c>
      <c r="E653" s="2" t="inlineStr">
        <is>
          <t>2.0mm</t>
        </is>
      </c>
      <c r="F653" s="2" t="n">
        <v>6</v>
      </c>
      <c r="G653" s="2" t="n">
        <v>3</v>
      </c>
      <c r="H653" s="2" t="inlineStr">
        <is>
          <t>SC/APC</t>
        </is>
      </c>
      <c r="I653" s="2" t="inlineStr">
        <is>
          <t>LC/APC</t>
        </is>
      </c>
      <c r="J653" s="2" t="n"/>
      <c r="K653" s="2" t="n"/>
      <c r="L653" s="2" t="n"/>
      <c r="M653" s="2" t="n"/>
      <c r="N653" s="2" t="n"/>
      <c r="O653" s="2" t="n"/>
      <c r="P653" s="2" t="n"/>
      <c r="Q653" s="2" t="n">
        <v>2</v>
      </c>
      <c r="R653" s="2" t="n"/>
      <c r="S653" s="2" t="n"/>
      <c r="T653" s="2" t="n"/>
      <c r="U653" s="2" t="n"/>
      <c r="V653" s="2">
        <f>SUM(J653:U653)*G653</f>
        <v/>
      </c>
      <c r="W653" s="2">
        <f>MAX(J653:U653)</f>
        <v/>
      </c>
      <c r="X653" s="2">
        <f>W653*G653</f>
        <v/>
      </c>
    </row>
    <row r="654">
      <c r="A654" s="2" t="inlineStr">
        <is>
          <t>14-M-A070</t>
        </is>
      </c>
      <c r="B654" s="3" t="inlineStr">
        <is>
          <t>MOJC-SM-24C-SC/PC-SC/PC</t>
        </is>
      </c>
      <c r="C654" s="2" t="inlineStr">
        <is>
          <t>7M</t>
        </is>
      </c>
      <c r="D654" s="2" t="inlineStr">
        <is>
          <t>b3-24c</t>
        </is>
      </c>
      <c r="E654" s="2" t="inlineStr">
        <is>
          <t>2.0mm</t>
        </is>
      </c>
      <c r="F654" s="2" t="n">
        <v>24</v>
      </c>
      <c r="G654" s="2" t="n">
        <v>7</v>
      </c>
      <c r="H654" s="2" t="inlineStr">
        <is>
          <t>SC/PC</t>
        </is>
      </c>
      <c r="I654" s="2" t="inlineStr">
        <is>
          <t>SC/PC</t>
        </is>
      </c>
      <c r="J654" s="2" t="n"/>
      <c r="K654" s="2" t="n"/>
      <c r="L654" s="2" t="n"/>
      <c r="M654" s="2" t="n"/>
      <c r="N654" s="2" t="n"/>
      <c r="O654" s="2" t="n"/>
      <c r="P654" s="2" t="n"/>
      <c r="Q654" s="2" t="n">
        <v>13</v>
      </c>
      <c r="R654" s="2" t="n"/>
      <c r="S654" s="2" t="n"/>
      <c r="T654" s="2" t="n"/>
      <c r="U654" s="2" t="n"/>
      <c r="V654" s="2">
        <f>SUM(J654:U654)*G654</f>
        <v/>
      </c>
      <c r="W654" s="2">
        <f>MAX(J654:U654)</f>
        <v/>
      </c>
      <c r="X654" s="2">
        <f>W654*G654</f>
        <v/>
      </c>
    </row>
    <row r="655">
      <c r="A655" s="2" t="inlineStr">
        <is>
          <t>14-M-A071</t>
        </is>
      </c>
      <c r="B655" s="3" t="inlineStr">
        <is>
          <t>MOJC-SM-8C-LC/PC-LC/PC</t>
        </is>
      </c>
      <c r="C655" s="2" t="inlineStr">
        <is>
          <t>3.5M</t>
        </is>
      </c>
      <c r="D655" s="2" t="inlineStr">
        <is>
          <t>b3-8c</t>
        </is>
      </c>
      <c r="E655" s="2" t="inlineStr">
        <is>
          <t>2.0mm</t>
        </is>
      </c>
      <c r="F655" s="2" t="n">
        <v>8</v>
      </c>
      <c r="G655" s="2" t="n">
        <v>3.5</v>
      </c>
      <c r="H655" s="2" t="inlineStr">
        <is>
          <t>LC/PC</t>
        </is>
      </c>
      <c r="I655" s="2" t="inlineStr">
        <is>
          <t>LC/PC</t>
        </is>
      </c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>
        <v>30</v>
      </c>
      <c r="T655" s="2" t="n"/>
      <c r="U655" s="2" t="n"/>
      <c r="V655" s="2">
        <f>SUM(J655:U655)*G655</f>
        <v/>
      </c>
      <c r="W655" s="2">
        <f>MAX(J655:U655)</f>
        <v/>
      </c>
      <c r="X655" s="2">
        <f>W655*G655</f>
        <v/>
      </c>
    </row>
    <row r="656">
      <c r="A656" s="2" t="inlineStr">
        <is>
          <t>14-P-003</t>
        </is>
      </c>
      <c r="B656" s="3" t="inlineStr">
        <is>
          <t>PIGTAIL-LC/PC-MM-1C (0.9mm)</t>
        </is>
      </c>
      <c r="C656" s="2" t="inlineStr">
        <is>
          <t>1.5M</t>
        </is>
      </c>
      <c r="D656" s="2" t="inlineStr">
        <is>
          <t>om1-pigtail</t>
        </is>
      </c>
      <c r="E656" s="2" t="n">
        <v>0.9</v>
      </c>
      <c r="F656" s="2" t="n">
        <v>1</v>
      </c>
      <c r="G656" s="2" t="n">
        <v>1.5</v>
      </c>
      <c r="H656" s="2" t="inlineStr">
        <is>
          <t>LC/PC</t>
        </is>
      </c>
      <c r="I656" s="2" t="n"/>
      <c r="J656" s="2" t="n"/>
      <c r="K656" s="2" t="n">
        <v>136</v>
      </c>
      <c r="L656" s="2" t="n">
        <v>189</v>
      </c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>
        <f>SUM(J656:U656)*G656</f>
        <v/>
      </c>
      <c r="W656" s="2">
        <f>MAX(J656:U656)</f>
        <v/>
      </c>
      <c r="X656" s="2">
        <f>W656*G656</f>
        <v/>
      </c>
    </row>
    <row r="657">
      <c r="A657" s="2" t="inlineStr">
        <is>
          <t>14-P-004</t>
        </is>
      </c>
      <c r="B657" s="3" t="inlineStr">
        <is>
          <t>PIGTAIL-LC/PC-SM-12C (0.9mm)</t>
        </is>
      </c>
      <c r="C657" s="2" t="inlineStr">
        <is>
          <t>1.5M_12색</t>
        </is>
      </c>
      <c r="D657" s="2" t="inlineStr">
        <is>
          <t>pigtail</t>
        </is>
      </c>
      <c r="E657" s="2" t="n">
        <v>0.9</v>
      </c>
      <c r="F657" s="2" t="n">
        <v>12</v>
      </c>
      <c r="G657" s="2" t="n">
        <v>1.5</v>
      </c>
      <c r="H657" s="2" t="inlineStr">
        <is>
          <t>LC/PC</t>
        </is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>
        <v>20</v>
      </c>
      <c r="V657" s="2">
        <f>SUM(J657:U657)*G657</f>
        <v/>
      </c>
      <c r="W657" s="2">
        <f>MAX(J657:U657)</f>
        <v/>
      </c>
      <c r="X657" s="2">
        <f>W657*G657</f>
        <v/>
      </c>
    </row>
    <row r="658">
      <c r="A658" s="2" t="inlineStr">
        <is>
          <t>14-P-006</t>
        </is>
      </c>
      <c r="B658" s="3" t="inlineStr">
        <is>
          <t>PIGTAIL-LC/PC-SM-1C (0.9mm)</t>
        </is>
      </c>
      <c r="C658" s="2" t="inlineStr">
        <is>
          <t>1.5M</t>
        </is>
      </c>
      <c r="D658" s="2" t="inlineStr">
        <is>
          <t>pigtail</t>
        </is>
      </c>
      <c r="E658" s="2" t="n">
        <v>0.9</v>
      </c>
      <c r="F658" s="2" t="n">
        <v>1</v>
      </c>
      <c r="G658" s="2" t="n">
        <v>1.5</v>
      </c>
      <c r="H658" s="2" t="inlineStr">
        <is>
          <t>LC/PC</t>
        </is>
      </c>
      <c r="I658" s="2" t="n"/>
      <c r="J658" s="2" t="n">
        <v>100</v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>
        <v>360</v>
      </c>
      <c r="T658" s="2" t="n">
        <v>390</v>
      </c>
      <c r="U658" s="2" t="n">
        <v>144</v>
      </c>
      <c r="V658" s="2">
        <f>SUM(J658:U658)*G658</f>
        <v/>
      </c>
      <c r="W658" s="2">
        <f>MAX(J658:U658)</f>
        <v/>
      </c>
      <c r="X658" s="2">
        <f>W658*G658</f>
        <v/>
      </c>
    </row>
    <row r="659">
      <c r="A659" s="2" t="inlineStr">
        <is>
          <t>14-P-010</t>
        </is>
      </c>
      <c r="B659" s="3" t="inlineStr">
        <is>
          <t>PIGTAIL-SC/APC-SM-12C (0.9mm)</t>
        </is>
      </c>
      <c r="C659" s="2" t="inlineStr">
        <is>
          <t>1.5M_12색</t>
        </is>
      </c>
      <c r="D659" s="2" t="inlineStr">
        <is>
          <t>pigtail</t>
        </is>
      </c>
      <c r="E659" s="2" t="n">
        <v>0.9</v>
      </c>
      <c r="F659" s="2" t="n">
        <v>12</v>
      </c>
      <c r="G659" s="2" t="n">
        <v>1.5</v>
      </c>
      <c r="H659" s="2" t="inlineStr">
        <is>
          <t>SC/APC</t>
        </is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>
        <v>15</v>
      </c>
      <c r="R659" s="2" t="n"/>
      <c r="S659" s="2" t="n">
        <v>72</v>
      </c>
      <c r="T659" s="2" t="n"/>
      <c r="U659" s="2" t="n"/>
      <c r="V659" s="2">
        <f>SUM(J659:U659)*G659</f>
        <v/>
      </c>
      <c r="W659" s="2">
        <f>MAX(J659:U659)</f>
        <v/>
      </c>
      <c r="X659" s="2">
        <f>W659*G659</f>
        <v/>
      </c>
    </row>
    <row r="660">
      <c r="A660" s="2" t="inlineStr">
        <is>
          <t>14-P-012</t>
        </is>
      </c>
      <c r="B660" s="3" t="inlineStr">
        <is>
          <t>PIGTAIL-SC/APC-SM-1C (0.9mm)</t>
        </is>
      </c>
      <c r="C660" s="2" t="inlineStr">
        <is>
          <t>1.5M</t>
        </is>
      </c>
      <c r="D660" s="2" t="inlineStr">
        <is>
          <t>pigtail</t>
        </is>
      </c>
      <c r="E660" s="2" t="n">
        <v>0.9</v>
      </c>
      <c r="F660" s="2" t="n">
        <v>1</v>
      </c>
      <c r="G660" s="2" t="n">
        <v>1.5</v>
      </c>
      <c r="H660" s="2" t="inlineStr">
        <is>
          <t>SC/APC</t>
        </is>
      </c>
      <c r="I660" s="2" t="n"/>
      <c r="J660" s="2" t="n"/>
      <c r="K660" s="2" t="n"/>
      <c r="L660" s="2" t="n"/>
      <c r="M660" s="2" t="n"/>
      <c r="N660" s="2" t="n">
        <v>100</v>
      </c>
      <c r="O660" s="2" t="n"/>
      <c r="P660" s="2" t="n"/>
      <c r="Q660" s="2" t="n">
        <v>170</v>
      </c>
      <c r="R660" s="2" t="n">
        <v>200</v>
      </c>
      <c r="S660" s="2" t="n"/>
      <c r="T660" s="2" t="n">
        <v>100</v>
      </c>
      <c r="U660" s="2" t="n">
        <v>200</v>
      </c>
      <c r="V660" s="2">
        <f>SUM(J660:U660)*G660</f>
        <v/>
      </c>
      <c r="W660" s="2">
        <f>MAX(J660:U660)</f>
        <v/>
      </c>
      <c r="X660" s="2">
        <f>W660*G660</f>
        <v/>
      </c>
    </row>
    <row r="661">
      <c r="A661" s="2" t="inlineStr">
        <is>
          <t>14-P-014</t>
        </is>
      </c>
      <c r="B661" s="3" t="inlineStr">
        <is>
          <t>PIGTAIL-SC/APC-SM-6C (0.9mm)</t>
        </is>
      </c>
      <c r="C661" s="2" t="inlineStr">
        <is>
          <t>1.5M_6색</t>
        </is>
      </c>
      <c r="D661" s="2" t="inlineStr">
        <is>
          <t>pigtail</t>
        </is>
      </c>
      <c r="E661" s="2" t="n">
        <v>0.9</v>
      </c>
      <c r="F661" s="2" t="n">
        <v>6</v>
      </c>
      <c r="G661" s="2" t="n">
        <v>1.5</v>
      </c>
      <c r="H661" s="2" t="inlineStr">
        <is>
          <t>SC/APC</t>
        </is>
      </c>
      <c r="I661" s="2" t="n"/>
      <c r="J661" s="2" t="n"/>
      <c r="K661" s="2" t="n"/>
      <c r="L661" s="2" t="n"/>
      <c r="M661" s="2" t="n"/>
      <c r="N661" s="2" t="n"/>
      <c r="O661" s="2" t="n">
        <v>104</v>
      </c>
      <c r="P661" s="2" t="n"/>
      <c r="Q661" s="2" t="n"/>
      <c r="R661" s="2" t="n">
        <v>100</v>
      </c>
      <c r="S661" s="2" t="n"/>
      <c r="T661" s="2" t="n"/>
      <c r="U661" s="2" t="n">
        <v>100</v>
      </c>
      <c r="V661" s="2">
        <f>SUM(J661:U661)*G661</f>
        <v/>
      </c>
      <c r="W661" s="2">
        <f>MAX(J661:U661)</f>
        <v/>
      </c>
      <c r="X661" s="2">
        <f>W661*G661</f>
        <v/>
      </c>
    </row>
    <row r="662">
      <c r="A662" s="2" t="inlineStr">
        <is>
          <t>14-P-017</t>
        </is>
      </c>
      <c r="B662" s="3" t="inlineStr">
        <is>
          <t>PIGTAIL-SC/PC-SM-12C (0.9mm)</t>
        </is>
      </c>
      <c r="C662" s="2" t="inlineStr">
        <is>
          <t>1.5M_12색</t>
        </is>
      </c>
      <c r="D662" s="2" t="inlineStr">
        <is>
          <t>pigtail</t>
        </is>
      </c>
      <c r="E662" s="2" t="n">
        <v>0.9</v>
      </c>
      <c r="F662" s="2" t="n">
        <v>12</v>
      </c>
      <c r="G662" s="2" t="n">
        <v>1.5</v>
      </c>
      <c r="H662" s="2" t="inlineStr">
        <is>
          <t>SC/PC</t>
        </is>
      </c>
      <c r="I662" s="2" t="n"/>
      <c r="J662" s="2" t="n"/>
      <c r="K662" s="2" t="n"/>
      <c r="L662" s="2" t="n">
        <v>4</v>
      </c>
      <c r="M662" s="2" t="n"/>
      <c r="N662" s="2" t="n"/>
      <c r="O662" s="2" t="n">
        <v>300</v>
      </c>
      <c r="P662" s="2" t="n"/>
      <c r="Q662" s="2" t="n"/>
      <c r="R662" s="2" t="n"/>
      <c r="S662" s="2" t="n"/>
      <c r="T662" s="2" t="n"/>
      <c r="U662" s="2" t="n"/>
      <c r="V662" s="2">
        <f>SUM(J662:U662)*G662</f>
        <v/>
      </c>
      <c r="W662" s="2">
        <f>MAX(J662:U662)</f>
        <v/>
      </c>
      <c r="X662" s="2">
        <f>W662*G662</f>
        <v/>
      </c>
    </row>
    <row r="663">
      <c r="A663" s="2" t="inlineStr">
        <is>
          <t>14-P-018</t>
        </is>
      </c>
      <c r="B663" s="3" t="inlineStr">
        <is>
          <t>PIGTAIL-SC/PC-SM-1C (0.9mm)</t>
        </is>
      </c>
      <c r="C663" s="2" t="inlineStr">
        <is>
          <t>1.5M</t>
        </is>
      </c>
      <c r="D663" s="2" t="inlineStr">
        <is>
          <t>pigtail</t>
        </is>
      </c>
      <c r="E663" s="2" t="n">
        <v>0.9</v>
      </c>
      <c r="F663" s="2" t="n">
        <v>1</v>
      </c>
      <c r="G663" s="2" t="n">
        <v>1.5</v>
      </c>
      <c r="H663" s="2" t="inlineStr">
        <is>
          <t>SC/PC</t>
        </is>
      </c>
      <c r="I663" s="2" t="n"/>
      <c r="J663" s="2" t="n">
        <v>340</v>
      </c>
      <c r="K663" s="2" t="n"/>
      <c r="L663" s="2" t="n">
        <v>489</v>
      </c>
      <c r="M663" s="2" t="n">
        <v>598</v>
      </c>
      <c r="N663" s="2" t="n">
        <v>878</v>
      </c>
      <c r="O663" s="2" t="n">
        <v>996</v>
      </c>
      <c r="P663" s="2" t="n"/>
      <c r="Q663" s="2" t="n"/>
      <c r="R663" s="2" t="n"/>
      <c r="S663" s="2" t="n">
        <v>490</v>
      </c>
      <c r="T663" s="2" t="n">
        <v>649</v>
      </c>
      <c r="U663" s="2" t="n"/>
      <c r="V663" s="2">
        <f>SUM(J663:U663)*G663</f>
        <v/>
      </c>
      <c r="W663" s="2">
        <f>MAX(J663:U663)</f>
        <v/>
      </c>
      <c r="X663" s="2">
        <f>W663*G663</f>
        <v/>
      </c>
    </row>
    <row r="664">
      <c r="A664" s="2" t="inlineStr">
        <is>
          <t>14-P-020</t>
        </is>
      </c>
      <c r="B664" s="3" t="inlineStr">
        <is>
          <t>PIGTAIL-SC/PC-SM-1C (2.0mm)</t>
        </is>
      </c>
      <c r="C664" s="2" t="inlineStr">
        <is>
          <t>1.5M</t>
        </is>
      </c>
      <c r="D664" s="2" t="inlineStr">
        <is>
          <t>pigtail</t>
        </is>
      </c>
      <c r="E664" s="2" t="inlineStr">
        <is>
          <t>2.0mm</t>
        </is>
      </c>
      <c r="F664" s="2" t="n">
        <v>1</v>
      </c>
      <c r="G664" s="2" t="n">
        <v>1.5</v>
      </c>
      <c r="H664" s="2" t="inlineStr">
        <is>
          <t>SC/PC</t>
        </is>
      </c>
      <c r="I664" s="2" t="n"/>
      <c r="J664" s="2" t="n"/>
      <c r="K664" s="2" t="n"/>
      <c r="L664" s="2" t="n"/>
      <c r="M664" s="2" t="n">
        <v>241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SUM(J664:U664)*G664</f>
        <v/>
      </c>
      <c r="W664" s="2">
        <f>MAX(J664:U664)</f>
        <v/>
      </c>
      <c r="X664" s="2">
        <f>W664*G664</f>
        <v/>
      </c>
    </row>
    <row r="665">
      <c r="A665" s="2" t="inlineStr">
        <is>
          <t>14-P-029</t>
        </is>
      </c>
      <c r="B665" s="3" t="inlineStr">
        <is>
          <t>PIGTAIL-SC/PC-SM-12C (SK성단용)</t>
        </is>
      </c>
      <c r="C665" s="2" t="inlineStr">
        <is>
          <t>1.5M</t>
        </is>
      </c>
      <c r="D665" s="2" t="inlineStr">
        <is>
          <t>pigtail</t>
        </is>
      </c>
      <c r="E665" s="2" t="n">
        <v>0.9</v>
      </c>
      <c r="F665" s="2" t="n">
        <v>12</v>
      </c>
      <c r="G665" s="2" t="n">
        <v>1.5</v>
      </c>
      <c r="H665" s="2" t="inlineStr">
        <is>
          <t>SC/PC</t>
        </is>
      </c>
      <c r="I665" s="2" t="n"/>
      <c r="J665" s="2" t="n"/>
      <c r="K665" s="2" t="n"/>
      <c r="L665" s="2" t="n">
        <v>32</v>
      </c>
      <c r="M665" s="2" t="n">
        <v>6</v>
      </c>
      <c r="N665" s="2" t="n">
        <v>8</v>
      </c>
      <c r="O665" s="2" t="n"/>
      <c r="P665" s="2" t="n"/>
      <c r="Q665" s="2" t="n"/>
      <c r="R665" s="2" t="n"/>
      <c r="S665" s="2" t="n"/>
      <c r="T665" s="2" t="n"/>
      <c r="U665" s="2" t="n"/>
      <c r="V665" s="2">
        <f>SUM(J665:U665)*G665</f>
        <v/>
      </c>
      <c r="W665" s="2">
        <f>MAX(J665:U665)</f>
        <v/>
      </c>
      <c r="X665" s="2">
        <f>W665*G665</f>
        <v/>
      </c>
    </row>
    <row r="666">
      <c r="A666" s="2" t="inlineStr">
        <is>
          <t>14-P-030</t>
        </is>
      </c>
      <c r="B666" s="3" t="inlineStr">
        <is>
          <t>PIGTAIL-SC/PC-SM-12C (0.9mm)</t>
        </is>
      </c>
      <c r="C666" s="2" t="inlineStr">
        <is>
          <t>1.5M_(노란색)</t>
        </is>
      </c>
      <c r="D666" s="2" t="inlineStr">
        <is>
          <t>pigtail</t>
        </is>
      </c>
      <c r="E666" s="2" t="n">
        <v>0.9</v>
      </c>
      <c r="F666" s="2" t="n">
        <v>12</v>
      </c>
      <c r="G666" s="2" t="n">
        <v>1.5</v>
      </c>
      <c r="H666" s="2" t="inlineStr">
        <is>
          <t>SC/PC</t>
        </is>
      </c>
      <c r="I666" s="2" t="n"/>
      <c r="J666" s="2" t="n">
        <v>200</v>
      </c>
      <c r="K666" s="2" t="n"/>
      <c r="L666" s="2" t="n">
        <v>15</v>
      </c>
      <c r="M666" s="2" t="n">
        <v>51</v>
      </c>
      <c r="N666" s="2" t="n">
        <v>20</v>
      </c>
      <c r="O666" s="2" t="n"/>
      <c r="P666" s="2" t="n"/>
      <c r="Q666" s="2" t="n">
        <v>10</v>
      </c>
      <c r="R666" s="2" t="n"/>
      <c r="S666" s="2" t="n">
        <v>82</v>
      </c>
      <c r="T666" s="2" t="n">
        <v>3</v>
      </c>
      <c r="U666" s="2" t="n"/>
      <c r="V666" s="2">
        <f>SUM(J666:U666)*G666</f>
        <v/>
      </c>
      <c r="W666" s="2">
        <f>MAX(J666:U666)</f>
        <v/>
      </c>
      <c r="X666" s="2">
        <f>W666*G666</f>
        <v/>
      </c>
    </row>
    <row r="667">
      <c r="A667" s="2" t="inlineStr">
        <is>
          <t>14-P-031</t>
        </is>
      </c>
      <c r="B667" s="3" t="inlineStr">
        <is>
          <t>PIGTAIL-SC/APC-SM-12C (0.9mm)</t>
        </is>
      </c>
      <c r="C667" s="2" t="inlineStr">
        <is>
          <t>1.5M_(노란색)</t>
        </is>
      </c>
      <c r="D667" s="2" t="inlineStr">
        <is>
          <t>pigtail</t>
        </is>
      </c>
      <c r="E667" s="2" t="n">
        <v>0.9</v>
      </c>
      <c r="F667" s="2" t="n">
        <v>12</v>
      </c>
      <c r="G667" s="2" t="n">
        <v>1.5</v>
      </c>
      <c r="H667" s="2" t="inlineStr">
        <is>
          <t>SC/APC</t>
        </is>
      </c>
      <c r="I667" s="2" t="n"/>
      <c r="J667" s="2" t="n"/>
      <c r="K667" s="2" t="n"/>
      <c r="L667" s="2" t="n"/>
      <c r="M667" s="2" t="n"/>
      <c r="N667" s="2" t="n"/>
      <c r="O667" s="2" t="n">
        <v>4</v>
      </c>
      <c r="P667" s="2" t="n"/>
      <c r="Q667" s="2" t="n"/>
      <c r="R667" s="2" t="n"/>
      <c r="S667" s="2" t="n"/>
      <c r="T667" s="2" t="n"/>
      <c r="U667" s="2" t="n">
        <v>141</v>
      </c>
      <c r="V667" s="2">
        <f>SUM(J667:U667)*G667</f>
        <v/>
      </c>
      <c r="W667" s="2">
        <f>MAX(J667:U667)</f>
        <v/>
      </c>
      <c r="X667" s="2">
        <f>W667*G667</f>
        <v/>
      </c>
    </row>
    <row r="668">
      <c r="A668" s="2" t="inlineStr">
        <is>
          <t>14-P-032</t>
        </is>
      </c>
      <c r="B668" s="3" t="inlineStr">
        <is>
          <t>PIGTAIL-SC/APC-SM-6C (SK성단용)</t>
        </is>
      </c>
      <c r="C668" s="2" t="inlineStr">
        <is>
          <t>1,5M</t>
        </is>
      </c>
      <c r="D668" s="2" t="inlineStr">
        <is>
          <t>pigtail</t>
        </is>
      </c>
      <c r="E668" s="2" t="n">
        <v>0.9</v>
      </c>
      <c r="F668" s="2" t="n">
        <v>6</v>
      </c>
      <c r="G668" s="2" t="n">
        <v>5</v>
      </c>
      <c r="H668" s="2" t="inlineStr">
        <is>
          <t>SC/APC</t>
        </is>
      </c>
      <c r="I668" s="2" t="n"/>
      <c r="J668" s="2" t="n"/>
      <c r="K668" s="2" t="n"/>
      <c r="L668" s="2" t="n"/>
      <c r="M668" s="2" t="n"/>
      <c r="N668" s="2" t="n"/>
      <c r="O668" s="2" t="n">
        <v>3</v>
      </c>
      <c r="P668" s="2" t="n"/>
      <c r="Q668" s="2" t="n"/>
      <c r="R668" s="2" t="n"/>
      <c r="S668" s="2" t="n"/>
      <c r="T668" s="2" t="n">
        <v>30</v>
      </c>
      <c r="U668" s="2" t="n"/>
      <c r="V668" s="2">
        <f>SUM(J668:U668)*G668</f>
        <v/>
      </c>
      <c r="W668" s="2">
        <f>MAX(J668:U668)</f>
        <v/>
      </c>
      <c r="X668" s="2">
        <f>W668*G668</f>
        <v/>
      </c>
    </row>
    <row r="669">
      <c r="A669" s="2" t="inlineStr">
        <is>
          <t>14-P-033</t>
        </is>
      </c>
      <c r="B669" s="3" t="inlineStr">
        <is>
          <t>PIGTAIL-LC/PC-MM-12C (SK성단용)</t>
        </is>
      </c>
      <c r="C669" s="2" t="inlineStr">
        <is>
          <t>1.5M</t>
        </is>
      </c>
      <c r="D669" s="2" t="inlineStr">
        <is>
          <t>om1-pigtail</t>
        </is>
      </c>
      <c r="E669" s="2" t="inlineStr">
        <is>
          <t>2.0mm</t>
        </is>
      </c>
      <c r="F669" s="2" t="n">
        <v>12</v>
      </c>
      <c r="G669" s="2" t="n">
        <v>1.5</v>
      </c>
      <c r="H669" s="2" t="inlineStr">
        <is>
          <t>LC/PC</t>
        </is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>
        <v>24</v>
      </c>
      <c r="U669" s="2" t="n"/>
      <c r="V669" s="2">
        <f>SUM(J669:U669)*G669</f>
        <v/>
      </c>
      <c r="W669" s="2">
        <f>MAX(J669:U669)</f>
        <v/>
      </c>
      <c r="X669" s="2">
        <f>W669*G669</f>
        <v/>
      </c>
    </row>
    <row r="670">
      <c r="A670" s="2" t="inlineStr">
        <is>
          <t>14-P-034</t>
        </is>
      </c>
      <c r="B670" s="3" t="inlineStr">
        <is>
          <t>PIGTAIL-LC/PC-MM(OM3)-1C (0.9mm)</t>
        </is>
      </c>
      <c r="C670" s="2" t="inlineStr">
        <is>
          <t>1.5M</t>
        </is>
      </c>
      <c r="D670" s="2" t="inlineStr">
        <is>
          <t>om1-pigtail</t>
        </is>
      </c>
      <c r="E670" s="2" t="n">
        <v>0.9</v>
      </c>
      <c r="F670" s="2" t="n">
        <v>1</v>
      </c>
      <c r="G670" s="2" t="n">
        <v>1.5</v>
      </c>
      <c r="H670" s="2" t="inlineStr">
        <is>
          <t>LC/PC</t>
        </is>
      </c>
      <c r="I670" s="2" t="n"/>
      <c r="J670" s="2" t="n"/>
      <c r="K670" s="2" t="n">
        <v>432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>
        <f>SUM(J670:U670)*G670</f>
        <v/>
      </c>
      <c r="W670" s="2">
        <f>MAX(J670:U670)</f>
        <v/>
      </c>
      <c r="X670" s="2">
        <f>W670*G670</f>
        <v/>
      </c>
    </row>
    <row r="671">
      <c r="A671" s="2" t="inlineStr">
        <is>
          <t>14-P-036</t>
        </is>
      </c>
      <c r="B671" s="3" t="inlineStr">
        <is>
          <t>PIGTAIL-LC/PC-SM-12C (0.9mm)</t>
        </is>
      </c>
      <c r="C671" s="2" t="inlineStr">
        <is>
          <t>1.5M_(노란색)</t>
        </is>
      </c>
      <c r="D671" s="2" t="inlineStr">
        <is>
          <t>pigtail</t>
        </is>
      </c>
      <c r="E671" s="2" t="n">
        <v>0.9</v>
      </c>
      <c r="F671" s="2" t="n">
        <v>12</v>
      </c>
      <c r="G671" s="2" t="n">
        <v>1.5</v>
      </c>
      <c r="H671" s="2" t="inlineStr">
        <is>
          <t>LC/PC</t>
        </is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>
        <v>10</v>
      </c>
      <c r="R671" s="2" t="n"/>
      <c r="S671" s="2" t="n"/>
      <c r="T671" s="2" t="n"/>
      <c r="U671" s="2" t="n"/>
      <c r="V671" s="2">
        <f>SUM(J671:U671)*G671</f>
        <v/>
      </c>
      <c r="W671" s="2">
        <f>MAX(J671:U671)</f>
        <v/>
      </c>
      <c r="X671" s="2">
        <f>W671*G671</f>
        <v/>
      </c>
    </row>
    <row r="672">
      <c r="A672" s="2" t="inlineStr">
        <is>
          <t>14-P-040</t>
        </is>
      </c>
      <c r="B672" s="3" t="inlineStr">
        <is>
          <t>PIGTAIL-SC/PC-SM-4C (0.9mm)</t>
        </is>
      </c>
      <c r="C672" s="2" t="inlineStr">
        <is>
          <t>1.5M_(노란색)</t>
        </is>
      </c>
      <c r="D672" s="2" t="inlineStr">
        <is>
          <t>pigtail</t>
        </is>
      </c>
      <c r="E672" s="2" t="n">
        <v>0.9</v>
      </c>
      <c r="F672" s="2" t="n">
        <v>4</v>
      </c>
      <c r="G672" s="2" t="n">
        <v>1.5</v>
      </c>
      <c r="H672" s="2" t="inlineStr">
        <is>
          <t>SC/PC</t>
        </is>
      </c>
      <c r="I672" s="2" t="n"/>
      <c r="J672" s="2" t="n"/>
      <c r="K672" s="2" t="n"/>
      <c r="L672" s="2" t="n">
        <v>12</v>
      </c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>
        <f>SUM(J672:U672)*G672</f>
        <v/>
      </c>
      <c r="W672" s="2">
        <f>MAX(J672:U672)</f>
        <v/>
      </c>
      <c r="X672" s="2">
        <f>W672*G672</f>
        <v/>
      </c>
    </row>
    <row r="673">
      <c r="A673" s="2" t="inlineStr">
        <is>
          <t>14-P-045</t>
        </is>
      </c>
      <c r="B673" s="3" t="inlineStr">
        <is>
          <t>PIGTAIL-LC/APC-SM-12C (O.9mm)</t>
        </is>
      </c>
      <c r="C673" s="2" t="inlineStr">
        <is>
          <t>1.5M_(노란색)</t>
        </is>
      </c>
      <c r="D673" s="2" t="inlineStr">
        <is>
          <t>pigtail</t>
        </is>
      </c>
      <c r="E673" s="2" t="n">
        <v>0.9</v>
      </c>
      <c r="F673" s="2" t="n">
        <v>12</v>
      </c>
      <c r="G673" s="2" t="n">
        <v>1.5</v>
      </c>
      <c r="H673" s="2" t="inlineStr">
        <is>
          <t>LC/APC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>
        <v>12</v>
      </c>
      <c r="S673" s="2" t="n">
        <v>40</v>
      </c>
      <c r="T673" s="2" t="n"/>
      <c r="U673" s="2" t="n"/>
      <c r="V673" s="2">
        <f>SUM(J673:U673)*G673</f>
        <v/>
      </c>
      <c r="W673" s="2">
        <f>MAX(J673:U673)</f>
        <v/>
      </c>
      <c r="X673" s="2">
        <f>W673*G673</f>
        <v/>
      </c>
    </row>
    <row r="674">
      <c r="A674" s="2" t="inlineStr">
        <is>
          <t>14-P-076</t>
        </is>
      </c>
      <c r="B674" s="3" t="inlineStr">
        <is>
          <t>PIGTAIL-LC/APC-SM-1C (0.9mm)</t>
        </is>
      </c>
      <c r="C674" s="2" t="inlineStr">
        <is>
          <t>1.5M_노란색</t>
        </is>
      </c>
      <c r="D674" s="2" t="inlineStr">
        <is>
          <t>pigtail</t>
        </is>
      </c>
      <c r="E674" s="2" t="n">
        <v>0.9</v>
      </c>
      <c r="F674" s="2" t="n">
        <v>1</v>
      </c>
      <c r="G674" s="2" t="n">
        <v>1.5</v>
      </c>
      <c r="H674" s="2" t="inlineStr">
        <is>
          <t>LC/APC</t>
        </is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>
        <v>40</v>
      </c>
      <c r="T674" s="2" t="n"/>
      <c r="U674" s="2" t="n"/>
      <c r="V674" s="2">
        <f>SUM(J674:U674)*G674</f>
        <v/>
      </c>
      <c r="W674" s="2">
        <f>MAX(J674:U674)</f>
        <v/>
      </c>
      <c r="X674" s="2">
        <f>W674*G674</f>
        <v/>
      </c>
    </row>
    <row r="675">
      <c r="A675" s="2" t="inlineStr">
        <is>
          <t>14-P-091</t>
        </is>
      </c>
      <c r="B675" s="3" t="inlineStr">
        <is>
          <t>PIGTAIL-LC/APC-SM-12C (0.9mm)</t>
        </is>
      </c>
      <c r="C675" s="2" t="inlineStr">
        <is>
          <t>1.5M_12색</t>
        </is>
      </c>
      <c r="D675" s="2" t="inlineStr">
        <is>
          <t>pigtail</t>
        </is>
      </c>
      <c r="E675" s="2" t="n">
        <v>0.9</v>
      </c>
      <c r="F675" s="2" t="n">
        <v>12</v>
      </c>
      <c r="G675" s="2" t="n">
        <v>1.5</v>
      </c>
      <c r="H675" s="2" t="inlineStr">
        <is>
          <t>LC/APC</t>
        </is>
      </c>
      <c r="I675" s="2" t="n"/>
      <c r="J675" s="2" t="n"/>
      <c r="K675" s="2" t="n"/>
      <c r="L675" s="2" t="n"/>
      <c r="M675" s="2" t="n"/>
      <c r="N675" s="2" t="n">
        <v>10</v>
      </c>
      <c r="O675" s="2" t="n"/>
      <c r="P675" s="2" t="n"/>
      <c r="Q675" s="2" t="n"/>
      <c r="R675" s="2" t="n"/>
      <c r="S675" s="2" t="n"/>
      <c r="T675" s="2" t="n"/>
      <c r="U675" s="2" t="n"/>
      <c r="V675" s="2">
        <f>SUM(J675:U675)*G675</f>
        <v/>
      </c>
      <c r="W675" s="2">
        <f>MAX(J675:U675)</f>
        <v/>
      </c>
      <c r="X675" s="2">
        <f>W675*G675</f>
        <v/>
      </c>
    </row>
    <row r="676">
      <c r="A676" s="2" t="inlineStr">
        <is>
          <t>14-P-099</t>
        </is>
      </c>
      <c r="B676" s="3" t="inlineStr">
        <is>
          <t>PIGTAIL-LC/PC-SM-1C (0.9mm)</t>
        </is>
      </c>
      <c r="C676" s="2" t="inlineStr">
        <is>
          <t>0.5M</t>
        </is>
      </c>
      <c r="D676" s="2" t="inlineStr">
        <is>
          <t>pigtail</t>
        </is>
      </c>
      <c r="E676" s="2" t="n">
        <v>0.9</v>
      </c>
      <c r="F676" s="2" t="n">
        <v>1</v>
      </c>
      <c r="G676" s="2" t="n">
        <v>0.5</v>
      </c>
      <c r="H676" s="2" t="inlineStr">
        <is>
          <t>LC/PC</t>
        </is>
      </c>
      <c r="I676" s="2" t="n"/>
      <c r="J676" s="2" t="n"/>
      <c r="K676" s="2" t="n"/>
      <c r="L676" s="2" t="n"/>
      <c r="M676" s="2" t="n"/>
      <c r="N676" s="2" t="n"/>
      <c r="O676" s="2" t="n"/>
      <c r="P676" s="2" t="n">
        <v>120</v>
      </c>
      <c r="Q676" s="2" t="n"/>
      <c r="R676" s="2" t="n"/>
      <c r="S676" s="2" t="n"/>
      <c r="T676" s="2" t="n">
        <v>400</v>
      </c>
      <c r="U676" s="2" t="n"/>
      <c r="V676" s="2">
        <f>SUM(J676:U676)*G676</f>
        <v/>
      </c>
      <c r="W676" s="2">
        <f>MAX(J676:U676)</f>
        <v/>
      </c>
      <c r="X676" s="2">
        <f>W676*G676</f>
        <v/>
      </c>
    </row>
    <row r="677">
      <c r="A677" s="2" t="inlineStr">
        <is>
          <t>14-P-102</t>
        </is>
      </c>
      <c r="B677" s="3" t="inlineStr">
        <is>
          <t>PIGTAIL-FC/PC-SM-1C (0.9mm)</t>
        </is>
      </c>
      <c r="C677" s="2" t="inlineStr">
        <is>
          <t>1.5M</t>
        </is>
      </c>
      <c r="D677" s="2" t="inlineStr">
        <is>
          <t>pigtail</t>
        </is>
      </c>
      <c r="E677" s="2" t="n">
        <v>0.9</v>
      </c>
      <c r="F677" s="2" t="n">
        <v>1</v>
      </c>
      <c r="G677" s="2" t="n">
        <v>1.5</v>
      </c>
      <c r="H677" s="2" t="inlineStr">
        <is>
          <t>FC/PC</t>
        </is>
      </c>
      <c r="I677" s="2" t="n"/>
      <c r="J677" s="2" t="n">
        <v>30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>
        <f>SUM(J677:U677)*G677</f>
        <v/>
      </c>
      <c r="W677" s="2">
        <f>MAX(J677:U677)</f>
        <v/>
      </c>
      <c r="X677" s="2">
        <f>W677*G677</f>
        <v/>
      </c>
    </row>
    <row r="678">
      <c r="A678" s="2" t="inlineStr">
        <is>
          <t>14-P-103</t>
        </is>
      </c>
      <c r="B678" s="3" t="inlineStr">
        <is>
          <t>PIGTAIL-SC/PC-SM-1C (0.9mm)</t>
        </is>
      </c>
      <c r="C678" s="2" t="inlineStr">
        <is>
          <t>1.5M_백색</t>
        </is>
      </c>
      <c r="D678" s="2" t="inlineStr">
        <is>
          <t>pigtail</t>
        </is>
      </c>
      <c r="E678" s="2" t="n">
        <v>0.9</v>
      </c>
      <c r="F678" s="2" t="n">
        <v>1</v>
      </c>
      <c r="G678" s="2" t="n">
        <v>1.5</v>
      </c>
      <c r="H678" s="2" t="inlineStr">
        <is>
          <t>SC/PC</t>
        </is>
      </c>
      <c r="I678" s="2" t="n"/>
      <c r="J678" s="2" t="n"/>
      <c r="K678" s="2" t="n"/>
      <c r="L678" s="2" t="n"/>
      <c r="M678" s="2" t="n"/>
      <c r="N678" s="2" t="n">
        <v>300</v>
      </c>
      <c r="O678" s="2" t="n"/>
      <c r="P678" s="2" t="n"/>
      <c r="Q678" s="2" t="n"/>
      <c r="R678" s="2" t="n"/>
      <c r="S678" s="2" t="n"/>
      <c r="T678" s="2" t="n"/>
      <c r="U678" s="2" t="n"/>
      <c r="V678" s="2">
        <f>SUM(J678:U678)*G678</f>
        <v/>
      </c>
      <c r="W678" s="2">
        <f>MAX(J678:U678)</f>
        <v/>
      </c>
      <c r="X678" s="2">
        <f>W678*G678</f>
        <v/>
      </c>
    </row>
    <row r="679">
      <c r="A679" s="2" t="inlineStr">
        <is>
          <t>14-P-106</t>
        </is>
      </c>
      <c r="B679" s="3" t="inlineStr">
        <is>
          <t>PIGTAIL-LC/PC-SM-12C (0.9mm)</t>
        </is>
      </c>
      <c r="C679" s="2" t="inlineStr">
        <is>
          <t>3M_12색</t>
        </is>
      </c>
      <c r="D679" s="2" t="inlineStr">
        <is>
          <t>pigtail</t>
        </is>
      </c>
      <c r="E679" s="2" t="n">
        <v>0.9</v>
      </c>
      <c r="F679" s="2" t="n">
        <v>12</v>
      </c>
      <c r="G679" s="2" t="n">
        <v>3</v>
      </c>
      <c r="H679" s="2" t="inlineStr">
        <is>
          <t>LC/PC</t>
        </is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>
        <v>24</v>
      </c>
      <c r="U679" s="2" t="n"/>
      <c r="V679" s="2">
        <f>SUM(J679:U679)*G679</f>
        <v/>
      </c>
      <c r="W679" s="2">
        <f>MAX(J679:U679)</f>
        <v/>
      </c>
      <c r="X679" s="2">
        <f>W679*G679</f>
        <v/>
      </c>
    </row>
    <row r="680">
      <c r="A680" s="2" t="inlineStr">
        <is>
          <t>14-S-052</t>
        </is>
      </c>
      <c r="B680" s="3" t="inlineStr">
        <is>
          <t>SOJC-SM-LC/PC-FC/APC</t>
        </is>
      </c>
      <c r="C680" s="2" t="inlineStr">
        <is>
          <t>15M</t>
        </is>
      </c>
      <c r="D680" s="2" t="inlineStr">
        <is>
          <t>a1</t>
        </is>
      </c>
      <c r="E680" s="2" t="inlineStr">
        <is>
          <t>2.0mm</t>
        </is>
      </c>
      <c r="F680" s="2" t="n">
        <v>1</v>
      </c>
      <c r="G680" s="2" t="n">
        <v>15</v>
      </c>
      <c r="H680" s="2" t="inlineStr">
        <is>
          <t>LC/PC</t>
        </is>
      </c>
      <c r="I680" s="2" t="inlineStr">
        <is>
          <t>FC/APC</t>
        </is>
      </c>
      <c r="J680" s="2" t="n"/>
      <c r="K680" s="2" t="n"/>
      <c r="L680" s="2" t="n"/>
      <c r="M680" s="2" t="n"/>
      <c r="N680" s="2" t="n">
        <v>30</v>
      </c>
      <c r="O680" s="2" t="n"/>
      <c r="P680" s="2" t="n"/>
      <c r="Q680" s="2" t="n"/>
      <c r="R680" s="2" t="n"/>
      <c r="S680" s="2" t="n"/>
      <c r="T680" s="2" t="n"/>
      <c r="U680" s="2" t="n"/>
      <c r="V680" s="2">
        <f>SUM(J680:U680)*G680</f>
        <v/>
      </c>
      <c r="W680" s="2">
        <f>MAX(J680:U680)</f>
        <v/>
      </c>
      <c r="X680" s="2">
        <f>W680*G680</f>
        <v/>
      </c>
    </row>
    <row r="681">
      <c r="A681" s="2" t="inlineStr">
        <is>
          <t>14-S-060</t>
        </is>
      </c>
      <c r="B681" s="3" t="inlineStr">
        <is>
          <t>SOJC-SM-LC/PC-FC/APC</t>
        </is>
      </c>
      <c r="C681" s="2" t="inlineStr">
        <is>
          <t>3M</t>
        </is>
      </c>
      <c r="D681" s="2" t="inlineStr">
        <is>
          <t>a1</t>
        </is>
      </c>
      <c r="E681" s="2" t="inlineStr">
        <is>
          <t>2.0mm</t>
        </is>
      </c>
      <c r="F681" s="2" t="n">
        <v>1</v>
      </c>
      <c r="G681" s="2" t="n">
        <v>3</v>
      </c>
      <c r="H681" s="2" t="inlineStr">
        <is>
          <t>LC/PC</t>
        </is>
      </c>
      <c r="I681" s="2" t="inlineStr">
        <is>
          <t>FC/APC</t>
        </is>
      </c>
      <c r="J681" s="2" t="n"/>
      <c r="K681" s="2" t="n"/>
      <c r="L681" s="2" t="n"/>
      <c r="M681" s="2" t="n"/>
      <c r="N681" s="2" t="n"/>
      <c r="O681" s="2" t="n">
        <v>20</v>
      </c>
      <c r="P681" s="2" t="n"/>
      <c r="Q681" s="2" t="n"/>
      <c r="R681" s="2" t="n"/>
      <c r="S681" s="2" t="n"/>
      <c r="T681" s="2" t="n"/>
      <c r="U681" s="2" t="n"/>
      <c r="V681" s="2">
        <f>SUM(J681:U681)*G681</f>
        <v/>
      </c>
      <c r="W681" s="2">
        <f>MAX(J681:U681)</f>
        <v/>
      </c>
      <c r="X681" s="2">
        <f>W681*G681</f>
        <v/>
      </c>
    </row>
    <row r="682">
      <c r="A682" s="2" t="inlineStr">
        <is>
          <t>14-S-064</t>
        </is>
      </c>
      <c r="B682" s="3" t="inlineStr">
        <is>
          <t>SOJC-SM-LC/PC-FC/APC</t>
        </is>
      </c>
      <c r="C682" s="2" t="inlineStr">
        <is>
          <t>5M</t>
        </is>
      </c>
      <c r="D682" s="2" t="inlineStr">
        <is>
          <t>a1</t>
        </is>
      </c>
      <c r="E682" s="2" t="inlineStr">
        <is>
          <t>2.0mm</t>
        </is>
      </c>
      <c r="F682" s="2" t="n">
        <v>1</v>
      </c>
      <c r="G682" s="2" t="n">
        <v>5</v>
      </c>
      <c r="H682" s="2" t="inlineStr">
        <is>
          <t>LC/PC</t>
        </is>
      </c>
      <c r="I682" s="2" t="inlineStr">
        <is>
          <t>FC/APC</t>
        </is>
      </c>
      <c r="J682" s="2" t="n"/>
      <c r="K682" s="2" t="n"/>
      <c r="L682" s="2" t="n"/>
      <c r="M682" s="2" t="n"/>
      <c r="N682" s="2" t="n"/>
      <c r="O682" s="2" t="n"/>
      <c r="P682" s="2" t="n"/>
      <c r="Q682" s="2" t="n">
        <v>2</v>
      </c>
      <c r="R682" s="2" t="n"/>
      <c r="S682" s="2" t="n"/>
      <c r="T682" s="2" t="n"/>
      <c r="U682" s="2" t="n"/>
      <c r="V682" s="2">
        <f>SUM(J682:U682)*G682</f>
        <v/>
      </c>
      <c r="W682" s="2">
        <f>MAX(J682:U682)</f>
        <v/>
      </c>
      <c r="X682" s="2">
        <f>W682*G682</f>
        <v/>
      </c>
    </row>
    <row r="683">
      <c r="A683" s="2" t="inlineStr">
        <is>
          <t>14-S-065</t>
        </is>
      </c>
      <c r="B683" s="3" t="inlineStr">
        <is>
          <t>SOJC-SM-LC/PC-FC/APC</t>
        </is>
      </c>
      <c r="C683" s="2" t="inlineStr">
        <is>
          <t>6M</t>
        </is>
      </c>
      <c r="D683" s="2" t="inlineStr">
        <is>
          <t>a1</t>
        </is>
      </c>
      <c r="E683" s="2" t="inlineStr">
        <is>
          <t>2.0mm</t>
        </is>
      </c>
      <c r="F683" s="2" t="n">
        <v>1</v>
      </c>
      <c r="G683" s="2" t="n">
        <v>6</v>
      </c>
      <c r="H683" s="2" t="inlineStr">
        <is>
          <t>LC/PC</t>
        </is>
      </c>
      <c r="I683" s="2" t="inlineStr">
        <is>
          <t>FC/APC</t>
        </is>
      </c>
      <c r="J683" s="2" t="n"/>
      <c r="K683" s="2" t="n"/>
      <c r="L683" s="2" t="n"/>
      <c r="M683" s="2" t="n"/>
      <c r="N683" s="2" t="n"/>
      <c r="O683" s="2" t="n"/>
      <c r="P683" s="2" t="n"/>
      <c r="Q683" s="2" t="n">
        <v>5</v>
      </c>
      <c r="R683" s="2" t="n"/>
      <c r="S683" s="2" t="n"/>
      <c r="T683" s="2" t="n"/>
      <c r="U683" s="2" t="n"/>
      <c r="V683" s="2">
        <f>SUM(J683:U683)*G683</f>
        <v/>
      </c>
      <c r="W683" s="2">
        <f>MAX(J683:U683)</f>
        <v/>
      </c>
      <c r="X683" s="2">
        <f>W683*G683</f>
        <v/>
      </c>
    </row>
    <row r="684">
      <c r="A684" s="2" t="inlineStr">
        <is>
          <t>14-S-069</t>
        </is>
      </c>
      <c r="B684" s="3" t="inlineStr">
        <is>
          <t>SOJC-SM-LC/PC-FC/PC</t>
        </is>
      </c>
      <c r="C684" s="2" t="inlineStr">
        <is>
          <t>15M</t>
        </is>
      </c>
      <c r="D684" s="2" t="inlineStr">
        <is>
          <t>a1</t>
        </is>
      </c>
      <c r="E684" s="2" t="inlineStr">
        <is>
          <t>2.0mm</t>
        </is>
      </c>
      <c r="F684" s="2" t="n">
        <v>1</v>
      </c>
      <c r="G684" s="2" t="n">
        <v>15</v>
      </c>
      <c r="H684" s="2" t="inlineStr">
        <is>
          <t>LC/PC</t>
        </is>
      </c>
      <c r="I684" s="2" t="inlineStr">
        <is>
          <t>FC/PC</t>
        </is>
      </c>
      <c r="J684" s="2" t="n"/>
      <c r="K684" s="2" t="n">
        <v>20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>
        <f>SUM(J684:U684)*G684</f>
        <v/>
      </c>
      <c r="W684" s="2">
        <f>MAX(J684:U684)</f>
        <v/>
      </c>
      <c r="X684" s="2">
        <f>W684*G684</f>
        <v/>
      </c>
    </row>
    <row r="685">
      <c r="A685" s="2" t="inlineStr">
        <is>
          <t>14-S-071</t>
        </is>
      </c>
      <c r="B685" s="3" t="inlineStr">
        <is>
          <t>SOJC-SM-LC/PC-FC/PC</t>
        </is>
      </c>
      <c r="C685" s="2" t="inlineStr">
        <is>
          <t>20M</t>
        </is>
      </c>
      <c r="D685" s="2" t="inlineStr">
        <is>
          <t>a1</t>
        </is>
      </c>
      <c r="E685" s="2" t="inlineStr">
        <is>
          <t>2.0mm</t>
        </is>
      </c>
      <c r="F685" s="2" t="n">
        <v>1</v>
      </c>
      <c r="G685" s="2" t="n">
        <v>20</v>
      </c>
      <c r="H685" s="2" t="inlineStr">
        <is>
          <t>LC/PC</t>
        </is>
      </c>
      <c r="I685" s="2" t="inlineStr">
        <is>
          <t>FC/PC</t>
        </is>
      </c>
      <c r="J685" s="2" t="n"/>
      <c r="K685" s="2" t="n">
        <v>20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>
        <f>SUM(J685:U685)*G685</f>
        <v/>
      </c>
      <c r="W685" s="2">
        <f>MAX(J685:U685)</f>
        <v/>
      </c>
      <c r="X685" s="2">
        <f>W685*G685</f>
        <v/>
      </c>
    </row>
    <row r="686">
      <c r="A686" s="2" t="inlineStr">
        <is>
          <t>14-S-075</t>
        </is>
      </c>
      <c r="B686" s="3" t="inlineStr">
        <is>
          <t>SOJC-SM-LC/PC-FC/PC</t>
        </is>
      </c>
      <c r="C686" s="2" t="inlineStr">
        <is>
          <t>3M</t>
        </is>
      </c>
      <c r="D686" s="2" t="inlineStr">
        <is>
          <t>a1</t>
        </is>
      </c>
      <c r="E686" s="2" t="inlineStr">
        <is>
          <t>2.0mm</t>
        </is>
      </c>
      <c r="F686" s="2" t="n">
        <v>1</v>
      </c>
      <c r="G686" s="2" t="n">
        <v>3</v>
      </c>
      <c r="H686" s="2" t="inlineStr">
        <is>
          <t>LC/PC</t>
        </is>
      </c>
      <c r="I686" s="2" t="inlineStr">
        <is>
          <t>FC/PC</t>
        </is>
      </c>
      <c r="J686" s="2" t="n"/>
      <c r="K686" s="2" t="n"/>
      <c r="L686" s="2" t="n"/>
      <c r="M686" s="2" t="n"/>
      <c r="N686" s="2" t="n"/>
      <c r="O686" s="2" t="n"/>
      <c r="P686" s="2" t="n">
        <v>20</v>
      </c>
      <c r="Q686" s="2" t="n"/>
      <c r="R686" s="2" t="n"/>
      <c r="S686" s="2" t="n"/>
      <c r="T686" s="2" t="n"/>
      <c r="U686" s="2" t="n"/>
      <c r="V686" s="2">
        <f>SUM(J686:U686)*G686</f>
        <v/>
      </c>
      <c r="W686" s="2">
        <f>MAX(J686:U686)</f>
        <v/>
      </c>
      <c r="X686" s="2">
        <f>W686*G686</f>
        <v/>
      </c>
    </row>
    <row r="687">
      <c r="A687" s="2" t="inlineStr">
        <is>
          <t>14-S-089</t>
        </is>
      </c>
      <c r="B687" s="3" t="inlineStr">
        <is>
          <t>SOJC-SM-LC/PC-LC/PC</t>
        </is>
      </c>
      <c r="C687" s="2" t="inlineStr">
        <is>
          <t>15M</t>
        </is>
      </c>
      <c r="D687" s="2" t="inlineStr">
        <is>
          <t>a1</t>
        </is>
      </c>
      <c r="E687" s="2" t="inlineStr">
        <is>
          <t>2.0mm</t>
        </is>
      </c>
      <c r="F687" s="2" t="n">
        <v>1</v>
      </c>
      <c r="G687" s="2" t="n">
        <v>15</v>
      </c>
      <c r="H687" s="2" t="inlineStr">
        <is>
          <t>LC/PC</t>
        </is>
      </c>
      <c r="I687" s="2" t="inlineStr">
        <is>
          <t>LC/PC</t>
        </is>
      </c>
      <c r="J687" s="2" t="n"/>
      <c r="K687" s="2" t="n">
        <v>50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>
        <f>SUM(J687:U687)*G687</f>
        <v/>
      </c>
      <c r="W687" s="2">
        <f>MAX(J687:U687)</f>
        <v/>
      </c>
      <c r="X687" s="2">
        <f>W687*G687</f>
        <v/>
      </c>
    </row>
    <row r="688">
      <c r="A688" s="2" t="inlineStr">
        <is>
          <t>14-S-097</t>
        </is>
      </c>
      <c r="B688" s="3" t="inlineStr">
        <is>
          <t>SOJC-SM-LC/PC-LC/PC</t>
        </is>
      </c>
      <c r="C688" s="2" t="inlineStr">
        <is>
          <t>2M</t>
        </is>
      </c>
      <c r="D688" s="2" t="inlineStr">
        <is>
          <t>a1</t>
        </is>
      </c>
      <c r="E688" s="2" t="inlineStr">
        <is>
          <t>2.0mm</t>
        </is>
      </c>
      <c r="F688" s="2" t="n">
        <v>1</v>
      </c>
      <c r="G688" s="2" t="n">
        <v>2</v>
      </c>
      <c r="H688" s="2" t="inlineStr">
        <is>
          <t>LC/PC</t>
        </is>
      </c>
      <c r="I688" s="2" t="inlineStr">
        <is>
          <t>LC/PC</t>
        </is>
      </c>
      <c r="J688" s="2" t="n"/>
      <c r="K688" s="2" t="n"/>
      <c r="L688" s="2" t="n"/>
      <c r="M688" s="2" t="n"/>
      <c r="N688" s="2" t="n">
        <v>200</v>
      </c>
      <c r="O688" s="2" t="n"/>
      <c r="P688" s="2" t="n"/>
      <c r="Q688" s="2" t="n"/>
      <c r="R688" s="2" t="n"/>
      <c r="S688" s="2" t="n"/>
      <c r="T688" s="2" t="n"/>
      <c r="U688" s="2" t="n"/>
      <c r="V688" s="2">
        <f>SUM(J688:U688)*G688</f>
        <v/>
      </c>
      <c r="W688" s="2">
        <f>MAX(J688:U688)</f>
        <v/>
      </c>
      <c r="X688" s="2">
        <f>W688*G688</f>
        <v/>
      </c>
    </row>
    <row r="689">
      <c r="A689" s="2" t="inlineStr">
        <is>
          <t>14-S-099</t>
        </is>
      </c>
      <c r="B689" s="3" t="inlineStr">
        <is>
          <t>SOJC-SM-LC/PC-LC/PC</t>
        </is>
      </c>
      <c r="C689" s="2" t="inlineStr">
        <is>
          <t>3M</t>
        </is>
      </c>
      <c r="D689" s="2" t="inlineStr">
        <is>
          <t>a1</t>
        </is>
      </c>
      <c r="E689" s="2" t="inlineStr">
        <is>
          <t>2.0mm</t>
        </is>
      </c>
      <c r="F689" s="2" t="n">
        <v>1</v>
      </c>
      <c r="G689" s="2" t="n">
        <v>3</v>
      </c>
      <c r="H689" s="2" t="inlineStr">
        <is>
          <t>LC/PC</t>
        </is>
      </c>
      <c r="I689" s="2" t="inlineStr">
        <is>
          <t>LC/PC</t>
        </is>
      </c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>
        <v>30</v>
      </c>
      <c r="S689" s="2" t="n">
        <v>80</v>
      </c>
      <c r="T689" s="2" t="n">
        <v>50</v>
      </c>
      <c r="U689" s="2" t="n"/>
      <c r="V689" s="2">
        <f>SUM(J689:U689)*G689</f>
        <v/>
      </c>
      <c r="W689" s="2">
        <f>MAX(J689:U689)</f>
        <v/>
      </c>
      <c r="X689" s="2">
        <f>W689*G689</f>
        <v/>
      </c>
    </row>
    <row r="690">
      <c r="A690" s="2" t="inlineStr">
        <is>
          <t>14-S-100</t>
        </is>
      </c>
      <c r="B690" s="3" t="inlineStr">
        <is>
          <t>SOJC-SM-LC/PC-LC/PC</t>
        </is>
      </c>
      <c r="C690" s="2" t="inlineStr">
        <is>
          <t>40M</t>
        </is>
      </c>
      <c r="D690" s="2" t="inlineStr">
        <is>
          <t>a1</t>
        </is>
      </c>
      <c r="E690" s="2" t="inlineStr">
        <is>
          <t>2.0mm</t>
        </is>
      </c>
      <c r="F690" s="2" t="n">
        <v>1</v>
      </c>
      <c r="G690" s="2" t="n">
        <v>40</v>
      </c>
      <c r="H690" s="2" t="inlineStr">
        <is>
          <t>LC/PC</t>
        </is>
      </c>
      <c r="I690" s="2" t="inlineStr">
        <is>
          <t>LC/PC</t>
        </is>
      </c>
      <c r="J690" s="2" t="n"/>
      <c r="K690" s="2" t="n"/>
      <c r="L690" s="2" t="n"/>
      <c r="M690" s="2" t="n"/>
      <c r="N690" s="2" t="n">
        <v>4</v>
      </c>
      <c r="O690" s="2" t="n"/>
      <c r="P690" s="2" t="n"/>
      <c r="Q690" s="2" t="n"/>
      <c r="R690" s="2" t="n"/>
      <c r="S690" s="2" t="n"/>
      <c r="T690" s="2" t="n"/>
      <c r="U690" s="2" t="n"/>
      <c r="V690" s="2">
        <f>SUM(J690:U690)*G690</f>
        <v/>
      </c>
      <c r="W690" s="2">
        <f>MAX(J690:U690)</f>
        <v/>
      </c>
      <c r="X690" s="2">
        <f>W690*G690</f>
        <v/>
      </c>
    </row>
    <row r="691">
      <c r="A691" s="2" t="inlineStr">
        <is>
          <t>14-S-104</t>
        </is>
      </c>
      <c r="B691" s="3" t="inlineStr">
        <is>
          <t>SOJC-SM-LC/PC-LC/PC</t>
        </is>
      </c>
      <c r="C691" s="2" t="inlineStr">
        <is>
          <t>5M</t>
        </is>
      </c>
      <c r="D691" s="2" t="inlineStr">
        <is>
          <t>a1</t>
        </is>
      </c>
      <c r="E691" s="2" t="inlineStr">
        <is>
          <t>2.0mm</t>
        </is>
      </c>
      <c r="F691" s="2" t="n">
        <v>1</v>
      </c>
      <c r="G691" s="2" t="n">
        <v>5</v>
      </c>
      <c r="H691" s="2" t="inlineStr">
        <is>
          <t>LC/PC</t>
        </is>
      </c>
      <c r="I691" s="2" t="inlineStr">
        <is>
          <t>LC/PC</t>
        </is>
      </c>
      <c r="J691" s="2" t="n"/>
      <c r="K691" s="2" t="n"/>
      <c r="L691" s="2" t="n"/>
      <c r="M691" s="2" t="n"/>
      <c r="N691" s="2" t="n">
        <v>30</v>
      </c>
      <c r="O691" s="2" t="n"/>
      <c r="P691" s="2" t="n"/>
      <c r="Q691" s="2" t="n">
        <v>30</v>
      </c>
      <c r="R691" s="2" t="n"/>
      <c r="S691" s="2" t="n"/>
      <c r="T691" s="2" t="n"/>
      <c r="U691" s="2" t="n"/>
      <c r="V691" s="2">
        <f>SUM(J691:U691)*G691</f>
        <v/>
      </c>
      <c r="W691" s="2">
        <f>MAX(J691:U691)</f>
        <v/>
      </c>
      <c r="X691" s="2">
        <f>W691*G691</f>
        <v/>
      </c>
    </row>
    <row r="692">
      <c r="A692" s="2" t="inlineStr">
        <is>
          <t>14-S-116</t>
        </is>
      </c>
      <c r="B692" s="3" t="inlineStr">
        <is>
          <t>SOJC-SM-LC/PC-SC/APC</t>
        </is>
      </c>
      <c r="C692" s="2" t="inlineStr">
        <is>
          <t>1M</t>
        </is>
      </c>
      <c r="D692" s="2" t="inlineStr">
        <is>
          <t>a1</t>
        </is>
      </c>
      <c r="E692" s="2" t="inlineStr">
        <is>
          <t>2.0mm</t>
        </is>
      </c>
      <c r="F692" s="2" t="n">
        <v>1</v>
      </c>
      <c r="G692" s="2" t="n">
        <v>1</v>
      </c>
      <c r="H692" s="2" t="inlineStr">
        <is>
          <t>LC/PC</t>
        </is>
      </c>
      <c r="I692" s="2" t="inlineStr">
        <is>
          <t>SC/APC</t>
        </is>
      </c>
      <c r="J692" s="2" t="n"/>
      <c r="K692" s="2" t="n"/>
      <c r="L692" s="2" t="n"/>
      <c r="M692" s="2" t="n"/>
      <c r="N692" s="2" t="n"/>
      <c r="O692" s="2" t="n">
        <v>30</v>
      </c>
      <c r="P692" s="2" t="n"/>
      <c r="Q692" s="2" t="n"/>
      <c r="R692" s="2" t="n"/>
      <c r="S692" s="2" t="n"/>
      <c r="T692" s="2" t="n"/>
      <c r="U692" s="2" t="n"/>
      <c r="V692" s="2">
        <f>SUM(J692:U692)*G692</f>
        <v/>
      </c>
      <c r="W692" s="2">
        <f>MAX(J692:U692)</f>
        <v/>
      </c>
      <c r="X692" s="2">
        <f>W692*G692</f>
        <v/>
      </c>
    </row>
    <row r="693">
      <c r="A693" s="2" t="inlineStr">
        <is>
          <t>14-S-118</t>
        </is>
      </c>
      <c r="B693" s="3" t="inlineStr">
        <is>
          <t>SOJC-SM-LC/PC-SC/APC</t>
        </is>
      </c>
      <c r="C693" s="2" t="inlineStr">
        <is>
          <t>25M</t>
        </is>
      </c>
      <c r="D693" s="2" t="inlineStr">
        <is>
          <t>a1</t>
        </is>
      </c>
      <c r="E693" s="2" t="inlineStr">
        <is>
          <t>2.0mm</t>
        </is>
      </c>
      <c r="F693" s="2" t="n">
        <v>1</v>
      </c>
      <c r="G693" s="2" t="n">
        <v>25</v>
      </c>
      <c r="H693" s="2" t="inlineStr">
        <is>
          <t>LC/PC</t>
        </is>
      </c>
      <c r="I693" s="2" t="inlineStr">
        <is>
          <t>SC/APC</t>
        </is>
      </c>
      <c r="J693" s="2" t="n"/>
      <c r="K693" s="2" t="n"/>
      <c r="L693" s="2" t="n">
        <v>4</v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>
        <f>SUM(J693:U693)*G693</f>
        <v/>
      </c>
      <c r="W693" s="2">
        <f>MAX(J693:U693)</f>
        <v/>
      </c>
      <c r="X693" s="2">
        <f>W693*G693</f>
        <v/>
      </c>
    </row>
    <row r="694">
      <c r="A694" s="2" t="inlineStr">
        <is>
          <t>14-S-120</t>
        </is>
      </c>
      <c r="B694" s="3" t="inlineStr">
        <is>
          <t>SOJC-SM-LC/PC-SC/APC</t>
        </is>
      </c>
      <c r="C694" s="2" t="inlineStr">
        <is>
          <t>30M</t>
        </is>
      </c>
      <c r="D694" s="2" t="inlineStr">
        <is>
          <t>a1</t>
        </is>
      </c>
      <c r="E694" s="2" t="inlineStr">
        <is>
          <t>2.0mm</t>
        </is>
      </c>
      <c r="F694" s="2" t="n">
        <v>1</v>
      </c>
      <c r="G694" s="2" t="n">
        <v>30</v>
      </c>
      <c r="H694" s="2" t="inlineStr">
        <is>
          <t>LC/PC</t>
        </is>
      </c>
      <c r="I694" s="2" t="inlineStr">
        <is>
          <t>SC/APC</t>
        </is>
      </c>
      <c r="J694" s="2" t="n"/>
      <c r="K694" s="2" t="n"/>
      <c r="L694" s="2" t="n"/>
      <c r="M694" s="2" t="n">
        <v>1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>
        <f>SUM(J694:U694)*G694</f>
        <v/>
      </c>
      <c r="W694" s="2">
        <f>MAX(J694:U694)</f>
        <v/>
      </c>
      <c r="X694" s="2">
        <f>W694*G694</f>
        <v/>
      </c>
    </row>
    <row r="695">
      <c r="A695" s="2" t="inlineStr">
        <is>
          <t>14-S-121</t>
        </is>
      </c>
      <c r="B695" s="3" t="inlineStr">
        <is>
          <t>SOJC-SM-LC/PC-SC/APC</t>
        </is>
      </c>
      <c r="C695" s="2" t="inlineStr">
        <is>
          <t>3M</t>
        </is>
      </c>
      <c r="D695" s="2" t="inlineStr">
        <is>
          <t>a1</t>
        </is>
      </c>
      <c r="E695" s="2" t="inlineStr">
        <is>
          <t>2.0mm</t>
        </is>
      </c>
      <c r="F695" s="2" t="n">
        <v>1</v>
      </c>
      <c r="G695" s="2" t="n">
        <v>3</v>
      </c>
      <c r="H695" s="2" t="inlineStr">
        <is>
          <t>LC/PC</t>
        </is>
      </c>
      <c r="I695" s="2" t="inlineStr">
        <is>
          <t>SC/APC</t>
        </is>
      </c>
      <c r="J695" s="2" t="n"/>
      <c r="K695" s="2" t="n">
        <v>20</v>
      </c>
      <c r="L695" s="2" t="n"/>
      <c r="M695" s="2" t="n"/>
      <c r="N695" s="2" t="n">
        <v>50</v>
      </c>
      <c r="O695" s="2" t="n"/>
      <c r="P695" s="2" t="n"/>
      <c r="Q695" s="2" t="n">
        <v>50</v>
      </c>
      <c r="R695" s="2" t="n"/>
      <c r="S695" s="2" t="n">
        <v>30</v>
      </c>
      <c r="T695" s="2" t="n"/>
      <c r="U695" s="2" t="n"/>
      <c r="V695" s="2">
        <f>SUM(J695:U695)*G695</f>
        <v/>
      </c>
      <c r="W695" s="2">
        <f>MAX(J695:U695)</f>
        <v/>
      </c>
      <c r="X695" s="2">
        <f>W695*G695</f>
        <v/>
      </c>
    </row>
    <row r="696">
      <c r="A696" s="2" t="inlineStr">
        <is>
          <t>14-S-129</t>
        </is>
      </c>
      <c r="B696" s="3" t="inlineStr">
        <is>
          <t>SOJC-SM-LC/PC-SC/PC</t>
        </is>
      </c>
      <c r="C696" s="2" t="inlineStr">
        <is>
          <t>1.5M</t>
        </is>
      </c>
      <c r="D696" s="2" t="inlineStr">
        <is>
          <t>a1</t>
        </is>
      </c>
      <c r="E696" s="2" t="inlineStr">
        <is>
          <t>2.0mm</t>
        </is>
      </c>
      <c r="F696" s="2" t="n">
        <v>1</v>
      </c>
      <c r="G696" s="2" t="n">
        <v>1.5</v>
      </c>
      <c r="H696" s="2" t="inlineStr">
        <is>
          <t>LC/PC</t>
        </is>
      </c>
      <c r="I696" s="2" t="inlineStr">
        <is>
          <t>SC/PC</t>
        </is>
      </c>
      <c r="J696" s="2" t="n"/>
      <c r="K696" s="2" t="n">
        <v>2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>
        <f>SUM(J696:U696)*G696</f>
        <v/>
      </c>
      <c r="W696" s="2">
        <f>MAX(J696:U696)</f>
        <v/>
      </c>
      <c r="X696" s="2">
        <f>W696*G696</f>
        <v/>
      </c>
    </row>
    <row r="697">
      <c r="A697" s="2" t="inlineStr">
        <is>
          <t>14-S-133</t>
        </is>
      </c>
      <c r="B697" s="3" t="inlineStr">
        <is>
          <t>SOJC-SM-LC/PC-SC/PC</t>
        </is>
      </c>
      <c r="C697" s="2" t="inlineStr">
        <is>
          <t>13M</t>
        </is>
      </c>
      <c r="D697" s="2" t="inlineStr">
        <is>
          <t>a1</t>
        </is>
      </c>
      <c r="E697" s="2" t="inlineStr">
        <is>
          <t>2.0mm</t>
        </is>
      </c>
      <c r="F697" s="2" t="n">
        <v>1</v>
      </c>
      <c r="G697" s="2" t="n">
        <v>13</v>
      </c>
      <c r="H697" s="2" t="inlineStr">
        <is>
          <t>LC/PC</t>
        </is>
      </c>
      <c r="I697" s="2" t="inlineStr">
        <is>
          <t>SC/PC</t>
        </is>
      </c>
      <c r="J697" s="2" t="n"/>
      <c r="K697" s="2" t="n">
        <v>3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>
        <f>SUM(J697:U697)*G697</f>
        <v/>
      </c>
      <c r="W697" s="2">
        <f>MAX(J697:U697)</f>
        <v/>
      </c>
      <c r="X697" s="2">
        <f>W697*G697</f>
        <v/>
      </c>
    </row>
    <row r="698">
      <c r="A698" s="2" t="inlineStr">
        <is>
          <t>14-S-134</t>
        </is>
      </c>
      <c r="B698" s="3" t="inlineStr">
        <is>
          <t>SOJC-SM-LC/PC-SC/PC</t>
        </is>
      </c>
      <c r="C698" s="2" t="inlineStr">
        <is>
          <t>15M</t>
        </is>
      </c>
      <c r="D698" s="2" t="inlineStr">
        <is>
          <t>a1</t>
        </is>
      </c>
      <c r="E698" s="2" t="inlineStr">
        <is>
          <t>2.0mm</t>
        </is>
      </c>
      <c r="F698" s="2" t="n">
        <v>1</v>
      </c>
      <c r="G698" s="2" t="n">
        <v>15</v>
      </c>
      <c r="H698" s="2" t="inlineStr">
        <is>
          <t>LC/PC</t>
        </is>
      </c>
      <c r="I698" s="2" t="inlineStr">
        <is>
          <t>SC/PC</t>
        </is>
      </c>
      <c r="J698" s="2" t="n"/>
      <c r="K698" s="2" t="n">
        <v>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>
        <f>SUM(J698:U698)*G698</f>
        <v/>
      </c>
      <c r="W698" s="2">
        <f>MAX(J698:U698)</f>
        <v/>
      </c>
      <c r="X698" s="2">
        <f>W698*G698</f>
        <v/>
      </c>
    </row>
    <row r="699">
      <c r="A699" s="2" t="inlineStr">
        <is>
          <t>14-S-135</t>
        </is>
      </c>
      <c r="B699" s="3" t="inlineStr">
        <is>
          <t>SOJC-SM-LC/PC-SC/PC</t>
        </is>
      </c>
      <c r="C699" s="2" t="inlineStr">
        <is>
          <t>16M</t>
        </is>
      </c>
      <c r="D699" s="2" t="inlineStr">
        <is>
          <t>a1</t>
        </is>
      </c>
      <c r="E699" s="2" t="inlineStr">
        <is>
          <t>2.0mm</t>
        </is>
      </c>
      <c r="F699" s="2" t="n">
        <v>1</v>
      </c>
      <c r="G699" s="2" t="n">
        <v>16</v>
      </c>
      <c r="H699" s="2" t="inlineStr">
        <is>
          <t>LC/PC</t>
        </is>
      </c>
      <c r="I699" s="2" t="inlineStr">
        <is>
          <t>SC/PC</t>
        </is>
      </c>
      <c r="J699" s="2" t="n"/>
      <c r="K699" s="2" t="n">
        <v>2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>
        <f>SUM(J699:U699)*G699</f>
        <v/>
      </c>
      <c r="W699" s="2">
        <f>MAX(J699:U699)</f>
        <v/>
      </c>
      <c r="X699" s="2">
        <f>W699*G699</f>
        <v/>
      </c>
    </row>
    <row r="700">
      <c r="A700" s="2" t="inlineStr">
        <is>
          <t>14-S-138</t>
        </is>
      </c>
      <c r="B700" s="3" t="inlineStr">
        <is>
          <t>SOJC-SM-LC/PC-SC/PC</t>
        </is>
      </c>
      <c r="C700" s="2" t="inlineStr">
        <is>
          <t>1M</t>
        </is>
      </c>
      <c r="D700" s="2" t="inlineStr">
        <is>
          <t>a1</t>
        </is>
      </c>
      <c r="E700" s="2" t="inlineStr">
        <is>
          <t>2.0mm</t>
        </is>
      </c>
      <c r="F700" s="2" t="n">
        <v>1</v>
      </c>
      <c r="G700" s="2" t="n">
        <v>1</v>
      </c>
      <c r="H700" s="2" t="inlineStr">
        <is>
          <t>LC/PC</t>
        </is>
      </c>
      <c r="I700" s="2" t="inlineStr">
        <is>
          <t>SC/PC</t>
        </is>
      </c>
      <c r="J700" s="2" t="n"/>
      <c r="K700" s="2" t="n"/>
      <c r="L700" s="2" t="n"/>
      <c r="M700" s="2" t="n"/>
      <c r="N700" s="2" t="n"/>
      <c r="O700" s="2" t="n"/>
      <c r="P700" s="2" t="n"/>
      <c r="Q700" s="2" t="n">
        <v>15</v>
      </c>
      <c r="R700" s="2" t="n"/>
      <c r="S700" s="2" t="n"/>
      <c r="T700" s="2" t="n">
        <v>50</v>
      </c>
      <c r="U700" s="2" t="n"/>
      <c r="V700" s="2">
        <f>SUM(J700:U700)*G700</f>
        <v/>
      </c>
      <c r="W700" s="2">
        <f>MAX(J700:U700)</f>
        <v/>
      </c>
      <c r="X700" s="2">
        <f>W700*G700</f>
        <v/>
      </c>
    </row>
    <row r="701">
      <c r="A701" s="2" t="inlineStr">
        <is>
          <t>14-S-146</t>
        </is>
      </c>
      <c r="B701" s="3" t="inlineStr">
        <is>
          <t>SOJC-SM-LC/PC-SC/PC</t>
        </is>
      </c>
      <c r="C701" s="2" t="inlineStr">
        <is>
          <t>3M</t>
        </is>
      </c>
      <c r="D701" s="2" t="inlineStr">
        <is>
          <t>a1</t>
        </is>
      </c>
      <c r="E701" s="2" t="inlineStr">
        <is>
          <t>2.0mm</t>
        </is>
      </c>
      <c r="F701" s="2" t="n">
        <v>1</v>
      </c>
      <c r="G701" s="2" t="n">
        <v>3</v>
      </c>
      <c r="H701" s="2" t="inlineStr">
        <is>
          <t>LC/PC</t>
        </is>
      </c>
      <c r="I701" s="2" t="inlineStr">
        <is>
          <t>SC/PC</t>
        </is>
      </c>
      <c r="J701" s="2" t="n"/>
      <c r="K701" s="2" t="n"/>
      <c r="L701" s="2" t="n"/>
      <c r="M701" s="2" t="n"/>
      <c r="N701" s="2" t="n"/>
      <c r="O701" s="2" t="n"/>
      <c r="P701" s="2" t="n">
        <v>160</v>
      </c>
      <c r="Q701" s="2" t="n">
        <v>1</v>
      </c>
      <c r="R701" s="2" t="n">
        <v>30</v>
      </c>
      <c r="S701" s="2" t="n"/>
      <c r="T701" s="2" t="n"/>
      <c r="U701" s="2" t="n"/>
      <c r="V701" s="2">
        <f>SUM(J701:U701)*G701</f>
        <v/>
      </c>
      <c r="W701" s="2">
        <f>MAX(J701:U701)</f>
        <v/>
      </c>
      <c r="X701" s="2">
        <f>W701*G701</f>
        <v/>
      </c>
    </row>
    <row r="702">
      <c r="A702" s="2" t="inlineStr">
        <is>
          <t>14-S-148</t>
        </is>
      </c>
      <c r="B702" s="3" t="inlineStr">
        <is>
          <t>SOJC-SM-LC/PC-SC/PC</t>
        </is>
      </c>
      <c r="C702" s="2" t="inlineStr">
        <is>
          <t>5M</t>
        </is>
      </c>
      <c r="D702" s="2" t="inlineStr">
        <is>
          <t>a1</t>
        </is>
      </c>
      <c r="E702" s="2" t="inlineStr">
        <is>
          <t>2.0mm</t>
        </is>
      </c>
      <c r="F702" s="2" t="n">
        <v>1</v>
      </c>
      <c r="G702" s="2" t="n">
        <v>5</v>
      </c>
      <c r="H702" s="2" t="inlineStr">
        <is>
          <t>LC/PC</t>
        </is>
      </c>
      <c r="I702" s="2" t="inlineStr">
        <is>
          <t>SC/PC</t>
        </is>
      </c>
      <c r="J702" s="2" t="n"/>
      <c r="K702" s="2" t="n"/>
      <c r="L702" s="2" t="n"/>
      <c r="M702" s="2" t="n"/>
      <c r="N702" s="2" t="n"/>
      <c r="O702" s="2" t="n"/>
      <c r="P702" s="2" t="n">
        <v>30</v>
      </c>
      <c r="Q702" s="2" t="n">
        <v>6</v>
      </c>
      <c r="R702" s="2" t="n"/>
      <c r="S702" s="2" t="n">
        <v>70</v>
      </c>
      <c r="T702" s="2" t="n">
        <v>105</v>
      </c>
      <c r="U702" s="2" t="n"/>
      <c r="V702" s="2">
        <f>SUM(J702:U702)*G702</f>
        <v/>
      </c>
      <c r="W702" s="2">
        <f>MAX(J702:U702)</f>
        <v/>
      </c>
      <c r="X702" s="2">
        <f>W702*G702</f>
        <v/>
      </c>
    </row>
    <row r="703">
      <c r="A703" s="2" t="inlineStr">
        <is>
          <t>14-S-175</t>
        </is>
      </c>
      <c r="B703" s="3" t="inlineStr">
        <is>
          <t>SOJC-SM-SC/APC-SC/APC</t>
        </is>
      </c>
      <c r="C703" s="2" t="inlineStr">
        <is>
          <t>1.5M</t>
        </is>
      </c>
      <c r="D703" s="2" t="inlineStr">
        <is>
          <t>a1</t>
        </is>
      </c>
      <c r="E703" s="2" t="inlineStr">
        <is>
          <t>2.0mm</t>
        </is>
      </c>
      <c r="F703" s="2" t="n">
        <v>1</v>
      </c>
      <c r="G703" s="2" t="n">
        <v>1.5</v>
      </c>
      <c r="H703" s="2" t="inlineStr">
        <is>
          <t>SC/APC</t>
        </is>
      </c>
      <c r="I703" s="2" t="inlineStr">
        <is>
          <t>SC/APC</t>
        </is>
      </c>
      <c r="J703" s="2" t="n"/>
      <c r="K703" s="2" t="n"/>
      <c r="L703" s="2" t="n"/>
      <c r="M703" s="2" t="n"/>
      <c r="N703" s="2" t="n">
        <v>300</v>
      </c>
      <c r="O703" s="2" t="n"/>
      <c r="P703" s="2" t="n"/>
      <c r="Q703" s="2" t="n"/>
      <c r="R703" s="2" t="n"/>
      <c r="S703" s="2" t="n"/>
      <c r="T703" s="2" t="n"/>
      <c r="U703" s="2" t="n"/>
      <c r="V703" s="2">
        <f>SUM(J703:U703)*G703</f>
        <v/>
      </c>
      <c r="W703" s="2">
        <f>MAX(J703:U703)</f>
        <v/>
      </c>
      <c r="X703" s="2">
        <f>W703*G703</f>
        <v/>
      </c>
    </row>
    <row r="704">
      <c r="A704" s="2" t="inlineStr">
        <is>
          <t>14-S-176</t>
        </is>
      </c>
      <c r="B704" s="3" t="inlineStr">
        <is>
          <t>SOJC-SM-SC/APC-SC/APC</t>
        </is>
      </c>
      <c r="C704" s="2" t="inlineStr">
        <is>
          <t>10M</t>
        </is>
      </c>
      <c r="D704" s="2" t="inlineStr">
        <is>
          <t>a1</t>
        </is>
      </c>
      <c r="E704" s="2" t="inlineStr">
        <is>
          <t>2.0mm</t>
        </is>
      </c>
      <c r="F704" s="2" t="n">
        <v>1</v>
      </c>
      <c r="G704" s="2" t="n">
        <v>10</v>
      </c>
      <c r="H704" s="2" t="inlineStr">
        <is>
          <t>SC/APC</t>
        </is>
      </c>
      <c r="I704" s="2" t="inlineStr">
        <is>
          <t>SC/APC</t>
        </is>
      </c>
      <c r="J704" s="2" t="n"/>
      <c r="K704" s="2" t="n"/>
      <c r="L704" s="2" t="n"/>
      <c r="M704" s="2" t="n"/>
      <c r="N704" s="2" t="n"/>
      <c r="O704" s="2" t="n"/>
      <c r="P704" s="2" t="n"/>
      <c r="Q704" s="2" t="n">
        <v>10</v>
      </c>
      <c r="R704" s="2" t="n"/>
      <c r="S704" s="2" t="n"/>
      <c r="T704" s="2" t="n"/>
      <c r="U704" s="2" t="n"/>
      <c r="V704" s="2">
        <f>SUM(J704:U704)*G704</f>
        <v/>
      </c>
      <c r="W704" s="2">
        <f>MAX(J704:U704)</f>
        <v/>
      </c>
      <c r="X704" s="2">
        <f>W704*G704</f>
        <v/>
      </c>
    </row>
    <row r="705">
      <c r="A705" s="2" t="inlineStr">
        <is>
          <t>14-S-181</t>
        </is>
      </c>
      <c r="B705" s="3" t="inlineStr">
        <is>
          <t>SOJC-SM-SC/APC-SC/APC</t>
        </is>
      </c>
      <c r="C705" s="2" t="inlineStr">
        <is>
          <t>20M</t>
        </is>
      </c>
      <c r="D705" s="2" t="inlineStr">
        <is>
          <t>a1</t>
        </is>
      </c>
      <c r="E705" s="2" t="inlineStr">
        <is>
          <t>2.0mm</t>
        </is>
      </c>
      <c r="F705" s="2" t="n">
        <v>1</v>
      </c>
      <c r="G705" s="2" t="n">
        <v>20</v>
      </c>
      <c r="H705" s="2" t="inlineStr">
        <is>
          <t>SC/APC</t>
        </is>
      </c>
      <c r="I705" s="2" t="inlineStr">
        <is>
          <t>SC/APC</t>
        </is>
      </c>
      <c r="J705" s="2" t="n"/>
      <c r="K705" s="2" t="n"/>
      <c r="L705" s="2" t="n"/>
      <c r="M705" s="2" t="n">
        <v>15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>
        <f>SUM(J705:U705)*G705</f>
        <v/>
      </c>
      <c r="W705" s="2">
        <f>MAX(J705:U705)</f>
        <v/>
      </c>
      <c r="X705" s="2">
        <f>W705*G705</f>
        <v/>
      </c>
    </row>
    <row r="706">
      <c r="A706" s="2" t="inlineStr">
        <is>
          <t>14-S-185</t>
        </is>
      </c>
      <c r="B706" s="3" t="inlineStr">
        <is>
          <t>SOJC-SM-SC/APC-SC/APC</t>
        </is>
      </c>
      <c r="C706" s="2" t="inlineStr">
        <is>
          <t>3M</t>
        </is>
      </c>
      <c r="D706" s="2" t="inlineStr">
        <is>
          <t>a1</t>
        </is>
      </c>
      <c r="E706" s="2" t="inlineStr">
        <is>
          <t>2.0mm</t>
        </is>
      </c>
      <c r="F706" s="2" t="n">
        <v>1</v>
      </c>
      <c r="G706" s="2" t="n">
        <v>3</v>
      </c>
      <c r="H706" s="2" t="inlineStr">
        <is>
          <t>SC/APC</t>
        </is>
      </c>
      <c r="I706" s="2" t="inlineStr">
        <is>
          <t>SC/APC</t>
        </is>
      </c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>
        <v>200</v>
      </c>
      <c r="T706" s="2" t="n"/>
      <c r="U706" s="2" t="n"/>
      <c r="V706" s="2">
        <f>SUM(J706:U706)*G706</f>
        <v/>
      </c>
      <c r="W706" s="2">
        <f>MAX(J706:U706)</f>
        <v/>
      </c>
      <c r="X706" s="2">
        <f>W706*G706</f>
        <v/>
      </c>
    </row>
    <row r="707">
      <c r="A707" s="2" t="inlineStr">
        <is>
          <t>14-S-188</t>
        </is>
      </c>
      <c r="B707" s="3" t="inlineStr">
        <is>
          <t>SOJC-SM-SC/APC-SC/APC</t>
        </is>
      </c>
      <c r="C707" s="2" t="inlineStr">
        <is>
          <t>4M</t>
        </is>
      </c>
      <c r="D707" s="2" t="inlineStr">
        <is>
          <t>a1</t>
        </is>
      </c>
      <c r="E707" s="2" t="inlineStr">
        <is>
          <t>2.0mm</t>
        </is>
      </c>
      <c r="F707" s="2" t="n">
        <v>1</v>
      </c>
      <c r="G707" s="2" t="n">
        <v>4</v>
      </c>
      <c r="H707" s="2" t="inlineStr">
        <is>
          <t>SC/APC</t>
        </is>
      </c>
      <c r="I707" s="2" t="inlineStr">
        <is>
          <t>SC/APC</t>
        </is>
      </c>
      <c r="J707" s="2" t="n">
        <v>25</v>
      </c>
      <c r="K707" s="2" t="n">
        <v>12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>
        <f>SUM(J707:U707)*G707</f>
        <v/>
      </c>
      <c r="W707" s="2">
        <f>MAX(J707:U707)</f>
        <v/>
      </c>
      <c r="X707" s="2">
        <f>W707*G707</f>
        <v/>
      </c>
    </row>
    <row r="708">
      <c r="A708" s="2" t="inlineStr">
        <is>
          <t>14-S-214</t>
        </is>
      </c>
      <c r="B708" s="3" t="inlineStr">
        <is>
          <t>SOJC-SM-SC/PC-FC/APC</t>
        </is>
      </c>
      <c r="C708" s="2" t="inlineStr">
        <is>
          <t>8M</t>
        </is>
      </c>
      <c r="D708" s="2" t="inlineStr">
        <is>
          <t>a1</t>
        </is>
      </c>
      <c r="E708" s="2" t="inlineStr">
        <is>
          <t>2.0mm</t>
        </is>
      </c>
      <c r="F708" s="2" t="n">
        <v>1</v>
      </c>
      <c r="G708" s="2" t="n">
        <v>8</v>
      </c>
      <c r="H708" s="2" t="inlineStr">
        <is>
          <t>SC/PC</t>
        </is>
      </c>
      <c r="I708" s="2" t="inlineStr">
        <is>
          <t>FC/APC</t>
        </is>
      </c>
      <c r="J708" s="2" t="n">
        <v>2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>
        <f>SUM(J708:U708)*G708</f>
        <v/>
      </c>
      <c r="W708" s="2">
        <f>MAX(J708:U708)</f>
        <v/>
      </c>
      <c r="X708" s="2">
        <f>W708*G708</f>
        <v/>
      </c>
    </row>
    <row r="709">
      <c r="A709" s="2" t="inlineStr">
        <is>
          <t>14-S-224</t>
        </is>
      </c>
      <c r="B709" s="3" t="inlineStr">
        <is>
          <t>SOJC-SM-SC/PC-FC/PC</t>
        </is>
      </c>
      <c r="C709" s="2" t="inlineStr">
        <is>
          <t>3M</t>
        </is>
      </c>
      <c r="D709" s="2" t="inlineStr">
        <is>
          <t>a1</t>
        </is>
      </c>
      <c r="E709" s="2" t="inlineStr">
        <is>
          <t>2.0mm</t>
        </is>
      </c>
      <c r="F709" s="2" t="n">
        <v>1</v>
      </c>
      <c r="G709" s="2" t="n">
        <v>3</v>
      </c>
      <c r="H709" s="2" t="inlineStr">
        <is>
          <t>SC/PC</t>
        </is>
      </c>
      <c r="I709" s="2" t="inlineStr">
        <is>
          <t>FC/PC</t>
        </is>
      </c>
      <c r="J709" s="2" t="n"/>
      <c r="K709" s="2" t="n"/>
      <c r="L709" s="2" t="n"/>
      <c r="M709" s="2" t="n">
        <v>5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>
        <f>SUM(J709:U709)*G709</f>
        <v/>
      </c>
      <c r="W709" s="2">
        <f>MAX(J709:U709)</f>
        <v/>
      </c>
      <c r="X709" s="2">
        <f>W709*G709</f>
        <v/>
      </c>
    </row>
    <row r="710">
      <c r="A710" s="2" t="inlineStr">
        <is>
          <t>14-S-232</t>
        </is>
      </c>
      <c r="B710" s="3" t="inlineStr">
        <is>
          <t>SOJC-SM-SC/PC-SC/APC</t>
        </is>
      </c>
      <c r="C710" s="2" t="inlineStr">
        <is>
          <t>0.5M</t>
        </is>
      </c>
      <c r="D710" s="2" t="inlineStr">
        <is>
          <t>a1</t>
        </is>
      </c>
      <c r="E710" s="2" t="inlineStr">
        <is>
          <t>2.0mm</t>
        </is>
      </c>
      <c r="F710" s="2" t="n">
        <v>1</v>
      </c>
      <c r="G710" s="2" t="n">
        <v>0.5</v>
      </c>
      <c r="H710" s="2" t="inlineStr">
        <is>
          <t>SC/PC</t>
        </is>
      </c>
      <c r="I710" s="2" t="inlineStr">
        <is>
          <t>SC/APC</t>
        </is>
      </c>
      <c r="J710" s="2" t="n"/>
      <c r="K710" s="2" t="n">
        <v>4</v>
      </c>
      <c r="L710" s="2" t="n">
        <v>965</v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>
        <f>SUM(J710:U710)*G710</f>
        <v/>
      </c>
      <c r="W710" s="2">
        <f>MAX(J710:U710)</f>
        <v/>
      </c>
      <c r="X710" s="2">
        <f>W710*G710</f>
        <v/>
      </c>
    </row>
    <row r="711">
      <c r="A711" s="2" t="inlineStr">
        <is>
          <t>14-S-233</t>
        </is>
      </c>
      <c r="B711" s="3" t="inlineStr">
        <is>
          <t>SOJC-SM-SC/PC-SC/APC</t>
        </is>
      </c>
      <c r="C711" s="2" t="inlineStr">
        <is>
          <t>1.5M</t>
        </is>
      </c>
      <c r="D711" s="2" t="inlineStr">
        <is>
          <t>a1</t>
        </is>
      </c>
      <c r="E711" s="2" t="inlineStr">
        <is>
          <t>2.0mm</t>
        </is>
      </c>
      <c r="F711" s="2" t="n">
        <v>1</v>
      </c>
      <c r="G711" s="2" t="n">
        <v>1.5</v>
      </c>
      <c r="H711" s="2" t="inlineStr">
        <is>
          <t>SC/PC</t>
        </is>
      </c>
      <c r="I711" s="2" t="inlineStr">
        <is>
          <t>SC/APC</t>
        </is>
      </c>
      <c r="J711" s="2" t="n"/>
      <c r="K711" s="2" t="n"/>
      <c r="L711" s="2" t="n"/>
      <c r="M711" s="2" t="n"/>
      <c r="N711" s="2" t="n">
        <v>108</v>
      </c>
      <c r="O711" s="2" t="n"/>
      <c r="P711" s="2" t="n"/>
      <c r="Q711" s="2" t="n"/>
      <c r="R711" s="2" t="n"/>
      <c r="S711" s="2" t="n"/>
      <c r="T711" s="2" t="n"/>
      <c r="U711" s="2" t="n"/>
      <c r="V711" s="2">
        <f>SUM(J711:U711)*G711</f>
        <v/>
      </c>
      <c r="W711" s="2">
        <f>MAX(J711:U711)</f>
        <v/>
      </c>
      <c r="X711" s="2">
        <f>W711*G711</f>
        <v/>
      </c>
    </row>
    <row r="712">
      <c r="A712" s="2" t="inlineStr">
        <is>
          <t>14-S-234</t>
        </is>
      </c>
      <c r="B712" s="3" t="inlineStr">
        <is>
          <t>SOJC-SM-SC/PC-SC/APC</t>
        </is>
      </c>
      <c r="C712" s="2" t="inlineStr">
        <is>
          <t>10M</t>
        </is>
      </c>
      <c r="D712" s="2" t="inlineStr">
        <is>
          <t>a1</t>
        </is>
      </c>
      <c r="E712" s="2" t="inlineStr">
        <is>
          <t>2.0mm</t>
        </is>
      </c>
      <c r="F712" s="2" t="n">
        <v>1</v>
      </c>
      <c r="G712" s="2" t="n">
        <v>10</v>
      </c>
      <c r="H712" s="2" t="inlineStr">
        <is>
          <t>SC/PC</t>
        </is>
      </c>
      <c r="I712" s="2" t="inlineStr">
        <is>
          <t>SC/APC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>
        <v>4</v>
      </c>
      <c r="R712" s="2" t="n"/>
      <c r="S712" s="2" t="n"/>
      <c r="T712" s="2" t="n"/>
      <c r="U712" s="2" t="n"/>
      <c r="V712" s="2">
        <f>SUM(J712:U712)*G712</f>
        <v/>
      </c>
      <c r="W712" s="2">
        <f>MAX(J712:U712)</f>
        <v/>
      </c>
      <c r="X712" s="2">
        <f>W712*G712</f>
        <v/>
      </c>
    </row>
    <row r="713">
      <c r="A713" s="2" t="inlineStr">
        <is>
          <t>14-S-239</t>
        </is>
      </c>
      <c r="B713" s="3" t="inlineStr">
        <is>
          <t>SOJC-SM-SC/PC-SC/APC</t>
        </is>
      </c>
      <c r="C713" s="2" t="inlineStr">
        <is>
          <t>1M</t>
        </is>
      </c>
      <c r="D713" s="2" t="inlineStr">
        <is>
          <t>a1</t>
        </is>
      </c>
      <c r="E713" s="2" t="inlineStr">
        <is>
          <t>2.0mm</t>
        </is>
      </c>
      <c r="F713" s="2" t="n">
        <v>1</v>
      </c>
      <c r="G713" s="2" t="n">
        <v>1</v>
      </c>
      <c r="H713" s="2" t="inlineStr">
        <is>
          <t>SC/PC</t>
        </is>
      </c>
      <c r="I713" s="2" t="inlineStr">
        <is>
          <t>SC/APC</t>
        </is>
      </c>
      <c r="J713" s="2" t="n"/>
      <c r="K713" s="2" t="n"/>
      <c r="L713" s="2" t="n"/>
      <c r="M713" s="2" t="n"/>
      <c r="N713" s="2" t="n"/>
      <c r="O713" s="2" t="n"/>
      <c r="P713" s="2" t="n">
        <v>30</v>
      </c>
      <c r="Q713" s="2" t="n"/>
      <c r="R713" s="2" t="n"/>
      <c r="S713" s="2" t="n"/>
      <c r="T713" s="2" t="n">
        <v>100</v>
      </c>
      <c r="U713" s="2" t="n"/>
      <c r="V713" s="2">
        <f>SUM(J713:U713)*G713</f>
        <v/>
      </c>
      <c r="W713" s="2">
        <f>MAX(J713:U713)</f>
        <v/>
      </c>
      <c r="X713" s="2">
        <f>W713*G713</f>
        <v/>
      </c>
    </row>
    <row r="714">
      <c r="A714" s="2" t="inlineStr">
        <is>
          <t>14-S-241</t>
        </is>
      </c>
      <c r="B714" s="3" t="inlineStr">
        <is>
          <t>SOJC-SM-SC/PC-SC/APC</t>
        </is>
      </c>
      <c r="C714" s="2" t="inlineStr">
        <is>
          <t>20M</t>
        </is>
      </c>
      <c r="D714" s="2" t="inlineStr">
        <is>
          <t>a1</t>
        </is>
      </c>
      <c r="E714" s="2" t="inlineStr">
        <is>
          <t>2.0mm</t>
        </is>
      </c>
      <c r="F714" s="2" t="n">
        <v>1</v>
      </c>
      <c r="G714" s="2" t="n">
        <v>20</v>
      </c>
      <c r="H714" s="2" t="inlineStr">
        <is>
          <t>SC/PC</t>
        </is>
      </c>
      <c r="I714" s="2" t="inlineStr">
        <is>
          <t>SC/APC</t>
        </is>
      </c>
      <c r="J714" s="2" t="n"/>
      <c r="K714" s="2" t="n"/>
      <c r="L714" s="2" t="n"/>
      <c r="M714" s="2" t="n"/>
      <c r="N714" s="2" t="n"/>
      <c r="O714" s="2" t="n"/>
      <c r="P714" s="2" t="n">
        <v>80</v>
      </c>
      <c r="Q714" s="2" t="n"/>
      <c r="R714" s="2" t="n"/>
      <c r="S714" s="2" t="n"/>
      <c r="T714" s="2" t="n"/>
      <c r="U714" s="2" t="n"/>
      <c r="V714" s="2">
        <f>SUM(J714:U714)*G714</f>
        <v/>
      </c>
      <c r="W714" s="2">
        <f>MAX(J714:U714)</f>
        <v/>
      </c>
      <c r="X714" s="2">
        <f>W714*G714</f>
        <v/>
      </c>
    </row>
    <row r="715">
      <c r="A715" s="2" t="inlineStr">
        <is>
          <t>14-S-245</t>
        </is>
      </c>
      <c r="B715" s="3" t="inlineStr">
        <is>
          <t>SOJC-SM-SC/PC-SC/APC</t>
        </is>
      </c>
      <c r="C715" s="2" t="inlineStr">
        <is>
          <t>2M</t>
        </is>
      </c>
      <c r="D715" s="2" t="inlineStr">
        <is>
          <t>a1</t>
        </is>
      </c>
      <c r="E715" s="2" t="inlineStr">
        <is>
          <t>2.0mm</t>
        </is>
      </c>
      <c r="F715" s="2" t="n">
        <v>1</v>
      </c>
      <c r="G715" s="2" t="n">
        <v>2</v>
      </c>
      <c r="H715" s="2" t="inlineStr">
        <is>
          <t>SC/PC</t>
        </is>
      </c>
      <c r="I715" s="2" t="inlineStr">
        <is>
          <t>SC/APC</t>
        </is>
      </c>
      <c r="J715" s="2" t="n"/>
      <c r="K715" s="2" t="n"/>
      <c r="L715" s="2" t="n"/>
      <c r="M715" s="2" t="n"/>
      <c r="N715" s="2" t="n"/>
      <c r="O715" s="2" t="n">
        <v>40</v>
      </c>
      <c r="P715" s="2" t="n">
        <v>100</v>
      </c>
      <c r="Q715" s="2" t="n">
        <v>30</v>
      </c>
      <c r="R715" s="2" t="n">
        <v>50</v>
      </c>
      <c r="S715" s="2" t="n"/>
      <c r="T715" s="2" t="n"/>
      <c r="U715" s="2" t="n"/>
      <c r="V715" s="2">
        <f>SUM(J715:U715)*G715</f>
        <v/>
      </c>
      <c r="W715" s="2">
        <f>MAX(J715:U715)</f>
        <v/>
      </c>
      <c r="X715" s="2">
        <f>W715*G715</f>
        <v/>
      </c>
    </row>
    <row r="716">
      <c r="A716" s="2" t="inlineStr">
        <is>
          <t>14-S-247</t>
        </is>
      </c>
      <c r="B716" s="3" t="inlineStr">
        <is>
          <t>SOJC-SM-SC/PC-SC/APC</t>
        </is>
      </c>
      <c r="C716" s="2" t="inlineStr">
        <is>
          <t>30M</t>
        </is>
      </c>
      <c r="D716" s="2" t="inlineStr">
        <is>
          <t>a1</t>
        </is>
      </c>
      <c r="E716" s="2" t="inlineStr">
        <is>
          <t>2.0mm</t>
        </is>
      </c>
      <c r="F716" s="2" t="n">
        <v>1</v>
      </c>
      <c r="G716" s="2" t="n">
        <v>30</v>
      </c>
      <c r="H716" s="2" t="inlineStr">
        <is>
          <t>SC/PC</t>
        </is>
      </c>
      <c r="I716" s="2" t="inlineStr">
        <is>
          <t>SC/APC</t>
        </is>
      </c>
      <c r="J716" s="2" t="n"/>
      <c r="K716" s="2" t="n"/>
      <c r="L716" s="2" t="n"/>
      <c r="M716" s="2" t="n"/>
      <c r="N716" s="2" t="n"/>
      <c r="O716" s="2" t="n"/>
      <c r="P716" s="2" t="n"/>
      <c r="Q716" s="2" t="n">
        <v>1</v>
      </c>
      <c r="R716" s="2" t="n"/>
      <c r="S716" s="2" t="n"/>
      <c r="T716" s="2" t="n"/>
      <c r="U716" s="2" t="n"/>
      <c r="V716" s="2">
        <f>SUM(J716:U716)*G716</f>
        <v/>
      </c>
      <c r="W716" s="2">
        <f>MAX(J716:U716)</f>
        <v/>
      </c>
      <c r="X716" s="2">
        <f>W716*G716</f>
        <v/>
      </c>
    </row>
    <row r="717">
      <c r="A717" s="2" t="inlineStr">
        <is>
          <t>14-S-249</t>
        </is>
      </c>
      <c r="B717" s="3" t="inlineStr">
        <is>
          <t>SOJC-SM-SC/PC-SC/APC</t>
        </is>
      </c>
      <c r="C717" s="2" t="inlineStr">
        <is>
          <t>3M</t>
        </is>
      </c>
      <c r="D717" s="2" t="inlineStr">
        <is>
          <t>a1</t>
        </is>
      </c>
      <c r="E717" s="2" t="inlineStr">
        <is>
          <t>2.0mm</t>
        </is>
      </c>
      <c r="F717" s="2" t="n">
        <v>1</v>
      </c>
      <c r="G717" s="2" t="n">
        <v>3</v>
      </c>
      <c r="H717" s="2" t="inlineStr">
        <is>
          <t>SC/PC</t>
        </is>
      </c>
      <c r="I717" s="2" t="inlineStr">
        <is>
          <t>SC/APC</t>
        </is>
      </c>
      <c r="J717" s="2" t="n">
        <v>50</v>
      </c>
      <c r="K717" s="2" t="n"/>
      <c r="L717" s="2" t="n"/>
      <c r="M717" s="2" t="n"/>
      <c r="N717" s="2" t="n">
        <v>50</v>
      </c>
      <c r="O717" s="2" t="n"/>
      <c r="P717" s="2" t="n"/>
      <c r="Q717" s="2" t="n">
        <v>20</v>
      </c>
      <c r="R717" s="2" t="n"/>
      <c r="S717" s="2" t="n">
        <v>60</v>
      </c>
      <c r="T717" s="2" t="n"/>
      <c r="U717" s="2" t="n">
        <v>200</v>
      </c>
      <c r="V717" s="2">
        <f>SUM(J717:U717)*G717</f>
        <v/>
      </c>
      <c r="W717" s="2">
        <f>MAX(J717:U717)</f>
        <v/>
      </c>
      <c r="X717" s="2">
        <f>W717*G717</f>
        <v/>
      </c>
    </row>
    <row r="718">
      <c r="A718" s="2" t="inlineStr">
        <is>
          <t>14-S-251</t>
        </is>
      </c>
      <c r="B718" s="3" t="inlineStr">
        <is>
          <t>SOJC-SM-SC/PC-SC/APC</t>
        </is>
      </c>
      <c r="C718" s="2" t="inlineStr">
        <is>
          <t>5M</t>
        </is>
      </c>
      <c r="D718" s="2" t="inlineStr">
        <is>
          <t>a1</t>
        </is>
      </c>
      <c r="E718" s="2" t="inlineStr">
        <is>
          <t>2.0mm</t>
        </is>
      </c>
      <c r="F718" s="2" t="n">
        <v>1</v>
      </c>
      <c r="G718" s="2" t="n">
        <v>5</v>
      </c>
      <c r="H718" s="2" t="inlineStr">
        <is>
          <t>SC/PC</t>
        </is>
      </c>
      <c r="I718" s="2" t="inlineStr">
        <is>
          <t>SC/APC</t>
        </is>
      </c>
      <c r="J718" s="2" t="n"/>
      <c r="K718" s="2" t="n"/>
      <c r="L718" s="2" t="n"/>
      <c r="M718" s="2" t="n"/>
      <c r="N718" s="2" t="n"/>
      <c r="O718" s="2" t="n"/>
      <c r="P718" s="2" t="n"/>
      <c r="Q718" s="2" t="n">
        <v>4</v>
      </c>
      <c r="R718" s="2" t="n">
        <v>320</v>
      </c>
      <c r="S718" s="2" t="n"/>
      <c r="T718" s="2" t="n">
        <v>241</v>
      </c>
      <c r="U718" s="2" t="n">
        <v>100</v>
      </c>
      <c r="V718" s="2">
        <f>SUM(J718:U718)*G718</f>
        <v/>
      </c>
      <c r="W718" s="2">
        <f>MAX(J718:U718)</f>
        <v/>
      </c>
      <c r="X718" s="2">
        <f>W718*G718</f>
        <v/>
      </c>
    </row>
    <row r="719">
      <c r="A719" s="2" t="inlineStr">
        <is>
          <t>14-S-253</t>
        </is>
      </c>
      <c r="B719" s="3" t="inlineStr">
        <is>
          <t>SOJC-SM-SC/PC-SC/APC</t>
        </is>
      </c>
      <c r="C719" s="2" t="inlineStr">
        <is>
          <t>8M</t>
        </is>
      </c>
      <c r="D719" s="2" t="inlineStr">
        <is>
          <t>a1</t>
        </is>
      </c>
      <c r="E719" s="2" t="inlineStr">
        <is>
          <t>2.0mm</t>
        </is>
      </c>
      <c r="F719" s="2" t="n">
        <v>1</v>
      </c>
      <c r="G719" s="2" t="n">
        <v>8</v>
      </c>
      <c r="H719" s="2" t="inlineStr">
        <is>
          <t>SC/PC</t>
        </is>
      </c>
      <c r="I719" s="2" t="inlineStr">
        <is>
          <t>SC/APC</t>
        </is>
      </c>
      <c r="J719" s="2" t="n">
        <v>46</v>
      </c>
      <c r="K719" s="2" t="n">
        <v>60</v>
      </c>
      <c r="L719" s="2" t="n">
        <v>60</v>
      </c>
      <c r="M719" s="2" t="n"/>
      <c r="N719" s="2" t="n"/>
      <c r="O719" s="2" t="n"/>
      <c r="P719" s="2" t="n"/>
      <c r="Q719" s="2" t="n">
        <v>8</v>
      </c>
      <c r="R719" s="2" t="n"/>
      <c r="S719" s="2" t="n"/>
      <c r="T719" s="2" t="n"/>
      <c r="U719" s="2" t="n"/>
      <c r="V719" s="2">
        <f>SUM(J719:U719)*G719</f>
        <v/>
      </c>
      <c r="W719" s="2">
        <f>MAX(J719:U719)</f>
        <v/>
      </c>
      <c r="X719" s="2">
        <f>W719*G719</f>
        <v/>
      </c>
    </row>
    <row r="720">
      <c r="A720" s="2" t="inlineStr">
        <is>
          <t>14-S-258</t>
        </is>
      </c>
      <c r="B720" s="3" t="inlineStr">
        <is>
          <t>SOJC-SM-SC/PC-SC/PC</t>
        </is>
      </c>
      <c r="C720" s="2" t="inlineStr">
        <is>
          <t>10M</t>
        </is>
      </c>
      <c r="D720" s="2" t="inlineStr">
        <is>
          <t>a1</t>
        </is>
      </c>
      <c r="E720" s="2" t="inlineStr">
        <is>
          <t>2.0mm</t>
        </is>
      </c>
      <c r="F720" s="2" t="n">
        <v>1</v>
      </c>
      <c r="G720" s="2" t="n">
        <v>10</v>
      </c>
      <c r="H720" s="2" t="inlineStr">
        <is>
          <t>SC/PC</t>
        </is>
      </c>
      <c r="I720" s="2" t="inlineStr">
        <is>
          <t>SC/PC</t>
        </is>
      </c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>
        <v>500</v>
      </c>
      <c r="U720" s="2" t="n"/>
      <c r="V720" s="2">
        <f>SUM(J720:U720)*G720</f>
        <v/>
      </c>
      <c r="W720" s="2">
        <f>MAX(J720:U720)</f>
        <v/>
      </c>
      <c r="X720" s="2">
        <f>W720*G720</f>
        <v/>
      </c>
    </row>
    <row r="721">
      <c r="A721" s="2" t="inlineStr">
        <is>
          <t>14-S-261</t>
        </is>
      </c>
      <c r="B721" s="3" t="inlineStr">
        <is>
          <t>SOJC-SM-SC/PC-SC/PC</t>
        </is>
      </c>
      <c r="C721" s="2" t="inlineStr">
        <is>
          <t>1M</t>
        </is>
      </c>
      <c r="D721" s="2" t="inlineStr">
        <is>
          <t>a1</t>
        </is>
      </c>
      <c r="E721" s="2" t="inlineStr">
        <is>
          <t>2.0mm</t>
        </is>
      </c>
      <c r="F721" s="2" t="n">
        <v>1</v>
      </c>
      <c r="G721" s="2" t="n">
        <v>1</v>
      </c>
      <c r="H721" s="2" t="inlineStr">
        <is>
          <t>SC/PC</t>
        </is>
      </c>
      <c r="I721" s="2" t="inlineStr">
        <is>
          <t>SC/PC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>
        <v>20</v>
      </c>
      <c r="S721" s="2" t="n"/>
      <c r="T721" s="2" t="n"/>
      <c r="U721" s="2" t="n"/>
      <c r="V721" s="2">
        <f>SUM(J721:U721)*G721</f>
        <v/>
      </c>
      <c r="W721" s="2">
        <f>MAX(J721:U721)</f>
        <v/>
      </c>
      <c r="X721" s="2">
        <f>W721*G721</f>
        <v/>
      </c>
    </row>
    <row r="722">
      <c r="A722" s="2" t="inlineStr">
        <is>
          <t>14-S-263</t>
        </is>
      </c>
      <c r="B722" s="3" t="inlineStr">
        <is>
          <t>SOJC-SM-SC/PC-SC/PC</t>
        </is>
      </c>
      <c r="C722" s="2" t="inlineStr">
        <is>
          <t>20M</t>
        </is>
      </c>
      <c r="D722" s="2" t="inlineStr">
        <is>
          <t>a1</t>
        </is>
      </c>
      <c r="E722" s="2" t="inlineStr">
        <is>
          <t>2.0mm</t>
        </is>
      </c>
      <c r="F722" s="2" t="n">
        <v>1</v>
      </c>
      <c r="G722" s="2" t="n">
        <v>20</v>
      </c>
      <c r="H722" s="2" t="inlineStr">
        <is>
          <t>SC/PC</t>
        </is>
      </c>
      <c r="I722" s="2" t="inlineStr">
        <is>
          <t>SC/PC</t>
        </is>
      </c>
      <c r="J722" s="2" t="n"/>
      <c r="K722" s="2" t="n"/>
      <c r="L722" s="2" t="n"/>
      <c r="M722" s="2" t="n"/>
      <c r="N722" s="2" t="n"/>
      <c r="O722" s="2" t="n">
        <v>100</v>
      </c>
      <c r="P722" s="2" t="n"/>
      <c r="Q722" s="2" t="n"/>
      <c r="R722" s="2" t="n"/>
      <c r="S722" s="2" t="n"/>
      <c r="T722" s="2" t="n"/>
      <c r="U722" s="2" t="n"/>
      <c r="V722" s="2">
        <f>SUM(J722:U722)*G722</f>
        <v/>
      </c>
      <c r="W722" s="2">
        <f>MAX(J722:U722)</f>
        <v/>
      </c>
      <c r="X722" s="2">
        <f>W722*G722</f>
        <v/>
      </c>
    </row>
    <row r="723">
      <c r="A723" s="2" t="inlineStr">
        <is>
          <t>14-S-264</t>
        </is>
      </c>
      <c r="B723" s="3" t="inlineStr">
        <is>
          <t>SOJC-SM-SC/PC-SC/PC</t>
        </is>
      </c>
      <c r="C723" s="2" t="inlineStr">
        <is>
          <t>25M</t>
        </is>
      </c>
      <c r="D723" s="2" t="inlineStr">
        <is>
          <t>a1</t>
        </is>
      </c>
      <c r="E723" s="2" t="inlineStr">
        <is>
          <t>2.0mm</t>
        </is>
      </c>
      <c r="F723" s="2" t="n">
        <v>1</v>
      </c>
      <c r="G723" s="2" t="n">
        <v>25</v>
      </c>
      <c r="H723" s="2" t="inlineStr">
        <is>
          <t>SC/PC</t>
        </is>
      </c>
      <c r="I723" s="2" t="inlineStr">
        <is>
          <t>SC/PC</t>
        </is>
      </c>
      <c r="J723" s="2" t="n"/>
      <c r="K723" s="2" t="n"/>
      <c r="L723" s="2" t="n"/>
      <c r="M723" s="2" t="n"/>
      <c r="N723" s="2" t="n"/>
      <c r="O723" s="2" t="n">
        <v>30</v>
      </c>
      <c r="P723" s="2" t="n"/>
      <c r="Q723" s="2" t="n"/>
      <c r="R723" s="2" t="n"/>
      <c r="S723" s="2" t="n"/>
      <c r="T723" s="2" t="n"/>
      <c r="U723" s="2" t="n"/>
      <c r="V723" s="2">
        <f>SUM(J723:U723)*G723</f>
        <v/>
      </c>
      <c r="W723" s="2">
        <f>MAX(J723:U723)</f>
        <v/>
      </c>
      <c r="X723" s="2">
        <f>W723*G723</f>
        <v/>
      </c>
    </row>
    <row r="724">
      <c r="A724" s="2" t="inlineStr">
        <is>
          <t>14-S-265</t>
        </is>
      </c>
      <c r="B724" s="3" t="inlineStr">
        <is>
          <t>SOJC-SM-SC/PC-SC/PC</t>
        </is>
      </c>
      <c r="C724" s="2" t="inlineStr">
        <is>
          <t>2M</t>
        </is>
      </c>
      <c r="D724" s="2" t="inlineStr">
        <is>
          <t>a1</t>
        </is>
      </c>
      <c r="E724" s="2" t="inlineStr">
        <is>
          <t>2.0mm</t>
        </is>
      </c>
      <c r="F724" s="2" t="n">
        <v>1</v>
      </c>
      <c r="G724" s="2" t="n">
        <v>2</v>
      </c>
      <c r="H724" s="2" t="inlineStr">
        <is>
          <t>SC/PC</t>
        </is>
      </c>
      <c r="I724" s="2" t="inlineStr">
        <is>
          <t>SC/PC</t>
        </is>
      </c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>
        <v>10</v>
      </c>
      <c r="V724" s="2">
        <f>SUM(J724:U724)*G724</f>
        <v/>
      </c>
      <c r="W724" s="2">
        <f>MAX(J724:U724)</f>
        <v/>
      </c>
      <c r="X724" s="2">
        <f>W724*G724</f>
        <v/>
      </c>
    </row>
    <row r="725">
      <c r="A725" s="2" t="inlineStr">
        <is>
          <t>14-S-268</t>
        </is>
      </c>
      <c r="B725" s="3" t="inlineStr">
        <is>
          <t>SOJC-SM-SC/PC-SC/PC</t>
        </is>
      </c>
      <c r="C725" s="2" t="inlineStr">
        <is>
          <t>3M</t>
        </is>
      </c>
      <c r="D725" s="2" t="inlineStr">
        <is>
          <t>a1</t>
        </is>
      </c>
      <c r="E725" s="2" t="inlineStr">
        <is>
          <t>2.0mm</t>
        </is>
      </c>
      <c r="F725" s="2" t="n">
        <v>1</v>
      </c>
      <c r="G725" s="2" t="n">
        <v>3</v>
      </c>
      <c r="H725" s="2" t="inlineStr">
        <is>
          <t>SC/PC</t>
        </is>
      </c>
      <c r="I725" s="2" t="inlineStr">
        <is>
          <t>SC/PC</t>
        </is>
      </c>
      <c r="J725" s="2" t="n"/>
      <c r="K725" s="2" t="n">
        <v>195</v>
      </c>
      <c r="L725" s="2" t="n"/>
      <c r="M725" s="2" t="n">
        <v>360</v>
      </c>
      <c r="N725" s="2" t="n"/>
      <c r="O725" s="2" t="n">
        <v>60</v>
      </c>
      <c r="P725" s="2" t="n">
        <v>1170</v>
      </c>
      <c r="Q725" s="2" t="n">
        <v>250</v>
      </c>
      <c r="R725" s="2" t="n">
        <v>800</v>
      </c>
      <c r="S725" s="2" t="n">
        <v>330</v>
      </c>
      <c r="T725" s="2" t="n"/>
      <c r="U725" s="2" t="n">
        <v>250</v>
      </c>
      <c r="V725" s="2">
        <f>SUM(J725:U725)*G725</f>
        <v/>
      </c>
      <c r="W725" s="2">
        <f>MAX(J725:U725)</f>
        <v/>
      </c>
      <c r="X725" s="2">
        <f>W725*G725</f>
        <v/>
      </c>
    </row>
    <row r="726">
      <c r="A726" s="2" t="inlineStr">
        <is>
          <t>14-S-271</t>
        </is>
      </c>
      <c r="B726" s="3" t="inlineStr">
        <is>
          <t>SOJC-SM-SC/PC-SC/PC</t>
        </is>
      </c>
      <c r="C726" s="2" t="inlineStr">
        <is>
          <t>4M</t>
        </is>
      </c>
      <c r="D726" s="2" t="inlineStr">
        <is>
          <t>a1</t>
        </is>
      </c>
      <c r="E726" s="2" t="inlineStr">
        <is>
          <t>2.0mm</t>
        </is>
      </c>
      <c r="F726" s="2" t="n">
        <v>1</v>
      </c>
      <c r="G726" s="2" t="n">
        <v>4</v>
      </c>
      <c r="H726" s="2" t="inlineStr">
        <is>
          <t>SC/PC</t>
        </is>
      </c>
      <c r="I726" s="2" t="inlineStr">
        <is>
          <t>SC/PC</t>
        </is>
      </c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>
        <v>20</v>
      </c>
      <c r="S726" s="2" t="n"/>
      <c r="T726" s="2" t="n"/>
      <c r="U726" s="2" t="n"/>
      <c r="V726" s="2">
        <f>SUM(J726:U726)*G726</f>
        <v/>
      </c>
      <c r="W726" s="2">
        <f>MAX(J726:U726)</f>
        <v/>
      </c>
      <c r="X726" s="2">
        <f>W726*G726</f>
        <v/>
      </c>
    </row>
    <row r="727">
      <c r="A727" s="2" t="inlineStr">
        <is>
          <t>14-S-302</t>
        </is>
      </c>
      <c r="B727" s="3" t="inlineStr">
        <is>
          <t>SOJC-SM-LC/APC-SC/APC</t>
        </is>
      </c>
      <c r="C727" s="2" t="inlineStr">
        <is>
          <t>2M</t>
        </is>
      </c>
      <c r="D727" s="2" t="inlineStr">
        <is>
          <t>a1</t>
        </is>
      </c>
      <c r="E727" s="2" t="inlineStr">
        <is>
          <t>2.0mm</t>
        </is>
      </c>
      <c r="F727" s="2" t="n">
        <v>1</v>
      </c>
      <c r="G727" s="2" t="n">
        <v>2</v>
      </c>
      <c r="H727" s="2" t="inlineStr">
        <is>
          <t>LC/APC</t>
        </is>
      </c>
      <c r="I727" s="2" t="inlineStr">
        <is>
          <t>SC/APC</t>
        </is>
      </c>
      <c r="J727" s="2" t="n"/>
      <c r="K727" s="2" t="n"/>
      <c r="L727" s="2" t="n">
        <v>100</v>
      </c>
      <c r="M727" s="2" t="n"/>
      <c r="N727" s="2" t="n">
        <v>10</v>
      </c>
      <c r="O727" s="2" t="n"/>
      <c r="P727" s="2" t="n"/>
      <c r="Q727" s="2" t="n"/>
      <c r="R727" s="2" t="n"/>
      <c r="S727" s="2" t="n">
        <v>50</v>
      </c>
      <c r="T727" s="2" t="n"/>
      <c r="U727" s="2" t="n">
        <v>8</v>
      </c>
      <c r="V727" s="2">
        <f>SUM(J727:U727)*G727</f>
        <v/>
      </c>
      <c r="W727" s="2">
        <f>MAX(J727:U727)</f>
        <v/>
      </c>
      <c r="X727" s="2">
        <f>W727*G727</f>
        <v/>
      </c>
    </row>
    <row r="728">
      <c r="A728" s="2" t="inlineStr">
        <is>
          <t>14-S-378</t>
        </is>
      </c>
      <c r="B728" s="3" t="inlineStr">
        <is>
          <t>SOJC-SM-LC/APC-SC/APC</t>
        </is>
      </c>
      <c r="C728" s="2" t="inlineStr">
        <is>
          <t>3M</t>
        </is>
      </c>
      <c r="D728" s="2" t="inlineStr">
        <is>
          <t>a1</t>
        </is>
      </c>
      <c r="E728" s="2" t="inlineStr">
        <is>
          <t>2.0mm</t>
        </is>
      </c>
      <c r="F728" s="2" t="n">
        <v>1</v>
      </c>
      <c r="G728" s="2" t="n">
        <v>3</v>
      </c>
      <c r="H728" s="2" t="inlineStr">
        <is>
          <t>LC/APC</t>
        </is>
      </c>
      <c r="I728" s="2" t="inlineStr">
        <is>
          <t>SC/APC</t>
        </is>
      </c>
      <c r="J728" s="2" t="n">
        <v>31</v>
      </c>
      <c r="K728" s="2" t="n"/>
      <c r="L728" s="2" t="n"/>
      <c r="M728" s="2" t="n">
        <v>50</v>
      </c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>
        <f>SUM(J728:U728)*G728</f>
        <v/>
      </c>
      <c r="W728" s="2">
        <f>MAX(J728:U728)</f>
        <v/>
      </c>
      <c r="X728" s="2">
        <f>W728*G728</f>
        <v/>
      </c>
    </row>
    <row r="729">
      <c r="A729" s="2" t="inlineStr">
        <is>
          <t>14-S-382</t>
        </is>
      </c>
      <c r="B729" s="3" t="inlineStr">
        <is>
          <t>DOJC-MM(OM3)-LC/PC-LC/PC</t>
        </is>
      </c>
      <c r="C729" s="2" t="inlineStr">
        <is>
          <t>55M</t>
        </is>
      </c>
      <c r="D729" s="2" t="inlineStr">
        <is>
          <t>om3</t>
        </is>
      </c>
      <c r="E729" s="2" t="inlineStr">
        <is>
          <t>2.0mm</t>
        </is>
      </c>
      <c r="F729" s="2" t="n">
        <v>2</v>
      </c>
      <c r="G729" s="2" t="n">
        <v>55</v>
      </c>
      <c r="H729" s="2" t="inlineStr">
        <is>
          <t>LC/PC</t>
        </is>
      </c>
      <c r="I729" s="2" t="inlineStr">
        <is>
          <t>LC/PC</t>
        </is>
      </c>
      <c r="J729" s="2" t="n"/>
      <c r="K729" s="2" t="n"/>
      <c r="L729" s="2" t="n"/>
      <c r="M729" s="2" t="n"/>
      <c r="N729" s="2" t="n"/>
      <c r="O729" s="2" t="n">
        <v>1</v>
      </c>
      <c r="P729" s="2" t="n">
        <v>1</v>
      </c>
      <c r="Q729" s="2" t="n"/>
      <c r="R729" s="2" t="n"/>
      <c r="S729" s="2" t="n">
        <v>20</v>
      </c>
      <c r="T729" s="2" t="n"/>
      <c r="U729" s="2" t="n"/>
      <c r="V729" s="2">
        <f>SUM(J729:U729)*G729</f>
        <v/>
      </c>
      <c r="W729" s="2">
        <f>MAX(J729:U729)</f>
        <v/>
      </c>
      <c r="X729" s="2">
        <f>W729*G729</f>
        <v/>
      </c>
    </row>
    <row r="730">
      <c r="A730" s="2" t="inlineStr">
        <is>
          <t>14-S-452</t>
        </is>
      </c>
      <c r="B730" s="3" t="inlineStr">
        <is>
          <t>SOJC-SM-SC/PC-SC/APC</t>
        </is>
      </c>
      <c r="C730" s="2" t="inlineStr">
        <is>
          <t>4M</t>
        </is>
      </c>
      <c r="D730" s="2" t="inlineStr">
        <is>
          <t>a1</t>
        </is>
      </c>
      <c r="E730" s="2" t="inlineStr">
        <is>
          <t>2.0mm</t>
        </is>
      </c>
      <c r="F730" s="2" t="n">
        <v>1</v>
      </c>
      <c r="G730" s="2" t="n">
        <v>4</v>
      </c>
      <c r="H730" s="2" t="inlineStr">
        <is>
          <t>SC/PC</t>
        </is>
      </c>
      <c r="I730" s="2" t="inlineStr">
        <is>
          <t>SC/APC</t>
        </is>
      </c>
      <c r="J730" s="2" t="n"/>
      <c r="K730" s="2" t="n"/>
      <c r="L730" s="2" t="n"/>
      <c r="M730" s="2" t="n"/>
      <c r="N730" s="2" t="n">
        <v>30</v>
      </c>
      <c r="O730" s="2" t="n"/>
      <c r="P730" s="2" t="n"/>
      <c r="Q730" s="2" t="n"/>
      <c r="R730" s="2" t="n"/>
      <c r="S730" s="2" t="n">
        <v>800</v>
      </c>
      <c r="T730" s="2" t="n"/>
      <c r="U730" s="2" t="n"/>
      <c r="V730" s="2">
        <f>SUM(J730:U730)*G730</f>
        <v/>
      </c>
      <c r="W730" s="2">
        <f>MAX(J730:U730)</f>
        <v/>
      </c>
      <c r="X730" s="2">
        <f>W730*G730</f>
        <v/>
      </c>
    </row>
    <row r="731">
      <c r="A731" s="2" t="inlineStr">
        <is>
          <t>14-S-500</t>
        </is>
      </c>
      <c r="B731" s="3" t="inlineStr">
        <is>
          <t>SOJC-SM-LC/PC-SC/APC</t>
        </is>
      </c>
      <c r="C731" s="2" t="inlineStr">
        <is>
          <t>0.3M</t>
        </is>
      </c>
      <c r="D731" s="2" t="inlineStr">
        <is>
          <t>a1</t>
        </is>
      </c>
      <c r="E731" s="2" t="inlineStr">
        <is>
          <t>2.0mm</t>
        </is>
      </c>
      <c r="F731" s="2" t="n">
        <v>1</v>
      </c>
      <c r="G731" s="2" t="n">
        <v>0.3</v>
      </c>
      <c r="H731" s="2" t="inlineStr">
        <is>
          <t>LC/PC</t>
        </is>
      </c>
      <c r="I731" s="2" t="inlineStr">
        <is>
          <t>SC/APC</t>
        </is>
      </c>
      <c r="J731" s="2" t="n"/>
      <c r="K731" s="2" t="n"/>
      <c r="L731" s="2" t="n"/>
      <c r="M731" s="2" t="n"/>
      <c r="N731" s="2" t="n"/>
      <c r="O731" s="2" t="n"/>
      <c r="P731" s="2" t="n"/>
      <c r="Q731" s="2" t="n">
        <v>10</v>
      </c>
      <c r="R731" s="2" t="n"/>
      <c r="S731" s="2" t="n"/>
      <c r="T731" s="2" t="n"/>
      <c r="U731" s="2" t="n"/>
      <c r="V731" s="2">
        <f>SUM(J731:U731)*G731</f>
        <v/>
      </c>
      <c r="W731" s="2">
        <f>MAX(J731:U731)</f>
        <v/>
      </c>
      <c r="X731" s="2">
        <f>W731*G731</f>
        <v/>
      </c>
    </row>
    <row r="732">
      <c r="A732" s="2" t="inlineStr">
        <is>
          <t>14-S-665</t>
        </is>
      </c>
      <c r="B732" s="3" t="inlineStr">
        <is>
          <t>SOJC-SM-LC/PC-SC/APC</t>
        </is>
      </c>
      <c r="C732" s="2" t="inlineStr">
        <is>
          <t>16M</t>
        </is>
      </c>
      <c r="D732" s="2" t="inlineStr">
        <is>
          <t>a1</t>
        </is>
      </c>
      <c r="E732" s="2" t="inlineStr">
        <is>
          <t>2.0mm</t>
        </is>
      </c>
      <c r="F732" s="2" t="n">
        <v>1</v>
      </c>
      <c r="G732" s="2" t="n">
        <v>16</v>
      </c>
      <c r="H732" s="2" t="inlineStr">
        <is>
          <t>LC/PC</t>
        </is>
      </c>
      <c r="I732" s="2" t="inlineStr">
        <is>
          <t>SC/APC</t>
        </is>
      </c>
      <c r="J732" s="2" t="n"/>
      <c r="K732" s="2" t="n">
        <v>4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>
        <f>SUM(J732:U732)*G732</f>
        <v/>
      </c>
      <c r="W732" s="2">
        <f>MAX(J732:U732)</f>
        <v/>
      </c>
      <c r="X732" s="2">
        <f>W732*G732</f>
        <v/>
      </c>
    </row>
    <row r="733">
      <c r="A733" s="2" t="inlineStr">
        <is>
          <t>14-S-777</t>
        </is>
      </c>
      <c r="B733" s="3" t="inlineStr">
        <is>
          <t>DOJC-MM(OM4)-LC/PC-LC/PC</t>
        </is>
      </c>
      <c r="C733" s="2" t="inlineStr">
        <is>
          <t>1M_AQUA</t>
        </is>
      </c>
      <c r="D733" s="2" t="inlineStr">
        <is>
          <t>om1</t>
        </is>
      </c>
      <c r="E733" s="2" t="inlineStr">
        <is>
          <t>2.0mm</t>
        </is>
      </c>
      <c r="F733" s="2" t="n">
        <v>2</v>
      </c>
      <c r="G733" s="2" t="n">
        <v>1</v>
      </c>
      <c r="H733" s="2" t="inlineStr">
        <is>
          <t>LC/PC</t>
        </is>
      </c>
      <c r="I733" s="2" t="inlineStr">
        <is>
          <t>LC/PC</t>
        </is>
      </c>
      <c r="J733" s="2" t="n"/>
      <c r="K733" s="2" t="n"/>
      <c r="L733" s="2" t="n">
        <v>30</v>
      </c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>
        <f>SUM(J733:U733)*G733</f>
        <v/>
      </c>
      <c r="W733" s="2">
        <f>MAX(J733:U733)</f>
        <v/>
      </c>
      <c r="X733" s="2">
        <f>W733*G733</f>
        <v/>
      </c>
    </row>
    <row r="734">
      <c r="A734" s="2" t="inlineStr">
        <is>
          <t>14-S-792</t>
        </is>
      </c>
      <c r="B734" s="3" t="inlineStr">
        <is>
          <t>DOJC-MM(OM4)-LC/PC-LC/PC</t>
        </is>
      </c>
      <c r="C734" s="2" t="inlineStr">
        <is>
          <t>16M_AQUA</t>
        </is>
      </c>
      <c r="D734" s="2" t="inlineStr">
        <is>
          <t>om1</t>
        </is>
      </c>
      <c r="E734" s="2" t="inlineStr">
        <is>
          <t>2.0mm</t>
        </is>
      </c>
      <c r="F734" s="2" t="n">
        <v>2</v>
      </c>
      <c r="G734" s="2" t="n">
        <v>16</v>
      </c>
      <c r="H734" s="2" t="inlineStr">
        <is>
          <t>LC/PC</t>
        </is>
      </c>
      <c r="I734" s="2" t="inlineStr">
        <is>
          <t>LC/PC</t>
        </is>
      </c>
      <c r="J734" s="2" t="n"/>
      <c r="K734" s="2" t="n"/>
      <c r="L734" s="2" t="n"/>
      <c r="M734" s="2" t="n"/>
      <c r="N734" s="2" t="n">
        <v>10</v>
      </c>
      <c r="O734" s="2" t="n"/>
      <c r="P734" s="2" t="n"/>
      <c r="Q734" s="2" t="n"/>
      <c r="R734" s="2" t="n"/>
      <c r="S734" s="2" t="n"/>
      <c r="T734" s="2" t="n"/>
      <c r="U734" s="2" t="n"/>
      <c r="V734" s="2">
        <f>SUM(J734:U734)*G734</f>
        <v/>
      </c>
      <c r="W734" s="2">
        <f>MAX(J734:U734)</f>
        <v/>
      </c>
      <c r="X734" s="2">
        <f>W734*G734</f>
        <v/>
      </c>
    </row>
    <row r="735">
      <c r="A735" s="2" t="inlineStr">
        <is>
          <t>14-S-866</t>
        </is>
      </c>
      <c r="B735" s="3" t="inlineStr">
        <is>
          <t>OJC-A1-SC/LC-SM-7-PC/PC-DP</t>
        </is>
      </c>
      <c r="C735" s="2" t="inlineStr">
        <is>
          <t>청색케이블</t>
        </is>
      </c>
      <c r="D735" s="2" t="inlineStr">
        <is>
          <t>a1-청</t>
        </is>
      </c>
      <c r="E735" s="2" t="inlineStr">
        <is>
          <t>2.0mm</t>
        </is>
      </c>
      <c r="F735" s="2" t="n">
        <v>2</v>
      </c>
      <c r="G735" s="2" t="n">
        <v>7</v>
      </c>
      <c r="H735" s="2" t="inlineStr">
        <is>
          <t>SC/PC</t>
        </is>
      </c>
      <c r="I735" s="2" t="inlineStr">
        <is>
          <t>LC/PC</t>
        </is>
      </c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>
        <v>50</v>
      </c>
      <c r="T735" s="2" t="n"/>
      <c r="U735" s="2" t="n"/>
      <c r="V735" s="2">
        <f>SUM(J735:U735)*G735</f>
        <v/>
      </c>
      <c r="W735" s="2">
        <f>MAX(J735:U735)</f>
        <v/>
      </c>
      <c r="X735" s="2">
        <f>W735*G735</f>
        <v/>
      </c>
    </row>
    <row r="736">
      <c r="A736" s="2" t="inlineStr">
        <is>
          <t>14-S-873</t>
        </is>
      </c>
      <c r="B736" s="3" t="inlineStr">
        <is>
          <t>SOJC-SM-LC/APC-SC/APC</t>
        </is>
      </c>
      <c r="C736" s="2" t="inlineStr">
        <is>
          <t>7M</t>
        </is>
      </c>
      <c r="D736" s="2" t="inlineStr">
        <is>
          <t>a1</t>
        </is>
      </c>
      <c r="E736" s="2" t="inlineStr">
        <is>
          <t>2.0mm</t>
        </is>
      </c>
      <c r="F736" s="2" t="n">
        <v>1</v>
      </c>
      <c r="G736" s="2" t="n">
        <v>7</v>
      </c>
      <c r="H736" s="2" t="inlineStr">
        <is>
          <t>LC/APC</t>
        </is>
      </c>
      <c r="I736" s="2" t="inlineStr">
        <is>
          <t>SC/APC</t>
        </is>
      </c>
      <c r="J736" s="2" t="n"/>
      <c r="K736" s="2" t="n"/>
      <c r="L736" s="2" t="n"/>
      <c r="M736" s="2" t="n"/>
      <c r="N736" s="2" t="n">
        <v>18</v>
      </c>
      <c r="O736" s="2" t="n"/>
      <c r="P736" s="2" t="n"/>
      <c r="Q736" s="2" t="n"/>
      <c r="R736" s="2" t="n"/>
      <c r="S736" s="2" t="n"/>
      <c r="T736" s="2" t="n"/>
      <c r="U736" s="2" t="n"/>
      <c r="V736" s="2">
        <f>SUM(J736:U736)*G736</f>
        <v/>
      </c>
      <c r="W736" s="2">
        <f>MAX(J736:U736)</f>
        <v/>
      </c>
      <c r="X736" s="2">
        <f>W736*G736</f>
        <v/>
      </c>
    </row>
    <row r="737">
      <c r="A737" s="2" t="inlineStr">
        <is>
          <t>14-S-A346</t>
        </is>
      </c>
      <c r="B737" s="3" t="inlineStr">
        <is>
          <t>SOJC-SM-LC/APC-LC/APC</t>
        </is>
      </c>
      <c r="C737" s="2" t="inlineStr">
        <is>
          <t>16m</t>
        </is>
      </c>
      <c r="D737" s="2" t="inlineStr">
        <is>
          <t>a1</t>
        </is>
      </c>
      <c r="E737" s="2" t="inlineStr">
        <is>
          <t>2.0mm</t>
        </is>
      </c>
      <c r="F737" s="2" t="n">
        <v>1</v>
      </c>
      <c r="G737" s="2" t="n">
        <v>16</v>
      </c>
      <c r="H737" s="2" t="inlineStr">
        <is>
          <t>LC/APC</t>
        </is>
      </c>
      <c r="I737" s="2" t="inlineStr">
        <is>
          <t>LC/APC</t>
        </is>
      </c>
      <c r="J737" s="2" t="n"/>
      <c r="K737" s="2" t="n">
        <v>4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>
        <f>SUM(J737:U737)*G737</f>
        <v/>
      </c>
      <c r="W737" s="2">
        <f>MAX(J737:U737)</f>
        <v/>
      </c>
      <c r="X737" s="2">
        <f>W737*G737</f>
        <v/>
      </c>
    </row>
    <row r="738">
      <c r="A738" s="2" t="inlineStr">
        <is>
          <t>14-S-A347</t>
        </is>
      </c>
      <c r="B738" s="3" t="inlineStr">
        <is>
          <t>SOJC-SM-SC/PC-FC/PC</t>
        </is>
      </c>
      <c r="C738" s="2" t="inlineStr">
        <is>
          <t>1.5M</t>
        </is>
      </c>
      <c r="D738" s="2" t="inlineStr">
        <is>
          <t>a1</t>
        </is>
      </c>
      <c r="E738" s="2" t="inlineStr">
        <is>
          <t>2.0mm</t>
        </is>
      </c>
      <c r="F738" s="2" t="n">
        <v>1</v>
      </c>
      <c r="G738" s="2" t="n">
        <v>1.5</v>
      </c>
      <c r="H738" s="2" t="inlineStr">
        <is>
          <t>SC/PC</t>
        </is>
      </c>
      <c r="I738" s="2" t="inlineStr">
        <is>
          <t>FC/PC</t>
        </is>
      </c>
      <c r="J738" s="2" t="n"/>
      <c r="K738" s="2" t="n">
        <v>2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>
        <f>SUM(J738:U738)*G738</f>
        <v/>
      </c>
      <c r="W738" s="2">
        <f>MAX(J738:U738)</f>
        <v/>
      </c>
      <c r="X738" s="2">
        <f>W738*G738</f>
        <v/>
      </c>
    </row>
    <row r="739">
      <c r="A739" s="2" t="inlineStr">
        <is>
          <t>14-S-A348</t>
        </is>
      </c>
      <c r="B739" s="3" t="inlineStr">
        <is>
          <t>SOJC-SM-ST/PC-SC/PC</t>
        </is>
      </c>
      <c r="C739" s="2" t="inlineStr">
        <is>
          <t>1.5M</t>
        </is>
      </c>
      <c r="D739" s="2" t="inlineStr">
        <is>
          <t>a1</t>
        </is>
      </c>
      <c r="E739" s="2" t="inlineStr">
        <is>
          <t>2.0mm</t>
        </is>
      </c>
      <c r="F739" s="2" t="n">
        <v>1</v>
      </c>
      <c r="G739" s="2" t="n">
        <v>1.5</v>
      </c>
      <c r="H739" s="2" t="inlineStr">
        <is>
          <t>SC/PC</t>
        </is>
      </c>
      <c r="I739" s="2" t="inlineStr">
        <is>
          <t>SC/PC</t>
        </is>
      </c>
      <c r="J739" s="2" t="n"/>
      <c r="K739" s="2" t="n">
        <v>2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>
        <f>SUM(J739:U739)*G739</f>
        <v/>
      </c>
      <c r="W739" s="2">
        <f>MAX(J739:U739)</f>
        <v/>
      </c>
      <c r="X739" s="2">
        <f>W739*G739</f>
        <v/>
      </c>
    </row>
    <row r="740">
      <c r="A740" s="2" t="inlineStr">
        <is>
          <t>14-S-A352</t>
        </is>
      </c>
      <c r="B740" s="3" t="inlineStr">
        <is>
          <t>SOJC-MM-LC/PC-LC/PC</t>
        </is>
      </c>
      <c r="C740" s="2" t="inlineStr">
        <is>
          <t>40m</t>
        </is>
      </c>
      <c r="D740" s="2" t="inlineStr">
        <is>
          <t>om1</t>
        </is>
      </c>
      <c r="E740" s="2" t="inlineStr">
        <is>
          <t>2.0mm</t>
        </is>
      </c>
      <c r="F740" s="2" t="n">
        <v>1</v>
      </c>
      <c r="G740" s="2" t="n">
        <v>40</v>
      </c>
      <c r="H740" s="2" t="inlineStr">
        <is>
          <t>LC/PC</t>
        </is>
      </c>
      <c r="I740" s="2" t="inlineStr">
        <is>
          <t>LC/PC</t>
        </is>
      </c>
      <c r="J740" s="2" t="n"/>
      <c r="K740" s="2" t="n"/>
      <c r="L740" s="2" t="n"/>
      <c r="M740" s="2" t="n"/>
      <c r="N740" s="2" t="n">
        <v>4</v>
      </c>
      <c r="O740" s="2" t="n"/>
      <c r="P740" s="2" t="n"/>
      <c r="Q740" s="2" t="n"/>
      <c r="R740" s="2" t="n"/>
      <c r="S740" s="2" t="n"/>
      <c r="T740" s="2" t="n"/>
      <c r="U740" s="2" t="n"/>
      <c r="V740" s="2">
        <f>SUM(J740:U740)*G740</f>
        <v/>
      </c>
      <c r="W740" s="2">
        <f>MAX(J740:U740)</f>
        <v/>
      </c>
      <c r="X740" s="2">
        <f>W740*G740</f>
        <v/>
      </c>
    </row>
    <row r="741">
      <c r="A741" s="2" t="inlineStr">
        <is>
          <t>14-S-A353</t>
        </is>
      </c>
      <c r="B741" s="3" t="inlineStr">
        <is>
          <t>SOJC-SM-SC/APC-FC/PC</t>
        </is>
      </c>
      <c r="C741" s="2" t="inlineStr">
        <is>
          <t>1.5m</t>
        </is>
      </c>
      <c r="D741" s="2" t="inlineStr">
        <is>
          <t>a1</t>
        </is>
      </c>
      <c r="E741" s="2" t="inlineStr">
        <is>
          <t>2.0mm</t>
        </is>
      </c>
      <c r="F741" s="2" t="n">
        <v>1</v>
      </c>
      <c r="G741" s="2" t="n">
        <v>1.5</v>
      </c>
      <c r="H741" s="2" t="inlineStr">
        <is>
          <t>SC/APC</t>
        </is>
      </c>
      <c r="I741" s="2" t="inlineStr">
        <is>
          <t>FC/PC</t>
        </is>
      </c>
      <c r="J741" s="2" t="n"/>
      <c r="K741" s="2" t="n"/>
      <c r="L741" s="2" t="n"/>
      <c r="M741" s="2" t="n"/>
      <c r="N741" s="2" t="n"/>
      <c r="O741" s="2" t="n">
        <v>5</v>
      </c>
      <c r="P741" s="2" t="n"/>
      <c r="Q741" s="2" t="n"/>
      <c r="R741" s="2" t="n"/>
      <c r="S741" s="2" t="n"/>
      <c r="T741" s="2" t="n"/>
      <c r="U741" s="2" t="n"/>
      <c r="V741" s="2">
        <f>SUM(J741:U741)*G741</f>
        <v/>
      </c>
      <c r="W741" s="2">
        <f>MAX(J741:U741)</f>
        <v/>
      </c>
      <c r="X741" s="2">
        <f>W741*G741</f>
        <v/>
      </c>
    </row>
    <row r="742">
      <c r="A742" s="2" t="inlineStr">
        <is>
          <t>14-S-A354</t>
        </is>
      </c>
      <c r="B742" s="3" t="inlineStr">
        <is>
          <t>SOJC-SM-SC/PC-SC/PC</t>
        </is>
      </c>
      <c r="C742" s="2" t="inlineStr">
        <is>
          <t>2M_적색</t>
        </is>
      </c>
      <c r="D742" s="2" t="inlineStr">
        <is>
          <t>a1-적</t>
        </is>
      </c>
      <c r="E742" s="2" t="inlineStr">
        <is>
          <t>2.0mm</t>
        </is>
      </c>
      <c r="F742" s="2" t="n">
        <v>1</v>
      </c>
      <c r="G742" s="2" t="n">
        <v>2</v>
      </c>
      <c r="H742" s="2" t="inlineStr">
        <is>
          <t>SC/PC</t>
        </is>
      </c>
      <c r="I742" s="2" t="inlineStr">
        <is>
          <t>SC/PC</t>
        </is>
      </c>
      <c r="J742" s="2" t="n"/>
      <c r="K742" s="2" t="n"/>
      <c r="L742" s="2" t="n"/>
      <c r="M742" s="2" t="n"/>
      <c r="N742" s="2" t="n"/>
      <c r="O742" s="2" t="n"/>
      <c r="P742" s="2" t="n">
        <v>100</v>
      </c>
      <c r="Q742" s="2" t="n"/>
      <c r="R742" s="2" t="n"/>
      <c r="S742" s="2" t="n"/>
      <c r="T742" s="2" t="n"/>
      <c r="U742" s="2" t="n"/>
      <c r="V742" s="2">
        <f>SUM(J742:U742)*G742</f>
        <v/>
      </c>
      <c r="W742" s="2">
        <f>MAX(J742:U742)</f>
        <v/>
      </c>
      <c r="X742" s="2">
        <f>W742*G742</f>
        <v/>
      </c>
    </row>
    <row r="743">
      <c r="A743" s="2" t="inlineStr">
        <is>
          <t>14-S-A355</t>
        </is>
      </c>
      <c r="B743" s="3" t="inlineStr">
        <is>
          <t>SOJC-SM-SC/PC-SC/PC</t>
        </is>
      </c>
      <c r="C743" s="2" t="inlineStr">
        <is>
          <t>0.2M_청색</t>
        </is>
      </c>
      <c r="D743" s="2" t="inlineStr">
        <is>
          <t>a1-청</t>
        </is>
      </c>
      <c r="E743" s="2" t="inlineStr">
        <is>
          <t>2.0mm</t>
        </is>
      </c>
      <c r="F743" s="2" t="n">
        <v>1</v>
      </c>
      <c r="G743" s="2" t="n">
        <v>0.2</v>
      </c>
      <c r="H743" s="2" t="inlineStr">
        <is>
          <t>SC/PC</t>
        </is>
      </c>
      <c r="I743" s="2" t="inlineStr">
        <is>
          <t>SC/PC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>
        <v>50</v>
      </c>
      <c r="T743" s="2" t="n"/>
      <c r="U743" s="2" t="n"/>
      <c r="V743" s="2">
        <f>SUM(J743:U743)*G743</f>
        <v/>
      </c>
      <c r="W743" s="2">
        <f>MAX(J743:U743)</f>
        <v/>
      </c>
      <c r="X743" s="2">
        <f>W743*G743</f>
        <v/>
      </c>
    </row>
    <row r="744">
      <c r="A744" s="2" t="inlineStr">
        <is>
          <t>14-S-A356</t>
        </is>
      </c>
      <c r="B744" s="3" t="inlineStr">
        <is>
          <t>SOJC-SM-LC/PC-LC/PC</t>
        </is>
      </c>
      <c r="C744" s="2" t="inlineStr">
        <is>
          <t>0.5M_청색케이블</t>
        </is>
      </c>
      <c r="D744" s="2" t="inlineStr">
        <is>
          <t>a1-청</t>
        </is>
      </c>
      <c r="E744" s="2" t="inlineStr">
        <is>
          <t>2.0mm</t>
        </is>
      </c>
      <c r="F744" s="2" t="n">
        <v>1</v>
      </c>
      <c r="G744" s="2" t="n">
        <v>0.5</v>
      </c>
      <c r="H744" s="2" t="inlineStr">
        <is>
          <t>LC/PC</t>
        </is>
      </c>
      <c r="I744" s="2" t="inlineStr">
        <is>
          <t>LC/PC</t>
        </is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>
        <v>62</v>
      </c>
      <c r="T744" s="2" t="n"/>
      <c r="U744" s="2" t="n"/>
      <c r="V744" s="2">
        <f>SUM(J744:U744)*G744</f>
        <v/>
      </c>
      <c r="W744" s="2">
        <f>MAX(J744:U744)</f>
        <v/>
      </c>
      <c r="X744" s="2">
        <f>W744*G744</f>
        <v/>
      </c>
    </row>
    <row r="745">
      <c r="A745" s="2" t="inlineStr">
        <is>
          <t>14-S-A357</t>
        </is>
      </c>
      <c r="B745" s="3" t="inlineStr">
        <is>
          <t>SOJC-SM-LC/PC-LC/PC</t>
        </is>
      </c>
      <c r="C745" s="2" t="inlineStr">
        <is>
          <t>0.2M_청색케이블</t>
        </is>
      </c>
      <c r="D745" s="2" t="inlineStr">
        <is>
          <t>a1-청</t>
        </is>
      </c>
      <c r="E745" s="2" t="inlineStr">
        <is>
          <t>2.0mm</t>
        </is>
      </c>
      <c r="F745" s="2" t="n">
        <v>1</v>
      </c>
      <c r="G745" s="2" t="n">
        <v>0.2</v>
      </c>
      <c r="H745" s="2" t="inlineStr">
        <is>
          <t>LC/PC</t>
        </is>
      </c>
      <c r="I745" s="2" t="inlineStr">
        <is>
          <t>LC/PC</t>
        </is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>
        <v>54</v>
      </c>
      <c r="T745" s="2" t="n"/>
      <c r="U745" s="2" t="n"/>
      <c r="V745" s="2">
        <f>SUM(J745:U745)*G745</f>
        <v/>
      </c>
      <c r="W745" s="2">
        <f>MAX(J745:U745)</f>
        <v/>
      </c>
      <c r="X745" s="2">
        <f>W745*G745</f>
        <v/>
      </c>
    </row>
    <row r="746">
      <c r="A746" s="2" t="inlineStr">
        <is>
          <t>14-k-725</t>
        </is>
      </c>
      <c r="B746" s="3" t="inlineStr">
        <is>
          <t>OJC-A1-SC/SC-SM-5-PC/PC-DP</t>
        </is>
      </c>
      <c r="C746" s="2" t="inlineStr">
        <is>
          <t>K9089127_청색</t>
        </is>
      </c>
      <c r="D746" s="2" t="inlineStr">
        <is>
          <t>a1-청</t>
        </is>
      </c>
      <c r="E746" s="2" t="inlineStr">
        <is>
          <t>2.0mm</t>
        </is>
      </c>
      <c r="F746" s="2" t="n">
        <v>2</v>
      </c>
      <c r="G746" s="2" t="n">
        <v>5</v>
      </c>
      <c r="H746" s="2" t="inlineStr">
        <is>
          <t>SC/PC</t>
        </is>
      </c>
      <c r="I746" s="2" t="inlineStr">
        <is>
          <t>SC/PC</t>
        </is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>
        <v>80</v>
      </c>
      <c r="U746" s="2" t="n"/>
      <c r="V746" s="2">
        <f>SUM(J746:U746)*G746</f>
        <v/>
      </c>
      <c r="W746" s="2">
        <f>MAX(J746:U746)</f>
        <v/>
      </c>
      <c r="X746" s="2">
        <f>W746*G746</f>
        <v/>
      </c>
    </row>
    <row r="747">
      <c r="A747" s="2" t="inlineStr">
        <is>
          <t>37-S-006</t>
        </is>
      </c>
      <c r="B747" s="3" t="inlineStr">
        <is>
          <t>SPLITTER (1:2,SC/PC)</t>
        </is>
      </c>
      <c r="C747" s="2" t="inlineStr">
        <is>
          <t>IN 1M, OUT 0.6M</t>
        </is>
      </c>
      <c r="D747" s="2" t="inlineStr">
        <is>
          <t>a1</t>
        </is>
      </c>
      <c r="E747" s="2" t="inlineStr">
        <is>
          <t>2.0mm</t>
        </is>
      </c>
      <c r="F747" s="2" t="n">
        <v>1</v>
      </c>
      <c r="G747" s="2" t="n">
        <v>1</v>
      </c>
      <c r="H747" s="2" t="n"/>
      <c r="I747" s="2" t="n"/>
      <c r="J747" s="2" t="n"/>
      <c r="K747" s="2" t="n">
        <v>1</v>
      </c>
      <c r="L747" s="2" t="n">
        <v>50</v>
      </c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>
        <f>SUM(J747:U747)*G747</f>
        <v/>
      </c>
      <c r="W747" s="2">
        <f>MAX(J747:U747)</f>
        <v/>
      </c>
      <c r="X747" s="2">
        <f>W747*G747</f>
        <v/>
      </c>
    </row>
    <row r="748">
      <c r="A748" s="2" t="inlineStr">
        <is>
          <t>37-S-006CW</t>
        </is>
      </c>
      <c r="B748" s="3" t="inlineStr">
        <is>
          <t>SPLITTER (1:2,SC/PC)</t>
        </is>
      </c>
      <c r="C748" s="2" t="inlineStr">
        <is>
          <t>IN 1M, OUT 1M, WHITE CABLE</t>
        </is>
      </c>
      <c r="D748" s="2" t="inlineStr">
        <is>
          <t>a1</t>
        </is>
      </c>
      <c r="E748" s="2" t="inlineStr">
        <is>
          <t>2.0mm</t>
        </is>
      </c>
      <c r="F748" s="2" t="n">
        <v>1</v>
      </c>
      <c r="G748" s="2" t="n">
        <v>1</v>
      </c>
      <c r="H748" s="2" t="n"/>
      <c r="I748" s="2" t="n"/>
      <c r="J748" s="2" t="n"/>
      <c r="K748" s="2" t="n"/>
      <c r="L748" s="2" t="n"/>
      <c r="M748" s="2" t="n"/>
      <c r="N748" s="2" t="n">
        <v>124</v>
      </c>
      <c r="O748" s="2" t="n"/>
      <c r="P748" s="2" t="n"/>
      <c r="Q748" s="2" t="n"/>
      <c r="R748" s="2" t="n"/>
      <c r="S748" s="2" t="n"/>
      <c r="T748" s="2" t="n"/>
      <c r="U748" s="2" t="n"/>
      <c r="V748" s="2">
        <f>SUM(J748:U748)*G748</f>
        <v/>
      </c>
      <c r="W748" s="2">
        <f>MAX(J748:U748)</f>
        <v/>
      </c>
      <c r="X748" s="2">
        <f>W748*G748</f>
        <v/>
      </c>
    </row>
    <row r="749">
      <c r="A749" s="2" t="inlineStr">
        <is>
          <t>37-S-021C</t>
        </is>
      </c>
      <c r="B749" s="3" t="inlineStr">
        <is>
          <t>SPLITTER (1:8,SC/PC)</t>
        </is>
      </c>
      <c r="C749" s="2" t="inlineStr">
        <is>
          <t>IN 1M, OUT 1M</t>
        </is>
      </c>
      <c r="D749" s="2" t="inlineStr">
        <is>
          <t>a1</t>
        </is>
      </c>
      <c r="E749" s="2" t="inlineStr">
        <is>
          <t>2.0mm</t>
        </is>
      </c>
      <c r="F749" s="2" t="n">
        <v>1</v>
      </c>
      <c r="G749" s="2" t="n">
        <v>1</v>
      </c>
      <c r="H749" s="2" t="n"/>
      <c r="I749" s="2" t="n"/>
      <c r="J749" s="2" t="n"/>
      <c r="K749" s="2" t="n"/>
      <c r="L749" s="2" t="n">
        <v>45</v>
      </c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>
        <f>SUM(J749:U749)*G749</f>
        <v/>
      </c>
      <c r="W749" s="2">
        <f>MAX(J749:U749)</f>
        <v/>
      </c>
      <c r="X749" s="2">
        <f>W749*G749</f>
        <v/>
      </c>
    </row>
    <row r="750">
      <c r="A750" s="2" t="inlineStr">
        <is>
          <t>A14-D-FP/FA-B-N-001</t>
        </is>
      </c>
      <c r="B750" s="3" t="inlineStr">
        <is>
          <t>DOJC-SM-FC/PC-FC/APC</t>
        </is>
      </c>
      <c r="C750" s="2" t="inlineStr">
        <is>
          <t>908040627, 10M, B3, 2.0mm</t>
        </is>
      </c>
      <c r="D750" s="2" t="inlineStr">
        <is>
          <t>b3</t>
        </is>
      </c>
      <c r="E750" s="2" t="inlineStr">
        <is>
          <t>2.0mm</t>
        </is>
      </c>
      <c r="F750" s="2" t="n">
        <v>2</v>
      </c>
      <c r="G750" s="2" t="n">
        <v>10</v>
      </c>
      <c r="H750" s="2" t="inlineStr">
        <is>
          <t>FC/PC</t>
        </is>
      </c>
      <c r="I750" s="2" t="inlineStr">
        <is>
          <t>FC/APC</t>
        </is>
      </c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>
        <v>15</v>
      </c>
      <c r="U750" s="2" t="n"/>
      <c r="V750" s="2">
        <f>SUM(J750:U750)*G750</f>
        <v/>
      </c>
      <c r="W750" s="2">
        <f>MAX(J750:U750)</f>
        <v/>
      </c>
      <c r="X750" s="2">
        <f>W750*G750</f>
        <v/>
      </c>
    </row>
    <row r="751">
      <c r="A751" s="2" t="inlineStr">
        <is>
          <t>A14-D-FP/FA-B-N-002</t>
        </is>
      </c>
      <c r="B751" s="3" t="inlineStr">
        <is>
          <t>DOJC-SM-FC/PC-FC/APC</t>
        </is>
      </c>
      <c r="C751" s="2" t="inlineStr">
        <is>
          <t>908040632, 15M, B3, 2.0mm</t>
        </is>
      </c>
      <c r="D751" s="2" t="inlineStr">
        <is>
          <t>b3</t>
        </is>
      </c>
      <c r="E751" s="2" t="inlineStr">
        <is>
          <t>2.0mm</t>
        </is>
      </c>
      <c r="F751" s="2" t="n">
        <v>2</v>
      </c>
      <c r="G751" s="2" t="n">
        <v>15</v>
      </c>
      <c r="H751" s="2" t="inlineStr">
        <is>
          <t>FC/PC</t>
        </is>
      </c>
      <c r="I751" s="2" t="inlineStr">
        <is>
          <t>FC/APC</t>
        </is>
      </c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>
        <v>15</v>
      </c>
      <c r="U751" s="2" t="n"/>
      <c r="V751" s="2">
        <f>SUM(J751:U751)*G751</f>
        <v/>
      </c>
      <c r="W751" s="2">
        <f>MAX(J751:U751)</f>
        <v/>
      </c>
      <c r="X751" s="2">
        <f>W751*G751</f>
        <v/>
      </c>
    </row>
    <row r="752">
      <c r="A752" s="2" t="inlineStr">
        <is>
          <t>A14-D-FP/FP-B-N-004</t>
        </is>
      </c>
      <c r="B752" s="3" t="inlineStr">
        <is>
          <t>DOJC-SM-FC/PC-FC/PC</t>
        </is>
      </c>
      <c r="C752" s="2" t="inlineStr">
        <is>
          <t>908040607, 20M, B3, 2.0mm</t>
        </is>
      </c>
      <c r="D752" s="2" t="inlineStr">
        <is>
          <t>b3</t>
        </is>
      </c>
      <c r="E752" s="2" t="inlineStr">
        <is>
          <t>2.0mm</t>
        </is>
      </c>
      <c r="F752" s="2" t="n">
        <v>2</v>
      </c>
      <c r="G752" s="2" t="n">
        <v>20</v>
      </c>
      <c r="H752" s="2" t="inlineStr">
        <is>
          <t>FC/PC</t>
        </is>
      </c>
      <c r="I752" s="2" t="inlineStr">
        <is>
          <t>FC/PC</t>
        </is>
      </c>
      <c r="J752" s="2" t="n"/>
      <c r="K752" s="2" t="n"/>
      <c r="L752" s="2" t="n"/>
      <c r="M752" s="2" t="n"/>
      <c r="N752" s="2" t="n"/>
      <c r="O752" s="2" t="n"/>
      <c r="P752" s="2" t="n">
        <v>10</v>
      </c>
      <c r="Q752" s="2" t="n"/>
      <c r="R752" s="2" t="n"/>
      <c r="S752" s="2" t="n"/>
      <c r="T752" s="2" t="n"/>
      <c r="U752" s="2" t="n"/>
      <c r="V752" s="2">
        <f>SUM(J752:U752)*G752</f>
        <v/>
      </c>
      <c r="W752" s="2">
        <f>MAX(J752:U752)</f>
        <v/>
      </c>
      <c r="X752" s="2">
        <f>W752*G752</f>
        <v/>
      </c>
    </row>
    <row r="753">
      <c r="A753" s="2" t="inlineStr">
        <is>
          <t>A14-D-FP/FP-B-N-007</t>
        </is>
      </c>
      <c r="B753" s="3" t="inlineStr">
        <is>
          <t>DOJC-SM-FC/PC-FC/PC</t>
        </is>
      </c>
      <c r="C753" s="2" t="inlineStr">
        <is>
          <t>908040617, 30M,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2</v>
      </c>
      <c r="G753" s="2" t="n">
        <v>30</v>
      </c>
      <c r="H753" s="2" t="inlineStr">
        <is>
          <t>FC/PC</t>
        </is>
      </c>
      <c r="I753" s="2" t="inlineStr">
        <is>
          <t>FC/PC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>
        <v>30</v>
      </c>
      <c r="T753" s="2" t="n"/>
      <c r="U753" s="2" t="n"/>
      <c r="V753" s="2">
        <f>SUM(J753:U753)*G753</f>
        <v/>
      </c>
      <c r="W753" s="2">
        <f>MAX(J753:U753)</f>
        <v/>
      </c>
      <c r="X753" s="2">
        <f>W753*G753</f>
        <v/>
      </c>
    </row>
    <row r="754">
      <c r="A754" s="2" t="inlineStr">
        <is>
          <t>A14-D-LP/FA-B-N-015</t>
        </is>
      </c>
      <c r="B754" s="3" t="inlineStr">
        <is>
          <t>DOJC-SM-LC/PC-FC/APC</t>
        </is>
      </c>
      <c r="C754" s="2" t="inlineStr">
        <is>
          <t>908040531, 9M,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2</v>
      </c>
      <c r="G754" s="2" t="n">
        <v>9</v>
      </c>
      <c r="H754" s="2" t="inlineStr">
        <is>
          <t>LC/PC</t>
        </is>
      </c>
      <c r="I754" s="2" t="inlineStr">
        <is>
          <t>FC/APC</t>
        </is>
      </c>
      <c r="J754" s="2" t="n"/>
      <c r="K754" s="2" t="n"/>
      <c r="L754" s="2" t="n">
        <v>10</v>
      </c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>
        <f>SUM(J754:U754)*G754</f>
        <v/>
      </c>
      <c r="W754" s="2">
        <f>MAX(J754:U754)</f>
        <v/>
      </c>
      <c r="X754" s="2">
        <f>W754*G754</f>
        <v/>
      </c>
    </row>
    <row r="755">
      <c r="A755" s="2" t="inlineStr">
        <is>
          <t>A14-D-LP/FP-B-N-012</t>
        </is>
      </c>
      <c r="B755" s="3" t="inlineStr">
        <is>
          <t>DOJC-SM-LC/PC-FC/PC</t>
        </is>
      </c>
      <c r="C755" s="2" t="inlineStr">
        <is>
          <t>908040719, 7M,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2</v>
      </c>
      <c r="G755" s="2" t="n">
        <v>7</v>
      </c>
      <c r="H755" s="2" t="inlineStr">
        <is>
          <t>LC/PC</t>
        </is>
      </c>
      <c r="I755" s="2" t="inlineStr">
        <is>
          <t>FC/PC</t>
        </is>
      </c>
      <c r="J755" s="2" t="n"/>
      <c r="K755" s="2" t="n"/>
      <c r="L755" s="2" t="n"/>
      <c r="M755" s="2" t="n">
        <v>25</v>
      </c>
      <c r="N755" s="2" t="n"/>
      <c r="O755" s="2" t="n">
        <v>10</v>
      </c>
      <c r="P755" s="2" t="n"/>
      <c r="Q755" s="2" t="n"/>
      <c r="R755" s="2" t="n"/>
      <c r="S755" s="2" t="n"/>
      <c r="T755" s="2" t="n"/>
      <c r="U755" s="2" t="n"/>
      <c r="V755" s="2">
        <f>SUM(J755:U755)*G755</f>
        <v/>
      </c>
      <c r="W755" s="2">
        <f>MAX(J755:U755)</f>
        <v/>
      </c>
      <c r="X755" s="2">
        <f>W755*G755</f>
        <v/>
      </c>
    </row>
    <row r="756">
      <c r="A756" s="2" t="inlineStr">
        <is>
          <t>A14-D-LP/LP-1-N-012</t>
        </is>
      </c>
      <c r="B756" s="3" t="inlineStr">
        <is>
          <t>DOJC-MM-LC/PC-LC/PC</t>
        </is>
      </c>
      <c r="C756" s="2" t="inlineStr">
        <is>
          <t>920000783, 1M</t>
        </is>
      </c>
      <c r="D756" s="2" t="inlineStr">
        <is>
          <t>om1</t>
        </is>
      </c>
      <c r="E756" s="2" t="inlineStr">
        <is>
          <t>2.0mm</t>
        </is>
      </c>
      <c r="F756" s="2" t="n">
        <v>2</v>
      </c>
      <c r="G756" s="2" t="n">
        <v>1</v>
      </c>
      <c r="H756" s="2" t="inlineStr">
        <is>
          <t>LC/PC</t>
        </is>
      </c>
      <c r="I756" s="2" t="inlineStr">
        <is>
          <t>LC/PC</t>
        </is>
      </c>
      <c r="J756" s="2" t="n">
        <v>30</v>
      </c>
      <c r="K756" s="2" t="n"/>
      <c r="L756" s="2" t="n"/>
      <c r="M756" s="2" t="n"/>
      <c r="N756" s="2" t="n"/>
      <c r="O756" s="2" t="n">
        <v>4</v>
      </c>
      <c r="P756" s="2" t="n"/>
      <c r="Q756" s="2" t="n"/>
      <c r="R756" s="2" t="n"/>
      <c r="S756" s="2" t="n"/>
      <c r="T756" s="2" t="n"/>
      <c r="U756" s="2" t="n"/>
      <c r="V756" s="2">
        <f>SUM(J756:U756)*G756</f>
        <v/>
      </c>
      <c r="W756" s="2">
        <f>MAX(J756:U756)</f>
        <v/>
      </c>
      <c r="X756" s="2">
        <f>W756*G756</f>
        <v/>
      </c>
    </row>
    <row r="757">
      <c r="A757" s="2" t="inlineStr">
        <is>
          <t>A14-D-LP/LP-1-N-027</t>
        </is>
      </c>
      <c r="B757" s="3" t="inlineStr">
        <is>
          <t>DOJC-MM-LC/PC-LC/PC</t>
        </is>
      </c>
      <c r="C757" s="2" t="inlineStr">
        <is>
          <t>60M</t>
        </is>
      </c>
      <c r="D757" s="2" t="inlineStr">
        <is>
          <t>om1</t>
        </is>
      </c>
      <c r="E757" s="2" t="inlineStr">
        <is>
          <t>2.0mm</t>
        </is>
      </c>
      <c r="F757" s="2" t="n">
        <v>2</v>
      </c>
      <c r="G757" s="2" t="n">
        <v>60</v>
      </c>
      <c r="H757" s="2" t="inlineStr">
        <is>
          <t>LC/PC</t>
        </is>
      </c>
      <c r="I757" s="2" t="inlineStr">
        <is>
          <t>LC/PC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>
        <v>6</v>
      </c>
      <c r="S757" s="2" t="n"/>
      <c r="T757" s="2" t="n"/>
      <c r="U757" s="2" t="n"/>
      <c r="V757" s="2">
        <f>SUM(J757:U757)*G757</f>
        <v/>
      </c>
      <c r="W757" s="2">
        <f>MAX(J757:U757)</f>
        <v/>
      </c>
      <c r="X757" s="2">
        <f>W757*G757</f>
        <v/>
      </c>
    </row>
    <row r="758">
      <c r="A758" s="2" t="inlineStr">
        <is>
          <t>A14-D-LP/SA-B-N-010</t>
        </is>
      </c>
      <c r="B758" s="3" t="inlineStr">
        <is>
          <t>DOJC-SM-LC/PC-SC/APC</t>
        </is>
      </c>
      <c r="C758" s="2" t="inlineStr">
        <is>
          <t>908040910, 4M, B3, 3.0mm</t>
        </is>
      </c>
      <c r="D758" s="2" t="inlineStr">
        <is>
          <t>b3</t>
        </is>
      </c>
      <c r="E758" s="2" t="inlineStr">
        <is>
          <t>3.0mm</t>
        </is>
      </c>
      <c r="F758" s="2" t="n">
        <v>2</v>
      </c>
      <c r="G758" s="2" t="n">
        <v>4</v>
      </c>
      <c r="H758" s="2" t="inlineStr">
        <is>
          <t>LC/PC</t>
        </is>
      </c>
      <c r="I758" s="2" t="inlineStr">
        <is>
          <t>SC/APC</t>
        </is>
      </c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>
        <v>30</v>
      </c>
      <c r="V758" s="2">
        <f>SUM(J758:U758)*G758</f>
        <v/>
      </c>
      <c r="W758" s="2">
        <f>MAX(J758:U758)</f>
        <v/>
      </c>
      <c r="X758" s="2">
        <f>W758*G758</f>
        <v/>
      </c>
    </row>
    <row r="759">
      <c r="A759" s="2" t="inlineStr">
        <is>
          <t>A14-D-LP/SA-B-N-014</t>
        </is>
      </c>
      <c r="B759" s="3" t="inlineStr">
        <is>
          <t>DOJC-SM-LC/PC-SC/APC</t>
        </is>
      </c>
      <c r="C759" s="2" t="inlineStr">
        <is>
          <t>908040914, 8M, B3, 2.0mm</t>
        </is>
      </c>
      <c r="D759" s="2" t="inlineStr">
        <is>
          <t>b3</t>
        </is>
      </c>
      <c r="E759" s="2" t="inlineStr">
        <is>
          <t>2.0mm</t>
        </is>
      </c>
      <c r="F759" s="2" t="n">
        <v>2</v>
      </c>
      <c r="G759" s="2" t="n">
        <v>8</v>
      </c>
      <c r="H759" s="2" t="inlineStr">
        <is>
          <t>LC/PC</t>
        </is>
      </c>
      <c r="I759" s="2" t="inlineStr">
        <is>
          <t>SC/APC</t>
        </is>
      </c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>
        <v>50</v>
      </c>
      <c r="V759" s="2">
        <f>SUM(J759:U759)*G759</f>
        <v/>
      </c>
      <c r="W759" s="2">
        <f>MAX(J759:U759)</f>
        <v/>
      </c>
      <c r="X759" s="2">
        <f>W759*G759</f>
        <v/>
      </c>
    </row>
    <row r="760">
      <c r="A760" s="2" t="inlineStr">
        <is>
          <t>A14-D-LP/SP-1-N-013</t>
        </is>
      </c>
      <c r="B760" s="3" t="inlineStr">
        <is>
          <t>DOJC-MM-LC/PC-SC/PC</t>
        </is>
      </c>
      <c r="C760" s="2" t="inlineStr">
        <is>
          <t>908040792, 30M</t>
        </is>
      </c>
      <c r="D760" s="2" t="inlineStr">
        <is>
          <t>om1</t>
        </is>
      </c>
      <c r="E760" s="2" t="inlineStr">
        <is>
          <t>2.0mm</t>
        </is>
      </c>
      <c r="F760" s="2" t="n">
        <v>2</v>
      </c>
      <c r="G760" s="2" t="n">
        <v>30</v>
      </c>
      <c r="H760" s="2" t="inlineStr">
        <is>
          <t>LC/PC</t>
        </is>
      </c>
      <c r="I760" s="2" t="inlineStr">
        <is>
          <t>SC/PC</t>
        </is>
      </c>
      <c r="J760" s="2" t="n"/>
      <c r="K760" s="2" t="n"/>
      <c r="L760" s="2" t="n"/>
      <c r="M760" s="2" t="n"/>
      <c r="N760" s="2" t="n"/>
      <c r="O760" s="2" t="n">
        <v>2</v>
      </c>
      <c r="P760" s="2" t="n"/>
      <c r="Q760" s="2" t="n"/>
      <c r="R760" s="2" t="n"/>
      <c r="S760" s="2" t="n">
        <v>20</v>
      </c>
      <c r="T760" s="2" t="n"/>
      <c r="U760" s="2" t="n"/>
      <c r="V760" s="2">
        <f>SUM(J760:U760)*G760</f>
        <v/>
      </c>
      <c r="W760" s="2">
        <f>MAX(J760:U760)</f>
        <v/>
      </c>
      <c r="X760" s="2">
        <f>W760*G760</f>
        <v/>
      </c>
    </row>
    <row r="761">
      <c r="A761" s="2" t="inlineStr">
        <is>
          <t>A14-D-LP/SP-1-N-014</t>
        </is>
      </c>
      <c r="B761" s="3" t="inlineStr">
        <is>
          <t>DOJC-MM-LC/PC-SC/PC</t>
        </is>
      </c>
      <c r="C761" s="2" t="inlineStr">
        <is>
          <t>920000723, 35M</t>
        </is>
      </c>
      <c r="D761" s="2" t="inlineStr">
        <is>
          <t>om1</t>
        </is>
      </c>
      <c r="E761" s="2" t="inlineStr">
        <is>
          <t>2.0mm</t>
        </is>
      </c>
      <c r="F761" s="2" t="n">
        <v>2</v>
      </c>
      <c r="G761" s="2" t="n">
        <v>35</v>
      </c>
      <c r="H761" s="2" t="inlineStr">
        <is>
          <t>LC/PC</t>
        </is>
      </c>
      <c r="I761" s="2" t="inlineStr">
        <is>
          <t>SC/PC</t>
        </is>
      </c>
      <c r="J761" s="2" t="n"/>
      <c r="K761" s="2" t="n"/>
      <c r="L761" s="2" t="n"/>
      <c r="M761" s="2" t="n"/>
      <c r="N761" s="2" t="n"/>
      <c r="O761" s="2" t="n">
        <v>2</v>
      </c>
      <c r="P761" s="2" t="n"/>
      <c r="Q761" s="2" t="n"/>
      <c r="R761" s="2" t="n"/>
      <c r="S761" s="2" t="n"/>
      <c r="T761" s="2" t="n"/>
      <c r="U761" s="2" t="n"/>
      <c r="V761" s="2">
        <f>SUM(J761:U761)*G761</f>
        <v/>
      </c>
      <c r="W761" s="2">
        <f>MAX(J761:U761)</f>
        <v/>
      </c>
      <c r="X761" s="2">
        <f>W761*G761</f>
        <v/>
      </c>
    </row>
    <row r="762">
      <c r="A762" s="2" t="inlineStr">
        <is>
          <t>A14-D-LP/SP-B-N-006</t>
        </is>
      </c>
      <c r="B762" s="3" t="inlineStr">
        <is>
          <t>DOJC-SM-LC/PC-SC/PC</t>
        </is>
      </c>
      <c r="C762" s="2" t="inlineStr">
        <is>
          <t>908040880, 22M,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2</v>
      </c>
      <c r="G762" s="2" t="n">
        <v>22</v>
      </c>
      <c r="H762" s="2" t="inlineStr">
        <is>
          <t>LC/PC</t>
        </is>
      </c>
      <c r="I762" s="2" t="inlineStr">
        <is>
          <t>SC/PC</t>
        </is>
      </c>
      <c r="J762" s="2" t="n"/>
      <c r="K762" s="2" t="n"/>
      <c r="L762" s="2" t="n"/>
      <c r="M762" s="2" t="n"/>
      <c r="N762" s="2" t="n"/>
      <c r="O762" s="2" t="n"/>
      <c r="P762" s="2" t="n"/>
      <c r="Q762" s="2" t="n">
        <v>6</v>
      </c>
      <c r="R762" s="2" t="n"/>
      <c r="S762" s="2" t="n"/>
      <c r="T762" s="2" t="n"/>
      <c r="U762" s="2" t="n"/>
      <c r="V762" s="2">
        <f>SUM(J762:U762)*G762</f>
        <v/>
      </c>
      <c r="W762" s="2">
        <f>MAX(J762:U762)</f>
        <v/>
      </c>
      <c r="X762" s="2">
        <f>W762*G762</f>
        <v/>
      </c>
    </row>
    <row r="763">
      <c r="A763" s="2" t="inlineStr">
        <is>
          <t>A14-D-LP/SP-B-N-019</t>
        </is>
      </c>
      <c r="B763" s="3" t="inlineStr">
        <is>
          <t>DOJC-SM-LC/PC-SC/PC</t>
        </is>
      </c>
      <c r="C763" s="2" t="inlineStr">
        <is>
          <t>45M,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2</v>
      </c>
      <c r="G763" s="2" t="n">
        <v>45</v>
      </c>
      <c r="H763" s="2" t="inlineStr">
        <is>
          <t>LC/PC</t>
        </is>
      </c>
      <c r="I763" s="2" t="inlineStr">
        <is>
          <t>SC/PC</t>
        </is>
      </c>
      <c r="J763" s="2" t="n"/>
      <c r="K763" s="2" t="n">
        <v>10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>
        <f>SUM(J763:U763)*G763</f>
        <v/>
      </c>
      <c r="W763" s="2">
        <f>MAX(J763:U763)</f>
        <v/>
      </c>
      <c r="X763" s="2">
        <f>W763*G763</f>
        <v/>
      </c>
    </row>
    <row r="764">
      <c r="A764" s="2" t="inlineStr">
        <is>
          <t>A14-D-SA/FA-B-N-001</t>
        </is>
      </c>
      <c r="B764" s="3" t="inlineStr">
        <is>
          <t>DOJC-SM-SC/APC-FC/APC</t>
        </is>
      </c>
      <c r="C764" s="2" t="inlineStr">
        <is>
          <t>908040502, 10M, B3, 2.0mm</t>
        </is>
      </c>
      <c r="D764" s="2" t="inlineStr">
        <is>
          <t>b3</t>
        </is>
      </c>
      <c r="E764" s="2" t="inlineStr">
        <is>
          <t>2.0mm</t>
        </is>
      </c>
      <c r="F764" s="2" t="n">
        <v>2</v>
      </c>
      <c r="G764" s="2" t="n">
        <v>10</v>
      </c>
      <c r="H764" s="2" t="inlineStr">
        <is>
          <t>SC/APC</t>
        </is>
      </c>
      <c r="I764" s="2" t="inlineStr">
        <is>
          <t>FC/APC</t>
        </is>
      </c>
      <c r="J764" s="2" t="n">
        <v>20</v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>
        <f>SUM(J764:U764)*G764</f>
        <v/>
      </c>
      <c r="W764" s="2">
        <f>MAX(J764:U764)</f>
        <v/>
      </c>
      <c r="X764" s="2">
        <f>W764*G764</f>
        <v/>
      </c>
    </row>
    <row r="765">
      <c r="A765" s="2" t="inlineStr">
        <is>
          <t>A14-D-SA/FA-B-N-002</t>
        </is>
      </c>
      <c r="B765" s="3" t="inlineStr">
        <is>
          <t>DOJC-SM-SC/APC-FC/APC</t>
        </is>
      </c>
      <c r="C765" s="2" t="inlineStr">
        <is>
          <t>908040507, 15M,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2</v>
      </c>
      <c r="G765" s="2" t="n">
        <v>15</v>
      </c>
      <c r="H765" s="2" t="inlineStr">
        <is>
          <t>SC/APC</t>
        </is>
      </c>
      <c r="I765" s="2" t="inlineStr">
        <is>
          <t>FC/APC</t>
        </is>
      </c>
      <c r="J765" s="2" t="n">
        <v>20</v>
      </c>
      <c r="K765" s="2" t="n"/>
      <c r="L765" s="2" t="n"/>
      <c r="M765" s="2" t="n"/>
      <c r="N765" s="2" t="n"/>
      <c r="O765" s="2" t="n"/>
      <c r="P765" s="2" t="n"/>
      <c r="Q765" s="2" t="n">
        <v>10</v>
      </c>
      <c r="R765" s="2" t="n"/>
      <c r="S765" s="2" t="n"/>
      <c r="T765" s="2" t="n"/>
      <c r="U765" s="2" t="n"/>
      <c r="V765" s="2">
        <f>SUM(J765:U765)*G765</f>
        <v/>
      </c>
      <c r="W765" s="2">
        <f>MAX(J765:U765)</f>
        <v/>
      </c>
      <c r="X765" s="2">
        <f>W765*G765</f>
        <v/>
      </c>
    </row>
    <row r="766">
      <c r="A766" s="2" t="inlineStr">
        <is>
          <t>A14-D-SA/FA-B-N-004</t>
        </is>
      </c>
      <c r="B766" s="3" t="inlineStr">
        <is>
          <t>DOJC-SM-SC/APC-FC/APC</t>
        </is>
      </c>
      <c r="C766" s="2" t="inlineStr">
        <is>
          <t>908040512, 20M,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2</v>
      </c>
      <c r="G766" s="2" t="n">
        <v>20</v>
      </c>
      <c r="H766" s="2" t="inlineStr">
        <is>
          <t>SC/APC</t>
        </is>
      </c>
      <c r="I766" s="2" t="inlineStr">
        <is>
          <t>FC/APC</t>
        </is>
      </c>
      <c r="J766" s="2" t="n"/>
      <c r="K766" s="2" t="n">
        <v>20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>
        <f>SUM(J766:U766)*G766</f>
        <v/>
      </c>
      <c r="W766" s="2">
        <f>MAX(J766:U766)</f>
        <v/>
      </c>
      <c r="X766" s="2">
        <f>W766*G766</f>
        <v/>
      </c>
    </row>
    <row r="767">
      <c r="A767" s="2" t="inlineStr">
        <is>
          <t>A14-D-SA/FA-B-N-005</t>
        </is>
      </c>
      <c r="B767" s="3" t="inlineStr">
        <is>
          <t>DOJC-SM-SC/APC-FC/APC</t>
        </is>
      </c>
      <c r="C767" s="2" t="inlineStr">
        <is>
          <t>908040517, 25M,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2</v>
      </c>
      <c r="G767" s="2" t="n">
        <v>25</v>
      </c>
      <c r="H767" s="2" t="inlineStr">
        <is>
          <t>SC/APC</t>
        </is>
      </c>
      <c r="I767" s="2" t="inlineStr">
        <is>
          <t>FC/APC</t>
        </is>
      </c>
      <c r="J767" s="2" t="n"/>
      <c r="K767" s="2" t="n"/>
      <c r="L767" s="2" t="n"/>
      <c r="M767" s="2" t="n"/>
      <c r="N767" s="2" t="n"/>
      <c r="O767" s="2" t="n"/>
      <c r="P767" s="2" t="n"/>
      <c r="Q767" s="2" t="n">
        <v>10</v>
      </c>
      <c r="R767" s="2" t="n"/>
      <c r="S767" s="2" t="n"/>
      <c r="T767" s="2" t="n"/>
      <c r="U767" s="2" t="n"/>
      <c r="V767" s="2">
        <f>SUM(J767:U767)*G767</f>
        <v/>
      </c>
      <c r="W767" s="2">
        <f>MAX(J767:U767)</f>
        <v/>
      </c>
      <c r="X767" s="2">
        <f>W767*G767</f>
        <v/>
      </c>
    </row>
    <row r="768">
      <c r="A768" s="2" t="inlineStr">
        <is>
          <t>A14-D-SA/FA-B-N-008</t>
        </is>
      </c>
      <c r="B768" s="3" t="inlineStr">
        <is>
          <t>DOJC-SM-SC/APC-FC/APC</t>
        </is>
      </c>
      <c r="C768" s="2" t="inlineStr">
        <is>
          <t>908040493, 3M, B3, 3.0mm</t>
        </is>
      </c>
      <c r="D768" s="2" t="inlineStr">
        <is>
          <t>b3</t>
        </is>
      </c>
      <c r="E768" s="2" t="inlineStr">
        <is>
          <t>3.0mm</t>
        </is>
      </c>
      <c r="F768" s="2" t="n">
        <v>2</v>
      </c>
      <c r="G768" s="2" t="n">
        <v>3</v>
      </c>
      <c r="H768" s="2" t="inlineStr">
        <is>
          <t>SC/APC</t>
        </is>
      </c>
      <c r="I768" s="2" t="inlineStr">
        <is>
          <t>FC/APC</t>
        </is>
      </c>
      <c r="J768" s="2" t="n"/>
      <c r="K768" s="2" t="n"/>
      <c r="L768" s="2" t="n"/>
      <c r="M768" s="2" t="n"/>
      <c r="N768" s="2" t="n"/>
      <c r="O768" s="2" t="n">
        <v>10</v>
      </c>
      <c r="P768" s="2" t="n"/>
      <c r="Q768" s="2" t="n"/>
      <c r="R768" s="2" t="n"/>
      <c r="S768" s="2" t="n"/>
      <c r="T768" s="2" t="n"/>
      <c r="U768" s="2" t="n"/>
      <c r="V768" s="2">
        <f>SUM(J768:U768)*G768</f>
        <v/>
      </c>
      <c r="W768" s="2">
        <f>MAX(J768:U768)</f>
        <v/>
      </c>
      <c r="X768" s="2">
        <f>W768*G768</f>
        <v/>
      </c>
    </row>
    <row r="769">
      <c r="A769" s="2" t="inlineStr">
        <is>
          <t>A14-D-SA/SA-B-N-005</t>
        </is>
      </c>
      <c r="B769" s="3" t="inlineStr">
        <is>
          <t>DOJC-SM-SC/APC-SC/APC</t>
        </is>
      </c>
      <c r="C769" s="2" t="inlineStr">
        <is>
          <t>908040582, 25M, B3, 2.0mm</t>
        </is>
      </c>
      <c r="D769" s="2" t="inlineStr">
        <is>
          <t>b3</t>
        </is>
      </c>
      <c r="E769" s="2" t="inlineStr">
        <is>
          <t>2.0mm</t>
        </is>
      </c>
      <c r="F769" s="2" t="n">
        <v>2</v>
      </c>
      <c r="G769" s="2" t="n">
        <v>25</v>
      </c>
      <c r="H769" s="2" t="inlineStr">
        <is>
          <t>SC/APC</t>
        </is>
      </c>
      <c r="I769" s="2" t="inlineStr">
        <is>
          <t>SC/APC</t>
        </is>
      </c>
      <c r="J769" s="2" t="n"/>
      <c r="K769" s="2" t="n"/>
      <c r="L769" s="2" t="n"/>
      <c r="M769" s="2" t="n"/>
      <c r="N769" s="2" t="n">
        <v>1</v>
      </c>
      <c r="O769" s="2" t="n"/>
      <c r="P769" s="2" t="n"/>
      <c r="Q769" s="2" t="n"/>
      <c r="R769" s="2" t="n"/>
      <c r="S769" s="2" t="n">
        <v>10</v>
      </c>
      <c r="T769" s="2" t="n"/>
      <c r="U769" s="2" t="n"/>
      <c r="V769" s="2">
        <f>SUM(J769:U769)*G769</f>
        <v/>
      </c>
      <c r="W769" s="2">
        <f>MAX(J769:U769)</f>
        <v/>
      </c>
      <c r="X769" s="2">
        <f>W769*G769</f>
        <v/>
      </c>
    </row>
    <row r="770">
      <c r="A770" s="2" t="inlineStr">
        <is>
          <t>A14-D-SP/SA-B-N-005</t>
        </is>
      </c>
      <c r="B770" s="3" t="inlineStr">
        <is>
          <t>DOJC-SM-SC/PC-SC/APC</t>
        </is>
      </c>
      <c r="C770" s="2" t="inlineStr">
        <is>
          <t>908040552, 25M,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2</v>
      </c>
      <c r="G770" s="2" t="n">
        <v>25</v>
      </c>
      <c r="H770" s="2" t="inlineStr">
        <is>
          <t>SC/PC</t>
        </is>
      </c>
      <c r="I770" s="2" t="inlineStr">
        <is>
          <t>SC/APC</t>
        </is>
      </c>
      <c r="J770" s="2" t="n"/>
      <c r="K770" s="2" t="n"/>
      <c r="L770" s="2" t="n"/>
      <c r="M770" s="2" t="n">
        <v>8</v>
      </c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>
        <f>SUM(J770:U770)*G770</f>
        <v/>
      </c>
      <c r="W770" s="2">
        <f>MAX(J770:U770)</f>
        <v/>
      </c>
      <c r="X770" s="2">
        <f>W770*G770</f>
        <v/>
      </c>
    </row>
    <row r="771">
      <c r="A771" s="2" t="inlineStr">
        <is>
          <t>A14-D-SP/SA-B-N-008</t>
        </is>
      </c>
      <c r="B771" s="3" t="inlineStr">
        <is>
          <t>DOJC-SM-SC/PC-SC/APC</t>
        </is>
      </c>
      <c r="C771" s="2" t="inlineStr">
        <is>
          <t>908040557, 30M,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2</v>
      </c>
      <c r="G771" s="2" t="n">
        <v>30</v>
      </c>
      <c r="H771" s="2" t="inlineStr">
        <is>
          <t>SC/PC</t>
        </is>
      </c>
      <c r="I771" s="2" t="inlineStr">
        <is>
          <t>SC/APC</t>
        </is>
      </c>
      <c r="J771" s="2" t="n"/>
      <c r="K771" s="2" t="n"/>
      <c r="L771" s="2" t="n"/>
      <c r="M771" s="2" t="n"/>
      <c r="N771" s="2" t="n"/>
      <c r="O771" s="2" t="n">
        <v>15</v>
      </c>
      <c r="P771" s="2" t="n"/>
      <c r="Q771" s="2" t="n"/>
      <c r="R771" s="2" t="n"/>
      <c r="S771" s="2" t="n"/>
      <c r="T771" s="2" t="n"/>
      <c r="U771" s="2" t="n"/>
      <c r="V771" s="2">
        <f>SUM(J771:U771)*G771</f>
        <v/>
      </c>
      <c r="W771" s="2">
        <f>MAX(J771:U771)</f>
        <v/>
      </c>
      <c r="X771" s="2">
        <f>W771*G771</f>
        <v/>
      </c>
    </row>
    <row r="772">
      <c r="A772" s="2" t="inlineStr">
        <is>
          <t>A14-D-SP/SP-B-N-002</t>
        </is>
      </c>
      <c r="B772" s="3" t="inlineStr">
        <is>
          <t>DOJC-SM-SC/PC-SC/PC</t>
        </is>
      </c>
      <c r="C772" s="2" t="inlineStr">
        <is>
          <t>908040232, 12M,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2</v>
      </c>
      <c r="G772" s="2" t="n">
        <v>12</v>
      </c>
      <c r="H772" s="2" t="inlineStr">
        <is>
          <t>SC/PC</t>
        </is>
      </c>
      <c r="I772" s="2" t="inlineStr">
        <is>
          <t>SC/PC</t>
        </is>
      </c>
      <c r="J772" s="2" t="n"/>
      <c r="K772" s="2" t="n"/>
      <c r="L772" s="2" t="n">
        <v>30</v>
      </c>
      <c r="M772" s="2" t="n">
        <v>10</v>
      </c>
      <c r="N772" s="2" t="n"/>
      <c r="O772" s="2" t="n"/>
      <c r="P772" s="2" t="n">
        <v>100</v>
      </c>
      <c r="Q772" s="2" t="n"/>
      <c r="R772" s="2" t="n">
        <v>40</v>
      </c>
      <c r="S772" s="2" t="n"/>
      <c r="T772" s="2" t="n"/>
      <c r="U772" s="2" t="n"/>
      <c r="V772" s="2">
        <f>SUM(J772:U772)*G772</f>
        <v/>
      </c>
      <c r="W772" s="2">
        <f>MAX(J772:U772)</f>
        <v/>
      </c>
      <c r="X772" s="2">
        <f>W772*G772</f>
        <v/>
      </c>
    </row>
    <row r="773">
      <c r="A773" s="2" t="inlineStr">
        <is>
          <t>A14-D-SP/SP-B-N-015</t>
        </is>
      </c>
      <c r="B773" s="3" t="inlineStr">
        <is>
          <t>DOJC-SM-SC/PC-SC/PC</t>
        </is>
      </c>
      <c r="C773" s="2" t="inlineStr">
        <is>
          <t>908040227, 7M,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2</v>
      </c>
      <c r="G773" s="2" t="n">
        <v>7</v>
      </c>
      <c r="H773" s="2" t="inlineStr">
        <is>
          <t>SC/PC</t>
        </is>
      </c>
      <c r="I773" s="2" t="inlineStr">
        <is>
          <t>SC/PC</t>
        </is>
      </c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>
        <v>10</v>
      </c>
      <c r="U773" s="2" t="n"/>
      <c r="V773" s="2">
        <f>SUM(J773:U773)*G773</f>
        <v/>
      </c>
      <c r="W773" s="2">
        <f>MAX(J773:U773)</f>
        <v/>
      </c>
      <c r="X773" s="2">
        <f>W773*G773</f>
        <v/>
      </c>
    </row>
    <row r="774">
      <c r="A774" s="2" t="inlineStr">
        <is>
          <t>A14-D1-N001</t>
        </is>
      </c>
      <c r="B774" s="3" t="inlineStr">
        <is>
          <t>DOJC-MM-LC/PC-LC/PC</t>
        </is>
      </c>
      <c r="C774" s="2" t="inlineStr">
        <is>
          <t>920000784, 2M</t>
        </is>
      </c>
      <c r="D774" s="2" t="inlineStr">
        <is>
          <t>om1</t>
        </is>
      </c>
      <c r="E774" s="2" t="inlineStr">
        <is>
          <t>2.0mm</t>
        </is>
      </c>
      <c r="F774" s="2" t="n">
        <v>2</v>
      </c>
      <c r="G774" s="2" t="n">
        <v>2</v>
      </c>
      <c r="H774" s="2" t="inlineStr">
        <is>
          <t>LC/PC</t>
        </is>
      </c>
      <c r="I774" s="2" t="inlineStr">
        <is>
          <t>LC/PC</t>
        </is>
      </c>
      <c r="J774" s="2" t="n"/>
      <c r="K774" s="2" t="n"/>
      <c r="L774" s="2" t="n">
        <v>16</v>
      </c>
      <c r="M774" s="2" t="n"/>
      <c r="N774" s="2" t="n"/>
      <c r="O774" s="2" t="n">
        <v>22</v>
      </c>
      <c r="P774" s="2" t="n"/>
      <c r="Q774" s="2" t="n"/>
      <c r="R774" s="2" t="n"/>
      <c r="S774" s="2" t="n"/>
      <c r="T774" s="2" t="n"/>
      <c r="U774" s="2" t="n"/>
      <c r="V774" s="2">
        <f>SUM(J774:U774)*G774</f>
        <v/>
      </c>
      <c r="W774" s="2">
        <f>MAX(J774:U774)</f>
        <v/>
      </c>
      <c r="X774" s="2">
        <f>W774*G774</f>
        <v/>
      </c>
    </row>
    <row r="775">
      <c r="A775" s="2" t="inlineStr">
        <is>
          <t>A14-D1-N002</t>
        </is>
      </c>
      <c r="B775" s="3" t="inlineStr">
        <is>
          <t>DOJC-MM-LC/PC-LC/PC</t>
        </is>
      </c>
      <c r="C775" s="2" t="inlineStr">
        <is>
          <t>920000812, 30M</t>
        </is>
      </c>
      <c r="D775" s="2" t="inlineStr">
        <is>
          <t>om1</t>
        </is>
      </c>
      <c r="E775" s="2" t="inlineStr">
        <is>
          <t>2.0mm</t>
        </is>
      </c>
      <c r="F775" s="2" t="n">
        <v>2</v>
      </c>
      <c r="G775" s="2" t="n">
        <v>30</v>
      </c>
      <c r="H775" s="2" t="inlineStr">
        <is>
          <t>LC/PC</t>
        </is>
      </c>
      <c r="I775" s="2" t="inlineStr">
        <is>
          <t>LC/PC</t>
        </is>
      </c>
      <c r="J775" s="2" t="n"/>
      <c r="K775" s="2" t="n"/>
      <c r="L775" s="2" t="n">
        <v>4</v>
      </c>
      <c r="M775" s="2" t="n"/>
      <c r="N775" s="2" t="n"/>
      <c r="O775" s="2" t="n">
        <v>12</v>
      </c>
      <c r="P775" s="2" t="n">
        <v>4</v>
      </c>
      <c r="Q775" s="2" t="n"/>
      <c r="R775" s="2" t="n">
        <v>30</v>
      </c>
      <c r="S775" s="2" t="n"/>
      <c r="T775" s="2" t="n"/>
      <c r="U775" s="2" t="n"/>
      <c r="V775" s="2">
        <f>SUM(J775:U775)*G775</f>
        <v/>
      </c>
      <c r="W775" s="2">
        <f>MAX(J775:U775)</f>
        <v/>
      </c>
      <c r="X775" s="2">
        <f>W775*G775</f>
        <v/>
      </c>
    </row>
    <row r="776">
      <c r="A776" s="2" t="inlineStr">
        <is>
          <t>A14-D1-N003</t>
        </is>
      </c>
      <c r="B776" s="3" t="inlineStr">
        <is>
          <t>DOJC-MM-LC/PC-LC/PC</t>
        </is>
      </c>
      <c r="C776" s="2" t="inlineStr">
        <is>
          <t>920000788, 6M</t>
        </is>
      </c>
      <c r="D776" s="2" t="inlineStr">
        <is>
          <t>om1</t>
        </is>
      </c>
      <c r="E776" s="2" t="inlineStr">
        <is>
          <t>2.0mm</t>
        </is>
      </c>
      <c r="F776" s="2" t="n">
        <v>2</v>
      </c>
      <c r="G776" s="2" t="n">
        <v>6</v>
      </c>
      <c r="H776" s="2" t="inlineStr">
        <is>
          <t>LC/PC</t>
        </is>
      </c>
      <c r="I776" s="2" t="inlineStr">
        <is>
          <t>LC/PC</t>
        </is>
      </c>
      <c r="J776" s="2" t="n"/>
      <c r="K776" s="2" t="n"/>
      <c r="L776" s="2" t="n">
        <v>20</v>
      </c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>
        <f>SUM(J776:U776)*G776</f>
        <v/>
      </c>
      <c r="W776" s="2">
        <f>MAX(J776:U776)</f>
        <v/>
      </c>
      <c r="X776" s="2">
        <f>W776*G776</f>
        <v/>
      </c>
    </row>
    <row r="777">
      <c r="A777" s="2" t="inlineStr">
        <is>
          <t>A14-D1-N004</t>
        </is>
      </c>
      <c r="B777" s="3" t="inlineStr">
        <is>
          <t>DOJC-MM-LC/PC-LC/PC</t>
        </is>
      </c>
      <c r="C777" s="2" t="inlineStr">
        <is>
          <t>920000789, 7M</t>
        </is>
      </c>
      <c r="D777" s="2" t="inlineStr">
        <is>
          <t>om1</t>
        </is>
      </c>
      <c r="E777" s="2" t="inlineStr">
        <is>
          <t>2.0mm</t>
        </is>
      </c>
      <c r="F777" s="2" t="n">
        <v>2</v>
      </c>
      <c r="G777" s="2" t="n">
        <v>7</v>
      </c>
      <c r="H777" s="2" t="inlineStr">
        <is>
          <t>LC/PC</t>
        </is>
      </c>
      <c r="I777" s="2" t="inlineStr">
        <is>
          <t>LC/PC</t>
        </is>
      </c>
      <c r="J777" s="2" t="n">
        <v>30</v>
      </c>
      <c r="K777" s="2" t="n"/>
      <c r="L777" s="2" t="n"/>
      <c r="M777" s="2" t="n"/>
      <c r="N777" s="2" t="n"/>
      <c r="O777" s="2" t="n">
        <v>50</v>
      </c>
      <c r="P777" s="2" t="n">
        <v>20</v>
      </c>
      <c r="Q777" s="2" t="n"/>
      <c r="R777" s="2" t="n"/>
      <c r="S777" s="2" t="n"/>
      <c r="T777" s="2" t="n">
        <v>20</v>
      </c>
      <c r="U777" s="2" t="n">
        <v>10</v>
      </c>
      <c r="V777" s="2">
        <f>SUM(J777:U777)*G777</f>
        <v/>
      </c>
      <c r="W777" s="2">
        <f>MAX(J777:U777)</f>
        <v/>
      </c>
      <c r="X777" s="2">
        <f>W777*G777</f>
        <v/>
      </c>
    </row>
    <row r="778">
      <c r="A778" s="2" t="inlineStr">
        <is>
          <t>A14-D1-N006</t>
        </is>
      </c>
      <c r="B778" s="3" t="inlineStr">
        <is>
          <t>DOJC-MM-LC/PC-SC/PC</t>
        </is>
      </c>
      <c r="C778" s="2" t="inlineStr">
        <is>
          <t>908040777, 15M</t>
        </is>
      </c>
      <c r="D778" s="2" t="inlineStr">
        <is>
          <t>om1</t>
        </is>
      </c>
      <c r="E778" s="2" t="inlineStr">
        <is>
          <t>2.0mm</t>
        </is>
      </c>
      <c r="F778" s="2" t="n">
        <v>2</v>
      </c>
      <c r="G778" s="2" t="n">
        <v>15</v>
      </c>
      <c r="H778" s="2" t="inlineStr">
        <is>
          <t>LC/PC</t>
        </is>
      </c>
      <c r="I778" s="2" t="inlineStr">
        <is>
          <t>SC/PC</t>
        </is>
      </c>
      <c r="J778" s="2" t="n"/>
      <c r="K778" s="2" t="n"/>
      <c r="L778" s="2" t="n">
        <v>22</v>
      </c>
      <c r="M778" s="2" t="n"/>
      <c r="N778" s="2" t="n">
        <v>5</v>
      </c>
      <c r="O778" s="2" t="n">
        <v>50</v>
      </c>
      <c r="P778" s="2" t="n"/>
      <c r="Q778" s="2" t="n"/>
      <c r="R778" s="2" t="n">
        <v>8</v>
      </c>
      <c r="S778" s="2" t="n">
        <v>20</v>
      </c>
      <c r="T778" s="2" t="n"/>
      <c r="U778" s="2" t="n"/>
      <c r="V778" s="2">
        <f>SUM(J778:U778)*G778</f>
        <v/>
      </c>
      <c r="W778" s="2">
        <f>MAX(J778:U778)</f>
        <v/>
      </c>
      <c r="X778" s="2">
        <f>W778*G778</f>
        <v/>
      </c>
    </row>
    <row r="779">
      <c r="A779" s="2" t="inlineStr">
        <is>
          <t>A14-D1-N007</t>
        </is>
      </c>
      <c r="B779" s="3" t="inlineStr">
        <is>
          <t>DOJC-MM-LC/PC-SC/PC</t>
        </is>
      </c>
      <c r="C779" s="2" t="inlineStr">
        <is>
          <t>908040782, 20M</t>
        </is>
      </c>
      <c r="D779" s="2" t="inlineStr">
        <is>
          <t>om1</t>
        </is>
      </c>
      <c r="E779" s="2" t="inlineStr">
        <is>
          <t>2.0mm</t>
        </is>
      </c>
      <c r="F779" s="2" t="n">
        <v>2</v>
      </c>
      <c r="G779" s="2" t="n">
        <v>20</v>
      </c>
      <c r="H779" s="2" t="inlineStr">
        <is>
          <t>LC/PC</t>
        </is>
      </c>
      <c r="I779" s="2" t="inlineStr">
        <is>
          <t>SC/PC</t>
        </is>
      </c>
      <c r="J779" s="2" t="n"/>
      <c r="K779" s="2" t="n"/>
      <c r="L779" s="2" t="n"/>
      <c r="M779" s="2" t="n"/>
      <c r="N779" s="2" t="n"/>
      <c r="O779" s="2" t="n">
        <v>30</v>
      </c>
      <c r="P779" s="2" t="n">
        <v>9</v>
      </c>
      <c r="Q779" s="2" t="n"/>
      <c r="R779" s="2" t="n"/>
      <c r="S779" s="2" t="n"/>
      <c r="T779" s="2" t="n"/>
      <c r="U779" s="2" t="n"/>
      <c r="V779" s="2">
        <f>SUM(J779:U779)*G779</f>
        <v/>
      </c>
      <c r="W779" s="2">
        <f>MAX(J779:U779)</f>
        <v/>
      </c>
      <c r="X779" s="2">
        <f>W779*G779</f>
        <v/>
      </c>
    </row>
    <row r="780">
      <c r="A780" s="2" t="inlineStr">
        <is>
          <t>A14-D1-N009</t>
        </is>
      </c>
      <c r="B780" s="3" t="inlineStr">
        <is>
          <t>DOJC-MM-LC/PC-SC/PC</t>
        </is>
      </c>
      <c r="C780" s="2" t="inlineStr">
        <is>
          <t>908040765, 2M</t>
        </is>
      </c>
      <c r="D780" s="2" t="inlineStr">
        <is>
          <t>om1</t>
        </is>
      </c>
      <c r="E780" s="2" t="inlineStr">
        <is>
          <t>2.0mm</t>
        </is>
      </c>
      <c r="F780" s="2" t="n">
        <v>2</v>
      </c>
      <c r="G780" s="2" t="n">
        <v>2</v>
      </c>
      <c r="H780" s="2" t="inlineStr">
        <is>
          <t>LC/PC</t>
        </is>
      </c>
      <c r="I780" s="2" t="inlineStr">
        <is>
          <t>SC/PC</t>
        </is>
      </c>
      <c r="J780" s="2" t="n"/>
      <c r="K780" s="2" t="n"/>
      <c r="L780" s="2" t="n"/>
      <c r="M780" s="2" t="n"/>
      <c r="N780" s="2" t="n"/>
      <c r="O780" s="2" t="n"/>
      <c r="P780" s="2" t="n">
        <v>100</v>
      </c>
      <c r="Q780" s="2" t="n"/>
      <c r="R780" s="2" t="n"/>
      <c r="S780" s="2" t="n"/>
      <c r="T780" s="2" t="n"/>
      <c r="U780" s="2" t="n"/>
      <c r="V780" s="2">
        <f>SUM(J780:U780)*G780</f>
        <v/>
      </c>
      <c r="W780" s="2">
        <f>MAX(J780:U780)</f>
        <v/>
      </c>
      <c r="X780" s="2">
        <f>W780*G780</f>
        <v/>
      </c>
    </row>
    <row r="781">
      <c r="A781" s="2" t="inlineStr">
        <is>
          <t>A14-D1-N010</t>
        </is>
      </c>
      <c r="B781" s="3" t="inlineStr">
        <is>
          <t>DOJC-MM-LC/PC-SC/PC</t>
        </is>
      </c>
      <c r="C781" s="2" t="inlineStr">
        <is>
          <t>908040763, 3M</t>
        </is>
      </c>
      <c r="D781" s="2" t="inlineStr">
        <is>
          <t>om1</t>
        </is>
      </c>
      <c r="E781" s="2" t="inlineStr">
        <is>
          <t>2.0mm</t>
        </is>
      </c>
      <c r="F781" s="2" t="n">
        <v>2</v>
      </c>
      <c r="G781" s="2" t="n">
        <v>3</v>
      </c>
      <c r="H781" s="2" t="inlineStr">
        <is>
          <t>LC/PC</t>
        </is>
      </c>
      <c r="I781" s="2" t="inlineStr">
        <is>
          <t>SC/PC</t>
        </is>
      </c>
      <c r="J781" s="2" t="n"/>
      <c r="K781" s="2" t="n"/>
      <c r="L781" s="2" t="n">
        <v>1</v>
      </c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>
        <f>SUM(J781:U781)*G781</f>
        <v/>
      </c>
      <c r="W781" s="2">
        <f>MAX(J781:U781)</f>
        <v/>
      </c>
      <c r="X781" s="2">
        <f>W781*G781</f>
        <v/>
      </c>
    </row>
    <row r="782">
      <c r="A782" s="2" t="inlineStr">
        <is>
          <t>A14-D1-N012</t>
        </is>
      </c>
      <c r="B782" s="3" t="inlineStr">
        <is>
          <t>DOJC-MM-LC/PC-LC/PC</t>
        </is>
      </c>
      <c r="C782" s="2" t="inlineStr">
        <is>
          <t>920000790, 8M</t>
        </is>
      </c>
      <c r="D782" s="2" t="inlineStr">
        <is>
          <t>om1</t>
        </is>
      </c>
      <c r="E782" s="2" t="inlineStr">
        <is>
          <t>2.0mm</t>
        </is>
      </c>
      <c r="F782" s="2" t="n">
        <v>2</v>
      </c>
      <c r="G782" s="2" t="n">
        <v>8</v>
      </c>
      <c r="H782" s="2" t="inlineStr">
        <is>
          <t>LC/PC</t>
        </is>
      </c>
      <c r="I782" s="2" t="inlineStr">
        <is>
          <t>LC/PC</t>
        </is>
      </c>
      <c r="J782" s="2" t="n"/>
      <c r="K782" s="2" t="n"/>
      <c r="L782" s="2" t="n">
        <v>5</v>
      </c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>
        <f>SUM(J782:U782)*G782</f>
        <v/>
      </c>
      <c r="W782" s="2">
        <f>MAX(J782:U782)</f>
        <v/>
      </c>
      <c r="X782" s="2">
        <f>W782*G782</f>
        <v/>
      </c>
    </row>
    <row r="783">
      <c r="A783" s="2" t="inlineStr">
        <is>
          <t>A14-D1-N035</t>
        </is>
      </c>
      <c r="B783" s="3" t="inlineStr">
        <is>
          <t>DOJC-MM-LC/PC-LC/PC</t>
        </is>
      </c>
      <c r="C783" s="2" t="inlineStr">
        <is>
          <t>920000792, 10M</t>
        </is>
      </c>
      <c r="D783" s="2" t="inlineStr">
        <is>
          <t>om1</t>
        </is>
      </c>
      <c r="E783" s="2" t="inlineStr">
        <is>
          <t>2.0mm</t>
        </is>
      </c>
      <c r="F783" s="2" t="n">
        <v>2</v>
      </c>
      <c r="G783" s="2" t="n">
        <v>10</v>
      </c>
      <c r="H783" s="2" t="inlineStr">
        <is>
          <t>LC/PC</t>
        </is>
      </c>
      <c r="I783" s="2" t="inlineStr">
        <is>
          <t>LC/PC</t>
        </is>
      </c>
      <c r="J783" s="2" t="n">
        <v>190</v>
      </c>
      <c r="K783" s="2" t="n">
        <v>30</v>
      </c>
      <c r="L783" s="2" t="n"/>
      <c r="M783" s="2" t="n"/>
      <c r="N783" s="2" t="n">
        <v>10</v>
      </c>
      <c r="O783" s="2" t="n">
        <v>19</v>
      </c>
      <c r="P783" s="2" t="n">
        <v>40</v>
      </c>
      <c r="Q783" s="2" t="n">
        <v>40</v>
      </c>
      <c r="R783" s="2" t="n"/>
      <c r="S783" s="2" t="n"/>
      <c r="T783" s="2" t="n"/>
      <c r="U783" s="2" t="n"/>
      <c r="V783" s="2">
        <f>SUM(J783:U783)*G783</f>
        <v/>
      </c>
      <c r="W783" s="2">
        <f>MAX(J783:U783)</f>
        <v/>
      </c>
      <c r="X783" s="2">
        <f>W783*G783</f>
        <v/>
      </c>
    </row>
    <row r="784">
      <c r="A784" s="2" t="inlineStr">
        <is>
          <t>A14-D1-N035R</t>
        </is>
      </c>
      <c r="B784" s="3" t="inlineStr">
        <is>
          <t>DOJC-MM-LC/PC-LC/PC</t>
        </is>
      </c>
      <c r="C784" s="2" t="inlineStr">
        <is>
          <t>920000792, 10M</t>
        </is>
      </c>
      <c r="D784" s="2" t="inlineStr">
        <is>
          <t>om1</t>
        </is>
      </c>
      <c r="E784" s="2" t="inlineStr">
        <is>
          <t>2.0mm</t>
        </is>
      </c>
      <c r="F784" s="2" t="n">
        <v>2</v>
      </c>
      <c r="G784" s="2" t="n">
        <v>10</v>
      </c>
      <c r="H784" s="2" t="inlineStr">
        <is>
          <t>LC/PC</t>
        </is>
      </c>
      <c r="I784" s="2" t="inlineStr">
        <is>
          <t>LC/PC</t>
        </is>
      </c>
      <c r="J784" s="2" t="n"/>
      <c r="K784" s="2" t="n"/>
      <c r="L784" s="2" t="n"/>
      <c r="M784" s="2" t="n"/>
      <c r="N784" s="2" t="n"/>
      <c r="O784" s="2" t="n"/>
      <c r="P784" s="2" t="n">
        <v>20</v>
      </c>
      <c r="Q784" s="2" t="n"/>
      <c r="R784" s="2" t="n"/>
      <c r="S784" s="2" t="n"/>
      <c r="T784" s="2" t="n"/>
      <c r="U784" s="2" t="n"/>
      <c r="V784" s="2">
        <f>SUM(J784:U784)*G784</f>
        <v/>
      </c>
      <c r="W784" s="2">
        <f>MAX(J784:U784)</f>
        <v/>
      </c>
      <c r="X784" s="2">
        <f>W784*G784</f>
        <v/>
      </c>
    </row>
    <row r="785">
      <c r="A785" s="2" t="inlineStr">
        <is>
          <t>A14-D1-N040</t>
        </is>
      </c>
      <c r="B785" s="3" t="inlineStr">
        <is>
          <t>DOJC-MM-LC/PC-LC/PC</t>
        </is>
      </c>
      <c r="C785" s="2" t="inlineStr">
        <is>
          <t>920000797, 15M</t>
        </is>
      </c>
      <c r="D785" s="2" t="inlineStr">
        <is>
          <t>om1</t>
        </is>
      </c>
      <c r="E785" s="2" t="inlineStr">
        <is>
          <t>2.0mm</t>
        </is>
      </c>
      <c r="F785" s="2" t="n">
        <v>2</v>
      </c>
      <c r="G785" s="2" t="n">
        <v>15</v>
      </c>
      <c r="H785" s="2" t="inlineStr">
        <is>
          <t>LC/PC</t>
        </is>
      </c>
      <c r="I785" s="2" t="inlineStr">
        <is>
          <t>LC/PC</t>
        </is>
      </c>
      <c r="J785" s="2" t="n">
        <v>161</v>
      </c>
      <c r="K785" s="2" t="n">
        <v>10</v>
      </c>
      <c r="L785" s="2" t="n"/>
      <c r="M785" s="2" t="n"/>
      <c r="N785" s="2" t="n"/>
      <c r="O785" s="2" t="n"/>
      <c r="P785" s="2" t="n">
        <v>61</v>
      </c>
      <c r="Q785" s="2" t="n">
        <v>40</v>
      </c>
      <c r="R785" s="2" t="n">
        <v>24</v>
      </c>
      <c r="S785" s="2" t="n">
        <v>38</v>
      </c>
      <c r="T785" s="2" t="n">
        <v>80</v>
      </c>
      <c r="U785" s="2" t="n"/>
      <c r="V785" s="2">
        <f>SUM(J785:U785)*G785</f>
        <v/>
      </c>
      <c r="W785" s="2">
        <f>MAX(J785:U785)</f>
        <v/>
      </c>
      <c r="X785" s="2">
        <f>W785*G785</f>
        <v/>
      </c>
    </row>
    <row r="786">
      <c r="A786" s="2" t="inlineStr">
        <is>
          <t>A14-D1-N044</t>
        </is>
      </c>
      <c r="B786" s="3" t="inlineStr">
        <is>
          <t>DOJC-MM-LC/PC-LC/PC</t>
        </is>
      </c>
      <c r="C786" s="2" t="inlineStr">
        <is>
          <t>920000802, 20M</t>
        </is>
      </c>
      <c r="D786" s="2" t="inlineStr">
        <is>
          <t>om1</t>
        </is>
      </c>
      <c r="E786" s="2" t="inlineStr">
        <is>
          <t>2.0mm</t>
        </is>
      </c>
      <c r="F786" s="2" t="n">
        <v>2</v>
      </c>
      <c r="G786" s="2" t="n">
        <v>20</v>
      </c>
      <c r="H786" s="2" t="inlineStr">
        <is>
          <t>LC/PC</t>
        </is>
      </c>
      <c r="I786" s="2" t="inlineStr">
        <is>
          <t>LC/PC</t>
        </is>
      </c>
      <c r="J786" s="2" t="n"/>
      <c r="K786" s="2" t="n"/>
      <c r="L786" s="2" t="n"/>
      <c r="M786" s="2" t="n"/>
      <c r="N786" s="2" t="n"/>
      <c r="O786" s="2" t="n">
        <v>8</v>
      </c>
      <c r="P786" s="2" t="n">
        <v>50</v>
      </c>
      <c r="Q786" s="2" t="n"/>
      <c r="R786" s="2" t="n"/>
      <c r="S786" s="2" t="n"/>
      <c r="T786" s="2" t="n"/>
      <c r="U786" s="2" t="n"/>
      <c r="V786" s="2">
        <f>SUM(J786:U786)*G786</f>
        <v/>
      </c>
      <c r="W786" s="2">
        <f>MAX(J786:U786)</f>
        <v/>
      </c>
      <c r="X786" s="2">
        <f>W786*G786</f>
        <v/>
      </c>
    </row>
    <row r="787">
      <c r="A787" s="2" t="inlineStr">
        <is>
          <t>A14-D1-N048</t>
        </is>
      </c>
      <c r="B787" s="3" t="inlineStr">
        <is>
          <t>DOJC-MM-LC/PC-LC/PC</t>
        </is>
      </c>
      <c r="C787" s="2" t="inlineStr">
        <is>
          <t>920000807, 25M</t>
        </is>
      </c>
      <c r="D787" s="2" t="inlineStr">
        <is>
          <t>om1</t>
        </is>
      </c>
      <c r="E787" s="2" t="inlineStr">
        <is>
          <t>2.0mm</t>
        </is>
      </c>
      <c r="F787" s="2" t="n">
        <v>2</v>
      </c>
      <c r="G787" s="2" t="n">
        <v>25</v>
      </c>
      <c r="H787" s="2" t="inlineStr">
        <is>
          <t>LC/PC</t>
        </is>
      </c>
      <c r="I787" s="2" t="inlineStr">
        <is>
          <t>LC/PC</t>
        </is>
      </c>
      <c r="J787" s="2" t="n"/>
      <c r="K787" s="2" t="n"/>
      <c r="L787" s="2" t="n"/>
      <c r="M787" s="2" t="n"/>
      <c r="N787" s="2" t="n"/>
      <c r="O787" s="2" t="n">
        <v>5</v>
      </c>
      <c r="P787" s="2" t="n">
        <v>20</v>
      </c>
      <c r="Q787" s="2" t="n">
        <v>20</v>
      </c>
      <c r="R787" s="2" t="n"/>
      <c r="S787" s="2" t="n"/>
      <c r="T787" s="2" t="n"/>
      <c r="U787" s="2" t="n"/>
      <c r="V787" s="2">
        <f>SUM(J787:U787)*G787</f>
        <v/>
      </c>
      <c r="W787" s="2">
        <f>MAX(J787:U787)</f>
        <v/>
      </c>
      <c r="X787" s="2">
        <f>W787*G787</f>
        <v/>
      </c>
    </row>
    <row r="788">
      <c r="A788" s="2" t="inlineStr">
        <is>
          <t>A14-D1-N052</t>
        </is>
      </c>
      <c r="B788" s="3" t="inlineStr">
        <is>
          <t>DOJC-MM-LC/PC-LC/PC</t>
        </is>
      </c>
      <c r="C788" s="2" t="inlineStr">
        <is>
          <t>920000785, 3M</t>
        </is>
      </c>
      <c r="D788" s="2" t="inlineStr">
        <is>
          <t>om1</t>
        </is>
      </c>
      <c r="E788" s="2" t="inlineStr">
        <is>
          <t>2.0mm</t>
        </is>
      </c>
      <c r="F788" s="2" t="n">
        <v>2</v>
      </c>
      <c r="G788" s="2" t="n">
        <v>3</v>
      </c>
      <c r="H788" s="2" t="inlineStr">
        <is>
          <t>LC/PC</t>
        </is>
      </c>
      <c r="I788" s="2" t="inlineStr">
        <is>
          <t>LC/PC</t>
        </is>
      </c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>
        <v>40</v>
      </c>
      <c r="U788" s="2" t="n"/>
      <c r="V788" s="2">
        <f>SUM(J788:U788)*G788</f>
        <v/>
      </c>
      <c r="W788" s="2">
        <f>MAX(J788:U788)</f>
        <v/>
      </c>
      <c r="X788" s="2">
        <f>W788*G788</f>
        <v/>
      </c>
    </row>
    <row r="789">
      <c r="A789" s="2" t="inlineStr">
        <is>
          <t>A14-D1-N057</t>
        </is>
      </c>
      <c r="B789" s="3" t="inlineStr">
        <is>
          <t>DOJC-MM-LC/PC-LC/PC</t>
        </is>
      </c>
      <c r="C789" s="2" t="inlineStr">
        <is>
          <t>920000787, 5M</t>
        </is>
      </c>
      <c r="D789" s="2" t="inlineStr">
        <is>
          <t>om1</t>
        </is>
      </c>
      <c r="E789" s="2" t="inlineStr">
        <is>
          <t>2.0mm</t>
        </is>
      </c>
      <c r="F789" s="2" t="n">
        <v>2</v>
      </c>
      <c r="G789" s="2" t="n">
        <v>5</v>
      </c>
      <c r="H789" s="2" t="inlineStr">
        <is>
          <t>LC/PC</t>
        </is>
      </c>
      <c r="I789" s="2" t="inlineStr">
        <is>
          <t>LC/PC</t>
        </is>
      </c>
      <c r="J789" s="2" t="n"/>
      <c r="K789" s="2" t="n"/>
      <c r="L789" s="2" t="n"/>
      <c r="M789" s="2" t="n"/>
      <c r="N789" s="2" t="n"/>
      <c r="O789" s="2" t="n">
        <v>5</v>
      </c>
      <c r="P789" s="2" t="n">
        <v>30</v>
      </c>
      <c r="Q789" s="2" t="n"/>
      <c r="R789" s="2" t="n">
        <v>12</v>
      </c>
      <c r="S789" s="2" t="n"/>
      <c r="T789" s="2" t="n"/>
      <c r="U789" s="2" t="n"/>
      <c r="V789" s="2">
        <f>SUM(J789:U789)*G789</f>
        <v/>
      </c>
      <c r="W789" s="2">
        <f>MAX(J789:U789)</f>
        <v/>
      </c>
      <c r="X789" s="2">
        <f>W789*G789</f>
        <v/>
      </c>
    </row>
    <row r="790">
      <c r="A790" s="2" t="inlineStr">
        <is>
          <t>A14-D3-N008</t>
        </is>
      </c>
      <c r="B790" s="3" t="inlineStr">
        <is>
          <t>DOJC-MM(OM3)-LC/PC-LC/PC</t>
        </is>
      </c>
      <c r="C790" s="2" t="inlineStr">
        <is>
          <t>10M</t>
        </is>
      </c>
      <c r="D790" s="2" t="inlineStr">
        <is>
          <t>om3</t>
        </is>
      </c>
      <c r="E790" s="2" t="inlineStr">
        <is>
          <t>2.0mm</t>
        </is>
      </c>
      <c r="F790" s="2" t="n">
        <v>2</v>
      </c>
      <c r="G790" s="2" t="n">
        <v>10</v>
      </c>
      <c r="H790" s="2" t="inlineStr">
        <is>
          <t>LC/PC</t>
        </is>
      </c>
      <c r="I790" s="2" t="inlineStr">
        <is>
          <t>LC/PC</t>
        </is>
      </c>
      <c r="J790" s="2" t="n"/>
      <c r="K790" s="2" t="n"/>
      <c r="L790" s="2" t="n">
        <v>30</v>
      </c>
      <c r="M790" s="2" t="n"/>
      <c r="N790" s="2" t="n"/>
      <c r="O790" s="2" t="n">
        <v>8</v>
      </c>
      <c r="P790" s="2" t="n">
        <v>30</v>
      </c>
      <c r="Q790" s="2" t="n"/>
      <c r="R790" s="2" t="n"/>
      <c r="S790" s="2" t="n">
        <v>60</v>
      </c>
      <c r="T790" s="2" t="n"/>
      <c r="U790" s="2" t="n">
        <v>15</v>
      </c>
      <c r="V790" s="2">
        <f>SUM(J790:U790)*G790</f>
        <v/>
      </c>
      <c r="W790" s="2">
        <f>MAX(J790:U790)</f>
        <v/>
      </c>
      <c r="X790" s="2">
        <f>W790*G790</f>
        <v/>
      </c>
    </row>
    <row r="791">
      <c r="A791" s="2" t="inlineStr">
        <is>
          <t>A14-D3-N010</t>
        </is>
      </c>
      <c r="B791" s="3" t="inlineStr">
        <is>
          <t>DOJC-MM(OM3)-LC/PC-LC/PC</t>
        </is>
      </c>
      <c r="C791" s="2" t="inlineStr">
        <is>
          <t>15M</t>
        </is>
      </c>
      <c r="D791" s="2" t="inlineStr">
        <is>
          <t>om3</t>
        </is>
      </c>
      <c r="E791" s="2" t="inlineStr">
        <is>
          <t>2.0mm</t>
        </is>
      </c>
      <c r="F791" s="2" t="n">
        <v>2</v>
      </c>
      <c r="G791" s="2" t="n">
        <v>15</v>
      </c>
      <c r="H791" s="2" t="inlineStr">
        <is>
          <t>LC/PC</t>
        </is>
      </c>
      <c r="I791" s="2" t="inlineStr">
        <is>
          <t>LC/PC</t>
        </is>
      </c>
      <c r="J791" s="2" t="n"/>
      <c r="K791" s="2" t="n">
        <v>12</v>
      </c>
      <c r="L791" s="2" t="n"/>
      <c r="M791" s="2" t="n"/>
      <c r="N791" s="2" t="n"/>
      <c r="O791" s="2" t="n"/>
      <c r="P791" s="2" t="n">
        <v>10</v>
      </c>
      <c r="Q791" s="2" t="n"/>
      <c r="R791" s="2" t="n"/>
      <c r="S791" s="2" t="n">
        <v>50</v>
      </c>
      <c r="T791" s="2" t="n"/>
      <c r="U791" s="2" t="n">
        <v>26</v>
      </c>
      <c r="V791" s="2">
        <f>SUM(J791:U791)*G791</f>
        <v/>
      </c>
      <c r="W791" s="2">
        <f>MAX(J791:U791)</f>
        <v/>
      </c>
      <c r="X791" s="2">
        <f>W791*G791</f>
        <v/>
      </c>
    </row>
    <row r="792">
      <c r="A792" s="2" t="inlineStr">
        <is>
          <t>A14-D3-N011</t>
        </is>
      </c>
      <c r="B792" s="3" t="inlineStr">
        <is>
          <t>DOJC-MM(OM3)-LC/PC-LC/PC</t>
        </is>
      </c>
      <c r="C792" s="2" t="inlineStr">
        <is>
          <t>20M</t>
        </is>
      </c>
      <c r="D792" s="2" t="inlineStr">
        <is>
          <t>om3</t>
        </is>
      </c>
      <c r="E792" s="2" t="inlineStr">
        <is>
          <t>2.0mm</t>
        </is>
      </c>
      <c r="F792" s="2" t="n">
        <v>2</v>
      </c>
      <c r="G792" s="2" t="n">
        <v>20</v>
      </c>
      <c r="H792" s="2" t="inlineStr">
        <is>
          <t>LC/PC</t>
        </is>
      </c>
      <c r="I792" s="2" t="inlineStr">
        <is>
          <t>LC/PC</t>
        </is>
      </c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>
        <v>20</v>
      </c>
      <c r="T792" s="2" t="n">
        <v>4</v>
      </c>
      <c r="U792" s="2" t="n">
        <v>20</v>
      </c>
      <c r="V792" s="2">
        <f>SUM(J792:U792)*G792</f>
        <v/>
      </c>
      <c r="W792" s="2">
        <f>MAX(J792:U792)</f>
        <v/>
      </c>
      <c r="X792" s="2">
        <f>W792*G792</f>
        <v/>
      </c>
    </row>
    <row r="793">
      <c r="A793" s="2" t="inlineStr">
        <is>
          <t>A14-D3-N016</t>
        </is>
      </c>
      <c r="B793" s="3" t="inlineStr">
        <is>
          <t>DOJC-MM(OM3)-LC/PC-LC/PC</t>
        </is>
      </c>
      <c r="C793" s="2" t="inlineStr">
        <is>
          <t>25M</t>
        </is>
      </c>
      <c r="D793" s="2" t="inlineStr">
        <is>
          <t>om3</t>
        </is>
      </c>
      <c r="E793" s="2" t="inlineStr">
        <is>
          <t>2.0mm</t>
        </is>
      </c>
      <c r="F793" s="2" t="n">
        <v>2</v>
      </c>
      <c r="G793" s="2" t="n">
        <v>25</v>
      </c>
      <c r="H793" s="2" t="inlineStr">
        <is>
          <t>LC/PC</t>
        </is>
      </c>
      <c r="I793" s="2" t="inlineStr">
        <is>
          <t>LC/PC</t>
        </is>
      </c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>
        <v>20</v>
      </c>
      <c r="T793" s="2" t="n"/>
      <c r="U793" s="2" t="n">
        <v>3</v>
      </c>
      <c r="V793" s="2">
        <f>SUM(J793:U793)*G793</f>
        <v/>
      </c>
      <c r="W793" s="2">
        <f>MAX(J793:U793)</f>
        <v/>
      </c>
      <c r="X793" s="2">
        <f>W793*G793</f>
        <v/>
      </c>
    </row>
    <row r="794">
      <c r="A794" s="2" t="inlineStr">
        <is>
          <t>A14-D3-N025</t>
        </is>
      </c>
      <c r="B794" s="3" t="inlineStr">
        <is>
          <t>DOJC-MM(OM3)-LC/PC-LC/PC</t>
        </is>
      </c>
      <c r="C794" s="2" t="inlineStr">
        <is>
          <t>5M</t>
        </is>
      </c>
      <c r="D794" s="2" t="inlineStr">
        <is>
          <t>om3</t>
        </is>
      </c>
      <c r="E794" s="2" t="inlineStr">
        <is>
          <t>2.0mm</t>
        </is>
      </c>
      <c r="F794" s="2" t="n">
        <v>2</v>
      </c>
      <c r="G794" s="2" t="n">
        <v>5</v>
      </c>
      <c r="H794" s="2" t="inlineStr">
        <is>
          <t>LC/PC</t>
        </is>
      </c>
      <c r="I794" s="2" t="inlineStr">
        <is>
          <t>LC/PC</t>
        </is>
      </c>
      <c r="J794" s="2" t="n"/>
      <c r="K794" s="2" t="n"/>
      <c r="L794" s="2" t="n">
        <v>20</v>
      </c>
      <c r="M794" s="2" t="n">
        <v>50</v>
      </c>
      <c r="N794" s="2" t="n"/>
      <c r="O794" s="2" t="n"/>
      <c r="P794" s="2" t="n">
        <v>90</v>
      </c>
      <c r="Q794" s="2" t="n"/>
      <c r="R794" s="2" t="n"/>
      <c r="S794" s="2" t="n">
        <v>31</v>
      </c>
      <c r="T794" s="2" t="n"/>
      <c r="U794" s="2" t="n">
        <v>35</v>
      </c>
      <c r="V794" s="2">
        <f>SUM(J794:U794)*G794</f>
        <v/>
      </c>
      <c r="W794" s="2">
        <f>MAX(J794:U794)</f>
        <v/>
      </c>
      <c r="X794" s="2">
        <f>W794*G794</f>
        <v/>
      </c>
    </row>
    <row r="795">
      <c r="A795" s="2" t="inlineStr">
        <is>
          <t>A14-D3-N036</t>
        </is>
      </c>
      <c r="B795" s="3" t="inlineStr">
        <is>
          <t>DOJC-MM(OM3)-LC/PC-LC/PC</t>
        </is>
      </c>
      <c r="C795" s="2" t="inlineStr">
        <is>
          <t>11M</t>
        </is>
      </c>
      <c r="D795" s="2" t="inlineStr">
        <is>
          <t>om3</t>
        </is>
      </c>
      <c r="E795" s="2" t="inlineStr">
        <is>
          <t>2.0mm</t>
        </is>
      </c>
      <c r="F795" s="2" t="n">
        <v>2</v>
      </c>
      <c r="G795" s="2" t="n">
        <v>11</v>
      </c>
      <c r="H795" s="2" t="inlineStr">
        <is>
          <t>LC/PC</t>
        </is>
      </c>
      <c r="I795" s="2" t="inlineStr">
        <is>
          <t>LC/PC</t>
        </is>
      </c>
      <c r="J795" s="2" t="n"/>
      <c r="K795" s="2" t="n"/>
      <c r="L795" s="2" t="n">
        <v>14</v>
      </c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>
        <f>SUM(J795:U795)*G795</f>
        <v/>
      </c>
      <c r="W795" s="2">
        <f>MAX(J795:U795)</f>
        <v/>
      </c>
      <c r="X795" s="2">
        <f>W795*G795</f>
        <v/>
      </c>
    </row>
    <row r="796">
      <c r="A796" s="2" t="inlineStr">
        <is>
          <t>A14-DB-N105</t>
        </is>
      </c>
      <c r="B796" s="3" t="inlineStr">
        <is>
          <t>DOJC-SM-FC/APC-FC/APC</t>
        </is>
      </c>
      <c r="C796" s="2" t="inlineStr">
        <is>
          <t>908040657, 10M,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2</v>
      </c>
      <c r="G796" s="2" t="n">
        <v>10</v>
      </c>
      <c r="H796" s="2" t="inlineStr">
        <is>
          <t>FC/APC</t>
        </is>
      </c>
      <c r="I796" s="2" t="inlineStr">
        <is>
          <t>FC/APC</t>
        </is>
      </c>
      <c r="J796" s="2" t="n"/>
      <c r="K796" s="2" t="n"/>
      <c r="L796" s="2" t="n">
        <v>25</v>
      </c>
      <c r="M796" s="2" t="n">
        <v>10</v>
      </c>
      <c r="N796" s="2" t="n"/>
      <c r="O796" s="2" t="n"/>
      <c r="P796" s="2" t="n"/>
      <c r="Q796" s="2" t="n"/>
      <c r="R796" s="2" t="n"/>
      <c r="S796" s="2" t="n">
        <v>26</v>
      </c>
      <c r="T796" s="2" t="n"/>
      <c r="U796" s="2" t="n"/>
      <c r="V796" s="2">
        <f>SUM(J796:U796)*G796</f>
        <v/>
      </c>
      <c r="W796" s="2">
        <f>MAX(J796:U796)</f>
        <v/>
      </c>
      <c r="X796" s="2">
        <f>W796*G796</f>
        <v/>
      </c>
    </row>
    <row r="797">
      <c r="A797" s="2" t="inlineStr">
        <is>
          <t>A14-DB-N107</t>
        </is>
      </c>
      <c r="B797" s="3" t="inlineStr">
        <is>
          <t>DOJC-SM-FC/APC-FC/APC</t>
        </is>
      </c>
      <c r="C797" s="2" t="inlineStr">
        <is>
          <t>908040662, 15M, B3, 2.0mm</t>
        </is>
      </c>
      <c r="D797" s="2" t="inlineStr">
        <is>
          <t>b3</t>
        </is>
      </c>
      <c r="E797" s="2" t="inlineStr">
        <is>
          <t>2.0mm</t>
        </is>
      </c>
      <c r="F797" s="2" t="n">
        <v>2</v>
      </c>
      <c r="G797" s="2" t="n">
        <v>15</v>
      </c>
      <c r="H797" s="2" t="inlineStr">
        <is>
          <t>FC/APC</t>
        </is>
      </c>
      <c r="I797" s="2" t="inlineStr">
        <is>
          <t>FC/APC</t>
        </is>
      </c>
      <c r="J797" s="2" t="n">
        <v>10</v>
      </c>
      <c r="K797" s="2" t="n"/>
      <c r="L797" s="2" t="n">
        <v>25</v>
      </c>
      <c r="M797" s="2" t="n"/>
      <c r="N797" s="2" t="n"/>
      <c r="O797" s="2" t="n"/>
      <c r="P797" s="2" t="n"/>
      <c r="Q797" s="2" t="n"/>
      <c r="R797" s="2" t="n"/>
      <c r="S797" s="2" t="n">
        <v>20</v>
      </c>
      <c r="T797" s="2" t="n"/>
      <c r="U797" s="2" t="n"/>
      <c r="V797" s="2">
        <f>SUM(J797:U797)*G797</f>
        <v/>
      </c>
      <c r="W797" s="2">
        <f>MAX(J797:U797)</f>
        <v/>
      </c>
      <c r="X797" s="2">
        <f>W797*G797</f>
        <v/>
      </c>
    </row>
    <row r="798">
      <c r="A798" s="2" t="inlineStr">
        <is>
          <t>A14-DB-N110</t>
        </is>
      </c>
      <c r="B798" s="3" t="inlineStr">
        <is>
          <t>DOJC-SM-FC/APC-FC/APC</t>
        </is>
      </c>
      <c r="C798" s="2" t="inlineStr">
        <is>
          <t>908040667, 20M,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2</v>
      </c>
      <c r="G798" s="2" t="n">
        <v>20</v>
      </c>
      <c r="H798" s="2" t="inlineStr">
        <is>
          <t>FC/APC</t>
        </is>
      </c>
      <c r="I798" s="2" t="inlineStr">
        <is>
          <t>FC/APC</t>
        </is>
      </c>
      <c r="J798" s="2" t="n"/>
      <c r="K798" s="2" t="n"/>
      <c r="L798" s="2" t="n">
        <v>25</v>
      </c>
      <c r="M798" s="2" t="n"/>
      <c r="N798" s="2" t="n"/>
      <c r="O798" s="2" t="n">
        <v>20</v>
      </c>
      <c r="P798" s="2" t="n"/>
      <c r="Q798" s="2" t="n"/>
      <c r="R798" s="2" t="n"/>
      <c r="S798" s="2" t="n">
        <v>20</v>
      </c>
      <c r="T798" s="2" t="n"/>
      <c r="U798" s="2" t="n"/>
      <c r="V798" s="2">
        <f>SUM(J798:U798)*G798</f>
        <v/>
      </c>
      <c r="W798" s="2">
        <f>MAX(J798:U798)</f>
        <v/>
      </c>
      <c r="X798" s="2">
        <f>W798*G798</f>
        <v/>
      </c>
    </row>
    <row r="799">
      <c r="A799" s="2" t="inlineStr">
        <is>
          <t>A14-DB-N113</t>
        </is>
      </c>
      <c r="B799" s="3" t="inlineStr">
        <is>
          <t>DOJC-SM-FC/APC-FC/APC</t>
        </is>
      </c>
      <c r="C799" s="2" t="inlineStr">
        <is>
          <t>908040672, 25M, B3, 2.0mm</t>
        </is>
      </c>
      <c r="D799" s="2" t="inlineStr">
        <is>
          <t>b3</t>
        </is>
      </c>
      <c r="E799" s="2" t="inlineStr">
        <is>
          <t>2.0mm</t>
        </is>
      </c>
      <c r="F799" s="2" t="n">
        <v>2</v>
      </c>
      <c r="G799" s="2" t="n">
        <v>25</v>
      </c>
      <c r="H799" s="2" t="inlineStr">
        <is>
          <t>FC/APC</t>
        </is>
      </c>
      <c r="I799" s="2" t="inlineStr">
        <is>
          <t>FC/APC</t>
        </is>
      </c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>
        <v>5</v>
      </c>
      <c r="U799" s="2" t="n"/>
      <c r="V799" s="2">
        <f>SUM(J799:U799)*G799</f>
        <v/>
      </c>
      <c r="W799" s="2">
        <f>MAX(J799:U799)</f>
        <v/>
      </c>
      <c r="X799" s="2">
        <f>W799*G799</f>
        <v/>
      </c>
    </row>
    <row r="800">
      <c r="A800" s="2" t="inlineStr">
        <is>
          <t>A14-DB-N115</t>
        </is>
      </c>
      <c r="B800" s="3" t="inlineStr">
        <is>
          <t>DOJC-SM-FC/APC-FC/APC</t>
        </is>
      </c>
      <c r="C800" s="2" t="inlineStr">
        <is>
          <t>908040677, 30M,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2</v>
      </c>
      <c r="G800" s="2" t="n">
        <v>30</v>
      </c>
      <c r="H800" s="2" t="inlineStr">
        <is>
          <t>FC/APC</t>
        </is>
      </c>
      <c r="I800" s="2" t="inlineStr">
        <is>
          <t>FC/APC</t>
        </is>
      </c>
      <c r="J800" s="2" t="n"/>
      <c r="K800" s="2" t="n">
        <v>4</v>
      </c>
      <c r="L800" s="2" t="n">
        <v>1</v>
      </c>
      <c r="M800" s="2" t="n"/>
      <c r="N800" s="2" t="n"/>
      <c r="O800" s="2" t="n"/>
      <c r="P800" s="2" t="n"/>
      <c r="Q800" s="2" t="n"/>
      <c r="R800" s="2" t="n"/>
      <c r="S800" s="2" t="n"/>
      <c r="T800" s="2" t="n">
        <v>5</v>
      </c>
      <c r="U800" s="2" t="n"/>
      <c r="V800" s="2">
        <f>SUM(J800:U800)*G800</f>
        <v/>
      </c>
      <c r="W800" s="2">
        <f>MAX(J800:U800)</f>
        <v/>
      </c>
      <c r="X800" s="2">
        <f>W800*G800</f>
        <v/>
      </c>
    </row>
    <row r="801">
      <c r="A801" s="2" t="inlineStr">
        <is>
          <t>A14-DB-N140</t>
        </is>
      </c>
      <c r="B801" s="3" t="inlineStr">
        <is>
          <t>DOJC-SM-FC/PC-FC/PC</t>
        </is>
      </c>
      <c r="C801" s="2" t="inlineStr">
        <is>
          <t>908040597, 10M,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2</v>
      </c>
      <c r="G801" s="2" t="n">
        <v>10</v>
      </c>
      <c r="H801" s="2" t="inlineStr">
        <is>
          <t>FC/PC</t>
        </is>
      </c>
      <c r="I801" s="2" t="inlineStr">
        <is>
          <t>FC/PC</t>
        </is>
      </c>
      <c r="J801" s="2" t="n"/>
      <c r="K801" s="2" t="n"/>
      <c r="L801" s="2" t="n"/>
      <c r="M801" s="2" t="n"/>
      <c r="N801" s="2" t="n"/>
      <c r="O801" s="2" t="n"/>
      <c r="P801" s="2" t="n">
        <v>10</v>
      </c>
      <c r="Q801" s="2" t="n"/>
      <c r="R801" s="2" t="n"/>
      <c r="S801" s="2" t="n">
        <v>30</v>
      </c>
      <c r="T801" s="2" t="n">
        <v>20</v>
      </c>
      <c r="U801" s="2" t="n"/>
      <c r="V801" s="2">
        <f>SUM(J801:U801)*G801</f>
        <v/>
      </c>
      <c r="W801" s="2">
        <f>MAX(J801:U801)</f>
        <v/>
      </c>
      <c r="X801" s="2">
        <f>W801*G801</f>
        <v/>
      </c>
    </row>
    <row r="802">
      <c r="A802" s="2" t="inlineStr">
        <is>
          <t>A14-DB-N143</t>
        </is>
      </c>
      <c r="B802" s="3" t="inlineStr">
        <is>
          <t>DOJC-SM-FC/PC-FC/PC</t>
        </is>
      </c>
      <c r="C802" s="2" t="inlineStr">
        <is>
          <t>908040602, 15M, B3, 2.0mm</t>
        </is>
      </c>
      <c r="D802" s="2" t="inlineStr">
        <is>
          <t>b3</t>
        </is>
      </c>
      <c r="E802" s="2" t="inlineStr">
        <is>
          <t>2.0mm</t>
        </is>
      </c>
      <c r="F802" s="2" t="n">
        <v>2</v>
      </c>
      <c r="G802" s="2" t="n">
        <v>15</v>
      </c>
      <c r="H802" s="2" t="inlineStr">
        <is>
          <t>FC/PC</t>
        </is>
      </c>
      <c r="I802" s="2" t="inlineStr">
        <is>
          <t>FC/PC</t>
        </is>
      </c>
      <c r="J802" s="2" t="n"/>
      <c r="K802" s="2" t="n"/>
      <c r="L802" s="2" t="n"/>
      <c r="M802" s="2" t="n"/>
      <c r="N802" s="2" t="n"/>
      <c r="O802" s="2" t="n"/>
      <c r="P802" s="2" t="n">
        <v>40</v>
      </c>
      <c r="Q802" s="2" t="n"/>
      <c r="R802" s="2" t="n"/>
      <c r="S802" s="2" t="n">
        <v>30</v>
      </c>
      <c r="T802" s="2" t="n">
        <v>20</v>
      </c>
      <c r="U802" s="2" t="n"/>
      <c r="V802" s="2">
        <f>SUM(J802:U802)*G802</f>
        <v/>
      </c>
      <c r="W802" s="2">
        <f>MAX(J802:U802)</f>
        <v/>
      </c>
      <c r="X802" s="2">
        <f>W802*G802</f>
        <v/>
      </c>
    </row>
    <row r="803">
      <c r="A803" s="2" t="inlineStr">
        <is>
          <t>A14-DB-N158</t>
        </is>
      </c>
      <c r="B803" s="3" t="inlineStr">
        <is>
          <t>DOJC-SM-LC/PC-FC/APC</t>
        </is>
      </c>
      <c r="C803" s="2" t="inlineStr">
        <is>
          <t>12M,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2</v>
      </c>
      <c r="G803" s="2" t="n">
        <v>12</v>
      </c>
      <c r="H803" s="2" t="inlineStr">
        <is>
          <t>LC/PC</t>
        </is>
      </c>
      <c r="I803" s="2" t="inlineStr">
        <is>
          <t>FC/APC</t>
        </is>
      </c>
      <c r="J803" s="2" t="n"/>
      <c r="K803" s="2" t="n"/>
      <c r="L803" s="2" t="n"/>
      <c r="M803" s="2" t="n"/>
      <c r="N803" s="2" t="n"/>
      <c r="O803" s="2" t="n"/>
      <c r="P803" s="2" t="n"/>
      <c r="Q803" s="2" t="n">
        <v>2</v>
      </c>
      <c r="R803" s="2" t="n"/>
      <c r="S803" s="2" t="n"/>
      <c r="T803" s="2" t="n"/>
      <c r="U803" s="2" t="n"/>
      <c r="V803" s="2">
        <f>SUM(J803:U803)*G803</f>
        <v/>
      </c>
      <c r="W803" s="2">
        <f>MAX(J803:U803)</f>
        <v/>
      </c>
      <c r="X803" s="2">
        <f>W803*G803</f>
        <v/>
      </c>
    </row>
    <row r="804">
      <c r="A804" s="2" t="inlineStr">
        <is>
          <t>A14-DB-N161</t>
        </is>
      </c>
      <c r="B804" s="3" t="inlineStr">
        <is>
          <t>DOJC-SM-LC/PC-FC/APC</t>
        </is>
      </c>
      <c r="C804" s="2" t="inlineStr">
        <is>
          <t>908040891, 15M, B3, 2.0mm</t>
        </is>
      </c>
      <c r="D804" s="2" t="inlineStr">
        <is>
          <t>b3</t>
        </is>
      </c>
      <c r="E804" s="2" t="inlineStr">
        <is>
          <t>2.0mm</t>
        </is>
      </c>
      <c r="F804" s="2" t="n">
        <v>2</v>
      </c>
      <c r="G804" s="2" t="n">
        <v>15</v>
      </c>
      <c r="H804" s="2" t="inlineStr">
        <is>
          <t>LC/PC</t>
        </is>
      </c>
      <c r="I804" s="2" t="inlineStr">
        <is>
          <t>FC/APC</t>
        </is>
      </c>
      <c r="J804" s="2" t="n"/>
      <c r="K804" s="2" t="n">
        <v>44</v>
      </c>
      <c r="L804" s="2" t="n">
        <v>79</v>
      </c>
      <c r="M804" s="2" t="n"/>
      <c r="N804" s="2" t="n"/>
      <c r="O804" s="2" t="n"/>
      <c r="P804" s="2" t="n">
        <v>22</v>
      </c>
      <c r="Q804" s="2" t="n">
        <v>2</v>
      </c>
      <c r="R804" s="2" t="n"/>
      <c r="S804" s="2" t="n">
        <v>5</v>
      </c>
      <c r="T804" s="2" t="n"/>
      <c r="U804" s="2" t="n"/>
      <c r="V804" s="2">
        <f>SUM(J804:U804)*G804</f>
        <v/>
      </c>
      <c r="W804" s="2">
        <f>MAX(J804:U804)</f>
        <v/>
      </c>
      <c r="X804" s="2">
        <f>W804*G804</f>
        <v/>
      </c>
    </row>
    <row r="805">
      <c r="A805" s="2" t="inlineStr">
        <is>
          <t>A14-DB-N166</t>
        </is>
      </c>
      <c r="B805" s="3" t="inlineStr">
        <is>
          <t>DOJC-SM-LC/PC-FC/APC</t>
        </is>
      </c>
      <c r="C805" s="2" t="inlineStr">
        <is>
          <t>908040896, 20M,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2</v>
      </c>
      <c r="G805" s="2" t="n">
        <v>20</v>
      </c>
      <c r="H805" s="2" t="inlineStr">
        <is>
          <t>LC/PC</t>
        </is>
      </c>
      <c r="I805" s="2" t="inlineStr">
        <is>
          <t>FC/APC</t>
        </is>
      </c>
      <c r="J805" s="2" t="n"/>
      <c r="K805" s="2" t="n"/>
      <c r="L805" s="2" t="n"/>
      <c r="M805" s="2" t="n"/>
      <c r="N805" s="2" t="n"/>
      <c r="O805" s="2" t="n">
        <v>125</v>
      </c>
      <c r="P805" s="2" t="n">
        <v>45</v>
      </c>
      <c r="Q805" s="2" t="n"/>
      <c r="R805" s="2" t="n"/>
      <c r="S805" s="2" t="n"/>
      <c r="T805" s="2" t="n"/>
      <c r="U805" s="2" t="n"/>
      <c r="V805" s="2">
        <f>SUM(J805:U805)*G805</f>
        <v/>
      </c>
      <c r="W805" s="2">
        <f>MAX(J805:U805)</f>
        <v/>
      </c>
      <c r="X805" s="2">
        <f>W805*G805</f>
        <v/>
      </c>
    </row>
    <row r="806">
      <c r="A806" s="2" t="inlineStr">
        <is>
          <t>A14-DB-N170</t>
        </is>
      </c>
      <c r="B806" s="3" t="inlineStr">
        <is>
          <t>DOJC-SM-LC/PC-FC/APC</t>
        </is>
      </c>
      <c r="C806" s="2" t="inlineStr">
        <is>
          <t>908040901, 25M,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2</v>
      </c>
      <c r="G806" s="2" t="n">
        <v>25</v>
      </c>
      <c r="H806" s="2" t="inlineStr">
        <is>
          <t>LC/PC</t>
        </is>
      </c>
      <c r="I806" s="2" t="inlineStr">
        <is>
          <t>FC/APC</t>
        </is>
      </c>
      <c r="J806" s="2" t="n">
        <v>18</v>
      </c>
      <c r="K806" s="2" t="n">
        <v>5</v>
      </c>
      <c r="L806" s="2" t="n"/>
      <c r="M806" s="2" t="n">
        <v>39</v>
      </c>
      <c r="N806" s="2" t="n"/>
      <c r="O806" s="2" t="n"/>
      <c r="P806" s="2" t="n"/>
      <c r="Q806" s="2" t="n"/>
      <c r="R806" s="2" t="n"/>
      <c r="S806" s="2" t="n"/>
      <c r="T806" s="2" t="n">
        <v>5</v>
      </c>
      <c r="U806" s="2" t="n"/>
      <c r="V806" s="2">
        <f>SUM(J806:U806)*G806</f>
        <v/>
      </c>
      <c r="W806" s="2">
        <f>MAX(J806:U806)</f>
        <v/>
      </c>
      <c r="X806" s="2">
        <f>W806*G806</f>
        <v/>
      </c>
    </row>
    <row r="807">
      <c r="A807" s="2" t="inlineStr">
        <is>
          <t>A14-DB-N173</t>
        </is>
      </c>
      <c r="B807" s="3" t="inlineStr">
        <is>
          <t>DOJC-SM-LC/PC-FC/APC</t>
        </is>
      </c>
      <c r="C807" s="2" t="inlineStr">
        <is>
          <t>908040906, 30M, B3, 2.0mm</t>
        </is>
      </c>
      <c r="D807" s="2" t="inlineStr">
        <is>
          <t>b3</t>
        </is>
      </c>
      <c r="E807" s="2" t="inlineStr">
        <is>
          <t>2.0mm</t>
        </is>
      </c>
      <c r="F807" s="2" t="n">
        <v>2</v>
      </c>
      <c r="G807" s="2" t="n">
        <v>30</v>
      </c>
      <c r="H807" s="2" t="inlineStr">
        <is>
          <t>LC/PC</t>
        </is>
      </c>
      <c r="I807" s="2" t="inlineStr">
        <is>
          <t>FC/APC</t>
        </is>
      </c>
      <c r="J807" s="2" t="n"/>
      <c r="K807" s="2" t="n"/>
      <c r="L807" s="2" t="n"/>
      <c r="M807" s="2" t="n"/>
      <c r="N807" s="2" t="n"/>
      <c r="O807" s="2" t="n">
        <v>34</v>
      </c>
      <c r="P807" s="2" t="n">
        <v>20</v>
      </c>
      <c r="Q807" s="2" t="n"/>
      <c r="R807" s="2" t="n"/>
      <c r="S807" s="2" t="n"/>
      <c r="T807" s="2" t="n"/>
      <c r="U807" s="2" t="n"/>
      <c r="V807" s="2">
        <f>SUM(J807:U807)*G807</f>
        <v/>
      </c>
      <c r="W807" s="2">
        <f>MAX(J807:U807)</f>
        <v/>
      </c>
      <c r="X807" s="2">
        <f>W807*G807</f>
        <v/>
      </c>
    </row>
    <row r="808">
      <c r="A808" s="2" t="inlineStr">
        <is>
          <t>A14-DB-N174</t>
        </is>
      </c>
      <c r="B808" s="3" t="inlineStr">
        <is>
          <t>DOJC-SM-LC/PC-FC/APC</t>
        </is>
      </c>
      <c r="C808" s="2" t="inlineStr">
        <is>
          <t>35M, B3, 2.0mm</t>
        </is>
      </c>
      <c r="D808" s="2" t="inlineStr">
        <is>
          <t>b3</t>
        </is>
      </c>
      <c r="E808" s="2" t="inlineStr">
        <is>
          <t>2.0mm</t>
        </is>
      </c>
      <c r="F808" s="2" t="n">
        <v>2</v>
      </c>
      <c r="G808" s="2" t="n">
        <v>35</v>
      </c>
      <c r="H808" s="2" t="inlineStr">
        <is>
          <t>LC/PC</t>
        </is>
      </c>
      <c r="I808" s="2" t="inlineStr">
        <is>
          <t>FC/APC</t>
        </is>
      </c>
      <c r="J808" s="2" t="n">
        <v>6</v>
      </c>
      <c r="K808" s="2" t="n"/>
      <c r="L808" s="2" t="n"/>
      <c r="M808" s="2" t="n">
        <v>4</v>
      </c>
      <c r="N808" s="2" t="n"/>
      <c r="O808" s="2" t="n">
        <v>30</v>
      </c>
      <c r="P808" s="2" t="n"/>
      <c r="Q808" s="2" t="n"/>
      <c r="R808" s="2" t="n">
        <v>10</v>
      </c>
      <c r="S808" s="2" t="n"/>
      <c r="T808" s="2" t="n">
        <v>10</v>
      </c>
      <c r="U808" s="2" t="n"/>
      <c r="V808" s="2">
        <f>SUM(J808:U808)*G808</f>
        <v/>
      </c>
      <c r="W808" s="2">
        <f>MAX(J808:U808)</f>
        <v/>
      </c>
      <c r="X808" s="2">
        <f>W808*G808</f>
        <v/>
      </c>
    </row>
    <row r="809">
      <c r="A809" s="2" t="inlineStr">
        <is>
          <t>A14-DB-N176</t>
        </is>
      </c>
      <c r="B809" s="3" t="inlineStr">
        <is>
          <t>DOJC-SM-LC/PC-FC/APC</t>
        </is>
      </c>
      <c r="C809" s="2" t="inlineStr">
        <is>
          <t>40M, B3, 2.0mm</t>
        </is>
      </c>
      <c r="D809" s="2" t="inlineStr">
        <is>
          <t>b3</t>
        </is>
      </c>
      <c r="E809" s="2" t="inlineStr">
        <is>
          <t>2.0mm</t>
        </is>
      </c>
      <c r="F809" s="2" t="n">
        <v>2</v>
      </c>
      <c r="G809" s="2" t="n">
        <v>40</v>
      </c>
      <c r="H809" s="2" t="inlineStr">
        <is>
          <t>LC/PC</t>
        </is>
      </c>
      <c r="I809" s="2" t="inlineStr">
        <is>
          <t>FC/APC</t>
        </is>
      </c>
      <c r="J809" s="2" t="n"/>
      <c r="K809" s="2" t="n">
        <v>6</v>
      </c>
      <c r="L809" s="2" t="n"/>
      <c r="M809" s="2" t="n">
        <v>17</v>
      </c>
      <c r="N809" s="2" t="n">
        <v>10</v>
      </c>
      <c r="O809" s="2" t="n"/>
      <c r="P809" s="2" t="n">
        <v>6</v>
      </c>
      <c r="Q809" s="2" t="n">
        <v>17</v>
      </c>
      <c r="R809" s="2" t="n"/>
      <c r="S809" s="2" t="n">
        <v>10</v>
      </c>
      <c r="T809" s="2" t="n">
        <v>5</v>
      </c>
      <c r="U809" s="2" t="n">
        <v>4</v>
      </c>
      <c r="V809" s="2">
        <f>SUM(J809:U809)*G809</f>
        <v/>
      </c>
      <c r="W809" s="2">
        <f>MAX(J809:U809)</f>
        <v/>
      </c>
      <c r="X809" s="2">
        <f>W809*G809</f>
        <v/>
      </c>
    </row>
    <row r="810">
      <c r="A810" s="2" t="inlineStr">
        <is>
          <t>A14-DB-N177</t>
        </is>
      </c>
      <c r="B810" s="3" t="inlineStr">
        <is>
          <t>DOJC-SM-LC/PC-FC/APC</t>
        </is>
      </c>
      <c r="C810" s="2" t="inlineStr">
        <is>
          <t>45M,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2</v>
      </c>
      <c r="G810" s="2" t="n">
        <v>45</v>
      </c>
      <c r="H810" s="2" t="inlineStr">
        <is>
          <t>LC/PC</t>
        </is>
      </c>
      <c r="I810" s="2" t="inlineStr">
        <is>
          <t>FC/APC</t>
        </is>
      </c>
      <c r="J810" s="2" t="n">
        <v>4</v>
      </c>
      <c r="K810" s="2" t="n">
        <v>6</v>
      </c>
      <c r="L810" s="2" t="n"/>
      <c r="M810" s="2" t="n">
        <v>4</v>
      </c>
      <c r="N810" s="2" t="n"/>
      <c r="O810" s="2" t="n"/>
      <c r="P810" s="2" t="n"/>
      <c r="Q810" s="2" t="n">
        <v>5</v>
      </c>
      <c r="R810" s="2" t="n"/>
      <c r="S810" s="2" t="n">
        <v>5</v>
      </c>
      <c r="T810" s="2" t="n"/>
      <c r="U810" s="2" t="n"/>
      <c r="V810" s="2">
        <f>SUM(J810:U810)*G810</f>
        <v/>
      </c>
      <c r="W810" s="2">
        <f>MAX(J810:U810)</f>
        <v/>
      </c>
      <c r="X810" s="2">
        <f>W810*G810</f>
        <v/>
      </c>
    </row>
    <row r="811">
      <c r="A811" s="2" t="inlineStr">
        <is>
          <t>A14-DB-N179</t>
        </is>
      </c>
      <c r="B811" s="3" t="inlineStr">
        <is>
          <t>DOJC-SM-LC/PC-FC/APC</t>
        </is>
      </c>
      <c r="C811" s="2" t="inlineStr">
        <is>
          <t>50M,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2</v>
      </c>
      <c r="G811" s="2" t="n">
        <v>50</v>
      </c>
      <c r="H811" s="2" t="inlineStr">
        <is>
          <t>LC/PC</t>
        </is>
      </c>
      <c r="I811" s="2" t="inlineStr">
        <is>
          <t>FC/APC</t>
        </is>
      </c>
      <c r="J811" s="2" t="n"/>
      <c r="K811" s="2" t="n">
        <v>10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>
        <v>5</v>
      </c>
      <c r="U811" s="2" t="n"/>
      <c r="V811" s="2">
        <f>SUM(J811:U811)*G811</f>
        <v/>
      </c>
      <c r="W811" s="2">
        <f>MAX(J811:U811)</f>
        <v/>
      </c>
      <c r="X811" s="2">
        <f>W811*G811</f>
        <v/>
      </c>
    </row>
    <row r="812">
      <c r="A812" s="2" t="inlineStr">
        <is>
          <t>A14-DB-N182</t>
        </is>
      </c>
      <c r="B812" s="3" t="inlineStr">
        <is>
          <t>DOJC-SM-LC/PC-FC/APC</t>
        </is>
      </c>
      <c r="C812" s="2" t="inlineStr">
        <is>
          <t>60M,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2</v>
      </c>
      <c r="G812" s="2" t="n">
        <v>60</v>
      </c>
      <c r="H812" s="2" t="inlineStr">
        <is>
          <t>LC/PC</t>
        </is>
      </c>
      <c r="I812" s="2" t="inlineStr">
        <is>
          <t>FC/APC</t>
        </is>
      </c>
      <c r="J812" s="2" t="n"/>
      <c r="K812" s="2" t="n"/>
      <c r="L812" s="2" t="n"/>
      <c r="M812" s="2" t="n">
        <v>2</v>
      </c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>
        <f>SUM(J812:U812)*G812</f>
        <v/>
      </c>
      <c r="W812" s="2">
        <f>MAX(J812:U812)</f>
        <v/>
      </c>
      <c r="X812" s="2">
        <f>W812*G812</f>
        <v/>
      </c>
    </row>
    <row r="813">
      <c r="A813" s="2" t="inlineStr">
        <is>
          <t>A14-DB-N185</t>
        </is>
      </c>
      <c r="B813" s="3" t="inlineStr">
        <is>
          <t>DOJC-SM-LC/PC-FC/APC</t>
        </is>
      </c>
      <c r="C813" s="2" t="inlineStr">
        <is>
          <t>70M,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2</v>
      </c>
      <c r="G813" s="2" t="n">
        <v>70</v>
      </c>
      <c r="H813" s="2" t="inlineStr">
        <is>
          <t>LC/PC</t>
        </is>
      </c>
      <c r="I813" s="2" t="inlineStr">
        <is>
          <t>FC/APC</t>
        </is>
      </c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>
        <v>5</v>
      </c>
      <c r="V813" s="2">
        <f>SUM(J813:U813)*G813</f>
        <v/>
      </c>
      <c r="W813" s="2">
        <f>MAX(J813:U813)</f>
        <v/>
      </c>
      <c r="X813" s="2">
        <f>W813*G813</f>
        <v/>
      </c>
    </row>
    <row r="814">
      <c r="A814" s="2" t="inlineStr">
        <is>
          <t>A14-DB-N187</t>
        </is>
      </c>
      <c r="B814" s="3" t="inlineStr">
        <is>
          <t>DOJC-SM-LC/PC-FC/APC</t>
        </is>
      </c>
      <c r="C814" s="2" t="inlineStr">
        <is>
          <t>908040529, 7M, B3, 2.0mm</t>
        </is>
      </c>
      <c r="D814" s="2" t="inlineStr">
        <is>
          <t>b3</t>
        </is>
      </c>
      <c r="E814" s="2" t="inlineStr">
        <is>
          <t>2.0mm</t>
        </is>
      </c>
      <c r="F814" s="2" t="n">
        <v>2</v>
      </c>
      <c r="G814" s="2" t="n">
        <v>7</v>
      </c>
      <c r="H814" s="2" t="inlineStr">
        <is>
          <t>LC/PC</t>
        </is>
      </c>
      <c r="I814" s="2" t="inlineStr">
        <is>
          <t>FC/APC</t>
        </is>
      </c>
      <c r="J814" s="2" t="n"/>
      <c r="K814" s="2" t="n"/>
      <c r="L814" s="2" t="n">
        <v>12</v>
      </c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>
        <f>SUM(J814:U814)*G814</f>
        <v/>
      </c>
      <c r="W814" s="2">
        <f>MAX(J814:U814)</f>
        <v/>
      </c>
      <c r="X814" s="2">
        <f>W814*G814</f>
        <v/>
      </c>
    </row>
    <row r="815">
      <c r="A815" s="2" t="inlineStr">
        <is>
          <t>A14-DB-N189</t>
        </is>
      </c>
      <c r="B815" s="3" t="inlineStr">
        <is>
          <t>DOJC-SM-LC/PC-FC/APC</t>
        </is>
      </c>
      <c r="C815" s="2" t="inlineStr">
        <is>
          <t>908040530, 8M, B3, 2.0mm</t>
        </is>
      </c>
      <c r="D815" s="2" t="inlineStr">
        <is>
          <t>b3</t>
        </is>
      </c>
      <c r="E815" s="2" t="inlineStr">
        <is>
          <t>2.0mm</t>
        </is>
      </c>
      <c r="F815" s="2" t="n">
        <v>2</v>
      </c>
      <c r="G815" s="2" t="n">
        <v>8</v>
      </c>
      <c r="H815" s="2" t="inlineStr">
        <is>
          <t>LC/PC</t>
        </is>
      </c>
      <c r="I815" s="2" t="inlineStr">
        <is>
          <t>FC/APC</t>
        </is>
      </c>
      <c r="J815" s="2" t="n"/>
      <c r="K815" s="2" t="n"/>
      <c r="L815" s="2" t="n">
        <v>10</v>
      </c>
      <c r="M815" s="2" t="n"/>
      <c r="N815" s="2" t="n"/>
      <c r="O815" s="2" t="n"/>
      <c r="P815" s="2" t="n">
        <v>5</v>
      </c>
      <c r="Q815" s="2" t="n">
        <v>10</v>
      </c>
      <c r="R815" s="2" t="n"/>
      <c r="S815" s="2" t="n"/>
      <c r="T815" s="2" t="n"/>
      <c r="U815" s="2" t="n"/>
      <c r="V815" s="2">
        <f>SUM(J815:U815)*G815</f>
        <v/>
      </c>
      <c r="W815" s="2">
        <f>MAX(J815:U815)</f>
        <v/>
      </c>
      <c r="X815" s="2">
        <f>W815*G815</f>
        <v/>
      </c>
    </row>
    <row r="816">
      <c r="A816" s="2" t="inlineStr">
        <is>
          <t>A14-DB-N192</t>
        </is>
      </c>
      <c r="B816" s="3" t="inlineStr">
        <is>
          <t>DOJC-SM-LC/PC-FC/PC</t>
        </is>
      </c>
      <c r="C816" s="2" t="inlineStr">
        <is>
          <t>908040722, 10M,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2</v>
      </c>
      <c r="G816" s="2" t="n">
        <v>10</v>
      </c>
      <c r="H816" s="2" t="inlineStr">
        <is>
          <t>LC/PC</t>
        </is>
      </c>
      <c r="I816" s="2" t="inlineStr">
        <is>
          <t>FC/PC</t>
        </is>
      </c>
      <c r="J816" s="2" t="n"/>
      <c r="K816" s="2" t="n"/>
      <c r="L816" s="2" t="n"/>
      <c r="M816" s="2" t="n"/>
      <c r="N816" s="2" t="n"/>
      <c r="O816" s="2" t="n">
        <v>5</v>
      </c>
      <c r="P816" s="2" t="n">
        <v>10</v>
      </c>
      <c r="Q816" s="2" t="n">
        <v>2</v>
      </c>
      <c r="R816" s="2" t="n"/>
      <c r="S816" s="2" t="n">
        <v>15</v>
      </c>
      <c r="T816" s="2" t="n">
        <v>20</v>
      </c>
      <c r="U816" s="2" t="n"/>
      <c r="V816" s="2">
        <f>SUM(J816:U816)*G816</f>
        <v/>
      </c>
      <c r="W816" s="2">
        <f>MAX(J816:U816)</f>
        <v/>
      </c>
      <c r="X816" s="2">
        <f>W816*G816</f>
        <v/>
      </c>
    </row>
    <row r="817">
      <c r="A817" s="2" t="inlineStr">
        <is>
          <t>A14-DB-N194</t>
        </is>
      </c>
      <c r="B817" s="3" t="inlineStr">
        <is>
          <t>DOJC-SM-LC/PC-FC/PC</t>
        </is>
      </c>
      <c r="C817" s="2" t="inlineStr">
        <is>
          <t>12M, B3, 2.0mm</t>
        </is>
      </c>
      <c r="D817" s="2" t="inlineStr">
        <is>
          <t>b3</t>
        </is>
      </c>
      <c r="E817" s="2" t="inlineStr">
        <is>
          <t>2.0mm</t>
        </is>
      </c>
      <c r="F817" s="2" t="n">
        <v>2</v>
      </c>
      <c r="G817" s="2" t="n">
        <v>12</v>
      </c>
      <c r="H817" s="2" t="inlineStr">
        <is>
          <t>LC/PC</t>
        </is>
      </c>
      <c r="I817" s="2" t="inlineStr">
        <is>
          <t>FC/PC</t>
        </is>
      </c>
      <c r="J817" s="2" t="n"/>
      <c r="K817" s="2" t="n"/>
      <c r="L817" s="2" t="n">
        <v>5</v>
      </c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>
        <f>SUM(J817:U817)*G817</f>
        <v/>
      </c>
      <c r="W817" s="2">
        <f>MAX(J817:U817)</f>
        <v/>
      </c>
      <c r="X817" s="2">
        <f>W817*G817</f>
        <v/>
      </c>
    </row>
    <row r="818">
      <c r="A818" s="2" t="inlineStr">
        <is>
          <t>A14-DB-N195</t>
        </is>
      </c>
      <c r="B818" s="3" t="inlineStr">
        <is>
          <t>DOJC-SM-LC/PC-FC/PC</t>
        </is>
      </c>
      <c r="C818" s="2" t="inlineStr">
        <is>
          <t>13M,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2</v>
      </c>
      <c r="G818" s="2" t="n">
        <v>13</v>
      </c>
      <c r="H818" s="2" t="inlineStr">
        <is>
          <t>LC/PC</t>
        </is>
      </c>
      <c r="I818" s="2" t="inlineStr">
        <is>
          <t>FC/PC</t>
        </is>
      </c>
      <c r="J818" s="2" t="n"/>
      <c r="K818" s="2" t="n"/>
      <c r="L818" s="2" t="n"/>
      <c r="M818" s="2" t="n">
        <v>10</v>
      </c>
      <c r="N818" s="2" t="n"/>
      <c r="O818" s="2" t="n"/>
      <c r="P818" s="2" t="n"/>
      <c r="Q818" s="2" t="n"/>
      <c r="R818" s="2" t="n"/>
      <c r="S818" s="2" t="n"/>
      <c r="T818" s="2" t="n">
        <v>10</v>
      </c>
      <c r="U818" s="2" t="n"/>
      <c r="V818" s="2">
        <f>SUM(J818:U818)*G818</f>
        <v/>
      </c>
      <c r="W818" s="2">
        <f>MAX(J818:U818)</f>
        <v/>
      </c>
      <c r="X818" s="2">
        <f>W818*G818</f>
        <v/>
      </c>
    </row>
    <row r="819">
      <c r="A819" s="2" t="inlineStr">
        <is>
          <t>A14-DB-N196</t>
        </is>
      </c>
      <c r="B819" s="3" t="inlineStr">
        <is>
          <t>DOJC-SM-LC/PC-FC/PC</t>
        </is>
      </c>
      <c r="C819" s="2" t="inlineStr">
        <is>
          <t>908040727, 15M,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2</v>
      </c>
      <c r="G819" s="2" t="n">
        <v>15</v>
      </c>
      <c r="H819" s="2" t="inlineStr">
        <is>
          <t>LC/PC</t>
        </is>
      </c>
      <c r="I819" s="2" t="inlineStr">
        <is>
          <t>FC/PC</t>
        </is>
      </c>
      <c r="J819" s="2" t="n"/>
      <c r="K819" s="2" t="n"/>
      <c r="L819" s="2" t="n"/>
      <c r="M819" s="2" t="n"/>
      <c r="N819" s="2" t="n"/>
      <c r="O819" s="2" t="n">
        <v>171</v>
      </c>
      <c r="P819" s="2" t="n">
        <v>30</v>
      </c>
      <c r="Q819" s="2" t="n">
        <v>11</v>
      </c>
      <c r="R819" s="2" t="n"/>
      <c r="S819" s="2" t="n"/>
      <c r="T819" s="2" t="n">
        <v>85</v>
      </c>
      <c r="U819" s="2" t="n">
        <v>10</v>
      </c>
      <c r="V819" s="2">
        <f>SUM(J819:U819)*G819</f>
        <v/>
      </c>
      <c r="W819" s="2">
        <f>MAX(J819:U819)</f>
        <v/>
      </c>
      <c r="X819" s="2">
        <f>W819*G819</f>
        <v/>
      </c>
    </row>
    <row r="820">
      <c r="A820" s="2" t="inlineStr">
        <is>
          <t>A14-DB-N199</t>
        </is>
      </c>
      <c r="B820" s="3" t="inlineStr">
        <is>
          <t>DOJC-SM-LC/PC-FC/PC</t>
        </is>
      </c>
      <c r="C820" s="2" t="inlineStr">
        <is>
          <t>908040732, 20M, B3, 2.0mm</t>
        </is>
      </c>
      <c r="D820" s="2" t="inlineStr">
        <is>
          <t>b3</t>
        </is>
      </c>
      <c r="E820" s="2" t="inlineStr">
        <is>
          <t>2.0mm</t>
        </is>
      </c>
      <c r="F820" s="2" t="n">
        <v>2</v>
      </c>
      <c r="G820" s="2" t="n">
        <v>20</v>
      </c>
      <c r="H820" s="2" t="inlineStr">
        <is>
          <t>LC/PC</t>
        </is>
      </c>
      <c r="I820" s="2" t="inlineStr">
        <is>
          <t>FC/PC</t>
        </is>
      </c>
      <c r="J820" s="2" t="n"/>
      <c r="K820" s="2" t="n"/>
      <c r="L820" s="2" t="n">
        <v>16</v>
      </c>
      <c r="M820" s="2" t="n">
        <v>15</v>
      </c>
      <c r="N820" s="2" t="n"/>
      <c r="O820" s="2" t="n">
        <v>5</v>
      </c>
      <c r="P820" s="2" t="n">
        <v>31</v>
      </c>
      <c r="Q820" s="2" t="n">
        <v>5</v>
      </c>
      <c r="R820" s="2" t="n"/>
      <c r="S820" s="2" t="n"/>
      <c r="T820" s="2" t="n">
        <v>77</v>
      </c>
      <c r="U820" s="2" t="n"/>
      <c r="V820" s="2">
        <f>SUM(J820:U820)*G820</f>
        <v/>
      </c>
      <c r="W820" s="2">
        <f>MAX(J820:U820)</f>
        <v/>
      </c>
      <c r="X820" s="2">
        <f>W820*G820</f>
        <v/>
      </c>
    </row>
    <row r="821">
      <c r="A821" s="2" t="inlineStr">
        <is>
          <t>A14-DB-N202</t>
        </is>
      </c>
      <c r="B821" s="3" t="inlineStr">
        <is>
          <t>DOJC-SM-LC/PC-FC/PC</t>
        </is>
      </c>
      <c r="C821" s="2" t="inlineStr">
        <is>
          <t>908040853, 25M, B3, 2.0mm</t>
        </is>
      </c>
      <c r="D821" s="2" t="inlineStr">
        <is>
          <t>b3</t>
        </is>
      </c>
      <c r="E821" s="2" t="inlineStr">
        <is>
          <t>2.0mm</t>
        </is>
      </c>
      <c r="F821" s="2" t="n">
        <v>2</v>
      </c>
      <c r="G821" s="2" t="n">
        <v>25</v>
      </c>
      <c r="H821" s="2" t="inlineStr">
        <is>
          <t>LC/PC</t>
        </is>
      </c>
      <c r="I821" s="2" t="inlineStr">
        <is>
          <t>FC/PC</t>
        </is>
      </c>
      <c r="J821" s="2" t="n"/>
      <c r="K821" s="2" t="n"/>
      <c r="L821" s="2" t="n"/>
      <c r="M821" s="2" t="n"/>
      <c r="N821" s="2" t="n"/>
      <c r="O821" s="2" t="n"/>
      <c r="P821" s="2" t="n">
        <v>3</v>
      </c>
      <c r="Q821" s="2" t="n"/>
      <c r="R821" s="2" t="n"/>
      <c r="S821" s="2" t="n">
        <v>5</v>
      </c>
      <c r="T821" s="2" t="n"/>
      <c r="U821" s="2" t="n"/>
      <c r="V821" s="2">
        <f>SUM(J821:U821)*G821</f>
        <v/>
      </c>
      <c r="W821" s="2">
        <f>MAX(J821:U821)</f>
        <v/>
      </c>
      <c r="X821" s="2">
        <f>W821*G821</f>
        <v/>
      </c>
    </row>
    <row r="822">
      <c r="A822" s="2" t="inlineStr">
        <is>
          <t>A14-DB-N205</t>
        </is>
      </c>
      <c r="B822" s="3" t="inlineStr">
        <is>
          <t>DOJC-SM-LC/PC-FC/PC</t>
        </is>
      </c>
      <c r="C822" s="2" t="inlineStr">
        <is>
          <t>908040858, 30M,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2</v>
      </c>
      <c r="G822" s="2" t="n">
        <v>30</v>
      </c>
      <c r="H822" s="2" t="inlineStr">
        <is>
          <t>LC/PC</t>
        </is>
      </c>
      <c r="I822" s="2" t="inlineStr">
        <is>
          <t>FC/PC</t>
        </is>
      </c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>
        <v>10</v>
      </c>
      <c r="T822" s="2" t="n">
        <v>15</v>
      </c>
      <c r="U822" s="2" t="n"/>
      <c r="V822" s="2">
        <f>SUM(J822:U822)*G822</f>
        <v/>
      </c>
      <c r="W822" s="2">
        <f>MAX(J822:U822)</f>
        <v/>
      </c>
      <c r="X822" s="2">
        <f>W822*G822</f>
        <v/>
      </c>
    </row>
    <row r="823">
      <c r="A823" s="2" t="inlineStr">
        <is>
          <t>A14-DB-N208</t>
        </is>
      </c>
      <c r="B823" s="3" t="inlineStr">
        <is>
          <t>DOJC-SM-LC/PC-FC/PC</t>
        </is>
      </c>
      <c r="C823" s="2" t="inlineStr">
        <is>
          <t>40M, B3, 2.0mm</t>
        </is>
      </c>
      <c r="D823" s="2" t="inlineStr">
        <is>
          <t>b3</t>
        </is>
      </c>
      <c r="E823" s="2" t="inlineStr">
        <is>
          <t>2.0mm</t>
        </is>
      </c>
      <c r="F823" s="2" t="n">
        <v>2</v>
      </c>
      <c r="G823" s="2" t="n">
        <v>40</v>
      </c>
      <c r="H823" s="2" t="inlineStr">
        <is>
          <t>LC/PC</t>
        </is>
      </c>
      <c r="I823" s="2" t="inlineStr">
        <is>
          <t>FC/PC</t>
        </is>
      </c>
      <c r="J823" s="2" t="n"/>
      <c r="K823" s="2" t="n"/>
      <c r="L823" s="2" t="n"/>
      <c r="M823" s="2" t="n"/>
      <c r="N823" s="2" t="n"/>
      <c r="O823" s="2" t="n">
        <v>2</v>
      </c>
      <c r="P823" s="2" t="n"/>
      <c r="Q823" s="2" t="n"/>
      <c r="R823" s="2" t="n">
        <v>5</v>
      </c>
      <c r="S823" s="2" t="n"/>
      <c r="T823" s="2" t="n"/>
      <c r="U823" s="2" t="n"/>
      <c r="V823" s="2">
        <f>SUM(J823:U823)*G823</f>
        <v/>
      </c>
      <c r="W823" s="2">
        <f>MAX(J823:U823)</f>
        <v/>
      </c>
      <c r="X823" s="2">
        <f>W823*G823</f>
        <v/>
      </c>
    </row>
    <row r="824">
      <c r="A824" s="2" t="inlineStr">
        <is>
          <t>A14-DB-N223</t>
        </is>
      </c>
      <c r="B824" s="3" t="inlineStr">
        <is>
          <t>DOJC-SM-LC/PC-LC/PC</t>
        </is>
      </c>
      <c r="C824" s="2" t="inlineStr">
        <is>
          <t>908041006, 10M, B3, 2.0mm</t>
        </is>
      </c>
      <c r="D824" s="2" t="inlineStr">
        <is>
          <t>b3</t>
        </is>
      </c>
      <c r="E824" s="2" t="inlineStr">
        <is>
          <t>2.0mm</t>
        </is>
      </c>
      <c r="F824" s="2" t="n">
        <v>2</v>
      </c>
      <c r="G824" s="2" t="n">
        <v>10</v>
      </c>
      <c r="H824" s="2" t="inlineStr">
        <is>
          <t>LC/PC</t>
        </is>
      </c>
      <c r="I824" s="2" t="inlineStr">
        <is>
          <t>LC/PC</t>
        </is>
      </c>
      <c r="J824" s="2" t="n"/>
      <c r="K824" s="2" t="n">
        <v>20</v>
      </c>
      <c r="L824" s="2" t="n">
        <v>81</v>
      </c>
      <c r="M824" s="2" t="n">
        <v>2699</v>
      </c>
      <c r="N824" s="2" t="n">
        <v>20</v>
      </c>
      <c r="O824" s="2" t="n"/>
      <c r="P824" s="2" t="n"/>
      <c r="Q824" s="2" t="n"/>
      <c r="R824" s="2" t="n">
        <v>37</v>
      </c>
      <c r="S824" s="2" t="n"/>
      <c r="T824" s="2" t="n"/>
      <c r="U824" s="2" t="n"/>
      <c r="V824" s="2">
        <f>SUM(J824:U824)*G824</f>
        <v/>
      </c>
      <c r="W824" s="2">
        <f>MAX(J824:U824)</f>
        <v/>
      </c>
      <c r="X824" s="2">
        <f>W824*G824</f>
        <v/>
      </c>
    </row>
    <row r="825">
      <c r="A825" s="2" t="inlineStr">
        <is>
          <t>A14-DB-N225</t>
        </is>
      </c>
      <c r="B825" s="3" t="inlineStr">
        <is>
          <t>DOJC-SM-LC/PC-LC/PC</t>
        </is>
      </c>
      <c r="C825" s="2" t="inlineStr">
        <is>
          <t>908040694, 12M, B3, 2.0mm</t>
        </is>
      </c>
      <c r="D825" s="2" t="inlineStr">
        <is>
          <t>b3</t>
        </is>
      </c>
      <c r="E825" s="2" t="inlineStr">
        <is>
          <t>2.0mm</t>
        </is>
      </c>
      <c r="F825" s="2" t="n">
        <v>2</v>
      </c>
      <c r="G825" s="2" t="n">
        <v>12</v>
      </c>
      <c r="H825" s="2" t="inlineStr">
        <is>
          <t>LC/PC</t>
        </is>
      </c>
      <c r="I825" s="2" t="inlineStr">
        <is>
          <t>LC/PC</t>
        </is>
      </c>
      <c r="J825" s="2" t="n">
        <v>35</v>
      </c>
      <c r="K825" s="2" t="n"/>
      <c r="L825" s="2" t="n">
        <v>25</v>
      </c>
      <c r="M825" s="2" t="n">
        <v>30</v>
      </c>
      <c r="N825" s="2" t="n"/>
      <c r="O825" s="2" t="n"/>
      <c r="P825" s="2" t="n">
        <v>24</v>
      </c>
      <c r="Q825" s="2" t="n">
        <v>15</v>
      </c>
      <c r="R825" s="2" t="n"/>
      <c r="S825" s="2" t="n"/>
      <c r="T825" s="2" t="n"/>
      <c r="U825" s="2" t="n"/>
      <c r="V825" s="2">
        <f>SUM(J825:U825)*G825</f>
        <v/>
      </c>
      <c r="W825" s="2">
        <f>MAX(J825:U825)</f>
        <v/>
      </c>
      <c r="X825" s="2">
        <f>W825*G825</f>
        <v/>
      </c>
    </row>
    <row r="826">
      <c r="A826" s="2" t="inlineStr">
        <is>
          <t>A14-DB-N226</t>
        </is>
      </c>
      <c r="B826" s="3" t="inlineStr">
        <is>
          <t>DOJC-SM-LC/PC-LC/PC</t>
        </is>
      </c>
      <c r="C826" s="2" t="inlineStr">
        <is>
          <t>908040695, 13M, B3, 2.0mm</t>
        </is>
      </c>
      <c r="D826" s="2" t="inlineStr">
        <is>
          <t>b3</t>
        </is>
      </c>
      <c r="E826" s="2" t="inlineStr">
        <is>
          <t>2.0mm</t>
        </is>
      </c>
      <c r="F826" s="2" t="n">
        <v>2</v>
      </c>
      <c r="G826" s="2" t="n">
        <v>13</v>
      </c>
      <c r="H826" s="2" t="inlineStr">
        <is>
          <t>LC/PC</t>
        </is>
      </c>
      <c r="I826" s="2" t="inlineStr">
        <is>
          <t>LC/PC</t>
        </is>
      </c>
      <c r="J826" s="2" t="n">
        <v>20</v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>
        <f>SUM(J826:U826)*G826</f>
        <v/>
      </c>
      <c r="W826" s="2">
        <f>MAX(J826:U826)</f>
        <v/>
      </c>
      <c r="X826" s="2">
        <f>W826*G826</f>
        <v/>
      </c>
    </row>
    <row r="827">
      <c r="A827" s="2" t="inlineStr">
        <is>
          <t>A14-DB-N228</t>
        </is>
      </c>
      <c r="B827" s="3" t="inlineStr">
        <is>
          <t>DOJC-SM-LC/PC-LC/PC</t>
        </is>
      </c>
      <c r="C827" s="2" t="inlineStr">
        <is>
          <t>908040697, 15M, B3, 2.0mm</t>
        </is>
      </c>
      <c r="D827" s="2" t="inlineStr">
        <is>
          <t>b3</t>
        </is>
      </c>
      <c r="E827" s="2" t="inlineStr">
        <is>
          <t>2.0mm</t>
        </is>
      </c>
      <c r="F827" s="2" t="n">
        <v>2</v>
      </c>
      <c r="G827" s="2" t="n">
        <v>15</v>
      </c>
      <c r="H827" s="2" t="inlineStr">
        <is>
          <t>LC/PC</t>
        </is>
      </c>
      <c r="I827" s="2" t="inlineStr">
        <is>
          <t>LC/PC</t>
        </is>
      </c>
      <c r="J827" s="2" t="n">
        <v>540</v>
      </c>
      <c r="K827" s="2" t="n">
        <v>220</v>
      </c>
      <c r="L827" s="2" t="n">
        <v>80</v>
      </c>
      <c r="M827" s="2" t="n">
        <v>86</v>
      </c>
      <c r="N827" s="2" t="n"/>
      <c r="O827" s="2" t="n"/>
      <c r="P827" s="2" t="n">
        <v>627</v>
      </c>
      <c r="Q827" s="2" t="n">
        <v>35</v>
      </c>
      <c r="R827" s="2" t="n">
        <v>4</v>
      </c>
      <c r="S827" s="2" t="n"/>
      <c r="T827" s="2" t="n">
        <v>315</v>
      </c>
      <c r="U827" s="2" t="n"/>
      <c r="V827" s="2">
        <f>SUM(J827:U827)*G827</f>
        <v/>
      </c>
      <c r="W827" s="2">
        <f>MAX(J827:U827)</f>
        <v/>
      </c>
      <c r="X827" s="2">
        <f>W827*G827</f>
        <v/>
      </c>
    </row>
    <row r="828">
      <c r="A828" s="2" t="inlineStr">
        <is>
          <t>A14-DB-N234</t>
        </is>
      </c>
      <c r="B828" s="3" t="inlineStr">
        <is>
          <t>DOJC-SM-LC/PC-LC/PC</t>
        </is>
      </c>
      <c r="C828" s="2" t="inlineStr">
        <is>
          <t>908040702, 20M, B3, 2.0mm</t>
        </is>
      </c>
      <c r="D828" s="2" t="inlineStr">
        <is>
          <t>b3</t>
        </is>
      </c>
      <c r="E828" s="2" t="inlineStr">
        <is>
          <t>2.0mm</t>
        </is>
      </c>
      <c r="F828" s="2" t="n">
        <v>2</v>
      </c>
      <c r="G828" s="2" t="n">
        <v>20</v>
      </c>
      <c r="H828" s="2" t="inlineStr">
        <is>
          <t>LC/PC</t>
        </is>
      </c>
      <c r="I828" s="2" t="inlineStr">
        <is>
          <t>LC/PC</t>
        </is>
      </c>
      <c r="J828" s="2" t="n">
        <v>227</v>
      </c>
      <c r="K828" s="2" t="n">
        <v>110</v>
      </c>
      <c r="L828" s="2" t="n"/>
      <c r="M828" s="2" t="n">
        <v>1</v>
      </c>
      <c r="N828" s="2" t="n"/>
      <c r="O828" s="2" t="n">
        <v>76</v>
      </c>
      <c r="P828" s="2" t="n">
        <v>51</v>
      </c>
      <c r="Q828" s="2" t="n">
        <v>226</v>
      </c>
      <c r="R828" s="2" t="n">
        <v>190</v>
      </c>
      <c r="S828" s="2" t="n">
        <v>305</v>
      </c>
      <c r="T828" s="2" t="n">
        <v>286</v>
      </c>
      <c r="U828" s="2" t="n"/>
      <c r="V828" s="2">
        <f>SUM(J828:U828)*G828</f>
        <v/>
      </c>
      <c r="W828" s="2">
        <f>MAX(J828:U828)</f>
        <v/>
      </c>
      <c r="X828" s="2">
        <f>W828*G828</f>
        <v/>
      </c>
    </row>
    <row r="829">
      <c r="A829" s="2" t="inlineStr">
        <is>
          <t>A14-DB-N237</t>
        </is>
      </c>
      <c r="B829" s="3" t="inlineStr">
        <is>
          <t>DOJC-SM-LC/PC-LC/PC</t>
        </is>
      </c>
      <c r="C829" s="2" t="inlineStr">
        <is>
          <t>908040707, 25M, B3, 2.0mm</t>
        </is>
      </c>
      <c r="D829" s="2" t="inlineStr">
        <is>
          <t>b3</t>
        </is>
      </c>
      <c r="E829" s="2" t="inlineStr">
        <is>
          <t>2.0mm</t>
        </is>
      </c>
      <c r="F829" s="2" t="n">
        <v>2</v>
      </c>
      <c r="G829" s="2" t="n">
        <v>25</v>
      </c>
      <c r="H829" s="2" t="inlineStr">
        <is>
          <t>LC/PC</t>
        </is>
      </c>
      <c r="I829" s="2" t="inlineStr">
        <is>
          <t>LC/PC</t>
        </is>
      </c>
      <c r="J829" s="2" t="n"/>
      <c r="K829" s="2" t="n">
        <v>89</v>
      </c>
      <c r="L829" s="2" t="n">
        <v>190</v>
      </c>
      <c r="M829" s="2" t="n"/>
      <c r="N829" s="2" t="n"/>
      <c r="O829" s="2" t="n">
        <v>83</v>
      </c>
      <c r="P829" s="2" t="n"/>
      <c r="Q829" s="2" t="n">
        <v>70</v>
      </c>
      <c r="R829" s="2" t="n">
        <v>88</v>
      </c>
      <c r="S829" s="2" t="n">
        <v>63</v>
      </c>
      <c r="T829" s="2" t="n">
        <v>10</v>
      </c>
      <c r="U829" s="2" t="n"/>
      <c r="V829" s="2">
        <f>SUM(J829:U829)*G829</f>
        <v/>
      </c>
      <c r="W829" s="2">
        <f>MAX(J829:U829)</f>
        <v/>
      </c>
      <c r="X829" s="2">
        <f>W829*G829</f>
        <v/>
      </c>
    </row>
    <row r="830">
      <c r="A830" s="2" t="inlineStr">
        <is>
          <t>A14-DB-N240</t>
        </is>
      </c>
      <c r="B830" s="3" t="inlineStr">
        <is>
          <t>DOJC-SM-LC/PC-LC/PC</t>
        </is>
      </c>
      <c r="C830" s="2" t="inlineStr">
        <is>
          <t>908040999, 2M, B3, 3.0mm</t>
        </is>
      </c>
      <c r="D830" s="2" t="inlineStr">
        <is>
          <t>b3</t>
        </is>
      </c>
      <c r="E830" s="2" t="inlineStr">
        <is>
          <t>3.0mm</t>
        </is>
      </c>
      <c r="F830" s="2" t="n">
        <v>2</v>
      </c>
      <c r="G830" s="2" t="n">
        <v>2</v>
      </c>
      <c r="H830" s="2" t="inlineStr">
        <is>
          <t>LC/PC</t>
        </is>
      </c>
      <c r="I830" s="2" t="inlineStr">
        <is>
          <t>LC/PC</t>
        </is>
      </c>
      <c r="J830" s="2" t="n"/>
      <c r="K830" s="2" t="n"/>
      <c r="L830" s="2" t="n"/>
      <c r="M830" s="2" t="n"/>
      <c r="N830" s="2" t="n">
        <v>11</v>
      </c>
      <c r="O830" s="2" t="n"/>
      <c r="P830" s="2" t="n"/>
      <c r="Q830" s="2" t="n"/>
      <c r="R830" s="2" t="n"/>
      <c r="S830" s="2" t="n"/>
      <c r="T830" s="2" t="n"/>
      <c r="U830" s="2" t="n"/>
      <c r="V830" s="2">
        <f>SUM(J830:U830)*G830</f>
        <v/>
      </c>
      <c r="W830" s="2">
        <f>MAX(J830:U830)</f>
        <v/>
      </c>
      <c r="X830" s="2">
        <f>W830*G830</f>
        <v/>
      </c>
    </row>
    <row r="831">
      <c r="A831" s="2" t="inlineStr">
        <is>
          <t>A14-DB-N241</t>
        </is>
      </c>
      <c r="B831" s="3" t="inlineStr">
        <is>
          <t>DOJC-SM-LC/PC-LC/PC</t>
        </is>
      </c>
      <c r="C831" s="2" t="inlineStr">
        <is>
          <t>908040712, 30M, B3, 2.0mm</t>
        </is>
      </c>
      <c r="D831" s="2" t="inlineStr">
        <is>
          <t>b3</t>
        </is>
      </c>
      <c r="E831" s="2" t="inlineStr">
        <is>
          <t>2.0mm</t>
        </is>
      </c>
      <c r="F831" s="2" t="n">
        <v>2</v>
      </c>
      <c r="G831" s="2" t="n">
        <v>30</v>
      </c>
      <c r="H831" s="2" t="inlineStr">
        <is>
          <t>LC/PC</t>
        </is>
      </c>
      <c r="I831" s="2" t="inlineStr">
        <is>
          <t>LC/PC</t>
        </is>
      </c>
      <c r="J831" s="2" t="n">
        <v>2</v>
      </c>
      <c r="K831" s="2" t="n">
        <v>16</v>
      </c>
      <c r="L831" s="2" t="n">
        <v>58</v>
      </c>
      <c r="M831" s="2" t="n"/>
      <c r="N831" s="2" t="n"/>
      <c r="O831" s="2" t="n"/>
      <c r="P831" s="2" t="n"/>
      <c r="Q831" s="2" t="n">
        <v>30</v>
      </c>
      <c r="R831" s="2" t="n">
        <v>80</v>
      </c>
      <c r="S831" s="2" t="n">
        <v>10</v>
      </c>
      <c r="T831" s="2" t="n"/>
      <c r="U831" s="2" t="n"/>
      <c r="V831" s="2">
        <f>SUM(J831:U831)*G831</f>
        <v/>
      </c>
      <c r="W831" s="2">
        <f>MAX(J831:U831)</f>
        <v/>
      </c>
      <c r="X831" s="2">
        <f>W831*G831</f>
        <v/>
      </c>
    </row>
    <row r="832">
      <c r="A832" s="2" t="inlineStr">
        <is>
          <t>A14-DB-N243</t>
        </is>
      </c>
      <c r="B832" s="3" t="inlineStr">
        <is>
          <t>DOJC-SM-LC/PC-LC/PC</t>
        </is>
      </c>
      <c r="C832" s="2" t="inlineStr">
        <is>
          <t>920000726, 35M, B3, 2.0mm</t>
        </is>
      </c>
      <c r="D832" s="2" t="inlineStr">
        <is>
          <t>b3</t>
        </is>
      </c>
      <c r="E832" s="2" t="inlineStr">
        <is>
          <t>2.0mm</t>
        </is>
      </c>
      <c r="F832" s="2" t="n">
        <v>2</v>
      </c>
      <c r="G832" s="2" t="n">
        <v>35</v>
      </c>
      <c r="H832" s="2" t="inlineStr">
        <is>
          <t>LC/PC</t>
        </is>
      </c>
      <c r="I832" s="2" t="inlineStr">
        <is>
          <t>LC/PC</t>
        </is>
      </c>
      <c r="J832" s="2" t="n"/>
      <c r="K832" s="2" t="n">
        <v>3</v>
      </c>
      <c r="L832" s="2" t="n"/>
      <c r="M832" s="2" t="n"/>
      <c r="N832" s="2" t="n"/>
      <c r="O832" s="2" t="n">
        <v>68</v>
      </c>
      <c r="P832" s="2" t="n">
        <v>17</v>
      </c>
      <c r="Q832" s="2" t="n"/>
      <c r="R832" s="2" t="n"/>
      <c r="S832" s="2" t="n"/>
      <c r="T832" s="2" t="n"/>
      <c r="U832" s="2" t="n">
        <v>23</v>
      </c>
      <c r="V832" s="2">
        <f>SUM(J832:U832)*G832</f>
        <v/>
      </c>
      <c r="W832" s="2">
        <f>MAX(J832:U832)</f>
        <v/>
      </c>
      <c r="X832" s="2">
        <f>W832*G832</f>
        <v/>
      </c>
    </row>
    <row r="833">
      <c r="A833" s="2" t="inlineStr">
        <is>
          <t>A14-DB-N244</t>
        </is>
      </c>
      <c r="B833" s="3" t="inlineStr">
        <is>
          <t>DOJC-SM-LC/PC-LC/PC</t>
        </is>
      </c>
      <c r="C833" s="2" t="inlineStr">
        <is>
          <t>908040997, 3M, B3, 3.0mm</t>
        </is>
      </c>
      <c r="D833" s="2" t="inlineStr">
        <is>
          <t>b3</t>
        </is>
      </c>
      <c r="E833" s="2" t="inlineStr">
        <is>
          <t>3.0mm</t>
        </is>
      </c>
      <c r="F833" s="2" t="n">
        <v>2</v>
      </c>
      <c r="G833" s="2" t="n">
        <v>3</v>
      </c>
      <c r="H833" s="2" t="inlineStr">
        <is>
          <t>LC/PC</t>
        </is>
      </c>
      <c r="I833" s="2" t="inlineStr">
        <is>
          <t>LC/PC</t>
        </is>
      </c>
      <c r="J833" s="2" t="n"/>
      <c r="K833" s="2" t="n"/>
      <c r="L833" s="2" t="n">
        <v>2</v>
      </c>
      <c r="M833" s="2" t="n"/>
      <c r="N833" s="2" t="n"/>
      <c r="O833" s="2" t="n"/>
      <c r="P833" s="2" t="n">
        <v>5</v>
      </c>
      <c r="Q833" s="2" t="n"/>
      <c r="R833" s="2" t="n"/>
      <c r="S833" s="2" t="n"/>
      <c r="T833" s="2" t="n"/>
      <c r="U833" s="2" t="n"/>
      <c r="V833" s="2">
        <f>SUM(J833:U833)*G833</f>
        <v/>
      </c>
      <c r="W833" s="2">
        <f>MAX(J833:U833)</f>
        <v/>
      </c>
      <c r="X833" s="2">
        <f>W833*G833</f>
        <v/>
      </c>
    </row>
    <row r="834">
      <c r="A834" s="2" t="inlineStr">
        <is>
          <t>A14-DB-N246</t>
        </is>
      </c>
      <c r="B834" s="3" t="inlineStr">
        <is>
          <t>DOJC-SM-LC/PC-LC/PC</t>
        </is>
      </c>
      <c r="C834" s="2" t="inlineStr">
        <is>
          <t>920000727, 40M, B3, 2.0mm</t>
        </is>
      </c>
      <c r="D834" s="2" t="inlineStr">
        <is>
          <t>b3</t>
        </is>
      </c>
      <c r="E834" s="2" t="inlineStr">
        <is>
          <t>2.0mm</t>
        </is>
      </c>
      <c r="F834" s="2" t="n">
        <v>2</v>
      </c>
      <c r="G834" s="2" t="n">
        <v>40</v>
      </c>
      <c r="H834" s="2" t="inlineStr">
        <is>
          <t>LC/PC</t>
        </is>
      </c>
      <c r="I834" s="2" t="inlineStr">
        <is>
          <t>LC/PC</t>
        </is>
      </c>
      <c r="J834" s="2" t="n"/>
      <c r="K834" s="2" t="n"/>
      <c r="L834" s="2" t="n"/>
      <c r="M834" s="2" t="n"/>
      <c r="N834" s="2" t="n"/>
      <c r="O834" s="2" t="n">
        <v>32</v>
      </c>
      <c r="P834" s="2" t="n">
        <v>31</v>
      </c>
      <c r="Q834" s="2" t="n"/>
      <c r="R834" s="2" t="n"/>
      <c r="S834" s="2" t="n"/>
      <c r="T834" s="2" t="n"/>
      <c r="U834" s="2" t="n"/>
      <c r="V834" s="2">
        <f>SUM(J834:U834)*G834</f>
        <v/>
      </c>
      <c r="W834" s="2">
        <f>MAX(J834:U834)</f>
        <v/>
      </c>
      <c r="X834" s="2">
        <f>W834*G834</f>
        <v/>
      </c>
    </row>
    <row r="835">
      <c r="A835" s="2" t="inlineStr">
        <is>
          <t>A14-DB-N247</t>
        </is>
      </c>
      <c r="B835" s="3" t="inlineStr">
        <is>
          <t>DOJC-SM-LC/PC-LC/PC</t>
        </is>
      </c>
      <c r="C835" s="2" t="inlineStr">
        <is>
          <t>45M, B3, 2.0mm</t>
        </is>
      </c>
      <c r="D835" s="2" t="inlineStr">
        <is>
          <t>b3</t>
        </is>
      </c>
      <c r="E835" s="2" t="inlineStr">
        <is>
          <t>2.0mm</t>
        </is>
      </c>
      <c r="F835" s="2" t="n">
        <v>2</v>
      </c>
      <c r="G835" s="2" t="n">
        <v>45</v>
      </c>
      <c r="H835" s="2" t="inlineStr">
        <is>
          <t>LC/PC</t>
        </is>
      </c>
      <c r="I835" s="2" t="inlineStr">
        <is>
          <t>LC/PC</t>
        </is>
      </c>
      <c r="J835" s="2" t="n"/>
      <c r="K835" s="2" t="n"/>
      <c r="L835" s="2" t="n">
        <v>10</v>
      </c>
      <c r="M835" s="2" t="n"/>
      <c r="N835" s="2" t="n"/>
      <c r="O835" s="2" t="n">
        <v>10</v>
      </c>
      <c r="P835" s="2" t="n"/>
      <c r="Q835" s="2" t="n">
        <v>15</v>
      </c>
      <c r="R835" s="2" t="n">
        <v>6</v>
      </c>
      <c r="S835" s="2" t="n">
        <v>20</v>
      </c>
      <c r="T835" s="2" t="n">
        <v>4</v>
      </c>
      <c r="U835" s="2" t="n">
        <v>25</v>
      </c>
      <c r="V835" s="2">
        <f>SUM(J835:U835)*G835</f>
        <v/>
      </c>
      <c r="W835" s="2">
        <f>MAX(J835:U835)</f>
        <v/>
      </c>
      <c r="X835" s="2">
        <f>W835*G835</f>
        <v/>
      </c>
    </row>
    <row r="836">
      <c r="A836" s="2" t="inlineStr">
        <is>
          <t>A14-DB-N249</t>
        </is>
      </c>
      <c r="B836" s="3" t="inlineStr">
        <is>
          <t>DOJC-SM-LC/PC-LC/PC</t>
        </is>
      </c>
      <c r="C836" s="2" t="inlineStr">
        <is>
          <t>50M, B3, 2.0mm</t>
        </is>
      </c>
      <c r="D836" s="2" t="inlineStr">
        <is>
          <t>b3</t>
        </is>
      </c>
      <c r="E836" s="2" t="inlineStr">
        <is>
          <t>2.0mm</t>
        </is>
      </c>
      <c r="F836" s="2" t="n">
        <v>2</v>
      </c>
      <c r="G836" s="2" t="n">
        <v>50</v>
      </c>
      <c r="H836" s="2" t="inlineStr">
        <is>
          <t>LC/PC</t>
        </is>
      </c>
      <c r="I836" s="2" t="inlineStr">
        <is>
          <t>LC/PC</t>
        </is>
      </c>
      <c r="J836" s="2" t="n"/>
      <c r="K836" s="2" t="n"/>
      <c r="L836" s="2" t="n"/>
      <c r="M836" s="2" t="n"/>
      <c r="N836" s="2" t="n"/>
      <c r="O836" s="2" t="n"/>
      <c r="P836" s="2" t="n">
        <v>1</v>
      </c>
      <c r="Q836" s="2" t="n"/>
      <c r="R836" s="2" t="n">
        <v>6</v>
      </c>
      <c r="S836" s="2" t="n">
        <v>26</v>
      </c>
      <c r="T836" s="2" t="n">
        <v>7</v>
      </c>
      <c r="U836" s="2" t="n">
        <v>5</v>
      </c>
      <c r="V836" s="2">
        <f>SUM(J836:U836)*G836</f>
        <v/>
      </c>
      <c r="W836" s="2">
        <f>MAX(J836:U836)</f>
        <v/>
      </c>
      <c r="X836" s="2">
        <f>W836*G836</f>
        <v/>
      </c>
    </row>
    <row r="837">
      <c r="A837" s="2" t="inlineStr">
        <is>
          <t>A14-DB-N252</t>
        </is>
      </c>
      <c r="B837" s="3" t="inlineStr">
        <is>
          <t>DOJC-SM-LC/PC-LC/PC</t>
        </is>
      </c>
      <c r="C837" s="2" t="inlineStr">
        <is>
          <t>55M, B3, 2.0mm</t>
        </is>
      </c>
      <c r="D837" s="2" t="inlineStr">
        <is>
          <t>b3</t>
        </is>
      </c>
      <c r="E837" s="2" t="inlineStr">
        <is>
          <t>2.0mm</t>
        </is>
      </c>
      <c r="F837" s="2" t="n">
        <v>2</v>
      </c>
      <c r="G837" s="2" t="n">
        <v>55</v>
      </c>
      <c r="H837" s="2" t="inlineStr">
        <is>
          <t>LC/PC</t>
        </is>
      </c>
      <c r="I837" s="2" t="inlineStr">
        <is>
          <t>LC/PC</t>
        </is>
      </c>
      <c r="J837" s="2" t="n"/>
      <c r="K837" s="2" t="n"/>
      <c r="L837" s="2" t="n"/>
      <c r="M837" s="2" t="n"/>
      <c r="N837" s="2" t="n"/>
      <c r="O837" s="2" t="n">
        <v>1</v>
      </c>
      <c r="P837" s="2" t="n"/>
      <c r="Q837" s="2" t="n"/>
      <c r="R837" s="2" t="n"/>
      <c r="S837" s="2" t="n">
        <v>2</v>
      </c>
      <c r="T837" s="2" t="n"/>
      <c r="U837" s="2" t="n"/>
      <c r="V837" s="2">
        <f>SUM(J837:U837)*G837</f>
        <v/>
      </c>
      <c r="W837" s="2">
        <f>MAX(J837:U837)</f>
        <v/>
      </c>
      <c r="X837" s="2">
        <f>W837*G837</f>
        <v/>
      </c>
    </row>
    <row r="838">
      <c r="A838" s="2" t="inlineStr">
        <is>
          <t>A14-DB-N253</t>
        </is>
      </c>
      <c r="B838" s="3" t="inlineStr">
        <is>
          <t>DOJC-SM-LC/PC-LC/PC</t>
        </is>
      </c>
      <c r="C838" s="2" t="inlineStr">
        <is>
          <t>908041001, 5M, B3, 3.0mm</t>
        </is>
      </c>
      <c r="D838" s="2" t="inlineStr">
        <is>
          <t>b3</t>
        </is>
      </c>
      <c r="E838" s="2" t="inlineStr">
        <is>
          <t>3.0mm</t>
        </is>
      </c>
      <c r="F838" s="2" t="n">
        <v>2</v>
      </c>
      <c r="G838" s="2" t="n">
        <v>5</v>
      </c>
      <c r="H838" s="2" t="inlineStr">
        <is>
          <t>LC/PC</t>
        </is>
      </c>
      <c r="I838" s="2" t="inlineStr">
        <is>
          <t>LC/PC</t>
        </is>
      </c>
      <c r="J838" s="2" t="n"/>
      <c r="K838" s="2" t="n"/>
      <c r="L838" s="2" t="n"/>
      <c r="M838" s="2" t="n"/>
      <c r="N838" s="2" t="n"/>
      <c r="O838" s="2" t="n">
        <v>30</v>
      </c>
      <c r="P838" s="2" t="n"/>
      <c r="Q838" s="2" t="n">
        <v>10</v>
      </c>
      <c r="R838" s="2" t="n"/>
      <c r="S838" s="2" t="n"/>
      <c r="T838" s="2" t="n"/>
      <c r="U838" s="2" t="n"/>
      <c r="V838" s="2">
        <f>SUM(J838:U838)*G838</f>
        <v/>
      </c>
      <c r="W838" s="2">
        <f>MAX(J838:U838)</f>
        <v/>
      </c>
      <c r="X838" s="2">
        <f>W838*G838</f>
        <v/>
      </c>
    </row>
    <row r="839">
      <c r="A839" s="2" t="inlineStr">
        <is>
          <t>A14-DB-N254</t>
        </is>
      </c>
      <c r="B839" s="3" t="inlineStr">
        <is>
          <t>DOJC-SM-LC/PC-LC/PC</t>
        </is>
      </c>
      <c r="C839" s="2" t="inlineStr">
        <is>
          <t>60M,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2</v>
      </c>
      <c r="G839" s="2" t="n">
        <v>60</v>
      </c>
      <c r="H839" s="2" t="inlineStr">
        <is>
          <t>LC/PC</t>
        </is>
      </c>
      <c r="I839" s="2" t="inlineStr">
        <is>
          <t>LC/PC</t>
        </is>
      </c>
      <c r="J839" s="2" t="n"/>
      <c r="K839" s="2" t="n"/>
      <c r="L839" s="2" t="n"/>
      <c r="M839" s="2" t="n">
        <v>3</v>
      </c>
      <c r="N839" s="2" t="n"/>
      <c r="O839" s="2" t="n"/>
      <c r="P839" s="2" t="n"/>
      <c r="Q839" s="2" t="n"/>
      <c r="R839" s="2" t="n"/>
      <c r="S839" s="2" t="n">
        <v>4</v>
      </c>
      <c r="T839" s="2" t="n"/>
      <c r="U839" s="2" t="n"/>
      <c r="V839" s="2">
        <f>SUM(J839:U839)*G839</f>
        <v/>
      </c>
      <c r="W839" s="2">
        <f>MAX(J839:U839)</f>
        <v/>
      </c>
      <c r="X839" s="2">
        <f>W839*G839</f>
        <v/>
      </c>
    </row>
    <row r="840">
      <c r="A840" s="2" t="inlineStr">
        <is>
          <t>A14-DB-N258</t>
        </is>
      </c>
      <c r="B840" s="3" t="inlineStr">
        <is>
          <t>DOJC-SM-LC/PC-LC/PC</t>
        </is>
      </c>
      <c r="C840" s="2" t="inlineStr">
        <is>
          <t>908041003, 7M, B3, 2.0mm</t>
        </is>
      </c>
      <c r="D840" s="2" t="inlineStr">
        <is>
          <t>b3</t>
        </is>
      </c>
      <c r="E840" s="2" t="inlineStr">
        <is>
          <t>2.0mm</t>
        </is>
      </c>
      <c r="F840" s="2" t="n">
        <v>2</v>
      </c>
      <c r="G840" s="2" t="n">
        <v>7</v>
      </c>
      <c r="H840" s="2" t="inlineStr">
        <is>
          <t>LC/PC</t>
        </is>
      </c>
      <c r="I840" s="2" t="inlineStr">
        <is>
          <t>LC/PC</t>
        </is>
      </c>
      <c r="J840" s="2" t="n">
        <v>20</v>
      </c>
      <c r="K840" s="2" t="n">
        <v>40</v>
      </c>
      <c r="L840" s="2" t="n"/>
      <c r="M840" s="2" t="n">
        <v>20</v>
      </c>
      <c r="N840" s="2" t="n">
        <v>20</v>
      </c>
      <c r="O840" s="2" t="n"/>
      <c r="P840" s="2" t="n"/>
      <c r="Q840" s="2" t="n"/>
      <c r="R840" s="2" t="n">
        <v>25</v>
      </c>
      <c r="S840" s="2" t="n"/>
      <c r="T840" s="2" t="n">
        <v>300</v>
      </c>
      <c r="U840" s="2" t="n"/>
      <c r="V840" s="2">
        <f>SUM(J840:U840)*G840</f>
        <v/>
      </c>
      <c r="W840" s="2">
        <f>MAX(J840:U840)</f>
        <v/>
      </c>
      <c r="X840" s="2">
        <f>W840*G840</f>
        <v/>
      </c>
    </row>
    <row r="841">
      <c r="A841" s="2" t="inlineStr">
        <is>
          <t>A14-DB-N260</t>
        </is>
      </c>
      <c r="B841" s="3" t="inlineStr">
        <is>
          <t>DOJC-SM-LC/PC-LC/PC</t>
        </is>
      </c>
      <c r="C841" s="2" t="inlineStr">
        <is>
          <t>908041004, 8M,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2</v>
      </c>
      <c r="G841" s="2" t="n">
        <v>8</v>
      </c>
      <c r="H841" s="2" t="inlineStr">
        <is>
          <t>LC/PC</t>
        </is>
      </c>
      <c r="I841" s="2" t="inlineStr">
        <is>
          <t>LC/PC</t>
        </is>
      </c>
      <c r="J841" s="2" t="n">
        <v>21</v>
      </c>
      <c r="K841" s="2" t="n">
        <v>5</v>
      </c>
      <c r="L841" s="2" t="n"/>
      <c r="M841" s="2" t="n"/>
      <c r="N841" s="2" t="n"/>
      <c r="O841" s="2" t="n"/>
      <c r="P841" s="2" t="n">
        <v>5</v>
      </c>
      <c r="Q841" s="2" t="n"/>
      <c r="R841" s="2" t="n"/>
      <c r="S841" s="2" t="n"/>
      <c r="T841" s="2" t="n"/>
      <c r="U841" s="2" t="n"/>
      <c r="V841" s="2">
        <f>SUM(J841:U841)*G841</f>
        <v/>
      </c>
      <c r="W841" s="2">
        <f>MAX(J841:U841)</f>
        <v/>
      </c>
      <c r="X841" s="2">
        <f>W841*G841</f>
        <v/>
      </c>
    </row>
    <row r="842">
      <c r="A842" s="2" t="inlineStr">
        <is>
          <t>A14-DB-N263</t>
        </is>
      </c>
      <c r="B842" s="3" t="inlineStr">
        <is>
          <t>DOJC-SM-LC/PC-SC/APC</t>
        </is>
      </c>
      <c r="C842" s="2" t="inlineStr">
        <is>
          <t>908040916, 10M, B3, 2.0mm</t>
        </is>
      </c>
      <c r="D842" s="2" t="inlineStr">
        <is>
          <t>b3</t>
        </is>
      </c>
      <c r="E842" s="2" t="inlineStr">
        <is>
          <t>2.0mm</t>
        </is>
      </c>
      <c r="F842" s="2" t="n">
        <v>2</v>
      </c>
      <c r="G842" s="2" t="n">
        <v>10</v>
      </c>
      <c r="H842" s="2" t="inlineStr">
        <is>
          <t>LC/PC</t>
        </is>
      </c>
      <c r="I842" s="2" t="inlineStr">
        <is>
          <t>SC/APC</t>
        </is>
      </c>
      <c r="J842" s="2" t="n"/>
      <c r="K842" s="2" t="n"/>
      <c r="L842" s="2" t="n"/>
      <c r="M842" s="2" t="n"/>
      <c r="N842" s="2" t="n"/>
      <c r="O842" s="2" t="n">
        <v>1</v>
      </c>
      <c r="P842" s="2" t="n"/>
      <c r="Q842" s="2" t="n"/>
      <c r="R842" s="2" t="n"/>
      <c r="S842" s="2" t="n"/>
      <c r="T842" s="2" t="n"/>
      <c r="U842" s="2" t="n"/>
      <c r="V842" s="2">
        <f>SUM(J842:U842)*G842</f>
        <v/>
      </c>
      <c r="W842" s="2">
        <f>MAX(J842:U842)</f>
        <v/>
      </c>
      <c r="X842" s="2">
        <f>W842*G842</f>
        <v/>
      </c>
    </row>
    <row r="843">
      <c r="A843" s="2" t="inlineStr">
        <is>
          <t>A14-DB-N266</t>
        </is>
      </c>
      <c r="B843" s="3" t="inlineStr">
        <is>
          <t>DOJC-SM-LC/PC-SC/APC</t>
        </is>
      </c>
      <c r="C843" s="2" t="inlineStr">
        <is>
          <t>908040921, 15M,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2</v>
      </c>
      <c r="G843" s="2" t="n">
        <v>15</v>
      </c>
      <c r="H843" s="2" t="inlineStr">
        <is>
          <t>LC/PC</t>
        </is>
      </c>
      <c r="I843" s="2" t="inlineStr">
        <is>
          <t>SC/APC</t>
        </is>
      </c>
      <c r="J843" s="2" t="n"/>
      <c r="K843" s="2" t="n"/>
      <c r="L843" s="2" t="n"/>
      <c r="M843" s="2" t="n"/>
      <c r="N843" s="2" t="n"/>
      <c r="O843" s="2" t="n">
        <v>13</v>
      </c>
      <c r="P843" s="2" t="n">
        <v>6</v>
      </c>
      <c r="Q843" s="2" t="n"/>
      <c r="R843" s="2" t="n"/>
      <c r="S843" s="2" t="n"/>
      <c r="T843" s="2" t="n"/>
      <c r="U843" s="2" t="n"/>
      <c r="V843" s="2">
        <f>SUM(J843:U843)*G843</f>
        <v/>
      </c>
      <c r="W843" s="2">
        <f>MAX(J843:U843)</f>
        <v/>
      </c>
      <c r="X843" s="2">
        <f>W843*G843</f>
        <v/>
      </c>
    </row>
    <row r="844">
      <c r="A844" s="2" t="inlineStr">
        <is>
          <t>A14-DB-N267</t>
        </is>
      </c>
      <c r="B844" s="3" t="inlineStr">
        <is>
          <t>DOJC-SM-LC/PC-SC/APC</t>
        </is>
      </c>
      <c r="C844" s="2" t="inlineStr">
        <is>
          <t>908040908, 1M, B3, 3.0mm</t>
        </is>
      </c>
      <c r="D844" s="2" t="inlineStr">
        <is>
          <t>b3</t>
        </is>
      </c>
      <c r="E844" s="2" t="inlineStr">
        <is>
          <t>3.0mm</t>
        </is>
      </c>
      <c r="F844" s="2" t="n">
        <v>2</v>
      </c>
      <c r="G844" s="2" t="n">
        <v>1</v>
      </c>
      <c r="H844" s="2" t="inlineStr">
        <is>
          <t>LC/PC</t>
        </is>
      </c>
      <c r="I844" s="2" t="inlineStr">
        <is>
          <t>SC/APC</t>
        </is>
      </c>
      <c r="J844" s="2" t="n">
        <v>30</v>
      </c>
      <c r="K844" s="2" t="n">
        <v>10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>
        <f>SUM(J844:U844)*G844</f>
        <v/>
      </c>
      <c r="W844" s="2">
        <f>MAX(J844:U844)</f>
        <v/>
      </c>
      <c r="X844" s="2">
        <f>W844*G844</f>
        <v/>
      </c>
    </row>
    <row r="845">
      <c r="A845" s="2" t="inlineStr">
        <is>
          <t>A14-DB-N268</t>
        </is>
      </c>
      <c r="B845" s="3" t="inlineStr">
        <is>
          <t>DOJC-SM-LC/PC-SC/APC</t>
        </is>
      </c>
      <c r="C845" s="2" t="inlineStr">
        <is>
          <t>908040926, 20M,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2</v>
      </c>
      <c r="G845" s="2" t="n">
        <v>20</v>
      </c>
      <c r="H845" s="2" t="inlineStr">
        <is>
          <t>LC/PC</t>
        </is>
      </c>
      <c r="I845" s="2" t="inlineStr">
        <is>
          <t>SC/APC</t>
        </is>
      </c>
      <c r="J845" s="2" t="n">
        <v>4</v>
      </c>
      <c r="K845" s="2" t="n">
        <v>5</v>
      </c>
      <c r="L845" s="2" t="n">
        <v>10</v>
      </c>
      <c r="M845" s="2" t="n"/>
      <c r="N845" s="2" t="n"/>
      <c r="O845" s="2" t="n">
        <v>10</v>
      </c>
      <c r="P845" s="2" t="n">
        <v>20</v>
      </c>
      <c r="Q845" s="2" t="n">
        <v>10</v>
      </c>
      <c r="R845" s="2" t="n"/>
      <c r="S845" s="2" t="n"/>
      <c r="T845" s="2" t="n"/>
      <c r="U845" s="2" t="n"/>
      <c r="V845" s="2">
        <f>SUM(J845:U845)*G845</f>
        <v/>
      </c>
      <c r="W845" s="2">
        <f>MAX(J845:U845)</f>
        <v/>
      </c>
      <c r="X845" s="2">
        <f>W845*G845</f>
        <v/>
      </c>
    </row>
    <row r="846">
      <c r="A846" s="2" t="inlineStr">
        <is>
          <t>A14-DB-N270</t>
        </is>
      </c>
      <c r="B846" s="3" t="inlineStr">
        <is>
          <t>DOJC-SM-LC/PC-SC/APC</t>
        </is>
      </c>
      <c r="C846" s="2" t="inlineStr">
        <is>
          <t>908040931, 25M, B3, 2.0mm</t>
        </is>
      </c>
      <c r="D846" s="2" t="inlineStr">
        <is>
          <t>b3</t>
        </is>
      </c>
      <c r="E846" s="2" t="inlineStr">
        <is>
          <t>2.0mm</t>
        </is>
      </c>
      <c r="F846" s="2" t="n">
        <v>2</v>
      </c>
      <c r="G846" s="2" t="n">
        <v>25</v>
      </c>
      <c r="H846" s="2" t="inlineStr">
        <is>
          <t>LC/PC</t>
        </is>
      </c>
      <c r="I846" s="2" t="inlineStr">
        <is>
          <t>SC/APC</t>
        </is>
      </c>
      <c r="J846" s="2" t="n"/>
      <c r="K846" s="2" t="n"/>
      <c r="L846" s="2" t="n">
        <v>10</v>
      </c>
      <c r="M846" s="2" t="n"/>
      <c r="N846" s="2" t="n"/>
      <c r="O846" s="2" t="n"/>
      <c r="P846" s="2" t="n"/>
      <c r="Q846" s="2" t="n">
        <v>12</v>
      </c>
      <c r="R846" s="2" t="n"/>
      <c r="S846" s="2" t="n"/>
      <c r="T846" s="2" t="n">
        <v>2</v>
      </c>
      <c r="U846" s="2" t="n"/>
      <c r="V846" s="2">
        <f>SUM(J846:U846)*G846</f>
        <v/>
      </c>
      <c r="W846" s="2">
        <f>MAX(J846:U846)</f>
        <v/>
      </c>
      <c r="X846" s="2">
        <f>W846*G846</f>
        <v/>
      </c>
    </row>
    <row r="847">
      <c r="A847" s="2" t="inlineStr">
        <is>
          <t>A14-DB-N271</t>
        </is>
      </c>
      <c r="B847" s="3" t="inlineStr">
        <is>
          <t>DOJC-SM-LC/PC-SC/APC</t>
        </is>
      </c>
      <c r="C847" s="2" t="inlineStr">
        <is>
          <t>908040909, 2M, B3, 3.0mm</t>
        </is>
      </c>
      <c r="D847" s="2" t="inlineStr">
        <is>
          <t>b3</t>
        </is>
      </c>
      <c r="E847" s="2" t="inlineStr">
        <is>
          <t>3.0mm</t>
        </is>
      </c>
      <c r="F847" s="2" t="n">
        <v>2</v>
      </c>
      <c r="G847" s="2" t="n">
        <v>2</v>
      </c>
      <c r="H847" s="2" t="inlineStr">
        <is>
          <t>LC/PC</t>
        </is>
      </c>
      <c r="I847" s="2" t="inlineStr">
        <is>
          <t>SC/APC</t>
        </is>
      </c>
      <c r="J847" s="2" t="n">
        <v>10</v>
      </c>
      <c r="K847" s="2" t="n"/>
      <c r="L847" s="2" t="n"/>
      <c r="M847" s="2" t="n">
        <v>10</v>
      </c>
      <c r="N847" s="2" t="n">
        <v>40</v>
      </c>
      <c r="O847" s="2" t="n"/>
      <c r="P847" s="2" t="n"/>
      <c r="Q847" s="2" t="n"/>
      <c r="R847" s="2" t="n"/>
      <c r="S847" s="2" t="n"/>
      <c r="T847" s="2" t="n">
        <v>20</v>
      </c>
      <c r="U847" s="2" t="n"/>
      <c r="V847" s="2">
        <f>SUM(J847:U847)*G847</f>
        <v/>
      </c>
      <c r="W847" s="2">
        <f>MAX(J847:U847)</f>
        <v/>
      </c>
      <c r="X847" s="2">
        <f>W847*G847</f>
        <v/>
      </c>
    </row>
    <row r="848">
      <c r="A848" s="2" t="inlineStr">
        <is>
          <t>A14-DB-N272</t>
        </is>
      </c>
      <c r="B848" s="3" t="inlineStr">
        <is>
          <t>DOJC-SM-LC/PC-SC/APC</t>
        </is>
      </c>
      <c r="C848" s="2" t="inlineStr">
        <is>
          <t>908040936, 30M, B3, 2.0mm</t>
        </is>
      </c>
      <c r="D848" s="2" t="inlineStr">
        <is>
          <t>b3</t>
        </is>
      </c>
      <c r="E848" s="2" t="inlineStr">
        <is>
          <t>2.0mm</t>
        </is>
      </c>
      <c r="F848" s="2" t="n">
        <v>2</v>
      </c>
      <c r="G848" s="2" t="n">
        <v>30</v>
      </c>
      <c r="H848" s="2" t="inlineStr">
        <is>
          <t>LC/PC</t>
        </is>
      </c>
      <c r="I848" s="2" t="inlineStr">
        <is>
          <t>SC/APC</t>
        </is>
      </c>
      <c r="J848" s="2" t="n">
        <v>4</v>
      </c>
      <c r="K848" s="2" t="n"/>
      <c r="L848" s="2" t="n">
        <v>4</v>
      </c>
      <c r="M848" s="2" t="n"/>
      <c r="N848" s="2" t="n"/>
      <c r="O848" s="2" t="n"/>
      <c r="P848" s="2" t="n">
        <v>20</v>
      </c>
      <c r="Q848" s="2" t="n">
        <v>30</v>
      </c>
      <c r="R848" s="2" t="n"/>
      <c r="S848" s="2" t="n"/>
      <c r="T848" s="2" t="n"/>
      <c r="U848" s="2" t="n"/>
      <c r="V848" s="2">
        <f>SUM(J848:U848)*G848</f>
        <v/>
      </c>
      <c r="W848" s="2">
        <f>MAX(J848:U848)</f>
        <v/>
      </c>
      <c r="X848" s="2">
        <f>W848*G848</f>
        <v/>
      </c>
    </row>
    <row r="849">
      <c r="A849" s="2" t="inlineStr">
        <is>
          <t>A14-DB-N273</t>
        </is>
      </c>
      <c r="B849" s="3" t="inlineStr">
        <is>
          <t>DOJC-SM-LC/PC-SC/APC</t>
        </is>
      </c>
      <c r="C849" s="2" t="inlineStr">
        <is>
          <t>35M,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2</v>
      </c>
      <c r="G849" s="2" t="n">
        <v>35</v>
      </c>
      <c r="H849" s="2" t="inlineStr">
        <is>
          <t>LC/PC</t>
        </is>
      </c>
      <c r="I849" s="2" t="inlineStr">
        <is>
          <t>SC/APC</t>
        </is>
      </c>
      <c r="J849" s="2" t="n"/>
      <c r="K849" s="2" t="n"/>
      <c r="L849" s="2" t="n">
        <v>4</v>
      </c>
      <c r="M849" s="2" t="n"/>
      <c r="N849" s="2" t="n"/>
      <c r="O849" s="2" t="n"/>
      <c r="P849" s="2" t="n"/>
      <c r="Q849" s="2" t="n">
        <v>1</v>
      </c>
      <c r="R849" s="2" t="n"/>
      <c r="S849" s="2" t="n"/>
      <c r="T849" s="2" t="n"/>
      <c r="U849" s="2" t="n"/>
      <c r="V849" s="2">
        <f>SUM(J849:U849)*G849</f>
        <v/>
      </c>
      <c r="W849" s="2">
        <f>MAX(J849:U849)</f>
        <v/>
      </c>
      <c r="X849" s="2">
        <f>W849*G849</f>
        <v/>
      </c>
    </row>
    <row r="850">
      <c r="A850" s="2" t="inlineStr">
        <is>
          <t>A14-DB-N274</t>
        </is>
      </c>
      <c r="B850" s="3" t="inlineStr">
        <is>
          <t>DOJC-SM-LC/PC-SC/APC</t>
        </is>
      </c>
      <c r="C850" s="2" t="inlineStr">
        <is>
          <t>908040907, 3M, B3, 3.0mm</t>
        </is>
      </c>
      <c r="D850" s="2" t="inlineStr">
        <is>
          <t>b3</t>
        </is>
      </c>
      <c r="E850" s="2" t="inlineStr">
        <is>
          <t>3.0mm</t>
        </is>
      </c>
      <c r="F850" s="2" t="n">
        <v>2</v>
      </c>
      <c r="G850" s="2" t="n">
        <v>3</v>
      </c>
      <c r="H850" s="2" t="inlineStr">
        <is>
          <t>LC/PC</t>
        </is>
      </c>
      <c r="I850" s="2" t="inlineStr">
        <is>
          <t>SC/APC</t>
        </is>
      </c>
      <c r="J850" s="2" t="n"/>
      <c r="K850" s="2" t="n">
        <v>19</v>
      </c>
      <c r="L850" s="2" t="n"/>
      <c r="M850" s="2" t="n"/>
      <c r="N850" s="2" t="n"/>
      <c r="O850" s="2" t="n">
        <v>30</v>
      </c>
      <c r="P850" s="2" t="n"/>
      <c r="Q850" s="2" t="n"/>
      <c r="R850" s="2" t="n"/>
      <c r="S850" s="2" t="n"/>
      <c r="T850" s="2" t="n"/>
      <c r="U850" s="2" t="n"/>
      <c r="V850" s="2">
        <f>SUM(J850:U850)*G850</f>
        <v/>
      </c>
      <c r="W850" s="2">
        <f>MAX(J850:U850)</f>
        <v/>
      </c>
      <c r="X850" s="2">
        <f>W850*G850</f>
        <v/>
      </c>
    </row>
    <row r="851">
      <c r="A851" s="2" t="inlineStr">
        <is>
          <t>A14-DB-N279</t>
        </is>
      </c>
      <c r="B851" s="3" t="inlineStr">
        <is>
          <t>DOJC-SM-LC/PC-SC/APC</t>
        </is>
      </c>
      <c r="C851" s="2" t="inlineStr">
        <is>
          <t>908040913, 7M,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2</v>
      </c>
      <c r="G851" s="2" t="n">
        <v>7</v>
      </c>
      <c r="H851" s="2" t="inlineStr">
        <is>
          <t>LC/PC</t>
        </is>
      </c>
      <c r="I851" s="2" t="inlineStr">
        <is>
          <t>SC/APC</t>
        </is>
      </c>
      <c r="J851" s="2" t="n"/>
      <c r="K851" s="2" t="n"/>
      <c r="L851" s="2" t="n"/>
      <c r="M851" s="2" t="n">
        <v>10</v>
      </c>
      <c r="N851" s="2" t="n"/>
      <c r="O851" s="2" t="n"/>
      <c r="P851" s="2" t="n"/>
      <c r="Q851" s="2" t="n"/>
      <c r="R851" s="2" t="n"/>
      <c r="S851" s="2" t="n"/>
      <c r="T851" s="2" t="n"/>
      <c r="U851" s="2" t="n">
        <v>20</v>
      </c>
      <c r="V851" s="2">
        <f>SUM(J851:U851)*G851</f>
        <v/>
      </c>
      <c r="W851" s="2">
        <f>MAX(J851:U851)</f>
        <v/>
      </c>
      <c r="X851" s="2">
        <f>W851*G851</f>
        <v/>
      </c>
    </row>
    <row r="852">
      <c r="A852" s="2" t="inlineStr">
        <is>
          <t>A14-DB-N284</t>
        </is>
      </c>
      <c r="B852" s="3" t="inlineStr">
        <is>
          <t>DOJC-SM-LC/PC-SC/PC</t>
        </is>
      </c>
      <c r="C852" s="2" t="inlineStr">
        <is>
          <t>908040868, 10M, B3, 2.0mm</t>
        </is>
      </c>
      <c r="D852" s="2" t="inlineStr">
        <is>
          <t>b3</t>
        </is>
      </c>
      <c r="E852" s="2" t="inlineStr">
        <is>
          <t>2.0mm</t>
        </is>
      </c>
      <c r="F852" s="2" t="n">
        <v>2</v>
      </c>
      <c r="G852" s="2" t="n">
        <v>10</v>
      </c>
      <c r="H852" s="2" t="inlineStr">
        <is>
          <t>LC/PC</t>
        </is>
      </c>
      <c r="I852" s="2" t="inlineStr">
        <is>
          <t>SC/PC</t>
        </is>
      </c>
      <c r="J852" s="2" t="n">
        <v>340</v>
      </c>
      <c r="K852" s="2" t="n"/>
      <c r="L852" s="2" t="n">
        <v>26</v>
      </c>
      <c r="M852" s="2" t="n">
        <v>203</v>
      </c>
      <c r="N852" s="2" t="n">
        <v>85</v>
      </c>
      <c r="O852" s="2" t="n"/>
      <c r="P852" s="2" t="n"/>
      <c r="Q852" s="2" t="n"/>
      <c r="R852" s="2" t="n">
        <v>26</v>
      </c>
      <c r="S852" s="2" t="n">
        <v>43</v>
      </c>
      <c r="T852" s="2" t="n"/>
      <c r="U852" s="2" t="n"/>
      <c r="V852" s="2">
        <f>SUM(J852:U852)*G852</f>
        <v/>
      </c>
      <c r="W852" s="2">
        <f>MAX(J852:U852)</f>
        <v/>
      </c>
      <c r="X852" s="2">
        <f>W852*G852</f>
        <v/>
      </c>
    </row>
    <row r="853">
      <c r="A853" s="2" t="inlineStr">
        <is>
          <t>A14-DB-N286</t>
        </is>
      </c>
      <c r="B853" s="3" t="inlineStr">
        <is>
          <t>DOJC-SM-LC/PC-SC/PC</t>
        </is>
      </c>
      <c r="C853" s="2" t="inlineStr">
        <is>
          <t>908040870, 12M, B3, 2.0mm</t>
        </is>
      </c>
      <c r="D853" s="2" t="inlineStr">
        <is>
          <t>b3</t>
        </is>
      </c>
      <c r="E853" s="2" t="inlineStr">
        <is>
          <t>2.0mm</t>
        </is>
      </c>
      <c r="F853" s="2" t="n">
        <v>2</v>
      </c>
      <c r="G853" s="2" t="n">
        <v>12</v>
      </c>
      <c r="H853" s="2" t="inlineStr">
        <is>
          <t>LC/PC</t>
        </is>
      </c>
      <c r="I853" s="2" t="inlineStr">
        <is>
          <t>SC/PC</t>
        </is>
      </c>
      <c r="J853" s="2" t="n">
        <v>45</v>
      </c>
      <c r="K853" s="2" t="n"/>
      <c r="L853" s="2" t="n">
        <v>20</v>
      </c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>
        <f>SUM(J853:U853)*G853</f>
        <v/>
      </c>
      <c r="W853" s="2">
        <f>MAX(J853:U853)</f>
        <v/>
      </c>
      <c r="X853" s="2">
        <f>W853*G853</f>
        <v/>
      </c>
    </row>
    <row r="854">
      <c r="A854" s="2" t="inlineStr">
        <is>
          <t>A14-DB-N287</t>
        </is>
      </c>
      <c r="B854" s="3" t="inlineStr">
        <is>
          <t>DOJC-SM-LC/PC-SC/PC</t>
        </is>
      </c>
      <c r="C854" s="2" t="inlineStr">
        <is>
          <t>13M, B3, 2.0mm</t>
        </is>
      </c>
      <c r="D854" s="2" t="inlineStr">
        <is>
          <t>b3</t>
        </is>
      </c>
      <c r="E854" s="2" t="inlineStr">
        <is>
          <t>2.0mm</t>
        </is>
      </c>
      <c r="F854" s="2" t="n">
        <v>2</v>
      </c>
      <c r="G854" s="2" t="n">
        <v>13</v>
      </c>
      <c r="H854" s="2" t="inlineStr">
        <is>
          <t>LC/PC</t>
        </is>
      </c>
      <c r="I854" s="2" t="inlineStr">
        <is>
          <t>SC/PC</t>
        </is>
      </c>
      <c r="J854" s="2" t="n"/>
      <c r="K854" s="2" t="n"/>
      <c r="L854" s="2" t="n"/>
      <c r="M854" s="2" t="n"/>
      <c r="N854" s="2" t="n"/>
      <c r="O854" s="2" t="n"/>
      <c r="P854" s="2" t="n"/>
      <c r="Q854" s="2" t="n">
        <v>10</v>
      </c>
      <c r="R854" s="2" t="n"/>
      <c r="S854" s="2" t="n"/>
      <c r="T854" s="2" t="n"/>
      <c r="U854" s="2" t="n"/>
      <c r="V854" s="2">
        <f>SUM(J854:U854)*G854</f>
        <v/>
      </c>
      <c r="W854" s="2">
        <f>MAX(J854:U854)</f>
        <v/>
      </c>
      <c r="X854" s="2">
        <f>W854*G854</f>
        <v/>
      </c>
    </row>
    <row r="855">
      <c r="A855" s="2" t="inlineStr">
        <is>
          <t>A14-DB-N289</t>
        </is>
      </c>
      <c r="B855" s="3" t="inlineStr">
        <is>
          <t>DOJC-SM-LC/PC-SC/PC</t>
        </is>
      </c>
      <c r="C855" s="2" t="inlineStr">
        <is>
          <t>908040873, 15M, B3, 2.0mm</t>
        </is>
      </c>
      <c r="D855" s="2" t="inlineStr">
        <is>
          <t>b3</t>
        </is>
      </c>
      <c r="E855" s="2" t="inlineStr">
        <is>
          <t>2.0mm</t>
        </is>
      </c>
      <c r="F855" s="2" t="n">
        <v>2</v>
      </c>
      <c r="G855" s="2" t="n">
        <v>15</v>
      </c>
      <c r="H855" s="2" t="inlineStr">
        <is>
          <t>LC/PC</t>
        </is>
      </c>
      <c r="I855" s="2" t="inlineStr">
        <is>
          <t>SC/PC</t>
        </is>
      </c>
      <c r="J855" s="2" t="n">
        <v>80</v>
      </c>
      <c r="K855" s="2" t="n">
        <v>130</v>
      </c>
      <c r="L855" s="2" t="n"/>
      <c r="M855" s="2" t="n">
        <v>38</v>
      </c>
      <c r="N855" s="2" t="n"/>
      <c r="O855" s="2" t="n">
        <v>7</v>
      </c>
      <c r="P855" s="2" t="n"/>
      <c r="Q855" s="2" t="n"/>
      <c r="R855" s="2" t="n">
        <v>167</v>
      </c>
      <c r="S855" s="2" t="n">
        <v>158</v>
      </c>
      <c r="T855" s="2" t="n"/>
      <c r="U855" s="2" t="n"/>
      <c r="V855" s="2">
        <f>SUM(J855:U855)*G855</f>
        <v/>
      </c>
      <c r="W855" s="2">
        <f>MAX(J855:U855)</f>
        <v/>
      </c>
      <c r="X855" s="2">
        <f>W855*G855</f>
        <v/>
      </c>
    </row>
    <row r="856">
      <c r="A856" s="2" t="inlineStr">
        <is>
          <t>A14-DB-N291</t>
        </is>
      </c>
      <c r="B856" s="3" t="inlineStr">
        <is>
          <t>DOJC-SM-LC/PC-SC/PC</t>
        </is>
      </c>
      <c r="C856" s="2" t="inlineStr">
        <is>
          <t>17M, B3, 2.0mm</t>
        </is>
      </c>
      <c r="D856" s="2" t="inlineStr">
        <is>
          <t>b3</t>
        </is>
      </c>
      <c r="E856" s="2" t="inlineStr">
        <is>
          <t>2.0mm</t>
        </is>
      </c>
      <c r="F856" s="2" t="n">
        <v>2</v>
      </c>
      <c r="G856" s="2" t="n">
        <v>17</v>
      </c>
      <c r="H856" s="2" t="inlineStr">
        <is>
          <t>LC/PC</t>
        </is>
      </c>
      <c r="I856" s="2" t="inlineStr">
        <is>
          <t>SC/PC</t>
        </is>
      </c>
      <c r="J856" s="2" t="n"/>
      <c r="K856" s="2" t="n"/>
      <c r="L856" s="2" t="n"/>
      <c r="M856" s="2" t="n"/>
      <c r="N856" s="2" t="n"/>
      <c r="O856" s="2" t="n"/>
      <c r="P856" s="2" t="n"/>
      <c r="Q856" s="2" t="n">
        <v>8</v>
      </c>
      <c r="R856" s="2" t="n"/>
      <c r="S856" s="2" t="n"/>
      <c r="T856" s="2" t="n"/>
      <c r="U856" s="2" t="n"/>
      <c r="V856" s="2">
        <f>SUM(J856:U856)*G856</f>
        <v/>
      </c>
      <c r="W856" s="2">
        <f>MAX(J856:U856)</f>
        <v/>
      </c>
      <c r="X856" s="2">
        <f>W856*G856</f>
        <v/>
      </c>
    </row>
    <row r="857">
      <c r="A857" s="2" t="inlineStr">
        <is>
          <t>A14-DB-N292</t>
        </is>
      </c>
      <c r="B857" s="3" t="inlineStr">
        <is>
          <t>DOJC-SM-LC/PC-SC/PC</t>
        </is>
      </c>
      <c r="C857" s="2" t="inlineStr">
        <is>
          <t>18M, B3, 2.0mm</t>
        </is>
      </c>
      <c r="D857" s="2" t="inlineStr">
        <is>
          <t>b3</t>
        </is>
      </c>
      <c r="E857" s="2" t="inlineStr">
        <is>
          <t>2.0mm</t>
        </is>
      </c>
      <c r="F857" s="2" t="n">
        <v>2</v>
      </c>
      <c r="G857" s="2" t="n">
        <v>18</v>
      </c>
      <c r="H857" s="2" t="inlineStr">
        <is>
          <t>LC/PC</t>
        </is>
      </c>
      <c r="I857" s="2" t="inlineStr">
        <is>
          <t>SC/PC</t>
        </is>
      </c>
      <c r="J857" s="2" t="n"/>
      <c r="K857" s="2" t="n"/>
      <c r="L857" s="2" t="n">
        <v>19</v>
      </c>
      <c r="M857" s="2" t="n"/>
      <c r="N857" s="2" t="n"/>
      <c r="O857" s="2" t="n">
        <v>20</v>
      </c>
      <c r="P857" s="2" t="n"/>
      <c r="Q857" s="2" t="n"/>
      <c r="R857" s="2" t="n"/>
      <c r="S857" s="2" t="n"/>
      <c r="T857" s="2" t="n"/>
      <c r="U857" s="2" t="n"/>
      <c r="V857" s="2">
        <f>SUM(J857:U857)*G857</f>
        <v/>
      </c>
      <c r="W857" s="2">
        <f>MAX(J857:U857)</f>
        <v/>
      </c>
      <c r="X857" s="2">
        <f>W857*G857</f>
        <v/>
      </c>
    </row>
    <row r="858">
      <c r="A858" s="2" t="inlineStr">
        <is>
          <t>A14-DB-N295</t>
        </is>
      </c>
      <c r="B858" s="3" t="inlineStr">
        <is>
          <t>DOJC-SM-LC/PC-SC/PC</t>
        </is>
      </c>
      <c r="C858" s="2" t="inlineStr">
        <is>
          <t>908040878, 20M, B3, 2.0mm</t>
        </is>
      </c>
      <c r="D858" s="2" t="inlineStr">
        <is>
          <t>b3</t>
        </is>
      </c>
      <c r="E858" s="2" t="inlineStr">
        <is>
          <t>2.0mm</t>
        </is>
      </c>
      <c r="F858" s="2" t="n">
        <v>2</v>
      </c>
      <c r="G858" s="2" t="n">
        <v>20</v>
      </c>
      <c r="H858" s="2" t="inlineStr">
        <is>
          <t>LC/PC</t>
        </is>
      </c>
      <c r="I858" s="2" t="inlineStr">
        <is>
          <t>SC/PC</t>
        </is>
      </c>
      <c r="J858" s="2" t="n">
        <v>300</v>
      </c>
      <c r="K858" s="2" t="n"/>
      <c r="L858" s="2" t="n"/>
      <c r="M858" s="2" t="n"/>
      <c r="N858" s="2" t="n"/>
      <c r="O858" s="2" t="n"/>
      <c r="P858" s="2" t="n"/>
      <c r="Q858" s="2" t="n">
        <v>108</v>
      </c>
      <c r="R858" s="2" t="n">
        <v>120</v>
      </c>
      <c r="S858" s="2" t="n">
        <v>30</v>
      </c>
      <c r="T858" s="2" t="n"/>
      <c r="U858" s="2" t="n"/>
      <c r="V858" s="2">
        <f>SUM(J858:U858)*G858</f>
        <v/>
      </c>
      <c r="W858" s="2">
        <f>MAX(J858:U858)</f>
        <v/>
      </c>
      <c r="X858" s="2">
        <f>W858*G858</f>
        <v/>
      </c>
    </row>
    <row r="859">
      <c r="A859" s="2" t="inlineStr">
        <is>
          <t>A14-DB-N300</t>
        </is>
      </c>
      <c r="B859" s="3" t="inlineStr">
        <is>
          <t>DOJC-SM-LC/PC-SC/PC</t>
        </is>
      </c>
      <c r="C859" s="2" t="inlineStr">
        <is>
          <t>908040883, 25M, B3, 2.0mm</t>
        </is>
      </c>
      <c r="D859" s="2" t="inlineStr">
        <is>
          <t>b3</t>
        </is>
      </c>
      <c r="E859" s="2" t="inlineStr">
        <is>
          <t>2.0mm</t>
        </is>
      </c>
      <c r="F859" s="2" t="n">
        <v>2</v>
      </c>
      <c r="G859" s="2" t="n">
        <v>25</v>
      </c>
      <c r="H859" s="2" t="inlineStr">
        <is>
          <t>LC/PC</t>
        </is>
      </c>
      <c r="I859" s="2" t="inlineStr">
        <is>
          <t>SC/PC</t>
        </is>
      </c>
      <c r="J859" s="2" t="n"/>
      <c r="K859" s="2" t="n"/>
      <c r="L859" s="2" t="n">
        <v>71</v>
      </c>
      <c r="M859" s="2" t="n">
        <v>5</v>
      </c>
      <c r="N859" s="2" t="n"/>
      <c r="O859" s="2" t="n"/>
      <c r="P859" s="2" t="n"/>
      <c r="Q859" s="2" t="n"/>
      <c r="R859" s="2" t="n"/>
      <c r="S859" s="2" t="n">
        <v>1</v>
      </c>
      <c r="T859" s="2" t="n"/>
      <c r="U859" s="2" t="n"/>
      <c r="V859" s="2">
        <f>SUM(J859:U859)*G859</f>
        <v/>
      </c>
      <c r="W859" s="2">
        <f>MAX(J859:U859)</f>
        <v/>
      </c>
      <c r="X859" s="2">
        <f>W859*G859</f>
        <v/>
      </c>
    </row>
    <row r="860">
      <c r="A860" s="2" t="inlineStr">
        <is>
          <t>A14-DB-N303</t>
        </is>
      </c>
      <c r="B860" s="3" t="inlineStr">
        <is>
          <t>DOJC-SM-LC/PC-SC/PC</t>
        </is>
      </c>
      <c r="C860" s="2" t="inlineStr">
        <is>
          <t>908040861, 2M, B3, 3.0mm</t>
        </is>
      </c>
      <c r="D860" s="2" t="inlineStr">
        <is>
          <t>b3</t>
        </is>
      </c>
      <c r="E860" s="2" t="inlineStr">
        <is>
          <t>3.0mm</t>
        </is>
      </c>
      <c r="F860" s="2" t="n">
        <v>2</v>
      </c>
      <c r="G860" s="2" t="n">
        <v>2</v>
      </c>
      <c r="H860" s="2" t="inlineStr">
        <is>
          <t>LC/PC</t>
        </is>
      </c>
      <c r="I860" s="2" t="inlineStr">
        <is>
          <t>SC/PC</t>
        </is>
      </c>
      <c r="J860" s="2" t="n"/>
      <c r="K860" s="2" t="n">
        <v>20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>
        <v>10</v>
      </c>
      <c r="U860" s="2" t="n"/>
      <c r="V860" s="2">
        <f>SUM(J860:U860)*G860</f>
        <v/>
      </c>
      <c r="W860" s="2">
        <f>MAX(J860:U860)</f>
        <v/>
      </c>
      <c r="X860" s="2">
        <f>W860*G860</f>
        <v/>
      </c>
    </row>
    <row r="861">
      <c r="A861" s="2" t="inlineStr">
        <is>
          <t>A14-DB-N304</t>
        </is>
      </c>
      <c r="B861" s="3" t="inlineStr">
        <is>
          <t>DOJC-SM-LC/PC-SC/PC</t>
        </is>
      </c>
      <c r="C861" s="2" t="inlineStr">
        <is>
          <t>908040888, 30M, B3, 2.0mm</t>
        </is>
      </c>
      <c r="D861" s="2" t="inlineStr">
        <is>
          <t>b3</t>
        </is>
      </c>
      <c r="E861" s="2" t="inlineStr">
        <is>
          <t>2.0mm</t>
        </is>
      </c>
      <c r="F861" s="2" t="n">
        <v>2</v>
      </c>
      <c r="G861" s="2" t="n">
        <v>30</v>
      </c>
      <c r="H861" s="2" t="inlineStr">
        <is>
          <t>LC/PC</t>
        </is>
      </c>
      <c r="I861" s="2" t="inlineStr">
        <is>
          <t>SC/PC</t>
        </is>
      </c>
      <c r="J861" s="2" t="n">
        <v>10</v>
      </c>
      <c r="K861" s="2" t="n">
        <v>3</v>
      </c>
      <c r="L861" s="2" t="n">
        <v>30</v>
      </c>
      <c r="M861" s="2" t="n"/>
      <c r="N861" s="2" t="n"/>
      <c r="O861" s="2" t="n">
        <v>16</v>
      </c>
      <c r="P861" s="2" t="n"/>
      <c r="Q861" s="2" t="n"/>
      <c r="R861" s="2" t="n"/>
      <c r="S861" s="2" t="n"/>
      <c r="T861" s="2" t="n"/>
      <c r="U861" s="2" t="n"/>
      <c r="V861" s="2">
        <f>SUM(J861:U861)*G861</f>
        <v/>
      </c>
      <c r="W861" s="2">
        <f>MAX(J861:U861)</f>
        <v/>
      </c>
      <c r="X861" s="2">
        <f>W861*G861</f>
        <v/>
      </c>
    </row>
    <row r="862">
      <c r="A862" s="2" t="inlineStr">
        <is>
          <t>A14-DB-N307</t>
        </is>
      </c>
      <c r="B862" s="3" t="inlineStr">
        <is>
          <t>DOJC-SM-LC/PC-SC/PC</t>
        </is>
      </c>
      <c r="C862" s="2" t="inlineStr">
        <is>
          <t>908040859, 3M, B3, 3.0mm</t>
        </is>
      </c>
      <c r="D862" s="2" t="inlineStr">
        <is>
          <t>b3</t>
        </is>
      </c>
      <c r="E862" s="2" t="inlineStr">
        <is>
          <t>3.0mm</t>
        </is>
      </c>
      <c r="F862" s="2" t="n">
        <v>2</v>
      </c>
      <c r="G862" s="2" t="n">
        <v>3</v>
      </c>
      <c r="H862" s="2" t="inlineStr">
        <is>
          <t>LC/PC</t>
        </is>
      </c>
      <c r="I862" s="2" t="inlineStr">
        <is>
          <t>SC/PC</t>
        </is>
      </c>
      <c r="J862" s="2" t="n"/>
      <c r="K862" s="2" t="n"/>
      <c r="L862" s="2" t="n"/>
      <c r="M862" s="2" t="n"/>
      <c r="N862" s="2" t="n"/>
      <c r="O862" s="2" t="n">
        <v>50</v>
      </c>
      <c r="P862" s="2" t="n"/>
      <c r="Q862" s="2" t="n"/>
      <c r="R862" s="2" t="n"/>
      <c r="S862" s="2" t="n"/>
      <c r="T862" s="2" t="n"/>
      <c r="U862" s="2" t="n"/>
      <c r="V862" s="2">
        <f>SUM(J862:U862)*G862</f>
        <v/>
      </c>
      <c r="W862" s="2">
        <f>MAX(J862:U862)</f>
        <v/>
      </c>
      <c r="X862" s="2">
        <f>W862*G862</f>
        <v/>
      </c>
    </row>
    <row r="863">
      <c r="A863" s="2" t="inlineStr">
        <is>
          <t>A14-DB-N308</t>
        </is>
      </c>
      <c r="B863" s="3" t="inlineStr">
        <is>
          <t>DOJC-SM-LC/PC-SC/PC</t>
        </is>
      </c>
      <c r="C863" s="2" t="inlineStr">
        <is>
          <t>920000729, 40M, B3, 2.0mm</t>
        </is>
      </c>
      <c r="D863" s="2" t="inlineStr">
        <is>
          <t>b3</t>
        </is>
      </c>
      <c r="E863" s="2" t="inlineStr">
        <is>
          <t>2.0mm</t>
        </is>
      </c>
      <c r="F863" s="2" t="n">
        <v>2</v>
      </c>
      <c r="G863" s="2" t="n">
        <v>40</v>
      </c>
      <c r="H863" s="2" t="inlineStr">
        <is>
          <t>LC/PC</t>
        </is>
      </c>
      <c r="I863" s="2" t="inlineStr">
        <is>
          <t>SC/PC</t>
        </is>
      </c>
      <c r="J863" s="2" t="n"/>
      <c r="K863" s="2" t="n">
        <v>20</v>
      </c>
      <c r="L863" s="2" t="n"/>
      <c r="M863" s="2" t="n"/>
      <c r="N863" s="2" t="n"/>
      <c r="O863" s="2" t="n"/>
      <c r="P863" s="2" t="n"/>
      <c r="Q863" s="2" t="n"/>
      <c r="R863" s="2" t="n">
        <v>10</v>
      </c>
      <c r="S863" s="2" t="n">
        <v>5</v>
      </c>
      <c r="T863" s="2" t="n"/>
      <c r="U863" s="2" t="n"/>
      <c r="V863" s="2">
        <f>SUM(J863:U863)*G863</f>
        <v/>
      </c>
      <c r="W863" s="2">
        <f>MAX(J863:U863)</f>
        <v/>
      </c>
      <c r="X863" s="2">
        <f>W863*G863</f>
        <v/>
      </c>
    </row>
    <row r="864">
      <c r="A864" s="2" t="inlineStr">
        <is>
          <t>A14-DB-N313</t>
        </is>
      </c>
      <c r="B864" s="3" t="inlineStr">
        <is>
          <t>DOJC-SM-LC/PC-SC/PC</t>
        </is>
      </c>
      <c r="C864" s="2" t="inlineStr">
        <is>
          <t>908040863, 5M, B3, 3.0mm</t>
        </is>
      </c>
      <c r="D864" s="2" t="inlineStr">
        <is>
          <t>b3</t>
        </is>
      </c>
      <c r="E864" s="2" t="inlineStr">
        <is>
          <t>3.0mm</t>
        </is>
      </c>
      <c r="F864" s="2" t="n">
        <v>2</v>
      </c>
      <c r="G864" s="2" t="n">
        <v>5</v>
      </c>
      <c r="H864" s="2" t="inlineStr">
        <is>
          <t>LC/PC</t>
        </is>
      </c>
      <c r="I864" s="2" t="inlineStr">
        <is>
          <t>SC/PC</t>
        </is>
      </c>
      <c r="J864" s="2" t="n">
        <v>5</v>
      </c>
      <c r="K864" s="2" t="n"/>
      <c r="L864" s="2" t="n"/>
      <c r="M864" s="2" t="n"/>
      <c r="N864" s="2" t="n"/>
      <c r="O864" s="2" t="n">
        <v>30</v>
      </c>
      <c r="P864" s="2" t="n">
        <v>10</v>
      </c>
      <c r="Q864" s="2" t="n"/>
      <c r="R864" s="2" t="n"/>
      <c r="S864" s="2" t="n"/>
      <c r="T864" s="2" t="n"/>
      <c r="U864" s="2" t="n"/>
      <c r="V864" s="2">
        <f>SUM(J864:U864)*G864</f>
        <v/>
      </c>
      <c r="W864" s="2">
        <f>MAX(J864:U864)</f>
        <v/>
      </c>
      <c r="X864" s="2">
        <f>W864*G864</f>
        <v/>
      </c>
    </row>
    <row r="865">
      <c r="A865" s="2" t="inlineStr">
        <is>
          <t>A14-DB-N314</t>
        </is>
      </c>
      <c r="B865" s="3" t="inlineStr">
        <is>
          <t>DOJC-SM-LC/PC-SC/PC</t>
        </is>
      </c>
      <c r="C865" s="2" t="inlineStr">
        <is>
          <t>60M, B3, 2.0mm</t>
        </is>
      </c>
      <c r="D865" s="2" t="inlineStr">
        <is>
          <t>b3</t>
        </is>
      </c>
      <c r="E865" s="2" t="inlineStr">
        <is>
          <t>2.0mm</t>
        </is>
      </c>
      <c r="F865" s="2" t="n">
        <v>2</v>
      </c>
      <c r="G865" s="2" t="n">
        <v>60</v>
      </c>
      <c r="H865" s="2" t="inlineStr">
        <is>
          <t>LC/PC</t>
        </is>
      </c>
      <c r="I865" s="2" t="inlineStr">
        <is>
          <t>SC/PC</t>
        </is>
      </c>
      <c r="J865" s="2" t="n"/>
      <c r="K865" s="2" t="n"/>
      <c r="L865" s="2" t="n"/>
      <c r="M865" s="2" t="n">
        <v>4</v>
      </c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>
        <f>SUM(J865:U865)*G865</f>
        <v/>
      </c>
      <c r="W865" s="2">
        <f>MAX(J865:U865)</f>
        <v/>
      </c>
      <c r="X865" s="2">
        <f>W865*G865</f>
        <v/>
      </c>
    </row>
    <row r="866">
      <c r="A866" s="2" t="inlineStr">
        <is>
          <t>A14-DB-N316</t>
        </is>
      </c>
      <c r="B866" s="3" t="inlineStr">
        <is>
          <t>DOJC-SM-LC/PC-SC/PC</t>
        </is>
      </c>
      <c r="C866" s="2" t="inlineStr">
        <is>
          <t>908040864, 6M, B3, 2.0mm</t>
        </is>
      </c>
      <c r="D866" s="2" t="inlineStr">
        <is>
          <t>b3</t>
        </is>
      </c>
      <c r="E866" s="2" t="inlineStr">
        <is>
          <t>2.0mm</t>
        </is>
      </c>
      <c r="F866" s="2" t="n">
        <v>2</v>
      </c>
      <c r="G866" s="2" t="n">
        <v>6</v>
      </c>
      <c r="H866" s="2" t="inlineStr">
        <is>
          <t>LC/PC</t>
        </is>
      </c>
      <c r="I866" s="2" t="inlineStr">
        <is>
          <t>SC/PC</t>
        </is>
      </c>
      <c r="J866" s="2" t="n"/>
      <c r="K866" s="2" t="n"/>
      <c r="L866" s="2" t="n">
        <v>26</v>
      </c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>
        <f>SUM(J866:U866)*G866</f>
        <v/>
      </c>
      <c r="W866" s="2">
        <f>MAX(J866:U866)</f>
        <v/>
      </c>
      <c r="X866" s="2">
        <f>W866*G866</f>
        <v/>
      </c>
    </row>
    <row r="867">
      <c r="A867" s="2" t="inlineStr">
        <is>
          <t>A14-DB-N318</t>
        </is>
      </c>
      <c r="B867" s="3" t="inlineStr">
        <is>
          <t>DOJC-SM-LC/PC-SC/PC</t>
        </is>
      </c>
      <c r="C867" s="2" t="inlineStr">
        <is>
          <t>908040865, 7M, B3, 2.0mm</t>
        </is>
      </c>
      <c r="D867" s="2" t="inlineStr">
        <is>
          <t>b3</t>
        </is>
      </c>
      <c r="E867" s="2" t="inlineStr">
        <is>
          <t>2.0mm</t>
        </is>
      </c>
      <c r="F867" s="2" t="n">
        <v>2</v>
      </c>
      <c r="G867" s="2" t="n">
        <v>7</v>
      </c>
      <c r="H867" s="2" t="inlineStr">
        <is>
          <t>LC/PC</t>
        </is>
      </c>
      <c r="I867" s="2" t="inlineStr">
        <is>
          <t>SC/PC</t>
        </is>
      </c>
      <c r="J867" s="2" t="n"/>
      <c r="K867" s="2" t="n"/>
      <c r="L867" s="2" t="n"/>
      <c r="M867" s="2" t="n"/>
      <c r="N867" s="2" t="n"/>
      <c r="O867" s="2" t="n">
        <v>20</v>
      </c>
      <c r="P867" s="2" t="n"/>
      <c r="Q867" s="2" t="n">
        <v>20</v>
      </c>
      <c r="R867" s="2" t="n"/>
      <c r="S867" s="2" t="n">
        <v>30</v>
      </c>
      <c r="T867" s="2" t="n">
        <v>15</v>
      </c>
      <c r="U867" s="2" t="n"/>
      <c r="V867" s="2">
        <f>SUM(J867:U867)*G867</f>
        <v/>
      </c>
      <c r="W867" s="2">
        <f>MAX(J867:U867)</f>
        <v/>
      </c>
      <c r="X867" s="2">
        <f>W867*G867</f>
        <v/>
      </c>
    </row>
    <row r="868">
      <c r="A868" s="2" t="inlineStr">
        <is>
          <t>A14-DB-N320</t>
        </is>
      </c>
      <c r="B868" s="3" t="inlineStr">
        <is>
          <t>DOJC-SM-LC/PC-SC/PC</t>
        </is>
      </c>
      <c r="C868" s="2" t="inlineStr">
        <is>
          <t>908040866, 8M, B3, 2.0mm</t>
        </is>
      </c>
      <c r="D868" s="2" t="inlineStr">
        <is>
          <t>b3</t>
        </is>
      </c>
      <c r="E868" s="2" t="inlineStr">
        <is>
          <t>2.0mm</t>
        </is>
      </c>
      <c r="F868" s="2" t="n">
        <v>2</v>
      </c>
      <c r="G868" s="2" t="n">
        <v>8</v>
      </c>
      <c r="H868" s="2" t="inlineStr">
        <is>
          <t>LC/PC</t>
        </is>
      </c>
      <c r="I868" s="2" t="inlineStr">
        <is>
          <t>SC/PC</t>
        </is>
      </c>
      <c r="J868" s="2" t="n">
        <v>20</v>
      </c>
      <c r="K868" s="2" t="n"/>
      <c r="L868" s="2" t="n">
        <v>20</v>
      </c>
      <c r="M868" s="2" t="n"/>
      <c r="N868" s="2" t="n"/>
      <c r="O868" s="2" t="n"/>
      <c r="P868" s="2" t="n">
        <v>5</v>
      </c>
      <c r="Q868" s="2" t="n"/>
      <c r="R868" s="2" t="n"/>
      <c r="S868" s="2" t="n">
        <v>30</v>
      </c>
      <c r="T868" s="2" t="n"/>
      <c r="U868" s="2" t="n">
        <v>20</v>
      </c>
      <c r="V868" s="2">
        <f>SUM(J868:U868)*G868</f>
        <v/>
      </c>
      <c r="W868" s="2">
        <f>MAX(J868:U868)</f>
        <v/>
      </c>
      <c r="X868" s="2">
        <f>W868*G868</f>
        <v/>
      </c>
    </row>
    <row r="869">
      <c r="A869" s="2" t="inlineStr">
        <is>
          <t>A14-DB-N379</t>
        </is>
      </c>
      <c r="B869" s="3" t="inlineStr">
        <is>
          <t>DOJC-SM-SC/APC-SC/APC</t>
        </is>
      </c>
      <c r="C869" s="2" t="inlineStr">
        <is>
          <t>908040567, 10M, B3, 2.0mm</t>
        </is>
      </c>
      <c r="D869" s="2" t="inlineStr">
        <is>
          <t>b3</t>
        </is>
      </c>
      <c r="E869" s="2" t="inlineStr">
        <is>
          <t>2.0mm</t>
        </is>
      </c>
      <c r="F869" s="2" t="n">
        <v>2</v>
      </c>
      <c r="G869" s="2" t="n">
        <v>10</v>
      </c>
      <c r="H869" s="2" t="inlineStr">
        <is>
          <t>SC/APC</t>
        </is>
      </c>
      <c r="I869" s="2" t="inlineStr">
        <is>
          <t>SC/APC</t>
        </is>
      </c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>
        <v>5</v>
      </c>
      <c r="T869" s="2" t="n">
        <v>10</v>
      </c>
      <c r="U869" s="2" t="n">
        <v>30</v>
      </c>
      <c r="V869" s="2">
        <f>SUM(J869:U869)*G869</f>
        <v/>
      </c>
      <c r="W869" s="2">
        <f>MAX(J869:U869)</f>
        <v/>
      </c>
      <c r="X869" s="2">
        <f>W869*G869</f>
        <v/>
      </c>
    </row>
    <row r="870">
      <c r="A870" s="2" t="inlineStr">
        <is>
          <t>A14-DB-N381</t>
        </is>
      </c>
      <c r="B870" s="3" t="inlineStr">
        <is>
          <t>DOJC-SM-SC/APC-SC/APC</t>
        </is>
      </c>
      <c r="C870" s="2" t="inlineStr">
        <is>
          <t>908040572, 15M, B3, 2.0mm</t>
        </is>
      </c>
      <c r="D870" s="2" t="inlineStr">
        <is>
          <t>b3</t>
        </is>
      </c>
      <c r="E870" s="2" t="inlineStr">
        <is>
          <t>2.0mm</t>
        </is>
      </c>
      <c r="F870" s="2" t="n">
        <v>2</v>
      </c>
      <c r="G870" s="2" t="n">
        <v>15</v>
      </c>
      <c r="H870" s="2" t="inlineStr">
        <is>
          <t>SC/APC</t>
        </is>
      </c>
      <c r="I870" s="2" t="inlineStr">
        <is>
          <t>SC/APC</t>
        </is>
      </c>
      <c r="J870" s="2" t="n">
        <v>30</v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>
        <v>30</v>
      </c>
      <c r="V870" s="2">
        <f>SUM(J870:U870)*G870</f>
        <v/>
      </c>
      <c r="W870" s="2">
        <f>MAX(J870:U870)</f>
        <v/>
      </c>
      <c r="X870" s="2">
        <f>W870*G870</f>
        <v/>
      </c>
    </row>
    <row r="871">
      <c r="A871" s="2" t="inlineStr">
        <is>
          <t>A14-DB-N388</t>
        </is>
      </c>
      <c r="B871" s="3" t="inlineStr">
        <is>
          <t>DOJC-SM-SC/APC-SC/APC</t>
        </is>
      </c>
      <c r="C871" s="2" t="inlineStr">
        <is>
          <t>908040558, 3M, B3, 3.0mm</t>
        </is>
      </c>
      <c r="D871" s="2" t="inlineStr">
        <is>
          <t>b3</t>
        </is>
      </c>
      <c r="E871" s="2" t="inlineStr">
        <is>
          <t>3.0mm</t>
        </is>
      </c>
      <c r="F871" s="2" t="n">
        <v>2</v>
      </c>
      <c r="G871" s="2" t="n">
        <v>3</v>
      </c>
      <c r="H871" s="2" t="inlineStr">
        <is>
          <t>SC/APC</t>
        </is>
      </c>
      <c r="I871" s="2" t="inlineStr">
        <is>
          <t>SC/APC</t>
        </is>
      </c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>
        <v>34</v>
      </c>
      <c r="V871" s="2">
        <f>SUM(J871:U871)*G871</f>
        <v/>
      </c>
      <c r="W871" s="2">
        <f>MAX(J871:U871)</f>
        <v/>
      </c>
      <c r="X871" s="2">
        <f>W871*G871</f>
        <v/>
      </c>
    </row>
    <row r="872">
      <c r="A872" s="2" t="inlineStr">
        <is>
          <t>A14-DB-N391</t>
        </is>
      </c>
      <c r="B872" s="3" t="inlineStr">
        <is>
          <t>DOJC-SM-SC/APC-SC/APC</t>
        </is>
      </c>
      <c r="C872" s="2" t="inlineStr">
        <is>
          <t>50M, B3, 2.0mm</t>
        </is>
      </c>
      <c r="D872" s="2" t="inlineStr">
        <is>
          <t>b3</t>
        </is>
      </c>
      <c r="E872" s="2" t="inlineStr">
        <is>
          <t>2.0mm</t>
        </is>
      </c>
      <c r="F872" s="2" t="n">
        <v>2</v>
      </c>
      <c r="G872" s="2" t="n">
        <v>50</v>
      </c>
      <c r="H872" s="2" t="inlineStr">
        <is>
          <t>SC/APC</t>
        </is>
      </c>
      <c r="I872" s="2" t="inlineStr">
        <is>
          <t>SC/APC</t>
        </is>
      </c>
      <c r="J872" s="2" t="n"/>
      <c r="K872" s="2" t="n"/>
      <c r="L872" s="2" t="n">
        <v>2</v>
      </c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>
        <f>SUM(J872:U872)*G872</f>
        <v/>
      </c>
      <c r="W872" s="2">
        <f>MAX(J872:U872)</f>
        <v/>
      </c>
      <c r="X872" s="2">
        <f>W872*G872</f>
        <v/>
      </c>
    </row>
    <row r="873">
      <c r="A873" s="2" t="inlineStr">
        <is>
          <t>A14-DB-N392</t>
        </is>
      </c>
      <c r="B873" s="3" t="inlineStr">
        <is>
          <t>DOJC-SM-SC/APC-SC/APC</t>
        </is>
      </c>
      <c r="C873" s="2" t="inlineStr">
        <is>
          <t>908040562, 5M, B3, 3.0mm</t>
        </is>
      </c>
      <c r="D873" s="2" t="inlineStr">
        <is>
          <t>b3</t>
        </is>
      </c>
      <c r="E873" s="2" t="inlineStr">
        <is>
          <t>3.0mm</t>
        </is>
      </c>
      <c r="F873" s="2" t="n">
        <v>2</v>
      </c>
      <c r="G873" s="2" t="n">
        <v>5</v>
      </c>
      <c r="H873" s="2" t="inlineStr">
        <is>
          <t>SC/APC</t>
        </is>
      </c>
      <c r="I873" s="2" t="inlineStr">
        <is>
          <t>SC/APC</t>
        </is>
      </c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>
        <v>2</v>
      </c>
      <c r="U873" s="2" t="n"/>
      <c r="V873" s="2">
        <f>SUM(J873:U873)*G873</f>
        <v/>
      </c>
      <c r="W873" s="2">
        <f>MAX(J873:U873)</f>
        <v/>
      </c>
      <c r="X873" s="2">
        <f>W873*G873</f>
        <v/>
      </c>
    </row>
    <row r="874">
      <c r="A874" s="2" t="inlineStr">
        <is>
          <t>A14-DB-N396</t>
        </is>
      </c>
      <c r="B874" s="3" t="inlineStr">
        <is>
          <t>DOJC-SM-SC/PC-FC/APC</t>
        </is>
      </c>
      <c r="C874" s="2" t="inlineStr">
        <is>
          <t>908040442, 10M, B3, 2.0mm</t>
        </is>
      </c>
      <c r="D874" s="2" t="inlineStr">
        <is>
          <t>b3</t>
        </is>
      </c>
      <c r="E874" s="2" t="inlineStr">
        <is>
          <t>2.0mm</t>
        </is>
      </c>
      <c r="F874" s="2" t="n">
        <v>2</v>
      </c>
      <c r="G874" s="2" t="n">
        <v>10</v>
      </c>
      <c r="H874" s="2" t="inlineStr">
        <is>
          <t>SC/PC</t>
        </is>
      </c>
      <c r="I874" s="2" t="inlineStr">
        <is>
          <t>FC/APC</t>
        </is>
      </c>
      <c r="J874" s="2" t="n"/>
      <c r="K874" s="2" t="n"/>
      <c r="L874" s="2" t="n"/>
      <c r="M874" s="2" t="n">
        <v>26</v>
      </c>
      <c r="N874" s="2" t="n">
        <v>20</v>
      </c>
      <c r="O874" s="2" t="n"/>
      <c r="P874" s="2" t="n"/>
      <c r="Q874" s="2" t="n"/>
      <c r="R874" s="2" t="n"/>
      <c r="S874" s="2" t="n"/>
      <c r="T874" s="2" t="n"/>
      <c r="U874" s="2" t="n"/>
      <c r="V874" s="2">
        <f>SUM(J874:U874)*G874</f>
        <v/>
      </c>
      <c r="W874" s="2">
        <f>MAX(J874:U874)</f>
        <v/>
      </c>
      <c r="X874" s="2">
        <f>W874*G874</f>
        <v/>
      </c>
    </row>
    <row r="875">
      <c r="A875" s="2" t="inlineStr">
        <is>
          <t>A14-DB-N398</t>
        </is>
      </c>
      <c r="B875" s="3" t="inlineStr">
        <is>
          <t>DOJC-SM-SC/PC-FC/APC</t>
        </is>
      </c>
      <c r="C875" s="2" t="inlineStr">
        <is>
          <t>12M, B3, 2.0mm</t>
        </is>
      </c>
      <c r="D875" s="2" t="inlineStr">
        <is>
          <t>b3</t>
        </is>
      </c>
      <c r="E875" s="2" t="inlineStr">
        <is>
          <t>2.0mm</t>
        </is>
      </c>
      <c r="F875" s="2" t="n">
        <v>2</v>
      </c>
      <c r="G875" s="2" t="n">
        <v>12</v>
      </c>
      <c r="H875" s="2" t="inlineStr">
        <is>
          <t>SC/PC</t>
        </is>
      </c>
      <c r="I875" s="2" t="inlineStr">
        <is>
          <t>FC/APC</t>
        </is>
      </c>
      <c r="J875" s="2" t="n"/>
      <c r="K875" s="2" t="n"/>
      <c r="L875" s="2" t="n"/>
      <c r="M875" s="2" t="n"/>
      <c r="N875" s="2" t="n"/>
      <c r="O875" s="2" t="n"/>
      <c r="P875" s="2" t="n"/>
      <c r="Q875" s="2" t="n">
        <v>4</v>
      </c>
      <c r="R875" s="2" t="n"/>
      <c r="S875" s="2" t="n"/>
      <c r="T875" s="2" t="n"/>
      <c r="U875" s="2" t="n"/>
      <c r="V875" s="2">
        <f>SUM(J875:U875)*G875</f>
        <v/>
      </c>
      <c r="W875" s="2">
        <f>MAX(J875:U875)</f>
        <v/>
      </c>
      <c r="X875" s="2">
        <f>W875*G875</f>
        <v/>
      </c>
    </row>
    <row r="876">
      <c r="A876" s="2" t="inlineStr">
        <is>
          <t>A14-DB-N400</t>
        </is>
      </c>
      <c r="B876" s="3" t="inlineStr">
        <is>
          <t>DOJC-SM-SC/PC-FC/APC</t>
        </is>
      </c>
      <c r="C876" s="2" t="inlineStr">
        <is>
          <t>908040447, 15M, B3, 2.0mm</t>
        </is>
      </c>
      <c r="D876" s="2" t="inlineStr">
        <is>
          <t>b3</t>
        </is>
      </c>
      <c r="E876" s="2" t="inlineStr">
        <is>
          <t>2.0mm</t>
        </is>
      </c>
      <c r="F876" s="2" t="n">
        <v>2</v>
      </c>
      <c r="G876" s="2" t="n">
        <v>15</v>
      </c>
      <c r="H876" s="2" t="inlineStr">
        <is>
          <t>SC/PC</t>
        </is>
      </c>
      <c r="I876" s="2" t="inlineStr">
        <is>
          <t>FC/APC</t>
        </is>
      </c>
      <c r="J876" s="2" t="n"/>
      <c r="K876" s="2" t="n">
        <v>9</v>
      </c>
      <c r="L876" s="2" t="n">
        <v>13</v>
      </c>
      <c r="M876" s="2" t="n">
        <v>5</v>
      </c>
      <c r="N876" s="2" t="n"/>
      <c r="O876" s="2" t="n"/>
      <c r="P876" s="2" t="n"/>
      <c r="Q876" s="2" t="n">
        <v>6</v>
      </c>
      <c r="R876" s="2" t="n"/>
      <c r="S876" s="2" t="n"/>
      <c r="T876" s="2" t="n"/>
      <c r="U876" s="2" t="n"/>
      <c r="V876" s="2">
        <f>SUM(J876:U876)*G876</f>
        <v/>
      </c>
      <c r="W876" s="2">
        <f>MAX(J876:U876)</f>
        <v/>
      </c>
      <c r="X876" s="2">
        <f>W876*G876</f>
        <v/>
      </c>
    </row>
    <row r="877">
      <c r="A877" s="2" t="inlineStr">
        <is>
          <t>A14-DB-N403</t>
        </is>
      </c>
      <c r="B877" s="3" t="inlineStr">
        <is>
          <t>DOJC-SM-SC/PC-FC/APC</t>
        </is>
      </c>
      <c r="C877" s="2" t="inlineStr">
        <is>
          <t>18M, B3, 2.0mm</t>
        </is>
      </c>
      <c r="D877" s="2" t="inlineStr">
        <is>
          <t>b3</t>
        </is>
      </c>
      <c r="E877" s="2" t="inlineStr">
        <is>
          <t>2.0mm</t>
        </is>
      </c>
      <c r="F877" s="2" t="n">
        <v>2</v>
      </c>
      <c r="G877" s="2" t="n">
        <v>18</v>
      </c>
      <c r="H877" s="2" t="inlineStr">
        <is>
          <t>SC/PC</t>
        </is>
      </c>
      <c r="I877" s="2" t="inlineStr">
        <is>
          <t>FC/APC</t>
        </is>
      </c>
      <c r="J877" s="2" t="n"/>
      <c r="K877" s="2" t="n"/>
      <c r="L877" s="2" t="n"/>
      <c r="M877" s="2" t="n"/>
      <c r="N877" s="2" t="n"/>
      <c r="O877" s="2" t="n"/>
      <c r="P877" s="2" t="n">
        <v>30</v>
      </c>
      <c r="Q877" s="2" t="n"/>
      <c r="R877" s="2" t="n"/>
      <c r="S877" s="2" t="n"/>
      <c r="T877" s="2" t="n"/>
      <c r="U877" s="2" t="n"/>
      <c r="V877" s="2">
        <f>SUM(J877:U877)*G877</f>
        <v/>
      </c>
      <c r="W877" s="2">
        <f>MAX(J877:U877)</f>
        <v/>
      </c>
      <c r="X877" s="2">
        <f>W877*G877</f>
        <v/>
      </c>
    </row>
    <row r="878">
      <c r="A878" s="2" t="inlineStr">
        <is>
          <t>A14-DB-N404</t>
        </is>
      </c>
      <c r="B878" s="3" t="inlineStr">
        <is>
          <t>DOJC-SM-SC/PC-FC/APC</t>
        </is>
      </c>
      <c r="C878" s="2" t="inlineStr">
        <is>
          <t>908040452, 20M, B3, 2.0mm</t>
        </is>
      </c>
      <c r="D878" s="2" t="inlineStr">
        <is>
          <t>b3</t>
        </is>
      </c>
      <c r="E878" s="2" t="inlineStr">
        <is>
          <t>2.0mm</t>
        </is>
      </c>
      <c r="F878" s="2" t="n">
        <v>2</v>
      </c>
      <c r="G878" s="2" t="n">
        <v>20</v>
      </c>
      <c r="H878" s="2" t="inlineStr">
        <is>
          <t>SC/PC</t>
        </is>
      </c>
      <c r="I878" s="2" t="inlineStr">
        <is>
          <t>FC/APC</t>
        </is>
      </c>
      <c r="J878" s="2" t="n">
        <v>15</v>
      </c>
      <c r="K878" s="2" t="n">
        <v>20</v>
      </c>
      <c r="L878" s="2" t="n"/>
      <c r="M878" s="2" t="n"/>
      <c r="N878" s="2" t="n"/>
      <c r="O878" s="2" t="n">
        <v>25</v>
      </c>
      <c r="P878" s="2" t="n"/>
      <c r="Q878" s="2" t="n"/>
      <c r="R878" s="2" t="n">
        <v>20</v>
      </c>
      <c r="S878" s="2" t="n">
        <v>15</v>
      </c>
      <c r="T878" s="2" t="n"/>
      <c r="U878" s="2" t="n"/>
      <c r="V878" s="2">
        <f>SUM(J878:U878)*G878</f>
        <v/>
      </c>
      <c r="W878" s="2">
        <f>MAX(J878:U878)</f>
        <v/>
      </c>
      <c r="X878" s="2">
        <f>W878*G878</f>
        <v/>
      </c>
    </row>
    <row r="879">
      <c r="A879" s="2" t="inlineStr">
        <is>
          <t>A14-DB-N409</t>
        </is>
      </c>
      <c r="B879" s="3" t="inlineStr">
        <is>
          <t>DOJC-SM-SC/PC-FC/APC</t>
        </is>
      </c>
      <c r="C879" s="2" t="inlineStr">
        <is>
          <t>908040462, 30M, B3, 2.0mm</t>
        </is>
      </c>
      <c r="D879" s="2" t="inlineStr">
        <is>
          <t>b3</t>
        </is>
      </c>
      <c r="E879" s="2" t="inlineStr">
        <is>
          <t>2.0mm</t>
        </is>
      </c>
      <c r="F879" s="2" t="n">
        <v>2</v>
      </c>
      <c r="G879" s="2" t="n">
        <v>30</v>
      </c>
      <c r="H879" s="2" t="inlineStr">
        <is>
          <t>SC/PC</t>
        </is>
      </c>
      <c r="I879" s="2" t="inlineStr">
        <is>
          <t>FC/APC</t>
        </is>
      </c>
      <c r="J879" s="2" t="n"/>
      <c r="K879" s="2" t="n"/>
      <c r="L879" s="2" t="n"/>
      <c r="M879" s="2" t="n">
        <v>20</v>
      </c>
      <c r="N879" s="2" t="n"/>
      <c r="O879" s="2" t="n"/>
      <c r="P879" s="2" t="n"/>
      <c r="Q879" s="2" t="n">
        <v>64</v>
      </c>
      <c r="R879" s="2" t="n"/>
      <c r="S879" s="2" t="n"/>
      <c r="T879" s="2" t="n">
        <v>5</v>
      </c>
      <c r="U879" s="2" t="n">
        <v>2</v>
      </c>
      <c r="V879" s="2">
        <f>SUM(J879:U879)*G879</f>
        <v/>
      </c>
      <c r="W879" s="2">
        <f>MAX(J879:U879)</f>
        <v/>
      </c>
      <c r="X879" s="2">
        <f>W879*G879</f>
        <v/>
      </c>
    </row>
    <row r="880">
      <c r="A880" s="2" t="inlineStr">
        <is>
          <t>A14-DB-N411</t>
        </is>
      </c>
      <c r="B880" s="3" t="inlineStr">
        <is>
          <t>DOJC-SM-SC/PC-FC/APC</t>
        </is>
      </c>
      <c r="C880" s="2" t="inlineStr">
        <is>
          <t>35M, B3, 2.0mm</t>
        </is>
      </c>
      <c r="D880" s="2" t="inlineStr">
        <is>
          <t>b3</t>
        </is>
      </c>
      <c r="E880" s="2" t="inlineStr">
        <is>
          <t>2.0mm</t>
        </is>
      </c>
      <c r="F880" s="2" t="n">
        <v>2</v>
      </c>
      <c r="G880" s="2" t="n">
        <v>35</v>
      </c>
      <c r="H880" s="2" t="inlineStr">
        <is>
          <t>SC/PC</t>
        </is>
      </c>
      <c r="I880" s="2" t="inlineStr">
        <is>
          <t>FC/APC</t>
        </is>
      </c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>
        <v>5</v>
      </c>
      <c r="U880" s="2" t="n"/>
      <c r="V880" s="2">
        <f>SUM(J880:U880)*G880</f>
        <v/>
      </c>
      <c r="W880" s="2">
        <f>MAX(J880:U880)</f>
        <v/>
      </c>
      <c r="X880" s="2">
        <f>W880*G880</f>
        <v/>
      </c>
    </row>
    <row r="881">
      <c r="A881" s="2" t="inlineStr">
        <is>
          <t>A14-DB-N413</t>
        </is>
      </c>
      <c r="B881" s="3" t="inlineStr">
        <is>
          <t>DOJC-SM-SC/PC-FC/APC</t>
        </is>
      </c>
      <c r="C881" s="2" t="inlineStr">
        <is>
          <t>40M, B3, 2.0mm</t>
        </is>
      </c>
      <c r="D881" s="2" t="inlineStr">
        <is>
          <t>b3</t>
        </is>
      </c>
      <c r="E881" s="2" t="inlineStr">
        <is>
          <t>2.0mm</t>
        </is>
      </c>
      <c r="F881" s="2" t="n">
        <v>2</v>
      </c>
      <c r="G881" s="2" t="n">
        <v>40</v>
      </c>
      <c r="H881" s="2" t="inlineStr">
        <is>
          <t>SC/PC</t>
        </is>
      </c>
      <c r="I881" s="2" t="inlineStr">
        <is>
          <t>FC/APC</t>
        </is>
      </c>
      <c r="J881" s="2" t="n"/>
      <c r="K881" s="2" t="n"/>
      <c r="L881" s="2" t="n"/>
      <c r="M881" s="2" t="n"/>
      <c r="N881" s="2" t="n"/>
      <c r="O881" s="2" t="n"/>
      <c r="P881" s="2" t="n"/>
      <c r="Q881" s="2" t="n">
        <v>5</v>
      </c>
      <c r="R881" s="2" t="n"/>
      <c r="S881" s="2" t="n">
        <v>5</v>
      </c>
      <c r="T881" s="2" t="n">
        <v>5</v>
      </c>
      <c r="U881" s="2" t="n"/>
      <c r="V881" s="2">
        <f>SUM(J881:U881)*G881</f>
        <v/>
      </c>
      <c r="W881" s="2">
        <f>MAX(J881:U881)</f>
        <v/>
      </c>
      <c r="X881" s="2">
        <f>W881*G881</f>
        <v/>
      </c>
    </row>
    <row r="882">
      <c r="A882" s="2" t="inlineStr">
        <is>
          <t>A14-DB-N416</t>
        </is>
      </c>
      <c r="B882" s="3" t="inlineStr">
        <is>
          <t>DOJC-SM-SC/PC-FC/APC</t>
        </is>
      </c>
      <c r="C882" s="2" t="inlineStr">
        <is>
          <t>50M, B3, 2.0mm</t>
        </is>
      </c>
      <c r="D882" s="2" t="inlineStr">
        <is>
          <t>b3</t>
        </is>
      </c>
      <c r="E882" s="2" t="inlineStr">
        <is>
          <t>2.0mm</t>
        </is>
      </c>
      <c r="F882" s="2" t="n">
        <v>2</v>
      </c>
      <c r="G882" s="2" t="n">
        <v>50</v>
      </c>
      <c r="H882" s="2" t="inlineStr">
        <is>
          <t>SC/PC</t>
        </is>
      </c>
      <c r="I882" s="2" t="inlineStr">
        <is>
          <t>FC/APC</t>
        </is>
      </c>
      <c r="J882" s="2" t="n"/>
      <c r="K882" s="2" t="n">
        <v>10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>
        <f>SUM(J882:U882)*G882</f>
        <v/>
      </c>
      <c r="W882" s="2">
        <f>MAX(J882:U882)</f>
        <v/>
      </c>
      <c r="X882" s="2">
        <f>W882*G882</f>
        <v/>
      </c>
    </row>
    <row r="883">
      <c r="A883" s="2" t="inlineStr">
        <is>
          <t>A14-DB-N422</t>
        </is>
      </c>
      <c r="B883" s="3" t="inlineStr">
        <is>
          <t>DOJC-SM-SC/PC-FC/APC</t>
        </is>
      </c>
      <c r="C883" s="2" t="inlineStr">
        <is>
          <t>70M, B3, 2.0mm</t>
        </is>
      </c>
      <c r="D883" s="2" t="inlineStr">
        <is>
          <t>b3</t>
        </is>
      </c>
      <c r="E883" s="2" t="inlineStr">
        <is>
          <t>2.0mm</t>
        </is>
      </c>
      <c r="F883" s="2" t="n">
        <v>2</v>
      </c>
      <c r="G883" s="2" t="n">
        <v>70</v>
      </c>
      <c r="H883" s="2" t="inlineStr">
        <is>
          <t>SC/PC</t>
        </is>
      </c>
      <c r="I883" s="2" t="inlineStr">
        <is>
          <t>FC/APC</t>
        </is>
      </c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>
        <v>5</v>
      </c>
      <c r="V883" s="2">
        <f>SUM(J883:U883)*G883</f>
        <v/>
      </c>
      <c r="W883" s="2">
        <f>MAX(J883:U883)</f>
        <v/>
      </c>
      <c r="X883" s="2">
        <f>W883*G883</f>
        <v/>
      </c>
    </row>
    <row r="884">
      <c r="A884" s="2" t="inlineStr">
        <is>
          <t>A14-DB-N424</t>
        </is>
      </c>
      <c r="B884" s="3" t="inlineStr">
        <is>
          <t>DOJC-SM-SC/PC-FC/APC</t>
        </is>
      </c>
      <c r="C884" s="2" t="inlineStr">
        <is>
          <t>908040440, 8M, B3, 2.0mm</t>
        </is>
      </c>
      <c r="D884" s="2" t="inlineStr">
        <is>
          <t>b3</t>
        </is>
      </c>
      <c r="E884" s="2" t="inlineStr">
        <is>
          <t>2.0mm</t>
        </is>
      </c>
      <c r="F884" s="2" t="n">
        <v>2</v>
      </c>
      <c r="G884" s="2" t="n">
        <v>8</v>
      </c>
      <c r="H884" s="2" t="inlineStr">
        <is>
          <t>SC/PC</t>
        </is>
      </c>
      <c r="I884" s="2" t="inlineStr">
        <is>
          <t>FC/APC</t>
        </is>
      </c>
      <c r="J884" s="2" t="n"/>
      <c r="K884" s="2" t="n"/>
      <c r="L884" s="2" t="n"/>
      <c r="M884" s="2" t="n">
        <v>10</v>
      </c>
      <c r="N884" s="2" t="n"/>
      <c r="O884" s="2" t="n"/>
      <c r="P884" s="2" t="n"/>
      <c r="Q884" s="2" t="n">
        <v>10</v>
      </c>
      <c r="R884" s="2" t="n"/>
      <c r="S884" s="2" t="n"/>
      <c r="T884" s="2" t="n"/>
      <c r="U884" s="2" t="n"/>
      <c r="V884" s="2">
        <f>SUM(J884:U884)*G884</f>
        <v/>
      </c>
      <c r="W884" s="2">
        <f>MAX(J884:U884)</f>
        <v/>
      </c>
      <c r="X884" s="2">
        <f>W884*G884</f>
        <v/>
      </c>
    </row>
    <row r="885">
      <c r="A885" s="2" t="inlineStr">
        <is>
          <t>A14-DB-N426</t>
        </is>
      </c>
      <c r="B885" s="3" t="inlineStr">
        <is>
          <t>DOJC-SM-SC/PC-FC/PC</t>
        </is>
      </c>
      <c r="C885" s="2" t="inlineStr">
        <is>
          <t>908040687, 10M, B3, 2.0mm</t>
        </is>
      </c>
      <c r="D885" s="2" t="inlineStr">
        <is>
          <t>b3</t>
        </is>
      </c>
      <c r="E885" s="2" t="inlineStr">
        <is>
          <t>2.0mm</t>
        </is>
      </c>
      <c r="F885" s="2" t="n">
        <v>2</v>
      </c>
      <c r="G885" s="2" t="n">
        <v>10</v>
      </c>
      <c r="H885" s="2" t="inlineStr">
        <is>
          <t>SC/PC</t>
        </is>
      </c>
      <c r="I885" s="2" t="inlineStr">
        <is>
          <t>FC/PC</t>
        </is>
      </c>
      <c r="J885" s="2" t="n"/>
      <c r="K885" s="2" t="n"/>
      <c r="L885" s="2" t="n"/>
      <c r="M885" s="2" t="n">
        <v>30</v>
      </c>
      <c r="N885" s="2" t="n"/>
      <c r="O885" s="2" t="n">
        <v>10</v>
      </c>
      <c r="P885" s="2" t="n">
        <v>34</v>
      </c>
      <c r="Q885" s="2" t="n">
        <v>10</v>
      </c>
      <c r="R885" s="2" t="n">
        <v>10</v>
      </c>
      <c r="S885" s="2" t="n"/>
      <c r="T885" s="2" t="n">
        <v>10</v>
      </c>
      <c r="U885" s="2" t="n"/>
      <c r="V885" s="2">
        <f>SUM(J885:U885)*G885</f>
        <v/>
      </c>
      <c r="W885" s="2">
        <f>MAX(J885:U885)</f>
        <v/>
      </c>
      <c r="X885" s="2">
        <f>W885*G885</f>
        <v/>
      </c>
    </row>
    <row r="886">
      <c r="A886" s="2" t="inlineStr">
        <is>
          <t>A14-DB-N428</t>
        </is>
      </c>
      <c r="B886" s="3" t="inlineStr">
        <is>
          <t>DOJC-SM-SC/PC-FC/PC</t>
        </is>
      </c>
      <c r="C886" s="2" t="inlineStr">
        <is>
          <t>13M, B3, 2.0mm</t>
        </is>
      </c>
      <c r="D886" s="2" t="inlineStr">
        <is>
          <t>b3</t>
        </is>
      </c>
      <c r="E886" s="2" t="inlineStr">
        <is>
          <t>2.0mm</t>
        </is>
      </c>
      <c r="F886" s="2" t="n">
        <v>2</v>
      </c>
      <c r="G886" s="2" t="n">
        <v>13</v>
      </c>
      <c r="H886" s="2" t="inlineStr">
        <is>
          <t>SC/PC</t>
        </is>
      </c>
      <c r="I886" s="2" t="inlineStr">
        <is>
          <t>FC/PC</t>
        </is>
      </c>
      <c r="J886" s="2" t="n"/>
      <c r="K886" s="2" t="n"/>
      <c r="L886" s="2" t="n"/>
      <c r="M886" s="2" t="n">
        <v>10</v>
      </c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>
        <f>SUM(J886:U886)*G886</f>
        <v/>
      </c>
      <c r="W886" s="2">
        <f>MAX(J886:U886)</f>
        <v/>
      </c>
      <c r="X886" s="2">
        <f>W886*G886</f>
        <v/>
      </c>
    </row>
    <row r="887">
      <c r="A887" s="2" t="inlineStr">
        <is>
          <t>A14-DB-N429</t>
        </is>
      </c>
      <c r="B887" s="3" t="inlineStr">
        <is>
          <t>DOJC-SM-SC/PC-FC/PC</t>
        </is>
      </c>
      <c r="C887" s="2" t="inlineStr">
        <is>
          <t>908040692, 15M, B3, 2.0mm</t>
        </is>
      </c>
      <c r="D887" s="2" t="inlineStr">
        <is>
          <t>b3</t>
        </is>
      </c>
      <c r="E887" s="2" t="inlineStr">
        <is>
          <t>2.0mm</t>
        </is>
      </c>
      <c r="F887" s="2" t="n">
        <v>2</v>
      </c>
      <c r="G887" s="2" t="n">
        <v>15</v>
      </c>
      <c r="H887" s="2" t="inlineStr">
        <is>
          <t>SC/PC</t>
        </is>
      </c>
      <c r="I887" s="2" t="inlineStr">
        <is>
          <t>FC/PC</t>
        </is>
      </c>
      <c r="J887" s="2" t="n"/>
      <c r="K887" s="2" t="n"/>
      <c r="L887" s="2" t="n">
        <v>14</v>
      </c>
      <c r="M887" s="2" t="n">
        <v>30</v>
      </c>
      <c r="N887" s="2" t="n"/>
      <c r="O887" s="2" t="n"/>
      <c r="P887" s="2" t="n"/>
      <c r="Q887" s="2" t="n"/>
      <c r="R887" s="2" t="n"/>
      <c r="S887" s="2" t="n"/>
      <c r="T887" s="2" t="n">
        <v>30</v>
      </c>
      <c r="U887" s="2" t="n"/>
      <c r="V887" s="2">
        <f>SUM(J887:U887)*G887</f>
        <v/>
      </c>
      <c r="W887" s="2">
        <f>MAX(J887:U887)</f>
        <v/>
      </c>
      <c r="X887" s="2">
        <f>W887*G887</f>
        <v/>
      </c>
    </row>
    <row r="888">
      <c r="A888" s="2" t="inlineStr">
        <is>
          <t>A14-DB-N430</t>
        </is>
      </c>
      <c r="B888" s="3" t="inlineStr">
        <is>
          <t>DOJC-SM-SC/PC-FC/PC</t>
        </is>
      </c>
      <c r="C888" s="2" t="inlineStr">
        <is>
          <t>908040422, 20M, B3, 2.0mm</t>
        </is>
      </c>
      <c r="D888" s="2" t="inlineStr">
        <is>
          <t>b3</t>
        </is>
      </c>
      <c r="E888" s="2" t="inlineStr">
        <is>
          <t>2.0mm</t>
        </is>
      </c>
      <c r="F888" s="2" t="n">
        <v>2</v>
      </c>
      <c r="G888" s="2" t="n">
        <v>20</v>
      </c>
      <c r="H888" s="2" t="inlineStr">
        <is>
          <t>SC/PC</t>
        </is>
      </c>
      <c r="I888" s="2" t="inlineStr">
        <is>
          <t>FC/PC</t>
        </is>
      </c>
      <c r="J888" s="2" t="n"/>
      <c r="K888" s="2" t="n"/>
      <c r="L888" s="2" t="n"/>
      <c r="M888" s="2" t="n">
        <v>5</v>
      </c>
      <c r="N888" s="2" t="n"/>
      <c r="O888" s="2" t="n"/>
      <c r="P888" s="2" t="n">
        <v>5</v>
      </c>
      <c r="Q888" s="2" t="n"/>
      <c r="R888" s="2" t="n"/>
      <c r="S888" s="2" t="n"/>
      <c r="T888" s="2" t="n"/>
      <c r="U888" s="2" t="n"/>
      <c r="V888" s="2">
        <f>SUM(J888:U888)*G888</f>
        <v/>
      </c>
      <c r="W888" s="2">
        <f>MAX(J888:U888)</f>
        <v/>
      </c>
      <c r="X888" s="2">
        <f>W888*G888</f>
        <v/>
      </c>
    </row>
    <row r="889">
      <c r="A889" s="2" t="inlineStr">
        <is>
          <t>A14-DB-N432</t>
        </is>
      </c>
      <c r="B889" s="3" t="inlineStr">
        <is>
          <t>DOJC-SM-SC/PC-FC/PC</t>
        </is>
      </c>
      <c r="C889" s="2" t="inlineStr">
        <is>
          <t>908040427, 25M, B3, 2.0mm</t>
        </is>
      </c>
      <c r="D889" s="2" t="inlineStr">
        <is>
          <t>b3</t>
        </is>
      </c>
      <c r="E889" s="2" t="inlineStr">
        <is>
          <t>2.0mm</t>
        </is>
      </c>
      <c r="F889" s="2" t="n">
        <v>2</v>
      </c>
      <c r="G889" s="2" t="n">
        <v>25</v>
      </c>
      <c r="H889" s="2" t="inlineStr">
        <is>
          <t>SC/PC</t>
        </is>
      </c>
      <c r="I889" s="2" t="inlineStr">
        <is>
          <t>FC/PC</t>
        </is>
      </c>
      <c r="J889" s="2" t="n">
        <v>10</v>
      </c>
      <c r="K889" s="2" t="n">
        <v>30</v>
      </c>
      <c r="L889" s="2" t="n">
        <v>20</v>
      </c>
      <c r="M889" s="2" t="n"/>
      <c r="N889" s="2" t="n"/>
      <c r="O889" s="2" t="n"/>
      <c r="P889" s="2" t="n"/>
      <c r="Q889" s="2" t="n">
        <v>20</v>
      </c>
      <c r="R889" s="2" t="n"/>
      <c r="S889" s="2" t="n"/>
      <c r="T889" s="2" t="n">
        <v>56</v>
      </c>
      <c r="U889" s="2" t="n"/>
      <c r="V889" s="2">
        <f>SUM(J889:U889)*G889</f>
        <v/>
      </c>
      <c r="W889" s="2">
        <f>MAX(J889:U889)</f>
        <v/>
      </c>
      <c r="X889" s="2">
        <f>W889*G889</f>
        <v/>
      </c>
    </row>
    <row r="890">
      <c r="A890" s="2" t="inlineStr">
        <is>
          <t>A14-DB-N444</t>
        </is>
      </c>
      <c r="B890" s="3" t="inlineStr">
        <is>
          <t>DOJC-SM-SC/PC-SC/APC</t>
        </is>
      </c>
      <c r="C890" s="2" t="inlineStr">
        <is>
          <t>908040537, 10M, B3, 2.0mm</t>
        </is>
      </c>
      <c r="D890" s="2" t="inlineStr">
        <is>
          <t>b3</t>
        </is>
      </c>
      <c r="E890" s="2" t="inlineStr">
        <is>
          <t>2.0mm</t>
        </is>
      </c>
      <c r="F890" s="2" t="n">
        <v>2</v>
      </c>
      <c r="G890" s="2" t="n">
        <v>10</v>
      </c>
      <c r="H890" s="2" t="inlineStr">
        <is>
          <t>SC/PC</t>
        </is>
      </c>
      <c r="I890" s="2" t="inlineStr">
        <is>
          <t>SC/APC</t>
        </is>
      </c>
      <c r="J890" s="2" t="n"/>
      <c r="K890" s="2" t="n"/>
      <c r="L890" s="2" t="n"/>
      <c r="M890" s="2" t="n"/>
      <c r="N890" s="2" t="n"/>
      <c r="O890" s="2" t="n"/>
      <c r="P890" s="2" t="n"/>
      <c r="Q890" s="2" t="n">
        <v>50</v>
      </c>
      <c r="R890" s="2" t="n">
        <v>10</v>
      </c>
      <c r="S890" s="2" t="n">
        <v>37</v>
      </c>
      <c r="T890" s="2" t="n">
        <v>29</v>
      </c>
      <c r="U890" s="2" t="n">
        <v>2</v>
      </c>
      <c r="V890" s="2">
        <f>SUM(J890:U890)*G890</f>
        <v/>
      </c>
      <c r="W890" s="2">
        <f>MAX(J890:U890)</f>
        <v/>
      </c>
      <c r="X890" s="2">
        <f>W890*G890</f>
        <v/>
      </c>
    </row>
    <row r="891">
      <c r="A891" s="2" t="inlineStr">
        <is>
          <t>A14-DB-N447</t>
        </is>
      </c>
      <c r="B891" s="3" t="inlineStr">
        <is>
          <t>DOJC-SM-SC/PC-SC/APC</t>
        </is>
      </c>
      <c r="C891" s="2" t="inlineStr">
        <is>
          <t>908040542, 15M, B3, 2.0mm</t>
        </is>
      </c>
      <c r="D891" s="2" t="inlineStr">
        <is>
          <t>b3</t>
        </is>
      </c>
      <c r="E891" s="2" t="inlineStr">
        <is>
          <t>2.0mm</t>
        </is>
      </c>
      <c r="F891" s="2" t="n">
        <v>2</v>
      </c>
      <c r="G891" s="2" t="n">
        <v>15</v>
      </c>
      <c r="H891" s="2" t="inlineStr">
        <is>
          <t>SC/PC</t>
        </is>
      </c>
      <c r="I891" s="2" t="inlineStr">
        <is>
          <t>SC/APC</t>
        </is>
      </c>
      <c r="J891" s="2" t="n">
        <v>20</v>
      </c>
      <c r="K891" s="2" t="n"/>
      <c r="L891" s="2" t="n"/>
      <c r="M891" s="2" t="n"/>
      <c r="N891" s="2" t="n">
        <v>5</v>
      </c>
      <c r="O891" s="2" t="n"/>
      <c r="P891" s="2" t="n"/>
      <c r="Q891" s="2" t="n">
        <v>20</v>
      </c>
      <c r="R891" s="2" t="n"/>
      <c r="S891" s="2" t="n">
        <v>12</v>
      </c>
      <c r="T891" s="2" t="n">
        <v>30</v>
      </c>
      <c r="U891" s="2" t="n">
        <v>45</v>
      </c>
      <c r="V891" s="2">
        <f>SUM(J891:U891)*G891</f>
        <v/>
      </c>
      <c r="W891" s="2">
        <f>MAX(J891:U891)</f>
        <v/>
      </c>
      <c r="X891" s="2">
        <f>W891*G891</f>
        <v/>
      </c>
    </row>
    <row r="892">
      <c r="A892" s="2" t="inlineStr">
        <is>
          <t>A14-DB-N449</t>
        </is>
      </c>
      <c r="B892" s="3" t="inlineStr">
        <is>
          <t>DOJC-SM-SC/PC-SC/APC</t>
        </is>
      </c>
      <c r="C892" s="2" t="inlineStr">
        <is>
          <t>908040547, 20M, B3, 2.0mm</t>
        </is>
      </c>
      <c r="D892" s="2" t="inlineStr">
        <is>
          <t>b3</t>
        </is>
      </c>
      <c r="E892" s="2" t="inlineStr">
        <is>
          <t>2.0mm</t>
        </is>
      </c>
      <c r="F892" s="2" t="n">
        <v>2</v>
      </c>
      <c r="G892" s="2" t="n">
        <v>20</v>
      </c>
      <c r="H892" s="2" t="inlineStr">
        <is>
          <t>SC/PC</t>
        </is>
      </c>
      <c r="I892" s="2" t="inlineStr">
        <is>
          <t>SC/APC</t>
        </is>
      </c>
      <c r="J892" s="2" t="n">
        <v>20</v>
      </c>
      <c r="K892" s="2" t="n"/>
      <c r="L892" s="2" t="n">
        <v>10</v>
      </c>
      <c r="M892" s="2" t="n"/>
      <c r="N892" s="2" t="n">
        <v>5</v>
      </c>
      <c r="O892" s="2" t="n">
        <v>10</v>
      </c>
      <c r="P892" s="2" t="n"/>
      <c r="Q892" s="2" t="n"/>
      <c r="R892" s="2" t="n"/>
      <c r="S892" s="2" t="n">
        <v>6</v>
      </c>
      <c r="T892" s="2" t="n">
        <v>10</v>
      </c>
      <c r="U892" s="2" t="n"/>
      <c r="V892" s="2">
        <f>SUM(J892:U892)*G892</f>
        <v/>
      </c>
      <c r="W892" s="2">
        <f>MAX(J892:U892)</f>
        <v/>
      </c>
      <c r="X892" s="2">
        <f>W892*G892</f>
        <v/>
      </c>
    </row>
    <row r="893">
      <c r="A893" s="2" t="inlineStr">
        <is>
          <t>A14-DB-N458</t>
        </is>
      </c>
      <c r="B893" s="3" t="inlineStr">
        <is>
          <t>DOJC-SM-SC/PC-SC/APC</t>
        </is>
      </c>
      <c r="C893" s="2" t="inlineStr">
        <is>
          <t>908040254, 4M, B3, 3.0mm</t>
        </is>
      </c>
      <c r="D893" s="2" t="inlineStr">
        <is>
          <t>b3</t>
        </is>
      </c>
      <c r="E893" s="2" t="inlineStr">
        <is>
          <t>3.0mm</t>
        </is>
      </c>
      <c r="F893" s="2" t="n">
        <v>2</v>
      </c>
      <c r="G893" s="2" t="n">
        <v>4</v>
      </c>
      <c r="H893" s="2" t="inlineStr">
        <is>
          <t>SC/PC</t>
        </is>
      </c>
      <c r="I893" s="2" t="inlineStr">
        <is>
          <t>SC/APC</t>
        </is>
      </c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>
        <v>30</v>
      </c>
      <c r="V893" s="2">
        <f>SUM(J893:U893)*G893</f>
        <v/>
      </c>
      <c r="W893" s="2">
        <f>MAX(J893:U893)</f>
        <v/>
      </c>
      <c r="X893" s="2">
        <f>W893*G893</f>
        <v/>
      </c>
    </row>
    <row r="894">
      <c r="A894" s="2" t="inlineStr">
        <is>
          <t>A14-DB-N461</t>
        </is>
      </c>
      <c r="B894" s="3" t="inlineStr">
        <is>
          <t>DOJC-SM-SC/PC-SC/APC</t>
        </is>
      </c>
      <c r="C894" s="2" t="inlineStr">
        <is>
          <t>908040257, 7M, B3, 2.0mm</t>
        </is>
      </c>
      <c r="D894" s="2" t="inlineStr">
        <is>
          <t>b3</t>
        </is>
      </c>
      <c r="E894" s="2" t="inlineStr">
        <is>
          <t>2.0mm</t>
        </is>
      </c>
      <c r="F894" s="2" t="n">
        <v>2</v>
      </c>
      <c r="G894" s="2" t="n">
        <v>7</v>
      </c>
      <c r="H894" s="2" t="inlineStr">
        <is>
          <t>SC/PC</t>
        </is>
      </c>
      <c r="I894" s="2" t="inlineStr">
        <is>
          <t>SC/APC</t>
        </is>
      </c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>
        <v>20</v>
      </c>
      <c r="T894" s="2" t="n"/>
      <c r="U894" s="2" t="n"/>
      <c r="V894" s="2">
        <f>SUM(J894:U894)*G894</f>
        <v/>
      </c>
      <c r="W894" s="2">
        <f>MAX(J894:U894)</f>
        <v/>
      </c>
      <c r="X894" s="2">
        <f>W894*G894</f>
        <v/>
      </c>
    </row>
    <row r="895">
      <c r="A895" s="2" t="inlineStr">
        <is>
          <t>A14-DB-N464</t>
        </is>
      </c>
      <c r="B895" s="3" t="inlineStr">
        <is>
          <t>DOJC-SM-SC/PC-SC/PC</t>
        </is>
      </c>
      <c r="C895" s="2" t="inlineStr">
        <is>
          <t>908040230, 10M, B3, 2.0mm</t>
        </is>
      </c>
      <c r="D895" s="2" t="inlineStr">
        <is>
          <t>b3</t>
        </is>
      </c>
      <c r="E895" s="2" t="inlineStr">
        <is>
          <t>2.0mm</t>
        </is>
      </c>
      <c r="F895" s="2" t="n">
        <v>2</v>
      </c>
      <c r="G895" s="2" t="n">
        <v>10</v>
      </c>
      <c r="H895" s="2" t="inlineStr">
        <is>
          <t>SC/PC</t>
        </is>
      </c>
      <c r="I895" s="2" t="inlineStr">
        <is>
          <t>SC/PC</t>
        </is>
      </c>
      <c r="J895" s="2" t="n"/>
      <c r="K895" s="2" t="n"/>
      <c r="L895" s="2" t="n"/>
      <c r="M895" s="2" t="n"/>
      <c r="N895" s="2" t="n"/>
      <c r="O895" s="2" t="n"/>
      <c r="P895" s="2" t="n">
        <v>2</v>
      </c>
      <c r="Q895" s="2" t="n">
        <v>30</v>
      </c>
      <c r="R895" s="2" t="n">
        <v>30</v>
      </c>
      <c r="S895" s="2" t="n">
        <v>35</v>
      </c>
      <c r="T895" s="2" t="n">
        <v>90</v>
      </c>
      <c r="U895" s="2" t="n">
        <v>20</v>
      </c>
      <c r="V895" s="2">
        <f>SUM(J895:U895)*G895</f>
        <v/>
      </c>
      <c r="W895" s="2">
        <f>MAX(J895:U895)</f>
        <v/>
      </c>
      <c r="X895" s="2">
        <f>W895*G895</f>
        <v/>
      </c>
    </row>
    <row r="896">
      <c r="A896" s="2" t="inlineStr">
        <is>
          <t>A14-DB-N466</t>
        </is>
      </c>
      <c r="B896" s="3" t="inlineStr">
        <is>
          <t>DOJC-SM-SC/PC-SC/PC</t>
        </is>
      </c>
      <c r="C896" s="2" t="inlineStr">
        <is>
          <t>908040235, 15M, B3, 2.0mm</t>
        </is>
      </c>
      <c r="D896" s="2" t="inlineStr">
        <is>
          <t>b3</t>
        </is>
      </c>
      <c r="E896" s="2" t="inlineStr">
        <is>
          <t>2.0mm</t>
        </is>
      </c>
      <c r="F896" s="2" t="n">
        <v>2</v>
      </c>
      <c r="G896" s="2" t="n">
        <v>15</v>
      </c>
      <c r="H896" s="2" t="inlineStr">
        <is>
          <t>SC/PC</t>
        </is>
      </c>
      <c r="I896" s="2" t="inlineStr">
        <is>
          <t>SC/PC</t>
        </is>
      </c>
      <c r="J896" s="2" t="n">
        <v>22</v>
      </c>
      <c r="K896" s="2" t="n">
        <v>30</v>
      </c>
      <c r="L896" s="2" t="n">
        <v>55</v>
      </c>
      <c r="M896" s="2" t="n"/>
      <c r="N896" s="2" t="n">
        <v>20</v>
      </c>
      <c r="O896" s="2" t="n"/>
      <c r="P896" s="2" t="n">
        <v>70</v>
      </c>
      <c r="Q896" s="2" t="n"/>
      <c r="R896" s="2" t="n">
        <v>146</v>
      </c>
      <c r="S896" s="2" t="n">
        <v>30</v>
      </c>
      <c r="T896" s="2" t="n">
        <v>60</v>
      </c>
      <c r="U896" s="2" t="n"/>
      <c r="V896" s="2">
        <f>SUM(J896:U896)*G896</f>
        <v/>
      </c>
      <c r="W896" s="2">
        <f>MAX(J896:U896)</f>
        <v/>
      </c>
      <c r="X896" s="2">
        <f>W896*G896</f>
        <v/>
      </c>
    </row>
    <row r="897">
      <c r="A897" s="2" t="inlineStr">
        <is>
          <t>A14-DB-N467</t>
        </is>
      </c>
      <c r="B897" s="3" t="inlineStr">
        <is>
          <t>DOJC-SM-SC/PC-SC/PC</t>
        </is>
      </c>
      <c r="C897" s="2" t="inlineStr">
        <is>
          <t>908040222, 1M, B3, 3.0mm</t>
        </is>
      </c>
      <c r="D897" s="2" t="inlineStr">
        <is>
          <t>b3</t>
        </is>
      </c>
      <c r="E897" s="2" t="inlineStr">
        <is>
          <t>3.0mm</t>
        </is>
      </c>
      <c r="F897" s="2" t="n">
        <v>2</v>
      </c>
      <c r="G897" s="2" t="n">
        <v>1</v>
      </c>
      <c r="H897" s="2" t="inlineStr">
        <is>
          <t>SC/PC</t>
        </is>
      </c>
      <c r="I897" s="2" t="inlineStr">
        <is>
          <t>SC/PC</t>
        </is>
      </c>
      <c r="J897" s="2" t="n"/>
      <c r="K897" s="2" t="n"/>
      <c r="L897" s="2" t="n"/>
      <c r="M897" s="2" t="n"/>
      <c r="N897" s="2" t="n"/>
      <c r="O897" s="2" t="n"/>
      <c r="P897" s="2" t="n"/>
      <c r="Q897" s="2" t="n">
        <v>5</v>
      </c>
      <c r="R897" s="2" t="n"/>
      <c r="S897" s="2" t="n"/>
      <c r="T897" s="2" t="n"/>
      <c r="U897" s="2" t="n"/>
      <c r="V897" s="2">
        <f>SUM(J897:U897)*G897</f>
        <v/>
      </c>
      <c r="W897" s="2">
        <f>MAX(J897:U897)</f>
        <v/>
      </c>
      <c r="X897" s="2">
        <f>W897*G897</f>
        <v/>
      </c>
    </row>
    <row r="898">
      <c r="A898" s="2" t="inlineStr">
        <is>
          <t>A14-DB-N468</t>
        </is>
      </c>
      <c r="B898" s="3" t="inlineStr">
        <is>
          <t>DOJC-SM-SC/PC-SC/PC</t>
        </is>
      </c>
      <c r="C898" s="2" t="inlineStr">
        <is>
          <t>908040240, 20M, B3, 2.0mm</t>
        </is>
      </c>
      <c r="D898" s="2" t="inlineStr">
        <is>
          <t>b3</t>
        </is>
      </c>
      <c r="E898" s="2" t="inlineStr">
        <is>
          <t>2.0mm</t>
        </is>
      </c>
      <c r="F898" s="2" t="n">
        <v>2</v>
      </c>
      <c r="G898" s="2" t="n">
        <v>20</v>
      </c>
      <c r="H898" s="2" t="inlineStr">
        <is>
          <t>SC/PC</t>
        </is>
      </c>
      <c r="I898" s="2" t="inlineStr">
        <is>
          <t>SC/PC</t>
        </is>
      </c>
      <c r="J898" s="2" t="n"/>
      <c r="K898" s="2" t="n">
        <v>15</v>
      </c>
      <c r="L898" s="2" t="n">
        <v>10</v>
      </c>
      <c r="M898" s="2" t="n">
        <v>5</v>
      </c>
      <c r="N898" s="2" t="n"/>
      <c r="O898" s="2" t="n"/>
      <c r="P898" s="2" t="n">
        <v>10</v>
      </c>
      <c r="Q898" s="2" t="n">
        <v>20</v>
      </c>
      <c r="R898" s="2" t="n">
        <v>5</v>
      </c>
      <c r="S898" s="2" t="n"/>
      <c r="T898" s="2" t="n">
        <v>30</v>
      </c>
      <c r="U898" s="2" t="n"/>
      <c r="V898" s="2">
        <f>SUM(J898:U898)*G898</f>
        <v/>
      </c>
      <c r="W898" s="2">
        <f>MAX(J898:U898)</f>
        <v/>
      </c>
      <c r="X898" s="2">
        <f>W898*G898</f>
        <v/>
      </c>
    </row>
    <row r="899">
      <c r="A899" s="2" t="inlineStr">
        <is>
          <t>A14-DB-N470</t>
        </is>
      </c>
      <c r="B899" s="3" t="inlineStr">
        <is>
          <t>DOJC-SM-SC/PC-SC/PC</t>
        </is>
      </c>
      <c r="C899" s="2" t="inlineStr">
        <is>
          <t>908040245, 25M, B3, 2.0mm</t>
        </is>
      </c>
      <c r="D899" s="2" t="inlineStr">
        <is>
          <t>b3</t>
        </is>
      </c>
      <c r="E899" s="2" t="inlineStr">
        <is>
          <t>2.0mm</t>
        </is>
      </c>
      <c r="F899" s="2" t="n">
        <v>2</v>
      </c>
      <c r="G899" s="2" t="n">
        <v>25</v>
      </c>
      <c r="H899" s="2" t="inlineStr">
        <is>
          <t>SC/PC</t>
        </is>
      </c>
      <c r="I899" s="2" t="inlineStr">
        <is>
          <t>SC/PC</t>
        </is>
      </c>
      <c r="J899" s="2" t="n"/>
      <c r="K899" s="2" t="n">
        <v>20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>
        <v>10</v>
      </c>
      <c r="U899" s="2" t="n">
        <v>100</v>
      </c>
      <c r="V899" s="2">
        <f>SUM(J899:U899)*G899</f>
        <v/>
      </c>
      <c r="W899" s="2">
        <f>MAX(J899:U899)</f>
        <v/>
      </c>
      <c r="X899" s="2">
        <f>W899*G899</f>
        <v/>
      </c>
    </row>
    <row r="900">
      <c r="A900" s="2" t="inlineStr">
        <is>
          <t>A14-DB-N472</t>
        </is>
      </c>
      <c r="B900" s="3" t="inlineStr">
        <is>
          <t>DOJC-SM-SC/PC-SC/PC</t>
        </is>
      </c>
      <c r="C900" s="2" t="inlineStr">
        <is>
          <t>908040250, 30M, B3, 2.0mm</t>
        </is>
      </c>
      <c r="D900" s="2" t="inlineStr">
        <is>
          <t>b3</t>
        </is>
      </c>
      <c r="E900" s="2" t="inlineStr">
        <is>
          <t>2.0mm</t>
        </is>
      </c>
      <c r="F900" s="2" t="n">
        <v>2</v>
      </c>
      <c r="G900" s="2" t="n">
        <v>30</v>
      </c>
      <c r="H900" s="2" t="inlineStr">
        <is>
          <t>SC/PC</t>
        </is>
      </c>
      <c r="I900" s="2" t="inlineStr">
        <is>
          <t>SC/PC</t>
        </is>
      </c>
      <c r="J900" s="2" t="n"/>
      <c r="K900" s="2" t="n"/>
      <c r="L900" s="2" t="n"/>
      <c r="M900" s="2" t="n"/>
      <c r="N900" s="2" t="n">
        <v>10</v>
      </c>
      <c r="O900" s="2" t="n"/>
      <c r="P900" s="2" t="n"/>
      <c r="Q900" s="2" t="n">
        <v>20</v>
      </c>
      <c r="R900" s="2" t="n"/>
      <c r="S900" s="2" t="n"/>
      <c r="T900" s="2" t="n"/>
      <c r="U900" s="2" t="n"/>
      <c r="V900" s="2">
        <f>SUM(J900:U900)*G900</f>
        <v/>
      </c>
      <c r="W900" s="2">
        <f>MAX(J900:U900)</f>
        <v/>
      </c>
      <c r="X900" s="2">
        <f>W900*G900</f>
        <v/>
      </c>
    </row>
    <row r="901">
      <c r="A901" s="2" t="inlineStr">
        <is>
          <t>A14-DB-N474</t>
        </is>
      </c>
      <c r="B901" s="3" t="inlineStr">
        <is>
          <t>DOJC-SM-SC/PC-SC/PC</t>
        </is>
      </c>
      <c r="C901" s="2" t="inlineStr">
        <is>
          <t>908040221, 3M, B3, 3.0mm</t>
        </is>
      </c>
      <c r="D901" s="2" t="inlineStr">
        <is>
          <t>b3</t>
        </is>
      </c>
      <c r="E901" s="2" t="inlineStr">
        <is>
          <t>3.0mm</t>
        </is>
      </c>
      <c r="F901" s="2" t="n">
        <v>2</v>
      </c>
      <c r="G901" s="2" t="n">
        <v>3</v>
      </c>
      <c r="H901" s="2" t="inlineStr">
        <is>
          <t>SC/PC</t>
        </is>
      </c>
      <c r="I901" s="2" t="inlineStr">
        <is>
          <t>SC/PC</t>
        </is>
      </c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>
        <v>20</v>
      </c>
      <c r="T901" s="2" t="n"/>
      <c r="U901" s="2" t="n"/>
      <c r="V901" s="2">
        <f>SUM(J901:U901)*G901</f>
        <v/>
      </c>
      <c r="W901" s="2">
        <f>MAX(J901:U901)</f>
        <v/>
      </c>
      <c r="X901" s="2">
        <f>W901*G901</f>
        <v/>
      </c>
    </row>
    <row r="902">
      <c r="A902" s="2" t="inlineStr">
        <is>
          <t>A14-DB-N476</t>
        </is>
      </c>
      <c r="B902" s="3" t="inlineStr">
        <is>
          <t>DOJC-SM-SC/PC-SC/PC</t>
        </is>
      </c>
      <c r="C902" s="2" t="inlineStr">
        <is>
          <t>920000731, 40M, B3, 2.0mm</t>
        </is>
      </c>
      <c r="D902" s="2" t="inlineStr">
        <is>
          <t>b3</t>
        </is>
      </c>
      <c r="E902" s="2" t="inlineStr">
        <is>
          <t>2.0mm</t>
        </is>
      </c>
      <c r="F902" s="2" t="n">
        <v>2</v>
      </c>
      <c r="G902" s="2" t="n">
        <v>40</v>
      </c>
      <c r="H902" s="2" t="inlineStr">
        <is>
          <t>SC/PC</t>
        </is>
      </c>
      <c r="I902" s="2" t="inlineStr">
        <is>
          <t>SC/PC</t>
        </is>
      </c>
      <c r="J902" s="2" t="n"/>
      <c r="K902" s="2" t="n"/>
      <c r="L902" s="2" t="n"/>
      <c r="M902" s="2" t="n"/>
      <c r="N902" s="2" t="n">
        <v>10</v>
      </c>
      <c r="O902" s="2" t="n"/>
      <c r="P902" s="2" t="n"/>
      <c r="Q902" s="2" t="n"/>
      <c r="R902" s="2" t="n"/>
      <c r="S902" s="2" t="n">
        <v>4</v>
      </c>
      <c r="T902" s="2" t="n"/>
      <c r="U902" s="2" t="n"/>
      <c r="V902" s="2">
        <f>SUM(J902:U902)*G902</f>
        <v/>
      </c>
      <c r="W902" s="2">
        <f>MAX(J902:U902)</f>
        <v/>
      </c>
      <c r="X902" s="2">
        <f>W902*G902</f>
        <v/>
      </c>
    </row>
    <row r="903">
      <c r="A903" s="2" t="inlineStr">
        <is>
          <t>A14-DB-N481</t>
        </is>
      </c>
      <c r="B903" s="3" t="inlineStr">
        <is>
          <t>DOJC-SM-SC/PC-SC/PC</t>
        </is>
      </c>
      <c r="C903" s="2" t="inlineStr">
        <is>
          <t>908040225, 5M, B3, 3.0mm</t>
        </is>
      </c>
      <c r="D903" s="2" t="inlineStr">
        <is>
          <t>b3</t>
        </is>
      </c>
      <c r="E903" s="2" t="inlineStr">
        <is>
          <t>3.0mm</t>
        </is>
      </c>
      <c r="F903" s="2" t="n">
        <v>2</v>
      </c>
      <c r="G903" s="2" t="n">
        <v>5</v>
      </c>
      <c r="H903" s="2" t="inlineStr">
        <is>
          <t>SC/PC</t>
        </is>
      </c>
      <c r="I903" s="2" t="inlineStr">
        <is>
          <t>SC/PC</t>
        </is>
      </c>
      <c r="J903" s="2" t="n"/>
      <c r="K903" s="2" t="n"/>
      <c r="L903" s="2" t="n"/>
      <c r="M903" s="2" t="n"/>
      <c r="N903" s="2" t="n"/>
      <c r="O903" s="2" t="n">
        <v>50</v>
      </c>
      <c r="P903" s="2" t="n"/>
      <c r="Q903" s="2" t="n"/>
      <c r="R903" s="2" t="n"/>
      <c r="S903" s="2" t="n"/>
      <c r="T903" s="2" t="n"/>
      <c r="U903" s="2" t="n"/>
      <c r="V903" s="2">
        <f>SUM(J903:U903)*G903</f>
        <v/>
      </c>
      <c r="W903" s="2">
        <f>MAX(J903:U903)</f>
        <v/>
      </c>
      <c r="X903" s="2">
        <f>W903*G903</f>
        <v/>
      </c>
    </row>
    <row r="904">
      <c r="A904" s="2" t="inlineStr">
        <is>
          <t>A14-DB-N483</t>
        </is>
      </c>
      <c r="B904" s="3" t="inlineStr">
        <is>
          <t>DOJC-SM-SC/PC-SC/PC</t>
        </is>
      </c>
      <c r="C904" s="2" t="inlineStr">
        <is>
          <t>908040226, 6M, B3, 2.0mm</t>
        </is>
      </c>
      <c r="D904" s="2" t="inlineStr">
        <is>
          <t>b3</t>
        </is>
      </c>
      <c r="E904" s="2" t="inlineStr">
        <is>
          <t>2.0mm</t>
        </is>
      </c>
      <c r="F904" s="2" t="n">
        <v>2</v>
      </c>
      <c r="G904" s="2" t="n">
        <v>6</v>
      </c>
      <c r="H904" s="2" t="inlineStr">
        <is>
          <t>SC/PC</t>
        </is>
      </c>
      <c r="I904" s="2" t="inlineStr">
        <is>
          <t>SC/PC</t>
        </is>
      </c>
      <c r="J904" s="2" t="n"/>
      <c r="K904" s="2" t="n"/>
      <c r="L904" s="2" t="n">
        <v>400</v>
      </c>
      <c r="M904" s="2" t="n">
        <v>10</v>
      </c>
      <c r="N904" s="2" t="n"/>
      <c r="O904" s="2" t="n"/>
      <c r="P904" s="2" t="n"/>
      <c r="Q904" s="2" t="n">
        <v>10</v>
      </c>
      <c r="R904" s="2" t="n">
        <v>300</v>
      </c>
      <c r="S904" s="2" t="n"/>
      <c r="T904" s="2" t="n"/>
      <c r="U904" s="2" t="n"/>
      <c r="V904" s="2">
        <f>SUM(J904:U904)*G904</f>
        <v/>
      </c>
      <c r="W904" s="2">
        <f>MAX(J904:U904)</f>
        <v/>
      </c>
      <c r="X904" s="2">
        <f>W904*G904</f>
        <v/>
      </c>
    </row>
    <row r="905">
      <c r="A905" s="2" t="inlineStr">
        <is>
          <t>A14-DB-N487</t>
        </is>
      </c>
      <c r="B905" s="3" t="inlineStr">
        <is>
          <t>DOJC-SM-SC/PC-SC/PC</t>
        </is>
      </c>
      <c r="C905" s="2" t="inlineStr">
        <is>
          <t>908040228, 8M, B3, 2.0mm</t>
        </is>
      </c>
      <c r="D905" s="2" t="inlineStr">
        <is>
          <t>b3</t>
        </is>
      </c>
      <c r="E905" s="2" t="inlineStr">
        <is>
          <t>2.0mm</t>
        </is>
      </c>
      <c r="F905" s="2" t="n">
        <v>2</v>
      </c>
      <c r="G905" s="2" t="n">
        <v>8</v>
      </c>
      <c r="H905" s="2" t="inlineStr">
        <is>
          <t>SC/PC</t>
        </is>
      </c>
      <c r="I905" s="2" t="inlineStr">
        <is>
          <t>SC/PC</t>
        </is>
      </c>
      <c r="J905" s="2" t="n"/>
      <c r="K905" s="2" t="n"/>
      <c r="L905" s="2" t="n"/>
      <c r="M905" s="2" t="n">
        <v>10</v>
      </c>
      <c r="N905" s="2" t="n"/>
      <c r="O905" s="2" t="n"/>
      <c r="P905" s="2" t="n"/>
      <c r="Q905" s="2" t="n">
        <v>10</v>
      </c>
      <c r="R905" s="2" t="n"/>
      <c r="S905" s="2" t="n"/>
      <c r="T905" s="2" t="n"/>
      <c r="U905" s="2" t="n"/>
      <c r="V905" s="2">
        <f>SUM(J905:U905)*G905</f>
        <v/>
      </c>
      <c r="W905" s="2">
        <f>MAX(J905:U905)</f>
        <v/>
      </c>
      <c r="X905" s="2">
        <f>W905*G905</f>
        <v/>
      </c>
    </row>
    <row r="906">
      <c r="A906" s="2" t="inlineStr">
        <is>
          <t>A14-DB-N585</t>
        </is>
      </c>
      <c r="B906" s="3" t="inlineStr">
        <is>
          <t>DOJC-SM-LC/PC-LC/PC</t>
        </is>
      </c>
      <c r="C906" s="2" t="inlineStr">
        <is>
          <t>23M, B3, 2.0mm</t>
        </is>
      </c>
      <c r="D906" s="2" t="inlineStr">
        <is>
          <t>b3</t>
        </is>
      </c>
      <c r="E906" s="2" t="inlineStr">
        <is>
          <t>2.0mm</t>
        </is>
      </c>
      <c r="F906" s="2" t="n">
        <v>2</v>
      </c>
      <c r="G906" s="2" t="n">
        <v>23</v>
      </c>
      <c r="H906" s="2" t="inlineStr">
        <is>
          <t>LC/PC</t>
        </is>
      </c>
      <c r="I906" s="2" t="inlineStr">
        <is>
          <t>LC/PC</t>
        </is>
      </c>
      <c r="J906" s="2" t="n"/>
      <c r="K906" s="2" t="n"/>
      <c r="L906" s="2" t="n"/>
      <c r="M906" s="2" t="n"/>
      <c r="N906" s="2" t="n"/>
      <c r="O906" s="2" t="n"/>
      <c r="P906" s="2" t="n">
        <v>6</v>
      </c>
      <c r="Q906" s="2" t="n"/>
      <c r="R906" s="2" t="n"/>
      <c r="S906" s="2" t="n"/>
      <c r="T906" s="2" t="n"/>
      <c r="U906" s="2" t="n"/>
      <c r="V906" s="2">
        <f>SUM(J906:U906)*G906</f>
        <v/>
      </c>
      <c r="W906" s="2">
        <f>MAX(J906:U906)</f>
        <v/>
      </c>
      <c r="X906" s="2">
        <f>W906*G906</f>
        <v/>
      </c>
    </row>
    <row r="907">
      <c r="A907" s="2" t="inlineStr">
        <is>
          <t>A14-DB-N611</t>
        </is>
      </c>
      <c r="B907" s="3" t="inlineStr">
        <is>
          <t>DOJC-SM-LC/PC-LC/APC</t>
        </is>
      </c>
      <c r="C907" s="2" t="inlineStr">
        <is>
          <t>20M, B3, 2.0mm</t>
        </is>
      </c>
      <c r="D907" s="2" t="inlineStr">
        <is>
          <t>b3</t>
        </is>
      </c>
      <c r="E907" s="2" t="inlineStr">
        <is>
          <t>2.0mm</t>
        </is>
      </c>
      <c r="F907" s="2" t="n">
        <v>2</v>
      </c>
      <c r="G907" s="2" t="n">
        <v>20</v>
      </c>
      <c r="H907" s="2" t="inlineStr">
        <is>
          <t>LC/PC</t>
        </is>
      </c>
      <c r="I907" s="2" t="inlineStr">
        <is>
          <t>LC/APC</t>
        </is>
      </c>
      <c r="J907" s="2" t="n"/>
      <c r="K907" s="2" t="n"/>
      <c r="L907" s="2" t="n"/>
      <c r="M907" s="2" t="n">
        <v>10</v>
      </c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>
        <f>SUM(J907:U907)*G907</f>
        <v/>
      </c>
      <c r="W907" s="2">
        <f>MAX(J907:U907)</f>
        <v/>
      </c>
      <c r="X907" s="2">
        <f>W907*G907</f>
        <v/>
      </c>
    </row>
    <row r="908">
      <c r="A908" s="2" t="inlineStr">
        <is>
          <t>A14-DB-N675</t>
        </is>
      </c>
      <c r="B908" s="3" t="inlineStr">
        <is>
          <t>DOJC-SM-LC/PC-FC/PC</t>
        </is>
      </c>
      <c r="C908" s="2" t="inlineStr">
        <is>
          <t>17M, B3, 2.0mm</t>
        </is>
      </c>
      <c r="D908" s="2" t="inlineStr">
        <is>
          <t>b3</t>
        </is>
      </c>
      <c r="E908" s="2" t="inlineStr">
        <is>
          <t>2.0mm</t>
        </is>
      </c>
      <c r="F908" s="2" t="n">
        <v>2</v>
      </c>
      <c r="G908" s="2" t="n">
        <v>17</v>
      </c>
      <c r="H908" s="2" t="inlineStr">
        <is>
          <t>LC/PC</t>
        </is>
      </c>
      <c r="I908" s="2" t="inlineStr">
        <is>
          <t>FC/PC</t>
        </is>
      </c>
      <c r="J908" s="2" t="n"/>
      <c r="K908" s="2" t="n"/>
      <c r="L908" s="2" t="n"/>
      <c r="M908" s="2" t="n"/>
      <c r="N908" s="2" t="n"/>
      <c r="O908" s="2" t="n"/>
      <c r="P908" s="2" t="n"/>
      <c r="Q908" s="2" t="n">
        <v>3</v>
      </c>
      <c r="R908" s="2" t="n"/>
      <c r="S908" s="2" t="n"/>
      <c r="T908" s="2" t="n"/>
      <c r="U908" s="2" t="n"/>
      <c r="V908" s="2">
        <f>SUM(J908:U908)*G908</f>
        <v/>
      </c>
      <c r="W908" s="2">
        <f>MAX(J908:U908)</f>
        <v/>
      </c>
      <c r="X908" s="2">
        <f>W908*G908</f>
        <v/>
      </c>
    </row>
    <row r="909">
      <c r="A909" s="2" t="inlineStr">
        <is>
          <t>A14-DB-N726</t>
        </is>
      </c>
      <c r="B909" s="3" t="inlineStr">
        <is>
          <t>DOJC-SM-SC/PC-SC/PC</t>
        </is>
      </c>
      <c r="C909" s="2" t="inlineStr">
        <is>
          <t>0.5M, B3, 2.0mm</t>
        </is>
      </c>
      <c r="D909" s="2" t="inlineStr">
        <is>
          <t>b3</t>
        </is>
      </c>
      <c r="E909" s="2" t="inlineStr">
        <is>
          <t>2.0mm</t>
        </is>
      </c>
      <c r="F909" s="2" t="n">
        <v>2</v>
      </c>
      <c r="G909" s="2" t="n">
        <v>0.5</v>
      </c>
      <c r="H909" s="2" t="inlineStr">
        <is>
          <t>SC/PC</t>
        </is>
      </c>
      <c r="I909" s="2" t="inlineStr">
        <is>
          <t>SC/PC</t>
        </is>
      </c>
      <c r="J909" s="2" t="n"/>
      <c r="K909" s="2" t="n"/>
      <c r="L909" s="2" t="n"/>
      <c r="M909" s="2" t="n"/>
      <c r="N909" s="2" t="n"/>
      <c r="O909" s="2" t="n"/>
      <c r="P909" s="2" t="n"/>
      <c r="Q909" s="2" t="n">
        <v>100</v>
      </c>
      <c r="R909" s="2" t="n"/>
      <c r="S909" s="2" t="n"/>
      <c r="T909" s="2" t="n"/>
      <c r="U909" s="2" t="n"/>
      <c r="V909" s="2">
        <f>SUM(J909:U909)*G909</f>
        <v/>
      </c>
      <c r="W909" s="2">
        <f>MAX(J909:U909)</f>
        <v/>
      </c>
      <c r="X909" s="2">
        <f>W909*G909</f>
        <v/>
      </c>
    </row>
    <row r="910">
      <c r="A910" s="2" t="inlineStr">
        <is>
          <t>A14-DB-N744</t>
        </is>
      </c>
      <c r="B910" s="3" t="inlineStr">
        <is>
          <t>DOJC-SM-SC/PC-FC/APC</t>
        </is>
      </c>
      <c r="C910" s="2" t="inlineStr">
        <is>
          <t>80M, B3, 2.0mm</t>
        </is>
      </c>
      <c r="D910" s="2" t="inlineStr">
        <is>
          <t>b3</t>
        </is>
      </c>
      <c r="E910" s="2" t="inlineStr">
        <is>
          <t>2.0mm</t>
        </is>
      </c>
      <c r="F910" s="2" t="n">
        <v>2</v>
      </c>
      <c r="G910" s="2" t="n">
        <v>80</v>
      </c>
      <c r="H910" s="2" t="inlineStr">
        <is>
          <t>SC/PC</t>
        </is>
      </c>
      <c r="I910" s="2" t="inlineStr">
        <is>
          <t>FC/APC</t>
        </is>
      </c>
      <c r="J910" s="2" t="n"/>
      <c r="K910" s="2" t="n">
        <v>5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>
        <f>SUM(J910:U910)*G910</f>
        <v/>
      </c>
      <c r="W910" s="2">
        <f>MAX(J910:U910)</f>
        <v/>
      </c>
      <c r="X910" s="2">
        <f>W910*G910</f>
        <v/>
      </c>
    </row>
    <row r="911">
      <c r="A911" s="2" t="inlineStr">
        <is>
          <t>A14-DB-N901</t>
        </is>
      </c>
      <c r="B911" s="3" t="inlineStr">
        <is>
          <t>DOJC-SM-LC/PC-LC/APC</t>
        </is>
      </c>
      <c r="C911" s="2" t="inlineStr">
        <is>
          <t>3M, B3, 3.0mm</t>
        </is>
      </c>
      <c r="D911" s="2" t="inlineStr">
        <is>
          <t>b3</t>
        </is>
      </c>
      <c r="E911" s="2" t="inlineStr">
        <is>
          <t>3.0mm</t>
        </is>
      </c>
      <c r="F911" s="2" t="n">
        <v>2</v>
      </c>
      <c r="G911" s="2" t="n">
        <v>3</v>
      </c>
      <c r="H911" s="2" t="inlineStr">
        <is>
          <t>LC/PC</t>
        </is>
      </c>
      <c r="I911" s="2" t="inlineStr">
        <is>
          <t>LC/APC</t>
        </is>
      </c>
      <c r="J911" s="2" t="n"/>
      <c r="K911" s="2" t="n"/>
      <c r="L911" s="2" t="n"/>
      <c r="M911" s="2" t="n">
        <v>5</v>
      </c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>
        <f>SUM(J911:U911)*G911</f>
        <v/>
      </c>
      <c r="W911" s="2">
        <f>MAX(J911:U911)</f>
        <v/>
      </c>
      <c r="X911" s="2">
        <f>W911*G911</f>
        <v/>
      </c>
    </row>
    <row r="912">
      <c r="A912" s="2" t="inlineStr">
        <is>
          <t>A14-DB-N904</t>
        </is>
      </c>
      <c r="B912" s="3" t="inlineStr">
        <is>
          <t>DOJC-SM-LC/PC-SC/APC</t>
        </is>
      </c>
      <c r="C912" s="2" t="inlineStr">
        <is>
          <t>18M, B3, 2.0mm</t>
        </is>
      </c>
      <c r="D912" s="2" t="inlineStr">
        <is>
          <t>b3</t>
        </is>
      </c>
      <c r="E912" s="2" t="inlineStr">
        <is>
          <t>2.0mm</t>
        </is>
      </c>
      <c r="F912" s="2" t="n">
        <v>2</v>
      </c>
      <c r="G912" s="2" t="n">
        <v>18</v>
      </c>
      <c r="H912" s="2" t="inlineStr">
        <is>
          <t>LC/PC</t>
        </is>
      </c>
      <c r="I912" s="2" t="inlineStr">
        <is>
          <t>SC/APC</t>
        </is>
      </c>
      <c r="J912" s="2" t="n"/>
      <c r="K912" s="2" t="n"/>
      <c r="L912" s="2" t="n"/>
      <c r="M912" s="2" t="n">
        <v>20</v>
      </c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>
        <f>SUM(J912:U912)*G912</f>
        <v/>
      </c>
      <c r="W912" s="2">
        <f>MAX(J912:U912)</f>
        <v/>
      </c>
      <c r="X912" s="2">
        <f>W912*G912</f>
        <v/>
      </c>
    </row>
    <row r="913">
      <c r="A913" s="2" t="inlineStr">
        <is>
          <t>A14-DB-NA142</t>
        </is>
      </c>
      <c r="B913" s="3" t="inlineStr">
        <is>
          <t>DOJC-SM-LC/APC-LC/APC</t>
        </is>
      </c>
      <c r="C913" s="2" t="inlineStr">
        <is>
          <t>7M, B3, 2.0mm</t>
        </is>
      </c>
      <c r="D913" s="2" t="inlineStr">
        <is>
          <t>b3</t>
        </is>
      </c>
      <c r="E913" s="2" t="inlineStr">
        <is>
          <t>2.0mm</t>
        </is>
      </c>
      <c r="F913" s="2" t="n">
        <v>2</v>
      </c>
      <c r="G913" s="2" t="n">
        <v>7</v>
      </c>
      <c r="H913" s="2" t="inlineStr">
        <is>
          <t>LC/APC</t>
        </is>
      </c>
      <c r="I913" s="2" t="inlineStr">
        <is>
          <t>LC/APC</t>
        </is>
      </c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>
        <v>5</v>
      </c>
      <c r="S913" s="2" t="n"/>
      <c r="T913" s="2" t="n"/>
      <c r="U913" s="2" t="n"/>
      <c r="V913" s="2">
        <f>SUM(J913:U913)*G913</f>
        <v/>
      </c>
      <c r="W913" s="2">
        <f>MAX(J913:U913)</f>
        <v/>
      </c>
      <c r="X913" s="2">
        <f>W913*G913</f>
        <v/>
      </c>
    </row>
    <row r="914">
      <c r="A914" s="2" t="inlineStr">
        <is>
          <t>A14-DB-NA55</t>
        </is>
      </c>
      <c r="B914" s="3" t="inlineStr">
        <is>
          <t>DOJC-SM-LC/APC-FC/PC</t>
        </is>
      </c>
      <c r="C914" s="2" t="inlineStr">
        <is>
          <t>20M, B3, 2.0mm</t>
        </is>
      </c>
      <c r="D914" s="2" t="inlineStr">
        <is>
          <t>b3</t>
        </is>
      </c>
      <c r="E914" s="2" t="inlineStr">
        <is>
          <t>2.0mm</t>
        </is>
      </c>
      <c r="F914" s="2" t="n">
        <v>2</v>
      </c>
      <c r="G914" s="2" t="n">
        <v>20</v>
      </c>
      <c r="H914" s="2" t="inlineStr">
        <is>
          <t>LC/APC</t>
        </is>
      </c>
      <c r="I914" s="2" t="inlineStr">
        <is>
          <t>FC/PC</t>
        </is>
      </c>
      <c r="J914" s="2" t="n"/>
      <c r="K914" s="2" t="n"/>
      <c r="L914" s="2" t="n"/>
      <c r="M914" s="2" t="n">
        <v>10</v>
      </c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>
        <f>SUM(J914:U914)*G914</f>
        <v/>
      </c>
      <c r="W914" s="2">
        <f>MAX(J914:U914)</f>
        <v/>
      </c>
      <c r="X914" s="2">
        <f>W914*G914</f>
        <v/>
      </c>
    </row>
    <row r="915">
      <c r="A915" s="2" t="inlineStr">
        <is>
          <t>A14-DB-NC14</t>
        </is>
      </c>
      <c r="B915" s="3" t="inlineStr">
        <is>
          <t>DOJC-SM-LC/APC-LC/APC</t>
        </is>
      </c>
      <c r="C915" s="2" t="inlineStr">
        <is>
          <t>930003855, 1M, B3, 3.0mm</t>
        </is>
      </c>
      <c r="D915" s="2" t="inlineStr">
        <is>
          <t>b3</t>
        </is>
      </c>
      <c r="E915" s="2" t="inlineStr">
        <is>
          <t>3.0mm</t>
        </is>
      </c>
      <c r="F915" s="2" t="n">
        <v>2</v>
      </c>
      <c r="G915" s="2" t="n">
        <v>1</v>
      </c>
      <c r="H915" s="2" t="inlineStr">
        <is>
          <t>LC/APC</t>
        </is>
      </c>
      <c r="I915" s="2" t="inlineStr">
        <is>
          <t>LC/APC</t>
        </is>
      </c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>
        <v>20</v>
      </c>
      <c r="T915" s="2" t="n"/>
      <c r="U915" s="2" t="n"/>
      <c r="V915" s="2">
        <f>SUM(J915:U915)*G915</f>
        <v/>
      </c>
      <c r="W915" s="2">
        <f>MAX(J915:U915)</f>
        <v/>
      </c>
      <c r="X915" s="2">
        <f>W915*G915</f>
        <v/>
      </c>
    </row>
    <row r="916">
      <c r="A916" s="2" t="inlineStr">
        <is>
          <t>A14-DB-NC60</t>
        </is>
      </c>
      <c r="B916" s="3" t="inlineStr">
        <is>
          <t>DOJC-SM-LC/APC-FC/PC</t>
        </is>
      </c>
      <c r="C916" s="2" t="inlineStr">
        <is>
          <t>10M, B3, 2.0mm</t>
        </is>
      </c>
      <c r="D916" s="2" t="inlineStr">
        <is>
          <t>b3</t>
        </is>
      </c>
      <c r="E916" s="2" t="inlineStr">
        <is>
          <t>2.0mm</t>
        </is>
      </c>
      <c r="F916" s="2" t="n">
        <v>2</v>
      </c>
      <c r="G916" s="2" t="n">
        <v>10</v>
      </c>
      <c r="H916" s="2" t="inlineStr">
        <is>
          <t>LC/APC</t>
        </is>
      </c>
      <c r="I916" s="2" t="inlineStr">
        <is>
          <t>FC/PC</t>
        </is>
      </c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>
        <v>5</v>
      </c>
      <c r="V916" s="2">
        <f>SUM(J916:U916)*G916</f>
        <v/>
      </c>
      <c r="W916" s="2">
        <f>MAX(J916:U916)</f>
        <v/>
      </c>
      <c r="X916" s="2">
        <f>W916*G916</f>
        <v/>
      </c>
    </row>
    <row r="917">
      <c r="A917" s="2" t="inlineStr">
        <is>
          <t>A14-DB-NC79</t>
        </is>
      </c>
      <c r="B917" s="3" t="inlineStr">
        <is>
          <t>DOJC-SM-LC/APC-LC/APC</t>
        </is>
      </c>
      <c r="C917" s="2" t="inlineStr">
        <is>
          <t>930003856, 2M, B3, 3.0mm</t>
        </is>
      </c>
      <c r="D917" s="2" t="inlineStr">
        <is>
          <t>b3</t>
        </is>
      </c>
      <c r="E917" s="2" t="inlineStr">
        <is>
          <t>3.0mm</t>
        </is>
      </c>
      <c r="F917" s="2" t="n">
        <v>2</v>
      </c>
      <c r="G917" s="2" t="n">
        <v>2</v>
      </c>
      <c r="H917" s="2" t="inlineStr">
        <is>
          <t>LC/APC</t>
        </is>
      </c>
      <c r="I917" s="2" t="inlineStr">
        <is>
          <t>LC/APC</t>
        </is>
      </c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>
        <v>100</v>
      </c>
      <c r="V917" s="2">
        <f>SUM(J917:U917)*G917</f>
        <v/>
      </c>
      <c r="W917" s="2">
        <f>MAX(J917:U917)</f>
        <v/>
      </c>
      <c r="X917" s="2">
        <f>W917*G917</f>
        <v/>
      </c>
    </row>
    <row r="918">
      <c r="A918" s="2" t="inlineStr">
        <is>
          <t>A14-DB-ND33</t>
        </is>
      </c>
      <c r="B918" s="3" t="inlineStr">
        <is>
          <t>DOJC-SM-LC/PC-LC/APC</t>
        </is>
      </c>
      <c r="C918" s="2" t="inlineStr">
        <is>
          <t>2M</t>
        </is>
      </c>
      <c r="D918" s="2" t="inlineStr">
        <is>
          <t>a1</t>
        </is>
      </c>
      <c r="E918" s="2" t="inlineStr">
        <is>
          <t>2.0mm</t>
        </is>
      </c>
      <c r="F918" s="2" t="n">
        <v>2</v>
      </c>
      <c r="G918" s="2" t="n">
        <v>2</v>
      </c>
      <c r="H918" s="2" t="inlineStr">
        <is>
          <t>LC/PC</t>
        </is>
      </c>
      <c r="I918" s="2" t="inlineStr">
        <is>
          <t>LC/APC</t>
        </is>
      </c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>
        <v>10</v>
      </c>
      <c r="S918" s="2" t="n"/>
      <c r="T918" s="2" t="n"/>
      <c r="U918" s="2" t="n"/>
      <c r="V918" s="2">
        <f>SUM(J918:U918)*G918</f>
        <v/>
      </c>
      <c r="W918" s="2">
        <f>MAX(J918:U918)</f>
        <v/>
      </c>
      <c r="X918" s="2">
        <f>W918*G918</f>
        <v/>
      </c>
    </row>
    <row r="919">
      <c r="A919" s="2" t="inlineStr">
        <is>
          <t>A14-DB-ND34</t>
        </is>
      </c>
      <c r="B919" s="3" t="inlineStr">
        <is>
          <t>DOJC-SM-LC/APC-SC/PC</t>
        </is>
      </c>
      <c r="C919" s="2" t="inlineStr">
        <is>
          <t>2M</t>
        </is>
      </c>
      <c r="D919" s="2" t="inlineStr">
        <is>
          <t>a1</t>
        </is>
      </c>
      <c r="E919" s="2" t="inlineStr">
        <is>
          <t>2.0mm</t>
        </is>
      </c>
      <c r="F919" s="2" t="n">
        <v>2</v>
      </c>
      <c r="G919" s="2" t="n">
        <v>2</v>
      </c>
      <c r="H919" s="2" t="inlineStr">
        <is>
          <t>LC/APC</t>
        </is>
      </c>
      <c r="I919" s="2" t="inlineStr">
        <is>
          <t>SC/PC</t>
        </is>
      </c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>
        <v>10</v>
      </c>
      <c r="S919" s="2" t="n"/>
      <c r="T919" s="2" t="n"/>
      <c r="U919" s="2" t="n"/>
      <c r="V919" s="2">
        <f>SUM(J919:U919)*G919</f>
        <v/>
      </c>
      <c r="W919" s="2">
        <f>MAX(J919:U919)</f>
        <v/>
      </c>
      <c r="X919" s="2">
        <f>W919*G919</f>
        <v/>
      </c>
    </row>
    <row r="920">
      <c r="A920" s="2" t="inlineStr">
        <is>
          <t>A14-DB-ND43</t>
        </is>
      </c>
      <c r="B920" s="3" t="inlineStr">
        <is>
          <t>DOJC-SM-LC/APC-LC/APC</t>
        </is>
      </c>
      <c r="C920" s="2" t="inlineStr">
        <is>
          <t>1.5M, B3, 3.0mm</t>
        </is>
      </c>
      <c r="D920" s="2" t="inlineStr">
        <is>
          <t>b3</t>
        </is>
      </c>
      <c r="E920" s="2" t="inlineStr">
        <is>
          <t>3.0mm</t>
        </is>
      </c>
      <c r="F920" s="2" t="n">
        <v>2</v>
      </c>
      <c r="G920" s="2" t="n">
        <v>1.5</v>
      </c>
      <c r="H920" s="2" t="inlineStr">
        <is>
          <t>LC/APC</t>
        </is>
      </c>
      <c r="I920" s="2" t="inlineStr">
        <is>
          <t>LC/APC</t>
        </is>
      </c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>
        <v>130</v>
      </c>
      <c r="V920" s="2">
        <f>SUM(J920:U920)*G920</f>
        <v/>
      </c>
      <c r="W920" s="2">
        <f>MAX(J920:U920)</f>
        <v/>
      </c>
      <c r="X920" s="2">
        <f>W920*G920</f>
        <v/>
      </c>
    </row>
    <row r="921">
      <c r="A921" s="2" t="inlineStr">
        <is>
          <t>A14-DB-ND51</t>
        </is>
      </c>
      <c r="B921" s="3" t="inlineStr">
        <is>
          <t>DOJC-SM-LC/APC-SC/APC</t>
        </is>
      </c>
      <c r="C921" s="2" t="inlineStr">
        <is>
          <t>2M</t>
        </is>
      </c>
      <c r="D921" s="2" t="inlineStr">
        <is>
          <t>a1</t>
        </is>
      </c>
      <c r="E921" s="2" t="inlineStr">
        <is>
          <t>2.0mm</t>
        </is>
      </c>
      <c r="F921" s="2" t="n">
        <v>2</v>
      </c>
      <c r="G921" s="2" t="n">
        <v>2</v>
      </c>
      <c r="H921" s="2" t="inlineStr">
        <is>
          <t>LC/APC</t>
        </is>
      </c>
      <c r="I921" s="2" t="inlineStr">
        <is>
          <t>SC/APC</t>
        </is>
      </c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>
        <v>10</v>
      </c>
      <c r="S921" s="2" t="n"/>
      <c r="T921" s="2" t="n"/>
      <c r="U921" s="2" t="n"/>
      <c r="V921" s="2">
        <f>SUM(J921:U921)*G921</f>
        <v/>
      </c>
      <c r="W921" s="2">
        <f>MAX(J921:U921)</f>
        <v/>
      </c>
      <c r="X921" s="2">
        <f>W921*G921</f>
        <v/>
      </c>
    </row>
    <row r="922">
      <c r="A922" s="2" t="inlineStr">
        <is>
          <t>A14-DB-ND84</t>
        </is>
      </c>
      <c r="B922" s="3" t="inlineStr">
        <is>
          <t>DOJC-SM-LC/APC-SC/APC</t>
        </is>
      </c>
      <c r="C922" s="2" t="inlineStr">
        <is>
          <t>5M, B3, 3.0mm</t>
        </is>
      </c>
      <c r="D922" s="2" t="inlineStr">
        <is>
          <t>b3</t>
        </is>
      </c>
      <c r="E922" s="2" t="inlineStr">
        <is>
          <t>3.0mm</t>
        </is>
      </c>
      <c r="F922" s="2" t="n">
        <v>2</v>
      </c>
      <c r="G922" s="2" t="n">
        <v>5</v>
      </c>
      <c r="H922" s="2" t="inlineStr">
        <is>
          <t>LC/APC</t>
        </is>
      </c>
      <c r="I922" s="2" t="inlineStr">
        <is>
          <t>SC/APC</t>
        </is>
      </c>
      <c r="J922" s="2" t="n"/>
      <c r="K922" s="2" t="n"/>
      <c r="L922" s="2" t="n">
        <v>30</v>
      </c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>
        <f>SUM(J922:U922)*G922</f>
        <v/>
      </c>
      <c r="W922" s="2">
        <f>MAX(J922:U922)</f>
        <v/>
      </c>
      <c r="X922" s="2">
        <f>W922*G922</f>
        <v/>
      </c>
    </row>
    <row r="923">
      <c r="A923" s="2" t="inlineStr">
        <is>
          <t>A14-DB-ND96</t>
        </is>
      </c>
      <c r="B923" s="3" t="inlineStr">
        <is>
          <t>DOJC-SM-LC/PC-SC/APC</t>
        </is>
      </c>
      <c r="C923" s="2" t="inlineStr">
        <is>
          <t>60M, B3, 2.0mm</t>
        </is>
      </c>
      <c r="D923" s="2" t="inlineStr">
        <is>
          <t>b3</t>
        </is>
      </c>
      <c r="E923" s="2" t="inlineStr">
        <is>
          <t>2.0mm</t>
        </is>
      </c>
      <c r="F923" s="2" t="n">
        <v>2</v>
      </c>
      <c r="G923" s="2" t="n">
        <v>60</v>
      </c>
      <c r="H923" s="2" t="inlineStr">
        <is>
          <t>LC/PC</t>
        </is>
      </c>
      <c r="I923" s="2" t="inlineStr">
        <is>
          <t>SC/APC</t>
        </is>
      </c>
      <c r="J923" s="2" t="n"/>
      <c r="K923" s="2" t="n"/>
      <c r="L923" s="2" t="n"/>
      <c r="M923" s="2" t="n">
        <v>1</v>
      </c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>
        <f>SUM(J923:U923)*G923</f>
        <v/>
      </c>
      <c r="W923" s="2">
        <f>MAX(J923:U923)</f>
        <v/>
      </c>
      <c r="X923" s="2">
        <f>W923*G923</f>
        <v/>
      </c>
    </row>
    <row r="924">
      <c r="A924" s="2" t="inlineStr">
        <is>
          <t>A14-DB-NF28</t>
        </is>
      </c>
      <c r="B924" s="3" t="inlineStr">
        <is>
          <t>DOJC-SM-LC/APC-SC/APC</t>
        </is>
      </c>
      <c r="C924" s="2" t="inlineStr">
        <is>
          <t>10M, B3, 2.0m</t>
        </is>
      </c>
      <c r="D924" s="2" t="inlineStr">
        <is>
          <t>b3</t>
        </is>
      </c>
      <c r="E924" s="2" t="inlineStr">
        <is>
          <t>2.0mm</t>
        </is>
      </c>
      <c r="F924" s="2" t="n">
        <v>2</v>
      </c>
      <c r="G924" s="2" t="n">
        <v>10</v>
      </c>
      <c r="H924" s="2" t="inlineStr">
        <is>
          <t>LC/APC</t>
        </is>
      </c>
      <c r="I924" s="2" t="inlineStr">
        <is>
          <t>SC/APC</t>
        </is>
      </c>
      <c r="J924" s="2" t="n"/>
      <c r="K924" s="2" t="n"/>
      <c r="L924" s="2" t="n">
        <v>10</v>
      </c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>
        <f>SUM(J924:U924)*G924</f>
        <v/>
      </c>
      <c r="W924" s="2">
        <f>MAX(J924:U924)</f>
        <v/>
      </c>
      <c r="X924" s="2">
        <f>W924*G924</f>
        <v/>
      </c>
    </row>
    <row r="925">
      <c r="A925" s="2" t="inlineStr">
        <is>
          <t>A14-I2-N001</t>
        </is>
      </c>
      <c r="B925" s="3" t="inlineStr">
        <is>
          <t>인입광케이블_20M_SS(강선)</t>
        </is>
      </c>
      <c r="C925" s="2" t="inlineStr">
        <is>
          <t>SC/APC-SC/PC 타입</t>
        </is>
      </c>
      <c r="D925" s="2" t="inlineStr">
        <is>
          <t>a1</t>
        </is>
      </c>
      <c r="E925" s="2" t="inlineStr">
        <is>
          <t>2.0mm</t>
        </is>
      </c>
      <c r="F925" s="2" t="n">
        <v>1</v>
      </c>
      <c r="G925" s="2" t="n"/>
      <c r="H925" s="2" t="n"/>
      <c r="I925" s="2" t="n"/>
      <c r="J925" s="2" t="n"/>
      <c r="K925" s="2" t="n"/>
      <c r="L925" s="2" t="n">
        <v>20</v>
      </c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>
        <f>SUM(J925:U925)*G925</f>
        <v/>
      </c>
      <c r="W925" s="2">
        <f>MAX(J925:U925)</f>
        <v/>
      </c>
      <c r="X925" s="2">
        <f>W925*G925</f>
        <v/>
      </c>
    </row>
    <row r="926">
      <c r="A926" s="2" t="inlineStr">
        <is>
          <t>A14-I2-N002</t>
        </is>
      </c>
      <c r="B926" s="3" t="inlineStr">
        <is>
          <t>인입광케이블_20M_SS(강선)</t>
        </is>
      </c>
      <c r="C926" s="2" t="inlineStr">
        <is>
          <t>SC/APC-SC/APC 타입</t>
        </is>
      </c>
      <c r="D926" s="2" t="inlineStr">
        <is>
          <t>a1</t>
        </is>
      </c>
      <c r="E926" s="2" t="inlineStr">
        <is>
          <t>2.0mm</t>
        </is>
      </c>
      <c r="F926" s="2" t="n">
        <v>1</v>
      </c>
      <c r="G926" s="2" t="n"/>
      <c r="H926" s="2" t="n"/>
      <c r="I926" s="2" t="n"/>
      <c r="J926" s="2" t="n"/>
      <c r="K926" s="2" t="n"/>
      <c r="L926" s="2" t="n">
        <v>20</v>
      </c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>
        <f>SUM(J926:U926)*G926</f>
        <v/>
      </c>
      <c r="W926" s="2">
        <f>MAX(J926:U926)</f>
        <v/>
      </c>
      <c r="X926" s="2">
        <f>W926*G926</f>
        <v/>
      </c>
    </row>
    <row r="927">
      <c r="A927" s="2" t="inlineStr">
        <is>
          <t>A14-I2-N003</t>
        </is>
      </c>
      <c r="B927" s="3" t="inlineStr">
        <is>
          <t>인입광케이블_30M_SS(강선)</t>
        </is>
      </c>
      <c r="C927" s="2" t="inlineStr">
        <is>
          <t>SC/APC-SC/APC 타입</t>
        </is>
      </c>
      <c r="D927" s="2" t="inlineStr">
        <is>
          <t>a1</t>
        </is>
      </c>
      <c r="E927" s="2" t="inlineStr">
        <is>
          <t>2.0mm</t>
        </is>
      </c>
      <c r="F927" s="2" t="n">
        <v>1</v>
      </c>
      <c r="G927" s="2" t="n"/>
      <c r="H927" s="2" t="n"/>
      <c r="I927" s="2" t="n"/>
      <c r="J927" s="2" t="n"/>
      <c r="K927" s="2" t="n"/>
      <c r="L927" s="2" t="n">
        <v>20</v>
      </c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>
        <f>SUM(J927:U927)*G927</f>
        <v/>
      </c>
      <c r="W927" s="2">
        <f>MAX(J927:U927)</f>
        <v/>
      </c>
      <c r="X927" s="2">
        <f>W927*G927</f>
        <v/>
      </c>
    </row>
    <row r="928">
      <c r="A928" s="2" t="inlineStr">
        <is>
          <t>A14-M-SA/LA-B-N-010</t>
        </is>
      </c>
      <c r="B928" s="3" t="inlineStr">
        <is>
          <t>MOJC-SM-6C-SC/APC-LC/APC</t>
        </is>
      </c>
      <c r="C928" s="2" t="inlineStr">
        <is>
          <t>920000455, 3M, B3</t>
        </is>
      </c>
      <c r="D928" s="2" t="inlineStr">
        <is>
          <t>b3-6c</t>
        </is>
      </c>
      <c r="E928" s="2" t="inlineStr">
        <is>
          <t>2.0mm</t>
        </is>
      </c>
      <c r="F928" s="2" t="n">
        <v>6</v>
      </c>
      <c r="G928" s="2" t="n">
        <v>3</v>
      </c>
      <c r="H928" s="2" t="inlineStr">
        <is>
          <t>SC/APC</t>
        </is>
      </c>
      <c r="I928" s="2" t="inlineStr">
        <is>
          <t>LC/APC</t>
        </is>
      </c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>
        <v>2</v>
      </c>
      <c r="T928" s="2" t="n"/>
      <c r="U928" s="2" t="n"/>
      <c r="V928" s="2">
        <f>SUM(J928:U928)*G928</f>
        <v/>
      </c>
      <c r="W928" s="2">
        <f>MAX(J928:U928)</f>
        <v/>
      </c>
      <c r="X928" s="2">
        <f>W928*G928</f>
        <v/>
      </c>
    </row>
    <row r="929">
      <c r="A929" s="2" t="inlineStr">
        <is>
          <t>A14-M-SP/SP-B-N-008</t>
        </is>
      </c>
      <c r="B929" s="3" t="inlineStr">
        <is>
          <t>MOJC-SM-12C-SC/PC-SC/PC</t>
        </is>
      </c>
      <c r="C929" s="2" t="inlineStr">
        <is>
          <t>908040800, 8M, B3</t>
        </is>
      </c>
      <c r="D929" s="2" t="inlineStr">
        <is>
          <t>b3-12c</t>
        </is>
      </c>
      <c r="E929" s="2" t="inlineStr">
        <is>
          <t>2.0mm</t>
        </is>
      </c>
      <c r="F929" s="2" t="n">
        <v>12</v>
      </c>
      <c r="G929" s="2" t="n">
        <v>8</v>
      </c>
      <c r="H929" s="2" t="inlineStr">
        <is>
          <t>SC/PC</t>
        </is>
      </c>
      <c r="I929" s="2" t="inlineStr">
        <is>
          <t>SC/PC</t>
        </is>
      </c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>
        <v>5</v>
      </c>
      <c r="T929" s="2" t="n"/>
      <c r="U929" s="2" t="n"/>
      <c r="V929" s="2">
        <f>SUM(J929:U929)*G929</f>
        <v/>
      </c>
      <c r="W929" s="2">
        <f>MAX(J929:U929)</f>
        <v/>
      </c>
      <c r="X929" s="2">
        <f>W929*G929</f>
        <v/>
      </c>
    </row>
    <row r="930">
      <c r="A930" s="2" t="inlineStr">
        <is>
          <t>A14-M-SP/SP-B-N-011</t>
        </is>
      </c>
      <c r="B930" s="3" t="inlineStr">
        <is>
          <t>MOJC-SM-12C-SC/PC-SC/PC</t>
        </is>
      </c>
      <c r="C930" s="2" t="inlineStr">
        <is>
          <t>908040804, 12M, B3</t>
        </is>
      </c>
      <c r="D930" s="2" t="inlineStr">
        <is>
          <t>b3-12c</t>
        </is>
      </c>
      <c r="E930" s="2" t="inlineStr">
        <is>
          <t>2.0mm</t>
        </is>
      </c>
      <c r="F930" s="2" t="n">
        <v>12</v>
      </c>
      <c r="G930" s="2" t="n">
        <v>12</v>
      </c>
      <c r="H930" s="2" t="inlineStr">
        <is>
          <t>SC/PC</t>
        </is>
      </c>
      <c r="I930" s="2" t="inlineStr">
        <is>
          <t>SC/PC</t>
        </is>
      </c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>
        <v>10</v>
      </c>
      <c r="T930" s="2" t="n"/>
      <c r="U930" s="2" t="n"/>
      <c r="V930" s="2">
        <f>SUM(J930:U930)*G930</f>
        <v/>
      </c>
      <c r="W930" s="2">
        <f>MAX(J930:U930)</f>
        <v/>
      </c>
      <c r="X930" s="2">
        <f>W930*G930</f>
        <v/>
      </c>
    </row>
    <row r="931">
      <c r="A931" s="2" t="inlineStr">
        <is>
          <t>A14-M-SP/SP-B-N-012</t>
        </is>
      </c>
      <c r="B931" s="3" t="inlineStr">
        <is>
          <t>MOJC-SM-12C-SC/PC-SC/PC</t>
        </is>
      </c>
      <c r="C931" s="2" t="inlineStr">
        <is>
          <t>908040807, 15M, B3</t>
        </is>
      </c>
      <c r="D931" s="2" t="inlineStr">
        <is>
          <t>b3-12c</t>
        </is>
      </c>
      <c r="E931" s="2" t="inlineStr">
        <is>
          <t>2.0mm</t>
        </is>
      </c>
      <c r="F931" s="2" t="n">
        <v>12</v>
      </c>
      <c r="G931" s="2" t="n">
        <v>15</v>
      </c>
      <c r="H931" s="2" t="inlineStr">
        <is>
          <t>SC/PC</t>
        </is>
      </c>
      <c r="I931" s="2" t="inlineStr">
        <is>
          <t>SC/PC</t>
        </is>
      </c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>
        <v>10</v>
      </c>
      <c r="T931" s="2" t="n">
        <v>15</v>
      </c>
      <c r="U931" s="2" t="n"/>
      <c r="V931" s="2">
        <f>SUM(J931:U931)*G931</f>
        <v/>
      </c>
      <c r="W931" s="2">
        <f>MAX(J931:U931)</f>
        <v/>
      </c>
      <c r="X931" s="2">
        <f>W931*G931</f>
        <v/>
      </c>
    </row>
    <row r="932">
      <c r="A932" s="2" t="inlineStr">
        <is>
          <t>A14-M-SP/SP-B-N-016</t>
        </is>
      </c>
      <c r="B932" s="3" t="inlineStr">
        <is>
          <t>MOJC-SM-24C-SC/PC-SC/PC</t>
        </is>
      </c>
      <c r="C932" s="2" t="inlineStr">
        <is>
          <t>920001114, 3M, B3</t>
        </is>
      </c>
      <c r="D932" s="2" t="inlineStr">
        <is>
          <t>b3-24c</t>
        </is>
      </c>
      <c r="E932" s="2" t="inlineStr">
        <is>
          <t>2.0mm</t>
        </is>
      </c>
      <c r="F932" s="2" t="n">
        <v>24</v>
      </c>
      <c r="G932" s="2" t="n">
        <v>3</v>
      </c>
      <c r="H932" s="2" t="inlineStr">
        <is>
          <t>SC/PC</t>
        </is>
      </c>
      <c r="I932" s="2" t="inlineStr">
        <is>
          <t>SC/PC</t>
        </is>
      </c>
      <c r="J932" s="2" t="n"/>
      <c r="K932" s="2" t="n"/>
      <c r="L932" s="2" t="n"/>
      <c r="M932" s="2" t="n"/>
      <c r="N932" s="2" t="n"/>
      <c r="O932" s="2" t="n"/>
      <c r="P932" s="2" t="n"/>
      <c r="Q932" s="2" t="n">
        <v>10</v>
      </c>
      <c r="R932" s="2" t="n"/>
      <c r="S932" s="2" t="n"/>
      <c r="T932" s="2" t="n"/>
      <c r="U932" s="2" t="n"/>
      <c r="V932" s="2">
        <f>SUM(J932:U932)*G932</f>
        <v/>
      </c>
      <c r="W932" s="2">
        <f>MAX(J932:U932)</f>
        <v/>
      </c>
      <c r="X932" s="2">
        <f>W932*G932</f>
        <v/>
      </c>
    </row>
    <row r="933">
      <c r="A933" s="2" t="inlineStr">
        <is>
          <t>A14-M-SP/SP-B-N-026</t>
        </is>
      </c>
      <c r="B933" s="3" t="inlineStr">
        <is>
          <t>MOJC-SM-6C-SC/PC-SC/PC</t>
        </is>
      </c>
      <c r="C933" s="2" t="inlineStr">
        <is>
          <t>920000162, 10M, B3</t>
        </is>
      </c>
      <c r="D933" s="2" t="inlineStr">
        <is>
          <t>b3-6c</t>
        </is>
      </c>
      <c r="E933" s="2" t="inlineStr">
        <is>
          <t>2.0mm</t>
        </is>
      </c>
      <c r="F933" s="2" t="n">
        <v>6</v>
      </c>
      <c r="G933" s="2" t="n">
        <v>10</v>
      </c>
      <c r="H933" s="2" t="inlineStr">
        <is>
          <t>SC/PC</t>
        </is>
      </c>
      <c r="I933" s="2" t="inlineStr">
        <is>
          <t>SC/PC</t>
        </is>
      </c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>
        <v>10</v>
      </c>
      <c r="T933" s="2" t="n"/>
      <c r="U933" s="2" t="n"/>
      <c r="V933" s="2">
        <f>SUM(J933:U933)*G933</f>
        <v/>
      </c>
      <c r="W933" s="2">
        <f>MAX(J933:U933)</f>
        <v/>
      </c>
      <c r="X933" s="2">
        <f>W933*G933</f>
        <v/>
      </c>
    </row>
    <row r="934">
      <c r="A934" s="2" t="inlineStr">
        <is>
          <t>A14-M-SP/SP-B-N-027</t>
        </is>
      </c>
      <c r="B934" s="3" t="inlineStr">
        <is>
          <t>MOJC-SM-6C-SC/PC-SC/PC</t>
        </is>
      </c>
      <c r="C934" s="2" t="inlineStr">
        <is>
          <t>920000167, 15M, B3</t>
        </is>
      </c>
      <c r="D934" s="2" t="inlineStr">
        <is>
          <t>b3-6c</t>
        </is>
      </c>
      <c r="E934" s="2" t="inlineStr">
        <is>
          <t>2.0mm</t>
        </is>
      </c>
      <c r="F934" s="2" t="n">
        <v>6</v>
      </c>
      <c r="G934" s="2" t="n">
        <v>15</v>
      </c>
      <c r="H934" s="2" t="inlineStr">
        <is>
          <t>SC/PC</t>
        </is>
      </c>
      <c r="I934" s="2" t="inlineStr">
        <is>
          <t>SC/PC</t>
        </is>
      </c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>
        <v>15</v>
      </c>
      <c r="U934" s="2" t="n"/>
      <c r="V934" s="2">
        <f>SUM(J934:U934)*G934</f>
        <v/>
      </c>
      <c r="W934" s="2">
        <f>MAX(J934:U934)</f>
        <v/>
      </c>
      <c r="X934" s="2">
        <f>W934*G934</f>
        <v/>
      </c>
    </row>
    <row r="935">
      <c r="A935" s="2" t="inlineStr">
        <is>
          <t>A14-MB-N043</t>
        </is>
      </c>
      <c r="B935" s="3" t="inlineStr">
        <is>
          <t>MOJC-SM-12C-SC/PC-SC/PC</t>
        </is>
      </c>
      <c r="C935" s="2" t="inlineStr">
        <is>
          <t>908040802, 10M, B3</t>
        </is>
      </c>
      <c r="D935" s="2" t="inlineStr">
        <is>
          <t>b3-12c</t>
        </is>
      </c>
      <c r="E935" s="2" t="inlineStr">
        <is>
          <t>2.0mm</t>
        </is>
      </c>
      <c r="F935" s="2" t="n">
        <v>12</v>
      </c>
      <c r="G935" s="2" t="n">
        <v>10</v>
      </c>
      <c r="H935" s="2" t="inlineStr">
        <is>
          <t>SC/PC</t>
        </is>
      </c>
      <c r="I935" s="2" t="inlineStr">
        <is>
          <t>SC/PC</t>
        </is>
      </c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>
        <v>35</v>
      </c>
      <c r="T935" s="2" t="n"/>
      <c r="U935" s="2" t="n"/>
      <c r="V935" s="2">
        <f>SUM(J935:U935)*G935</f>
        <v/>
      </c>
      <c r="W935" s="2">
        <f>MAX(J935:U935)</f>
        <v/>
      </c>
      <c r="X935" s="2">
        <f>W935*G935</f>
        <v/>
      </c>
    </row>
    <row r="936">
      <c r="A936" s="2" t="inlineStr">
        <is>
          <t>A14-S-FA/FA-B-N-009</t>
        </is>
      </c>
      <c r="B936" s="3" t="inlineStr">
        <is>
          <t>SOJC-SM-FC/APC-FC/APC</t>
        </is>
      </c>
      <c r="C936" s="2" t="inlineStr">
        <is>
          <t>908041335, 3M, B3, 3.0mm</t>
        </is>
      </c>
      <c r="D936" s="2" t="inlineStr">
        <is>
          <t>b3</t>
        </is>
      </c>
      <c r="E936" s="2" t="inlineStr">
        <is>
          <t>3.0mm</t>
        </is>
      </c>
      <c r="F936" s="2" t="n">
        <v>1</v>
      </c>
      <c r="G936" s="2" t="n">
        <v>3</v>
      </c>
      <c r="H936" s="2" t="inlineStr">
        <is>
          <t>FC/APC</t>
        </is>
      </c>
      <c r="I936" s="2" t="inlineStr">
        <is>
          <t>FC/APC</t>
        </is>
      </c>
      <c r="J936" s="2" t="n"/>
      <c r="K936" s="2" t="n"/>
      <c r="L936" s="2" t="n">
        <v>3</v>
      </c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>
        <f>SUM(J936:U936)*G936</f>
        <v/>
      </c>
      <c r="W936" s="2">
        <f>MAX(J936:U936)</f>
        <v/>
      </c>
      <c r="X936" s="2">
        <f>W936*G936</f>
        <v/>
      </c>
    </row>
    <row r="937">
      <c r="A937" s="2" t="inlineStr">
        <is>
          <t>A14-S-FA/FA-B-N-014</t>
        </is>
      </c>
      <c r="B937" s="3" t="inlineStr">
        <is>
          <t>SOJC-SM-FC/APC-FC/APC</t>
        </is>
      </c>
      <c r="C937" s="2" t="inlineStr">
        <is>
          <t>908041343, 8M, B3, 2.0mm</t>
        </is>
      </c>
      <c r="D937" s="2" t="inlineStr">
        <is>
          <t>b3</t>
        </is>
      </c>
      <c r="E937" s="2" t="inlineStr">
        <is>
          <t>2.0mm</t>
        </is>
      </c>
      <c r="F937" s="2" t="n">
        <v>1</v>
      </c>
      <c r="G937" s="2" t="n">
        <v>8</v>
      </c>
      <c r="H937" s="2" t="inlineStr">
        <is>
          <t>FC/APC</t>
        </is>
      </c>
      <c r="I937" s="2" t="inlineStr">
        <is>
          <t>FC/APC</t>
        </is>
      </c>
      <c r="J937" s="2" t="n"/>
      <c r="K937" s="2" t="n"/>
      <c r="L937" s="2" t="n">
        <v>2</v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>
        <f>SUM(J937:U937)*G937</f>
        <v/>
      </c>
      <c r="W937" s="2">
        <f>MAX(J937:U937)</f>
        <v/>
      </c>
      <c r="X937" s="2">
        <f>W937*G937</f>
        <v/>
      </c>
    </row>
    <row r="938">
      <c r="A938" s="2" t="inlineStr">
        <is>
          <t>A14-S-FP/FP-B-N-001</t>
        </is>
      </c>
      <c r="B938" s="3" t="inlineStr">
        <is>
          <t>SOJC-SM-FC/PC-FC/PC</t>
        </is>
      </c>
      <c r="C938" s="2" t="inlineStr">
        <is>
          <t>908041489, 10M, B3, 2.0mm</t>
        </is>
      </c>
      <c r="D938" s="2" t="inlineStr">
        <is>
          <t>b3</t>
        </is>
      </c>
      <c r="E938" s="2" t="inlineStr">
        <is>
          <t>2.0mm</t>
        </is>
      </c>
      <c r="F938" s="2" t="n">
        <v>1</v>
      </c>
      <c r="G938" s="2" t="n">
        <v>10</v>
      </c>
      <c r="H938" s="2" t="inlineStr">
        <is>
          <t>FC/PC</t>
        </is>
      </c>
      <c r="I938" s="2" t="inlineStr">
        <is>
          <t>FC/PC</t>
        </is>
      </c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>
        <v>2</v>
      </c>
      <c r="U938" s="2" t="n"/>
      <c r="V938" s="2">
        <f>SUM(J938:U938)*G938</f>
        <v/>
      </c>
      <c r="W938" s="2">
        <f>MAX(J938:U938)</f>
        <v/>
      </c>
      <c r="X938" s="2">
        <f>W938*G938</f>
        <v/>
      </c>
    </row>
    <row r="939">
      <c r="A939" s="2" t="inlineStr">
        <is>
          <t>A14-S-FP/FP-B-N-002</t>
        </is>
      </c>
      <c r="B939" s="3" t="inlineStr">
        <is>
          <t>SOJC-SM-FC/PC-FC/PC</t>
        </is>
      </c>
      <c r="C939" s="2" t="inlineStr">
        <is>
          <t>908041494, 15M, B3, 2.0mm</t>
        </is>
      </c>
      <c r="D939" s="2" t="inlineStr">
        <is>
          <t>b3</t>
        </is>
      </c>
      <c r="E939" s="2" t="inlineStr">
        <is>
          <t>2.0mm</t>
        </is>
      </c>
      <c r="F939" s="2" t="n">
        <v>1</v>
      </c>
      <c r="G939" s="2" t="n">
        <v>15</v>
      </c>
      <c r="H939" s="2" t="inlineStr">
        <is>
          <t>FC/PC</t>
        </is>
      </c>
      <c r="I939" s="2" t="inlineStr">
        <is>
          <t>FC/PC</t>
        </is>
      </c>
      <c r="J939" s="2" t="n"/>
      <c r="K939" s="2" t="n"/>
      <c r="L939" s="2" t="n"/>
      <c r="M939" s="2" t="n"/>
      <c r="N939" s="2" t="n"/>
      <c r="O939" s="2" t="n"/>
      <c r="P939" s="2" t="n">
        <v>50</v>
      </c>
      <c r="Q939" s="2" t="n"/>
      <c r="R939" s="2" t="n"/>
      <c r="S939" s="2" t="n"/>
      <c r="T939" s="2" t="n"/>
      <c r="U939" s="2" t="n"/>
      <c r="V939" s="2">
        <f>SUM(J939:U939)*G939</f>
        <v/>
      </c>
      <c r="W939" s="2">
        <f>MAX(J939:U939)</f>
        <v/>
      </c>
      <c r="X939" s="2">
        <f>W939*G939</f>
        <v/>
      </c>
    </row>
    <row r="940">
      <c r="A940" s="2" t="inlineStr">
        <is>
          <t>A14-S-LP/FA-B-N-006</t>
        </is>
      </c>
      <c r="B940" s="3" t="inlineStr">
        <is>
          <t>SOJC-SM-LC/PC-FC/APC</t>
        </is>
      </c>
      <c r="C940" s="2" t="inlineStr">
        <is>
          <t>930001517, 30M, B3, 2.0mm</t>
        </is>
      </c>
      <c r="D940" s="2" t="inlineStr">
        <is>
          <t>b3</t>
        </is>
      </c>
      <c r="E940" s="2" t="inlineStr">
        <is>
          <t>2.0mm</t>
        </is>
      </c>
      <c r="F940" s="2" t="n">
        <v>1</v>
      </c>
      <c r="G940" s="2" t="n">
        <v>30</v>
      </c>
      <c r="H940" s="2" t="inlineStr">
        <is>
          <t>LC/PC</t>
        </is>
      </c>
      <c r="I940" s="2" t="inlineStr">
        <is>
          <t>FC/APC</t>
        </is>
      </c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>
        <v>5</v>
      </c>
      <c r="T940" s="2" t="n"/>
      <c r="U940" s="2" t="n"/>
      <c r="V940" s="2">
        <f>SUM(J940:U940)*G940</f>
        <v/>
      </c>
      <c r="W940" s="2">
        <f>MAX(J940:U940)</f>
        <v/>
      </c>
      <c r="X940" s="2">
        <f>W940*G940</f>
        <v/>
      </c>
    </row>
    <row r="941">
      <c r="A941" s="2" t="inlineStr">
        <is>
          <t>A14-S-LP/FA-B-N-009</t>
        </is>
      </c>
      <c r="B941" s="3" t="inlineStr">
        <is>
          <t>SOJC-SM-LC/PC-FC/APC</t>
        </is>
      </c>
      <c r="C941" s="2" t="inlineStr">
        <is>
          <t>930001519, 40M, B3, 2.0mm</t>
        </is>
      </c>
      <c r="D941" s="2" t="inlineStr">
        <is>
          <t>b3</t>
        </is>
      </c>
      <c r="E941" s="2" t="inlineStr">
        <is>
          <t>2.0mm</t>
        </is>
      </c>
      <c r="F941" s="2" t="n">
        <v>1</v>
      </c>
      <c r="G941" s="2" t="n">
        <v>40</v>
      </c>
      <c r="H941" s="2" t="inlineStr">
        <is>
          <t>LC/PC</t>
        </is>
      </c>
      <c r="I941" s="2" t="inlineStr">
        <is>
          <t>FC/APC</t>
        </is>
      </c>
      <c r="J941" s="2" t="n"/>
      <c r="K941" s="2" t="n"/>
      <c r="L941" s="2" t="n"/>
      <c r="M941" s="2" t="n"/>
      <c r="N941" s="2" t="n">
        <v>40</v>
      </c>
      <c r="O941" s="2" t="n"/>
      <c r="P941" s="2" t="n"/>
      <c r="Q941" s="2" t="n"/>
      <c r="R941" s="2" t="n"/>
      <c r="S941" s="2" t="n"/>
      <c r="T941" s="2" t="n"/>
      <c r="U941" s="2" t="n"/>
      <c r="V941" s="2">
        <f>SUM(J941:U941)*G941</f>
        <v/>
      </c>
      <c r="W941" s="2">
        <f>MAX(J941:U941)</f>
        <v/>
      </c>
      <c r="X941" s="2">
        <f>W941*G941</f>
        <v/>
      </c>
    </row>
    <row r="942">
      <c r="A942" s="2" t="inlineStr">
        <is>
          <t>A14-S-LP/FA-B-N-013</t>
        </is>
      </c>
      <c r="B942" s="3" t="inlineStr">
        <is>
          <t>SOJC-SM-LC/PC-FC/APC</t>
        </is>
      </c>
      <c r="C942" s="2" t="inlineStr">
        <is>
          <t>930001503, 8M, B3, 2.0mm</t>
        </is>
      </c>
      <c r="D942" s="2" t="inlineStr">
        <is>
          <t>b3</t>
        </is>
      </c>
      <c r="E942" s="2" t="inlineStr">
        <is>
          <t>2.0mm</t>
        </is>
      </c>
      <c r="F942" s="2" t="n">
        <v>1</v>
      </c>
      <c r="G942" s="2" t="n">
        <v>8</v>
      </c>
      <c r="H942" s="2" t="inlineStr">
        <is>
          <t>LC/PC</t>
        </is>
      </c>
      <c r="I942" s="2" t="inlineStr">
        <is>
          <t>FC/APC</t>
        </is>
      </c>
      <c r="J942" s="2" t="n"/>
      <c r="K942" s="2" t="n"/>
      <c r="L942" s="2" t="n">
        <v>10</v>
      </c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>
        <f>SUM(J942:U942)*G942</f>
        <v/>
      </c>
      <c r="W942" s="2">
        <f>MAX(J942:U942)</f>
        <v/>
      </c>
      <c r="X942" s="2">
        <f>W942*G942</f>
        <v/>
      </c>
    </row>
    <row r="943">
      <c r="A943" s="2" t="inlineStr">
        <is>
          <t>A14-S-LP/FA-B-N-014</t>
        </is>
      </c>
      <c r="B943" s="3" t="inlineStr">
        <is>
          <t>SOJC-SM-LC/PC-FC/APC</t>
        </is>
      </c>
      <c r="C943" s="2" t="inlineStr">
        <is>
          <t>930001504, 9M, B3, 2.0mm</t>
        </is>
      </c>
      <c r="D943" s="2" t="inlineStr">
        <is>
          <t>b3</t>
        </is>
      </c>
      <c r="E943" s="2" t="inlineStr">
        <is>
          <t>2.0mm</t>
        </is>
      </c>
      <c r="F943" s="2" t="n">
        <v>1</v>
      </c>
      <c r="G943" s="2" t="n">
        <v>9</v>
      </c>
      <c r="H943" s="2" t="inlineStr">
        <is>
          <t>LC/PC</t>
        </is>
      </c>
      <c r="I943" s="2" t="inlineStr">
        <is>
          <t>FC/APC</t>
        </is>
      </c>
      <c r="J943" s="2" t="n"/>
      <c r="K943" s="2" t="n"/>
      <c r="L943" s="2" t="n">
        <v>10</v>
      </c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>
        <f>SUM(J943:U943)*G943</f>
        <v/>
      </c>
      <c r="W943" s="2">
        <f>MAX(J943:U943)</f>
        <v/>
      </c>
      <c r="X943" s="2">
        <f>W943*G943</f>
        <v/>
      </c>
    </row>
    <row r="944">
      <c r="A944" s="2" t="inlineStr">
        <is>
          <t>A14-S-LP/FP-B-N-007</t>
        </is>
      </c>
      <c r="B944" s="3" t="inlineStr">
        <is>
          <t>SOJC-SM-LC/PC-FC/PC</t>
        </is>
      </c>
      <c r="C944" s="2" t="inlineStr">
        <is>
          <t>908040160, 30M, B3, 2.0mm</t>
        </is>
      </c>
      <c r="D944" s="2" t="inlineStr">
        <is>
          <t>b3</t>
        </is>
      </c>
      <c r="E944" s="2" t="inlineStr">
        <is>
          <t>2.0mm</t>
        </is>
      </c>
      <c r="F944" s="2" t="n">
        <v>1</v>
      </c>
      <c r="G944" s="2" t="n">
        <v>30</v>
      </c>
      <c r="H944" s="2" t="inlineStr">
        <is>
          <t>LC/PC</t>
        </is>
      </c>
      <c r="I944" s="2" t="inlineStr">
        <is>
          <t>FC/PC</t>
        </is>
      </c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>
        <v>20</v>
      </c>
      <c r="T944" s="2" t="n"/>
      <c r="U944" s="2" t="n"/>
      <c r="V944" s="2">
        <f>SUM(J944:U944)*G944</f>
        <v/>
      </c>
      <c r="W944" s="2">
        <f>MAX(J944:U944)</f>
        <v/>
      </c>
      <c r="X944" s="2">
        <f>W944*G944</f>
        <v/>
      </c>
    </row>
    <row r="945">
      <c r="A945" s="2" t="inlineStr">
        <is>
          <t>A14-S-LP/FP-B-N-010</t>
        </is>
      </c>
      <c r="B945" s="3" t="inlineStr">
        <is>
          <t>SOJC-SM-LC/PC-FC/PC</t>
        </is>
      </c>
      <c r="C945" s="2" t="inlineStr">
        <is>
          <t>908040294, 5M, B3, 3.0mm</t>
        </is>
      </c>
      <c r="D945" s="2" t="inlineStr">
        <is>
          <t>b3</t>
        </is>
      </c>
      <c r="E945" s="2" t="inlineStr">
        <is>
          <t>3.0mm</t>
        </is>
      </c>
      <c r="F945" s="2" t="n">
        <v>1</v>
      </c>
      <c r="G945" s="2" t="n">
        <v>5</v>
      </c>
      <c r="H945" s="2" t="inlineStr">
        <is>
          <t>LC/PC</t>
        </is>
      </c>
      <c r="I945" s="2" t="inlineStr">
        <is>
          <t>FC/PC</t>
        </is>
      </c>
      <c r="J945" s="2" t="n"/>
      <c r="K945" s="2" t="n"/>
      <c r="L945" s="2" t="n"/>
      <c r="M945" s="2" t="n"/>
      <c r="N945" s="2" t="n"/>
      <c r="O945" s="2" t="n"/>
      <c r="P945" s="2" t="n"/>
      <c r="Q945" s="2" t="n">
        <v>3</v>
      </c>
      <c r="R945" s="2" t="n"/>
      <c r="S945" s="2" t="n"/>
      <c r="T945" s="2" t="n"/>
      <c r="U945" s="2" t="n"/>
      <c r="V945" s="2">
        <f>SUM(J945:U945)*G945</f>
        <v/>
      </c>
      <c r="W945" s="2">
        <f>MAX(J945:U945)</f>
        <v/>
      </c>
      <c r="X945" s="2">
        <f>W945*G945</f>
        <v/>
      </c>
    </row>
    <row r="946">
      <c r="A946" s="2" t="inlineStr">
        <is>
          <t>A14-S-LP/FP-B-N-012</t>
        </is>
      </c>
      <c r="B946" s="3" t="inlineStr">
        <is>
          <t>SOJC-SM-LC/PC-FC/PC</t>
        </is>
      </c>
      <c r="C946" s="2" t="inlineStr">
        <is>
          <t>908040296, 7M, B3, 2.0mm</t>
        </is>
      </c>
      <c r="D946" s="2" t="inlineStr">
        <is>
          <t>b3</t>
        </is>
      </c>
      <c r="E946" s="2" t="inlineStr">
        <is>
          <t>2.0mm</t>
        </is>
      </c>
      <c r="F946" s="2" t="n">
        <v>1</v>
      </c>
      <c r="G946" s="2" t="n">
        <v>7</v>
      </c>
      <c r="H946" s="2" t="inlineStr">
        <is>
          <t>LC/PC</t>
        </is>
      </c>
      <c r="I946" s="2" t="inlineStr">
        <is>
          <t>FC/PC</t>
        </is>
      </c>
      <c r="J946" s="2" t="n"/>
      <c r="K946" s="2" t="n"/>
      <c r="L946" s="2" t="n"/>
      <c r="M946" s="2" t="n"/>
      <c r="N946" s="2" t="n"/>
      <c r="O946" s="2" t="n"/>
      <c r="P946" s="2" t="n">
        <v>20</v>
      </c>
      <c r="Q946" s="2" t="n"/>
      <c r="R946" s="2" t="n"/>
      <c r="S946" s="2" t="n"/>
      <c r="T946" s="2" t="n"/>
      <c r="U946" s="2" t="n"/>
      <c r="V946" s="2">
        <f>SUM(J946:U946)*G946</f>
        <v/>
      </c>
      <c r="W946" s="2">
        <f>MAX(J946:U946)</f>
        <v/>
      </c>
      <c r="X946" s="2">
        <f>W946*G946</f>
        <v/>
      </c>
    </row>
    <row r="947">
      <c r="A947" s="2" t="inlineStr">
        <is>
          <t>A14-S-LP/LP-B-N-005</t>
        </is>
      </c>
      <c r="B947" s="3" t="inlineStr">
        <is>
          <t>SOJC-SM-LC/PC-LC/PC</t>
        </is>
      </c>
      <c r="C947" s="2" t="inlineStr">
        <is>
          <t>908040282, 23M, B3, 2.0mm</t>
        </is>
      </c>
      <c r="D947" s="2" t="inlineStr">
        <is>
          <t>b3</t>
        </is>
      </c>
      <c r="E947" s="2" t="inlineStr">
        <is>
          <t>2.0mm</t>
        </is>
      </c>
      <c r="F947" s="2" t="n">
        <v>1</v>
      </c>
      <c r="G947" s="2" t="n">
        <v>23</v>
      </c>
      <c r="H947" s="2" t="inlineStr">
        <is>
          <t>LC/PC</t>
        </is>
      </c>
      <c r="I947" s="2" t="inlineStr">
        <is>
          <t>LC/PC</t>
        </is>
      </c>
      <c r="J947" s="2" t="n"/>
      <c r="K947" s="2" t="n"/>
      <c r="L947" s="2" t="n"/>
      <c r="M947" s="2" t="n"/>
      <c r="N947" s="2" t="n"/>
      <c r="O947" s="2" t="n"/>
      <c r="P947" s="2" t="n">
        <v>6</v>
      </c>
      <c r="Q947" s="2" t="n">
        <v>24</v>
      </c>
      <c r="R947" s="2" t="n"/>
      <c r="S947" s="2" t="n"/>
      <c r="T947" s="2" t="n"/>
      <c r="U947" s="2" t="n"/>
      <c r="V947" s="2">
        <f>SUM(J947:U947)*G947</f>
        <v/>
      </c>
      <c r="W947" s="2">
        <f>MAX(J947:U947)</f>
        <v/>
      </c>
      <c r="X947" s="2">
        <f>W947*G947</f>
        <v/>
      </c>
    </row>
    <row r="948">
      <c r="A948" s="2" t="inlineStr">
        <is>
          <t>A14-S-LP/SP-1-N-005</t>
        </is>
      </c>
      <c r="B948" s="3" t="inlineStr">
        <is>
          <t>SOJC-MM-LC/PC-SC/PC</t>
        </is>
      </c>
      <c r="C948" s="2" t="inlineStr">
        <is>
          <t>908040191, 3M</t>
        </is>
      </c>
      <c r="D948" s="2" t="inlineStr">
        <is>
          <t>om1</t>
        </is>
      </c>
      <c r="E948" s="2" t="inlineStr">
        <is>
          <t>2.0mm</t>
        </is>
      </c>
      <c r="F948" s="2" t="n">
        <v>1</v>
      </c>
      <c r="G948" s="2" t="n">
        <v>3</v>
      </c>
      <c r="H948" s="2" t="inlineStr">
        <is>
          <t>LC/PC</t>
        </is>
      </c>
      <c r="I948" s="2" t="inlineStr">
        <is>
          <t>SC/PC</t>
        </is>
      </c>
      <c r="J948" s="2" t="n"/>
      <c r="K948" s="2" t="n"/>
      <c r="L948" s="2" t="n"/>
      <c r="M948" s="2" t="n"/>
      <c r="N948" s="2" t="n">
        <v>5</v>
      </c>
      <c r="O948" s="2" t="n"/>
      <c r="P948" s="2" t="n"/>
      <c r="Q948" s="2" t="n"/>
      <c r="R948" s="2" t="n"/>
      <c r="S948" s="2" t="n"/>
      <c r="T948" s="2" t="n"/>
      <c r="U948" s="2" t="n"/>
      <c r="V948" s="2">
        <f>SUM(J948:U948)*G948</f>
        <v/>
      </c>
      <c r="W948" s="2">
        <f>MAX(J948:U948)</f>
        <v/>
      </c>
      <c r="X948" s="2">
        <f>W948*G948</f>
        <v/>
      </c>
    </row>
    <row r="949">
      <c r="A949" s="2" t="inlineStr">
        <is>
          <t>A14-S-SA/FA-B-N-002</t>
        </is>
      </c>
      <c r="B949" s="3" t="inlineStr">
        <is>
          <t>SOJC-SM-SC/APC-FC/APC</t>
        </is>
      </c>
      <c r="C949" s="2" t="inlineStr">
        <is>
          <t>908040381, 12M, B3, 2.0mm</t>
        </is>
      </c>
      <c r="D949" s="2" t="inlineStr">
        <is>
          <t>b3</t>
        </is>
      </c>
      <c r="E949" s="2" t="inlineStr">
        <is>
          <t>2.0mm</t>
        </is>
      </c>
      <c r="F949" s="2" t="n">
        <v>1</v>
      </c>
      <c r="G949" s="2" t="n">
        <v>12</v>
      </c>
      <c r="H949" s="2" t="inlineStr">
        <is>
          <t>SC/APC</t>
        </is>
      </c>
      <c r="I949" s="2" t="inlineStr">
        <is>
          <t>FC/APC</t>
        </is>
      </c>
      <c r="J949" s="2" t="n"/>
      <c r="K949" s="2" t="n"/>
      <c r="L949" s="2" t="n">
        <v>16</v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>
        <f>SUM(J949:U949)*G949</f>
        <v/>
      </c>
      <c r="W949" s="2">
        <f>MAX(J949:U949)</f>
        <v/>
      </c>
      <c r="X949" s="2">
        <f>W949*G949</f>
        <v/>
      </c>
    </row>
    <row r="950">
      <c r="A950" s="2" t="inlineStr">
        <is>
          <t>A14-S-SA/FA-B-N-003</t>
        </is>
      </c>
      <c r="B950" s="3" t="inlineStr">
        <is>
          <t>SOJC-SM-SC/APC-FC/APC</t>
        </is>
      </c>
      <c r="C950" s="2" t="inlineStr">
        <is>
          <t>908040384, 15M, B3, 2.0mm</t>
        </is>
      </c>
      <c r="D950" s="2" t="inlineStr">
        <is>
          <t>b3</t>
        </is>
      </c>
      <c r="E950" s="2" t="inlineStr">
        <is>
          <t>2.0mm</t>
        </is>
      </c>
      <c r="F950" s="2" t="n">
        <v>1</v>
      </c>
      <c r="G950" s="2" t="n">
        <v>15</v>
      </c>
      <c r="H950" s="2" t="inlineStr">
        <is>
          <t>SC/APC</t>
        </is>
      </c>
      <c r="I950" s="2" t="inlineStr">
        <is>
          <t>FC/APC</t>
        </is>
      </c>
      <c r="J950" s="2" t="n"/>
      <c r="K950" s="2" t="n"/>
      <c r="L950" s="2" t="n">
        <v>45</v>
      </c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>
        <f>SUM(J950:U950)*G950</f>
        <v/>
      </c>
      <c r="W950" s="2">
        <f>MAX(J950:U950)</f>
        <v/>
      </c>
      <c r="X950" s="2">
        <f>W950*G950</f>
        <v/>
      </c>
    </row>
    <row r="951">
      <c r="A951" s="2" t="inlineStr">
        <is>
          <t>A14-S-SA/FA-B-N-010</t>
        </is>
      </c>
      <c r="B951" s="3" t="inlineStr">
        <is>
          <t>SOJC-SM-SC/APC-FC/APC</t>
        </is>
      </c>
      <c r="C951" s="2" t="inlineStr">
        <is>
          <t>908040370, 3M, B3, 3.0mm</t>
        </is>
      </c>
      <c r="D951" s="2" t="inlineStr">
        <is>
          <t>b3</t>
        </is>
      </c>
      <c r="E951" s="2" t="inlineStr">
        <is>
          <t>3.0mm</t>
        </is>
      </c>
      <c r="F951" s="2" t="n">
        <v>1</v>
      </c>
      <c r="G951" s="2" t="n">
        <v>3</v>
      </c>
      <c r="H951" s="2" t="inlineStr">
        <is>
          <t>SC/APC</t>
        </is>
      </c>
      <c r="I951" s="2" t="inlineStr">
        <is>
          <t>FC/APC</t>
        </is>
      </c>
      <c r="J951" s="2" t="n"/>
      <c r="K951" s="2" t="n"/>
      <c r="L951" s="2" t="n">
        <v>2</v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>
        <f>SUM(J951:U951)*G951</f>
        <v/>
      </c>
      <c r="W951" s="2">
        <f>MAX(J951:U951)</f>
        <v/>
      </c>
      <c r="X951" s="2">
        <f>W951*G951</f>
        <v/>
      </c>
    </row>
    <row r="952">
      <c r="A952" s="2" t="inlineStr">
        <is>
          <t>A14-S-SA/FA-B-N-015</t>
        </is>
      </c>
      <c r="B952" s="3" t="inlineStr">
        <is>
          <t>SOJC-SM-SC/APC-FC/APC</t>
        </is>
      </c>
      <c r="C952" s="2" t="inlineStr">
        <is>
          <t>908040377, 8M, B3, 2.0mm</t>
        </is>
      </c>
      <c r="D952" s="2" t="inlineStr">
        <is>
          <t>b3</t>
        </is>
      </c>
      <c r="E952" s="2" t="inlineStr">
        <is>
          <t>2.0mm</t>
        </is>
      </c>
      <c r="F952" s="2" t="n">
        <v>1</v>
      </c>
      <c r="G952" s="2" t="n">
        <v>8</v>
      </c>
      <c r="H952" s="2" t="inlineStr">
        <is>
          <t>SC/APC</t>
        </is>
      </c>
      <c r="I952" s="2" t="inlineStr">
        <is>
          <t>FC/APC</t>
        </is>
      </c>
      <c r="J952" s="2" t="n"/>
      <c r="K952" s="2" t="n"/>
      <c r="L952" s="2" t="n">
        <v>7</v>
      </c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>
        <f>SUM(J952:U952)*G952</f>
        <v/>
      </c>
      <c r="W952" s="2">
        <f>MAX(J952:U952)</f>
        <v/>
      </c>
      <c r="X952" s="2">
        <f>W952*G952</f>
        <v/>
      </c>
    </row>
    <row r="953">
      <c r="A953" s="2" t="inlineStr">
        <is>
          <t>A14-S-SA/SA-B-N-007</t>
        </is>
      </c>
      <c r="B953" s="3" t="inlineStr">
        <is>
          <t>SOJC-SM-SC/APC-SC/APC</t>
        </is>
      </c>
      <c r="C953" s="2" t="inlineStr">
        <is>
          <t>908041479, 30M, B3, 2.0mm</t>
        </is>
      </c>
      <c r="D953" s="2" t="inlineStr">
        <is>
          <t>b3</t>
        </is>
      </c>
      <c r="E953" s="2" t="inlineStr">
        <is>
          <t>2.0mm</t>
        </is>
      </c>
      <c r="F953" s="2" t="n">
        <v>1</v>
      </c>
      <c r="G953" s="2" t="n">
        <v>30</v>
      </c>
      <c r="H953" s="2" t="inlineStr">
        <is>
          <t>SC/APC</t>
        </is>
      </c>
      <c r="I953" s="2" t="inlineStr">
        <is>
          <t>SC/APC</t>
        </is>
      </c>
      <c r="J953" s="2" t="n"/>
      <c r="K953" s="2" t="n"/>
      <c r="L953" s="2" t="n"/>
      <c r="M953" s="2" t="n"/>
      <c r="N953" s="2" t="n">
        <v>10</v>
      </c>
      <c r="O953" s="2" t="n"/>
      <c r="P953" s="2" t="n"/>
      <c r="Q953" s="2" t="n"/>
      <c r="R953" s="2" t="n"/>
      <c r="S953" s="2" t="n"/>
      <c r="T953" s="2" t="n"/>
      <c r="U953" s="2" t="n"/>
      <c r="V953" s="2">
        <f>SUM(J953:U953)*G953</f>
        <v/>
      </c>
      <c r="W953" s="2">
        <f>MAX(J953:U953)</f>
        <v/>
      </c>
      <c r="X953" s="2">
        <f>W953*G953</f>
        <v/>
      </c>
    </row>
    <row r="954">
      <c r="A954" s="2" t="inlineStr">
        <is>
          <t>A14-S-SA/SA-B-N-009</t>
        </is>
      </c>
      <c r="B954" s="3" t="inlineStr">
        <is>
          <t>SOJC-SM-SC/APC-SC/APC</t>
        </is>
      </c>
      <c r="C954" s="2" t="inlineStr">
        <is>
          <t>908041453, 4M, B3, 3.0mm</t>
        </is>
      </c>
      <c r="D954" s="2" t="inlineStr">
        <is>
          <t>b3</t>
        </is>
      </c>
      <c r="E954" s="2" t="inlineStr">
        <is>
          <t>3.0mm</t>
        </is>
      </c>
      <c r="F954" s="2" t="n">
        <v>1</v>
      </c>
      <c r="G954" s="2" t="n">
        <v>4</v>
      </c>
      <c r="H954" s="2" t="inlineStr">
        <is>
          <t>SC/APC</t>
        </is>
      </c>
      <c r="I954" s="2" t="inlineStr">
        <is>
          <t>SC/APC</t>
        </is>
      </c>
      <c r="J954" s="2" t="n">
        <v>25</v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>
        <f>SUM(J954:U954)*G954</f>
        <v/>
      </c>
      <c r="W954" s="2">
        <f>MAX(J954:U954)</f>
        <v/>
      </c>
      <c r="X954" s="2">
        <f>W954*G954</f>
        <v/>
      </c>
    </row>
    <row r="955">
      <c r="A955" s="2" t="inlineStr">
        <is>
          <t>A14-S-SA/SA-B-N-011</t>
        </is>
      </c>
      <c r="B955" s="3" t="inlineStr">
        <is>
          <t>SOJC-SM-SC/APC-SC/APC</t>
        </is>
      </c>
      <c r="C955" s="2" t="inlineStr">
        <is>
          <t>908041455, 6M, B3, 2.0mm</t>
        </is>
      </c>
      <c r="D955" s="2" t="inlineStr">
        <is>
          <t>b3</t>
        </is>
      </c>
      <c r="E955" s="2" t="inlineStr">
        <is>
          <t>2.0mm</t>
        </is>
      </c>
      <c r="F955" s="2" t="n">
        <v>1</v>
      </c>
      <c r="G955" s="2" t="n">
        <v>6</v>
      </c>
      <c r="H955" s="2" t="inlineStr">
        <is>
          <t>SC/APC</t>
        </is>
      </c>
      <c r="I955" s="2" t="inlineStr">
        <is>
          <t>SC/APC</t>
        </is>
      </c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>
        <v>200</v>
      </c>
      <c r="T955" s="2" t="n"/>
      <c r="U955" s="2" t="n"/>
      <c r="V955" s="2">
        <f>SUM(J955:U955)*G955</f>
        <v/>
      </c>
      <c r="W955" s="2">
        <f>MAX(J955:U955)</f>
        <v/>
      </c>
      <c r="X955" s="2">
        <f>W955*G955</f>
        <v/>
      </c>
    </row>
    <row r="956">
      <c r="A956" s="2" t="inlineStr">
        <is>
          <t>A14-S-SA/SA-B-N-013</t>
        </is>
      </c>
      <c r="B956" s="3" t="inlineStr">
        <is>
          <t>SOJC-SM-SC/APC-SC/APC</t>
        </is>
      </c>
      <c r="C956" s="2" t="inlineStr">
        <is>
          <t>908041457, 8M, B3, 2.0mm</t>
        </is>
      </c>
      <c r="D956" s="2" t="inlineStr">
        <is>
          <t>b3</t>
        </is>
      </c>
      <c r="E956" s="2" t="inlineStr">
        <is>
          <t>2.0mm</t>
        </is>
      </c>
      <c r="F956" s="2" t="n">
        <v>1</v>
      </c>
      <c r="G956" s="2" t="n">
        <v>8</v>
      </c>
      <c r="H956" s="2" t="inlineStr">
        <is>
          <t>SC/APC</t>
        </is>
      </c>
      <c r="I956" s="2" t="inlineStr">
        <is>
          <t>SC/APC</t>
        </is>
      </c>
      <c r="J956" s="2" t="n"/>
      <c r="K956" s="2" t="n"/>
      <c r="L956" s="2" t="n">
        <v>6</v>
      </c>
      <c r="M956" s="2" t="n"/>
      <c r="N956" s="2" t="n">
        <v>10</v>
      </c>
      <c r="O956" s="2" t="n"/>
      <c r="P956" s="2" t="n"/>
      <c r="Q956" s="2" t="n"/>
      <c r="R956" s="2" t="n"/>
      <c r="S956" s="2" t="n"/>
      <c r="T956" s="2" t="n"/>
      <c r="U956" s="2" t="n"/>
      <c r="V956" s="2">
        <f>SUM(J956:U956)*G956</f>
        <v/>
      </c>
      <c r="W956" s="2">
        <f>MAX(J956:U956)</f>
        <v/>
      </c>
      <c r="X956" s="2">
        <f>W956*G956</f>
        <v/>
      </c>
    </row>
    <row r="957">
      <c r="A957" s="2" t="inlineStr">
        <is>
          <t>A14-S-SP/FA-B-N-008</t>
        </is>
      </c>
      <c r="B957" s="3" t="inlineStr">
        <is>
          <t>SOJC-SM-SC/PC-FC/APC</t>
        </is>
      </c>
      <c r="C957" s="2" t="inlineStr">
        <is>
          <t>908040339, 30M, B3, 2.0mm</t>
        </is>
      </c>
      <c r="D957" s="2" t="inlineStr">
        <is>
          <t>b3</t>
        </is>
      </c>
      <c r="E957" s="2" t="inlineStr">
        <is>
          <t>2.0mm</t>
        </is>
      </c>
      <c r="F957" s="2" t="n">
        <v>1</v>
      </c>
      <c r="G957" s="2" t="n">
        <v>30</v>
      </c>
      <c r="H957" s="2" t="inlineStr">
        <is>
          <t>SC/PC</t>
        </is>
      </c>
      <c r="I957" s="2" t="inlineStr">
        <is>
          <t>FC/APC</t>
        </is>
      </c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>
        <v>15</v>
      </c>
      <c r="S957" s="2" t="n">
        <v>10</v>
      </c>
      <c r="T957" s="2" t="n"/>
      <c r="U957" s="2" t="n"/>
      <c r="V957" s="2">
        <f>SUM(J957:U957)*G957</f>
        <v/>
      </c>
      <c r="W957" s="2">
        <f>MAX(J957:U957)</f>
        <v/>
      </c>
      <c r="X957" s="2">
        <f>W957*G957</f>
        <v/>
      </c>
    </row>
    <row r="958">
      <c r="A958" s="2" t="inlineStr">
        <is>
          <t>A14-S-SP/FP-B-N-007</t>
        </is>
      </c>
      <c r="B958" s="3" t="inlineStr">
        <is>
          <t>SOJC-SM-SC/PC-FC/PC</t>
        </is>
      </c>
      <c r="C958" s="2" t="inlineStr">
        <is>
          <t>908040309, 30M, B3, 2.0mm</t>
        </is>
      </c>
      <c r="D958" s="2" t="inlineStr">
        <is>
          <t>b3</t>
        </is>
      </c>
      <c r="E958" s="2" t="inlineStr">
        <is>
          <t>2.0mm</t>
        </is>
      </c>
      <c r="F958" s="2" t="n">
        <v>1</v>
      </c>
      <c r="G958" s="2" t="n">
        <v>30</v>
      </c>
      <c r="H958" s="2" t="inlineStr">
        <is>
          <t>SC/PC</t>
        </is>
      </c>
      <c r="I958" s="2" t="inlineStr">
        <is>
          <t>FC/PC</t>
        </is>
      </c>
      <c r="J958" s="2" t="n"/>
      <c r="K958" s="2" t="n"/>
      <c r="L958" s="2" t="n"/>
      <c r="M958" s="2" t="n"/>
      <c r="N958" s="2" t="n">
        <v>10</v>
      </c>
      <c r="O958" s="2" t="n"/>
      <c r="P958" s="2" t="n"/>
      <c r="Q958" s="2" t="n"/>
      <c r="R958" s="2" t="n"/>
      <c r="S958" s="2" t="n"/>
      <c r="T958" s="2" t="n"/>
      <c r="U958" s="2" t="n"/>
      <c r="V958" s="2">
        <f>SUM(J958:U958)*G958</f>
        <v/>
      </c>
      <c r="W958" s="2">
        <f>MAX(J958:U958)</f>
        <v/>
      </c>
      <c r="X958" s="2">
        <f>W958*G958</f>
        <v/>
      </c>
    </row>
    <row r="959">
      <c r="A959" s="2" t="inlineStr">
        <is>
          <t>A14-S-SP/FP-B-N-008</t>
        </is>
      </c>
      <c r="B959" s="3" t="inlineStr">
        <is>
          <t>SOJC-SM-SC/PC-FC/PC</t>
        </is>
      </c>
      <c r="C959" s="2" t="inlineStr">
        <is>
          <t>908041371, 3M, B3, 3.0mm</t>
        </is>
      </c>
      <c r="D959" s="2" t="inlineStr">
        <is>
          <t>b3</t>
        </is>
      </c>
      <c r="E959" s="2" t="inlineStr">
        <is>
          <t>3.0mm</t>
        </is>
      </c>
      <c r="F959" s="2" t="n">
        <v>1</v>
      </c>
      <c r="G959" s="2" t="n">
        <v>3</v>
      </c>
      <c r="H959" s="2" t="inlineStr">
        <is>
          <t>SC/PC</t>
        </is>
      </c>
      <c r="I959" s="2" t="inlineStr">
        <is>
          <t>FC/PC</t>
        </is>
      </c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>
        <v>1</v>
      </c>
      <c r="V959" s="2">
        <f>SUM(J959:U959)*G959</f>
        <v/>
      </c>
      <c r="W959" s="2">
        <f>MAX(J959:U959)</f>
        <v/>
      </c>
      <c r="X959" s="2">
        <f>W959*G959</f>
        <v/>
      </c>
    </row>
    <row r="960">
      <c r="A960" s="2" t="inlineStr">
        <is>
          <t>A14-S-SP/SA-B-N-006</t>
        </is>
      </c>
      <c r="B960" s="3" t="inlineStr">
        <is>
          <t>SOJC-SM-SC/PC-SC/APC</t>
        </is>
      </c>
      <c r="C960" s="2" t="inlineStr">
        <is>
          <t>908041444, 25M, B3, 2.0mm</t>
        </is>
      </c>
      <c r="D960" s="2" t="inlineStr">
        <is>
          <t>b3</t>
        </is>
      </c>
      <c r="E960" s="2" t="inlineStr">
        <is>
          <t>2.0mm</t>
        </is>
      </c>
      <c r="F960" s="2" t="n">
        <v>1</v>
      </c>
      <c r="G960" s="2" t="n">
        <v>25</v>
      </c>
      <c r="H960" s="2" t="inlineStr">
        <is>
          <t>SC/PC</t>
        </is>
      </c>
      <c r="I960" s="2" t="inlineStr">
        <is>
          <t>SC/APC</t>
        </is>
      </c>
      <c r="J960" s="2" t="n"/>
      <c r="K960" s="2" t="n">
        <v>10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>
        <f>SUM(J960:U960)*G960</f>
        <v/>
      </c>
      <c r="W960" s="2">
        <f>MAX(J960:U960)</f>
        <v/>
      </c>
      <c r="X960" s="2">
        <f>W960*G960</f>
        <v/>
      </c>
    </row>
    <row r="961">
      <c r="A961" s="2" t="inlineStr">
        <is>
          <t>A14-S-SP/SA-B-N-008</t>
        </is>
      </c>
      <c r="B961" s="3" t="inlineStr">
        <is>
          <t>SOJC-SM-SC/PC-SC/APC</t>
        </is>
      </c>
      <c r="C961" s="2" t="inlineStr">
        <is>
          <t>908041449, 30M, B3, 2.0mm</t>
        </is>
      </c>
      <c r="D961" s="2" t="inlineStr">
        <is>
          <t>b3</t>
        </is>
      </c>
      <c r="E961" s="2" t="inlineStr">
        <is>
          <t>2.0mm</t>
        </is>
      </c>
      <c r="F961" s="2" t="n">
        <v>1</v>
      </c>
      <c r="G961" s="2" t="n">
        <v>30</v>
      </c>
      <c r="H961" s="2" t="inlineStr">
        <is>
          <t>SC/PC</t>
        </is>
      </c>
      <c r="I961" s="2" t="inlineStr">
        <is>
          <t>SC/APC</t>
        </is>
      </c>
      <c r="J961" s="2" t="n"/>
      <c r="K961" s="2" t="n"/>
      <c r="L961" s="2" t="n"/>
      <c r="M961" s="2" t="n"/>
      <c r="N961" s="2" t="n">
        <v>40</v>
      </c>
      <c r="O961" s="2" t="n"/>
      <c r="P961" s="2" t="n"/>
      <c r="Q961" s="2" t="n"/>
      <c r="R961" s="2" t="n"/>
      <c r="S961" s="2" t="n">
        <v>10</v>
      </c>
      <c r="T961" s="2" t="n"/>
      <c r="U961" s="2" t="n"/>
      <c r="V961" s="2">
        <f>SUM(J961:U961)*G961</f>
        <v/>
      </c>
      <c r="W961" s="2">
        <f>MAX(J961:U961)</f>
        <v/>
      </c>
      <c r="X961" s="2">
        <f>W961*G961</f>
        <v/>
      </c>
    </row>
    <row r="962">
      <c r="A962" s="2" t="inlineStr">
        <is>
          <t>A14-S-SP/SP-1-N-002</t>
        </is>
      </c>
      <c r="B962" s="3" t="inlineStr">
        <is>
          <t>SOJC-MM-SC/PC-SC/PC</t>
        </is>
      </c>
      <c r="C962" s="2" t="inlineStr">
        <is>
          <t>908040112, 1M</t>
        </is>
      </c>
      <c r="D962" s="2" t="inlineStr">
        <is>
          <t>om1</t>
        </is>
      </c>
      <c r="E962" s="2" t="inlineStr">
        <is>
          <t>2.0mm</t>
        </is>
      </c>
      <c r="F962" s="2" t="n">
        <v>1</v>
      </c>
      <c r="G962" s="2" t="n">
        <v>1</v>
      </c>
      <c r="H962" s="2" t="inlineStr">
        <is>
          <t>SC/PC</t>
        </is>
      </c>
      <c r="I962" s="2" t="inlineStr">
        <is>
          <t>SC/PC</t>
        </is>
      </c>
      <c r="J962" s="2" t="n"/>
      <c r="K962" s="2" t="n"/>
      <c r="L962" s="2" t="n"/>
      <c r="M962" s="2" t="n"/>
      <c r="N962" s="2" t="n"/>
      <c r="O962" s="2" t="n">
        <v>40</v>
      </c>
      <c r="P962" s="2" t="n"/>
      <c r="Q962" s="2" t="n"/>
      <c r="R962" s="2" t="n"/>
      <c r="S962" s="2" t="n"/>
      <c r="T962" s="2" t="n"/>
      <c r="U962" s="2" t="n"/>
      <c r="V962" s="2">
        <f>SUM(J962:U962)*G962</f>
        <v/>
      </c>
      <c r="W962" s="2">
        <f>MAX(J962:U962)</f>
        <v/>
      </c>
      <c r="X962" s="2">
        <f>W962*G962</f>
        <v/>
      </c>
    </row>
    <row r="963">
      <c r="A963" s="2" t="inlineStr">
        <is>
          <t>A14-S-SP/SP-B-N-007</t>
        </is>
      </c>
      <c r="B963" s="3" t="inlineStr">
        <is>
          <t>SOJC-SM-SC/PC-SC/PC</t>
        </is>
      </c>
      <c r="C963" s="2" t="inlineStr">
        <is>
          <t>908041419, 30M, B3, 2.0mm</t>
        </is>
      </c>
      <c r="D963" s="2" t="inlineStr">
        <is>
          <t>b3</t>
        </is>
      </c>
      <c r="E963" s="2" t="inlineStr">
        <is>
          <t>2.0mm</t>
        </is>
      </c>
      <c r="F963" s="2" t="n">
        <v>1</v>
      </c>
      <c r="G963" s="2" t="n">
        <v>30</v>
      </c>
      <c r="H963" s="2" t="inlineStr">
        <is>
          <t>SC/PC</t>
        </is>
      </c>
      <c r="I963" s="2" t="inlineStr">
        <is>
          <t>SC/PC</t>
        </is>
      </c>
      <c r="J963" s="2" t="n"/>
      <c r="K963" s="2" t="n"/>
      <c r="L963" s="2" t="n"/>
      <c r="M963" s="2" t="n"/>
      <c r="N963" s="2" t="n"/>
      <c r="O963" s="2" t="n">
        <v>2</v>
      </c>
      <c r="P963" s="2" t="n"/>
      <c r="Q963" s="2" t="n"/>
      <c r="R963" s="2" t="n"/>
      <c r="S963" s="2" t="n"/>
      <c r="T963" s="2" t="n"/>
      <c r="U963" s="2" t="n"/>
      <c r="V963" s="2">
        <f>SUM(J963:U963)*G963</f>
        <v/>
      </c>
      <c r="W963" s="2">
        <f>MAX(J963:U963)</f>
        <v/>
      </c>
      <c r="X963" s="2">
        <f>W963*G963</f>
        <v/>
      </c>
    </row>
    <row r="964">
      <c r="A964" s="2" t="inlineStr">
        <is>
          <t>A14-SA-NF10</t>
        </is>
      </c>
      <c r="B964" s="3" t="inlineStr">
        <is>
          <t>SOJC-SM-LC/PC-FC/APC</t>
        </is>
      </c>
      <c r="C964" s="2" t="inlineStr">
        <is>
          <t>0.5M</t>
        </is>
      </c>
      <c r="D964" s="2" t="inlineStr">
        <is>
          <t>a1</t>
        </is>
      </c>
      <c r="E964" s="2" t="inlineStr">
        <is>
          <t>2.0mm</t>
        </is>
      </c>
      <c r="F964" s="2" t="n">
        <v>1</v>
      </c>
      <c r="G964" s="2" t="n">
        <v>0.5</v>
      </c>
      <c r="H964" s="2" t="inlineStr">
        <is>
          <t>LC/PC</t>
        </is>
      </c>
      <c r="I964" s="2" t="inlineStr">
        <is>
          <t>FC/APC</t>
        </is>
      </c>
      <c r="J964" s="2" t="n">
        <v>50</v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>
        <f>SUM(J964:U964)*G964</f>
        <v/>
      </c>
      <c r="W964" s="2">
        <f>MAX(J964:U964)</f>
        <v/>
      </c>
      <c r="X964" s="2">
        <f>W964*G964</f>
        <v/>
      </c>
    </row>
    <row r="965">
      <c r="A965" s="2" t="inlineStr">
        <is>
          <t>A14-SB-N022</t>
        </is>
      </c>
      <c r="B965" s="3" t="inlineStr">
        <is>
          <t>SOJC-SM-FC/APC-FC/APC</t>
        </is>
      </c>
      <c r="C965" s="2" t="inlineStr">
        <is>
          <t>908041355, 15M, B3, 2.0mm</t>
        </is>
      </c>
      <c r="D965" s="2" t="inlineStr">
        <is>
          <t>b3</t>
        </is>
      </c>
      <c r="E965" s="2" t="inlineStr">
        <is>
          <t>2.0mm</t>
        </is>
      </c>
      <c r="F965" s="2" t="n">
        <v>1</v>
      </c>
      <c r="G965" s="2" t="n">
        <v>15</v>
      </c>
      <c r="H965" s="2" t="inlineStr">
        <is>
          <t>FC/APC</t>
        </is>
      </c>
      <c r="I965" s="2" t="inlineStr">
        <is>
          <t>FC/APC</t>
        </is>
      </c>
      <c r="J965" s="2" t="n"/>
      <c r="K965" s="2" t="n">
        <v>30</v>
      </c>
      <c r="L965" s="2" t="n">
        <v>29</v>
      </c>
      <c r="M965" s="2" t="n"/>
      <c r="N965" s="2" t="n"/>
      <c r="O965" s="2" t="n"/>
      <c r="P965" s="2" t="n"/>
      <c r="Q965" s="2" t="n">
        <v>12</v>
      </c>
      <c r="R965" s="2" t="n"/>
      <c r="S965" s="2" t="n"/>
      <c r="T965" s="2" t="n"/>
      <c r="U965" s="2" t="n"/>
      <c r="V965" s="2">
        <f>SUM(J965:U965)*G965</f>
        <v/>
      </c>
      <c r="W965" s="2">
        <f>MAX(J965:U965)</f>
        <v/>
      </c>
      <c r="X965" s="2">
        <f>W965*G965</f>
        <v/>
      </c>
    </row>
    <row r="966">
      <c r="A966" s="2" t="inlineStr">
        <is>
          <t>A14-SB-N048</t>
        </is>
      </c>
      <c r="B966" s="3" t="inlineStr">
        <is>
          <t>SOJC-SM-LC/PC-FC/APC</t>
        </is>
      </c>
      <c r="C966" s="2" t="inlineStr">
        <is>
          <t>930001505, 10M, B3, 2.0mm</t>
        </is>
      </c>
      <c r="D966" s="2" t="inlineStr">
        <is>
          <t>b3</t>
        </is>
      </c>
      <c r="E966" s="2" t="inlineStr">
        <is>
          <t>2.0mm</t>
        </is>
      </c>
      <c r="F966" s="2" t="n">
        <v>1</v>
      </c>
      <c r="G966" s="2" t="n">
        <v>10</v>
      </c>
      <c r="H966" s="2" t="inlineStr">
        <is>
          <t>LC/PC</t>
        </is>
      </c>
      <c r="I966" s="2" t="inlineStr">
        <is>
          <t>FC/APC</t>
        </is>
      </c>
      <c r="J966" s="2" t="n"/>
      <c r="K966" s="2" t="n">
        <v>20</v>
      </c>
      <c r="L966" s="2" t="n">
        <v>9</v>
      </c>
      <c r="M966" s="2" t="n">
        <v>25</v>
      </c>
      <c r="N966" s="2" t="n"/>
      <c r="O966" s="2" t="n"/>
      <c r="P966" s="2" t="n">
        <v>50</v>
      </c>
      <c r="Q966" s="2" t="n"/>
      <c r="R966" s="2" t="n"/>
      <c r="S966" s="2" t="n"/>
      <c r="T966" s="2" t="n"/>
      <c r="U966" s="2" t="n"/>
      <c r="V966" s="2">
        <f>SUM(J966:U966)*G966</f>
        <v/>
      </c>
      <c r="W966" s="2">
        <f>MAX(J966:U966)</f>
        <v/>
      </c>
      <c r="X966" s="2">
        <f>W966*G966</f>
        <v/>
      </c>
    </row>
    <row r="967">
      <c r="A967" s="2" t="inlineStr">
        <is>
          <t>A14-SB-N049</t>
        </is>
      </c>
      <c r="B967" s="3" t="inlineStr">
        <is>
          <t>SOJC-SM-LC/PC-FC/APC</t>
        </is>
      </c>
      <c r="C967" s="2" t="inlineStr">
        <is>
          <t>12M, B3, 2.0mm</t>
        </is>
      </c>
      <c r="D967" s="2" t="inlineStr">
        <is>
          <t>b3</t>
        </is>
      </c>
      <c r="E967" s="2" t="inlineStr">
        <is>
          <t>2.0mm</t>
        </is>
      </c>
      <c r="F967" s="2" t="n">
        <v>1</v>
      </c>
      <c r="G967" s="2" t="n">
        <v>12</v>
      </c>
      <c r="H967" s="2" t="inlineStr">
        <is>
          <t>LC/PC</t>
        </is>
      </c>
      <c r="I967" s="2" t="inlineStr">
        <is>
          <t>FC/APC</t>
        </is>
      </c>
      <c r="J967" s="2" t="n"/>
      <c r="K967" s="2" t="n"/>
      <c r="L967" s="2" t="n">
        <v>5</v>
      </c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>
        <f>SUM(J967:U967)*G967</f>
        <v/>
      </c>
      <c r="W967" s="2">
        <f>MAX(J967:U967)</f>
        <v/>
      </c>
      <c r="X967" s="2">
        <f>W967*G967</f>
        <v/>
      </c>
    </row>
    <row r="968">
      <c r="A968" s="2" t="inlineStr">
        <is>
          <t>A14-SB-N050</t>
        </is>
      </c>
      <c r="B968" s="3" t="inlineStr">
        <is>
          <t>SOJC-SM-LC/PC-FC/APC</t>
        </is>
      </c>
      <c r="C968" s="2" t="inlineStr">
        <is>
          <t>13M, B3, 2.0mm</t>
        </is>
      </c>
      <c r="D968" s="2" t="inlineStr">
        <is>
          <t>b3</t>
        </is>
      </c>
      <c r="E968" s="2" t="inlineStr">
        <is>
          <t>2.0mm</t>
        </is>
      </c>
      <c r="F968" s="2" t="n">
        <v>1</v>
      </c>
      <c r="G968" s="2" t="n">
        <v>13</v>
      </c>
      <c r="H968" s="2" t="inlineStr">
        <is>
          <t>LC/PC</t>
        </is>
      </c>
      <c r="I968" s="2" t="inlineStr">
        <is>
          <t>FC/APC</t>
        </is>
      </c>
      <c r="J968" s="2" t="n"/>
      <c r="K968" s="2" t="n"/>
      <c r="L968" s="2" t="n">
        <v>10</v>
      </c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>
        <f>SUM(J968:U968)*G968</f>
        <v/>
      </c>
      <c r="W968" s="2">
        <f>MAX(J968:U968)</f>
        <v/>
      </c>
      <c r="X968" s="2">
        <f>W968*G968</f>
        <v/>
      </c>
    </row>
    <row r="969">
      <c r="A969" s="2" t="inlineStr">
        <is>
          <t>A14-SB-N052</t>
        </is>
      </c>
      <c r="B969" s="3" t="inlineStr">
        <is>
          <t>SOJC-SM-LC/PC-FC/APC</t>
        </is>
      </c>
      <c r="C969" s="2" t="inlineStr">
        <is>
          <t>930001510, 15M, B3, 2.0mm</t>
        </is>
      </c>
      <c r="D969" s="2" t="inlineStr">
        <is>
          <t>b3</t>
        </is>
      </c>
      <c r="E969" s="2" t="inlineStr">
        <is>
          <t>2.0mm</t>
        </is>
      </c>
      <c r="F969" s="2" t="n">
        <v>1</v>
      </c>
      <c r="G969" s="2" t="n">
        <v>15</v>
      </c>
      <c r="H969" s="2" t="inlineStr">
        <is>
          <t>LC/PC</t>
        </is>
      </c>
      <c r="I969" s="2" t="inlineStr">
        <is>
          <t>FC/APC</t>
        </is>
      </c>
      <c r="J969" s="2" t="n"/>
      <c r="K969" s="2" t="n">
        <v>40</v>
      </c>
      <c r="L969" s="2" t="n">
        <v>140</v>
      </c>
      <c r="M969" s="2" t="n">
        <v>11</v>
      </c>
      <c r="N969" s="2" t="n"/>
      <c r="O969" s="2" t="n">
        <v>5</v>
      </c>
      <c r="P969" s="2" t="n"/>
      <c r="Q969" s="2" t="n"/>
      <c r="R969" s="2" t="n"/>
      <c r="S969" s="2" t="n"/>
      <c r="T969" s="2" t="n"/>
      <c r="U969" s="2" t="n"/>
      <c r="V969" s="2">
        <f>SUM(J969:U969)*G969</f>
        <v/>
      </c>
      <c r="W969" s="2">
        <f>MAX(J969:U969)</f>
        <v/>
      </c>
      <c r="X969" s="2">
        <f>W969*G969</f>
        <v/>
      </c>
    </row>
    <row r="970">
      <c r="A970" s="2" t="inlineStr">
        <is>
          <t>A14-SB-N056</t>
        </is>
      </c>
      <c r="B970" s="3" t="inlineStr">
        <is>
          <t>SOJC-SM-LC/PC-FC/APC</t>
        </is>
      </c>
      <c r="C970" s="2" t="inlineStr">
        <is>
          <t>930001515, 20M, B3, 2.0mm</t>
        </is>
      </c>
      <c r="D970" s="2" t="inlineStr">
        <is>
          <t>b3</t>
        </is>
      </c>
      <c r="E970" s="2" t="inlineStr">
        <is>
          <t>2.0mm</t>
        </is>
      </c>
      <c r="F970" s="2" t="n">
        <v>1</v>
      </c>
      <c r="G970" s="2" t="n">
        <v>20</v>
      </c>
      <c r="H970" s="2" t="inlineStr">
        <is>
          <t>LC/PC</t>
        </is>
      </c>
      <c r="I970" s="2" t="inlineStr">
        <is>
          <t>FC/APC</t>
        </is>
      </c>
      <c r="J970" s="2" t="n"/>
      <c r="K970" s="2" t="n"/>
      <c r="L970" s="2" t="n"/>
      <c r="M970" s="2" t="n"/>
      <c r="N970" s="2" t="n"/>
      <c r="O970" s="2" t="n">
        <v>99</v>
      </c>
      <c r="P970" s="2" t="n"/>
      <c r="Q970" s="2" t="n"/>
      <c r="R970" s="2" t="n"/>
      <c r="S970" s="2" t="n"/>
      <c r="T970" s="2" t="n"/>
      <c r="U970" s="2" t="n"/>
      <c r="V970" s="2">
        <f>SUM(J970:U970)*G970</f>
        <v/>
      </c>
      <c r="W970" s="2">
        <f>MAX(J970:U970)</f>
        <v/>
      </c>
      <c r="X970" s="2">
        <f>W970*G970</f>
        <v/>
      </c>
    </row>
    <row r="971">
      <c r="A971" s="2" t="inlineStr">
        <is>
          <t>A14-SB-N057</t>
        </is>
      </c>
      <c r="B971" s="3" t="inlineStr">
        <is>
          <t>SOJC-SM-LC/PC-FC/APC</t>
        </is>
      </c>
      <c r="C971" s="2" t="inlineStr">
        <is>
          <t>930001516, 25M, B3, 2.0mm</t>
        </is>
      </c>
      <c r="D971" s="2" t="inlineStr">
        <is>
          <t>b3</t>
        </is>
      </c>
      <c r="E971" s="2" t="inlineStr">
        <is>
          <t>2.0mm</t>
        </is>
      </c>
      <c r="F971" s="2" t="n">
        <v>1</v>
      </c>
      <c r="G971" s="2" t="n">
        <v>25</v>
      </c>
      <c r="H971" s="2" t="inlineStr">
        <is>
          <t>LC/PC</t>
        </is>
      </c>
      <c r="I971" s="2" t="inlineStr">
        <is>
          <t>FC/APC</t>
        </is>
      </c>
      <c r="J971" s="2" t="n"/>
      <c r="K971" s="2" t="n"/>
      <c r="L971" s="2" t="n"/>
      <c r="M971" s="2" t="n">
        <v>28</v>
      </c>
      <c r="N971" s="2" t="n"/>
      <c r="O971" s="2" t="n"/>
      <c r="P971" s="2" t="n"/>
      <c r="Q971" s="2" t="n"/>
      <c r="R971" s="2" t="n"/>
      <c r="S971" s="2" t="n">
        <v>1</v>
      </c>
      <c r="T971" s="2" t="n">
        <v>10</v>
      </c>
      <c r="U971" s="2" t="n"/>
      <c r="V971" s="2">
        <f>SUM(J971:U971)*G971</f>
        <v/>
      </c>
      <c r="W971" s="2">
        <f>MAX(J971:U971)</f>
        <v/>
      </c>
      <c r="X971" s="2">
        <f>W971*G971</f>
        <v/>
      </c>
    </row>
    <row r="972">
      <c r="A972" s="2" t="inlineStr">
        <is>
          <t>A14-SB-N064</t>
        </is>
      </c>
      <c r="B972" s="3" t="inlineStr">
        <is>
          <t>SOJC-SM-LC/PC-FC/APC</t>
        </is>
      </c>
      <c r="C972" s="2" t="inlineStr">
        <is>
          <t>930001500, 5M, B3, 3.0mm</t>
        </is>
      </c>
      <c r="D972" s="2" t="inlineStr">
        <is>
          <t>b3</t>
        </is>
      </c>
      <c r="E972" s="2" t="inlineStr">
        <is>
          <t>3.0mm</t>
        </is>
      </c>
      <c r="F972" s="2" t="n">
        <v>1</v>
      </c>
      <c r="G972" s="2" t="n">
        <v>5</v>
      </c>
      <c r="H972" s="2" t="inlineStr">
        <is>
          <t>LC/PC</t>
        </is>
      </c>
      <c r="I972" s="2" t="inlineStr">
        <is>
          <t>FC/APC</t>
        </is>
      </c>
      <c r="J972" s="2" t="n">
        <v>50</v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>
        <f>SUM(J972:U972)*G972</f>
        <v/>
      </c>
      <c r="W972" s="2">
        <f>MAX(J972:U972)</f>
        <v/>
      </c>
      <c r="X972" s="2">
        <f>W972*G972</f>
        <v/>
      </c>
    </row>
    <row r="973">
      <c r="A973" s="2" t="inlineStr">
        <is>
          <t>A14-SB-N066</t>
        </is>
      </c>
      <c r="B973" s="3" t="inlineStr">
        <is>
          <t>SOJC-SM-LC/PC-FC/APC</t>
        </is>
      </c>
      <c r="C973" s="2" t="inlineStr">
        <is>
          <t>930001502, 7M, B3, 2.0mm</t>
        </is>
      </c>
      <c r="D973" s="2" t="inlineStr">
        <is>
          <t>b3</t>
        </is>
      </c>
      <c r="E973" s="2" t="inlineStr">
        <is>
          <t>2.0mm</t>
        </is>
      </c>
      <c r="F973" s="2" t="n">
        <v>1</v>
      </c>
      <c r="G973" s="2" t="n">
        <v>7</v>
      </c>
      <c r="H973" s="2" t="inlineStr">
        <is>
          <t>LC/PC</t>
        </is>
      </c>
      <c r="I973" s="2" t="inlineStr">
        <is>
          <t>FC/APC</t>
        </is>
      </c>
      <c r="J973" s="2" t="n"/>
      <c r="K973" s="2" t="n"/>
      <c r="L973" s="2" t="n">
        <v>5</v>
      </c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>
        <v>30</v>
      </c>
      <c r="V973" s="2">
        <f>SUM(J973:U973)*G973</f>
        <v/>
      </c>
      <c r="W973" s="2">
        <f>MAX(J973:U973)</f>
        <v/>
      </c>
      <c r="X973" s="2">
        <f>W973*G973</f>
        <v/>
      </c>
    </row>
    <row r="974">
      <c r="A974" s="2" t="inlineStr">
        <is>
          <t>A14-SB-N068</t>
        </is>
      </c>
      <c r="B974" s="3" t="inlineStr">
        <is>
          <t>SOJC-SM-LC/PC-FC/PC</t>
        </is>
      </c>
      <c r="C974" s="2" t="inlineStr">
        <is>
          <t>908040140, 10M, B3, 2.0mm</t>
        </is>
      </c>
      <c r="D974" s="2" t="inlineStr">
        <is>
          <t>b3</t>
        </is>
      </c>
      <c r="E974" s="2" t="inlineStr">
        <is>
          <t>2.0mm</t>
        </is>
      </c>
      <c r="F974" s="2" t="n">
        <v>1</v>
      </c>
      <c r="G974" s="2" t="n">
        <v>10</v>
      </c>
      <c r="H974" s="2" t="inlineStr">
        <is>
          <t>LC/PC</t>
        </is>
      </c>
      <c r="I974" s="2" t="inlineStr">
        <is>
          <t>FC/PC</t>
        </is>
      </c>
      <c r="J974" s="2" t="n"/>
      <c r="K974" s="2" t="n"/>
      <c r="L974" s="2" t="n">
        <v>30</v>
      </c>
      <c r="M974" s="2" t="n"/>
      <c r="N974" s="2" t="n"/>
      <c r="O974" s="2" t="n">
        <v>20</v>
      </c>
      <c r="P974" s="2" t="n">
        <v>20</v>
      </c>
      <c r="Q974" s="2" t="n"/>
      <c r="R974" s="2" t="n"/>
      <c r="S974" s="2" t="n"/>
      <c r="T974" s="2" t="n">
        <v>50</v>
      </c>
      <c r="U974" s="2" t="n"/>
      <c r="V974" s="2">
        <f>SUM(J974:U974)*G974</f>
        <v/>
      </c>
      <c r="W974" s="2">
        <f>MAX(J974:U974)</f>
        <v/>
      </c>
      <c r="X974" s="2">
        <f>W974*G974</f>
        <v/>
      </c>
    </row>
    <row r="975">
      <c r="A975" s="2" t="inlineStr">
        <is>
          <t>A14-SB-N071</t>
        </is>
      </c>
      <c r="B975" s="3" t="inlineStr">
        <is>
          <t>SOJC-SM-LC/PC-FC/PC</t>
        </is>
      </c>
      <c r="C975" s="2" t="inlineStr">
        <is>
          <t>908040150, 20M, B3, 2.0mm</t>
        </is>
      </c>
      <c r="D975" s="2" t="inlineStr">
        <is>
          <t>b3</t>
        </is>
      </c>
      <c r="E975" s="2" t="inlineStr">
        <is>
          <t>2.0mm</t>
        </is>
      </c>
      <c r="F975" s="2" t="n">
        <v>1</v>
      </c>
      <c r="G975" s="2" t="n">
        <v>20</v>
      </c>
      <c r="H975" s="2" t="inlineStr">
        <is>
          <t>LC/PC</t>
        </is>
      </c>
      <c r="I975" s="2" t="inlineStr">
        <is>
          <t>FC/PC</t>
        </is>
      </c>
      <c r="J975" s="2" t="n"/>
      <c r="K975" s="2" t="n"/>
      <c r="L975" s="2" t="n"/>
      <c r="M975" s="2" t="n">
        <v>3</v>
      </c>
      <c r="N975" s="2" t="n">
        <v>12</v>
      </c>
      <c r="O975" s="2" t="n"/>
      <c r="P975" s="2" t="n">
        <v>50</v>
      </c>
      <c r="Q975" s="2" t="n"/>
      <c r="R975" s="2" t="n"/>
      <c r="S975" s="2" t="n">
        <v>5</v>
      </c>
      <c r="T975" s="2" t="n">
        <v>50</v>
      </c>
      <c r="U975" s="2" t="n"/>
      <c r="V975" s="2">
        <f>SUM(J975:U975)*G975</f>
        <v/>
      </c>
      <c r="W975" s="2">
        <f>MAX(J975:U975)</f>
        <v/>
      </c>
      <c r="X975" s="2">
        <f>W975*G975</f>
        <v/>
      </c>
    </row>
    <row r="976">
      <c r="A976" s="2" t="inlineStr">
        <is>
          <t>A14-SB-N086</t>
        </is>
      </c>
      <c r="B976" s="3" t="inlineStr">
        <is>
          <t>SOJC-SM-LC/PC-LC/PC</t>
        </is>
      </c>
      <c r="C976" s="2" t="inlineStr">
        <is>
          <t>908040269, 10M, B3, 2.0mm</t>
        </is>
      </c>
      <c r="D976" s="2" t="inlineStr">
        <is>
          <t>b3</t>
        </is>
      </c>
      <c r="E976" s="2" t="inlineStr">
        <is>
          <t>2.0mm</t>
        </is>
      </c>
      <c r="F976" s="2" t="n">
        <v>1</v>
      </c>
      <c r="G976" s="2" t="n">
        <v>10</v>
      </c>
      <c r="H976" s="2" t="inlineStr">
        <is>
          <t>LC/PC</t>
        </is>
      </c>
      <c r="I976" s="2" t="inlineStr">
        <is>
          <t>LC/PC</t>
        </is>
      </c>
      <c r="J976" s="2" t="n"/>
      <c r="K976" s="2" t="n"/>
      <c r="L976" s="2" t="n"/>
      <c r="M976" s="2" t="n">
        <v>190</v>
      </c>
      <c r="N976" s="2" t="n">
        <v>50</v>
      </c>
      <c r="O976" s="2" t="n"/>
      <c r="P976" s="2" t="n"/>
      <c r="Q976" s="2" t="n"/>
      <c r="R976" s="2" t="n"/>
      <c r="S976" s="2" t="n"/>
      <c r="T976" s="2" t="n"/>
      <c r="U976" s="2" t="n"/>
      <c r="V976" s="2">
        <f>SUM(J976:U976)*G976</f>
        <v/>
      </c>
      <c r="W976" s="2">
        <f>MAX(J976:U976)</f>
        <v/>
      </c>
      <c r="X976" s="2">
        <f>W976*G976</f>
        <v/>
      </c>
    </row>
    <row r="977">
      <c r="A977" s="2" t="inlineStr">
        <is>
          <t>A14-SB-N087</t>
        </is>
      </c>
      <c r="B977" s="3" t="inlineStr">
        <is>
          <t>SOJC-SM-LC/PC-LC/PC</t>
        </is>
      </c>
      <c r="C977" s="2" t="inlineStr">
        <is>
          <t>12M, B3, 2.0mm</t>
        </is>
      </c>
      <c r="D977" s="2" t="inlineStr">
        <is>
          <t>b3</t>
        </is>
      </c>
      <c r="E977" s="2" t="inlineStr">
        <is>
          <t>2.0mm</t>
        </is>
      </c>
      <c r="F977" s="2" t="n">
        <v>1</v>
      </c>
      <c r="G977" s="2" t="n">
        <v>12</v>
      </c>
      <c r="H977" s="2" t="inlineStr">
        <is>
          <t>LC/PC</t>
        </is>
      </c>
      <c r="I977" s="2" t="inlineStr">
        <is>
          <t>LC/PC</t>
        </is>
      </c>
      <c r="J977" s="2" t="n"/>
      <c r="K977" s="2" t="n"/>
      <c r="L977" s="2" t="n"/>
      <c r="M977" s="2" t="n"/>
      <c r="N977" s="2" t="n">
        <v>3</v>
      </c>
      <c r="O977" s="2" t="n"/>
      <c r="P977" s="2" t="n"/>
      <c r="Q977" s="2" t="n">
        <v>30</v>
      </c>
      <c r="R977" s="2" t="n"/>
      <c r="S977" s="2" t="n"/>
      <c r="T977" s="2" t="n"/>
      <c r="U977" s="2" t="n"/>
      <c r="V977" s="2">
        <f>SUM(J977:U977)*G977</f>
        <v/>
      </c>
      <c r="W977" s="2">
        <f>MAX(J977:U977)</f>
        <v/>
      </c>
      <c r="X977" s="2">
        <f>W977*G977</f>
        <v/>
      </c>
    </row>
    <row r="978">
      <c r="A978" s="2" t="inlineStr">
        <is>
          <t>A14-SB-N089</t>
        </is>
      </c>
      <c r="B978" s="3" t="inlineStr">
        <is>
          <t>SOJC-SM-LC/PC-LC/PC</t>
        </is>
      </c>
      <c r="C978" s="2" t="inlineStr">
        <is>
          <t>908040274, 15M, B3, 2.0mm</t>
        </is>
      </c>
      <c r="D978" s="2" t="inlineStr">
        <is>
          <t>b3</t>
        </is>
      </c>
      <c r="E978" s="2" t="inlineStr">
        <is>
          <t>2.0mm</t>
        </is>
      </c>
      <c r="F978" s="2" t="n">
        <v>1</v>
      </c>
      <c r="G978" s="2" t="n">
        <v>15</v>
      </c>
      <c r="H978" s="2" t="inlineStr">
        <is>
          <t>LC/PC</t>
        </is>
      </c>
      <c r="I978" s="2" t="inlineStr">
        <is>
          <t>LC/PC</t>
        </is>
      </c>
      <c r="J978" s="2" t="n"/>
      <c r="K978" s="2" t="n"/>
      <c r="L978" s="2" t="n"/>
      <c r="M978" s="2" t="n"/>
      <c r="N978" s="2" t="n">
        <v>58</v>
      </c>
      <c r="O978" s="2" t="n"/>
      <c r="P978" s="2" t="n"/>
      <c r="Q978" s="2" t="n"/>
      <c r="R978" s="2" t="n">
        <v>205</v>
      </c>
      <c r="S978" s="2" t="n">
        <v>30</v>
      </c>
      <c r="T978" s="2" t="n">
        <v>50</v>
      </c>
      <c r="U978" s="2" t="n">
        <v>150</v>
      </c>
      <c r="V978" s="2">
        <f>SUM(J978:U978)*G978</f>
        <v/>
      </c>
      <c r="W978" s="2">
        <f>MAX(J978:U978)</f>
        <v/>
      </c>
      <c r="X978" s="2">
        <f>W978*G978</f>
        <v/>
      </c>
    </row>
    <row r="979">
      <c r="A979" s="2" t="inlineStr">
        <is>
          <t>A14-SB-N090</t>
        </is>
      </c>
      <c r="B979" s="3" t="inlineStr">
        <is>
          <t>SOJC-SM-LC/PC-LC/PC</t>
        </is>
      </c>
      <c r="C979" s="2" t="inlineStr">
        <is>
          <t>16M, B3, 2.0mm</t>
        </is>
      </c>
      <c r="D979" s="2" t="inlineStr">
        <is>
          <t>b3</t>
        </is>
      </c>
      <c r="E979" s="2" t="inlineStr">
        <is>
          <t>2.0mm</t>
        </is>
      </c>
      <c r="F979" s="2" t="n">
        <v>1</v>
      </c>
      <c r="G979" s="2" t="n">
        <v>16</v>
      </c>
      <c r="H979" s="2" t="inlineStr">
        <is>
          <t>LC/PC</t>
        </is>
      </c>
      <c r="I979" s="2" t="inlineStr">
        <is>
          <t>LC/PC</t>
        </is>
      </c>
      <c r="J979" s="2" t="n"/>
      <c r="K979" s="2" t="n"/>
      <c r="L979" s="2" t="n"/>
      <c r="M979" s="2" t="n"/>
      <c r="N979" s="2" t="n"/>
      <c r="O979" s="2" t="n"/>
      <c r="P979" s="2" t="n">
        <v>2</v>
      </c>
      <c r="Q979" s="2" t="n"/>
      <c r="R979" s="2" t="n"/>
      <c r="S979" s="2" t="n"/>
      <c r="T979" s="2" t="n"/>
      <c r="U979" s="2" t="n"/>
      <c r="V979" s="2">
        <f>SUM(J979:U979)*G979</f>
        <v/>
      </c>
      <c r="W979" s="2">
        <f>MAX(J979:U979)</f>
        <v/>
      </c>
      <c r="X979" s="2">
        <f>W979*G979</f>
        <v/>
      </c>
    </row>
    <row r="980">
      <c r="A980" s="2" t="inlineStr">
        <is>
          <t>A14-SB-N091</t>
        </is>
      </c>
      <c r="B980" s="3" t="inlineStr">
        <is>
          <t>SOJC-SM-LC/PC-LC/PC</t>
        </is>
      </c>
      <c r="C980" s="2" t="inlineStr">
        <is>
          <t>17M, B3, 2.0mm</t>
        </is>
      </c>
      <c r="D980" s="2" t="inlineStr">
        <is>
          <t>b3</t>
        </is>
      </c>
      <c r="E980" s="2" t="inlineStr">
        <is>
          <t>2.0mm</t>
        </is>
      </c>
      <c r="F980" s="2" t="n">
        <v>1</v>
      </c>
      <c r="G980" s="2" t="n">
        <v>17</v>
      </c>
      <c r="H980" s="2" t="inlineStr">
        <is>
          <t>LC/PC</t>
        </is>
      </c>
      <c r="I980" s="2" t="inlineStr">
        <is>
          <t>LC/PC</t>
        </is>
      </c>
      <c r="J980" s="2" t="n"/>
      <c r="K980" s="2" t="n"/>
      <c r="L980" s="2" t="n"/>
      <c r="M980" s="2" t="n"/>
      <c r="N980" s="2" t="n"/>
      <c r="O980" s="2" t="n"/>
      <c r="P980" s="2" t="n">
        <v>6</v>
      </c>
      <c r="Q980" s="2" t="n"/>
      <c r="R980" s="2" t="n"/>
      <c r="S980" s="2" t="n"/>
      <c r="T980" s="2" t="n"/>
      <c r="U980" s="2" t="n"/>
      <c r="V980" s="2">
        <f>SUM(J980:U980)*G980</f>
        <v/>
      </c>
      <c r="W980" s="2">
        <f>MAX(J980:U980)</f>
        <v/>
      </c>
      <c r="X980" s="2">
        <f>W980*G980</f>
        <v/>
      </c>
    </row>
    <row r="981">
      <c r="A981" s="2" t="inlineStr">
        <is>
          <t>A14-SB-N094</t>
        </is>
      </c>
      <c r="B981" s="3" t="inlineStr">
        <is>
          <t>SOJC-SM-LC/PC-LC/PC</t>
        </is>
      </c>
      <c r="C981" s="2" t="inlineStr">
        <is>
          <t>908040279, 20M, B3, 2.0mm</t>
        </is>
      </c>
      <c r="D981" s="2" t="inlineStr">
        <is>
          <t>b3</t>
        </is>
      </c>
      <c r="E981" s="2" t="inlineStr">
        <is>
          <t>2.0mm</t>
        </is>
      </c>
      <c r="F981" s="2" t="n">
        <v>1</v>
      </c>
      <c r="G981" s="2" t="n">
        <v>20</v>
      </c>
      <c r="H981" s="2" t="inlineStr">
        <is>
          <t>LC/PC</t>
        </is>
      </c>
      <c r="I981" s="2" t="inlineStr">
        <is>
          <t>LC/PC</t>
        </is>
      </c>
      <c r="J981" s="2" t="n"/>
      <c r="K981" s="2" t="n"/>
      <c r="L981" s="2" t="n"/>
      <c r="M981" s="2" t="n">
        <v>172</v>
      </c>
      <c r="N981" s="2" t="n"/>
      <c r="O981" s="2" t="n">
        <v>20</v>
      </c>
      <c r="P981" s="2" t="n"/>
      <c r="Q981" s="2" t="n">
        <v>15</v>
      </c>
      <c r="R981" s="2" t="n">
        <v>60</v>
      </c>
      <c r="S981" s="2" t="n">
        <v>180</v>
      </c>
      <c r="T981" s="2" t="n">
        <v>295</v>
      </c>
      <c r="U981" s="2" t="n"/>
      <c r="V981" s="2">
        <f>SUM(J981:U981)*G981</f>
        <v/>
      </c>
      <c r="W981" s="2">
        <f>MAX(J981:U981)</f>
        <v/>
      </c>
      <c r="X981" s="2">
        <f>W981*G981</f>
        <v/>
      </c>
    </row>
    <row r="982">
      <c r="A982" s="2" t="inlineStr">
        <is>
          <t>A14-SB-N095</t>
        </is>
      </c>
      <c r="B982" s="3" t="inlineStr">
        <is>
          <t>SOJC-SM-LC/PC-LC/PC</t>
        </is>
      </c>
      <c r="C982" s="2" t="inlineStr">
        <is>
          <t>21M, B3, 2.0mm</t>
        </is>
      </c>
      <c r="D982" s="2" t="inlineStr">
        <is>
          <t>b3</t>
        </is>
      </c>
      <c r="E982" s="2" t="inlineStr">
        <is>
          <t>2.0mm</t>
        </is>
      </c>
      <c r="F982" s="2" t="n">
        <v>1</v>
      </c>
      <c r="G982" s="2" t="n">
        <v>21</v>
      </c>
      <c r="H982" s="2" t="inlineStr">
        <is>
          <t>LC/PC</t>
        </is>
      </c>
      <c r="I982" s="2" t="inlineStr">
        <is>
          <t>LC/PC</t>
        </is>
      </c>
      <c r="J982" s="2" t="n"/>
      <c r="K982" s="2" t="n"/>
      <c r="L982" s="2" t="n"/>
      <c r="M982" s="2" t="n"/>
      <c r="N982" s="2" t="n"/>
      <c r="O982" s="2" t="n"/>
      <c r="P982" s="2" t="n">
        <v>2</v>
      </c>
      <c r="Q982" s="2" t="n"/>
      <c r="R982" s="2" t="n"/>
      <c r="S982" s="2" t="n"/>
      <c r="T982" s="2" t="n"/>
      <c r="U982" s="2" t="n"/>
      <c r="V982" s="2">
        <f>SUM(J982:U982)*G982</f>
        <v/>
      </c>
      <c r="W982" s="2">
        <f>MAX(J982:U982)</f>
        <v/>
      </c>
      <c r="X982" s="2">
        <f>W982*G982</f>
        <v/>
      </c>
    </row>
    <row r="983">
      <c r="A983" s="2" t="inlineStr">
        <is>
          <t>A14-SB-N098</t>
        </is>
      </c>
      <c r="B983" s="3" t="inlineStr">
        <is>
          <t>SOJC-SM-LC/PC-LC/PC</t>
        </is>
      </c>
      <c r="C983" s="2" t="inlineStr">
        <is>
          <t>908040289, 30M, B3, 2.0mm</t>
        </is>
      </c>
      <c r="D983" s="2" t="inlineStr">
        <is>
          <t>b3</t>
        </is>
      </c>
      <c r="E983" s="2" t="inlineStr">
        <is>
          <t>2.0mm</t>
        </is>
      </c>
      <c r="F983" s="2" t="n">
        <v>1</v>
      </c>
      <c r="G983" s="2" t="n">
        <v>30</v>
      </c>
      <c r="H983" s="2" t="inlineStr">
        <is>
          <t>LC/PC</t>
        </is>
      </c>
      <c r="I983" s="2" t="inlineStr">
        <is>
          <t>LC/PC</t>
        </is>
      </c>
      <c r="J983" s="2" t="n"/>
      <c r="K983" s="2" t="n"/>
      <c r="L983" s="2" t="n"/>
      <c r="M983" s="2" t="n">
        <v>50</v>
      </c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>
        <f>SUM(J983:U983)*G983</f>
        <v/>
      </c>
      <c r="W983" s="2">
        <f>MAX(J983:U983)</f>
        <v/>
      </c>
      <c r="X983" s="2">
        <f>W983*G983</f>
        <v/>
      </c>
    </row>
    <row r="984">
      <c r="A984" s="2" t="inlineStr">
        <is>
          <t>A14-SB-N099</t>
        </is>
      </c>
      <c r="B984" s="3" t="inlineStr">
        <is>
          <t>SOJC-SM-LC/PC-LC/PC</t>
        </is>
      </c>
      <c r="C984" s="2" t="inlineStr">
        <is>
          <t>908040260, 3M, B3, 3.0mm</t>
        </is>
      </c>
      <c r="D984" s="2" t="inlineStr">
        <is>
          <t>b3</t>
        </is>
      </c>
      <c r="E984" s="2" t="inlineStr">
        <is>
          <t>3.0mm</t>
        </is>
      </c>
      <c r="F984" s="2" t="n">
        <v>1</v>
      </c>
      <c r="G984" s="2" t="n">
        <v>3</v>
      </c>
      <c r="H984" s="2" t="inlineStr">
        <is>
          <t>LC/PC</t>
        </is>
      </c>
      <c r="I984" s="2" t="inlineStr">
        <is>
          <t>LC/PC</t>
        </is>
      </c>
      <c r="J984" s="2" t="n"/>
      <c r="K984" s="2" t="n"/>
      <c r="L984" s="2" t="n"/>
      <c r="M984" s="2" t="n"/>
      <c r="N984" s="2" t="n"/>
      <c r="O984" s="2" t="n">
        <v>50</v>
      </c>
      <c r="P984" s="2" t="n"/>
      <c r="Q984" s="2" t="n"/>
      <c r="R984" s="2" t="n"/>
      <c r="S984" s="2" t="n"/>
      <c r="T984" s="2" t="n"/>
      <c r="U984" s="2" t="n"/>
      <c r="V984" s="2">
        <f>SUM(J984:U984)*G984</f>
        <v/>
      </c>
      <c r="W984" s="2">
        <f>MAX(J984:U984)</f>
        <v/>
      </c>
      <c r="X984" s="2">
        <f>W984*G984</f>
        <v/>
      </c>
    </row>
    <row r="985">
      <c r="A985" s="2" t="inlineStr">
        <is>
          <t>A14-SB-N104</t>
        </is>
      </c>
      <c r="B985" s="3" t="inlineStr">
        <is>
          <t>SOJC-SM-LC/PC-LC/PC</t>
        </is>
      </c>
      <c r="C985" s="2" t="inlineStr">
        <is>
          <t>908040264, 5M, B3, 3.0mm</t>
        </is>
      </c>
      <c r="D985" s="2" t="inlineStr">
        <is>
          <t>b3</t>
        </is>
      </c>
      <c r="E985" s="2" t="inlineStr">
        <is>
          <t>3.0mm</t>
        </is>
      </c>
      <c r="F985" s="2" t="n">
        <v>1</v>
      </c>
      <c r="G985" s="2" t="n">
        <v>5</v>
      </c>
      <c r="H985" s="2" t="inlineStr">
        <is>
          <t>LC/PC</t>
        </is>
      </c>
      <c r="I985" s="2" t="inlineStr">
        <is>
          <t>LC/PC</t>
        </is>
      </c>
      <c r="J985" s="2" t="n">
        <v>9</v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>
        <f>SUM(J985:U985)*G985</f>
        <v/>
      </c>
      <c r="W985" s="2">
        <f>MAX(J985:U985)</f>
        <v/>
      </c>
      <c r="X985" s="2">
        <f>W985*G985</f>
        <v/>
      </c>
    </row>
    <row r="986">
      <c r="A986" s="2" t="inlineStr">
        <is>
          <t>A14-SB-N105</t>
        </is>
      </c>
      <c r="B986" s="3" t="inlineStr">
        <is>
          <t>SOJC-SM-LC/PC-LC/PC</t>
        </is>
      </c>
      <c r="C986" s="2" t="inlineStr">
        <is>
          <t>908040265, 6M, B3, 2.0mm</t>
        </is>
      </c>
      <c r="D986" s="2" t="inlineStr">
        <is>
          <t>b3</t>
        </is>
      </c>
      <c r="E986" s="2" t="inlineStr">
        <is>
          <t>2.0mm</t>
        </is>
      </c>
      <c r="F986" s="2" t="n">
        <v>1</v>
      </c>
      <c r="G986" s="2" t="n">
        <v>6</v>
      </c>
      <c r="H986" s="2" t="inlineStr">
        <is>
          <t>LC/PC</t>
        </is>
      </c>
      <c r="I986" s="2" t="inlineStr">
        <is>
          <t>LC/PC</t>
        </is>
      </c>
      <c r="J986" s="2" t="n"/>
      <c r="K986" s="2" t="n"/>
      <c r="L986" s="2" t="n"/>
      <c r="M986" s="2" t="n"/>
      <c r="N986" s="2" t="n">
        <v>35</v>
      </c>
      <c r="O986" s="2" t="n"/>
      <c r="P986" s="2" t="n"/>
      <c r="Q986" s="2" t="n"/>
      <c r="R986" s="2" t="n"/>
      <c r="S986" s="2" t="n">
        <v>25</v>
      </c>
      <c r="T986" s="2" t="n"/>
      <c r="U986" s="2" t="n"/>
      <c r="V986" s="2">
        <f>SUM(J986:U986)*G986</f>
        <v/>
      </c>
      <c r="W986" s="2">
        <f>MAX(J986:U986)</f>
        <v/>
      </c>
      <c r="X986" s="2">
        <f>W986*G986</f>
        <v/>
      </c>
    </row>
    <row r="987">
      <c r="A987" s="2" t="inlineStr">
        <is>
          <t>A14-SB-N106</t>
        </is>
      </c>
      <c r="B987" s="3" t="inlineStr">
        <is>
          <t>SOJC-SM-LC/PC-LC/PC</t>
        </is>
      </c>
      <c r="C987" s="2" t="inlineStr">
        <is>
          <t>908040266, 7M, B3, 2.0mm</t>
        </is>
      </c>
      <c r="D987" s="2" t="inlineStr">
        <is>
          <t>b3</t>
        </is>
      </c>
      <c r="E987" s="2" t="inlineStr">
        <is>
          <t>2.0mm</t>
        </is>
      </c>
      <c r="F987" s="2" t="n">
        <v>1</v>
      </c>
      <c r="G987" s="2" t="n">
        <v>7</v>
      </c>
      <c r="H987" s="2" t="inlineStr">
        <is>
          <t>LC/PC</t>
        </is>
      </c>
      <c r="I987" s="2" t="inlineStr">
        <is>
          <t>LC/PC</t>
        </is>
      </c>
      <c r="J987" s="2" t="n"/>
      <c r="K987" s="2" t="n">
        <v>10</v>
      </c>
      <c r="L987" s="2" t="n"/>
      <c r="M987" s="2" t="n"/>
      <c r="N987" s="2" t="n">
        <v>20</v>
      </c>
      <c r="O987" s="2" t="n"/>
      <c r="P987" s="2" t="n">
        <v>20</v>
      </c>
      <c r="Q987" s="2" t="n">
        <v>100</v>
      </c>
      <c r="R987" s="2" t="n"/>
      <c r="S987" s="2" t="n">
        <v>10</v>
      </c>
      <c r="T987" s="2" t="n"/>
      <c r="U987" s="2" t="n"/>
      <c r="V987" s="2">
        <f>SUM(J987:U987)*G987</f>
        <v/>
      </c>
      <c r="W987" s="2">
        <f>MAX(J987:U987)</f>
        <v/>
      </c>
      <c r="X987" s="2">
        <f>W987*G987</f>
        <v/>
      </c>
    </row>
    <row r="988">
      <c r="A988" s="2" t="inlineStr">
        <is>
          <t>A14-SB-N107</t>
        </is>
      </c>
      <c r="B988" s="3" t="inlineStr">
        <is>
          <t>SOJC-SM-LC/PC-LC/PC</t>
        </is>
      </c>
      <c r="C988" s="2" t="inlineStr">
        <is>
          <t>908040267, 8M, B3, 2.0mm</t>
        </is>
      </c>
      <c r="D988" s="2" t="inlineStr">
        <is>
          <t>b3</t>
        </is>
      </c>
      <c r="E988" s="2" t="inlineStr">
        <is>
          <t>2.0mm</t>
        </is>
      </c>
      <c r="F988" s="2" t="n">
        <v>1</v>
      </c>
      <c r="G988" s="2" t="n">
        <v>8</v>
      </c>
      <c r="H988" s="2" t="inlineStr">
        <is>
          <t>LC/PC</t>
        </is>
      </c>
      <c r="I988" s="2" t="inlineStr">
        <is>
          <t>LC/PC</t>
        </is>
      </c>
      <c r="J988" s="2" t="n"/>
      <c r="K988" s="2" t="n"/>
      <c r="L988" s="2" t="n"/>
      <c r="M988" s="2" t="n">
        <v>50</v>
      </c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>
        <f>SUM(J988:U988)*G988</f>
        <v/>
      </c>
      <c r="W988" s="2">
        <f>MAX(J988:U988)</f>
        <v/>
      </c>
      <c r="X988" s="2">
        <f>W988*G988</f>
        <v/>
      </c>
    </row>
    <row r="989">
      <c r="A989" s="2" t="inlineStr">
        <is>
          <t>A14-SB-N111</t>
        </is>
      </c>
      <c r="B989" s="3" t="inlineStr">
        <is>
          <t>SOJC-SM-LC/PC-SC/APC</t>
        </is>
      </c>
      <c r="C989" s="2" t="inlineStr">
        <is>
          <t>920000744, 10M, B3, 2.0mm</t>
        </is>
      </c>
      <c r="D989" s="2" t="inlineStr">
        <is>
          <t>b3</t>
        </is>
      </c>
      <c r="E989" s="2" t="inlineStr">
        <is>
          <t>2.0mm</t>
        </is>
      </c>
      <c r="F989" s="2" t="n">
        <v>1</v>
      </c>
      <c r="G989" s="2" t="n">
        <v>10</v>
      </c>
      <c r="H989" s="2" t="inlineStr">
        <is>
          <t>LC/PC</t>
        </is>
      </c>
      <c r="I989" s="2" t="inlineStr">
        <is>
          <t>SC/APC</t>
        </is>
      </c>
      <c r="J989" s="2" t="n"/>
      <c r="K989" s="2" t="n"/>
      <c r="L989" s="2" t="n"/>
      <c r="M989" s="2" t="n">
        <v>4</v>
      </c>
      <c r="N989" s="2" t="n"/>
      <c r="O989" s="2" t="n">
        <v>45</v>
      </c>
      <c r="P989" s="2" t="n"/>
      <c r="Q989" s="2" t="n"/>
      <c r="R989" s="2" t="n"/>
      <c r="S989" s="2" t="n">
        <v>35</v>
      </c>
      <c r="T989" s="2" t="n"/>
      <c r="U989" s="2" t="n">
        <v>50</v>
      </c>
      <c r="V989" s="2">
        <f>SUM(J989:U989)*G989</f>
        <v/>
      </c>
      <c r="W989" s="2">
        <f>MAX(J989:U989)</f>
        <v/>
      </c>
      <c r="X989" s="2">
        <f>W989*G989</f>
        <v/>
      </c>
    </row>
    <row r="990">
      <c r="A990" s="2" t="inlineStr">
        <is>
          <t>A14-SB-N114</t>
        </is>
      </c>
      <c r="B990" s="3" t="inlineStr">
        <is>
          <t>SOJC-SM-LC/PC-SC/APC</t>
        </is>
      </c>
      <c r="C990" s="2" t="inlineStr">
        <is>
          <t>920000749, 15M, B3, 2.0mm</t>
        </is>
      </c>
      <c r="D990" s="2" t="inlineStr">
        <is>
          <t>b3</t>
        </is>
      </c>
      <c r="E990" s="2" t="inlineStr">
        <is>
          <t>2.0mm</t>
        </is>
      </c>
      <c r="F990" s="2" t="n">
        <v>1</v>
      </c>
      <c r="G990" s="2" t="n">
        <v>15</v>
      </c>
      <c r="H990" s="2" t="inlineStr">
        <is>
          <t>LC/PC</t>
        </is>
      </c>
      <c r="I990" s="2" t="inlineStr">
        <is>
          <t>SC/APC</t>
        </is>
      </c>
      <c r="J990" s="2" t="n"/>
      <c r="K990" s="2" t="n"/>
      <c r="L990" s="2" t="n">
        <v>178</v>
      </c>
      <c r="M990" s="2" t="n"/>
      <c r="N990" s="2" t="n">
        <v>10</v>
      </c>
      <c r="O990" s="2" t="n"/>
      <c r="P990" s="2" t="n"/>
      <c r="Q990" s="2" t="n"/>
      <c r="R990" s="2" t="n">
        <v>32</v>
      </c>
      <c r="S990" s="2" t="n">
        <v>45</v>
      </c>
      <c r="T990" s="2" t="n"/>
      <c r="U990" s="2" t="n"/>
      <c r="V990" s="2">
        <f>SUM(J990:U990)*G990</f>
        <v/>
      </c>
      <c r="W990" s="2">
        <f>MAX(J990:U990)</f>
        <v/>
      </c>
      <c r="X990" s="2">
        <f>W990*G990</f>
        <v/>
      </c>
    </row>
    <row r="991">
      <c r="A991" s="2" t="inlineStr">
        <is>
          <t>A14-SB-N117</t>
        </is>
      </c>
      <c r="B991" s="3" t="inlineStr">
        <is>
          <t>SOJC-SM-LC/PC-SC/APC</t>
        </is>
      </c>
      <c r="C991" s="2" t="inlineStr">
        <is>
          <t>920000754, 20M, B3, 2.0mm</t>
        </is>
      </c>
      <c r="D991" s="2" t="inlineStr">
        <is>
          <t>b3</t>
        </is>
      </c>
      <c r="E991" s="2" t="inlineStr">
        <is>
          <t>2.0mm</t>
        </is>
      </c>
      <c r="F991" s="2" t="n">
        <v>1</v>
      </c>
      <c r="G991" s="2" t="n">
        <v>20</v>
      </c>
      <c r="H991" s="2" t="inlineStr">
        <is>
          <t>LC/PC</t>
        </is>
      </c>
      <c r="I991" s="2" t="inlineStr">
        <is>
          <t>SC/APC</t>
        </is>
      </c>
      <c r="J991" s="2" t="n"/>
      <c r="K991" s="2" t="n"/>
      <c r="L991" s="2" t="n"/>
      <c r="M991" s="2" t="n">
        <v>5</v>
      </c>
      <c r="N991" s="2" t="n">
        <v>20</v>
      </c>
      <c r="O991" s="2" t="n"/>
      <c r="P991" s="2" t="n"/>
      <c r="Q991" s="2" t="n"/>
      <c r="R991" s="2" t="n"/>
      <c r="S991" s="2" t="n"/>
      <c r="T991" s="2" t="n"/>
      <c r="U991" s="2" t="n"/>
      <c r="V991" s="2">
        <f>SUM(J991:U991)*G991</f>
        <v/>
      </c>
      <c r="W991" s="2">
        <f>MAX(J991:U991)</f>
        <v/>
      </c>
      <c r="X991" s="2">
        <f>W991*G991</f>
        <v/>
      </c>
    </row>
    <row r="992">
      <c r="A992" s="2" t="inlineStr">
        <is>
          <t>A14-SB-N118</t>
        </is>
      </c>
      <c r="B992" s="3" t="inlineStr">
        <is>
          <t>SOJC-SM-LC/PC-SC/APC</t>
        </is>
      </c>
      <c r="C992" s="2" t="inlineStr">
        <is>
          <t>920000759, 25M, B3, 2.0mm</t>
        </is>
      </c>
      <c r="D992" s="2" t="inlineStr">
        <is>
          <t>b3</t>
        </is>
      </c>
      <c r="E992" s="2" t="inlineStr">
        <is>
          <t>2.0mm</t>
        </is>
      </c>
      <c r="F992" s="2" t="n">
        <v>1</v>
      </c>
      <c r="G992" s="2" t="n">
        <v>25</v>
      </c>
      <c r="H992" s="2" t="inlineStr">
        <is>
          <t>LC/PC</t>
        </is>
      </c>
      <c r="I992" s="2" t="inlineStr">
        <is>
          <t>SC/APC</t>
        </is>
      </c>
      <c r="J992" s="2" t="n"/>
      <c r="K992" s="2" t="n"/>
      <c r="L992" s="2" t="n"/>
      <c r="M992" s="2" t="n"/>
      <c r="N992" s="2" t="n"/>
      <c r="O992" s="2" t="n">
        <v>45</v>
      </c>
      <c r="P992" s="2" t="n"/>
      <c r="Q992" s="2" t="n"/>
      <c r="R992" s="2" t="n"/>
      <c r="S992" s="2" t="n"/>
      <c r="T992" s="2" t="n"/>
      <c r="U992" s="2" t="n"/>
      <c r="V992" s="2">
        <f>SUM(J992:U992)*G992</f>
        <v/>
      </c>
      <c r="W992" s="2">
        <f>MAX(J992:U992)</f>
        <v/>
      </c>
      <c r="X992" s="2">
        <f>W992*G992</f>
        <v/>
      </c>
    </row>
    <row r="993">
      <c r="A993" s="2" t="inlineStr">
        <is>
          <t>A14-SB-N120</t>
        </is>
      </c>
      <c r="B993" s="3" t="inlineStr">
        <is>
          <t>SOJC-SM-LC/PC-SC/APC</t>
        </is>
      </c>
      <c r="C993" s="2" t="inlineStr">
        <is>
          <t>920000764, 30M, B3, 2.0mm</t>
        </is>
      </c>
      <c r="D993" s="2" t="inlineStr">
        <is>
          <t>b3</t>
        </is>
      </c>
      <c r="E993" s="2" t="inlineStr">
        <is>
          <t>2.0mm</t>
        </is>
      </c>
      <c r="F993" s="2" t="n">
        <v>1</v>
      </c>
      <c r="G993" s="2" t="n">
        <v>30</v>
      </c>
      <c r="H993" s="2" t="inlineStr">
        <is>
          <t>LC/PC</t>
        </is>
      </c>
      <c r="I993" s="2" t="inlineStr">
        <is>
          <t>SC/APC</t>
        </is>
      </c>
      <c r="J993" s="2" t="n"/>
      <c r="K993" s="2" t="n"/>
      <c r="L993" s="2" t="n"/>
      <c r="M993" s="2" t="n"/>
      <c r="N993" s="2" t="n">
        <v>10</v>
      </c>
      <c r="O993" s="2" t="n">
        <v>4</v>
      </c>
      <c r="P993" s="2" t="n"/>
      <c r="Q993" s="2" t="n"/>
      <c r="R993" s="2" t="n"/>
      <c r="S993" s="2" t="n"/>
      <c r="T993" s="2" t="n">
        <v>3</v>
      </c>
      <c r="U993" s="2" t="n"/>
      <c r="V993" s="2">
        <f>SUM(J993:U993)*G993</f>
        <v/>
      </c>
      <c r="W993" s="2">
        <f>MAX(J993:U993)</f>
        <v/>
      </c>
      <c r="X993" s="2">
        <f>W993*G993</f>
        <v/>
      </c>
    </row>
    <row r="994">
      <c r="A994" s="2" t="inlineStr">
        <is>
          <t>A14-SB-N130</t>
        </is>
      </c>
      <c r="B994" s="3" t="inlineStr">
        <is>
          <t>SOJC-SM-LC/PC-SC/PC</t>
        </is>
      </c>
      <c r="C994" s="2" t="inlineStr">
        <is>
          <t>908040170, 10M, B3, 2.0mm</t>
        </is>
      </c>
      <c r="D994" s="2" t="inlineStr">
        <is>
          <t>b3</t>
        </is>
      </c>
      <c r="E994" s="2" t="inlineStr">
        <is>
          <t>2.0mm</t>
        </is>
      </c>
      <c r="F994" s="2" t="n">
        <v>1</v>
      </c>
      <c r="G994" s="2" t="n">
        <v>10</v>
      </c>
      <c r="H994" s="2" t="inlineStr">
        <is>
          <t>LC/PC</t>
        </is>
      </c>
      <c r="I994" s="2" t="inlineStr">
        <is>
          <t>SC/PC</t>
        </is>
      </c>
      <c r="J994" s="2" t="n"/>
      <c r="K994" s="2" t="n">
        <v>25</v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>
        <v>252</v>
      </c>
      <c r="V994" s="2">
        <f>SUM(J994:U994)*G994</f>
        <v/>
      </c>
      <c r="W994" s="2">
        <f>MAX(J994:U994)</f>
        <v/>
      </c>
      <c r="X994" s="2">
        <f>W994*G994</f>
        <v/>
      </c>
    </row>
    <row r="995">
      <c r="A995" s="2" t="inlineStr">
        <is>
          <t>A14-SB-N132</t>
        </is>
      </c>
      <c r="B995" s="3" t="inlineStr">
        <is>
          <t>SOJC-SM-LC/PC-SC/PC</t>
        </is>
      </c>
      <c r="C995" s="2" t="inlineStr">
        <is>
          <t>12M, B3, 2.0mm</t>
        </is>
      </c>
      <c r="D995" s="2" t="inlineStr">
        <is>
          <t>b3</t>
        </is>
      </c>
      <c r="E995" s="2" t="inlineStr">
        <is>
          <t>2.0mm</t>
        </is>
      </c>
      <c r="F995" s="2" t="n">
        <v>1</v>
      </c>
      <c r="G995" s="2" t="n">
        <v>12</v>
      </c>
      <c r="H995" s="2" t="inlineStr">
        <is>
          <t>LC/PC</t>
        </is>
      </c>
      <c r="I995" s="2" t="inlineStr">
        <is>
          <t>SC/PC</t>
        </is>
      </c>
      <c r="J995" s="2" t="n"/>
      <c r="K995" s="2" t="n"/>
      <c r="L995" s="2" t="n"/>
      <c r="M995" s="2" t="n"/>
      <c r="N995" s="2" t="n">
        <v>30</v>
      </c>
      <c r="O995" s="2" t="n"/>
      <c r="P995" s="2" t="n"/>
      <c r="Q995" s="2" t="n">
        <v>30</v>
      </c>
      <c r="R995" s="2" t="n"/>
      <c r="S995" s="2" t="n"/>
      <c r="T995" s="2" t="n"/>
      <c r="U995" s="2" t="n"/>
      <c r="V995" s="2">
        <f>SUM(J995:U995)*G995</f>
        <v/>
      </c>
      <c r="W995" s="2">
        <f>MAX(J995:U995)</f>
        <v/>
      </c>
      <c r="X995" s="2">
        <f>W995*G995</f>
        <v/>
      </c>
    </row>
    <row r="996">
      <c r="A996" s="2" t="inlineStr">
        <is>
          <t>A14-SB-N134</t>
        </is>
      </c>
      <c r="B996" s="3" t="inlineStr">
        <is>
          <t>SOJC-SM-LC/PC-SC/PC</t>
        </is>
      </c>
      <c r="C996" s="2" t="inlineStr">
        <is>
          <t>15M, B3, 2.0mm</t>
        </is>
      </c>
      <c r="D996" s="2" t="inlineStr">
        <is>
          <t>b3</t>
        </is>
      </c>
      <c r="E996" s="2" t="inlineStr">
        <is>
          <t>2.0mm</t>
        </is>
      </c>
      <c r="F996" s="2" t="n">
        <v>1</v>
      </c>
      <c r="G996" s="2" t="n">
        <v>15</v>
      </c>
      <c r="H996" s="2" t="inlineStr">
        <is>
          <t>LC/PC</t>
        </is>
      </c>
      <c r="I996" s="2" t="inlineStr">
        <is>
          <t>SC/PC</t>
        </is>
      </c>
      <c r="J996" s="2" t="n"/>
      <c r="K996" s="2" t="n">
        <v>89</v>
      </c>
      <c r="L996" s="2" t="n"/>
      <c r="M996" s="2" t="n"/>
      <c r="N996" s="2" t="n">
        <v>50</v>
      </c>
      <c r="O996" s="2" t="n">
        <v>450</v>
      </c>
      <c r="P996" s="2" t="n">
        <v>463</v>
      </c>
      <c r="Q996" s="2" t="n">
        <v>68</v>
      </c>
      <c r="R996" s="2" t="n">
        <v>140</v>
      </c>
      <c r="S996" s="2" t="n">
        <v>55</v>
      </c>
      <c r="T996" s="2" t="n">
        <v>99</v>
      </c>
      <c r="U996" s="2" t="n"/>
      <c r="V996" s="2">
        <f>SUM(J996:U996)*G996</f>
        <v/>
      </c>
      <c r="W996" s="2">
        <f>MAX(J996:U996)</f>
        <v/>
      </c>
      <c r="X996" s="2">
        <f>W996*G996</f>
        <v/>
      </c>
    </row>
    <row r="997">
      <c r="A997" s="2" t="inlineStr">
        <is>
          <t>A14-SB-N136</t>
        </is>
      </c>
      <c r="B997" s="3" t="inlineStr">
        <is>
          <t>SOJC-SM-LC/PC-SC/PC</t>
        </is>
      </c>
      <c r="C997" s="2" t="inlineStr">
        <is>
          <t>17M, B3, 2.0mm</t>
        </is>
      </c>
      <c r="D997" s="2" t="inlineStr">
        <is>
          <t>b3</t>
        </is>
      </c>
      <c r="E997" s="2" t="inlineStr">
        <is>
          <t>2.0mm</t>
        </is>
      </c>
      <c r="F997" s="2" t="n">
        <v>1</v>
      </c>
      <c r="G997" s="2" t="n">
        <v>17</v>
      </c>
      <c r="H997" s="2" t="inlineStr">
        <is>
          <t>LC/PC</t>
        </is>
      </c>
      <c r="I997" s="2" t="inlineStr">
        <is>
          <t>SC/PC</t>
        </is>
      </c>
      <c r="J997" s="2" t="n"/>
      <c r="K997" s="2" t="n"/>
      <c r="L997" s="2" t="n"/>
      <c r="M997" s="2" t="n"/>
      <c r="N997" s="2" t="n"/>
      <c r="O997" s="2" t="n"/>
      <c r="P997" s="2" t="n"/>
      <c r="Q997" s="2" t="n">
        <v>8</v>
      </c>
      <c r="R997" s="2" t="n"/>
      <c r="S997" s="2" t="n"/>
      <c r="T997" s="2" t="n"/>
      <c r="U997" s="2" t="n"/>
      <c r="V997" s="2">
        <f>SUM(J997:U997)*G997</f>
        <v/>
      </c>
      <c r="W997" s="2">
        <f>MAX(J997:U997)</f>
        <v/>
      </c>
      <c r="X997" s="2">
        <f>W997*G997</f>
        <v/>
      </c>
    </row>
    <row r="998">
      <c r="A998" s="2" t="inlineStr">
        <is>
          <t>A14-SB-N138</t>
        </is>
      </c>
      <c r="B998" s="3" t="inlineStr">
        <is>
          <t>SOJC-SM-LC/PC-SC/PC</t>
        </is>
      </c>
      <c r="C998" s="2" t="inlineStr">
        <is>
          <t>908040162, 1M, B3, 3.0mm</t>
        </is>
      </c>
      <c r="D998" s="2" t="inlineStr">
        <is>
          <t>b3</t>
        </is>
      </c>
      <c r="E998" s="2" t="inlineStr">
        <is>
          <t>3.0mm</t>
        </is>
      </c>
      <c r="F998" s="2" t="n">
        <v>1</v>
      </c>
      <c r="G998" s="2" t="n">
        <v>1</v>
      </c>
      <c r="H998" s="2" t="inlineStr">
        <is>
          <t>LC/PC</t>
        </is>
      </c>
      <c r="I998" s="2" t="inlineStr">
        <is>
          <t>SC/PC</t>
        </is>
      </c>
      <c r="J998" s="2" t="n"/>
      <c r="K998" s="2" t="n"/>
      <c r="L998" s="2" t="n"/>
      <c r="M998" s="2" t="n"/>
      <c r="N998" s="2" t="n"/>
      <c r="O998" s="2" t="n">
        <v>19</v>
      </c>
      <c r="P998" s="2" t="n"/>
      <c r="Q998" s="2" t="n"/>
      <c r="R998" s="2" t="n"/>
      <c r="S998" s="2" t="n">
        <v>10</v>
      </c>
      <c r="T998" s="2" t="n">
        <v>10</v>
      </c>
      <c r="U998" s="2" t="n"/>
      <c r="V998" s="2">
        <f>SUM(J998:U998)*G998</f>
        <v/>
      </c>
      <c r="W998" s="2">
        <f>MAX(J998:U998)</f>
        <v/>
      </c>
      <c r="X998" s="2">
        <f>W998*G998</f>
        <v/>
      </c>
    </row>
    <row r="999">
      <c r="A999" s="2" t="inlineStr">
        <is>
          <t>A14-SB-N139</t>
        </is>
      </c>
      <c r="B999" s="3" t="inlineStr">
        <is>
          <t>SOJC-SM-LC/PC-SC/PC</t>
        </is>
      </c>
      <c r="C999" s="2" t="inlineStr">
        <is>
          <t>908040180, 20M, B3, 2.0mm</t>
        </is>
      </c>
      <c r="D999" s="2" t="inlineStr">
        <is>
          <t>b3</t>
        </is>
      </c>
      <c r="E999" s="2" t="inlineStr">
        <is>
          <t>2.0mm</t>
        </is>
      </c>
      <c r="F999" s="2" t="n">
        <v>1</v>
      </c>
      <c r="G999" s="2" t="n">
        <v>20</v>
      </c>
      <c r="H999" s="2" t="inlineStr">
        <is>
          <t>LC/PC</t>
        </is>
      </c>
      <c r="I999" s="2" t="inlineStr">
        <is>
          <t>SC/PC</t>
        </is>
      </c>
      <c r="J999" s="2" t="n">
        <v>15</v>
      </c>
      <c r="K999" s="2" t="n">
        <v>50</v>
      </c>
      <c r="L999" s="2" t="n"/>
      <c r="M999" s="2" t="n"/>
      <c r="N999" s="2" t="n"/>
      <c r="O999" s="2" t="n"/>
      <c r="P999" s="2" t="n">
        <v>104</v>
      </c>
      <c r="Q999" s="2" t="n">
        <v>4</v>
      </c>
      <c r="R999" s="2" t="n">
        <v>16</v>
      </c>
      <c r="S999" s="2" t="n"/>
      <c r="T999" s="2" t="n">
        <v>20</v>
      </c>
      <c r="U999" s="2" t="n"/>
      <c r="V999" s="2">
        <f>SUM(J999:U999)*G999</f>
        <v/>
      </c>
      <c r="W999" s="2">
        <f>MAX(J999:U999)</f>
        <v/>
      </c>
      <c r="X999" s="2">
        <f>W999*G999</f>
        <v/>
      </c>
    </row>
    <row r="1000">
      <c r="A1000" s="2" t="inlineStr">
        <is>
          <t>A14-SB-N141</t>
        </is>
      </c>
      <c r="B1000" s="3" t="inlineStr">
        <is>
          <t>SOJC-SM-LC/PC-SC/PC</t>
        </is>
      </c>
      <c r="C1000" s="2" t="inlineStr">
        <is>
          <t>908040185, 25M, B3, 2.0mm</t>
        </is>
      </c>
      <c r="D1000" s="2" t="inlineStr">
        <is>
          <t>b3</t>
        </is>
      </c>
      <c r="E1000" s="2" t="inlineStr">
        <is>
          <t>2.0mm</t>
        </is>
      </c>
      <c r="F1000" s="2" t="n">
        <v>1</v>
      </c>
      <c r="G1000" s="2" t="n">
        <v>25</v>
      </c>
      <c r="H1000" s="2" t="inlineStr">
        <is>
          <t>LC/PC</t>
        </is>
      </c>
      <c r="I1000" s="2" t="inlineStr">
        <is>
          <t>SC/PC</t>
        </is>
      </c>
      <c r="J1000" s="2" t="n"/>
      <c r="K1000" s="2" t="n"/>
      <c r="L1000" s="2" t="n"/>
      <c r="M1000" s="2" t="n"/>
      <c r="N1000" s="2" t="n"/>
      <c r="O1000" s="2" t="n"/>
      <c r="P1000" s="2" t="n"/>
      <c r="Q1000" s="2" t="n">
        <v>17</v>
      </c>
      <c r="R1000" s="2" t="n">
        <v>40</v>
      </c>
      <c r="S1000" s="2" t="n">
        <v>70</v>
      </c>
      <c r="T1000" s="2" t="n">
        <v>105</v>
      </c>
      <c r="U1000" s="2" t="n"/>
      <c r="V1000" s="2">
        <f>SUM(J1000:U1000)*G1000</f>
        <v/>
      </c>
      <c r="W1000" s="2">
        <f>MAX(J1000:U1000)</f>
        <v/>
      </c>
      <c r="X1000" s="2">
        <f>W1000*G1000</f>
        <v/>
      </c>
    </row>
    <row r="1001">
      <c r="A1001" s="2" t="inlineStr">
        <is>
          <t>A14-SB-N143</t>
        </is>
      </c>
      <c r="B1001" s="3" t="inlineStr">
        <is>
          <t>SOJC-SM-LC/PC-SC/PC</t>
        </is>
      </c>
      <c r="C1001" s="2" t="inlineStr">
        <is>
          <t>908040163, 2M, B3, 3.0mm</t>
        </is>
      </c>
      <c r="D1001" s="2" t="inlineStr">
        <is>
          <t>b3</t>
        </is>
      </c>
      <c r="E1001" s="2" t="inlineStr">
        <is>
          <t>3.0mm</t>
        </is>
      </c>
      <c r="F1001" s="2" t="n">
        <v>1</v>
      </c>
      <c r="G1001" s="2" t="n">
        <v>2</v>
      </c>
      <c r="H1001" s="2" t="inlineStr">
        <is>
          <t>LC/PC</t>
        </is>
      </c>
      <c r="I1001" s="2" t="inlineStr">
        <is>
          <t>SC/PC</t>
        </is>
      </c>
      <c r="J1001" s="2" t="n"/>
      <c r="K1001" s="2" t="n"/>
      <c r="L1001" s="2" t="n"/>
      <c r="M1001" s="2" t="n"/>
      <c r="N1001" s="2" t="n"/>
      <c r="O1001" s="2" t="n">
        <v>35</v>
      </c>
      <c r="P1001" s="2" t="n"/>
      <c r="Q1001" s="2" t="n"/>
      <c r="R1001" s="2" t="n"/>
      <c r="S1001" s="2" t="n"/>
      <c r="T1001" s="2" t="n"/>
      <c r="U1001" s="2" t="n"/>
      <c r="V1001" s="2">
        <f>SUM(J1001:U1001)*G1001</f>
        <v/>
      </c>
      <c r="W1001" s="2">
        <f>MAX(J1001:U1001)</f>
        <v/>
      </c>
      <c r="X1001" s="2">
        <f>W1001*G1001</f>
        <v/>
      </c>
    </row>
    <row r="1002">
      <c r="A1002" s="2" t="inlineStr">
        <is>
          <t>A14-SB-N144</t>
        </is>
      </c>
      <c r="B1002" s="3" t="inlineStr">
        <is>
          <t>SOJC-SM-LC/PC-SC/PC</t>
        </is>
      </c>
      <c r="C1002" s="2" t="inlineStr">
        <is>
          <t>908040190, 30M, B3, 2.0mm</t>
        </is>
      </c>
      <c r="D1002" s="2" t="inlineStr">
        <is>
          <t>b3</t>
        </is>
      </c>
      <c r="E1002" s="2" t="inlineStr">
        <is>
          <t>2.0mm</t>
        </is>
      </c>
      <c r="F1002" s="2" t="n">
        <v>1</v>
      </c>
      <c r="G1002" s="2" t="n">
        <v>30</v>
      </c>
      <c r="H1002" s="2" t="inlineStr">
        <is>
          <t>LC/PC</t>
        </is>
      </c>
      <c r="I1002" s="2" t="inlineStr">
        <is>
          <t>SC/PC</t>
        </is>
      </c>
      <c r="J1002" s="2" t="n"/>
      <c r="K1002" s="2" t="n">
        <v>10</v>
      </c>
      <c r="L1002" s="2" t="n"/>
      <c r="M1002" s="2" t="n"/>
      <c r="N1002" s="2" t="n">
        <v>20</v>
      </c>
      <c r="O1002" s="2" t="n"/>
      <c r="P1002" s="2" t="n"/>
      <c r="Q1002" s="2" t="n"/>
      <c r="R1002" s="2" t="n"/>
      <c r="S1002" s="2" t="n"/>
      <c r="T1002" s="2" t="n">
        <v>1</v>
      </c>
      <c r="U1002" s="2" t="n"/>
      <c r="V1002" s="2">
        <f>SUM(J1002:U1002)*G1002</f>
        <v/>
      </c>
      <c r="W1002" s="2">
        <f>MAX(J1002:U1002)</f>
        <v/>
      </c>
      <c r="X1002" s="2">
        <f>W1002*G1002</f>
        <v/>
      </c>
    </row>
    <row r="1003">
      <c r="A1003" s="2" t="inlineStr">
        <is>
          <t>A14-SB-N148</t>
        </is>
      </c>
      <c r="B1003" s="3" t="inlineStr">
        <is>
          <t>SOJC-SM-LC/PC-SC/PC</t>
        </is>
      </c>
      <c r="C1003" s="2" t="inlineStr">
        <is>
          <t>908040165, 5M, B3, 3.0mm</t>
        </is>
      </c>
      <c r="D1003" s="2" t="inlineStr">
        <is>
          <t>b3</t>
        </is>
      </c>
      <c r="E1003" s="2" t="inlineStr">
        <is>
          <t>3.0mm</t>
        </is>
      </c>
      <c r="F1003" s="2" t="n">
        <v>1</v>
      </c>
      <c r="G1003" s="2" t="n">
        <v>5</v>
      </c>
      <c r="H1003" s="2" t="inlineStr">
        <is>
          <t>LC/PC</t>
        </is>
      </c>
      <c r="I1003" s="2" t="inlineStr">
        <is>
          <t>SC/PC</t>
        </is>
      </c>
      <c r="J1003" s="2" t="n"/>
      <c r="K1003" s="2" t="n"/>
      <c r="L1003" s="2" t="n"/>
      <c r="M1003" s="2" t="n"/>
      <c r="N1003" s="2" t="n"/>
      <c r="O1003" s="2" t="n"/>
      <c r="P1003" s="2" t="n"/>
      <c r="Q1003" s="2" t="n">
        <v>4</v>
      </c>
      <c r="R1003" s="2" t="n"/>
      <c r="S1003" s="2" t="n">
        <v>10</v>
      </c>
      <c r="T1003" s="2" t="n"/>
      <c r="U1003" s="2" t="n"/>
      <c r="V1003" s="2">
        <f>SUM(J1003:U1003)*G1003</f>
        <v/>
      </c>
      <c r="W1003" s="2">
        <f>MAX(J1003:U1003)</f>
        <v/>
      </c>
      <c r="X1003" s="2">
        <f>W1003*G1003</f>
        <v/>
      </c>
    </row>
    <row r="1004">
      <c r="A1004" s="2" t="inlineStr">
        <is>
          <t>A14-SB-N149</t>
        </is>
      </c>
      <c r="B1004" s="3" t="inlineStr">
        <is>
          <t>SOJC-SM-LC/PC-SC/PC</t>
        </is>
      </c>
      <c r="C1004" s="2" t="inlineStr">
        <is>
          <t>908040166, 6M, B3, 2.0mm</t>
        </is>
      </c>
      <c r="D1004" s="2" t="inlineStr">
        <is>
          <t>b3</t>
        </is>
      </c>
      <c r="E1004" s="2" t="inlineStr">
        <is>
          <t>2.0mm</t>
        </is>
      </c>
      <c r="F1004" s="2" t="n">
        <v>1</v>
      </c>
      <c r="G1004" s="2" t="n">
        <v>6</v>
      </c>
      <c r="H1004" s="2" t="inlineStr">
        <is>
          <t>LC/PC</t>
        </is>
      </c>
      <c r="I1004" s="2" t="inlineStr">
        <is>
          <t>SC/PC</t>
        </is>
      </c>
      <c r="J1004" s="2" t="n"/>
      <c r="K1004" s="2" t="n"/>
      <c r="L1004" s="2" t="n"/>
      <c r="M1004" s="2" t="n"/>
      <c r="N1004" s="2" t="n">
        <v>95</v>
      </c>
      <c r="O1004" s="2" t="n">
        <v>30</v>
      </c>
      <c r="P1004" s="2" t="n"/>
      <c r="Q1004" s="2" t="n"/>
      <c r="R1004" s="2" t="n"/>
      <c r="S1004" s="2" t="n"/>
      <c r="T1004" s="2" t="n"/>
      <c r="U1004" s="2" t="n"/>
      <c r="V1004" s="2">
        <f>SUM(J1004:U1004)*G1004</f>
        <v/>
      </c>
      <c r="W1004" s="2">
        <f>MAX(J1004:U1004)</f>
        <v/>
      </c>
      <c r="X1004" s="2">
        <f>W1004*G1004</f>
        <v/>
      </c>
    </row>
    <row r="1005">
      <c r="A1005" s="2" t="inlineStr">
        <is>
          <t>A14-SB-N151</t>
        </is>
      </c>
      <c r="B1005" s="3" t="inlineStr">
        <is>
          <t>SOJC-SM-LC/PC-SC/PC</t>
        </is>
      </c>
      <c r="C1005" s="2" t="inlineStr">
        <is>
          <t>908040167, 7M, B3, 2.0mm</t>
        </is>
      </c>
      <c r="D1005" s="2" t="inlineStr">
        <is>
          <t>b3</t>
        </is>
      </c>
      <c r="E1005" s="2" t="inlineStr">
        <is>
          <t>2.0mm</t>
        </is>
      </c>
      <c r="F1005" s="2" t="n">
        <v>1</v>
      </c>
      <c r="G1005" s="2" t="n">
        <v>7</v>
      </c>
      <c r="H1005" s="2" t="inlineStr">
        <is>
          <t>LC/PC</t>
        </is>
      </c>
      <c r="I1005" s="2" t="inlineStr">
        <is>
          <t>SC/PC</t>
        </is>
      </c>
      <c r="J1005" s="2" t="n"/>
      <c r="K1005" s="2" t="n"/>
      <c r="L1005" s="2" t="n"/>
      <c r="M1005" s="2" t="n">
        <v>20</v>
      </c>
      <c r="N1005" s="2" t="n"/>
      <c r="O1005" s="2" t="n">
        <v>55</v>
      </c>
      <c r="P1005" s="2" t="n"/>
      <c r="Q1005" s="2" t="n">
        <v>44</v>
      </c>
      <c r="R1005" s="2" t="n"/>
      <c r="S1005" s="2" t="n">
        <v>10</v>
      </c>
      <c r="T1005" s="2" t="n">
        <v>20</v>
      </c>
      <c r="U1005" s="2" t="n"/>
      <c r="V1005" s="2">
        <f>SUM(J1005:U1005)*G1005</f>
        <v/>
      </c>
      <c r="W1005" s="2">
        <f>MAX(J1005:U1005)</f>
        <v/>
      </c>
      <c r="X1005" s="2">
        <f>W1005*G1005</f>
        <v/>
      </c>
    </row>
    <row r="1006">
      <c r="A1006" s="2" t="inlineStr">
        <is>
          <t>A14-SB-N152</t>
        </is>
      </c>
      <c r="B1006" s="3" t="inlineStr">
        <is>
          <t>SOJC-SM-LC/PC-SC/PC</t>
        </is>
      </c>
      <c r="C1006" s="2" t="inlineStr">
        <is>
          <t>908040168, 8M, B3, 2.0mm</t>
        </is>
      </c>
      <c r="D1006" s="2" t="inlineStr">
        <is>
          <t>b3</t>
        </is>
      </c>
      <c r="E1006" s="2" t="inlineStr">
        <is>
          <t>2.0mm</t>
        </is>
      </c>
      <c r="F1006" s="2" t="n">
        <v>1</v>
      </c>
      <c r="G1006" s="2" t="n">
        <v>8</v>
      </c>
      <c r="H1006" s="2" t="inlineStr">
        <is>
          <t>LC/PC</t>
        </is>
      </c>
      <c r="I1006" s="2" t="inlineStr">
        <is>
          <t>SC/PC</t>
        </is>
      </c>
      <c r="J1006" s="2" t="n"/>
      <c r="K1006" s="2" t="n"/>
      <c r="L1006" s="2" t="n"/>
      <c r="M1006" s="2" t="n">
        <v>67</v>
      </c>
      <c r="N1006" s="2" t="n">
        <v>47</v>
      </c>
      <c r="O1006" s="2" t="n"/>
      <c r="P1006" s="2" t="n"/>
      <c r="Q1006" s="2" t="n"/>
      <c r="R1006" s="2" t="n"/>
      <c r="S1006" s="2" t="n"/>
      <c r="T1006" s="2" t="n">
        <v>25</v>
      </c>
      <c r="U1006" s="2" t="n"/>
      <c r="V1006" s="2">
        <f>SUM(J1006:U1006)*G1006</f>
        <v/>
      </c>
      <c r="W1006" s="2">
        <f>MAX(J1006:U1006)</f>
        <v/>
      </c>
      <c r="X1006" s="2">
        <f>W1006*G1006</f>
        <v/>
      </c>
    </row>
    <row r="1007">
      <c r="A1007" s="2" t="inlineStr">
        <is>
          <t>A14-SB-N153</t>
        </is>
      </c>
      <c r="B1007" s="3" t="inlineStr">
        <is>
          <t>SOJC-SM-LC/PC-SC/PC</t>
        </is>
      </c>
      <c r="C1007" s="2" t="inlineStr">
        <is>
          <t>908040169, 9M, B3, 2.0mm</t>
        </is>
      </c>
      <c r="D1007" s="2" t="inlineStr">
        <is>
          <t>b3</t>
        </is>
      </c>
      <c r="E1007" s="2" t="inlineStr">
        <is>
          <t>2.0mm</t>
        </is>
      </c>
      <c r="F1007" s="2" t="n">
        <v>1</v>
      </c>
      <c r="G1007" s="2" t="n">
        <v>9</v>
      </c>
      <c r="H1007" s="2" t="inlineStr">
        <is>
          <t>LC/PC</t>
        </is>
      </c>
      <c r="I1007" s="2" t="inlineStr">
        <is>
          <t>SC/PC</t>
        </is>
      </c>
      <c r="J1007" s="2" t="n"/>
      <c r="K1007" s="2" t="n"/>
      <c r="L1007" s="2" t="n"/>
      <c r="M1007" s="2" t="n"/>
      <c r="N1007" s="2" t="n"/>
      <c r="O1007" s="2" t="n">
        <v>10</v>
      </c>
      <c r="P1007" s="2" t="n"/>
      <c r="Q1007" s="2" t="n"/>
      <c r="R1007" s="2" t="n"/>
      <c r="S1007" s="2" t="n"/>
      <c r="T1007" s="2" t="n"/>
      <c r="U1007" s="2" t="n"/>
      <c r="V1007" s="2">
        <f>SUM(J1007:U1007)*G1007</f>
        <v/>
      </c>
      <c r="W1007" s="2">
        <f>MAX(J1007:U1007)</f>
        <v/>
      </c>
      <c r="X1007" s="2">
        <f>W1007*G1007</f>
        <v/>
      </c>
    </row>
    <row r="1008">
      <c r="A1008" s="2" t="inlineStr">
        <is>
          <t>A14-SB-N177</t>
        </is>
      </c>
      <c r="B1008" s="3" t="inlineStr">
        <is>
          <t>SOJC-SM-SC/APC-SC/APC</t>
        </is>
      </c>
      <c r="C1008" s="2" t="inlineStr">
        <is>
          <t>12M, B3, 2.0mm</t>
        </is>
      </c>
      <c r="D1008" s="2" t="inlineStr">
        <is>
          <t>b3</t>
        </is>
      </c>
      <c r="E1008" s="2" t="inlineStr">
        <is>
          <t>2.0mm</t>
        </is>
      </c>
      <c r="F1008" s="2" t="n">
        <v>1</v>
      </c>
      <c r="G1008" s="2" t="n">
        <v>12</v>
      </c>
      <c r="H1008" s="2" t="inlineStr">
        <is>
          <t>SC/APC</t>
        </is>
      </c>
      <c r="I1008" s="2" t="inlineStr">
        <is>
          <t>SC/APC</t>
        </is>
      </c>
      <c r="J1008" s="2" t="n"/>
      <c r="K1008" s="2" t="n"/>
      <c r="L1008" s="2" t="n">
        <v>7</v>
      </c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>
        <f>SUM(J1008:U1008)*G1008</f>
        <v/>
      </c>
      <c r="W1008" s="2">
        <f>MAX(J1008:U1008)</f>
        <v/>
      </c>
      <c r="X1008" s="2">
        <f>W1008*G1008</f>
        <v/>
      </c>
    </row>
    <row r="1009">
      <c r="A1009" s="2" t="inlineStr">
        <is>
          <t>A14-SB-N179</t>
        </is>
      </c>
      <c r="B1009" s="3" t="inlineStr">
        <is>
          <t>SOJC-SM-SC/APC-SC/APC</t>
        </is>
      </c>
      <c r="C1009" s="2" t="inlineStr">
        <is>
          <t>908041464, 15M, B3, 2.0mm</t>
        </is>
      </c>
      <c r="D1009" s="2" t="inlineStr">
        <is>
          <t>b3</t>
        </is>
      </c>
      <c r="E1009" s="2" t="inlineStr">
        <is>
          <t>2.0mm</t>
        </is>
      </c>
      <c r="F1009" s="2" t="n">
        <v>1</v>
      </c>
      <c r="G1009" s="2" t="n">
        <v>15</v>
      </c>
      <c r="H1009" s="2" t="inlineStr">
        <is>
          <t>SC/APC</t>
        </is>
      </c>
      <c r="I1009" s="2" t="inlineStr">
        <is>
          <t>SC/APC</t>
        </is>
      </c>
      <c r="J1009" s="2" t="n"/>
      <c r="K1009" s="2" t="n"/>
      <c r="L1009" s="2" t="n"/>
      <c r="M1009" s="2" t="n">
        <v>20</v>
      </c>
      <c r="N1009" s="2" t="n">
        <v>5</v>
      </c>
      <c r="O1009" s="2" t="n"/>
      <c r="P1009" s="2" t="n">
        <v>30</v>
      </c>
      <c r="Q1009" s="2" t="n"/>
      <c r="R1009" s="2" t="n"/>
      <c r="S1009" s="2" t="n"/>
      <c r="T1009" s="2" t="n"/>
      <c r="U1009" s="2" t="n"/>
      <c r="V1009" s="2">
        <f>SUM(J1009:U1009)*G1009</f>
        <v/>
      </c>
      <c r="W1009" s="2">
        <f>MAX(J1009:U1009)</f>
        <v/>
      </c>
      <c r="X1009" s="2">
        <f>W1009*G1009</f>
        <v/>
      </c>
    </row>
    <row r="1010">
      <c r="A1010" s="2" t="inlineStr">
        <is>
          <t>A14-SB-N181</t>
        </is>
      </c>
      <c r="B1010" s="3" t="inlineStr">
        <is>
          <t>SOJC-SM-SC/APC-SC/APC</t>
        </is>
      </c>
      <c r="C1010" s="2" t="inlineStr">
        <is>
          <t>908041469, 20M, B3, 2.0mm</t>
        </is>
      </c>
      <c r="D1010" s="2" t="inlineStr">
        <is>
          <t>b3</t>
        </is>
      </c>
      <c r="E1010" s="2" t="inlineStr">
        <is>
          <t>2.0mm</t>
        </is>
      </c>
      <c r="F1010" s="2" t="n">
        <v>1</v>
      </c>
      <c r="G1010" s="2" t="n">
        <v>20</v>
      </c>
      <c r="H1010" s="2" t="inlineStr">
        <is>
          <t>SC/APC</t>
        </is>
      </c>
      <c r="I1010" s="2" t="inlineStr">
        <is>
          <t>SC/APC</t>
        </is>
      </c>
      <c r="J1010" s="2" t="n"/>
      <c r="K1010" s="2" t="n"/>
      <c r="L1010" s="2" t="n"/>
      <c r="M1010" s="2" t="n">
        <v>20</v>
      </c>
      <c r="N1010" s="2" t="n">
        <v>20</v>
      </c>
      <c r="O1010" s="2" t="n"/>
      <c r="P1010" s="2" t="n"/>
      <c r="Q1010" s="2" t="n"/>
      <c r="R1010" s="2" t="n"/>
      <c r="S1010" s="2" t="n"/>
      <c r="T1010" s="2" t="n"/>
      <c r="U1010" s="2" t="n"/>
      <c r="V1010" s="2">
        <f>SUM(J1010:U1010)*G1010</f>
        <v/>
      </c>
      <c r="W1010" s="2">
        <f>MAX(J1010:U1010)</f>
        <v/>
      </c>
      <c r="X1010" s="2">
        <f>W1010*G1010</f>
        <v/>
      </c>
    </row>
    <row r="1011">
      <c r="A1011" s="2" t="inlineStr">
        <is>
          <t>A14-SB-N183</t>
        </is>
      </c>
      <c r="B1011" s="3" t="inlineStr">
        <is>
          <t>SOJC-SM-SC/APC-SC/APC</t>
        </is>
      </c>
      <c r="C1011" s="2" t="inlineStr">
        <is>
          <t>908041452, 2M, B3, 3.0mm</t>
        </is>
      </c>
      <c r="D1011" s="2" t="inlineStr">
        <is>
          <t>b3</t>
        </is>
      </c>
      <c r="E1011" s="2" t="inlineStr">
        <is>
          <t>3.0mm</t>
        </is>
      </c>
      <c r="F1011" s="2" t="n">
        <v>1</v>
      </c>
      <c r="G1011" s="2" t="n">
        <v>2</v>
      </c>
      <c r="H1011" s="2" t="inlineStr">
        <is>
          <t>SC/APC</t>
        </is>
      </c>
      <c r="I1011" s="2" t="inlineStr">
        <is>
          <t>SC/APC</t>
        </is>
      </c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>
        <v>38</v>
      </c>
      <c r="V1011" s="2">
        <f>SUM(J1011:U1011)*G1011</f>
        <v/>
      </c>
      <c r="W1011" s="2">
        <f>MAX(J1011:U1011)</f>
        <v/>
      </c>
      <c r="X1011" s="2">
        <f>W1011*G1011</f>
        <v/>
      </c>
    </row>
    <row r="1012">
      <c r="A1012" s="2" t="inlineStr">
        <is>
          <t>A14-SB-N193</t>
        </is>
      </c>
      <c r="B1012" s="3" t="inlineStr">
        <is>
          <t>SOJC-SM-SC/PC-FC/APC</t>
        </is>
      </c>
      <c r="C1012" s="2" t="inlineStr">
        <is>
          <t>908040319, 10M, B3, 2.0mm</t>
        </is>
      </c>
      <c r="D1012" s="2" t="inlineStr">
        <is>
          <t>b3</t>
        </is>
      </c>
      <c r="E1012" s="2" t="inlineStr">
        <is>
          <t>2.0mm</t>
        </is>
      </c>
      <c r="F1012" s="2" t="n">
        <v>1</v>
      </c>
      <c r="G1012" s="2" t="n">
        <v>10</v>
      </c>
      <c r="H1012" s="2" t="inlineStr">
        <is>
          <t>SC/PC</t>
        </is>
      </c>
      <c r="I1012" s="2" t="inlineStr">
        <is>
          <t>FC/APC</t>
        </is>
      </c>
      <c r="J1012" s="2" t="n">
        <v>25</v>
      </c>
      <c r="K1012" s="2" t="n"/>
      <c r="L1012" s="2" t="n"/>
      <c r="M1012" s="2" t="n"/>
      <c r="N1012" s="2" t="n"/>
      <c r="O1012" s="2" t="n">
        <v>40</v>
      </c>
      <c r="P1012" s="2" t="n"/>
      <c r="Q1012" s="2" t="n"/>
      <c r="R1012" s="2" t="n">
        <v>15</v>
      </c>
      <c r="S1012" s="2" t="n">
        <v>50</v>
      </c>
      <c r="T1012" s="2" t="n"/>
      <c r="U1012" s="2" t="n">
        <v>20</v>
      </c>
      <c r="V1012" s="2">
        <f>SUM(J1012:U1012)*G1012</f>
        <v/>
      </c>
      <c r="W1012" s="2">
        <f>MAX(J1012:U1012)</f>
        <v/>
      </c>
      <c r="X1012" s="2">
        <f>W1012*G1012</f>
        <v/>
      </c>
    </row>
    <row r="1013">
      <c r="A1013" s="2" t="inlineStr">
        <is>
          <t>A14-SB-N198</t>
        </is>
      </c>
      <c r="B1013" s="3" t="inlineStr">
        <is>
          <t>SOJC-SM-SC/PC-FC/APC</t>
        </is>
      </c>
      <c r="C1013" s="2" t="inlineStr">
        <is>
          <t>908040324, 15M, B3, 2.0mm</t>
        </is>
      </c>
      <c r="D1013" s="2" t="inlineStr">
        <is>
          <t>b3</t>
        </is>
      </c>
      <c r="E1013" s="2" t="inlineStr">
        <is>
          <t>2.0mm</t>
        </is>
      </c>
      <c r="F1013" s="2" t="n">
        <v>1</v>
      </c>
      <c r="G1013" s="2" t="n">
        <v>15</v>
      </c>
      <c r="H1013" s="2" t="inlineStr">
        <is>
          <t>SC/PC</t>
        </is>
      </c>
      <c r="I1013" s="2" t="inlineStr">
        <is>
          <t>FC/APC</t>
        </is>
      </c>
      <c r="J1013" s="2" t="n"/>
      <c r="K1013" s="2" t="n">
        <v>40</v>
      </c>
      <c r="L1013" s="2" t="n"/>
      <c r="M1013" s="2" t="n"/>
      <c r="N1013" s="2" t="n"/>
      <c r="O1013" s="2" t="n"/>
      <c r="P1013" s="2" t="n"/>
      <c r="Q1013" s="2" t="n"/>
      <c r="R1013" s="2" t="n">
        <v>20</v>
      </c>
      <c r="S1013" s="2" t="n"/>
      <c r="T1013" s="2" t="n"/>
      <c r="U1013" s="2" t="n"/>
      <c r="V1013" s="2">
        <f>SUM(J1013:U1013)*G1013</f>
        <v/>
      </c>
      <c r="W1013" s="2">
        <f>MAX(J1013:U1013)</f>
        <v/>
      </c>
      <c r="X1013" s="2">
        <f>W1013*G1013</f>
        <v/>
      </c>
    </row>
    <row r="1014">
      <c r="A1014" s="2" t="inlineStr">
        <is>
          <t>A14-SB-N200</t>
        </is>
      </c>
      <c r="B1014" s="3" t="inlineStr">
        <is>
          <t>SOJC-SM-SC/PC-FC/APC</t>
        </is>
      </c>
      <c r="C1014" s="2" t="inlineStr">
        <is>
          <t>908040329, 20M, B3, 2.0mm</t>
        </is>
      </c>
      <c r="D1014" s="2" t="inlineStr">
        <is>
          <t>b3</t>
        </is>
      </c>
      <c r="E1014" s="2" t="inlineStr">
        <is>
          <t>2.0mm</t>
        </is>
      </c>
      <c r="F1014" s="2" t="n">
        <v>1</v>
      </c>
      <c r="G1014" s="2" t="n">
        <v>20</v>
      </c>
      <c r="H1014" s="2" t="inlineStr">
        <is>
          <t>SC/PC</t>
        </is>
      </c>
      <c r="I1014" s="2" t="inlineStr">
        <is>
          <t>FC/APC</t>
        </is>
      </c>
      <c r="J1014" s="2" t="n"/>
      <c r="K1014" s="2" t="n"/>
      <c r="L1014" s="2" t="n"/>
      <c r="M1014" s="2" t="n"/>
      <c r="N1014" s="2" t="n">
        <v>20</v>
      </c>
      <c r="O1014" s="2" t="n">
        <v>7</v>
      </c>
      <c r="P1014" s="2" t="n"/>
      <c r="Q1014" s="2" t="n"/>
      <c r="R1014" s="2" t="n">
        <v>20</v>
      </c>
      <c r="S1014" s="2" t="n">
        <v>65</v>
      </c>
      <c r="T1014" s="2" t="n">
        <v>5</v>
      </c>
      <c r="U1014" s="2" t="n">
        <v>5</v>
      </c>
      <c r="V1014" s="2">
        <f>SUM(J1014:U1014)*G1014</f>
        <v/>
      </c>
      <c r="W1014" s="2">
        <f>MAX(J1014:U1014)</f>
        <v/>
      </c>
      <c r="X1014" s="2">
        <f>W1014*G1014</f>
        <v/>
      </c>
    </row>
    <row r="1015">
      <c r="A1015" s="2" t="inlineStr">
        <is>
          <t>A14-SB-N203</t>
        </is>
      </c>
      <c r="B1015" s="3" t="inlineStr">
        <is>
          <t>SOJC-SM-SC/PC-FC/APC</t>
        </is>
      </c>
      <c r="C1015" s="2" t="inlineStr">
        <is>
          <t>908040334, 25M, B3, 2.0mm</t>
        </is>
      </c>
      <c r="D1015" s="2" t="inlineStr">
        <is>
          <t>b3</t>
        </is>
      </c>
      <c r="E1015" s="2" t="inlineStr">
        <is>
          <t>2.0mm</t>
        </is>
      </c>
      <c r="F1015" s="2" t="n">
        <v>1</v>
      </c>
      <c r="G1015" s="2" t="n">
        <v>25</v>
      </c>
      <c r="H1015" s="2" t="inlineStr">
        <is>
          <t>SC/PC</t>
        </is>
      </c>
      <c r="I1015" s="2" t="inlineStr">
        <is>
          <t>FC/APC</t>
        </is>
      </c>
      <c r="J1015" s="2" t="n"/>
      <c r="K1015" s="2" t="n"/>
      <c r="L1015" s="2" t="n"/>
      <c r="M1015" s="2" t="n">
        <v>10</v>
      </c>
      <c r="N1015" s="2" t="n"/>
      <c r="O1015" s="2" t="n">
        <v>13</v>
      </c>
      <c r="P1015" s="2" t="n"/>
      <c r="Q1015" s="2" t="n"/>
      <c r="R1015" s="2" t="n">
        <v>15</v>
      </c>
      <c r="S1015" s="2" t="n"/>
      <c r="T1015" s="2" t="n"/>
      <c r="U1015" s="2" t="n"/>
      <c r="V1015" s="2">
        <f>SUM(J1015:U1015)*G1015</f>
        <v/>
      </c>
      <c r="W1015" s="2">
        <f>MAX(J1015:U1015)</f>
        <v/>
      </c>
      <c r="X1015" s="2">
        <f>W1015*G1015</f>
        <v/>
      </c>
    </row>
    <row r="1016">
      <c r="A1016" s="2" t="inlineStr">
        <is>
          <t>A14-SB-N210</t>
        </is>
      </c>
      <c r="B1016" s="3" t="inlineStr">
        <is>
          <t>SOJC-SM-SC/PC-FC/APC</t>
        </is>
      </c>
      <c r="C1016" s="2" t="inlineStr">
        <is>
          <t>908040314, 5M, B3, 3.0mm</t>
        </is>
      </c>
      <c r="D1016" s="2" t="inlineStr">
        <is>
          <t>b3</t>
        </is>
      </c>
      <c r="E1016" s="2" t="inlineStr">
        <is>
          <t>3.0mm</t>
        </is>
      </c>
      <c r="F1016" s="2" t="n">
        <v>1</v>
      </c>
      <c r="G1016" s="2" t="n">
        <v>5</v>
      </c>
      <c r="H1016" s="2" t="inlineStr">
        <is>
          <t>SC/PC</t>
        </is>
      </c>
      <c r="I1016" s="2" t="inlineStr">
        <is>
          <t>FC/APC</t>
        </is>
      </c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>
        <v>20</v>
      </c>
      <c r="S1016" s="2" t="n"/>
      <c r="T1016" s="2" t="n"/>
      <c r="U1016" s="2" t="n">
        <v>10</v>
      </c>
      <c r="V1016" s="2">
        <f>SUM(J1016:U1016)*G1016</f>
        <v/>
      </c>
      <c r="W1016" s="2">
        <f>MAX(J1016:U1016)</f>
        <v/>
      </c>
      <c r="X1016" s="2">
        <f>W1016*G1016</f>
        <v/>
      </c>
    </row>
    <row r="1017">
      <c r="A1017" s="2" t="inlineStr">
        <is>
          <t>A14-SB-N213</t>
        </is>
      </c>
      <c r="B1017" s="3" t="inlineStr">
        <is>
          <t>SOJC-SM-SC/PC-FC/APC</t>
        </is>
      </c>
      <c r="C1017" s="2" t="inlineStr">
        <is>
          <t>908040316, 7M, B3, 2.0mm</t>
        </is>
      </c>
      <c r="D1017" s="2" t="inlineStr">
        <is>
          <t>b3</t>
        </is>
      </c>
      <c r="E1017" s="2" t="inlineStr">
        <is>
          <t>2.0mm</t>
        </is>
      </c>
      <c r="F1017" s="2" t="n">
        <v>1</v>
      </c>
      <c r="G1017" s="2" t="n">
        <v>7</v>
      </c>
      <c r="H1017" s="2" t="inlineStr">
        <is>
          <t>SC/PC</t>
        </is>
      </c>
      <c r="I1017" s="2" t="inlineStr">
        <is>
          <t>FC/APC</t>
        </is>
      </c>
      <c r="J1017" s="2" t="n"/>
      <c r="K1017" s="2" t="n"/>
      <c r="L1017" s="2" t="n"/>
      <c r="M1017" s="2" t="n">
        <v>5</v>
      </c>
      <c r="N1017" s="2" t="n">
        <v>20</v>
      </c>
      <c r="O1017" s="2" t="n"/>
      <c r="P1017" s="2" t="n"/>
      <c r="Q1017" s="2" t="n"/>
      <c r="R1017" s="2" t="n"/>
      <c r="S1017" s="2" t="n"/>
      <c r="T1017" s="2" t="n"/>
      <c r="U1017" s="2" t="n"/>
      <c r="V1017" s="2">
        <f>SUM(J1017:U1017)*G1017</f>
        <v/>
      </c>
      <c r="W1017" s="2">
        <f>MAX(J1017:U1017)</f>
        <v/>
      </c>
      <c r="X1017" s="2">
        <f>W1017*G1017</f>
        <v/>
      </c>
    </row>
    <row r="1018">
      <c r="A1018" s="2" t="inlineStr">
        <is>
          <t>A14-SB-N215</t>
        </is>
      </c>
      <c r="B1018" s="3" t="inlineStr">
        <is>
          <t>SOJC-SM-SC/PC-FC/PC</t>
        </is>
      </c>
      <c r="C1018" s="2" t="inlineStr">
        <is>
          <t>908041380, 10M, B3, 2.0mm</t>
        </is>
      </c>
      <c r="D1018" s="2" t="inlineStr">
        <is>
          <t>b3</t>
        </is>
      </c>
      <c r="E1018" s="2" t="inlineStr">
        <is>
          <t>2.0mm</t>
        </is>
      </c>
      <c r="F1018" s="2" t="n">
        <v>1</v>
      </c>
      <c r="G1018" s="2" t="n">
        <v>10</v>
      </c>
      <c r="H1018" s="2" t="inlineStr">
        <is>
          <t>SC/PC</t>
        </is>
      </c>
      <c r="I1018" s="2" t="inlineStr">
        <is>
          <t>FC/PC</t>
        </is>
      </c>
      <c r="J1018" s="2" t="n"/>
      <c r="K1018" s="2" t="n"/>
      <c r="L1018" s="2" t="n"/>
      <c r="M1018" s="2" t="n"/>
      <c r="N1018" s="2" t="n">
        <v>20</v>
      </c>
      <c r="O1018" s="2" t="n"/>
      <c r="P1018" s="2" t="n"/>
      <c r="Q1018" s="2" t="n">
        <v>10</v>
      </c>
      <c r="R1018" s="2" t="n"/>
      <c r="S1018" s="2" t="n">
        <v>20</v>
      </c>
      <c r="T1018" s="2" t="n"/>
      <c r="U1018" s="2" t="n">
        <v>15</v>
      </c>
      <c r="V1018" s="2">
        <f>SUM(J1018:U1018)*G1018</f>
        <v/>
      </c>
      <c r="W1018" s="2">
        <f>MAX(J1018:U1018)</f>
        <v/>
      </c>
      <c r="X1018" s="2">
        <f>W1018*G1018</f>
        <v/>
      </c>
    </row>
    <row r="1019">
      <c r="A1019" s="2" t="inlineStr">
        <is>
          <t>A14-SB-N217</t>
        </is>
      </c>
      <c r="B1019" s="3" t="inlineStr">
        <is>
          <t>SOJC-SM-SC/PC-FC/PC</t>
        </is>
      </c>
      <c r="C1019" s="2" t="inlineStr">
        <is>
          <t>13M, B3, 2.0mm</t>
        </is>
      </c>
      <c r="D1019" s="2" t="inlineStr">
        <is>
          <t>b3</t>
        </is>
      </c>
      <c r="E1019" s="2" t="inlineStr">
        <is>
          <t>2.0mm</t>
        </is>
      </c>
      <c r="F1019" s="2" t="n">
        <v>1</v>
      </c>
      <c r="G1019" s="2" t="n">
        <v>13</v>
      </c>
      <c r="H1019" s="2" t="inlineStr">
        <is>
          <t>SC/PC</t>
        </is>
      </c>
      <c r="I1019" s="2" t="inlineStr">
        <is>
          <t>FC/PC</t>
        </is>
      </c>
      <c r="J1019" s="2" t="n"/>
      <c r="K1019" s="2" t="n"/>
      <c r="L1019" s="2" t="n"/>
      <c r="M1019" s="2" t="n"/>
      <c r="N1019" s="2" t="n"/>
      <c r="O1019" s="2" t="n"/>
      <c r="P1019" s="2" t="n"/>
      <c r="Q1019" s="2" t="n">
        <v>20</v>
      </c>
      <c r="R1019" s="2" t="n"/>
      <c r="S1019" s="2" t="n"/>
      <c r="T1019" s="2" t="n"/>
      <c r="U1019" s="2" t="n"/>
      <c r="V1019" s="2">
        <f>SUM(J1019:U1019)*G1019</f>
        <v/>
      </c>
      <c r="W1019" s="2">
        <f>MAX(J1019:U1019)</f>
        <v/>
      </c>
      <c r="X1019" s="2">
        <f>W1019*G1019</f>
        <v/>
      </c>
    </row>
    <row r="1020">
      <c r="A1020" s="2" t="inlineStr">
        <is>
          <t>A14-SB-N218</t>
        </is>
      </c>
      <c r="B1020" s="3" t="inlineStr">
        <is>
          <t>SOJC-SM-SC/PC-FC/PC</t>
        </is>
      </c>
      <c r="C1020" s="2" t="inlineStr">
        <is>
          <t>908041385, 15M, B3, 2.0mm</t>
        </is>
      </c>
      <c r="D1020" s="2" t="inlineStr">
        <is>
          <t>b3</t>
        </is>
      </c>
      <c r="E1020" s="2" t="inlineStr">
        <is>
          <t>2.0mm</t>
        </is>
      </c>
      <c r="F1020" s="2" t="n">
        <v>1</v>
      </c>
      <c r="G1020" s="2" t="n">
        <v>15</v>
      </c>
      <c r="H1020" s="2" t="inlineStr">
        <is>
          <t>SC/PC</t>
        </is>
      </c>
      <c r="I1020" s="2" t="inlineStr">
        <is>
          <t>FC/PC</t>
        </is>
      </c>
      <c r="J1020" s="2" t="n"/>
      <c r="K1020" s="2" t="n"/>
      <c r="L1020" s="2" t="n"/>
      <c r="M1020" s="2" t="n"/>
      <c r="N1020" s="2" t="n"/>
      <c r="O1020" s="2" t="n">
        <v>5</v>
      </c>
      <c r="P1020" s="2" t="n"/>
      <c r="Q1020" s="2" t="n">
        <v>30</v>
      </c>
      <c r="R1020" s="2" t="n">
        <v>5</v>
      </c>
      <c r="S1020" s="2" t="n"/>
      <c r="T1020" s="2" t="n">
        <v>6</v>
      </c>
      <c r="U1020" s="2" t="n">
        <v>45</v>
      </c>
      <c r="V1020" s="2">
        <f>SUM(J1020:U1020)*G1020</f>
        <v/>
      </c>
      <c r="W1020" s="2">
        <f>MAX(J1020:U1020)</f>
        <v/>
      </c>
      <c r="X1020" s="2">
        <f>W1020*G1020</f>
        <v/>
      </c>
    </row>
    <row r="1021">
      <c r="A1021" s="2" t="inlineStr">
        <is>
          <t>A14-SB-N220</t>
        </is>
      </c>
      <c r="B1021" s="3" t="inlineStr">
        <is>
          <t>SOJC-SM-SC/PC-FC/PC</t>
        </is>
      </c>
      <c r="C1021" s="2" t="inlineStr">
        <is>
          <t>908040299, 20M, B3, 2.0mm</t>
        </is>
      </c>
      <c r="D1021" s="2" t="inlineStr">
        <is>
          <t>b3</t>
        </is>
      </c>
      <c r="E1021" s="2" t="inlineStr">
        <is>
          <t>2.0mm</t>
        </is>
      </c>
      <c r="F1021" s="2" t="n">
        <v>1</v>
      </c>
      <c r="G1021" s="2" t="n">
        <v>20</v>
      </c>
      <c r="H1021" s="2" t="inlineStr">
        <is>
          <t>SC/PC</t>
        </is>
      </c>
      <c r="I1021" s="2" t="inlineStr">
        <is>
          <t>FC/PC</t>
        </is>
      </c>
      <c r="J1021" s="2" t="n"/>
      <c r="K1021" s="2" t="n"/>
      <c r="L1021" s="2" t="n">
        <v>10</v>
      </c>
      <c r="M1021" s="2" t="n"/>
      <c r="N1021" s="2" t="n">
        <v>40</v>
      </c>
      <c r="O1021" s="2" t="n">
        <v>20</v>
      </c>
      <c r="P1021" s="2" t="n"/>
      <c r="Q1021" s="2" t="n">
        <v>10</v>
      </c>
      <c r="R1021" s="2" t="n"/>
      <c r="S1021" s="2" t="n"/>
      <c r="T1021" s="2" t="n">
        <v>5</v>
      </c>
      <c r="U1021" s="2" t="n">
        <v>20</v>
      </c>
      <c r="V1021" s="2">
        <f>SUM(J1021:U1021)*G1021</f>
        <v/>
      </c>
      <c r="W1021" s="2">
        <f>MAX(J1021:U1021)</f>
        <v/>
      </c>
      <c r="X1021" s="2">
        <f>W1021*G1021</f>
        <v/>
      </c>
    </row>
    <row r="1022">
      <c r="A1022" s="2" t="inlineStr">
        <is>
          <t>A14-SB-N221</t>
        </is>
      </c>
      <c r="B1022" s="3" t="inlineStr">
        <is>
          <t>SOJC-SM-SC/PC-FC/PC</t>
        </is>
      </c>
      <c r="C1022" s="2" t="inlineStr">
        <is>
          <t>908040304, 25M, B3, 2.0mm</t>
        </is>
      </c>
      <c r="D1022" s="2" t="inlineStr">
        <is>
          <t>b3</t>
        </is>
      </c>
      <c r="E1022" s="2" t="inlineStr">
        <is>
          <t>2.0mm</t>
        </is>
      </c>
      <c r="F1022" s="2" t="n">
        <v>1</v>
      </c>
      <c r="G1022" s="2" t="n">
        <v>25</v>
      </c>
      <c r="H1022" s="2" t="inlineStr">
        <is>
          <t>SC/PC</t>
        </is>
      </c>
      <c r="I1022" s="2" t="inlineStr">
        <is>
          <t>FC/PC</t>
        </is>
      </c>
      <c r="J1022" s="2" t="n"/>
      <c r="K1022" s="2" t="n"/>
      <c r="L1022" s="2" t="n"/>
      <c r="M1022" s="2" t="n"/>
      <c r="N1022" s="2" t="n">
        <v>40</v>
      </c>
      <c r="O1022" s="2" t="n">
        <v>30</v>
      </c>
      <c r="P1022" s="2" t="n"/>
      <c r="Q1022" s="2" t="n"/>
      <c r="R1022" s="2" t="n"/>
      <c r="S1022" s="2" t="n"/>
      <c r="T1022" s="2" t="n">
        <v>4</v>
      </c>
      <c r="U1022" s="2" t="n"/>
      <c r="V1022" s="2">
        <f>SUM(J1022:U1022)*G1022</f>
        <v/>
      </c>
      <c r="W1022" s="2">
        <f>MAX(J1022:U1022)</f>
        <v/>
      </c>
      <c r="X1022" s="2">
        <f>W1022*G1022</f>
        <v/>
      </c>
    </row>
    <row r="1023">
      <c r="A1023" s="2" t="inlineStr">
        <is>
          <t>A14-SB-N232</t>
        </is>
      </c>
      <c r="B1023" s="3" t="inlineStr">
        <is>
          <t>SOJC-SM-SC/PC-SC/APC</t>
        </is>
      </c>
      <c r="C1023" s="2" t="inlineStr">
        <is>
          <t>B3, 0.5M, 3.0mm</t>
        </is>
      </c>
      <c r="D1023" s="2" t="inlineStr">
        <is>
          <t>b3</t>
        </is>
      </c>
      <c r="E1023" s="2" t="inlineStr">
        <is>
          <t>3.0mm</t>
        </is>
      </c>
      <c r="F1023" s="2" t="n">
        <v>1</v>
      </c>
      <c r="G1023" s="2" t="n">
        <v>0.5</v>
      </c>
      <c r="H1023" s="2" t="inlineStr">
        <is>
          <t>SC/PC</t>
        </is>
      </c>
      <c r="I1023" s="2" t="inlineStr">
        <is>
          <t>SC/APC</t>
        </is>
      </c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>
        <v>225</v>
      </c>
      <c r="U1023" s="2" t="n">
        <v>1060</v>
      </c>
      <c r="V1023" s="2">
        <f>SUM(J1023:U1023)*G1023</f>
        <v/>
      </c>
      <c r="W1023" s="2">
        <f>MAX(J1023:U1023)</f>
        <v/>
      </c>
      <c r="X1023" s="2">
        <f>W1023*G1023</f>
        <v/>
      </c>
    </row>
    <row r="1024">
      <c r="A1024" s="2" t="inlineStr">
        <is>
          <t>A14-SB-N233</t>
        </is>
      </c>
      <c r="B1024" s="3" t="inlineStr">
        <is>
          <t>SOJC-SM-SC/PC-SC/APC</t>
        </is>
      </c>
      <c r="C1024" s="2" t="inlineStr">
        <is>
          <t>B3, 1.5M, 3.0mm</t>
        </is>
      </c>
      <c r="D1024" s="2" t="inlineStr">
        <is>
          <t>b3</t>
        </is>
      </c>
      <c r="E1024" s="2" t="inlineStr">
        <is>
          <t>3.0mm</t>
        </is>
      </c>
      <c r="F1024" s="2" t="n">
        <v>1</v>
      </c>
      <c r="G1024" s="2" t="n">
        <v>1.5</v>
      </c>
      <c r="H1024" s="2" t="inlineStr">
        <is>
          <t>SC/PC</t>
        </is>
      </c>
      <c r="I1024" s="2" t="inlineStr">
        <is>
          <t>SC/APC</t>
        </is>
      </c>
      <c r="J1024" s="2" t="n"/>
      <c r="K1024" s="2" t="n"/>
      <c r="L1024" s="2" t="n"/>
      <c r="M1024" s="2" t="n"/>
      <c r="N1024" s="2" t="n"/>
      <c r="O1024" s="2" t="n"/>
      <c r="P1024" s="2" t="n"/>
      <c r="Q1024" s="2" t="n">
        <v>100</v>
      </c>
      <c r="R1024" s="2" t="n"/>
      <c r="S1024" s="2" t="n"/>
      <c r="T1024" s="2" t="n"/>
      <c r="U1024" s="2" t="n"/>
      <c r="V1024" s="2">
        <f>SUM(J1024:U1024)*G1024</f>
        <v/>
      </c>
      <c r="W1024" s="2">
        <f>MAX(J1024:U1024)</f>
        <v/>
      </c>
      <c r="X1024" s="2">
        <f>W1024*G1024</f>
        <v/>
      </c>
    </row>
    <row r="1025">
      <c r="A1025" s="2" t="inlineStr">
        <is>
          <t>A14-SB-N234</t>
        </is>
      </c>
      <c r="B1025" s="3" t="inlineStr">
        <is>
          <t>SOJC-SM-SC/PC-SC/APC</t>
        </is>
      </c>
      <c r="C1025" s="2" t="inlineStr">
        <is>
          <t>908041429, 10M, B3, 2.0mm</t>
        </is>
      </c>
      <c r="D1025" s="2" t="inlineStr">
        <is>
          <t>b3</t>
        </is>
      </c>
      <c r="E1025" s="2" t="inlineStr">
        <is>
          <t>2.0mm</t>
        </is>
      </c>
      <c r="F1025" s="2" t="n">
        <v>1</v>
      </c>
      <c r="G1025" s="2" t="n">
        <v>10</v>
      </c>
      <c r="H1025" s="2" t="inlineStr">
        <is>
          <t>SC/PC</t>
        </is>
      </c>
      <c r="I1025" s="2" t="inlineStr">
        <is>
          <t>SC/APC</t>
        </is>
      </c>
      <c r="J1025" s="2" t="n">
        <v>20</v>
      </c>
      <c r="K1025" s="2" t="n">
        <v>160</v>
      </c>
      <c r="L1025" s="2" t="n"/>
      <c r="M1025" s="2" t="n"/>
      <c r="N1025" s="2" t="n"/>
      <c r="O1025" s="2" t="n"/>
      <c r="P1025" s="2" t="n">
        <v>139</v>
      </c>
      <c r="Q1025" s="2" t="n">
        <v>100</v>
      </c>
      <c r="R1025" s="2" t="n">
        <v>10</v>
      </c>
      <c r="S1025" s="2" t="n">
        <v>20</v>
      </c>
      <c r="T1025" s="2" t="n"/>
      <c r="U1025" s="2" t="n"/>
      <c r="V1025" s="2">
        <f>SUM(J1025:U1025)*G1025</f>
        <v/>
      </c>
      <c r="W1025" s="2">
        <f>MAX(J1025:U1025)</f>
        <v/>
      </c>
      <c r="X1025" s="2">
        <f>W1025*G1025</f>
        <v/>
      </c>
    </row>
    <row r="1026">
      <c r="A1026" s="2" t="inlineStr">
        <is>
          <t>A14-SB-N235</t>
        </is>
      </c>
      <c r="B1026" s="3" t="inlineStr">
        <is>
          <t>SOJC-SM-SC/PC-SC/APC</t>
        </is>
      </c>
      <c r="C1026" s="2" t="inlineStr">
        <is>
          <t>12M, B3, 2.0mm</t>
        </is>
      </c>
      <c r="D1026" s="2" t="inlineStr">
        <is>
          <t>b3</t>
        </is>
      </c>
      <c r="E1026" s="2" t="inlineStr">
        <is>
          <t>2.0mm</t>
        </is>
      </c>
      <c r="F1026" s="2" t="n">
        <v>1</v>
      </c>
      <c r="G1026" s="2" t="n">
        <v>12</v>
      </c>
      <c r="H1026" s="2" t="inlineStr">
        <is>
          <t>SC/PC</t>
        </is>
      </c>
      <c r="I1026" s="2" t="inlineStr">
        <is>
          <t>SC/APC</t>
        </is>
      </c>
      <c r="J1026" s="2" t="n"/>
      <c r="K1026" s="2" t="n"/>
      <c r="L1026" s="2" t="n"/>
      <c r="M1026" s="2" t="n">
        <v>40</v>
      </c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>
        <f>SUM(J1026:U1026)*G1026</f>
        <v/>
      </c>
      <c r="W1026" s="2">
        <f>MAX(J1026:U1026)</f>
        <v/>
      </c>
      <c r="X1026" s="2">
        <f>W1026*G1026</f>
        <v/>
      </c>
    </row>
    <row r="1027">
      <c r="A1027" s="2" t="inlineStr">
        <is>
          <t>A14-SB-N237</t>
        </is>
      </c>
      <c r="B1027" s="3" t="inlineStr">
        <is>
          <t>SOJC-SM-SC/PC-SC/APC</t>
        </is>
      </c>
      <c r="C1027" s="2" t="inlineStr">
        <is>
          <t>908041434, 15M, B3, 2.0mm</t>
        </is>
      </c>
      <c r="D1027" s="2" t="inlineStr">
        <is>
          <t>b3</t>
        </is>
      </c>
      <c r="E1027" s="2" t="inlineStr">
        <is>
          <t>2.0mm</t>
        </is>
      </c>
      <c r="F1027" s="2" t="n">
        <v>1</v>
      </c>
      <c r="G1027" s="2" t="n">
        <v>15</v>
      </c>
      <c r="H1027" s="2" t="inlineStr">
        <is>
          <t>SC/PC</t>
        </is>
      </c>
      <c r="I1027" s="2" t="inlineStr">
        <is>
          <t>SC/APC</t>
        </is>
      </c>
      <c r="J1027" s="2" t="n">
        <v>45</v>
      </c>
      <c r="K1027" s="2" t="n">
        <v>75</v>
      </c>
      <c r="L1027" s="2" t="n">
        <v>50</v>
      </c>
      <c r="M1027" s="2" t="n">
        <v>5</v>
      </c>
      <c r="N1027" s="2" t="n">
        <v>400</v>
      </c>
      <c r="O1027" s="2" t="n"/>
      <c r="P1027" s="2" t="n"/>
      <c r="Q1027" s="2" t="n"/>
      <c r="R1027" s="2" t="n"/>
      <c r="S1027" s="2" t="n"/>
      <c r="T1027" s="2" t="n"/>
      <c r="U1027" s="2" t="n"/>
      <c r="V1027" s="2">
        <f>SUM(J1027:U1027)*G1027</f>
        <v/>
      </c>
      <c r="W1027" s="2">
        <f>MAX(J1027:U1027)</f>
        <v/>
      </c>
      <c r="X1027" s="2">
        <f>W1027*G1027</f>
        <v/>
      </c>
    </row>
    <row r="1028">
      <c r="A1028" s="2" t="inlineStr">
        <is>
          <t>A14-SB-N241</t>
        </is>
      </c>
      <c r="B1028" s="3" t="inlineStr">
        <is>
          <t>SOJC-SM-SC/PC-SC/APC</t>
        </is>
      </c>
      <c r="C1028" s="2" t="inlineStr">
        <is>
          <t>908041439, 20M, B3, 2.0mm</t>
        </is>
      </c>
      <c r="D1028" s="2" t="inlineStr">
        <is>
          <t>b3</t>
        </is>
      </c>
      <c r="E1028" s="2" t="inlineStr">
        <is>
          <t>2.0mm</t>
        </is>
      </c>
      <c r="F1028" s="2" t="n">
        <v>1</v>
      </c>
      <c r="G1028" s="2" t="n">
        <v>20</v>
      </c>
      <c r="H1028" s="2" t="inlineStr">
        <is>
          <t>SC/PC</t>
        </is>
      </c>
      <c r="I1028" s="2" t="inlineStr">
        <is>
          <t>SC/APC</t>
        </is>
      </c>
      <c r="J1028" s="2" t="n"/>
      <c r="K1028" s="2" t="n"/>
      <c r="L1028" s="2" t="n"/>
      <c r="M1028" s="2" t="n"/>
      <c r="N1028" s="2" t="n">
        <v>55</v>
      </c>
      <c r="O1028" s="2" t="n">
        <v>5</v>
      </c>
      <c r="P1028" s="2" t="n"/>
      <c r="Q1028" s="2" t="n"/>
      <c r="R1028" s="2" t="n"/>
      <c r="S1028" s="2" t="n">
        <v>10</v>
      </c>
      <c r="T1028" s="2" t="n"/>
      <c r="U1028" s="2" t="n"/>
      <c r="V1028" s="2">
        <f>SUM(J1028:U1028)*G1028</f>
        <v/>
      </c>
      <c r="W1028" s="2">
        <f>MAX(J1028:U1028)</f>
        <v/>
      </c>
      <c r="X1028" s="2">
        <f>W1028*G1028</f>
        <v/>
      </c>
    </row>
    <row r="1029">
      <c r="A1029" s="2" t="inlineStr">
        <is>
          <t>A14-SB-N245</t>
        </is>
      </c>
      <c r="B1029" s="3" t="inlineStr">
        <is>
          <t>SOJC-SM-SC/PC-SC/APC</t>
        </is>
      </c>
      <c r="C1029" s="2" t="inlineStr">
        <is>
          <t>908041422, 2M, B3, 3.0mm</t>
        </is>
      </c>
      <c r="D1029" s="2" t="inlineStr">
        <is>
          <t>b3</t>
        </is>
      </c>
      <c r="E1029" s="2" t="inlineStr">
        <is>
          <t>3.0mm</t>
        </is>
      </c>
      <c r="F1029" s="2" t="n">
        <v>1</v>
      </c>
      <c r="G1029" s="2" t="n">
        <v>2</v>
      </c>
      <c r="H1029" s="2" t="inlineStr">
        <is>
          <t>SC/PC</t>
        </is>
      </c>
      <c r="I1029" s="2" t="inlineStr">
        <is>
          <t>SC/APC</t>
        </is>
      </c>
      <c r="J1029" s="2" t="n"/>
      <c r="K1029" s="2" t="n"/>
      <c r="L1029" s="2" t="n"/>
      <c r="M1029" s="2" t="n"/>
      <c r="N1029" s="2" t="n">
        <v>93</v>
      </c>
      <c r="O1029" s="2" t="n"/>
      <c r="P1029" s="2" t="n"/>
      <c r="Q1029" s="2" t="n"/>
      <c r="R1029" s="2" t="n"/>
      <c r="S1029" s="2" t="n"/>
      <c r="T1029" s="2" t="n"/>
      <c r="U1029" s="2" t="n"/>
      <c r="V1029" s="2">
        <f>SUM(J1029:U1029)*G1029</f>
        <v/>
      </c>
      <c r="W1029" s="2">
        <f>MAX(J1029:U1029)</f>
        <v/>
      </c>
      <c r="X1029" s="2">
        <f>W1029*G1029</f>
        <v/>
      </c>
    </row>
    <row r="1030">
      <c r="A1030" s="2" t="inlineStr">
        <is>
          <t>A14-SB-N249</t>
        </is>
      </c>
      <c r="B1030" s="3" t="inlineStr">
        <is>
          <t>SOJC-SM-SC/PC-SC/APC</t>
        </is>
      </c>
      <c r="C1030" s="2" t="inlineStr">
        <is>
          <t>908041420, 3M, B3, 3.0mm</t>
        </is>
      </c>
      <c r="D1030" s="2" t="inlineStr">
        <is>
          <t>b3</t>
        </is>
      </c>
      <c r="E1030" s="2" t="inlineStr">
        <is>
          <t>3.0mm</t>
        </is>
      </c>
      <c r="F1030" s="2" t="n">
        <v>1</v>
      </c>
      <c r="G1030" s="2" t="n">
        <v>3</v>
      </c>
      <c r="H1030" s="2" t="inlineStr">
        <is>
          <t>SC/PC</t>
        </is>
      </c>
      <c r="I1030" s="2" t="inlineStr">
        <is>
          <t>SC/APC</t>
        </is>
      </c>
      <c r="J1030" s="2" t="n">
        <v>30</v>
      </c>
      <c r="K1030" s="2" t="n"/>
      <c r="L1030" s="2" t="n"/>
      <c r="M1030" s="2" t="n"/>
      <c r="N1030" s="2" t="n"/>
      <c r="O1030" s="2" t="n"/>
      <c r="P1030" s="2" t="n"/>
      <c r="Q1030" s="2" t="n"/>
      <c r="R1030" s="2" t="n">
        <v>50</v>
      </c>
      <c r="S1030" s="2" t="n"/>
      <c r="T1030" s="2" t="n"/>
      <c r="U1030" s="2" t="n"/>
      <c r="V1030" s="2">
        <f>SUM(J1030:U1030)*G1030</f>
        <v/>
      </c>
      <c r="W1030" s="2">
        <f>MAX(J1030:U1030)</f>
        <v/>
      </c>
      <c r="X1030" s="2">
        <f>W1030*G1030</f>
        <v/>
      </c>
    </row>
    <row r="1031">
      <c r="A1031" s="2" t="inlineStr">
        <is>
          <t>A14-SB-N253</t>
        </is>
      </c>
      <c r="B1031" s="3" t="inlineStr">
        <is>
          <t>SOJC-SM-SC/PC-SC/APC</t>
        </is>
      </c>
      <c r="C1031" s="2" t="inlineStr">
        <is>
          <t>908041427, 8M, B3, 2.0mm</t>
        </is>
      </c>
      <c r="D1031" s="2" t="inlineStr">
        <is>
          <t>b3</t>
        </is>
      </c>
      <c r="E1031" s="2" t="inlineStr">
        <is>
          <t>2.0mm</t>
        </is>
      </c>
      <c r="F1031" s="2" t="n">
        <v>1</v>
      </c>
      <c r="G1031" s="2" t="n">
        <v>8</v>
      </c>
      <c r="H1031" s="2" t="inlineStr">
        <is>
          <t>SC/PC</t>
        </is>
      </c>
      <c r="I1031" s="2" t="inlineStr">
        <is>
          <t>SC/APC</t>
        </is>
      </c>
      <c r="J1031" s="2" t="n"/>
      <c r="K1031" s="2" t="n"/>
      <c r="L1031" s="2" t="n"/>
      <c r="M1031" s="2" t="n"/>
      <c r="N1031" s="2" t="n">
        <v>110</v>
      </c>
      <c r="O1031" s="2" t="n">
        <v>40</v>
      </c>
      <c r="P1031" s="2" t="n"/>
      <c r="Q1031" s="2" t="n"/>
      <c r="R1031" s="2" t="n"/>
      <c r="S1031" s="2" t="n"/>
      <c r="T1031" s="2" t="n"/>
      <c r="U1031" s="2" t="n"/>
      <c r="V1031" s="2">
        <f>SUM(J1031:U1031)*G1031</f>
        <v/>
      </c>
      <c r="W1031" s="2">
        <f>MAX(J1031:U1031)</f>
        <v/>
      </c>
      <c r="X1031" s="2">
        <f>W1031*G1031</f>
        <v/>
      </c>
    </row>
    <row r="1032">
      <c r="A1032" s="2" t="inlineStr">
        <is>
          <t>A14-SB-N258</t>
        </is>
      </c>
      <c r="B1032" s="3" t="inlineStr">
        <is>
          <t>SOJC-SM-SC/PC-SC/PC</t>
        </is>
      </c>
      <c r="C1032" s="2" t="inlineStr">
        <is>
          <t>908041399, 10M, B3, 2.0mm</t>
        </is>
      </c>
      <c r="D1032" s="2" t="inlineStr">
        <is>
          <t>b3</t>
        </is>
      </c>
      <c r="E1032" s="2" t="inlineStr">
        <is>
          <t>2.0mm</t>
        </is>
      </c>
      <c r="F1032" s="2" t="n">
        <v>1</v>
      </c>
      <c r="G1032" s="2" t="n">
        <v>10</v>
      </c>
      <c r="H1032" s="2" t="inlineStr">
        <is>
          <t>SC/PC</t>
        </is>
      </c>
      <c r="I1032" s="2" t="inlineStr">
        <is>
          <t>SC/PC</t>
        </is>
      </c>
      <c r="J1032" s="2" t="n">
        <v>202</v>
      </c>
      <c r="K1032" s="2" t="n">
        <v>160</v>
      </c>
      <c r="L1032" s="2" t="n"/>
      <c r="M1032" s="2" t="n"/>
      <c r="N1032" s="2" t="n">
        <v>100</v>
      </c>
      <c r="O1032" s="2" t="n">
        <v>20</v>
      </c>
      <c r="P1032" s="2" t="n">
        <v>243</v>
      </c>
      <c r="Q1032" s="2" t="n"/>
      <c r="R1032" s="2" t="n">
        <v>460</v>
      </c>
      <c r="S1032" s="2" t="n">
        <v>260</v>
      </c>
      <c r="T1032" s="2" t="n">
        <v>210</v>
      </c>
      <c r="U1032" s="2" t="n"/>
      <c r="V1032" s="2">
        <f>SUM(J1032:U1032)*G1032</f>
        <v/>
      </c>
      <c r="W1032" s="2">
        <f>MAX(J1032:U1032)</f>
        <v/>
      </c>
      <c r="X1032" s="2">
        <f>W1032*G1032</f>
        <v/>
      </c>
    </row>
    <row r="1033">
      <c r="A1033" s="2" t="inlineStr">
        <is>
          <t>A14-SB-N259</t>
        </is>
      </c>
      <c r="B1033" s="3" t="inlineStr">
        <is>
          <t>SOJC-SM-SC/PC-SC/PC</t>
        </is>
      </c>
      <c r="C1033" s="2" t="inlineStr">
        <is>
          <t>12M, B3, 2.0mm</t>
        </is>
      </c>
      <c r="D1033" s="2" t="inlineStr">
        <is>
          <t>b3</t>
        </is>
      </c>
      <c r="E1033" s="2" t="inlineStr">
        <is>
          <t>2.0mm</t>
        </is>
      </c>
      <c r="F1033" s="2" t="n">
        <v>1</v>
      </c>
      <c r="G1033" s="2" t="n">
        <v>12</v>
      </c>
      <c r="H1033" s="2" t="inlineStr">
        <is>
          <t>SC/PC</t>
        </is>
      </c>
      <c r="I1033" s="2" t="inlineStr">
        <is>
          <t>SC/PC</t>
        </is>
      </c>
      <c r="J1033" s="2" t="n">
        <v>5</v>
      </c>
      <c r="K1033" s="2" t="n"/>
      <c r="L1033" s="2" t="n">
        <v>30</v>
      </c>
      <c r="M1033" s="2" t="n"/>
      <c r="N1033" s="2" t="n">
        <v>100</v>
      </c>
      <c r="O1033" s="2" t="n"/>
      <c r="P1033" s="2" t="n"/>
      <c r="Q1033" s="2" t="n"/>
      <c r="R1033" s="2" t="n"/>
      <c r="S1033" s="2" t="n"/>
      <c r="T1033" s="2" t="n"/>
      <c r="U1033" s="2" t="n"/>
      <c r="V1033" s="2">
        <f>SUM(J1033:U1033)*G1033</f>
        <v/>
      </c>
      <c r="W1033" s="2">
        <f>MAX(J1033:U1033)</f>
        <v/>
      </c>
      <c r="X1033" s="2">
        <f>W1033*G1033</f>
        <v/>
      </c>
    </row>
    <row r="1034">
      <c r="A1034" s="2" t="inlineStr">
        <is>
          <t>A14-SB-N260</t>
        </is>
      </c>
      <c r="B1034" s="3" t="inlineStr">
        <is>
          <t>SOJC-SM-SC/PC-SC/PC</t>
        </is>
      </c>
      <c r="C1034" s="2" t="inlineStr">
        <is>
          <t>908041404, 15M, B3, 2.0mm</t>
        </is>
      </c>
      <c r="D1034" s="2" t="inlineStr">
        <is>
          <t>b3</t>
        </is>
      </c>
      <c r="E1034" s="2" t="inlineStr">
        <is>
          <t>2.0mm</t>
        </is>
      </c>
      <c r="F1034" s="2" t="n">
        <v>1</v>
      </c>
      <c r="G1034" s="2" t="n">
        <v>15</v>
      </c>
      <c r="H1034" s="2" t="inlineStr">
        <is>
          <t>SC/PC</t>
        </is>
      </c>
      <c r="I1034" s="2" t="inlineStr">
        <is>
          <t>SC/PC</t>
        </is>
      </c>
      <c r="J1034" s="2" t="n">
        <v>65</v>
      </c>
      <c r="K1034" s="2" t="n">
        <v>5</v>
      </c>
      <c r="L1034" s="2" t="n"/>
      <c r="M1034" s="2" t="n"/>
      <c r="N1034" s="2" t="n">
        <v>140</v>
      </c>
      <c r="O1034" s="2" t="n">
        <v>20</v>
      </c>
      <c r="P1034" s="2" t="n">
        <v>18</v>
      </c>
      <c r="Q1034" s="2" t="n">
        <v>500</v>
      </c>
      <c r="R1034" s="2" t="n">
        <v>55</v>
      </c>
      <c r="S1034" s="2" t="n">
        <v>30</v>
      </c>
      <c r="T1034" s="2" t="n"/>
      <c r="U1034" s="2" t="n"/>
      <c r="V1034" s="2">
        <f>SUM(J1034:U1034)*G1034</f>
        <v/>
      </c>
      <c r="W1034" s="2">
        <f>MAX(J1034:U1034)</f>
        <v/>
      </c>
      <c r="X1034" s="2">
        <f>W1034*G1034</f>
        <v/>
      </c>
    </row>
    <row r="1035">
      <c r="A1035" s="2" t="inlineStr">
        <is>
          <t>A14-SB-N263</t>
        </is>
      </c>
      <c r="B1035" s="3" t="inlineStr">
        <is>
          <t>SOJC-SM-SC/PC-SC/PC</t>
        </is>
      </c>
      <c r="C1035" s="2" t="inlineStr">
        <is>
          <t>908041409, 20M, B3, 2.0mm</t>
        </is>
      </c>
      <c r="D1035" s="2" t="inlineStr">
        <is>
          <t>b3</t>
        </is>
      </c>
      <c r="E1035" s="2" t="inlineStr">
        <is>
          <t>2.0mm</t>
        </is>
      </c>
      <c r="F1035" s="2" t="n">
        <v>1</v>
      </c>
      <c r="G1035" s="2" t="n">
        <v>20</v>
      </c>
      <c r="H1035" s="2" t="inlineStr">
        <is>
          <t>SC/PC</t>
        </is>
      </c>
      <c r="I1035" s="2" t="inlineStr">
        <is>
          <t>SC/PC</t>
        </is>
      </c>
      <c r="J1035" s="2" t="n"/>
      <c r="K1035" s="2" t="n">
        <v>48</v>
      </c>
      <c r="L1035" s="2" t="n"/>
      <c r="M1035" s="2" t="n"/>
      <c r="N1035" s="2" t="n">
        <v>15</v>
      </c>
      <c r="O1035" s="2" t="n"/>
      <c r="P1035" s="2" t="n">
        <v>35</v>
      </c>
      <c r="Q1035" s="2" t="n">
        <v>10</v>
      </c>
      <c r="R1035" s="2" t="n"/>
      <c r="S1035" s="2" t="n">
        <v>20</v>
      </c>
      <c r="T1035" s="2" t="n">
        <v>10</v>
      </c>
      <c r="U1035" s="2" t="n"/>
      <c r="V1035" s="2">
        <f>SUM(J1035:U1035)*G1035</f>
        <v/>
      </c>
      <c r="W1035" s="2">
        <f>MAX(J1035:U1035)</f>
        <v/>
      </c>
      <c r="X1035" s="2">
        <f>W1035*G1035</f>
        <v/>
      </c>
    </row>
    <row r="1036">
      <c r="A1036" s="2" t="inlineStr">
        <is>
          <t>A14-SB-N264</t>
        </is>
      </c>
      <c r="B1036" s="3" t="inlineStr">
        <is>
          <t>SOJC-SM-SC/PC-SC/PC</t>
        </is>
      </c>
      <c r="C1036" s="2" t="inlineStr">
        <is>
          <t>908041414, 25M, B3, 2.0mm</t>
        </is>
      </c>
      <c r="D1036" s="2" t="inlineStr">
        <is>
          <t>b3</t>
        </is>
      </c>
      <c r="E1036" s="2" t="inlineStr">
        <is>
          <t>2.0mm</t>
        </is>
      </c>
      <c r="F1036" s="2" t="n">
        <v>1</v>
      </c>
      <c r="G1036" s="2" t="n">
        <v>25</v>
      </c>
      <c r="H1036" s="2" t="inlineStr">
        <is>
          <t>SC/PC</t>
        </is>
      </c>
      <c r="I1036" s="2" t="inlineStr">
        <is>
          <t>SC/PC</t>
        </is>
      </c>
      <c r="J1036" s="2" t="n"/>
      <c r="K1036" s="2" t="n">
        <v>8</v>
      </c>
      <c r="L1036" s="2" t="n"/>
      <c r="M1036" s="2" t="n"/>
      <c r="N1036" s="2" t="n"/>
      <c r="O1036" s="2" t="n"/>
      <c r="P1036" s="2" t="n">
        <v>20</v>
      </c>
      <c r="Q1036" s="2" t="n">
        <v>10</v>
      </c>
      <c r="R1036" s="2" t="n"/>
      <c r="S1036" s="2" t="n"/>
      <c r="T1036" s="2" t="n"/>
      <c r="U1036" s="2" t="n"/>
      <c r="V1036" s="2">
        <f>SUM(J1036:U1036)*G1036</f>
        <v/>
      </c>
      <c r="W1036" s="2">
        <f>MAX(J1036:U1036)</f>
        <v/>
      </c>
      <c r="X1036" s="2">
        <f>W1036*G1036</f>
        <v/>
      </c>
    </row>
    <row r="1037">
      <c r="A1037" s="2" t="inlineStr">
        <is>
          <t>A14-SB-N271</t>
        </is>
      </c>
      <c r="B1037" s="3" t="inlineStr">
        <is>
          <t>SOJC-SM-SC/PC-SC/PC</t>
        </is>
      </c>
      <c r="C1037" s="2" t="inlineStr">
        <is>
          <t>908041393, 4M, B3, 3.0mm</t>
        </is>
      </c>
      <c r="D1037" s="2" t="inlineStr">
        <is>
          <t>b3</t>
        </is>
      </c>
      <c r="E1037" s="2" t="inlineStr">
        <is>
          <t>3.0mm</t>
        </is>
      </c>
      <c r="F1037" s="2" t="n">
        <v>1</v>
      </c>
      <c r="G1037" s="2" t="n">
        <v>4</v>
      </c>
      <c r="H1037" s="2" t="inlineStr">
        <is>
          <t>SC/PC</t>
        </is>
      </c>
      <c r="I1037" s="2" t="inlineStr">
        <is>
          <t>SC/PC</t>
        </is>
      </c>
      <c r="J1037" s="2" t="n"/>
      <c r="K1037" s="2" t="n"/>
      <c r="L1037" s="2" t="n">
        <v>6</v>
      </c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>
        <f>SUM(J1037:U1037)*G1037</f>
        <v/>
      </c>
      <c r="W1037" s="2">
        <f>MAX(J1037:U1037)</f>
        <v/>
      </c>
      <c r="X1037" s="2">
        <f>W1037*G1037</f>
        <v/>
      </c>
    </row>
    <row r="1038">
      <c r="A1038" s="2" t="inlineStr">
        <is>
          <t>A14-SB-N273</t>
        </is>
      </c>
      <c r="B1038" s="3" t="inlineStr">
        <is>
          <t>SOJC-SM-SC/PC-SC/PC</t>
        </is>
      </c>
      <c r="C1038" s="2" t="inlineStr">
        <is>
          <t>908041396, 7M, B3, 2.0mm</t>
        </is>
      </c>
      <c r="D1038" s="2" t="inlineStr">
        <is>
          <t>b3</t>
        </is>
      </c>
      <c r="E1038" s="2" t="inlineStr">
        <is>
          <t>2.0mm</t>
        </is>
      </c>
      <c r="F1038" s="2" t="n">
        <v>1</v>
      </c>
      <c r="G1038" s="2" t="n">
        <v>7</v>
      </c>
      <c r="H1038" s="2" t="inlineStr">
        <is>
          <t>SC/PC</t>
        </is>
      </c>
      <c r="I1038" s="2" t="inlineStr">
        <is>
          <t>SC/PC</t>
        </is>
      </c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>
        <v>22</v>
      </c>
      <c r="S1038" s="2" t="n">
        <v>80</v>
      </c>
      <c r="T1038" s="2" t="n">
        <v>140</v>
      </c>
      <c r="U1038" s="2" t="n"/>
      <c r="V1038" s="2">
        <f>SUM(J1038:U1038)*G1038</f>
        <v/>
      </c>
      <c r="W1038" s="2">
        <f>MAX(J1038:U1038)</f>
        <v/>
      </c>
      <c r="X1038" s="2">
        <f>W1038*G1038</f>
        <v/>
      </c>
    </row>
    <row r="1039">
      <c r="A1039" s="2" t="inlineStr">
        <is>
          <t>A14-SB-N274</t>
        </is>
      </c>
      <c r="B1039" s="3" t="inlineStr">
        <is>
          <t>SOJC-SM-SC/PC-SC/PC</t>
        </is>
      </c>
      <c r="C1039" s="2" t="inlineStr">
        <is>
          <t>908041397, 8M, B3, 2.0mm</t>
        </is>
      </c>
      <c r="D1039" s="2" t="inlineStr">
        <is>
          <t>b3</t>
        </is>
      </c>
      <c r="E1039" s="2" t="inlineStr">
        <is>
          <t>2.0mm</t>
        </is>
      </c>
      <c r="F1039" s="2" t="n">
        <v>1</v>
      </c>
      <c r="G1039" s="2" t="n">
        <v>8</v>
      </c>
      <c r="H1039" s="2" t="inlineStr">
        <is>
          <t>SC/PC</t>
        </is>
      </c>
      <c r="I1039" s="2" t="inlineStr">
        <is>
          <t>SC/PC</t>
        </is>
      </c>
      <c r="J1039" s="2" t="n"/>
      <c r="K1039" s="2" t="n"/>
      <c r="L1039" s="2" t="n"/>
      <c r="M1039" s="2" t="n"/>
      <c r="N1039" s="2" t="n">
        <v>100</v>
      </c>
      <c r="O1039" s="2" t="n"/>
      <c r="P1039" s="2" t="n"/>
      <c r="Q1039" s="2" t="n"/>
      <c r="R1039" s="2" t="n"/>
      <c r="S1039" s="2" t="n">
        <v>240</v>
      </c>
      <c r="T1039" s="2" t="n"/>
      <c r="U1039" s="2" t="n"/>
      <c r="V1039" s="2">
        <f>SUM(J1039:U1039)*G1039</f>
        <v/>
      </c>
      <c r="W1039" s="2">
        <f>MAX(J1039:U1039)</f>
        <v/>
      </c>
      <c r="X1039" s="2">
        <f>W1039*G1039</f>
        <v/>
      </c>
    </row>
    <row r="1040">
      <c r="A1040" s="2" t="inlineStr">
        <is>
          <t>A14-SB-N275</t>
        </is>
      </c>
      <c r="B1040" s="3" t="inlineStr">
        <is>
          <t>SOJC-SM-SC/PC-SC/PC</t>
        </is>
      </c>
      <c r="C1040" s="2" t="inlineStr">
        <is>
          <t>908041398, 9M, B3, 2.0mm</t>
        </is>
      </c>
      <c r="D1040" s="2" t="inlineStr">
        <is>
          <t>b3</t>
        </is>
      </c>
      <c r="E1040" s="2" t="inlineStr">
        <is>
          <t>2.0mm</t>
        </is>
      </c>
      <c r="F1040" s="2" t="n">
        <v>1</v>
      </c>
      <c r="G1040" s="2" t="n">
        <v>9</v>
      </c>
      <c r="H1040" s="2" t="inlineStr">
        <is>
          <t>SC/PC</t>
        </is>
      </c>
      <c r="I1040" s="2" t="inlineStr">
        <is>
          <t>SC/PC</t>
        </is>
      </c>
      <c r="J1040" s="2" t="n">
        <v>10</v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>
        <f>SUM(J1040:U1040)*G1040</f>
        <v/>
      </c>
      <c r="W1040" s="2">
        <f>MAX(J1040:U1040)</f>
        <v/>
      </c>
      <c r="X1040" s="2">
        <f>W1040*G1040</f>
        <v/>
      </c>
    </row>
    <row r="1041">
      <c r="A1041" s="2" t="inlineStr">
        <is>
          <t>A14-SB-N285</t>
        </is>
      </c>
      <c r="B1041" s="3" t="inlineStr">
        <is>
          <t>SOJC-SM-SC/PC-SC/PC</t>
        </is>
      </c>
      <c r="C1041" s="2" t="inlineStr">
        <is>
          <t>908041395, 6M, B3, 2.0mm</t>
        </is>
      </c>
      <c r="D1041" s="2" t="inlineStr">
        <is>
          <t>b3</t>
        </is>
      </c>
      <c r="E1041" s="2" t="inlineStr">
        <is>
          <t>2.0mm</t>
        </is>
      </c>
      <c r="F1041" s="2" t="n">
        <v>1</v>
      </c>
      <c r="G1041" s="2" t="n">
        <v>6</v>
      </c>
      <c r="H1041" s="2" t="inlineStr">
        <is>
          <t>SC/PC</t>
        </is>
      </c>
      <c r="I1041" s="2" t="inlineStr">
        <is>
          <t>SC/PC</t>
        </is>
      </c>
      <c r="J1041" s="2" t="n"/>
      <c r="K1041" s="2" t="n"/>
      <c r="L1041" s="2" t="n">
        <v>16</v>
      </c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>
        <f>SUM(J1041:U1041)*G1041</f>
        <v/>
      </c>
      <c r="W1041" s="2">
        <f>MAX(J1041:U1041)</f>
        <v/>
      </c>
      <c r="X1041" s="2">
        <f>W1041*G1041</f>
        <v/>
      </c>
    </row>
    <row r="1042">
      <c r="A1042" s="2" t="inlineStr">
        <is>
          <t>A14-SB-N343</t>
        </is>
      </c>
      <c r="B1042" s="3" t="inlineStr">
        <is>
          <t>SOJC-SM-FC/APC-FC/APC</t>
        </is>
      </c>
      <c r="C1042" s="2" t="inlineStr">
        <is>
          <t>12M, B3, 2.0mm</t>
        </is>
      </c>
      <c r="D1042" s="2" t="inlineStr">
        <is>
          <t>b3</t>
        </is>
      </c>
      <c r="E1042" s="2" t="inlineStr">
        <is>
          <t>2.0mm</t>
        </is>
      </c>
      <c r="F1042" s="2" t="n">
        <v>1</v>
      </c>
      <c r="G1042" s="2" t="n">
        <v>12</v>
      </c>
      <c r="H1042" s="2" t="inlineStr">
        <is>
          <t>FC/APC</t>
        </is>
      </c>
      <c r="I1042" s="2" t="inlineStr">
        <is>
          <t>FC/APC</t>
        </is>
      </c>
      <c r="J1042" s="2" t="n"/>
      <c r="K1042" s="2" t="n"/>
      <c r="L1042" s="2" t="n">
        <v>4</v>
      </c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>
        <f>SUM(J1042:U1042)*G1042</f>
        <v/>
      </c>
      <c r="W1042" s="2">
        <f>MAX(J1042:U1042)</f>
        <v/>
      </c>
      <c r="X1042" s="2">
        <f>W1042*G1042</f>
        <v/>
      </c>
    </row>
    <row r="1043">
      <c r="A1043" s="2" t="inlineStr">
        <is>
          <t>A14-SB-N354</t>
        </is>
      </c>
      <c r="B1043" s="3" t="inlineStr">
        <is>
          <t>SOJC-SM-LC/PC-SC/PC</t>
        </is>
      </c>
      <c r="C1043" s="2" t="inlineStr">
        <is>
          <t>23M, B3, 2.0mm</t>
        </is>
      </c>
      <c r="D1043" s="2" t="inlineStr">
        <is>
          <t>b3</t>
        </is>
      </c>
      <c r="E1043" s="2" t="inlineStr">
        <is>
          <t>2.0mm</t>
        </is>
      </c>
      <c r="F1043" s="2" t="n">
        <v>1</v>
      </c>
      <c r="G1043" s="2" t="n">
        <v>23</v>
      </c>
      <c r="H1043" s="2" t="inlineStr">
        <is>
          <t>LC/PC</t>
        </is>
      </c>
      <c r="I1043" s="2" t="inlineStr">
        <is>
          <t>SC/PC</t>
        </is>
      </c>
      <c r="J1043" s="2" t="n"/>
      <c r="K1043" s="2" t="n"/>
      <c r="L1043" s="2" t="n"/>
      <c r="M1043" s="2" t="n"/>
      <c r="N1043" s="2" t="n"/>
      <c r="O1043" s="2" t="n"/>
      <c r="P1043" s="2" t="n"/>
      <c r="Q1043" s="2" t="n">
        <v>65</v>
      </c>
      <c r="R1043" s="2" t="n"/>
      <c r="S1043" s="2" t="n"/>
      <c r="T1043" s="2" t="n"/>
      <c r="U1043" s="2" t="n"/>
      <c r="V1043" s="2">
        <f>SUM(J1043:U1043)*G1043</f>
        <v/>
      </c>
      <c r="W1043" s="2">
        <f>MAX(J1043:U1043)</f>
        <v/>
      </c>
      <c r="X1043" s="2">
        <f>W1043*G1043</f>
        <v/>
      </c>
    </row>
    <row r="1044">
      <c r="A1044" s="2" t="inlineStr">
        <is>
          <t>A14-SB-N359</t>
        </is>
      </c>
      <c r="B1044" s="3" t="inlineStr">
        <is>
          <t>SOJC-SM-LC/APC-SC/APC</t>
        </is>
      </c>
      <c r="C1044" s="2" t="inlineStr">
        <is>
          <t>10M, B3, 2.0mm</t>
        </is>
      </c>
      <c r="D1044" s="2" t="inlineStr">
        <is>
          <t>b3</t>
        </is>
      </c>
      <c r="E1044" s="2" t="inlineStr">
        <is>
          <t>2.0mm</t>
        </is>
      </c>
      <c r="F1044" s="2" t="n">
        <v>1</v>
      </c>
      <c r="G1044" s="2" t="n">
        <v>10</v>
      </c>
      <c r="H1044" s="2" t="inlineStr">
        <is>
          <t>LC/APC</t>
        </is>
      </c>
      <c r="I1044" s="2" t="inlineStr">
        <is>
          <t>SC/APC</t>
        </is>
      </c>
      <c r="J1044" s="2" t="n"/>
      <c r="K1044" s="2" t="n"/>
      <c r="L1044" s="2" t="n"/>
      <c r="M1044" s="2" t="n">
        <v>150</v>
      </c>
      <c r="N1044" s="2" t="n"/>
      <c r="O1044" s="2" t="n">
        <v>29</v>
      </c>
      <c r="P1044" s="2" t="n">
        <v>20</v>
      </c>
      <c r="Q1044" s="2" t="n"/>
      <c r="R1044" s="2" t="n"/>
      <c r="S1044" s="2" t="n"/>
      <c r="T1044" s="2" t="n"/>
      <c r="U1044" s="2" t="n"/>
      <c r="V1044" s="2">
        <f>SUM(J1044:U1044)*G1044</f>
        <v/>
      </c>
      <c r="W1044" s="2">
        <f>MAX(J1044:U1044)</f>
        <v/>
      </c>
      <c r="X1044" s="2">
        <f>W1044*G1044</f>
        <v/>
      </c>
    </row>
    <row r="1045">
      <c r="A1045" s="2" t="inlineStr">
        <is>
          <t>A14-SB-N360</t>
        </is>
      </c>
      <c r="B1045" s="3" t="inlineStr">
        <is>
          <t>SOJC-SM-LC/APC-LC/APC</t>
        </is>
      </c>
      <c r="C1045" s="2" t="inlineStr">
        <is>
          <t>10M, B3, 2.0mm</t>
        </is>
      </c>
      <c r="D1045" s="2" t="inlineStr">
        <is>
          <t>b3</t>
        </is>
      </c>
      <c r="E1045" s="2" t="inlineStr">
        <is>
          <t>2.0mm</t>
        </is>
      </c>
      <c r="F1045" s="2" t="n">
        <v>1</v>
      </c>
      <c r="G1045" s="2" t="n">
        <v>10</v>
      </c>
      <c r="H1045" s="2" t="inlineStr">
        <is>
          <t>LC/APC</t>
        </is>
      </c>
      <c r="I1045" s="2" t="inlineStr">
        <is>
          <t>LC/APC</t>
        </is>
      </c>
      <c r="J1045" s="2" t="n"/>
      <c r="K1045" s="2" t="n"/>
      <c r="L1045" s="2" t="n"/>
      <c r="M1045" s="2" t="n"/>
      <c r="N1045" s="2" t="n"/>
      <c r="O1045" s="2" t="n">
        <v>1</v>
      </c>
      <c r="P1045" s="2" t="n"/>
      <c r="Q1045" s="2" t="n"/>
      <c r="R1045" s="2" t="n"/>
      <c r="S1045" s="2" t="n"/>
      <c r="T1045" s="2" t="n"/>
      <c r="U1045" s="2" t="n"/>
      <c r="V1045" s="2">
        <f>SUM(J1045:U1045)*G1045</f>
        <v/>
      </c>
      <c r="W1045" s="2">
        <f>MAX(J1045:U1045)</f>
        <v/>
      </c>
      <c r="X1045" s="2">
        <f>W1045*G1045</f>
        <v/>
      </c>
    </row>
    <row r="1046">
      <c r="A1046" s="2" t="inlineStr">
        <is>
          <t>A14-SB-N361</t>
        </is>
      </c>
      <c r="B1046" s="3" t="inlineStr">
        <is>
          <t>SOJC-SM-LC/APC-FC/APC</t>
        </is>
      </c>
      <c r="C1046" s="2" t="inlineStr">
        <is>
          <t>10M, B3, 2.0mm</t>
        </is>
      </c>
      <c r="D1046" s="2" t="inlineStr">
        <is>
          <t>b3</t>
        </is>
      </c>
      <c r="E1046" s="2" t="inlineStr">
        <is>
          <t>2.0mm</t>
        </is>
      </c>
      <c r="F1046" s="2" t="n">
        <v>1</v>
      </c>
      <c r="G1046" s="2" t="n">
        <v>10</v>
      </c>
      <c r="H1046" s="2" t="inlineStr">
        <is>
          <t>LC/APC</t>
        </is>
      </c>
      <c r="I1046" s="2" t="inlineStr">
        <is>
          <t>FC/APC</t>
        </is>
      </c>
      <c r="J1046" s="2" t="n"/>
      <c r="K1046" s="2" t="n"/>
      <c r="L1046" s="2" t="n"/>
      <c r="M1046" s="2" t="n"/>
      <c r="N1046" s="2" t="n">
        <v>110</v>
      </c>
      <c r="O1046" s="2" t="n"/>
      <c r="P1046" s="2" t="n">
        <v>10</v>
      </c>
      <c r="Q1046" s="2" t="n"/>
      <c r="R1046" s="2" t="n"/>
      <c r="S1046" s="2" t="n"/>
      <c r="T1046" s="2" t="n"/>
      <c r="U1046" s="2" t="n"/>
      <c r="V1046" s="2">
        <f>SUM(J1046:U1046)*G1046</f>
        <v/>
      </c>
      <c r="W1046" s="2">
        <f>MAX(J1046:U1046)</f>
        <v/>
      </c>
      <c r="X1046" s="2">
        <f>W1046*G1046</f>
        <v/>
      </c>
    </row>
    <row r="1047">
      <c r="A1047" s="2" t="inlineStr">
        <is>
          <t>A14-SB-N378</t>
        </is>
      </c>
      <c r="B1047" s="3" t="inlineStr">
        <is>
          <t>SOJC-SM-LC/APC-SC/APC</t>
        </is>
      </c>
      <c r="C1047" s="2" t="inlineStr">
        <is>
          <t>3M, B3, 3.0mm</t>
        </is>
      </c>
      <c r="D1047" s="2" t="inlineStr">
        <is>
          <t>b3</t>
        </is>
      </c>
      <c r="E1047" s="2" t="inlineStr">
        <is>
          <t>3.0mm</t>
        </is>
      </c>
      <c r="F1047" s="2" t="n">
        <v>1</v>
      </c>
      <c r="G1047" s="2" t="n">
        <v>3</v>
      </c>
      <c r="H1047" s="2" t="inlineStr">
        <is>
          <t>LC/APC</t>
        </is>
      </c>
      <c r="I1047" s="2" t="inlineStr">
        <is>
          <t>SC/APC</t>
        </is>
      </c>
      <c r="J1047" s="2" t="n">
        <v>15</v>
      </c>
      <c r="K1047" s="2" t="n">
        <v>20</v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>
        <f>SUM(J1047:U1047)*G1047</f>
        <v/>
      </c>
      <c r="W1047" s="2">
        <f>MAX(J1047:U1047)</f>
        <v/>
      </c>
      <c r="X1047" s="2">
        <f>W1047*G1047</f>
        <v/>
      </c>
    </row>
    <row r="1048">
      <c r="A1048" s="2" t="inlineStr">
        <is>
          <t>A14-SB-N415</t>
        </is>
      </c>
      <c r="B1048" s="3" t="inlineStr">
        <is>
          <t>SOJC-SM-LC/PC-SC/PC</t>
        </is>
      </c>
      <c r="C1048" s="2" t="inlineStr">
        <is>
          <t>19M, B3, 2.0mm</t>
        </is>
      </c>
      <c r="D1048" s="2" t="inlineStr">
        <is>
          <t>b3</t>
        </is>
      </c>
      <c r="E1048" s="2" t="inlineStr">
        <is>
          <t>2.0mm</t>
        </is>
      </c>
      <c r="F1048" s="2" t="n">
        <v>1</v>
      </c>
      <c r="G1048" s="2" t="n">
        <v>19</v>
      </c>
      <c r="H1048" s="2" t="inlineStr">
        <is>
          <t>LC/PC</t>
        </is>
      </c>
      <c r="I1048" s="2" t="inlineStr">
        <is>
          <t>SC/PC</t>
        </is>
      </c>
      <c r="J1048" s="2" t="n"/>
      <c r="K1048" s="2" t="n"/>
      <c r="L1048" s="2" t="n"/>
      <c r="M1048" s="2" t="n"/>
      <c r="N1048" s="2" t="n"/>
      <c r="O1048" s="2" t="n"/>
      <c r="P1048" s="2" t="n"/>
      <c r="Q1048" s="2" t="n">
        <v>16</v>
      </c>
      <c r="R1048" s="2" t="n"/>
      <c r="S1048" s="2" t="n"/>
      <c r="T1048" s="2" t="n"/>
      <c r="U1048" s="2" t="n"/>
      <c r="V1048" s="2">
        <f>SUM(J1048:U1048)*G1048</f>
        <v/>
      </c>
      <c r="W1048" s="2">
        <f>MAX(J1048:U1048)</f>
        <v/>
      </c>
      <c r="X1048" s="2">
        <f>W1048*G1048</f>
        <v/>
      </c>
    </row>
    <row r="1049">
      <c r="A1049" s="2" t="inlineStr">
        <is>
          <t>A14-SB-N486</t>
        </is>
      </c>
      <c r="B1049" s="3" t="inlineStr">
        <is>
          <t>SOJC-SM-LC/PC-LC/PC</t>
        </is>
      </c>
      <c r="C1049" s="2" t="inlineStr">
        <is>
          <t>11M, B3, 2.0mm</t>
        </is>
      </c>
      <c r="D1049" s="2" t="inlineStr">
        <is>
          <t>b3</t>
        </is>
      </c>
      <c r="E1049" s="2" t="inlineStr">
        <is>
          <t>2.0mm</t>
        </is>
      </c>
      <c r="F1049" s="2" t="n">
        <v>1</v>
      </c>
      <c r="G1049" s="2" t="n">
        <v>11</v>
      </c>
      <c r="H1049" s="2" t="inlineStr">
        <is>
          <t>LC/PC</t>
        </is>
      </c>
      <c r="I1049" s="2" t="inlineStr">
        <is>
          <t>LC/PC</t>
        </is>
      </c>
      <c r="J1049" s="2" t="n"/>
      <c r="K1049" s="2" t="n"/>
      <c r="L1049" s="2" t="n"/>
      <c r="M1049" s="2" t="n"/>
      <c r="N1049" s="2" t="n">
        <v>30</v>
      </c>
      <c r="O1049" s="2" t="n"/>
      <c r="P1049" s="2" t="n"/>
      <c r="Q1049" s="2" t="n"/>
      <c r="R1049" s="2" t="n"/>
      <c r="S1049" s="2" t="n"/>
      <c r="T1049" s="2" t="n"/>
      <c r="U1049" s="2" t="n"/>
      <c r="V1049" s="2">
        <f>SUM(J1049:U1049)*G1049</f>
        <v/>
      </c>
      <c r="W1049" s="2">
        <f>MAX(J1049:U1049)</f>
        <v/>
      </c>
      <c r="X1049" s="2">
        <f>W1049*G1049</f>
        <v/>
      </c>
    </row>
    <row r="1050">
      <c r="A1050" s="2" t="inlineStr">
        <is>
          <t>A14-SB-N487</t>
        </is>
      </c>
      <c r="B1050" s="3" t="inlineStr">
        <is>
          <t>SOJC-SM-LC/PC-LC/PC</t>
        </is>
      </c>
      <c r="C1050" s="2" t="inlineStr">
        <is>
          <t>14M, B3, 2.0mm</t>
        </is>
      </c>
      <c r="D1050" s="2" t="inlineStr">
        <is>
          <t>b3</t>
        </is>
      </c>
      <c r="E1050" s="2" t="inlineStr">
        <is>
          <t>2.0mm</t>
        </is>
      </c>
      <c r="F1050" s="2" t="n">
        <v>1</v>
      </c>
      <c r="G1050" s="2" t="n">
        <v>14</v>
      </c>
      <c r="H1050" s="2" t="inlineStr">
        <is>
          <t>LC/PC</t>
        </is>
      </c>
      <c r="I1050" s="2" t="inlineStr">
        <is>
          <t>LC/PC</t>
        </is>
      </c>
      <c r="J1050" s="2" t="n"/>
      <c r="K1050" s="2" t="n"/>
      <c r="L1050" s="2" t="n"/>
      <c r="M1050" s="2" t="n"/>
      <c r="N1050" s="2" t="n">
        <v>2</v>
      </c>
      <c r="O1050" s="2" t="n"/>
      <c r="P1050" s="2" t="n"/>
      <c r="Q1050" s="2" t="n"/>
      <c r="R1050" s="2" t="n"/>
      <c r="S1050" s="2" t="n"/>
      <c r="T1050" s="2" t="n"/>
      <c r="U1050" s="2" t="n"/>
      <c r="V1050" s="2">
        <f>SUM(J1050:U1050)*G1050</f>
        <v/>
      </c>
      <c r="W1050" s="2">
        <f>MAX(J1050:U1050)</f>
        <v/>
      </c>
      <c r="X1050" s="2">
        <f>W1050*G1050</f>
        <v/>
      </c>
    </row>
    <row r="1051">
      <c r="A1051" s="2" t="inlineStr">
        <is>
          <t>A14-SB-N488</t>
        </is>
      </c>
      <c r="B1051" s="3" t="inlineStr">
        <is>
          <t>SOJC-SM-LC/PC-LC/PC</t>
        </is>
      </c>
      <c r="C1051" s="2" t="inlineStr">
        <is>
          <t>22M, B3, 2.0mm</t>
        </is>
      </c>
      <c r="D1051" s="2" t="inlineStr">
        <is>
          <t>b3</t>
        </is>
      </c>
      <c r="E1051" s="2" t="inlineStr">
        <is>
          <t>2.0mm</t>
        </is>
      </c>
      <c r="F1051" s="2" t="n">
        <v>1</v>
      </c>
      <c r="G1051" s="2" t="n">
        <v>22</v>
      </c>
      <c r="H1051" s="2" t="inlineStr">
        <is>
          <t>LC/PC</t>
        </is>
      </c>
      <c r="I1051" s="2" t="inlineStr">
        <is>
          <t>LC/PC</t>
        </is>
      </c>
      <c r="J1051" s="2" t="n"/>
      <c r="K1051" s="2" t="n"/>
      <c r="L1051" s="2" t="n"/>
      <c r="M1051" s="2" t="n"/>
      <c r="N1051" s="2" t="n"/>
      <c r="O1051" s="2" t="n"/>
      <c r="P1051" s="2" t="n">
        <v>2</v>
      </c>
      <c r="Q1051" s="2" t="n"/>
      <c r="R1051" s="2" t="n"/>
      <c r="S1051" s="2" t="n"/>
      <c r="T1051" s="2" t="n"/>
      <c r="U1051" s="2" t="n"/>
      <c r="V1051" s="2">
        <f>SUM(J1051:U1051)*G1051</f>
        <v/>
      </c>
      <c r="W1051" s="2">
        <f>MAX(J1051:U1051)</f>
        <v/>
      </c>
      <c r="X1051" s="2">
        <f>W1051*G1051</f>
        <v/>
      </c>
    </row>
    <row r="1052">
      <c r="A1052" s="2" t="inlineStr">
        <is>
          <t>A14-SB-N645</t>
        </is>
      </c>
      <c r="B1052" s="3" t="inlineStr">
        <is>
          <t>SOJC-SM-LC/PC-FC/PC</t>
        </is>
      </c>
      <c r="C1052" s="2" t="inlineStr">
        <is>
          <t>13M, B3, 2.0mm</t>
        </is>
      </c>
      <c r="D1052" s="2" t="inlineStr">
        <is>
          <t>b3</t>
        </is>
      </c>
      <c r="E1052" s="2" t="inlineStr">
        <is>
          <t>2.0mm</t>
        </is>
      </c>
      <c r="F1052" s="2" t="n">
        <v>1</v>
      </c>
      <c r="G1052" s="2" t="n">
        <v>13</v>
      </c>
      <c r="H1052" s="2" t="inlineStr">
        <is>
          <t>LC/PC</t>
        </is>
      </c>
      <c r="I1052" s="2" t="inlineStr">
        <is>
          <t>FC/PC</t>
        </is>
      </c>
      <c r="J1052" s="2" t="n"/>
      <c r="K1052" s="2" t="n"/>
      <c r="L1052" s="2" t="n"/>
      <c r="M1052" s="2" t="n"/>
      <c r="N1052" s="2" t="n"/>
      <c r="O1052" s="2" t="n"/>
      <c r="P1052" s="2" t="n">
        <v>20</v>
      </c>
      <c r="Q1052" s="2" t="n"/>
      <c r="R1052" s="2" t="n"/>
      <c r="S1052" s="2" t="n"/>
      <c r="T1052" s="2" t="n"/>
      <c r="U1052" s="2" t="n"/>
      <c r="V1052" s="2">
        <f>SUM(J1052:U1052)*G1052</f>
        <v/>
      </c>
      <c r="W1052" s="2">
        <f>MAX(J1052:U1052)</f>
        <v/>
      </c>
      <c r="X1052" s="2">
        <f>W1052*G1052</f>
        <v/>
      </c>
    </row>
    <row r="1053">
      <c r="A1053" s="2" t="inlineStr">
        <is>
          <t>A14-SB-N647</t>
        </is>
      </c>
      <c r="B1053" s="3" t="inlineStr">
        <is>
          <t>SOJC-SM-LC/PC-FC/PC</t>
        </is>
      </c>
      <c r="C1053" s="2" t="inlineStr">
        <is>
          <t>16M, B3, 2.0mm</t>
        </is>
      </c>
      <c r="D1053" s="2" t="inlineStr">
        <is>
          <t>b3</t>
        </is>
      </c>
      <c r="E1053" s="2" t="inlineStr">
        <is>
          <t>2.0mm</t>
        </is>
      </c>
      <c r="F1053" s="2" t="n">
        <v>1</v>
      </c>
      <c r="G1053" s="2" t="n">
        <v>16</v>
      </c>
      <c r="H1053" s="2" t="inlineStr">
        <is>
          <t>LC/PC</t>
        </is>
      </c>
      <c r="I1053" s="2" t="inlineStr">
        <is>
          <t>FC/PC</t>
        </is>
      </c>
      <c r="J1053" s="2" t="n"/>
      <c r="K1053" s="2" t="n"/>
      <c r="L1053" s="2" t="n"/>
      <c r="M1053" s="2" t="n"/>
      <c r="N1053" s="2" t="n"/>
      <c r="O1053" s="2" t="n"/>
      <c r="P1053" s="2" t="n">
        <v>2</v>
      </c>
      <c r="Q1053" s="2" t="n"/>
      <c r="R1053" s="2" t="n"/>
      <c r="S1053" s="2" t="n"/>
      <c r="T1053" s="2" t="n"/>
      <c r="U1053" s="2" t="n"/>
      <c r="V1053" s="2">
        <f>SUM(J1053:U1053)*G1053</f>
        <v/>
      </c>
      <c r="W1053" s="2">
        <f>MAX(J1053:U1053)</f>
        <v/>
      </c>
      <c r="X1053" s="2">
        <f>W1053*G1053</f>
        <v/>
      </c>
    </row>
    <row r="1054">
      <c r="A1054" s="2" t="inlineStr">
        <is>
          <t>A14-SB-N658</t>
        </is>
      </c>
      <c r="B1054" s="3" t="inlineStr">
        <is>
          <t>SOJC-SM-LC/PC-LC/PC</t>
        </is>
      </c>
      <c r="C1054" s="2" t="inlineStr">
        <is>
          <t>19M, B3, 2.0mm</t>
        </is>
      </c>
      <c r="D1054" s="2" t="inlineStr">
        <is>
          <t>b3</t>
        </is>
      </c>
      <c r="E1054" s="2" t="inlineStr">
        <is>
          <t>2.0mm</t>
        </is>
      </c>
      <c r="F1054" s="2" t="n">
        <v>1</v>
      </c>
      <c r="G1054" s="2" t="n">
        <v>19</v>
      </c>
      <c r="H1054" s="2" t="inlineStr">
        <is>
          <t>LC/PC</t>
        </is>
      </c>
      <c r="I1054" s="2" t="inlineStr">
        <is>
          <t>LC/PC</t>
        </is>
      </c>
      <c r="J1054" s="2" t="n"/>
      <c r="K1054" s="2" t="n"/>
      <c r="L1054" s="2" t="n"/>
      <c r="M1054" s="2" t="n"/>
      <c r="N1054" s="2" t="n"/>
      <c r="O1054" s="2" t="n"/>
      <c r="P1054" s="2" t="n">
        <v>25</v>
      </c>
      <c r="Q1054" s="2" t="n"/>
      <c r="R1054" s="2" t="n"/>
      <c r="S1054" s="2" t="n"/>
      <c r="T1054" s="2" t="n"/>
      <c r="U1054" s="2" t="n"/>
      <c r="V1054" s="2">
        <f>SUM(J1054:U1054)*G1054</f>
        <v/>
      </c>
      <c r="W1054" s="2">
        <f>MAX(J1054:U1054)</f>
        <v/>
      </c>
      <c r="X1054" s="2">
        <f>W1054*G1054</f>
        <v/>
      </c>
    </row>
    <row r="1055">
      <c r="A1055" s="2" t="inlineStr">
        <is>
          <t>A14-SB-N659</t>
        </is>
      </c>
      <c r="B1055" s="3" t="inlineStr">
        <is>
          <t>SOJC-SM-LC/PC-LC/PC</t>
        </is>
      </c>
      <c r="C1055" s="2" t="inlineStr">
        <is>
          <t>24M, B3, 2.0mm</t>
        </is>
      </c>
      <c r="D1055" s="2" t="inlineStr">
        <is>
          <t>b3</t>
        </is>
      </c>
      <c r="E1055" s="2" t="inlineStr">
        <is>
          <t>2.0mm</t>
        </is>
      </c>
      <c r="F1055" s="2" t="n">
        <v>1</v>
      </c>
      <c r="G1055" s="2" t="n">
        <v>24</v>
      </c>
      <c r="H1055" s="2" t="inlineStr">
        <is>
          <t>LC/PC</t>
        </is>
      </c>
      <c r="I1055" s="2" t="inlineStr">
        <is>
          <t>LC/PC</t>
        </is>
      </c>
      <c r="J1055" s="2" t="n"/>
      <c r="K1055" s="2" t="n"/>
      <c r="L1055" s="2" t="n"/>
      <c r="M1055" s="2" t="n"/>
      <c r="N1055" s="2" t="n"/>
      <c r="O1055" s="2" t="n"/>
      <c r="P1055" s="2" t="n">
        <v>6</v>
      </c>
      <c r="Q1055" s="2" t="n"/>
      <c r="R1055" s="2" t="n"/>
      <c r="S1055" s="2" t="n"/>
      <c r="T1055" s="2" t="n"/>
      <c r="U1055" s="2" t="n"/>
      <c r="V1055" s="2">
        <f>SUM(J1055:U1055)*G1055</f>
        <v/>
      </c>
      <c r="W1055" s="2">
        <f>MAX(J1055:U1055)</f>
        <v/>
      </c>
      <c r="X1055" s="2">
        <f>W1055*G1055</f>
        <v/>
      </c>
    </row>
    <row r="1056">
      <c r="A1056" s="2" t="inlineStr">
        <is>
          <t>A14-SB-N761</t>
        </is>
      </c>
      <c r="B1056" s="3" t="inlineStr">
        <is>
          <t>SOJC-SM-SC/PC-SC/PC</t>
        </is>
      </c>
      <c r="C1056" s="2" t="inlineStr">
        <is>
          <t>18M, B3, 2.0mm</t>
        </is>
      </c>
      <c r="D1056" s="2" t="inlineStr">
        <is>
          <t>b3</t>
        </is>
      </c>
      <c r="E1056" s="2" t="inlineStr">
        <is>
          <t>2.0mm</t>
        </is>
      </c>
      <c r="F1056" s="2" t="n">
        <v>1</v>
      </c>
      <c r="G1056" s="2" t="n">
        <v>18</v>
      </c>
      <c r="H1056" s="2" t="inlineStr">
        <is>
          <t>SC/PC</t>
        </is>
      </c>
      <c r="I1056" s="2" t="inlineStr">
        <is>
          <t>SC/PC</t>
        </is>
      </c>
      <c r="J1056" s="2" t="n">
        <v>5</v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>
        <f>SUM(J1056:U1056)*G1056</f>
        <v/>
      </c>
      <c r="W1056" s="2">
        <f>MAX(J1056:U1056)</f>
        <v/>
      </c>
      <c r="X1056" s="2">
        <f>W1056*G1056</f>
        <v/>
      </c>
    </row>
    <row r="1057">
      <c r="A1057" s="2" t="inlineStr">
        <is>
          <t>A14-SB-N814</t>
        </is>
      </c>
      <c r="B1057" s="3" t="inlineStr">
        <is>
          <t>SOJC-SM-SC/PC-SC/APC</t>
        </is>
      </c>
      <c r="C1057" s="2" t="inlineStr">
        <is>
          <t>0.5M, B3, 2.0mm</t>
        </is>
      </c>
      <c r="D1057" s="2" t="inlineStr">
        <is>
          <t>b3</t>
        </is>
      </c>
      <c r="E1057" s="2" t="inlineStr">
        <is>
          <t>2.0mm</t>
        </is>
      </c>
      <c r="F1057" s="2" t="n">
        <v>1</v>
      </c>
      <c r="G1057" s="2" t="n">
        <v>0.5</v>
      </c>
      <c r="H1057" s="2" t="inlineStr">
        <is>
          <t>SC/PC</t>
        </is>
      </c>
      <c r="I1057" s="2" t="inlineStr">
        <is>
          <t>SC/APC</t>
        </is>
      </c>
      <c r="J1057" s="2" t="n"/>
      <c r="K1057" s="2" t="n"/>
      <c r="L1057" s="2" t="n"/>
      <c r="M1057" s="2" t="n"/>
      <c r="N1057" s="2" t="n"/>
      <c r="O1057" s="2" t="n">
        <v>650</v>
      </c>
      <c r="P1057" s="2" t="n"/>
      <c r="Q1057" s="2" t="n"/>
      <c r="R1057" s="2" t="n"/>
      <c r="S1057" s="2" t="n"/>
      <c r="T1057" s="2" t="n"/>
      <c r="U1057" s="2" t="n"/>
      <c r="V1057" s="2">
        <f>SUM(J1057:U1057)*G1057</f>
        <v/>
      </c>
      <c r="W1057" s="2">
        <f>MAX(J1057:U1057)</f>
        <v/>
      </c>
      <c r="X1057" s="2">
        <f>W1057*G1057</f>
        <v/>
      </c>
    </row>
    <row r="1058">
      <c r="A1058" s="2" t="inlineStr">
        <is>
          <t>A14-SB-N834</t>
        </is>
      </c>
      <c r="B1058" s="3" t="inlineStr">
        <is>
          <t>SOJC-SM-LC/APC-FC/APC</t>
        </is>
      </c>
      <c r="C1058" s="2" t="inlineStr">
        <is>
          <t>15M, B3, 2.0mm</t>
        </is>
      </c>
      <c r="D1058" s="2" t="inlineStr">
        <is>
          <t>b3</t>
        </is>
      </c>
      <c r="E1058" s="2" t="inlineStr">
        <is>
          <t>2.0mm</t>
        </is>
      </c>
      <c r="F1058" s="2" t="n">
        <v>1</v>
      </c>
      <c r="G1058" s="2" t="n">
        <v>15</v>
      </c>
      <c r="H1058" s="2" t="inlineStr">
        <is>
          <t>LC/APC</t>
        </is>
      </c>
      <c r="I1058" s="2" t="inlineStr">
        <is>
          <t>FC/APC</t>
        </is>
      </c>
      <c r="J1058" s="2" t="n"/>
      <c r="K1058" s="2" t="n"/>
      <c r="L1058" s="2" t="n"/>
      <c r="M1058" s="2" t="n"/>
      <c r="N1058" s="2" t="n">
        <v>60</v>
      </c>
      <c r="O1058" s="2" t="n"/>
      <c r="P1058" s="2" t="n"/>
      <c r="Q1058" s="2" t="n"/>
      <c r="R1058" s="2" t="n"/>
      <c r="S1058" s="2" t="n"/>
      <c r="T1058" s="2" t="n"/>
      <c r="U1058" s="2" t="n"/>
      <c r="V1058" s="2">
        <f>SUM(J1058:U1058)*G1058</f>
        <v/>
      </c>
      <c r="W1058" s="2">
        <f>MAX(J1058:U1058)</f>
        <v/>
      </c>
      <c r="X1058" s="2">
        <f>W1058*G1058</f>
        <v/>
      </c>
    </row>
    <row r="1059">
      <c r="A1059" s="2" t="inlineStr">
        <is>
          <t>A14-SB-N835</t>
        </is>
      </c>
      <c r="B1059" s="3" t="inlineStr">
        <is>
          <t>SOJC-SM-LC/APC-FC/PC</t>
        </is>
      </c>
      <c r="C1059" s="2" t="inlineStr">
        <is>
          <t>15M, B3, 2.0mm</t>
        </is>
      </c>
      <c r="D1059" s="2" t="inlineStr">
        <is>
          <t>b3</t>
        </is>
      </c>
      <c r="E1059" s="2" t="inlineStr">
        <is>
          <t>2.0mm</t>
        </is>
      </c>
      <c r="F1059" s="2" t="n">
        <v>1</v>
      </c>
      <c r="G1059" s="2" t="n">
        <v>15</v>
      </c>
      <c r="H1059" s="2" t="inlineStr">
        <is>
          <t>LC/APC</t>
        </is>
      </c>
      <c r="I1059" s="2" t="inlineStr">
        <is>
          <t>FC/PC</t>
        </is>
      </c>
      <c r="J1059" s="2" t="n"/>
      <c r="K1059" s="2" t="n"/>
      <c r="L1059" s="2" t="n"/>
      <c r="M1059" s="2" t="n">
        <v>15</v>
      </c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>
        <f>SUM(J1059:U1059)*G1059</f>
        <v/>
      </c>
      <c r="W1059" s="2">
        <f>MAX(J1059:U1059)</f>
        <v/>
      </c>
      <c r="X1059" s="2">
        <f>W1059*G1059</f>
        <v/>
      </c>
    </row>
    <row r="1060">
      <c r="A1060" s="2" t="inlineStr">
        <is>
          <t>A14-SB-N836</t>
        </is>
      </c>
      <c r="B1060" s="3" t="inlineStr">
        <is>
          <t>SOJC-SM-LC/APC-FC/PC</t>
        </is>
      </c>
      <c r="C1060" s="2" t="inlineStr">
        <is>
          <t>20M, B3, 2.0mm</t>
        </is>
      </c>
      <c r="D1060" s="2" t="inlineStr">
        <is>
          <t>b3</t>
        </is>
      </c>
      <c r="E1060" s="2" t="inlineStr">
        <is>
          <t>2.0mm</t>
        </is>
      </c>
      <c r="F1060" s="2" t="n">
        <v>1</v>
      </c>
      <c r="G1060" s="2" t="n">
        <v>20</v>
      </c>
      <c r="H1060" s="2" t="inlineStr">
        <is>
          <t>LC/APC</t>
        </is>
      </c>
      <c r="I1060" s="2" t="inlineStr">
        <is>
          <t>FC/PC</t>
        </is>
      </c>
      <c r="J1060" s="2" t="n"/>
      <c r="K1060" s="2" t="n"/>
      <c r="L1060" s="2" t="n"/>
      <c r="M1060" s="2" t="n">
        <v>5</v>
      </c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>
        <f>SUM(J1060:U1060)*G1060</f>
        <v/>
      </c>
      <c r="W1060" s="2">
        <f>MAX(J1060:U1060)</f>
        <v/>
      </c>
      <c r="X1060" s="2">
        <f>W1060*G1060</f>
        <v/>
      </c>
    </row>
    <row r="1061">
      <c r="A1061" s="2" t="inlineStr">
        <is>
          <t>A14-SB-N843</t>
        </is>
      </c>
      <c r="B1061" s="3" t="inlineStr">
        <is>
          <t>SOJC-SM-LC/APC-LC/APC</t>
        </is>
      </c>
      <c r="C1061" s="2" t="inlineStr">
        <is>
          <t>15M, B3, 2.0mm</t>
        </is>
      </c>
      <c r="D1061" s="2" t="inlineStr">
        <is>
          <t>b3</t>
        </is>
      </c>
      <c r="E1061" s="2" t="inlineStr">
        <is>
          <t>2.0mm</t>
        </is>
      </c>
      <c r="F1061" s="2" t="n">
        <v>1</v>
      </c>
      <c r="G1061" s="2" t="n">
        <v>15</v>
      </c>
      <c r="H1061" s="2" t="inlineStr">
        <is>
          <t>LC/APC</t>
        </is>
      </c>
      <c r="I1061" s="2" t="inlineStr">
        <is>
          <t>LC/APC</t>
        </is>
      </c>
      <c r="J1061" s="2" t="n"/>
      <c r="K1061" s="2" t="n"/>
      <c r="L1061" s="2" t="n"/>
      <c r="M1061" s="2" t="n">
        <v>100</v>
      </c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>
        <f>SUM(J1061:U1061)*G1061</f>
        <v/>
      </c>
      <c r="W1061" s="2">
        <f>MAX(J1061:U1061)</f>
        <v/>
      </c>
      <c r="X1061" s="2">
        <f>W1061*G1061</f>
        <v/>
      </c>
    </row>
    <row r="1062">
      <c r="A1062" s="2" t="inlineStr">
        <is>
          <t>A14-SB-ND49</t>
        </is>
      </c>
      <c r="B1062" s="3" t="inlineStr">
        <is>
          <t>SOJC-SM-LC/PC-FC/APC</t>
        </is>
      </c>
      <c r="C1062" s="2" t="inlineStr">
        <is>
          <t>21M, B3, 2.0mm</t>
        </is>
      </c>
      <c r="D1062" s="2" t="inlineStr">
        <is>
          <t>b3</t>
        </is>
      </c>
      <c r="E1062" s="2" t="inlineStr">
        <is>
          <t>2.0mm</t>
        </is>
      </c>
      <c r="F1062" s="2" t="n">
        <v>1</v>
      </c>
      <c r="G1062" s="2" t="n">
        <v>21</v>
      </c>
      <c r="H1062" s="2" t="inlineStr">
        <is>
          <t>LC/PC</t>
        </is>
      </c>
      <c r="I1062" s="2" t="inlineStr">
        <is>
          <t>FC/APC</t>
        </is>
      </c>
      <c r="J1062" s="2" t="n"/>
      <c r="K1062" s="2" t="n"/>
      <c r="L1062" s="2" t="n">
        <v>15</v>
      </c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>
        <f>SUM(J1062:U1062)*G1062</f>
        <v/>
      </c>
      <c r="W1062" s="2">
        <f>MAX(J1062:U1062)</f>
        <v/>
      </c>
      <c r="X1062" s="2">
        <f>W1062*G1062</f>
        <v/>
      </c>
    </row>
    <row r="1063">
      <c r="A1063" s="2" t="inlineStr">
        <is>
          <t>A14-SB-ND50</t>
        </is>
      </c>
      <c r="B1063" s="3" t="inlineStr">
        <is>
          <t>SOJC-SM-LC/APC-LC/APC</t>
        </is>
      </c>
      <c r="C1063" s="2" t="inlineStr">
        <is>
          <t>13M, B3, 2.0mm</t>
        </is>
      </c>
      <c r="D1063" s="2" t="inlineStr">
        <is>
          <t>b3</t>
        </is>
      </c>
      <c r="E1063" s="2" t="inlineStr">
        <is>
          <t>2.0mm</t>
        </is>
      </c>
      <c r="F1063" s="2" t="n">
        <v>1</v>
      </c>
      <c r="G1063" s="2" t="n">
        <v>13</v>
      </c>
      <c r="H1063" s="2" t="inlineStr">
        <is>
          <t>LC/APC</t>
        </is>
      </c>
      <c r="I1063" s="2" t="inlineStr">
        <is>
          <t>LC/APC</t>
        </is>
      </c>
      <c r="J1063" s="2" t="n"/>
      <c r="K1063" s="2" t="n"/>
      <c r="L1063" s="2" t="n"/>
      <c r="M1063" s="2" t="n">
        <v>100</v>
      </c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>
        <f>SUM(J1063:U1063)*G1063</f>
        <v/>
      </c>
      <c r="W1063" s="2">
        <f>MAX(J1063:U1063)</f>
        <v/>
      </c>
      <c r="X1063" s="2">
        <f>W1063*G1063</f>
        <v/>
      </c>
    </row>
    <row r="1064">
      <c r="A1064" s="2" t="inlineStr">
        <is>
          <t>A14-SB-ND51</t>
        </is>
      </c>
      <c r="B1064" s="3" t="inlineStr">
        <is>
          <t>SOJC-SM-LC/APC-SC/PC</t>
        </is>
      </c>
      <c r="C1064" s="2" t="inlineStr">
        <is>
          <t>6M, B3, 2.0mm</t>
        </is>
      </c>
      <c r="D1064" s="2" t="inlineStr">
        <is>
          <t>b3</t>
        </is>
      </c>
      <c r="E1064" s="2" t="inlineStr">
        <is>
          <t>2.0mm</t>
        </is>
      </c>
      <c r="F1064" s="2" t="n">
        <v>1</v>
      </c>
      <c r="G1064" s="2" t="n">
        <v>6</v>
      </c>
      <c r="H1064" s="2" t="inlineStr">
        <is>
          <t>LC/APC</t>
        </is>
      </c>
      <c r="I1064" s="2" t="inlineStr">
        <is>
          <t>SC/PC</t>
        </is>
      </c>
      <c r="J1064" s="2" t="n"/>
      <c r="K1064" s="2" t="n"/>
      <c r="L1064" s="2" t="n"/>
      <c r="M1064" s="2" t="n"/>
      <c r="N1064" s="2" t="n">
        <v>12</v>
      </c>
      <c r="O1064" s="2" t="n"/>
      <c r="P1064" s="2" t="n"/>
      <c r="Q1064" s="2" t="n"/>
      <c r="R1064" s="2" t="n"/>
      <c r="S1064" s="2" t="n"/>
      <c r="T1064" s="2" t="n"/>
      <c r="U1064" s="2" t="n"/>
      <c r="V1064" s="2">
        <f>SUM(J1064:U1064)*G1064</f>
        <v/>
      </c>
      <c r="W1064" s="2">
        <f>MAX(J1064:U1064)</f>
        <v/>
      </c>
      <c r="X1064" s="2">
        <f>W1064*G1064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23년01월</t>
        </is>
      </c>
      <c r="K1" s="1" t="inlineStr">
        <is>
          <t>23년02월</t>
        </is>
      </c>
      <c r="L1" s="1" t="inlineStr">
        <is>
          <t>23년03월</t>
        </is>
      </c>
      <c r="M1" s="1" t="inlineStr">
        <is>
          <t>23년04월</t>
        </is>
      </c>
      <c r="N1" s="1" t="inlineStr">
        <is>
          <t>23년05월</t>
        </is>
      </c>
      <c r="O1" s="1" t="inlineStr">
        <is>
          <t>23년06월</t>
        </is>
      </c>
      <c r="P1" s="1" t="inlineStr">
        <is>
          <t>23년07월</t>
        </is>
      </c>
      <c r="Q1" s="1" t="inlineStr">
        <is>
          <t>23년08월</t>
        </is>
      </c>
      <c r="R1" s="1" t="inlineStr">
        <is>
          <t>23년09월</t>
        </is>
      </c>
      <c r="S1" s="1" t="inlineStr">
        <is>
          <t>23년10월</t>
        </is>
      </c>
      <c r="T1" s="1" t="inlineStr">
        <is>
          <t>23년11월</t>
        </is>
      </c>
      <c r="U1" s="1" t="inlineStr">
        <is>
          <t>23년12월</t>
        </is>
      </c>
      <c r="V1" s="1" t="inlineStr">
        <is>
          <t>합계</t>
        </is>
      </c>
      <c r="W1" s="1" t="inlineStr">
        <is>
          <t>2.0MM - LC/PC(청색 하우징 키트)</t>
        </is>
      </c>
      <c r="X1" s="1" t="inlineStr">
        <is>
          <t>2.0MM - LC/PC(적색 하우징 키트)</t>
        </is>
      </c>
      <c r="Y1" s="1" t="inlineStr">
        <is>
          <t>2.0MM - LC/APC(녹색 하우징 키트)</t>
        </is>
      </c>
      <c r="Z1" s="1" t="inlineStr">
        <is>
          <t>2.0MM - LC/APC(적색 하우징 키트)</t>
        </is>
      </c>
      <c r="AA1" s="1" t="inlineStr">
        <is>
          <t>2.0MM - SC/PC(청) 하우징키트</t>
        </is>
      </c>
      <c r="AB1" s="1" t="inlineStr">
        <is>
          <t>2.0MM - SC/PC(적 부트) 하우징키트</t>
        </is>
      </c>
      <c r="AC1" s="1" t="inlineStr">
        <is>
          <t>2.0MM - SC/APC(녹)하우징키트</t>
        </is>
      </c>
      <c r="AD1" s="1" t="inlineStr">
        <is>
          <t>2.0MM - SC/APC(적)하우징키트</t>
        </is>
      </c>
      <c r="AE1" s="1" t="inlineStr">
        <is>
          <t>2.0MM - FC/PC(흑색 하우징키트)</t>
        </is>
      </c>
      <c r="AF1" s="1" t="inlineStr">
        <is>
          <t>2.0MM - FC/PC(적색 하우징키트)</t>
        </is>
      </c>
      <c r="AG1" s="1" t="inlineStr">
        <is>
          <t>2.0MM - FC/APC(녹색 하우징 키트)</t>
        </is>
      </c>
      <c r="AH1" s="1" t="inlineStr">
        <is>
          <t>2.0MM - FC/APC(적색 하우징 키트)</t>
        </is>
      </c>
      <c r="AI1" s="1" t="inlineStr">
        <is>
          <t>2.0MM - OJC LC/PC-MM 2.0 BEIGE</t>
        </is>
      </c>
      <c r="AJ1" s="1" t="inlineStr">
        <is>
          <t>3.0MM - LC/PC(청색 하우징 키트)</t>
        </is>
      </c>
      <c r="AK1" s="1" t="inlineStr">
        <is>
          <t>3.0MM - LC/PC(적색 하우징 키트)</t>
        </is>
      </c>
      <c r="AL1" s="1" t="inlineStr">
        <is>
          <t>3.0MM - LC/APC(녹색 하우징 키트)</t>
        </is>
      </c>
      <c r="AM1" s="1" t="inlineStr">
        <is>
          <t>3.0MM - LC/APC(적색 하우징 키트)</t>
        </is>
      </c>
      <c r="AN1" s="1" t="inlineStr">
        <is>
          <t>3.0MM - SC/PC(청) 하우징키트</t>
        </is>
      </c>
      <c r="AO1" s="1" t="inlineStr">
        <is>
          <t>3.0MM - SC/PC(적) 하우징키트</t>
        </is>
      </c>
      <c r="AP1" s="1" t="inlineStr">
        <is>
          <t>3.0MM - SC/APC(녹)</t>
        </is>
      </c>
      <c r="AQ1" s="1" t="inlineStr">
        <is>
          <t>3.0MM - SC/APC(적)</t>
        </is>
      </c>
      <c r="AR1" s="1" t="inlineStr">
        <is>
          <t>3.0MM - FC/PC(흑색 하우징키트)</t>
        </is>
      </c>
      <c r="AS1" s="1" t="inlineStr">
        <is>
          <t>3.0MM - FC/PC(적색 하우징키트)</t>
        </is>
      </c>
      <c r="AT1" s="1" t="inlineStr">
        <is>
          <t>3.0MM - FC/APC(녹색 하우징 키트)</t>
        </is>
      </c>
      <c r="AU1" s="1" t="inlineStr">
        <is>
          <t>3.0MM - FC/APC(적색 하우징 키트)</t>
        </is>
      </c>
      <c r="AV1" s="1" t="inlineStr">
        <is>
          <t>검증(하우징 필요수량)</t>
        </is>
      </c>
      <c r="AW1" s="1" t="inlineStr">
        <is>
          <t>하우징 계산 수량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>
        <v>150</v>
      </c>
      <c r="K2" s="2" t="n"/>
      <c r="L2" s="2" t="n"/>
      <c r="M2" s="2" t="n">
        <v>200</v>
      </c>
      <c r="N2" s="2" t="n"/>
      <c r="O2" s="2" t="n">
        <v>5</v>
      </c>
      <c r="P2" s="2" t="n">
        <v>50</v>
      </c>
      <c r="Q2" s="2" t="n">
        <v>100</v>
      </c>
      <c r="R2" s="2" t="n"/>
      <c r="S2" s="2" t="n">
        <v>20</v>
      </c>
      <c r="T2" s="2" t="n"/>
      <c r="U2" s="2" t="n"/>
      <c r="V2" s="2">
        <f>SUM(J2:U2)</f>
        <v/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>
        <v>1050</v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>
        <f>IF(F2=1,V2*2,IF(F2=2,V2*F2*2,IF(F2&gt;2,F2*2*V2)))</f>
        <v/>
      </c>
      <c r="AW2" s="2">
        <f>SUM(W2:AU2)</f>
        <v/>
      </c>
    </row>
    <row r="3">
      <c r="A3" s="2" t="inlineStr">
        <is>
          <t>14-C-003</t>
        </is>
      </c>
      <c r="B3" s="3" t="inlineStr">
        <is>
          <t>DROP-CABLE(LC/PC)</t>
        </is>
      </c>
      <c r="C3" s="2" t="inlineStr">
        <is>
          <t>20M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20</v>
      </c>
      <c r="H3" s="2" t="inlineStr">
        <is>
          <t>LC/PC</t>
        </is>
      </c>
      <c r="I3" s="2" t="inlineStr">
        <is>
          <t>LC/PC</t>
        </is>
      </c>
      <c r="J3" s="2" t="n"/>
      <c r="K3" s="2" t="n"/>
      <c r="L3" s="2" t="n"/>
      <c r="M3" s="2" t="n"/>
      <c r="N3" s="2" t="n"/>
      <c r="O3" s="2" t="n">
        <v>55</v>
      </c>
      <c r="P3" s="2" t="n">
        <v>10</v>
      </c>
      <c r="Q3" s="2" t="n">
        <v>20</v>
      </c>
      <c r="R3" s="2" t="n"/>
      <c r="S3" s="2" t="n">
        <v>10</v>
      </c>
      <c r="T3" s="2" t="n"/>
      <c r="U3" s="2" t="n">
        <v>30</v>
      </c>
      <c r="V3" s="2">
        <f>SUM(J3:U3)</f>
        <v/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>
        <v>250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>
        <f>IF(F3=1,V3*2,IF(F3=2,V3*F3*2,IF(F3&gt;2,F3*2*V3)))</f>
        <v/>
      </c>
      <c r="AW3" s="2">
        <f>SUM(W3:AU3)</f>
        <v/>
      </c>
    </row>
    <row r="4">
      <c r="A4" s="2" t="inlineStr">
        <is>
          <t>14-C-005</t>
        </is>
      </c>
      <c r="B4" s="3" t="inlineStr">
        <is>
          <t>DROP-CABLE(LC/PC)</t>
        </is>
      </c>
      <c r="C4" s="2" t="inlineStr">
        <is>
          <t>3M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3</v>
      </c>
      <c r="H4" s="2" t="inlineStr">
        <is>
          <t>LC/PC</t>
        </is>
      </c>
      <c r="I4" s="2" t="inlineStr">
        <is>
          <t>LC/PC</t>
        </is>
      </c>
      <c r="J4" s="2" t="n">
        <v>200</v>
      </c>
      <c r="K4" s="2" t="n"/>
      <c r="L4" s="2" t="n">
        <v>400</v>
      </c>
      <c r="M4" s="2" t="n">
        <v>200</v>
      </c>
      <c r="N4" s="2" t="n">
        <v>200</v>
      </c>
      <c r="O4" s="2" t="n"/>
      <c r="P4" s="2" t="n">
        <v>170</v>
      </c>
      <c r="Q4" s="2" t="n">
        <v>300</v>
      </c>
      <c r="R4" s="2" t="n">
        <v>50</v>
      </c>
      <c r="S4" s="2" t="n"/>
      <c r="T4" s="2" t="n"/>
      <c r="U4" s="2" t="n">
        <v>30</v>
      </c>
      <c r="V4" s="2">
        <f>SUM(J4:U4)</f>
        <v/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>
        <v>3100</v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>
        <f>IF(F4=1,V4*2,IF(F4=2,V4*F4*2,IF(F4&gt;2,F4*2*V4)))</f>
        <v/>
      </c>
      <c r="AW4" s="2">
        <f>SUM(W4:AU4)</f>
        <v/>
      </c>
    </row>
    <row r="5">
      <c r="A5" s="2" t="inlineStr">
        <is>
          <t>14-C-006</t>
        </is>
      </c>
      <c r="B5" s="3" t="inlineStr">
        <is>
          <t>DROP-CABLE(LC/PC)</t>
        </is>
      </c>
      <c r="C5" s="2" t="inlineStr">
        <is>
          <t>5M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5</v>
      </c>
      <c r="H5" s="2" t="inlineStr">
        <is>
          <t>LC/PC</t>
        </is>
      </c>
      <c r="I5" s="2" t="inlineStr">
        <is>
          <t>LC/PC</t>
        </is>
      </c>
      <c r="J5" s="2" t="n">
        <v>100</v>
      </c>
      <c r="K5" s="2" t="n">
        <v>150</v>
      </c>
      <c r="L5" s="2" t="n">
        <v>30</v>
      </c>
      <c r="M5" s="2" t="n"/>
      <c r="N5" s="2" t="n"/>
      <c r="O5" s="2" t="n">
        <v>5</v>
      </c>
      <c r="P5" s="2" t="n">
        <v>122</v>
      </c>
      <c r="Q5" s="2" t="n">
        <v>80</v>
      </c>
      <c r="R5" s="2" t="n"/>
      <c r="S5" s="2" t="n">
        <v>20</v>
      </c>
      <c r="T5" s="2" t="n">
        <v>50</v>
      </c>
      <c r="U5" s="2" t="n">
        <v>30</v>
      </c>
      <c r="V5" s="2">
        <f>SUM(J5:U5)</f>
        <v/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>
        <v>1174</v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>
        <f>IF(F5=1,V5*2,IF(F5=2,V5*F5*2,IF(F5&gt;2,F5*2*V5)))</f>
        <v/>
      </c>
      <c r="AW5" s="2">
        <f>SUM(W5:AU5)</f>
        <v/>
      </c>
    </row>
    <row r="6">
      <c r="A6" s="2" t="inlineStr">
        <is>
          <t>14-C-009</t>
        </is>
      </c>
      <c r="B6" s="3" t="inlineStr">
        <is>
          <t>DROP-CABLE(LC/PC-SC/APC)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/>
      <c r="O6" s="2" t="n"/>
      <c r="P6" s="2" t="n">
        <v>5</v>
      </c>
      <c r="Q6" s="2" t="n"/>
      <c r="R6" s="2" t="n"/>
      <c r="S6" s="2" t="n"/>
      <c r="T6" s="2" t="n"/>
      <c r="U6" s="2" t="n"/>
      <c r="V6" s="2">
        <f>SUM(J6:U6)</f>
        <v/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>
        <v>5</v>
      </c>
      <c r="AK6" s="2" t="n"/>
      <c r="AL6" s="2" t="n"/>
      <c r="AM6" s="2" t="n"/>
      <c r="AN6" s="2" t="n"/>
      <c r="AO6" s="2" t="n"/>
      <c r="AP6" s="2" t="n">
        <v>5</v>
      </c>
      <c r="AQ6" s="2" t="n"/>
      <c r="AR6" s="2" t="n"/>
      <c r="AS6" s="2" t="n"/>
      <c r="AT6" s="2" t="n"/>
      <c r="AU6" s="2" t="n"/>
      <c r="AV6" s="2">
        <f>IF(F6=1,V6*2,IF(F6=2,V6*F6*2,IF(F6&gt;2,F6*2*V6)))</f>
        <v/>
      </c>
      <c r="AW6" s="2">
        <f>SUM(W6:AU6)</f>
        <v/>
      </c>
    </row>
    <row r="7">
      <c r="A7" s="2" t="inlineStr">
        <is>
          <t>14-C-013</t>
        </is>
      </c>
      <c r="B7" s="3" t="inlineStr">
        <is>
          <t>DROP-CABLE(SC/APC)</t>
        </is>
      </c>
      <c r="C7" s="2" t="inlineStr">
        <is>
          <t>10M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10</v>
      </c>
      <c r="H7" s="2" t="inlineStr">
        <is>
          <t>SC/APC</t>
        </is>
      </c>
      <c r="I7" s="2" t="inlineStr">
        <is>
          <t>SC/APC</t>
        </is>
      </c>
      <c r="J7" s="2" t="n">
        <v>10</v>
      </c>
      <c r="K7" s="2" t="n">
        <v>200</v>
      </c>
      <c r="L7" s="2" t="n"/>
      <c r="M7" s="2" t="n"/>
      <c r="N7" s="2" t="n"/>
      <c r="O7" s="2" t="n">
        <v>6</v>
      </c>
      <c r="P7" s="2" t="n"/>
      <c r="Q7" s="2" t="n"/>
      <c r="R7" s="2" t="n"/>
      <c r="S7" s="2" t="n"/>
      <c r="T7" s="2" t="n"/>
      <c r="U7" s="2" t="n"/>
      <c r="V7" s="2">
        <f>SUM(J7:U7)</f>
        <v/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>
        <v>432</v>
      </c>
      <c r="AQ7" s="2" t="n"/>
      <c r="AR7" s="2" t="n"/>
      <c r="AS7" s="2" t="n"/>
      <c r="AT7" s="2" t="n"/>
      <c r="AU7" s="2" t="n"/>
      <c r="AV7" s="2">
        <f>IF(F7=1,V7*2,IF(F7=2,V7*F7*2,IF(F7&gt;2,F7*2*V7)))</f>
        <v/>
      </c>
      <c r="AW7" s="2">
        <f>SUM(W7:AU7)</f>
        <v/>
      </c>
    </row>
    <row r="8">
      <c r="A8" s="2" t="inlineStr">
        <is>
          <t>14-C-015</t>
        </is>
      </c>
      <c r="B8" s="3" t="inlineStr">
        <is>
          <t>DROP-CABLE(SC/APC)</t>
        </is>
      </c>
      <c r="C8" s="2" t="inlineStr">
        <is>
          <t>15M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15</v>
      </c>
      <c r="H8" s="2" t="inlineStr">
        <is>
          <t>SC/APC</t>
        </is>
      </c>
      <c r="I8" s="2" t="inlineStr">
        <is>
          <t>SC/APC</t>
        </is>
      </c>
      <c r="J8" s="2" t="n">
        <v>32</v>
      </c>
      <c r="K8" s="2" t="n">
        <v>100</v>
      </c>
      <c r="L8" s="2" t="n"/>
      <c r="M8" s="2" t="n"/>
      <c r="N8" s="2" t="n"/>
      <c r="O8" s="2" t="n"/>
      <c r="P8" s="2" t="n">
        <v>1</v>
      </c>
      <c r="Q8" s="2" t="n"/>
      <c r="R8" s="2" t="n"/>
      <c r="S8" s="2" t="n"/>
      <c r="T8" s="2" t="n"/>
      <c r="U8" s="2" t="n"/>
      <c r="V8" s="2">
        <f>SUM(J8:U8)</f>
        <v/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>
        <v>266</v>
      </c>
      <c r="AQ8" s="2" t="n"/>
      <c r="AR8" s="2" t="n"/>
      <c r="AS8" s="2" t="n"/>
      <c r="AT8" s="2" t="n"/>
      <c r="AU8" s="2" t="n"/>
      <c r="AV8" s="2">
        <f>IF(F8=1,V8*2,IF(F8=2,V8*F8*2,IF(F8&gt;2,F8*2*V8)))</f>
        <v/>
      </c>
      <c r="AW8" s="2">
        <f>SUM(W8:AU8)</f>
        <v/>
      </c>
    </row>
    <row r="9">
      <c r="A9" s="2" t="inlineStr">
        <is>
          <t>14-C-017</t>
        </is>
      </c>
      <c r="B9" s="3" t="inlineStr">
        <is>
          <t>DROP-CABLE(SC/APC)</t>
        </is>
      </c>
      <c r="C9" s="2" t="inlineStr">
        <is>
          <t>20M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20</v>
      </c>
      <c r="H9" s="2" t="inlineStr">
        <is>
          <t>SC/APC</t>
        </is>
      </c>
      <c r="I9" s="2" t="inlineStr">
        <is>
          <t>SC/APC</t>
        </is>
      </c>
      <c r="J9" s="2" t="n">
        <v>5</v>
      </c>
      <c r="K9" s="2" t="n"/>
      <c r="L9" s="2" t="n"/>
      <c r="M9" s="2" t="n"/>
      <c r="N9" s="2" t="n"/>
      <c r="O9" s="2" t="n"/>
      <c r="P9" s="2" t="n"/>
      <c r="Q9" s="2" t="n"/>
      <c r="R9" s="2" t="n">
        <v>2</v>
      </c>
      <c r="S9" s="2" t="n"/>
      <c r="T9" s="2" t="n"/>
      <c r="U9" s="2" t="n"/>
      <c r="V9" s="2">
        <f>SUM(J9:U9)</f>
        <v/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>
        <v>14</v>
      </c>
      <c r="AQ9" s="2" t="n"/>
      <c r="AR9" s="2" t="n"/>
      <c r="AS9" s="2" t="n"/>
      <c r="AT9" s="2" t="n"/>
      <c r="AU9" s="2" t="n"/>
      <c r="AV9" s="2">
        <f>IF(F9=1,V9*2,IF(F9=2,V9*F9*2,IF(F9&gt;2,F9*2*V9)))</f>
        <v/>
      </c>
      <c r="AW9" s="2">
        <f>SUM(W9:AU9)</f>
        <v/>
      </c>
    </row>
    <row r="10">
      <c r="A10" s="2" t="inlineStr">
        <is>
          <t>14-C-026</t>
        </is>
      </c>
      <c r="B10" s="3" t="inlineStr">
        <is>
          <t>DROP-CABLE(SC/APC)</t>
        </is>
      </c>
      <c r="C10" s="2" t="inlineStr">
        <is>
          <t>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5</v>
      </c>
      <c r="H10" s="2" t="inlineStr">
        <is>
          <t>SC/APC</t>
        </is>
      </c>
      <c r="I10" s="2" t="inlineStr">
        <is>
          <t>SC/APC</t>
        </is>
      </c>
      <c r="J10" s="2" t="n"/>
      <c r="K10" s="2" t="n">
        <v>200</v>
      </c>
      <c r="L10" s="2" t="n"/>
      <c r="M10" s="2" t="n"/>
      <c r="N10" s="2" t="n"/>
      <c r="O10" s="2" t="n"/>
      <c r="P10" s="2" t="n"/>
      <c r="Q10" s="2" t="n"/>
      <c r="R10" s="2" t="n">
        <v>90</v>
      </c>
      <c r="S10" s="2" t="n"/>
      <c r="T10" s="2" t="n"/>
      <c r="U10" s="2" t="n"/>
      <c r="V10" s="2">
        <f>SUM(J10:U10)</f>
        <v/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>
        <v>580</v>
      </c>
      <c r="AQ10" s="2" t="n"/>
      <c r="AR10" s="2" t="n"/>
      <c r="AS10" s="2" t="n"/>
      <c r="AT10" s="2" t="n"/>
      <c r="AU10" s="2" t="n"/>
      <c r="AV10" s="2">
        <f>IF(F10=1,V10*2,IF(F10=2,V10*F10*2,IF(F10&gt;2,F10*2*V10)))</f>
        <v/>
      </c>
      <c r="AW10" s="2">
        <f>SUM(W10:AU10)</f>
        <v/>
      </c>
    </row>
    <row r="11">
      <c r="A11" s="2" t="inlineStr">
        <is>
          <t>14-C-040</t>
        </is>
      </c>
      <c r="B11" s="3" t="inlineStr">
        <is>
          <t>DROP-CABLE(SC/PC)</t>
        </is>
      </c>
      <c r="C11" s="2" t="inlineStr">
        <is>
          <t>120M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120</v>
      </c>
      <c r="H11" s="2" t="inlineStr">
        <is>
          <t>SC/PC</t>
        </is>
      </c>
      <c r="I11" s="2" t="inlineStr">
        <is>
          <t>SC/PC</t>
        </is>
      </c>
      <c r="J11" s="2" t="n">
        <v>3</v>
      </c>
      <c r="K11" s="2" t="n">
        <v>3</v>
      </c>
      <c r="L11" s="2" t="n">
        <v>3</v>
      </c>
      <c r="M11" s="2" t="n"/>
      <c r="N11" s="2" t="n">
        <v>10</v>
      </c>
      <c r="O11" s="2" t="n"/>
      <c r="P11" s="2" t="n"/>
      <c r="Q11" s="2" t="n"/>
      <c r="R11" s="2" t="n"/>
      <c r="S11" s="2" t="n"/>
      <c r="T11" s="2" t="n"/>
      <c r="U11" s="2" t="n"/>
      <c r="V11" s="2">
        <f>SUM(J11:U11)</f>
        <v/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>
        <v>38</v>
      </c>
      <c r="AO11" s="2" t="n"/>
      <c r="AP11" s="2" t="n"/>
      <c r="AQ11" s="2" t="n"/>
      <c r="AR11" s="2" t="n"/>
      <c r="AS11" s="2" t="n"/>
      <c r="AT11" s="2" t="n"/>
      <c r="AU11" s="2" t="n"/>
      <c r="AV11" s="2">
        <f>IF(F11=1,V11*2,IF(F11=2,V11*F11*2,IF(F11&gt;2,F11*2*V11)))</f>
        <v/>
      </c>
      <c r="AW11" s="2">
        <f>SUM(W11:AU11)</f>
        <v/>
      </c>
    </row>
    <row r="12">
      <c r="A12" s="2" t="inlineStr">
        <is>
          <t>14-C-047</t>
        </is>
      </c>
      <c r="B12" s="3" t="inlineStr">
        <is>
          <t>DROP-CABLE(SC/PC)</t>
        </is>
      </c>
      <c r="C12" s="2" t="inlineStr">
        <is>
          <t>15M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15</v>
      </c>
      <c r="H12" s="2" t="inlineStr">
        <is>
          <t>SC/PC</t>
        </is>
      </c>
      <c r="I12" s="2" t="inlineStr">
        <is>
          <t>SC/PC</t>
        </is>
      </c>
      <c r="J12" s="2" t="n"/>
      <c r="K12" s="2" t="n"/>
      <c r="L12" s="2" t="n">
        <v>3</v>
      </c>
      <c r="M12" s="2" t="n"/>
      <c r="N12" s="2" t="n"/>
      <c r="O12" s="2" t="n"/>
      <c r="P12" s="2" t="n"/>
      <c r="Q12" s="2" t="n">
        <v>100</v>
      </c>
      <c r="R12" s="2" t="n"/>
      <c r="S12" s="2" t="n"/>
      <c r="T12" s="2" t="n"/>
      <c r="U12" s="2" t="n"/>
      <c r="V12" s="2">
        <f>SUM(J12:U12)</f>
        <v/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>
        <v>206</v>
      </c>
      <c r="AO12" s="2" t="n"/>
      <c r="AP12" s="2" t="n"/>
      <c r="AQ12" s="2" t="n"/>
      <c r="AR12" s="2" t="n"/>
      <c r="AS12" s="2" t="n"/>
      <c r="AT12" s="2" t="n"/>
      <c r="AU12" s="2" t="n"/>
      <c r="AV12" s="2">
        <f>IF(F12=1,V12*2,IF(F12=2,V12*F12*2,IF(F12&gt;2,F12*2*V12)))</f>
        <v/>
      </c>
      <c r="AW12" s="2">
        <f>SUM(W12:AU12)</f>
        <v/>
      </c>
    </row>
    <row r="13">
      <c r="A13" s="2" t="inlineStr">
        <is>
          <t>14-C-048</t>
        </is>
      </c>
      <c r="B13" s="3" t="inlineStr">
        <is>
          <t>DROP-CABLE(SC/PC)</t>
        </is>
      </c>
      <c r="C13" s="2" t="inlineStr">
        <is>
          <t>1M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1</v>
      </c>
      <c r="H13" s="2" t="inlineStr">
        <is>
          <t>SC/PC</t>
        </is>
      </c>
      <c r="I13" s="2" t="inlineStr">
        <is>
          <t>SC/PC</t>
        </is>
      </c>
      <c r="J13" s="2" t="n">
        <v>20</v>
      </c>
      <c r="K13" s="2" t="n">
        <v>20</v>
      </c>
      <c r="L13" s="2" t="n"/>
      <c r="M13" s="2" t="n"/>
      <c r="N13" s="2" t="n"/>
      <c r="O13" s="2" t="n"/>
      <c r="P13" s="2" t="n">
        <v>30</v>
      </c>
      <c r="Q13" s="2" t="n">
        <v>30</v>
      </c>
      <c r="R13" s="2" t="n"/>
      <c r="S13" s="2" t="n">
        <v>20</v>
      </c>
      <c r="T13" s="2" t="n"/>
      <c r="U13" s="2" t="n"/>
      <c r="V13" s="2">
        <f>SUM(J13:U13)</f>
        <v/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>
        <v>240</v>
      </c>
      <c r="AO13" s="2" t="n"/>
      <c r="AP13" s="2" t="n"/>
      <c r="AQ13" s="2" t="n"/>
      <c r="AR13" s="2" t="n"/>
      <c r="AS13" s="2" t="n"/>
      <c r="AT13" s="2" t="n"/>
      <c r="AU13" s="2" t="n"/>
      <c r="AV13" s="2">
        <f>IF(F13=1,V13*2,IF(F13=2,V13*F13*2,IF(F13&gt;2,F13*2*V13)))</f>
        <v/>
      </c>
      <c r="AW13" s="2">
        <f>SUM(W13:AU13)</f>
        <v/>
      </c>
    </row>
    <row r="14">
      <c r="A14" s="2" t="inlineStr">
        <is>
          <t>14-C-050</t>
        </is>
      </c>
      <c r="B14" s="3" t="inlineStr">
        <is>
          <t>DROP-CABLE(SC/PC)</t>
        </is>
      </c>
      <c r="C14" s="2" t="inlineStr">
        <is>
          <t>20M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20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/>
      <c r="O14" s="2" t="n"/>
      <c r="P14" s="2" t="n"/>
      <c r="Q14" s="2" t="n">
        <v>200</v>
      </c>
      <c r="R14" s="2" t="n"/>
      <c r="S14" s="2" t="n"/>
      <c r="T14" s="2" t="n"/>
      <c r="U14" s="2" t="n"/>
      <c r="V14" s="2">
        <f>SUM(J14:U14)</f>
        <v/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>
        <v>400</v>
      </c>
      <c r="AO14" s="2" t="n"/>
      <c r="AP14" s="2" t="n"/>
      <c r="AQ14" s="2" t="n"/>
      <c r="AR14" s="2" t="n"/>
      <c r="AS14" s="2" t="n"/>
      <c r="AT14" s="2" t="n"/>
      <c r="AU14" s="2" t="n"/>
      <c r="AV14" s="2">
        <f>IF(F14=1,V14*2,IF(F14=2,V14*F14*2,IF(F14&gt;2,F14*2*V14)))</f>
        <v/>
      </c>
      <c r="AW14" s="2">
        <f>SUM(W14:AU14)</f>
        <v/>
      </c>
    </row>
    <row r="15">
      <c r="A15" s="2" t="inlineStr">
        <is>
          <t>14-C-052</t>
        </is>
      </c>
      <c r="B15" s="3" t="inlineStr">
        <is>
          <t>DROP-CABLE(SC/PC)</t>
        </is>
      </c>
      <c r="C15" s="2" t="inlineStr">
        <is>
          <t>2M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2</v>
      </c>
      <c r="H15" s="2" t="inlineStr">
        <is>
          <t>SC/PC</t>
        </is>
      </c>
      <c r="I15" s="2" t="inlineStr">
        <is>
          <t>SC/PC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>
        <v>5</v>
      </c>
      <c r="T15" s="2" t="n"/>
      <c r="U15" s="2" t="n"/>
      <c r="V15" s="2">
        <f>SUM(J15:U15)</f>
        <v/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>
        <v>10</v>
      </c>
      <c r="AO15" s="2" t="n"/>
      <c r="AP15" s="2" t="n"/>
      <c r="AQ15" s="2" t="n"/>
      <c r="AR15" s="2" t="n"/>
      <c r="AS15" s="2" t="n"/>
      <c r="AT15" s="2" t="n"/>
      <c r="AU15" s="2" t="n"/>
      <c r="AV15" s="2">
        <f>IF(F15=1,V15*2,IF(F15=2,V15*F15*2,IF(F15&gt;2,F15*2*V15)))</f>
        <v/>
      </c>
      <c r="AW15" s="2">
        <f>SUM(W15:AU15)</f>
        <v/>
      </c>
    </row>
    <row r="16">
      <c r="A16" s="2" t="inlineStr">
        <is>
          <t>14-C-053</t>
        </is>
      </c>
      <c r="B16" s="3" t="inlineStr">
        <is>
          <t>DROP-CABLE(SC/PC)</t>
        </is>
      </c>
      <c r="C16" s="2" t="inlineStr">
        <is>
          <t>30M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30</v>
      </c>
      <c r="H16" s="2" t="inlineStr">
        <is>
          <t>SC/PC</t>
        </is>
      </c>
      <c r="I16" s="2" t="inlineStr">
        <is>
          <t>SC/PC</t>
        </is>
      </c>
      <c r="J16" s="2" t="n"/>
      <c r="K16" s="2" t="n"/>
      <c r="L16" s="2" t="n"/>
      <c r="M16" s="2" t="n">
        <v>30</v>
      </c>
      <c r="N16" s="2" t="n"/>
      <c r="O16" s="2" t="n"/>
      <c r="P16" s="2" t="n"/>
      <c r="Q16" s="2" t="n">
        <v>60</v>
      </c>
      <c r="R16" s="2" t="n"/>
      <c r="S16" s="2" t="n"/>
      <c r="T16" s="2" t="n"/>
      <c r="U16" s="2" t="n"/>
      <c r="V16" s="2">
        <f>SUM(J16:U16)</f>
        <v/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>
        <v>180</v>
      </c>
      <c r="AO16" s="2" t="n"/>
      <c r="AP16" s="2" t="n"/>
      <c r="AQ16" s="2" t="n"/>
      <c r="AR16" s="2" t="n"/>
      <c r="AS16" s="2" t="n"/>
      <c r="AT16" s="2" t="n"/>
      <c r="AU16" s="2" t="n"/>
      <c r="AV16" s="2">
        <f>IF(F16=1,V16*2,IF(F16=2,V16*F16*2,IF(F16&gt;2,F16*2*V16)))</f>
        <v/>
      </c>
      <c r="AW16" s="2">
        <f>SUM(W16:AU16)</f>
        <v/>
      </c>
    </row>
    <row r="17">
      <c r="A17" s="2" t="inlineStr">
        <is>
          <t>14-C-055</t>
        </is>
      </c>
      <c r="B17" s="3" t="inlineStr">
        <is>
          <t>DROP-CABLE(SC/PC)</t>
        </is>
      </c>
      <c r="C17" s="2" t="inlineStr">
        <is>
          <t>3M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</v>
      </c>
      <c r="H17" s="2" t="inlineStr">
        <is>
          <t>SC/PC</t>
        </is>
      </c>
      <c r="I17" s="2" t="inlineStr">
        <is>
          <t>SC/PC</t>
        </is>
      </c>
      <c r="J17" s="2" t="n"/>
      <c r="K17" s="2" t="n"/>
      <c r="L17" s="2" t="n">
        <v>10</v>
      </c>
      <c r="M17" s="2" t="n"/>
      <c r="N17" s="2" t="n"/>
      <c r="O17" s="2" t="n"/>
      <c r="P17" s="2" t="n">
        <v>10</v>
      </c>
      <c r="Q17" s="2" t="n">
        <v>10</v>
      </c>
      <c r="R17" s="2" t="n"/>
      <c r="S17" s="2" t="n"/>
      <c r="T17" s="2" t="n"/>
      <c r="U17" s="2" t="n"/>
      <c r="V17" s="2">
        <f>SUM(J17:U17)</f>
        <v/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>
        <v>60</v>
      </c>
      <c r="AO17" s="2" t="n"/>
      <c r="AP17" s="2" t="n"/>
      <c r="AQ17" s="2" t="n"/>
      <c r="AR17" s="2" t="n"/>
      <c r="AS17" s="2" t="n"/>
      <c r="AT17" s="2" t="n"/>
      <c r="AU17" s="2" t="n"/>
      <c r="AV17" s="2">
        <f>IF(F17=1,V17*2,IF(F17=2,V17*F17*2,IF(F17&gt;2,F17*2*V17)))</f>
        <v/>
      </c>
      <c r="AW17" s="2">
        <f>SUM(W17:AU17)</f>
        <v/>
      </c>
    </row>
    <row r="18">
      <c r="A18" s="2" t="inlineStr">
        <is>
          <t>14-C-059</t>
        </is>
      </c>
      <c r="B18" s="3" t="inlineStr">
        <is>
          <t>DROP-CABLE(SC/PC)</t>
        </is>
      </c>
      <c r="C18" s="2" t="inlineStr">
        <is>
          <t>50M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50</v>
      </c>
      <c r="H18" s="2" t="inlineStr">
        <is>
          <t>SC/PC</t>
        </is>
      </c>
      <c r="I18" s="2" t="inlineStr">
        <is>
          <t>SC/PC</t>
        </is>
      </c>
      <c r="J18" s="2" t="n">
        <v>25</v>
      </c>
      <c r="K18" s="2" t="n">
        <v>15</v>
      </c>
      <c r="L18" s="2" t="n">
        <v>15</v>
      </c>
      <c r="M18" s="2" t="n">
        <v>45</v>
      </c>
      <c r="N18" s="2" t="n">
        <v>15</v>
      </c>
      <c r="O18" s="2" t="n"/>
      <c r="P18" s="2" t="n"/>
      <c r="Q18" s="2" t="n"/>
      <c r="R18" s="2" t="n"/>
      <c r="S18" s="2" t="n"/>
      <c r="T18" s="2" t="n"/>
      <c r="U18" s="2" t="n"/>
      <c r="V18" s="2">
        <f>SUM(J18:U18)</f>
        <v/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>
        <v>230</v>
      </c>
      <c r="AO18" s="2" t="n"/>
      <c r="AP18" s="2" t="n"/>
      <c r="AQ18" s="2" t="n"/>
      <c r="AR18" s="2" t="n"/>
      <c r="AS18" s="2" t="n"/>
      <c r="AT18" s="2" t="n"/>
      <c r="AU18" s="2" t="n"/>
      <c r="AV18" s="2">
        <f>IF(F18=1,V18*2,IF(F18=2,V18*F18*2,IF(F18&gt;2,F18*2*V18)))</f>
        <v/>
      </c>
      <c r="AW18" s="2">
        <f>SUM(W18:AU18)</f>
        <v/>
      </c>
    </row>
    <row r="19">
      <c r="A19" s="2" t="inlineStr">
        <is>
          <t>14-C-061</t>
        </is>
      </c>
      <c r="B19" s="3" t="inlineStr">
        <is>
          <t>DROP-CABLE(SC/PC)</t>
        </is>
      </c>
      <c r="C19" s="2" t="inlineStr">
        <is>
          <t>5M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5</v>
      </c>
      <c r="H19" s="2" t="inlineStr">
        <is>
          <t>SC/PC</t>
        </is>
      </c>
      <c r="I19" s="2" t="inlineStr">
        <is>
          <t>SC/PC</t>
        </is>
      </c>
      <c r="J19" s="2" t="n"/>
      <c r="K19" s="2" t="n"/>
      <c r="L19" s="2" t="n">
        <v>4</v>
      </c>
      <c r="M19" s="2" t="n"/>
      <c r="N19" s="2" t="n"/>
      <c r="O19" s="2" t="n"/>
      <c r="P19" s="2" t="n"/>
      <c r="Q19" s="2" t="n">
        <v>200</v>
      </c>
      <c r="R19" s="2" t="n"/>
      <c r="S19" s="2" t="n"/>
      <c r="T19" s="2" t="n"/>
      <c r="U19" s="2" t="n"/>
      <c r="V19" s="2">
        <f>SUM(J19:U19)</f>
        <v/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>
        <v>408</v>
      </c>
      <c r="AO19" s="2" t="n"/>
      <c r="AP19" s="2" t="n"/>
      <c r="AQ19" s="2" t="n"/>
      <c r="AR19" s="2" t="n"/>
      <c r="AS19" s="2" t="n"/>
      <c r="AT19" s="2" t="n"/>
      <c r="AU19" s="2" t="n"/>
      <c r="AV19" s="2">
        <f>IF(F19=1,V19*2,IF(F19=2,V19*F19*2,IF(F19&gt;2,F19*2*V19)))</f>
        <v/>
      </c>
      <c r="AW19" s="2">
        <f>SUM(W19:AU19)</f>
        <v/>
      </c>
    </row>
    <row r="20">
      <c r="A20" s="2" t="inlineStr">
        <is>
          <t>14-C-062</t>
        </is>
      </c>
      <c r="B20" s="3" t="inlineStr">
        <is>
          <t>DROP-CABLE(SC/PC)</t>
        </is>
      </c>
      <c r="C20" s="2" t="inlineStr">
        <is>
          <t>60M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60</v>
      </c>
      <c r="H20" s="2" t="inlineStr">
        <is>
          <t>SC/PC</t>
        </is>
      </c>
      <c r="I20" s="2" t="inlineStr">
        <is>
          <t>SC/PC</t>
        </is>
      </c>
      <c r="J20" s="2" t="n">
        <v>10</v>
      </c>
      <c r="K20" s="2" t="n">
        <v>15</v>
      </c>
      <c r="L20" s="2" t="n">
        <v>15</v>
      </c>
      <c r="M20" s="2" t="n">
        <v>10</v>
      </c>
      <c r="N20" s="2" t="n">
        <v>10</v>
      </c>
      <c r="O20" s="2" t="n"/>
      <c r="P20" s="2" t="n"/>
      <c r="Q20" s="2" t="n"/>
      <c r="R20" s="2" t="n"/>
      <c r="S20" s="2" t="n"/>
      <c r="T20" s="2" t="n"/>
      <c r="U20" s="2" t="n"/>
      <c r="V20" s="2">
        <f>SUM(J20:U20)</f>
        <v/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>
        <v>120</v>
      </c>
      <c r="AO20" s="2" t="n"/>
      <c r="AP20" s="2" t="n"/>
      <c r="AQ20" s="2" t="n"/>
      <c r="AR20" s="2" t="n"/>
      <c r="AS20" s="2" t="n"/>
      <c r="AT20" s="2" t="n"/>
      <c r="AU20" s="2" t="n"/>
      <c r="AV20" s="2">
        <f>IF(F20=1,V20*2,IF(F20=2,V20*F20*2,IF(F20&gt;2,F20*2*V20)))</f>
        <v/>
      </c>
      <c r="AW20" s="2">
        <f>SUM(W20:AU20)</f>
        <v/>
      </c>
    </row>
    <row r="21">
      <c r="A21" s="2" t="inlineStr">
        <is>
          <t>14-C-065</t>
        </is>
      </c>
      <c r="B21" s="3" t="inlineStr">
        <is>
          <t>DROP-CABLE(SC/PC)</t>
        </is>
      </c>
      <c r="C21" s="2" t="inlineStr">
        <is>
          <t>70M</t>
        </is>
      </c>
      <c r="D21" s="2" t="inlineStr">
        <is>
          <t>drop</t>
        </is>
      </c>
      <c r="E21" s="2" t="inlineStr">
        <is>
          <t>3.0mm</t>
        </is>
      </c>
      <c r="F21" s="2" t="n">
        <v>1</v>
      </c>
      <c r="G21" s="2" t="n">
        <v>70</v>
      </c>
      <c r="H21" s="2" t="inlineStr">
        <is>
          <t>SC/PC</t>
        </is>
      </c>
      <c r="I21" s="2" t="inlineStr">
        <is>
          <t>SC/PC</t>
        </is>
      </c>
      <c r="J21" s="2" t="n">
        <v>20</v>
      </c>
      <c r="K21" s="2" t="n">
        <v>10</v>
      </c>
      <c r="L21" s="2" t="n">
        <v>10</v>
      </c>
      <c r="M21" s="2" t="n">
        <v>10</v>
      </c>
      <c r="N21" s="2" t="n">
        <v>10</v>
      </c>
      <c r="O21" s="2" t="n"/>
      <c r="P21" s="2" t="n"/>
      <c r="Q21" s="2" t="n"/>
      <c r="R21" s="2" t="n"/>
      <c r="S21" s="2" t="n"/>
      <c r="T21" s="2" t="n"/>
      <c r="U21" s="2" t="n"/>
      <c r="V21" s="2">
        <f>SUM(J21:U21)</f>
        <v/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>
        <v>120</v>
      </c>
      <c r="AO21" s="2" t="n"/>
      <c r="AP21" s="2" t="n"/>
      <c r="AQ21" s="2" t="n"/>
      <c r="AR21" s="2" t="n"/>
      <c r="AS21" s="2" t="n"/>
      <c r="AT21" s="2" t="n"/>
      <c r="AU21" s="2" t="n"/>
      <c r="AV21" s="2">
        <f>IF(F21=1,V21*2,IF(F21=2,V21*F21*2,IF(F21&gt;2,F21*2*V21)))</f>
        <v/>
      </c>
      <c r="AW21" s="2">
        <f>SUM(W21:AU21)</f>
        <v/>
      </c>
    </row>
    <row r="22">
      <c r="A22" s="2" t="inlineStr">
        <is>
          <t>14-C-067</t>
        </is>
      </c>
      <c r="B22" s="3" t="inlineStr">
        <is>
          <t>DROP-CABLE(SC/PC)</t>
        </is>
      </c>
      <c r="C22" s="2" t="inlineStr">
        <is>
          <t>7M</t>
        </is>
      </c>
      <c r="D22" s="2" t="inlineStr">
        <is>
          <t>drop</t>
        </is>
      </c>
      <c r="E22" s="2" t="inlineStr">
        <is>
          <t>3.0mm</t>
        </is>
      </c>
      <c r="F22" s="2" t="n">
        <v>1</v>
      </c>
      <c r="G22" s="2" t="n">
        <v>7</v>
      </c>
      <c r="H22" s="2" t="inlineStr">
        <is>
          <t>SC/PC</t>
        </is>
      </c>
      <c r="I22" s="2" t="inlineStr">
        <is>
          <t>SC/PC</t>
        </is>
      </c>
      <c r="J22" s="2" t="n"/>
      <c r="K22" s="2" t="n"/>
      <c r="L22" s="2" t="n"/>
      <c r="M22" s="2" t="n"/>
      <c r="N22" s="2" t="n"/>
      <c r="O22" s="2" t="n"/>
      <c r="P22" s="2" t="n">
        <v>50</v>
      </c>
      <c r="Q22" s="2" t="n">
        <v>100</v>
      </c>
      <c r="R22" s="2" t="n">
        <v>130</v>
      </c>
      <c r="S22" s="2" t="n"/>
      <c r="T22" s="2" t="n">
        <v>100</v>
      </c>
      <c r="U22" s="2" t="n"/>
      <c r="V22" s="2">
        <f>SUM(J22:U22)</f>
        <v/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>
        <v>760</v>
      </c>
      <c r="AO22" s="2" t="n"/>
      <c r="AP22" s="2" t="n"/>
      <c r="AQ22" s="2" t="n"/>
      <c r="AR22" s="2" t="n"/>
      <c r="AS22" s="2" t="n"/>
      <c r="AT22" s="2" t="n"/>
      <c r="AU22" s="2" t="n"/>
      <c r="AV22" s="2">
        <f>IF(F22=1,V22*2,IF(F22=2,V22*F22*2,IF(F22&gt;2,F22*2*V22)))</f>
        <v/>
      </c>
      <c r="AW22" s="2">
        <f>SUM(W22:AU22)</f>
        <v/>
      </c>
    </row>
    <row r="23">
      <c r="A23" s="2" t="inlineStr">
        <is>
          <t>14-C-068</t>
        </is>
      </c>
      <c r="B23" s="3" t="inlineStr">
        <is>
          <t>DROP-CABLE(SC/PC)</t>
        </is>
      </c>
      <c r="C23" s="2" t="inlineStr">
        <is>
          <t>80M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80</v>
      </c>
      <c r="H23" s="2" t="inlineStr">
        <is>
          <t>SC/PC</t>
        </is>
      </c>
      <c r="I23" s="2" t="inlineStr">
        <is>
          <t>SC/PC</t>
        </is>
      </c>
      <c r="J23" s="2" t="n"/>
      <c r="K23" s="2" t="n"/>
      <c r="L23" s="2" t="n"/>
      <c r="M23" s="2" t="n">
        <v>30</v>
      </c>
      <c r="N23" s="2" t="n"/>
      <c r="O23" s="2" t="n"/>
      <c r="P23" s="2" t="n">
        <v>60</v>
      </c>
      <c r="Q23" s="2" t="n"/>
      <c r="R23" s="2" t="n"/>
      <c r="S23" s="2" t="n"/>
      <c r="T23" s="2" t="n"/>
      <c r="U23" s="2" t="n"/>
      <c r="V23" s="2">
        <f>SUM(J23:U23)</f>
        <v/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>
        <v>180</v>
      </c>
      <c r="AO23" s="2" t="n"/>
      <c r="AP23" s="2" t="n"/>
      <c r="AQ23" s="2" t="n"/>
      <c r="AR23" s="2" t="n"/>
      <c r="AS23" s="2" t="n"/>
      <c r="AT23" s="2" t="n"/>
      <c r="AU23" s="2" t="n"/>
      <c r="AV23" s="2">
        <f>IF(F23=1,V23*2,IF(F23=2,V23*F23*2,IF(F23&gt;2,F23*2*V23)))</f>
        <v/>
      </c>
      <c r="AW23" s="2">
        <f>SUM(W23:AU23)</f>
        <v/>
      </c>
    </row>
    <row r="24">
      <c r="A24" s="2" t="inlineStr">
        <is>
          <t>14-C-072</t>
        </is>
      </c>
      <c r="B24" s="3" t="inlineStr">
        <is>
          <t>DROP-CABLE(SC/PC)</t>
        </is>
      </c>
      <c r="C24" s="2" t="inlineStr">
        <is>
          <t>90M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90</v>
      </c>
      <c r="H24" s="2" t="inlineStr">
        <is>
          <t>SC/PC</t>
        </is>
      </c>
      <c r="I24" s="2" t="inlineStr">
        <is>
          <t>SC/PC</t>
        </is>
      </c>
      <c r="J24" s="2" t="n">
        <v>3</v>
      </c>
      <c r="K24" s="2" t="n">
        <v>3</v>
      </c>
      <c r="L24" s="2" t="n">
        <v>3</v>
      </c>
      <c r="M24" s="2" t="n"/>
      <c r="N24" s="2" t="n">
        <v>10</v>
      </c>
      <c r="O24" s="2" t="n"/>
      <c r="P24" s="2" t="n"/>
      <c r="Q24" s="2" t="n"/>
      <c r="R24" s="2" t="n"/>
      <c r="S24" s="2" t="n"/>
      <c r="T24" s="2" t="n"/>
      <c r="U24" s="2" t="n"/>
      <c r="V24" s="2">
        <f>SUM(J24:U24)</f>
        <v/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>
        <v>38</v>
      </c>
      <c r="AO24" s="2" t="n"/>
      <c r="AP24" s="2" t="n"/>
      <c r="AQ24" s="2" t="n"/>
      <c r="AR24" s="2" t="n"/>
      <c r="AS24" s="2" t="n"/>
      <c r="AT24" s="2" t="n"/>
      <c r="AU24" s="2" t="n"/>
      <c r="AV24" s="2">
        <f>IF(F24=1,V24*2,IF(F24=2,V24*F24*2,IF(F24&gt;2,F24*2*V24)))</f>
        <v/>
      </c>
      <c r="AW24" s="2">
        <f>SUM(W24:AU24)</f>
        <v/>
      </c>
    </row>
    <row r="25">
      <c r="A25" s="2" t="inlineStr">
        <is>
          <t>14-C-080</t>
        </is>
      </c>
      <c r="B25" s="3" t="inlineStr">
        <is>
          <t>DROP-CABLE(SC/PC-SC/APC)</t>
        </is>
      </c>
      <c r="C25" s="2" t="inlineStr">
        <is>
          <t>50M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50</v>
      </c>
      <c r="H25" s="2" t="inlineStr">
        <is>
          <t>SC/PC</t>
        </is>
      </c>
      <c r="I25" s="2" t="inlineStr">
        <is>
          <t>SC/APC</t>
        </is>
      </c>
      <c r="J25" s="2" t="n">
        <v>10</v>
      </c>
      <c r="K25" s="2" t="n"/>
      <c r="L25" s="2" t="n">
        <v>15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>
        <f>SUM(J25:U25)</f>
        <v/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>
        <v>25</v>
      </c>
      <c r="AO25" s="2" t="n"/>
      <c r="AP25" s="2" t="n">
        <v>25</v>
      </c>
      <c r="AQ25" s="2" t="n"/>
      <c r="AR25" s="2" t="n"/>
      <c r="AS25" s="2" t="n"/>
      <c r="AT25" s="2" t="n"/>
      <c r="AU25" s="2" t="n"/>
      <c r="AV25" s="2">
        <f>IF(F25=1,V25*2,IF(F25=2,V25*F25*2,IF(F25&gt;2,F25*2*V25)))</f>
        <v/>
      </c>
      <c r="AW25" s="2">
        <f>SUM(W25:AU25)</f>
        <v/>
      </c>
    </row>
    <row r="26">
      <c r="A26" s="2" t="inlineStr">
        <is>
          <t>14-C-081</t>
        </is>
      </c>
      <c r="B26" s="3" t="inlineStr">
        <is>
          <t>DROP-CABLE(SC/PC-SC/APC)</t>
        </is>
      </c>
      <c r="C26" s="2" t="inlineStr">
        <is>
          <t>60M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60</v>
      </c>
      <c r="H26" s="2" t="inlineStr">
        <is>
          <t>SC/PC</t>
        </is>
      </c>
      <c r="I26" s="2" t="inlineStr">
        <is>
          <t>SC/APC</t>
        </is>
      </c>
      <c r="J26" s="2" t="n"/>
      <c r="K26" s="2" t="n"/>
      <c r="L26" s="2" t="n">
        <v>10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</f>
        <v/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>
        <v>10</v>
      </c>
      <c r="AO26" s="2" t="n"/>
      <c r="AP26" s="2" t="n">
        <v>10</v>
      </c>
      <c r="AQ26" s="2" t="n"/>
      <c r="AR26" s="2" t="n"/>
      <c r="AS26" s="2" t="n"/>
      <c r="AT26" s="2" t="n"/>
      <c r="AU26" s="2" t="n"/>
      <c r="AV26" s="2">
        <f>IF(F26=1,V26*2,IF(F26=2,V26*F26*2,IF(F26&gt;2,F26*2*V26)))</f>
        <v/>
      </c>
      <c r="AW26" s="2">
        <f>SUM(W26:AU26)</f>
        <v/>
      </c>
    </row>
    <row r="27">
      <c r="A27" s="2" t="inlineStr">
        <is>
          <t>14-C-082</t>
        </is>
      </c>
      <c r="B27" s="3" t="inlineStr">
        <is>
          <t>DROP-CABLE(SC/PC-SC/APC)</t>
        </is>
      </c>
      <c r="C27" s="2" t="inlineStr">
        <is>
          <t>70M</t>
        </is>
      </c>
      <c r="D27" s="2" t="inlineStr">
        <is>
          <t>drop</t>
        </is>
      </c>
      <c r="E27" s="2" t="inlineStr">
        <is>
          <t>3.0mm</t>
        </is>
      </c>
      <c r="F27" s="2" t="n">
        <v>1</v>
      </c>
      <c r="G27" s="2" t="n">
        <v>70</v>
      </c>
      <c r="H27" s="2" t="inlineStr">
        <is>
          <t>SC/PC</t>
        </is>
      </c>
      <c r="I27" s="2" t="inlineStr">
        <is>
          <t>SC/APC</t>
        </is>
      </c>
      <c r="J27" s="2" t="n">
        <v>10</v>
      </c>
      <c r="K27" s="2" t="n"/>
      <c r="L27" s="2" t="n">
        <v>10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</f>
        <v/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>
        <v>20</v>
      </c>
      <c r="AO27" s="2" t="n"/>
      <c r="AP27" s="2" t="n">
        <v>20</v>
      </c>
      <c r="AQ27" s="2" t="n"/>
      <c r="AR27" s="2" t="n"/>
      <c r="AS27" s="2" t="n"/>
      <c r="AT27" s="2" t="n"/>
      <c r="AU27" s="2" t="n"/>
      <c r="AV27" s="2">
        <f>IF(F27=1,V27*2,IF(F27=2,V27*F27*2,IF(F27&gt;2,F27*2*V27)))</f>
        <v/>
      </c>
      <c r="AW27" s="2">
        <f>SUM(W27:AU27)</f>
        <v/>
      </c>
    </row>
    <row r="28">
      <c r="A28" s="2" t="inlineStr">
        <is>
          <t>14-C-087</t>
        </is>
      </c>
      <c r="B28" s="3" t="inlineStr">
        <is>
          <t>DROP-CABLE(SC/APC)</t>
        </is>
      </c>
      <c r="C28" s="2" t="inlineStr">
        <is>
          <t>3M</t>
        </is>
      </c>
      <c r="D28" s="2" t="inlineStr">
        <is>
          <t>drop</t>
        </is>
      </c>
      <c r="E28" s="2" t="inlineStr">
        <is>
          <t>3.0mm</t>
        </is>
      </c>
      <c r="F28" s="2" t="n">
        <v>1</v>
      </c>
      <c r="G28" s="2" t="n">
        <v>3</v>
      </c>
      <c r="H28" s="2" t="inlineStr">
        <is>
          <t>SC/APC</t>
        </is>
      </c>
      <c r="I28" s="2" t="inlineStr">
        <is>
          <t>SC/APC</t>
        </is>
      </c>
      <c r="J28" s="2" t="n"/>
      <c r="K28" s="2" t="n">
        <v>200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>
        <f>SUM(J28:U28)</f>
        <v/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>
        <v>400</v>
      </c>
      <c r="AQ28" s="2" t="n"/>
      <c r="AR28" s="2" t="n"/>
      <c r="AS28" s="2" t="n"/>
      <c r="AT28" s="2" t="n"/>
      <c r="AU28" s="2" t="n"/>
      <c r="AV28" s="2">
        <f>IF(F28=1,V28*2,IF(F28=2,V28*F28*2,IF(F28&gt;2,F28*2*V28)))</f>
        <v/>
      </c>
      <c r="AW28" s="2">
        <f>SUM(W28:AU28)</f>
        <v/>
      </c>
    </row>
    <row r="29">
      <c r="A29" s="2" t="inlineStr">
        <is>
          <t>14-C-089</t>
        </is>
      </c>
      <c r="B29" s="3" t="inlineStr">
        <is>
          <t>DROP-CABLE(SC/APC)</t>
        </is>
      </c>
      <c r="C29" s="2" t="inlineStr">
        <is>
          <t>7M</t>
        </is>
      </c>
      <c r="D29" s="2" t="inlineStr">
        <is>
          <t>drop</t>
        </is>
      </c>
      <c r="E29" s="2" t="inlineStr">
        <is>
          <t>3.0mm</t>
        </is>
      </c>
      <c r="F29" s="2" t="n">
        <v>1</v>
      </c>
      <c r="G29" s="2" t="n">
        <v>7</v>
      </c>
      <c r="H29" s="2" t="inlineStr">
        <is>
          <t>SC/APC</t>
        </is>
      </c>
      <c r="I29" s="2" t="inlineStr">
        <is>
          <t>SC/APC</t>
        </is>
      </c>
      <c r="J29" s="2" t="n"/>
      <c r="K29" s="2" t="n">
        <v>200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>
        <f>SUM(J29:U29)</f>
        <v/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>
        <v>400</v>
      </c>
      <c r="AQ29" s="2" t="n"/>
      <c r="AR29" s="2" t="n"/>
      <c r="AS29" s="2" t="n"/>
      <c r="AT29" s="2" t="n"/>
      <c r="AU29" s="2" t="n"/>
      <c r="AV29" s="2">
        <f>IF(F29=1,V29*2,IF(F29=2,V29*F29*2,IF(F29&gt;2,F29*2*V29)))</f>
        <v/>
      </c>
      <c r="AW29" s="2">
        <f>SUM(W29:AU29)</f>
        <v/>
      </c>
    </row>
    <row r="30">
      <c r="A30" s="2" t="inlineStr">
        <is>
          <t>14-C-130</t>
        </is>
      </c>
      <c r="B30" s="3" t="inlineStr">
        <is>
          <t>DROP-CABLE(LC/PC-SC/APC)</t>
        </is>
      </c>
      <c r="C30" s="2" t="inlineStr">
        <is>
          <t>15M</t>
        </is>
      </c>
      <c r="D30" s="2" t="inlineStr">
        <is>
          <t>drop</t>
        </is>
      </c>
      <c r="E30" s="2" t="inlineStr">
        <is>
          <t>3.0mm</t>
        </is>
      </c>
      <c r="F30" s="2" t="n">
        <v>1</v>
      </c>
      <c r="G30" s="2" t="n">
        <v>15</v>
      </c>
      <c r="H30" s="2" t="inlineStr">
        <is>
          <t>LC/PC</t>
        </is>
      </c>
      <c r="I30" s="2" t="inlineStr">
        <is>
          <t>SC/APC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96</v>
      </c>
      <c r="U30" s="2" t="n"/>
      <c r="V30" s="2">
        <f>SUM(J30:U30)</f>
        <v/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>
        <v>96</v>
      </c>
      <c r="AK30" s="2" t="n"/>
      <c r="AL30" s="2" t="n"/>
      <c r="AM30" s="2" t="n"/>
      <c r="AN30" s="2" t="n"/>
      <c r="AO30" s="2" t="n"/>
      <c r="AP30" s="2" t="n">
        <v>96</v>
      </c>
      <c r="AQ30" s="2" t="n"/>
      <c r="AR30" s="2" t="n"/>
      <c r="AS30" s="2" t="n"/>
      <c r="AT30" s="2" t="n"/>
      <c r="AU30" s="2" t="n"/>
      <c r="AV30" s="2">
        <f>IF(F30=1,V30*2,IF(F30=2,V30*F30*2,IF(F30&gt;2,F30*2*V30)))</f>
        <v/>
      </c>
      <c r="AW30" s="2">
        <f>SUM(W30:AU30)</f>
        <v/>
      </c>
    </row>
    <row r="31">
      <c r="A31" s="2" t="inlineStr">
        <is>
          <t>14-C-134</t>
        </is>
      </c>
      <c r="B31" s="3" t="inlineStr">
        <is>
          <t>DROP-CABLE(LC/PC)</t>
        </is>
      </c>
      <c r="C31" s="2" t="inlineStr">
        <is>
          <t>15M</t>
        </is>
      </c>
      <c r="D31" s="2" t="inlineStr">
        <is>
          <t>drop</t>
        </is>
      </c>
      <c r="E31" s="2" t="inlineStr">
        <is>
          <t>3.0mm</t>
        </is>
      </c>
      <c r="F31" s="2" t="n">
        <v>1</v>
      </c>
      <c r="G31" s="2" t="n">
        <v>15</v>
      </c>
      <c r="H31" s="2" t="inlineStr">
        <is>
          <t>LC/PC</t>
        </is>
      </c>
      <c r="I31" s="2" t="inlineStr">
        <is>
          <t>LC/PC</t>
        </is>
      </c>
      <c r="J31" s="2" t="n"/>
      <c r="K31" s="2" t="n">
        <v>150</v>
      </c>
      <c r="L31" s="2" t="n"/>
      <c r="M31" s="2" t="n">
        <v>23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</f>
        <v/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>
        <v>346</v>
      </c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>
        <f>IF(F31=1,V31*2,IF(F31=2,V31*F31*2,IF(F31&gt;2,F31*2*V31)))</f>
        <v/>
      </c>
      <c r="AW31" s="2">
        <f>SUM(W31:AU31)</f>
        <v/>
      </c>
    </row>
    <row r="32">
      <c r="A32" s="2" t="inlineStr">
        <is>
          <t>14-C-363</t>
        </is>
      </c>
      <c r="B32" s="3" t="inlineStr">
        <is>
          <t>DROP-CABLE(LC/PC)</t>
        </is>
      </c>
      <c r="C32" s="2" t="inlineStr">
        <is>
          <t>30M</t>
        </is>
      </c>
      <c r="D32" s="2" t="inlineStr">
        <is>
          <t>drop</t>
        </is>
      </c>
      <c r="E32" s="2" t="inlineStr">
        <is>
          <t>3.0mm</t>
        </is>
      </c>
      <c r="F32" s="2" t="n">
        <v>1</v>
      </c>
      <c r="G32" s="2" t="n">
        <v>30</v>
      </c>
      <c r="H32" s="2" t="inlineStr">
        <is>
          <t>LC/PC</t>
        </is>
      </c>
      <c r="I32" s="2" t="inlineStr">
        <is>
          <t>LC/PC</t>
        </is>
      </c>
      <c r="J32" s="2" t="n"/>
      <c r="K32" s="2" t="n"/>
      <c r="L32" s="2" t="n"/>
      <c r="M32" s="2" t="n"/>
      <c r="N32" s="2" t="n"/>
      <c r="O32" s="2" t="n">
        <v>50</v>
      </c>
      <c r="P32" s="2" t="n"/>
      <c r="Q32" s="2" t="n"/>
      <c r="R32" s="2" t="n"/>
      <c r="S32" s="2" t="n"/>
      <c r="T32" s="2" t="n"/>
      <c r="U32" s="2" t="n"/>
      <c r="V32" s="2">
        <f>SUM(J32:U32)</f>
        <v/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>
        <v>100</v>
      </c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>
        <f>IF(F32=1,V32*2,IF(F32=2,V32*F32*2,IF(F32&gt;2,F32*2*V32)))</f>
        <v/>
      </c>
      <c r="AW32" s="2">
        <f>SUM(W32:AU32)</f>
        <v/>
      </c>
    </row>
    <row r="33">
      <c r="A33" s="2" t="inlineStr">
        <is>
          <t>14-C-382</t>
        </is>
      </c>
      <c r="B33" s="3" t="inlineStr">
        <is>
          <t>인입광케이블 커넥터일체형(SC/APC)</t>
        </is>
      </c>
      <c r="C33" s="2" t="inlineStr">
        <is>
          <t>20M</t>
        </is>
      </c>
      <c r="D33" s="2" t="inlineStr">
        <is>
          <t>a1</t>
        </is>
      </c>
      <c r="E33" s="2" t="inlineStr">
        <is>
          <t>2.0mm</t>
        </is>
      </c>
      <c r="F33" s="2" t="n">
        <v>1</v>
      </c>
      <c r="G33" s="2" t="n">
        <v>20</v>
      </c>
      <c r="H33" s="2" t="n"/>
      <c r="I33" s="2" t="n"/>
      <c r="J33" s="2" t="n"/>
      <c r="K33" s="2" t="n"/>
      <c r="L33" s="2" t="n"/>
      <c r="M33" s="2" t="n"/>
      <c r="N33" s="2" t="n">
        <v>20</v>
      </c>
      <c r="O33" s="2" t="n">
        <v>20</v>
      </c>
      <c r="P33" s="2" t="n"/>
      <c r="Q33" s="2" t="n"/>
      <c r="R33" s="2" t="n"/>
      <c r="S33" s="2" t="n"/>
      <c r="T33" s="2" t="n">
        <v>20</v>
      </c>
      <c r="U33" s="2" t="n">
        <v>5</v>
      </c>
      <c r="V33" s="2">
        <f>SUM(J33:U33)</f>
        <v/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>
        <f>IF(F33=1,V33*2,IF(F33=2,V33*F33*2,IF(F33&gt;2,F33*2*V33)))</f>
        <v/>
      </c>
      <c r="AW33" s="2">
        <f>SUM(W33:AU33)</f>
        <v/>
      </c>
    </row>
    <row r="34">
      <c r="A34" s="2" t="inlineStr">
        <is>
          <t>14-C-383</t>
        </is>
      </c>
      <c r="B34" s="3" t="inlineStr">
        <is>
          <t>인입광케이블 커넥터일체형(SC/APC)</t>
        </is>
      </c>
      <c r="C34" s="2" t="inlineStr">
        <is>
          <t>30M</t>
        </is>
      </c>
      <c r="D34" s="2" t="inlineStr">
        <is>
          <t>a1</t>
        </is>
      </c>
      <c r="E34" s="2" t="inlineStr">
        <is>
          <t>2.0mm</t>
        </is>
      </c>
      <c r="F34" s="2" t="n">
        <v>1</v>
      </c>
      <c r="G34" s="2" t="n">
        <v>30</v>
      </c>
      <c r="H34" s="2" t="n"/>
      <c r="I34" s="2" t="n"/>
      <c r="J34" s="2" t="n"/>
      <c r="K34" s="2" t="n"/>
      <c r="L34" s="2" t="n"/>
      <c r="M34" s="2" t="n"/>
      <c r="N34" s="2" t="n">
        <v>5</v>
      </c>
      <c r="O34" s="2" t="n">
        <v>25</v>
      </c>
      <c r="P34" s="2" t="n"/>
      <c r="Q34" s="2" t="n"/>
      <c r="R34" s="2" t="n"/>
      <c r="S34" s="2" t="n">
        <v>15</v>
      </c>
      <c r="T34" s="2" t="n">
        <v>20</v>
      </c>
      <c r="U34" s="2" t="n">
        <v>10</v>
      </c>
      <c r="V34" s="2">
        <f>SUM(J34:U34)</f>
        <v/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>
        <f>IF(F34=1,V34*2,IF(F34=2,V34*F34*2,IF(F34&gt;2,F34*2*V34)))</f>
        <v/>
      </c>
      <c r="AW34" s="2">
        <f>SUM(W34:AU34)</f>
        <v/>
      </c>
    </row>
    <row r="35">
      <c r="A35" s="2" t="inlineStr">
        <is>
          <t>14-C-384</t>
        </is>
      </c>
      <c r="B35" s="3" t="inlineStr">
        <is>
          <t>인입광케이블 커넥터일체형(SC/APC)</t>
        </is>
      </c>
      <c r="C35" s="2" t="inlineStr">
        <is>
          <t>40M</t>
        </is>
      </c>
      <c r="D35" s="2" t="inlineStr">
        <is>
          <t>a1</t>
        </is>
      </c>
      <c r="E35" s="2" t="inlineStr">
        <is>
          <t>2.0mm</t>
        </is>
      </c>
      <c r="F35" s="2" t="n">
        <v>1</v>
      </c>
      <c r="G35" s="2" t="n">
        <v>40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>
        <v>10</v>
      </c>
      <c r="T35" s="2" t="n"/>
      <c r="U35" s="2" t="n"/>
      <c r="V35" s="2">
        <f>SUM(J35:U35)</f>
        <v/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>
        <f>IF(F35=1,V35*2,IF(F35=2,V35*F35*2,IF(F35&gt;2,F35*2*V35)))</f>
        <v/>
      </c>
      <c r="AW35" s="2">
        <f>SUM(W35:AU35)</f>
        <v/>
      </c>
    </row>
    <row r="36">
      <c r="A36" s="2" t="inlineStr">
        <is>
          <t>14-C-389</t>
        </is>
      </c>
      <c r="B36" s="3" t="inlineStr">
        <is>
          <t>DROP-CABLE(LC/PC-SC/PC)</t>
        </is>
      </c>
      <c r="C36" s="2" t="inlineStr">
        <is>
          <t>20M</t>
        </is>
      </c>
      <c r="D36" s="2" t="inlineStr">
        <is>
          <t>drop</t>
        </is>
      </c>
      <c r="E36" s="2" t="inlineStr">
        <is>
          <t>3.0mm</t>
        </is>
      </c>
      <c r="F36" s="2" t="n">
        <v>1</v>
      </c>
      <c r="G36" s="2" t="n">
        <v>20</v>
      </c>
      <c r="H36" s="2" t="inlineStr">
        <is>
          <t>LC/PC</t>
        </is>
      </c>
      <c r="I36" s="2" t="inlineStr">
        <is>
          <t>SC/PC</t>
        </is>
      </c>
      <c r="J36" s="2" t="n"/>
      <c r="K36" s="2" t="n"/>
      <c r="L36" s="2" t="n"/>
      <c r="M36" s="2" t="n"/>
      <c r="N36" s="2" t="n"/>
      <c r="O36" s="2" t="n">
        <v>6</v>
      </c>
      <c r="P36" s="2" t="n"/>
      <c r="Q36" s="2" t="n"/>
      <c r="R36" s="2" t="n"/>
      <c r="S36" s="2" t="n">
        <v>4</v>
      </c>
      <c r="T36" s="2" t="n"/>
      <c r="U36" s="2" t="n"/>
      <c r="V36" s="2">
        <f>SUM(J36:U36)</f>
        <v/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>
        <v>10</v>
      </c>
      <c r="AK36" s="2" t="n"/>
      <c r="AL36" s="2" t="n"/>
      <c r="AM36" s="2" t="n"/>
      <c r="AN36" s="2" t="n">
        <v>10</v>
      </c>
      <c r="AO36" s="2" t="n"/>
      <c r="AP36" s="2" t="n"/>
      <c r="AQ36" s="2" t="n"/>
      <c r="AR36" s="2" t="n"/>
      <c r="AS36" s="2" t="n"/>
      <c r="AT36" s="2" t="n"/>
      <c r="AU36" s="2" t="n"/>
      <c r="AV36" s="2">
        <f>IF(F36=1,V36*2,IF(F36=2,V36*F36*2,IF(F36&gt;2,F36*2*V36)))</f>
        <v/>
      </c>
      <c r="AW36" s="2">
        <f>SUM(W36:AU36)</f>
        <v/>
      </c>
    </row>
    <row r="37">
      <c r="A37" s="2" t="inlineStr">
        <is>
          <t>14-C-402</t>
        </is>
      </c>
      <c r="B37" s="3" t="inlineStr">
        <is>
          <t>DROP-CABLE(LC/PC)-2C</t>
        </is>
      </c>
      <c r="C37" s="2" t="inlineStr">
        <is>
          <t>30M</t>
        </is>
      </c>
      <c r="D37" s="2" t="inlineStr">
        <is>
          <t>drop</t>
        </is>
      </c>
      <c r="E37" s="2" t="inlineStr">
        <is>
          <t>3.0mm</t>
        </is>
      </c>
      <c r="F37" s="2" t="n">
        <v>2</v>
      </c>
      <c r="G37" s="2" t="n">
        <v>30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/>
      <c r="N37" s="2" t="n"/>
      <c r="O37" s="2" t="n">
        <v>1</v>
      </c>
      <c r="P37" s="2" t="n"/>
      <c r="Q37" s="2" t="n"/>
      <c r="R37" s="2" t="n"/>
      <c r="S37" s="2" t="n"/>
      <c r="T37" s="2" t="n"/>
      <c r="U37" s="2" t="n"/>
      <c r="V37" s="2">
        <f>SUM(J37:U37)</f>
        <v/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>
        <v>2</v>
      </c>
      <c r="AK37" s="2" t="n">
        <v>2</v>
      </c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>
        <f>IF(F37=1,V37*2,IF(F37=2,V37*F37*2,IF(F37&gt;2,F37*2*V37)))</f>
        <v/>
      </c>
      <c r="AW37" s="2">
        <f>SUM(W37:AU37)</f>
        <v/>
      </c>
    </row>
    <row r="38">
      <c r="A38" s="2" t="inlineStr">
        <is>
          <t>14-C-404</t>
        </is>
      </c>
      <c r="B38" s="3" t="inlineStr">
        <is>
          <t>Optical Cable Parts,LC/PC-LC/PC-Single mode-10m-2Core</t>
        </is>
      </c>
      <c r="C38" s="2" t="inlineStr">
        <is>
          <t>657A2 , LSZH</t>
        </is>
      </c>
      <c r="D38" s="2" t="inlineStr">
        <is>
          <t>a2</t>
        </is>
      </c>
      <c r="E38" s="2" t="inlineStr">
        <is>
          <t>2.0mm</t>
        </is>
      </c>
      <c r="F38" s="2" t="n">
        <v>2</v>
      </c>
      <c r="G38" s="2" t="n">
        <v>10</v>
      </c>
      <c r="H38" s="2" t="inlineStr">
        <is>
          <t>LC/PC</t>
        </is>
      </c>
      <c r="I38" s="2" t="inlineStr">
        <is>
          <t>LC/PC</t>
        </is>
      </c>
      <c r="J38" s="2" t="n">
        <v>100</v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>
        <f>SUM(J38:U38)</f>
        <v/>
      </c>
      <c r="W38" s="2" t="n">
        <v>200</v>
      </c>
      <c r="X38" s="2" t="n">
        <v>200</v>
      </c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>
        <f>IF(F38=1,V38*2,IF(F38=2,V38*F38*2,IF(F38&gt;2,F38*2*V38)))</f>
        <v/>
      </c>
      <c r="AW38" s="2">
        <f>SUM(W38:AU38)</f>
        <v/>
      </c>
    </row>
    <row r="39">
      <c r="A39" s="2" t="inlineStr">
        <is>
          <t>14-C-408</t>
        </is>
      </c>
      <c r="B39" s="3" t="inlineStr">
        <is>
          <t>Optical Cable Parts,LC/PC-LC/PC-Single mode-50m-2Core</t>
        </is>
      </c>
      <c r="C39" s="2" t="inlineStr">
        <is>
          <t>657A2 , LSZH</t>
        </is>
      </c>
      <c r="D39" s="2" t="inlineStr">
        <is>
          <t>a2</t>
        </is>
      </c>
      <c r="E39" s="2" t="inlineStr">
        <is>
          <t>2.0mm</t>
        </is>
      </c>
      <c r="F39" s="2" t="n">
        <v>2</v>
      </c>
      <c r="G39" s="2" t="n">
        <v>50</v>
      </c>
      <c r="H39" s="2" t="inlineStr">
        <is>
          <t>LC/PC</t>
        </is>
      </c>
      <c r="I39" s="2" t="inlineStr">
        <is>
          <t>LC/PC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>
        <v>2</v>
      </c>
      <c r="V39" s="2">
        <f>SUM(J39:U39)</f>
        <v/>
      </c>
      <c r="W39" s="2" t="n">
        <v>4</v>
      </c>
      <c r="X39" s="2" t="n">
        <v>4</v>
      </c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>
        <f>IF(F39=1,V39*2,IF(F39=2,V39*F39*2,IF(F39&gt;2,F39*2*V39)))</f>
        <v/>
      </c>
      <c r="AW39" s="2">
        <f>SUM(W39:AU39)</f>
        <v/>
      </c>
    </row>
    <row r="40">
      <c r="A40" s="2" t="inlineStr">
        <is>
          <t>14-C-419</t>
        </is>
      </c>
      <c r="B40" s="3" t="inlineStr">
        <is>
          <t>Optical Cable Parts,LC/PC-LC/PC-Single mode-4m-2Core</t>
        </is>
      </c>
      <c r="C40" s="2" t="inlineStr">
        <is>
          <t>657A2 , LSZH</t>
        </is>
      </c>
      <c r="D40" s="2" t="inlineStr">
        <is>
          <t>a2</t>
        </is>
      </c>
      <c r="E40" s="2" t="inlineStr">
        <is>
          <t>2.0mm</t>
        </is>
      </c>
      <c r="F40" s="2" t="n">
        <v>2</v>
      </c>
      <c r="G40" s="2" t="n">
        <v>4</v>
      </c>
      <c r="H40" s="2" t="inlineStr">
        <is>
          <t>LC/PC</t>
        </is>
      </c>
      <c r="I40" s="2" t="inlineStr">
        <is>
          <t>LC/PC</t>
        </is>
      </c>
      <c r="J40" s="2" t="n"/>
      <c r="K40" s="2" t="n"/>
      <c r="L40" s="2" t="n">
        <v>100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>
        <f>SUM(J40:U40)</f>
        <v/>
      </c>
      <c r="W40" s="2" t="n">
        <v>200</v>
      </c>
      <c r="X40" s="2" t="n">
        <v>200</v>
      </c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>
        <f>IF(F40=1,V40*2,IF(F40=2,V40*F40*2,IF(F40&gt;2,F40*2*V40)))</f>
        <v/>
      </c>
      <c r="AW40" s="2">
        <f>SUM(W40:AU40)</f>
        <v/>
      </c>
    </row>
    <row r="41">
      <c r="A41" s="2" t="inlineStr">
        <is>
          <t>14-C-420</t>
        </is>
      </c>
      <c r="B41" s="3" t="inlineStr">
        <is>
          <t>Optical Cable Parts,LC/PC-LC/PC-Single mode-5m-2Core</t>
        </is>
      </c>
      <c r="C41" s="2" t="inlineStr">
        <is>
          <t>657A2 , LSZH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5</v>
      </c>
      <c r="H41" s="2" t="inlineStr">
        <is>
          <t>LC/PC</t>
        </is>
      </c>
      <c r="I41" s="2" t="inlineStr">
        <is>
          <t>LC/PC</t>
        </is>
      </c>
      <c r="J41" s="2" t="n">
        <v>100</v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>
        <f>SUM(J41:U41)</f>
        <v/>
      </c>
      <c r="W41" s="2" t="n">
        <v>200</v>
      </c>
      <c r="X41" s="2" t="n">
        <v>200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>
        <f>IF(F41=1,V41*2,IF(F41=2,V41*F41*2,IF(F41&gt;2,F41*2*V41)))</f>
        <v/>
      </c>
      <c r="AW41" s="2">
        <f>SUM(W41:AU41)</f>
        <v/>
      </c>
    </row>
    <row r="42">
      <c r="A42" s="2" t="inlineStr">
        <is>
          <t>14-C-425</t>
        </is>
      </c>
      <c r="B42" s="3" t="inlineStr">
        <is>
          <t>DROP-CABLE(LC/PC-SC/APC)</t>
        </is>
      </c>
      <c r="C42" s="2" t="inlineStr">
        <is>
          <t>7M</t>
        </is>
      </c>
      <c r="D42" s="2" t="inlineStr">
        <is>
          <t>drop</t>
        </is>
      </c>
      <c r="E42" s="2" t="inlineStr">
        <is>
          <t>3.0mm</t>
        </is>
      </c>
      <c r="F42" s="2" t="n">
        <v>1</v>
      </c>
      <c r="G42" s="2" t="n">
        <v>7</v>
      </c>
      <c r="H42" s="2" t="inlineStr">
        <is>
          <t>LC/PC</t>
        </is>
      </c>
      <c r="I42" s="2" t="inlineStr">
        <is>
          <t>SC/APC</t>
        </is>
      </c>
      <c r="J42" s="2" t="n"/>
      <c r="K42" s="2" t="n"/>
      <c r="L42" s="2" t="n"/>
      <c r="M42" s="2" t="n"/>
      <c r="N42" s="2" t="n"/>
      <c r="O42" s="2" t="n"/>
      <c r="P42" s="2" t="n">
        <v>5</v>
      </c>
      <c r="Q42" s="2" t="n"/>
      <c r="R42" s="2" t="n"/>
      <c r="S42" s="2" t="n"/>
      <c r="T42" s="2" t="n"/>
      <c r="U42" s="2" t="n"/>
      <c r="V42" s="2">
        <f>SUM(J42:U42)</f>
        <v/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>
        <v>5</v>
      </c>
      <c r="AK42" s="2" t="n"/>
      <c r="AL42" s="2" t="n"/>
      <c r="AM42" s="2" t="n"/>
      <c r="AN42" s="2" t="n"/>
      <c r="AO42" s="2" t="n"/>
      <c r="AP42" s="2" t="n">
        <v>5</v>
      </c>
      <c r="AQ42" s="2" t="n"/>
      <c r="AR42" s="2" t="n"/>
      <c r="AS42" s="2" t="n"/>
      <c r="AT42" s="2" t="n"/>
      <c r="AU42" s="2" t="n"/>
      <c r="AV42" s="2">
        <f>IF(F42=1,V42*2,IF(F42=2,V42*F42*2,IF(F42&gt;2,F42*2*V42)))</f>
        <v/>
      </c>
      <c r="AW42" s="2">
        <f>SUM(W42:AU42)</f>
        <v/>
      </c>
    </row>
    <row r="43">
      <c r="A43" s="2" t="inlineStr">
        <is>
          <t>14-C-426</t>
        </is>
      </c>
      <c r="B43" s="3" t="inlineStr">
        <is>
          <t>DROP-CABLE(LC/PC-SC/PC)</t>
        </is>
      </c>
      <c r="C43" s="2" t="inlineStr">
        <is>
          <t>40M</t>
        </is>
      </c>
      <c r="D43" s="2" t="inlineStr">
        <is>
          <t>drop</t>
        </is>
      </c>
      <c r="E43" s="2" t="inlineStr">
        <is>
          <t>3.0mm</t>
        </is>
      </c>
      <c r="F43" s="2" t="n">
        <v>1</v>
      </c>
      <c r="G43" s="2" t="n">
        <v>40</v>
      </c>
      <c r="H43" s="2" t="inlineStr">
        <is>
          <t>LC/PC</t>
        </is>
      </c>
      <c r="I43" s="2" t="inlineStr">
        <is>
          <t>SC/PC</t>
        </is>
      </c>
      <c r="J43" s="2" t="n"/>
      <c r="K43" s="2" t="n"/>
      <c r="L43" s="2" t="n"/>
      <c r="M43" s="2" t="n"/>
      <c r="N43" s="2" t="n"/>
      <c r="O43" s="2" t="n">
        <v>6</v>
      </c>
      <c r="P43" s="2" t="n"/>
      <c r="Q43" s="2" t="n"/>
      <c r="R43" s="2" t="n"/>
      <c r="S43" s="2" t="n">
        <v>5</v>
      </c>
      <c r="T43" s="2" t="n"/>
      <c r="U43" s="2" t="n"/>
      <c r="V43" s="2">
        <f>SUM(J43:U43)</f>
        <v/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>
        <v>11</v>
      </c>
      <c r="AK43" s="2" t="n"/>
      <c r="AL43" s="2" t="n"/>
      <c r="AM43" s="2" t="n"/>
      <c r="AN43" s="2" t="n">
        <v>11</v>
      </c>
      <c r="AO43" s="2" t="n"/>
      <c r="AP43" s="2" t="n"/>
      <c r="AQ43" s="2" t="n"/>
      <c r="AR43" s="2" t="n"/>
      <c r="AS43" s="2" t="n"/>
      <c r="AT43" s="2" t="n"/>
      <c r="AU43" s="2" t="n"/>
      <c r="AV43" s="2">
        <f>IF(F43=1,V43*2,IF(F43=2,V43*F43*2,IF(F43&gt;2,F43*2*V43)))</f>
        <v/>
      </c>
      <c r="AW43" s="2">
        <f>SUM(W43:AU43)</f>
        <v/>
      </c>
    </row>
    <row r="44">
      <c r="A44" s="2" t="inlineStr">
        <is>
          <t>14-C-439</t>
        </is>
      </c>
      <c r="B44" s="3" t="inlineStr">
        <is>
          <t>Optical Cable Parts,LC/PC-LC/PC-Single mode-3m-2Core</t>
        </is>
      </c>
      <c r="C44" s="2" t="inlineStr">
        <is>
          <t>657A2 , LSZH , LC DUPLEX KIT(CLIP), 95MM/ 500MM</t>
        </is>
      </c>
      <c r="D44" s="2" t="inlineStr">
        <is>
          <t>a2</t>
        </is>
      </c>
      <c r="E44" s="2" t="inlineStr">
        <is>
          <t>2.0mm</t>
        </is>
      </c>
      <c r="F44" s="2" t="n">
        <v>2</v>
      </c>
      <c r="G44" s="2" t="n">
        <v>3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30</v>
      </c>
      <c r="T44" s="2" t="n"/>
      <c r="U44" s="2" t="n"/>
      <c r="V44" s="2">
        <f>SUM(J44:U44)</f>
        <v/>
      </c>
      <c r="W44" s="2" t="n">
        <v>60</v>
      </c>
      <c r="X44" s="2" t="n">
        <v>60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>
        <f>IF(F44=1,V44*2,IF(F44=2,V44*F44*2,IF(F44&gt;2,F44*2*V44)))</f>
        <v/>
      </c>
      <c r="AW44" s="2">
        <f>SUM(W44:AU44)</f>
        <v/>
      </c>
    </row>
    <row r="45">
      <c r="A45" s="2" t="inlineStr">
        <is>
          <t>14-C-440</t>
        </is>
      </c>
      <c r="B45" s="3" t="inlineStr">
        <is>
          <t>Optical Cable Parts,LC/PC-LC/PC-Single mode-10m-2Core</t>
        </is>
      </c>
      <c r="C45" s="2" t="inlineStr">
        <is>
          <t>657A2 , LSZH , LC DUPLEX KIT(CLIP), 95MM/ 500MM</t>
        </is>
      </c>
      <c r="D45" s="2" t="inlineStr">
        <is>
          <t>a2</t>
        </is>
      </c>
      <c r="E45" s="2" t="inlineStr">
        <is>
          <t>2.0mm</t>
        </is>
      </c>
      <c r="F45" s="2" t="n">
        <v>2</v>
      </c>
      <c r="G45" s="2" t="n">
        <v>10</v>
      </c>
      <c r="H45" s="2" t="inlineStr">
        <is>
          <t>LC/PC</t>
        </is>
      </c>
      <c r="I45" s="2" t="inlineStr">
        <is>
          <t>LC/PC</t>
        </is>
      </c>
      <c r="J45" s="2" t="n"/>
      <c r="K45" s="2" t="n">
        <v>210</v>
      </c>
      <c r="L45" s="2" t="n"/>
      <c r="M45" s="2" t="n"/>
      <c r="N45" s="2" t="n"/>
      <c r="O45" s="2" t="n"/>
      <c r="P45" s="2" t="n"/>
      <c r="Q45" s="2" t="n">
        <v>33</v>
      </c>
      <c r="R45" s="2" t="n"/>
      <c r="S45" s="2" t="n">
        <v>51</v>
      </c>
      <c r="T45" s="2" t="n"/>
      <c r="U45" s="2" t="n">
        <v>2</v>
      </c>
      <c r="V45" s="2">
        <f>SUM(J45:U45)</f>
        <v/>
      </c>
      <c r="W45" s="2" t="n">
        <v>592</v>
      </c>
      <c r="X45" s="2" t="n">
        <v>592</v>
      </c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>
        <f>IF(F45=1,V45*2,IF(F45=2,V45*F45*2,IF(F45&gt;2,F45*2*V45)))</f>
        <v/>
      </c>
      <c r="AW45" s="2">
        <f>SUM(W45:AU45)</f>
        <v/>
      </c>
    </row>
    <row r="46">
      <c r="A46" s="2" t="inlineStr">
        <is>
          <t>14-C-466</t>
        </is>
      </c>
      <c r="B46" s="3" t="inlineStr">
        <is>
          <t>Optical Cable Parts,LC/PC-LC/PC-Single mode-5m-2Core</t>
        </is>
      </c>
      <c r="C46" s="2" t="inlineStr">
        <is>
          <t>657A2 , LSZH , LC DUPLEX KIT(CLIP), 95MM/ 500MM</t>
        </is>
      </c>
      <c r="D46" s="2" t="inlineStr">
        <is>
          <t>a2</t>
        </is>
      </c>
      <c r="E46" s="2" t="inlineStr">
        <is>
          <t>2.0mm</t>
        </is>
      </c>
      <c r="F46" s="2" t="n">
        <v>2</v>
      </c>
      <c r="G46" s="2" t="n">
        <v>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/>
      <c r="M46" s="2" t="n"/>
      <c r="N46" s="2" t="n">
        <v>100</v>
      </c>
      <c r="O46" s="2" t="n"/>
      <c r="P46" s="2" t="n"/>
      <c r="Q46" s="2" t="n">
        <v>50</v>
      </c>
      <c r="R46" s="2" t="n"/>
      <c r="S46" s="2" t="n">
        <v>20</v>
      </c>
      <c r="T46" s="2" t="n"/>
      <c r="U46" s="2" t="n"/>
      <c r="V46" s="2">
        <f>SUM(J46:U46)</f>
        <v/>
      </c>
      <c r="W46" s="2" t="n">
        <v>340</v>
      </c>
      <c r="X46" s="2" t="n">
        <v>340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>
        <f>IF(F46=1,V46*2,IF(F46=2,V46*F46*2,IF(F46&gt;2,F46*2*V46)))</f>
        <v/>
      </c>
      <c r="AW46" s="2">
        <f>SUM(W46:AU46)</f>
        <v/>
      </c>
    </row>
    <row r="47">
      <c r="A47" s="2" t="inlineStr">
        <is>
          <t>14-C-486</t>
        </is>
      </c>
      <c r="B47" s="3" t="inlineStr">
        <is>
          <t>DROP-CABLE(LC/APC)-2C</t>
        </is>
      </c>
      <c r="C47" s="2" t="inlineStr">
        <is>
          <t>5M / 분기부:30cm</t>
        </is>
      </c>
      <c r="D47" s="2" t="inlineStr">
        <is>
          <t>drop</t>
        </is>
      </c>
      <c r="E47" s="2" t="inlineStr">
        <is>
          <t>3.0mm</t>
        </is>
      </c>
      <c r="F47" s="2" t="n">
        <v>2</v>
      </c>
      <c r="G47" s="2" t="n">
        <v>5</v>
      </c>
      <c r="H47" s="2" t="inlineStr">
        <is>
          <t>LC/APC</t>
        </is>
      </c>
      <c r="I47" s="2" t="inlineStr">
        <is>
          <t>LC/APC</t>
        </is>
      </c>
      <c r="J47" s="2" t="n"/>
      <c r="K47" s="2" t="n"/>
      <c r="L47" s="2" t="n">
        <v>20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>
        <f>SUM(J47:U47)</f>
        <v/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>
        <v>40</v>
      </c>
      <c r="AM47" s="2" t="n">
        <v>40</v>
      </c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>
        <f>IF(F47=1,V47*2,IF(F47=2,V47*F47*2,IF(F47&gt;2,F47*2*V47)))</f>
        <v/>
      </c>
      <c r="AW47" s="2">
        <f>SUM(W47:AU47)</f>
        <v/>
      </c>
    </row>
    <row r="48">
      <c r="A48" s="2" t="inlineStr">
        <is>
          <t>14-C-489</t>
        </is>
      </c>
      <c r="B48" s="3" t="inlineStr">
        <is>
          <t>DROP-CABLE(LC/APC)-2C</t>
        </is>
      </c>
      <c r="C48" s="2" t="inlineStr">
        <is>
          <t>10M / 분기부:30cm</t>
        </is>
      </c>
      <c r="D48" s="2" t="inlineStr">
        <is>
          <t>drop</t>
        </is>
      </c>
      <c r="E48" s="2" t="inlineStr">
        <is>
          <t>3.0mm</t>
        </is>
      </c>
      <c r="F48" s="2" t="n">
        <v>2</v>
      </c>
      <c r="G48" s="2" t="n">
        <v>10</v>
      </c>
      <c r="H48" s="2" t="inlineStr">
        <is>
          <t>LC/APC</t>
        </is>
      </c>
      <c r="I48" s="2" t="inlineStr">
        <is>
          <t>LC/APC</t>
        </is>
      </c>
      <c r="J48" s="2" t="n"/>
      <c r="K48" s="2" t="n"/>
      <c r="L48" s="2" t="n"/>
      <c r="M48" s="2" t="n"/>
      <c r="N48" s="2" t="n"/>
      <c r="O48" s="2" t="n"/>
      <c r="P48" s="2" t="n">
        <v>3</v>
      </c>
      <c r="Q48" s="2" t="n"/>
      <c r="R48" s="2" t="n"/>
      <c r="S48" s="2" t="n"/>
      <c r="T48" s="2" t="n"/>
      <c r="U48" s="2" t="n"/>
      <c r="V48" s="2">
        <f>SUM(J48:U48)</f>
        <v/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>
        <v>6</v>
      </c>
      <c r="AM48" s="2" t="n">
        <v>6</v>
      </c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>
        <f>IF(F48=1,V48*2,IF(F48=2,V48*F48*2,IF(F48&gt;2,F48*2*V48)))</f>
        <v/>
      </c>
      <c r="AW48" s="2">
        <f>SUM(W48:AU48)</f>
        <v/>
      </c>
    </row>
    <row r="49">
      <c r="A49" s="2" t="inlineStr">
        <is>
          <t>14-C-491</t>
        </is>
      </c>
      <c r="B49" s="3" t="inlineStr">
        <is>
          <t>Optical Cable Parts,LC/PC-LC/PC-Single mode-40m-2Core</t>
        </is>
      </c>
      <c r="C49" s="2" t="inlineStr">
        <is>
          <t>657A2 , LSZH , LC DUPLEX KIT(CLIP),95MM/ 500MM</t>
        </is>
      </c>
      <c r="D49" s="2" t="inlineStr">
        <is>
          <t>a2</t>
        </is>
      </c>
      <c r="E49" s="2" t="inlineStr">
        <is>
          <t>2.0mm</t>
        </is>
      </c>
      <c r="F49" s="2" t="n">
        <v>2</v>
      </c>
      <c r="G49" s="2" t="n">
        <v>40</v>
      </c>
      <c r="H49" s="2" t="inlineStr">
        <is>
          <t>LC/PC</t>
        </is>
      </c>
      <c r="I49" s="2" t="inlineStr">
        <is>
          <t>LC/PC</t>
        </is>
      </c>
      <c r="J49" s="2" t="n"/>
      <c r="K49" s="2" t="n">
        <v>20</v>
      </c>
      <c r="L49" s="2" t="n">
        <v>60</v>
      </c>
      <c r="M49" s="2" t="n">
        <v>50</v>
      </c>
      <c r="N49" s="2" t="n"/>
      <c r="O49" s="2" t="n"/>
      <c r="P49" s="2" t="n"/>
      <c r="Q49" s="2" t="n">
        <v>20</v>
      </c>
      <c r="R49" s="2" t="n">
        <v>20</v>
      </c>
      <c r="S49" s="2" t="n"/>
      <c r="T49" s="2" t="n"/>
      <c r="U49" s="2" t="n">
        <v>30</v>
      </c>
      <c r="V49" s="2">
        <f>SUM(J49:U49)</f>
        <v/>
      </c>
      <c r="W49" s="2" t="n">
        <v>400</v>
      </c>
      <c r="X49" s="2" t="n">
        <v>400</v>
      </c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>
        <f>IF(F49=1,V49*2,IF(F49=2,V49*F49*2,IF(F49&gt;2,F49*2*V49)))</f>
        <v/>
      </c>
      <c r="AW49" s="2">
        <f>SUM(W49:AU49)</f>
        <v/>
      </c>
    </row>
    <row r="50">
      <c r="A50" s="2" t="inlineStr">
        <is>
          <t>14-C-492</t>
        </is>
      </c>
      <c r="B50" s="3" t="inlineStr">
        <is>
          <t>Optical Cable Parts,LC/PC-LC/PC-Single mode-50m-2Core</t>
        </is>
      </c>
      <c r="C50" s="2" t="inlineStr">
        <is>
          <t>657A2 , LSZH , LC DUPLEX KIT(CLIP),95MM/ 500MM</t>
        </is>
      </c>
      <c r="D50" s="2" t="inlineStr">
        <is>
          <t>a2</t>
        </is>
      </c>
      <c r="E50" s="2" t="inlineStr">
        <is>
          <t>2.0mm</t>
        </is>
      </c>
      <c r="F50" s="2" t="n">
        <v>2</v>
      </c>
      <c r="G50" s="2" t="n">
        <v>50</v>
      </c>
      <c r="H50" s="2" t="inlineStr">
        <is>
          <t>LC/PC</t>
        </is>
      </c>
      <c r="I50" s="2" t="inlineStr">
        <is>
          <t>LC/PC</t>
        </is>
      </c>
      <c r="J50" s="2" t="n"/>
      <c r="K50" s="2" t="n"/>
      <c r="L50" s="2" t="n">
        <v>20</v>
      </c>
      <c r="M50" s="2" t="n"/>
      <c r="N50" s="2" t="n">
        <v>10</v>
      </c>
      <c r="O50" s="2" t="n"/>
      <c r="P50" s="2" t="n">
        <v>30</v>
      </c>
      <c r="Q50" s="2" t="n">
        <v>20</v>
      </c>
      <c r="R50" s="2" t="n"/>
      <c r="S50" s="2" t="n"/>
      <c r="T50" s="2" t="n"/>
      <c r="U50" s="2" t="n">
        <v>30</v>
      </c>
      <c r="V50" s="2">
        <f>SUM(J50:U50)</f>
        <v/>
      </c>
      <c r="W50" s="2" t="n">
        <v>220</v>
      </c>
      <c r="X50" s="2" t="n">
        <v>220</v>
      </c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>
        <f>IF(F50=1,V50*2,IF(F50=2,V50*F50*2,IF(F50&gt;2,F50*2*V50)))</f>
        <v/>
      </c>
      <c r="AW50" s="2">
        <f>SUM(W50:AU50)</f>
        <v/>
      </c>
    </row>
    <row r="51">
      <c r="A51" s="2" t="inlineStr">
        <is>
          <t>14-C-493</t>
        </is>
      </c>
      <c r="B51" s="3" t="inlineStr">
        <is>
          <t>Optical Cable Parts,LC/PC-LC/PC-Single mode-60m-2Core</t>
        </is>
      </c>
      <c r="C51" s="2" t="inlineStr">
        <is>
          <t>657A2 , LSZH , LC DUPLEX KIT(CLIP),95MM/ 500MM</t>
        </is>
      </c>
      <c r="D51" s="2" t="inlineStr">
        <is>
          <t>a2</t>
        </is>
      </c>
      <c r="E51" s="2" t="inlineStr">
        <is>
          <t>2.0mm</t>
        </is>
      </c>
      <c r="F51" s="2" t="n">
        <v>2</v>
      </c>
      <c r="G51" s="2" t="n">
        <v>60</v>
      </c>
      <c r="H51" s="2" t="inlineStr">
        <is>
          <t>LC/PC</t>
        </is>
      </c>
      <c r="I51" s="2" t="inlineStr">
        <is>
          <t>LC/PC</t>
        </is>
      </c>
      <c r="J51" s="2" t="n"/>
      <c r="K51" s="2" t="n"/>
      <c r="L51" s="2" t="n"/>
      <c r="M51" s="2" t="n"/>
      <c r="N51" s="2" t="n">
        <v>10</v>
      </c>
      <c r="O51" s="2" t="n"/>
      <c r="P51" s="2" t="n"/>
      <c r="Q51" s="2" t="n"/>
      <c r="R51" s="2" t="n"/>
      <c r="S51" s="2" t="n"/>
      <c r="T51" s="2" t="n"/>
      <c r="U51" s="2" t="n"/>
      <c r="V51" s="2">
        <f>SUM(J51:U51)</f>
        <v/>
      </c>
      <c r="W51" s="2" t="n">
        <v>20</v>
      </c>
      <c r="X51" s="2" t="n">
        <v>20</v>
      </c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>
        <f>IF(F51=1,V51*2,IF(F51=2,V51*F51*2,IF(F51&gt;2,F51*2*V51)))</f>
        <v/>
      </c>
      <c r="AW51" s="2">
        <f>SUM(W51:AU51)</f>
        <v/>
      </c>
    </row>
    <row r="52">
      <c r="A52" s="2" t="inlineStr">
        <is>
          <t>14-C-496</t>
        </is>
      </c>
      <c r="B52" s="3" t="inlineStr">
        <is>
          <t>DROP-CABLE(LC/PC)-2C</t>
        </is>
      </c>
      <c r="C52" s="2" t="inlineStr">
        <is>
          <t>10M</t>
        </is>
      </c>
      <c r="D52" s="2" t="inlineStr">
        <is>
          <t>drop</t>
        </is>
      </c>
      <c r="E52" s="2" t="inlineStr">
        <is>
          <t>3.0mm</t>
        </is>
      </c>
      <c r="F52" s="2" t="n">
        <v>2</v>
      </c>
      <c r="G52" s="2" t="n">
        <v>10</v>
      </c>
      <c r="H52" s="2" t="inlineStr">
        <is>
          <t>LC/PC</t>
        </is>
      </c>
      <c r="I52" s="2" t="inlineStr">
        <is>
          <t>LC/PC</t>
        </is>
      </c>
      <c r="J52" s="2" t="n"/>
      <c r="K52" s="2" t="n"/>
      <c r="L52" s="2" t="n"/>
      <c r="M52" s="2" t="n">
        <v>100</v>
      </c>
      <c r="N52" s="2" t="n"/>
      <c r="O52" s="2" t="n"/>
      <c r="P52" s="2" t="n"/>
      <c r="Q52" s="2" t="n"/>
      <c r="R52" s="2" t="n"/>
      <c r="S52" s="2" t="n"/>
      <c r="T52" s="2" t="n"/>
      <c r="U52" s="2" t="n">
        <v>18</v>
      </c>
      <c r="V52" s="2">
        <f>SUM(J52:U52)</f>
        <v/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>
        <v>236</v>
      </c>
      <c r="AK52" s="2" t="n">
        <v>236</v>
      </c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>
        <f>IF(F52=1,V52*2,IF(F52=2,V52*F52*2,IF(F52&gt;2,F52*2*V52)))</f>
        <v/>
      </c>
      <c r="AW52" s="2">
        <f>SUM(W52:AU52)</f>
        <v/>
      </c>
    </row>
    <row r="53">
      <c r="A53" s="2" t="inlineStr">
        <is>
          <t>14-C-497</t>
        </is>
      </c>
      <c r="B53" s="3" t="inlineStr">
        <is>
          <t>DROP-CABLE(LC/PC)-2C</t>
        </is>
      </c>
      <c r="C53" s="2" t="inlineStr">
        <is>
          <t>4M</t>
        </is>
      </c>
      <c r="D53" s="2" t="inlineStr">
        <is>
          <t>drop</t>
        </is>
      </c>
      <c r="E53" s="2" t="inlineStr">
        <is>
          <t>3.0mm</t>
        </is>
      </c>
      <c r="F53" s="2" t="n">
        <v>2</v>
      </c>
      <c r="G53" s="2" t="n">
        <v>4</v>
      </c>
      <c r="H53" s="2" t="inlineStr">
        <is>
          <t>LC/PC</t>
        </is>
      </c>
      <c r="I53" s="2" t="inlineStr">
        <is>
          <t>LC/PC</t>
        </is>
      </c>
      <c r="J53" s="2" t="n"/>
      <c r="K53" s="2" t="n"/>
      <c r="L53" s="2" t="n"/>
      <c r="M53" s="2" t="n"/>
      <c r="N53" s="2" t="n"/>
      <c r="O53" s="2" t="n"/>
      <c r="P53" s="2" t="n"/>
      <c r="Q53" s="2" t="n">
        <v>100</v>
      </c>
      <c r="R53" s="2" t="n"/>
      <c r="S53" s="2" t="n"/>
      <c r="T53" s="2" t="n"/>
      <c r="U53" s="2" t="n"/>
      <c r="V53" s="2">
        <f>SUM(J53:U53)</f>
        <v/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>
        <v>200</v>
      </c>
      <c r="AK53" s="2" t="n">
        <v>200</v>
      </c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>
        <f>IF(F53=1,V53*2,IF(F53=2,V53*F53*2,IF(F53&gt;2,F53*2*V53)))</f>
        <v/>
      </c>
      <c r="AW53" s="2">
        <f>SUM(W53:AU53)</f>
        <v/>
      </c>
    </row>
    <row r="54">
      <c r="A54" s="2" t="inlineStr">
        <is>
          <t>14-C-529</t>
        </is>
      </c>
      <c r="B54" s="3" t="inlineStr">
        <is>
          <t>DROP-CABLE(LC/PC)</t>
        </is>
      </c>
      <c r="C54" s="2" t="inlineStr">
        <is>
          <t>4M</t>
        </is>
      </c>
      <c r="D54" s="2" t="inlineStr">
        <is>
          <t>drop</t>
        </is>
      </c>
      <c r="E54" s="2" t="inlineStr">
        <is>
          <t>3.0mm</t>
        </is>
      </c>
      <c r="F54" s="2" t="n">
        <v>1</v>
      </c>
      <c r="G54" s="2" t="n">
        <v>4</v>
      </c>
      <c r="H54" s="2" t="inlineStr">
        <is>
          <t>LC/PC</t>
        </is>
      </c>
      <c r="I54" s="2" t="inlineStr">
        <is>
          <t>LC/PC</t>
        </is>
      </c>
      <c r="J54" s="2" t="n"/>
      <c r="K54" s="2" t="n">
        <v>1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</f>
        <v/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>
        <v>2</v>
      </c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>
        <f>IF(F54=1,V54*2,IF(F54=2,V54*F54*2,IF(F54&gt;2,F54*2*V54)))</f>
        <v/>
      </c>
      <c r="AW54" s="2">
        <f>SUM(W54:AU54)</f>
        <v/>
      </c>
    </row>
    <row r="55">
      <c r="A55" s="2" t="inlineStr">
        <is>
          <t>14-C-552</t>
        </is>
      </c>
      <c r="B55" s="3" t="inlineStr">
        <is>
          <t>Optical Cable Parts,LC/PC-LC/PC-Single mode-10m-2Core</t>
        </is>
      </c>
      <c r="C55" s="2" t="inlineStr">
        <is>
          <t>657A2 , LSZH , LC DUPLEX KIT(CLIP), 0MM/ 300MM</t>
        </is>
      </c>
      <c r="D55" s="2" t="inlineStr">
        <is>
          <t>a2</t>
        </is>
      </c>
      <c r="E55" s="2" t="inlineStr">
        <is>
          <t>2.0mm</t>
        </is>
      </c>
      <c r="F55" s="2" t="n">
        <v>2</v>
      </c>
      <c r="G55" s="2" t="n">
        <v>10</v>
      </c>
      <c r="H55" s="2" t="inlineStr">
        <is>
          <t>LC/PC</t>
        </is>
      </c>
      <c r="I55" s="2" t="inlineStr">
        <is>
          <t>LC/PC</t>
        </is>
      </c>
      <c r="J55" s="2" t="n"/>
      <c r="K55" s="2" t="n"/>
      <c r="L55" s="2" t="n">
        <v>100</v>
      </c>
      <c r="M55" s="2" t="n"/>
      <c r="N55" s="2" t="n"/>
      <c r="O55" s="2" t="n"/>
      <c r="P55" s="2" t="n"/>
      <c r="Q55" s="2" t="n"/>
      <c r="R55" s="2" t="n"/>
      <c r="S55" s="2" t="n"/>
      <c r="T55" s="2" t="n">
        <v>50</v>
      </c>
      <c r="U55" s="2" t="n"/>
      <c r="V55" s="2">
        <f>SUM(J55:U55)</f>
        <v/>
      </c>
      <c r="W55" s="2" t="n">
        <v>300</v>
      </c>
      <c r="X55" s="2" t="n">
        <v>300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>
        <f>IF(F55=1,V55*2,IF(F55=2,V55*F55*2,IF(F55&gt;2,F55*2*V55)))</f>
        <v/>
      </c>
      <c r="AW55" s="2">
        <f>SUM(W55:AU55)</f>
        <v/>
      </c>
    </row>
    <row r="56">
      <c r="A56" s="2" t="inlineStr">
        <is>
          <t>14-C-553</t>
        </is>
      </c>
      <c r="B56" s="3" t="inlineStr">
        <is>
          <t>Optical Cable Parts,LC/PC-LC/PC-Single mode-15m-2Core</t>
        </is>
      </c>
      <c r="C56" s="2" t="inlineStr">
        <is>
          <t>657A2 , LSZH , LC DUPLEX KIT(CLIP), 0MM/ 300MM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15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>
        <v>100</v>
      </c>
      <c r="M56" s="2" t="n"/>
      <c r="N56" s="2" t="n">
        <v>50</v>
      </c>
      <c r="O56" s="2" t="n"/>
      <c r="P56" s="2" t="n"/>
      <c r="Q56" s="2" t="n"/>
      <c r="R56" s="2" t="n"/>
      <c r="S56" s="2" t="n"/>
      <c r="T56" s="2" t="n"/>
      <c r="U56" s="2" t="n"/>
      <c r="V56" s="2">
        <f>SUM(J56:U56)</f>
        <v/>
      </c>
      <c r="W56" s="2" t="n">
        <v>300</v>
      </c>
      <c r="X56" s="2" t="n">
        <v>300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>
        <f>IF(F56=1,V56*2,IF(F56=2,V56*F56*2,IF(F56&gt;2,F56*2*V56)))</f>
        <v/>
      </c>
      <c r="AW56" s="2">
        <f>SUM(W56:AU56)</f>
        <v/>
      </c>
    </row>
    <row r="57">
      <c r="A57" s="2" t="inlineStr">
        <is>
          <t>14-C-554</t>
        </is>
      </c>
      <c r="B57" s="3" t="inlineStr">
        <is>
          <t>Optical Cable Parts,LC/PC-LC/PC-Single mode-20m-2Core</t>
        </is>
      </c>
      <c r="C57" s="2" t="inlineStr">
        <is>
          <t>657A2 , LSZH , LC DUPLEX KIT(CLIP), 0MM/ 300MM</t>
        </is>
      </c>
      <c r="D57" s="2" t="inlineStr">
        <is>
          <t>a2</t>
        </is>
      </c>
      <c r="E57" s="2" t="inlineStr">
        <is>
          <t>2.0mm</t>
        </is>
      </c>
      <c r="F57" s="2" t="n">
        <v>2</v>
      </c>
      <c r="G57" s="2" t="n">
        <v>20</v>
      </c>
      <c r="H57" s="2" t="inlineStr">
        <is>
          <t>LC/PC</t>
        </is>
      </c>
      <c r="I57" s="2" t="inlineStr">
        <is>
          <t>LC/PC</t>
        </is>
      </c>
      <c r="J57" s="2" t="n"/>
      <c r="K57" s="2" t="n"/>
      <c r="L57" s="2" t="n">
        <v>100</v>
      </c>
      <c r="M57" s="2" t="n">
        <v>50</v>
      </c>
      <c r="N57" s="2" t="n">
        <v>50</v>
      </c>
      <c r="O57" s="2" t="n"/>
      <c r="P57" s="2" t="n"/>
      <c r="Q57" s="2" t="n"/>
      <c r="R57" s="2" t="n"/>
      <c r="S57" s="2" t="n"/>
      <c r="T57" s="2" t="n"/>
      <c r="U57" s="2" t="n"/>
      <c r="V57" s="2">
        <f>SUM(J57:U57)</f>
        <v/>
      </c>
      <c r="W57" s="2" t="n">
        <v>400</v>
      </c>
      <c r="X57" s="2" t="n">
        <v>400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>
        <f>IF(F57=1,V57*2,IF(F57=2,V57*F57*2,IF(F57&gt;2,F57*2*V57)))</f>
        <v/>
      </c>
      <c r="AW57" s="2">
        <f>SUM(W57:AU57)</f>
        <v/>
      </c>
    </row>
    <row r="58">
      <c r="A58" s="2" t="inlineStr">
        <is>
          <t>14-C-555</t>
        </is>
      </c>
      <c r="B58" s="3" t="inlineStr">
        <is>
          <t>Optical Cable Parts,LC/PC-LC/PC-Single mode-25m-2Core</t>
        </is>
      </c>
      <c r="C58" s="2" t="inlineStr">
        <is>
          <t>657A2 , LSZH , LC DUPLEX KIT(CLIP), 0MM/ 300MM</t>
        </is>
      </c>
      <c r="D58" s="2" t="inlineStr">
        <is>
          <t>a2</t>
        </is>
      </c>
      <c r="E58" s="2" t="inlineStr">
        <is>
          <t>2.0mm</t>
        </is>
      </c>
      <c r="F58" s="2" t="n">
        <v>2</v>
      </c>
      <c r="G58" s="2" t="n">
        <v>25</v>
      </c>
      <c r="H58" s="2" t="inlineStr">
        <is>
          <t>LC/PC</t>
        </is>
      </c>
      <c r="I58" s="2" t="inlineStr">
        <is>
          <t>LC/PC</t>
        </is>
      </c>
      <c r="J58" s="2" t="n">
        <v>50</v>
      </c>
      <c r="K58" s="2" t="n"/>
      <c r="L58" s="2" t="n"/>
      <c r="M58" s="2" t="n">
        <v>50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</f>
        <v/>
      </c>
      <c r="W58" s="2" t="n">
        <v>200</v>
      </c>
      <c r="X58" s="2" t="n">
        <v>200</v>
      </c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>
        <f>IF(F58=1,V58*2,IF(F58=2,V58*F58*2,IF(F58&gt;2,F58*2*V58)))</f>
        <v/>
      </c>
      <c r="AW58" s="2">
        <f>SUM(W58:AU58)</f>
        <v/>
      </c>
    </row>
    <row r="59">
      <c r="A59" s="2" t="inlineStr">
        <is>
          <t>14-C-556</t>
        </is>
      </c>
      <c r="B59" s="3" t="inlineStr">
        <is>
          <t>Optical Cable Parts,LC/PC-LC/PC-Single mode-30m-2Core</t>
        </is>
      </c>
      <c r="C59" s="2" t="inlineStr">
        <is>
          <t>657A2 , LSZH , LC DUPLEX KIT(CLIP), 0MM/ 300MM</t>
        </is>
      </c>
      <c r="D59" s="2" t="inlineStr">
        <is>
          <t>a2</t>
        </is>
      </c>
      <c r="E59" s="2" t="inlineStr">
        <is>
          <t>2.0mm</t>
        </is>
      </c>
      <c r="F59" s="2" t="n">
        <v>2</v>
      </c>
      <c r="G59" s="2" t="n">
        <v>30</v>
      </c>
      <c r="H59" s="2" t="inlineStr">
        <is>
          <t>LC/PC</t>
        </is>
      </c>
      <c r="I59" s="2" t="inlineStr">
        <is>
          <t>LC/PC</t>
        </is>
      </c>
      <c r="J59" s="2" t="n">
        <v>30</v>
      </c>
      <c r="K59" s="2" t="n"/>
      <c r="L59" s="2" t="n"/>
      <c r="M59" s="2" t="n">
        <v>30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>
        <f>SUM(J59:U59)</f>
        <v/>
      </c>
      <c r="W59" s="2" t="n">
        <v>120</v>
      </c>
      <c r="X59" s="2" t="n">
        <v>120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>
        <f>IF(F59=1,V59*2,IF(F59=2,V59*F59*2,IF(F59&gt;2,F59*2*V59)))</f>
        <v/>
      </c>
      <c r="AW59" s="2">
        <f>SUM(W59:AU59)</f>
        <v/>
      </c>
    </row>
    <row r="60">
      <c r="A60" s="2" t="inlineStr">
        <is>
          <t>14-C-557</t>
        </is>
      </c>
      <c r="B60" s="3" t="inlineStr">
        <is>
          <t>Optical Cable Parts,LC/PC-LC/PC-Single mode-35m-2Core</t>
        </is>
      </c>
      <c r="C60" s="2" t="inlineStr">
        <is>
          <t>657A2 , LSZH , LC DUPLEX KIT(CLIP), 0MM/ 300MM</t>
        </is>
      </c>
      <c r="D60" s="2" t="inlineStr">
        <is>
          <t>a2</t>
        </is>
      </c>
      <c r="E60" s="2" t="inlineStr">
        <is>
          <t>2.0mm</t>
        </is>
      </c>
      <c r="F60" s="2" t="n">
        <v>2</v>
      </c>
      <c r="G60" s="2" t="n">
        <v>35</v>
      </c>
      <c r="H60" s="2" t="inlineStr">
        <is>
          <t>LC/PC</t>
        </is>
      </c>
      <c r="I60" s="2" t="inlineStr">
        <is>
          <t>LC/PC</t>
        </is>
      </c>
      <c r="J60" s="2" t="n"/>
      <c r="K60" s="2" t="n"/>
      <c r="L60" s="2" t="n"/>
      <c r="M60" s="2" t="n">
        <v>30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>
        <f>SUM(J60:U60)</f>
        <v/>
      </c>
      <c r="W60" s="2" t="n">
        <v>60</v>
      </c>
      <c r="X60" s="2" t="n">
        <v>60</v>
      </c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>
        <f>IF(F60=1,V60*2,IF(F60=2,V60*F60*2,IF(F60&gt;2,F60*2*V60)))</f>
        <v/>
      </c>
      <c r="AW60" s="2">
        <f>SUM(W60:AU60)</f>
        <v/>
      </c>
    </row>
    <row r="61">
      <c r="A61" s="2" t="inlineStr">
        <is>
          <t>14-C-558</t>
        </is>
      </c>
      <c r="B61" s="3" t="inlineStr">
        <is>
          <t>Optical Cable Parts,LC/PC-LC/PC-Single mode-40m-2Core</t>
        </is>
      </c>
      <c r="C61" s="2" t="inlineStr">
        <is>
          <t>657A2 , LSZH , LC DUPLEX KIT(CLIP), 0MM/ 300MM</t>
        </is>
      </c>
      <c r="D61" s="2" t="inlineStr">
        <is>
          <t>a2</t>
        </is>
      </c>
      <c r="E61" s="2" t="inlineStr">
        <is>
          <t>2.0mm</t>
        </is>
      </c>
      <c r="F61" s="2" t="n">
        <v>2</v>
      </c>
      <c r="G61" s="2" t="n">
        <v>40</v>
      </c>
      <c r="H61" s="2" t="inlineStr">
        <is>
          <t>LC/PC</t>
        </is>
      </c>
      <c r="I61" s="2" t="inlineStr">
        <is>
          <t>LC/PC</t>
        </is>
      </c>
      <c r="J61" s="2" t="n"/>
      <c r="K61" s="2" t="n"/>
      <c r="L61" s="2" t="n">
        <v>30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>
        <f>SUM(J61:U61)</f>
        <v/>
      </c>
      <c r="W61" s="2" t="n">
        <v>60</v>
      </c>
      <c r="X61" s="2" t="n">
        <v>60</v>
      </c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>
        <f>IF(F61=1,V61*2,IF(F61=2,V61*F61*2,IF(F61&gt;2,F61*2*V61)))</f>
        <v/>
      </c>
      <c r="AW61" s="2">
        <f>SUM(W61:AU61)</f>
        <v/>
      </c>
    </row>
    <row r="62">
      <c r="A62" s="2" t="inlineStr">
        <is>
          <t>14-C-577</t>
        </is>
      </c>
      <c r="B62" s="3" t="inlineStr">
        <is>
          <t>DROP-CABLE(LC/PC)</t>
        </is>
      </c>
      <c r="C62" s="2" t="inlineStr">
        <is>
          <t>40m</t>
        </is>
      </c>
      <c r="D62" s="2" t="inlineStr">
        <is>
          <t>drop</t>
        </is>
      </c>
      <c r="E62" s="2" t="inlineStr">
        <is>
          <t>3.0mm</t>
        </is>
      </c>
      <c r="F62" s="2" t="n">
        <v>1</v>
      </c>
      <c r="G62" s="2" t="n">
        <v>40</v>
      </c>
      <c r="H62" s="2" t="inlineStr">
        <is>
          <t>LC/PC</t>
        </is>
      </c>
      <c r="I62" s="2" t="inlineStr">
        <is>
          <t>LC/PC</t>
        </is>
      </c>
      <c r="J62" s="2" t="n"/>
      <c r="K62" s="2" t="n">
        <v>20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>
        <f>SUM(J62:U62)</f>
        <v/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>
        <v>40</v>
      </c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>
        <f>IF(F62=1,V62*2,IF(F62=2,V62*F62*2,IF(F62&gt;2,F62*2*V62)))</f>
        <v/>
      </c>
      <c r="AW62" s="2">
        <f>SUM(W62:AU62)</f>
        <v/>
      </c>
    </row>
    <row r="63">
      <c r="A63" s="2" t="inlineStr">
        <is>
          <t>14-C-582</t>
        </is>
      </c>
      <c r="B63" s="3" t="inlineStr">
        <is>
          <t>DROP-CABLE(LC/PC)</t>
        </is>
      </c>
      <c r="C63" s="2" t="inlineStr">
        <is>
          <t>35m</t>
        </is>
      </c>
      <c r="D63" s="2" t="inlineStr">
        <is>
          <t>drop</t>
        </is>
      </c>
      <c r="E63" s="2" t="inlineStr">
        <is>
          <t>3.0mm</t>
        </is>
      </c>
      <c r="F63" s="2" t="n">
        <v>1</v>
      </c>
      <c r="G63" s="2" t="n">
        <v>35</v>
      </c>
      <c r="H63" s="2" t="inlineStr">
        <is>
          <t>LC/PC</t>
        </is>
      </c>
      <c r="I63" s="2" t="inlineStr">
        <is>
          <t>LC/PC</t>
        </is>
      </c>
      <c r="J63" s="2" t="n"/>
      <c r="K63" s="2" t="n">
        <v>20</v>
      </c>
      <c r="L63" s="2" t="n"/>
      <c r="M63" s="2" t="n">
        <v>50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>
        <f>SUM(J63:U63)</f>
        <v/>
      </c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>
        <v>140</v>
      </c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>
        <f>IF(F63=1,V63*2,IF(F63=2,V63*F63*2,IF(F63&gt;2,F63*2*V63)))</f>
        <v/>
      </c>
      <c r="AW63" s="2">
        <f>SUM(W63:AU63)</f>
        <v/>
      </c>
    </row>
    <row r="64">
      <c r="A64" s="2" t="inlineStr">
        <is>
          <t>14-C-583</t>
        </is>
      </c>
      <c r="B64" s="3" t="inlineStr">
        <is>
          <t>DROP-CABLE(LC/PC)-2C</t>
        </is>
      </c>
      <c r="C64" s="2" t="inlineStr">
        <is>
          <t>15m</t>
        </is>
      </c>
      <c r="D64" s="2" t="inlineStr">
        <is>
          <t>drop</t>
        </is>
      </c>
      <c r="E64" s="2" t="inlineStr">
        <is>
          <t>3.0mm</t>
        </is>
      </c>
      <c r="F64" s="2" t="n">
        <v>2</v>
      </c>
      <c r="G64" s="2" t="n">
        <v>15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>
        <v>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>
        <f>SUM(J64:U64)</f>
        <v/>
      </c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>
        <v>100</v>
      </c>
      <c r="AK64" s="2" t="n">
        <v>100</v>
      </c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>
        <f>IF(F64=1,V64*2,IF(F64=2,V64*F64*2,IF(F64&gt;2,F64*2*V64)))</f>
        <v/>
      </c>
      <c r="AW64" s="2">
        <f>SUM(W64:AU64)</f>
        <v/>
      </c>
    </row>
    <row r="65">
      <c r="A65" s="2" t="inlineStr">
        <is>
          <t>14-C-588</t>
        </is>
      </c>
      <c r="B65" s="3" t="inlineStr">
        <is>
          <t>Optical Cable Parts,LC/APC-LC/APC-Single mode-5m-2Core</t>
        </is>
      </c>
      <c r="C65" s="2" t="inlineStr">
        <is>
          <t>657A2 , LSZH</t>
        </is>
      </c>
      <c r="D65" s="2" t="inlineStr">
        <is>
          <t>a2</t>
        </is>
      </c>
      <c r="E65" s="2" t="inlineStr">
        <is>
          <t>2.0mm</t>
        </is>
      </c>
      <c r="F65" s="2" t="n">
        <v>2</v>
      </c>
      <c r="G65" s="2" t="n">
        <v>5</v>
      </c>
      <c r="H65" s="2" t="inlineStr">
        <is>
          <t>LC/APC</t>
        </is>
      </c>
      <c r="I65" s="2" t="inlineStr">
        <is>
          <t>LC/APC</t>
        </is>
      </c>
      <c r="J65" s="2" t="n">
        <v>55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</f>
        <v/>
      </c>
      <c r="W65" s="2" t="n"/>
      <c r="X65" s="2" t="n"/>
      <c r="Y65" s="2" t="n">
        <v>110</v>
      </c>
      <c r="Z65" s="2" t="n">
        <v>110</v>
      </c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>
        <f>IF(F65=1,V65*2,IF(F65=2,V65*F65*2,IF(F65&gt;2,F65*2*V65)))</f>
        <v/>
      </c>
      <c r="AW65" s="2">
        <f>SUM(W65:AU65)</f>
        <v/>
      </c>
    </row>
    <row r="66">
      <c r="A66" s="2" t="inlineStr">
        <is>
          <t>14-C-591</t>
        </is>
      </c>
      <c r="B66" s="3" t="inlineStr">
        <is>
          <t>Optical Cable Parts,LC/PC-LC/PC-Single mode-4m-2Core</t>
        </is>
      </c>
      <c r="C66" s="2" t="inlineStr">
        <is>
          <t>657A2 , LSZH , LC DUPLEX KIT(CLIP), 95MM/ 500MM</t>
        </is>
      </c>
      <c r="D66" s="2" t="inlineStr">
        <is>
          <t>a2</t>
        </is>
      </c>
      <c r="E66" s="2" t="inlineStr">
        <is>
          <t>2.0mm</t>
        </is>
      </c>
      <c r="F66" s="2" t="n">
        <v>2</v>
      </c>
      <c r="G66" s="2" t="n">
        <v>4</v>
      </c>
      <c r="H66" s="2" t="inlineStr">
        <is>
          <t>LC/PC</t>
        </is>
      </c>
      <c r="I66" s="2" t="inlineStr">
        <is>
          <t>LC/PC</t>
        </is>
      </c>
      <c r="J66" s="2" t="n">
        <v>100</v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>
        <f>SUM(J66:U66)</f>
        <v/>
      </c>
      <c r="W66" s="2" t="n">
        <v>200</v>
      </c>
      <c r="X66" s="2" t="n">
        <v>200</v>
      </c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>
        <f>IF(F66=1,V66*2,IF(F66=2,V66*F66*2,IF(F66&gt;2,F66*2*V66)))</f>
        <v/>
      </c>
      <c r="AW66" s="2">
        <f>SUM(W66:AU66)</f>
        <v/>
      </c>
    </row>
    <row r="67">
      <c r="A67" s="2" t="inlineStr">
        <is>
          <t>14-C-597</t>
        </is>
      </c>
      <c r="B67" s="3" t="inlineStr">
        <is>
          <t>DROP-CABLE(LC/PC-FC/PC)</t>
        </is>
      </c>
      <c r="C67" s="2" t="inlineStr">
        <is>
          <t>10M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10</v>
      </c>
      <c r="H67" s="2" t="inlineStr">
        <is>
          <t>LC/PC</t>
        </is>
      </c>
      <c r="I67" s="2" t="inlineStr">
        <is>
          <t>FC/PC</t>
        </is>
      </c>
      <c r="J67" s="2" t="n">
        <v>30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>
        <f>SUM(J67:U67)</f>
        <v/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>
        <v>30</v>
      </c>
      <c r="AK67" s="2" t="n"/>
      <c r="AL67" s="2" t="n"/>
      <c r="AM67" s="2" t="n"/>
      <c r="AN67" s="2" t="n"/>
      <c r="AO67" s="2" t="n"/>
      <c r="AP67" s="2" t="n"/>
      <c r="AQ67" s="2" t="n"/>
      <c r="AR67" s="2" t="n">
        <v>30</v>
      </c>
      <c r="AS67" s="2" t="n"/>
      <c r="AT67" s="2" t="n"/>
      <c r="AU67" s="2" t="n"/>
      <c r="AV67" s="2">
        <f>IF(F67=1,V67*2,IF(F67=2,V67*F67*2,IF(F67&gt;2,F67*2*V67)))</f>
        <v/>
      </c>
      <c r="AW67" s="2">
        <f>SUM(W67:AU67)</f>
        <v/>
      </c>
    </row>
    <row r="68">
      <c r="A68" s="2" t="inlineStr">
        <is>
          <t>14-C-598</t>
        </is>
      </c>
      <c r="B68" s="3" t="inlineStr">
        <is>
          <t>Optical Cable Parts,LC/PC-LC/PC-Single mode-10m-2Core</t>
        </is>
      </c>
      <c r="C68" s="2" t="inlineStr">
        <is>
          <t>657A2 , LSZH , LC DUPLEX KIT(CLIP), 500MM/ 500MM</t>
        </is>
      </c>
      <c r="D68" s="2" t="inlineStr">
        <is>
          <t>a2</t>
        </is>
      </c>
      <c r="E68" s="2" t="inlineStr">
        <is>
          <t>2.0mm</t>
        </is>
      </c>
      <c r="F68" s="2" t="n">
        <v>2</v>
      </c>
      <c r="G68" s="2" t="n">
        <v>10</v>
      </c>
      <c r="H68" s="2" t="inlineStr">
        <is>
          <t>LC/PC</t>
        </is>
      </c>
      <c r="I68" s="2" t="inlineStr">
        <is>
          <t>LC/PC</t>
        </is>
      </c>
      <c r="J68" s="2" t="n"/>
      <c r="K68" s="2" t="n">
        <v>100</v>
      </c>
      <c r="L68" s="2" t="n">
        <v>100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>
        <f>SUM(J68:U68)</f>
        <v/>
      </c>
      <c r="W68" s="2" t="n">
        <v>400</v>
      </c>
      <c r="X68" s="2" t="n">
        <v>400</v>
      </c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>
        <f>IF(F68=1,V68*2,IF(F68=2,V68*F68*2,IF(F68&gt;2,F68*2*V68)))</f>
        <v/>
      </c>
      <c r="AW68" s="2">
        <f>SUM(W68:AU68)</f>
        <v/>
      </c>
    </row>
    <row r="69">
      <c r="A69" s="2" t="inlineStr">
        <is>
          <t>14-C-599</t>
        </is>
      </c>
      <c r="B69" s="3" t="inlineStr">
        <is>
          <t>Optical Cable Parts,LC/PC-LC/PC-Single mode-15m-2Core</t>
        </is>
      </c>
      <c r="C69" s="2" t="inlineStr">
        <is>
          <t>657A2 , LSZH , LC DUPLEX KIT(CLIP), 500MM/ 500MM</t>
        </is>
      </c>
      <c r="D69" s="2" t="inlineStr">
        <is>
          <t>a2</t>
        </is>
      </c>
      <c r="E69" s="2" t="inlineStr">
        <is>
          <t>2.0mm</t>
        </is>
      </c>
      <c r="F69" s="2" t="n">
        <v>2</v>
      </c>
      <c r="G69" s="2" t="n">
        <v>15</v>
      </c>
      <c r="H69" s="2" t="inlineStr">
        <is>
          <t>LC/PC</t>
        </is>
      </c>
      <c r="I69" s="2" t="inlineStr">
        <is>
          <t>LC/PC</t>
        </is>
      </c>
      <c r="J69" s="2" t="n"/>
      <c r="K69" s="2" t="n">
        <v>100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>
        <f>SUM(J69:U69)</f>
        <v/>
      </c>
      <c r="W69" s="2" t="n">
        <v>200</v>
      </c>
      <c r="X69" s="2" t="n">
        <v>200</v>
      </c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>
        <f>IF(F69=1,V69*2,IF(F69=2,V69*F69*2,IF(F69&gt;2,F69*2*V69)))</f>
        <v/>
      </c>
      <c r="AW69" s="2">
        <f>SUM(W69:AU69)</f>
        <v/>
      </c>
    </row>
    <row r="70">
      <c r="A70" s="2" t="inlineStr">
        <is>
          <t>14-C-600</t>
        </is>
      </c>
      <c r="B70" s="3" t="inlineStr">
        <is>
          <t>DROP-CABLE(LC/PC)-2C</t>
        </is>
      </c>
      <c r="C70" s="2" t="inlineStr">
        <is>
          <t>20M</t>
        </is>
      </c>
      <c r="D70" s="2" t="inlineStr">
        <is>
          <t>drop</t>
        </is>
      </c>
      <c r="E70" s="2" t="inlineStr">
        <is>
          <t>3.0mm</t>
        </is>
      </c>
      <c r="F70" s="2" t="n">
        <v>2</v>
      </c>
      <c r="G70" s="2" t="n">
        <v>20</v>
      </c>
      <c r="H70" s="2" t="inlineStr">
        <is>
          <t>LC/PC</t>
        </is>
      </c>
      <c r="I70" s="2" t="inlineStr">
        <is>
          <t>LC/PC</t>
        </is>
      </c>
      <c r="J70" s="2" t="n"/>
      <c r="K70" s="2" t="n">
        <v>50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>
        <f>SUM(J70:U70)</f>
        <v/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>
        <v>100</v>
      </c>
      <c r="AK70" s="2" t="n">
        <v>100</v>
      </c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>
        <f>IF(F70=1,V70*2,IF(F70=2,V70*F70*2,IF(F70&gt;2,F70*2*V70)))</f>
        <v/>
      </c>
      <c r="AW70" s="2">
        <f>SUM(W70:AU70)</f>
        <v/>
      </c>
    </row>
    <row r="71">
      <c r="A71" s="2" t="inlineStr">
        <is>
          <t>14-C-602</t>
        </is>
      </c>
      <c r="B71" s="3" t="inlineStr">
        <is>
          <t>Optical Cable Parts,LC/PC-LC/PC-Single mode-50m-2Core</t>
        </is>
      </c>
      <c r="C71" s="2" t="inlineStr">
        <is>
          <t>657A2 , LSZH , LC DUPLEX KIT(CLIP), 0MM/ 300MM</t>
        </is>
      </c>
      <c r="D71" s="2" t="inlineStr">
        <is>
          <t>a2</t>
        </is>
      </c>
      <c r="E71" s="2" t="inlineStr">
        <is>
          <t>2.0mm</t>
        </is>
      </c>
      <c r="F71" s="2" t="n">
        <v>2</v>
      </c>
      <c r="G71" s="2" t="n">
        <v>50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>
        <v>30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>
        <f>SUM(J71:U71)</f>
        <v/>
      </c>
      <c r="W71" s="2" t="n">
        <v>60</v>
      </c>
      <c r="X71" s="2" t="n">
        <v>60</v>
      </c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>
        <f>IF(F71=1,V71*2,IF(F71=2,V71*F71*2,IF(F71&gt;2,F71*2*V71)))</f>
        <v/>
      </c>
      <c r="AW71" s="2">
        <f>SUM(W71:AU71)</f>
        <v/>
      </c>
    </row>
    <row r="72">
      <c r="A72" s="2" t="inlineStr">
        <is>
          <t>14-C-606</t>
        </is>
      </c>
      <c r="B72" s="3" t="inlineStr">
        <is>
          <t>인입광케이블 커넥터일체형(SC/APC)</t>
        </is>
      </c>
      <c r="C72" s="2" t="inlineStr">
        <is>
          <t>10M</t>
        </is>
      </c>
      <c r="D72" s="2" t="inlineStr">
        <is>
          <t>a1</t>
        </is>
      </c>
      <c r="E72" s="2" t="inlineStr">
        <is>
          <t>2.0mm</t>
        </is>
      </c>
      <c r="F72" s="2" t="n">
        <v>1</v>
      </c>
      <c r="G72" s="2" t="n">
        <v>10</v>
      </c>
      <c r="H72" s="2" t="n"/>
      <c r="I72" s="2" t="n"/>
      <c r="J72" s="2" t="n"/>
      <c r="K72" s="2" t="n"/>
      <c r="L72" s="2" t="n"/>
      <c r="M72" s="2" t="n"/>
      <c r="N72" s="2" t="n">
        <v>10</v>
      </c>
      <c r="O72" s="2" t="n"/>
      <c r="P72" s="2" t="n"/>
      <c r="Q72" s="2" t="n"/>
      <c r="R72" s="2" t="n"/>
      <c r="S72" s="2" t="n"/>
      <c r="T72" s="2" t="n">
        <v>10</v>
      </c>
      <c r="U72" s="2" t="n"/>
      <c r="V72" s="2">
        <f>SUM(J72:U72)</f>
        <v/>
      </c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>
        <f>IF(F72=1,V72*2,IF(F72=2,V72*F72*2,IF(F72&gt;2,F72*2*V72)))</f>
        <v/>
      </c>
      <c r="AW72" s="2">
        <f>SUM(W72:AU72)</f>
        <v/>
      </c>
    </row>
    <row r="73">
      <c r="A73" s="2" t="inlineStr">
        <is>
          <t>14-C-607</t>
        </is>
      </c>
      <c r="B73" s="3" t="inlineStr">
        <is>
          <t>인입광케이블 커넥터일체형(SC/PC)</t>
        </is>
      </c>
      <c r="C73" s="2" t="inlineStr">
        <is>
          <t>10M</t>
        </is>
      </c>
      <c r="D73" s="2" t="inlineStr">
        <is>
          <t>a1</t>
        </is>
      </c>
      <c r="E73" s="2" t="inlineStr">
        <is>
          <t>2.0mm</t>
        </is>
      </c>
      <c r="F73" s="2" t="n">
        <v>1</v>
      </c>
      <c r="G73" s="2" t="n">
        <v>10</v>
      </c>
      <c r="H73" s="2" t="n"/>
      <c r="I73" s="2" t="n"/>
      <c r="J73" s="2" t="n"/>
      <c r="K73" s="2" t="n"/>
      <c r="L73" s="2" t="n"/>
      <c r="M73" s="2" t="n"/>
      <c r="N73" s="2" t="n">
        <v>30</v>
      </c>
      <c r="O73" s="2" t="n"/>
      <c r="P73" s="2" t="n"/>
      <c r="Q73" s="2" t="n"/>
      <c r="R73" s="2" t="n"/>
      <c r="S73" s="2" t="n"/>
      <c r="T73" s="2" t="n"/>
      <c r="U73" s="2" t="n"/>
      <c r="V73" s="2">
        <f>SUM(J73:U73)</f>
        <v/>
      </c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>
        <f>IF(F73=1,V73*2,IF(F73=2,V73*F73*2,IF(F73&gt;2,F73*2*V73)))</f>
        <v/>
      </c>
      <c r="AW73" s="2">
        <f>SUM(W73:AU73)</f>
        <v/>
      </c>
    </row>
    <row r="74">
      <c r="A74" s="2" t="inlineStr">
        <is>
          <t>14-C-608</t>
        </is>
      </c>
      <c r="B74" s="3" t="inlineStr">
        <is>
          <t>인입광케이블 커넥터일체형(SC/PC)</t>
        </is>
      </c>
      <c r="C74" s="2" t="inlineStr">
        <is>
          <t>30M</t>
        </is>
      </c>
      <c r="D74" s="2" t="inlineStr">
        <is>
          <t>a1</t>
        </is>
      </c>
      <c r="E74" s="2" t="inlineStr">
        <is>
          <t>2.0mm</t>
        </is>
      </c>
      <c r="F74" s="2" t="n">
        <v>1</v>
      </c>
      <c r="G74" s="2" t="n">
        <v>30</v>
      </c>
      <c r="H74" s="2" t="n"/>
      <c r="I74" s="2" t="n"/>
      <c r="J74" s="2" t="n"/>
      <c r="K74" s="2" t="n"/>
      <c r="L74" s="2" t="n"/>
      <c r="M74" s="2" t="n"/>
      <c r="N74" s="2" t="n">
        <v>30</v>
      </c>
      <c r="O74" s="2" t="n"/>
      <c r="P74" s="2" t="n"/>
      <c r="Q74" s="2" t="n"/>
      <c r="R74" s="2" t="n"/>
      <c r="S74" s="2" t="n"/>
      <c r="T74" s="2" t="n"/>
      <c r="U74" s="2" t="n"/>
      <c r="V74" s="2">
        <f>SUM(J74:U74)</f>
        <v/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>
        <f>IF(F74=1,V74*2,IF(F74=2,V74*F74*2,IF(F74&gt;2,F74*2*V74)))</f>
        <v/>
      </c>
      <c r="AW74" s="2">
        <f>SUM(W74:AU74)</f>
        <v/>
      </c>
    </row>
    <row r="75">
      <c r="A75" s="2" t="inlineStr">
        <is>
          <t>14-C-609</t>
        </is>
      </c>
      <c r="B75" s="3" t="inlineStr">
        <is>
          <t>DROP-CABLE(LC/PC)-2C</t>
        </is>
      </c>
      <c r="C75" s="2" t="inlineStr">
        <is>
          <t>200M</t>
        </is>
      </c>
      <c r="D75" s="2" t="inlineStr">
        <is>
          <t>drop</t>
        </is>
      </c>
      <c r="E75" s="2" t="inlineStr">
        <is>
          <t>3.0mm</t>
        </is>
      </c>
      <c r="F75" s="2" t="n">
        <v>2</v>
      </c>
      <c r="G75" s="2" t="n">
        <v>200</v>
      </c>
      <c r="H75" s="2" t="inlineStr">
        <is>
          <t>LC/PC</t>
        </is>
      </c>
      <c r="I75" s="2" t="inlineStr">
        <is>
          <t>LC/PC</t>
        </is>
      </c>
      <c r="J75" s="2" t="n"/>
      <c r="K75" s="2" t="n"/>
      <c r="L75" s="2" t="n"/>
      <c r="M75" s="2" t="n"/>
      <c r="N75" s="2" t="n">
        <v>2</v>
      </c>
      <c r="O75" s="2" t="n"/>
      <c r="P75" s="2" t="n"/>
      <c r="Q75" s="2" t="n"/>
      <c r="R75" s="2" t="n"/>
      <c r="S75" s="2" t="n"/>
      <c r="T75" s="2" t="n"/>
      <c r="U75" s="2" t="n"/>
      <c r="V75" s="2">
        <f>SUM(J75:U75)</f>
        <v/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>
        <v>4</v>
      </c>
      <c r="AK75" s="2" t="n">
        <v>4</v>
      </c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>
        <f>IF(F75=1,V75*2,IF(F75=2,V75*F75*2,IF(F75&gt;2,F75*2*V75)))</f>
        <v/>
      </c>
      <c r="AW75" s="2">
        <f>SUM(W75:AU75)</f>
        <v/>
      </c>
    </row>
    <row r="76">
      <c r="A76" s="2" t="inlineStr">
        <is>
          <t>14-C-610</t>
        </is>
      </c>
      <c r="B76" s="3" t="inlineStr">
        <is>
          <t>DROP-CABLE(LC/PC)-2C</t>
        </is>
      </c>
      <c r="C76" s="2" t="inlineStr">
        <is>
          <t>300M</t>
        </is>
      </c>
      <c r="D76" s="2" t="inlineStr">
        <is>
          <t>drop</t>
        </is>
      </c>
      <c r="E76" s="2" t="inlineStr">
        <is>
          <t>3.0mm</t>
        </is>
      </c>
      <c r="F76" s="2" t="n">
        <v>2</v>
      </c>
      <c r="G76" s="2" t="n">
        <v>300</v>
      </c>
      <c r="H76" s="2" t="inlineStr">
        <is>
          <t>LC/PC</t>
        </is>
      </c>
      <c r="I76" s="2" t="inlineStr">
        <is>
          <t>LC/PC</t>
        </is>
      </c>
      <c r="J76" s="2" t="n"/>
      <c r="K76" s="2" t="n"/>
      <c r="L76" s="2" t="n"/>
      <c r="M76" s="2" t="n"/>
      <c r="N76" s="2" t="n">
        <v>2</v>
      </c>
      <c r="O76" s="2" t="n"/>
      <c r="P76" s="2" t="n"/>
      <c r="Q76" s="2" t="n"/>
      <c r="R76" s="2" t="n"/>
      <c r="S76" s="2" t="n"/>
      <c r="T76" s="2" t="n"/>
      <c r="U76" s="2" t="n"/>
      <c r="V76" s="2">
        <f>SUM(J76:U76)</f>
        <v/>
      </c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>
        <v>4</v>
      </c>
      <c r="AK76" s="2" t="n">
        <v>4</v>
      </c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>
        <f>IF(F76=1,V76*2,IF(F76=2,V76*F76*2,IF(F76&gt;2,F76*2*V76)))</f>
        <v/>
      </c>
      <c r="AW76" s="2">
        <f>SUM(W76:AU76)</f>
        <v/>
      </c>
    </row>
    <row r="77">
      <c r="A77" s="2" t="inlineStr">
        <is>
          <t>14-C-611</t>
        </is>
      </c>
      <c r="B77" s="3" t="inlineStr">
        <is>
          <t>DROP-CABLE(LC/PC-SC/PC)-2C</t>
        </is>
      </c>
      <c r="C77" s="2" t="inlineStr">
        <is>
          <t>30M</t>
        </is>
      </c>
      <c r="D77" s="2" t="inlineStr">
        <is>
          <t>drop</t>
        </is>
      </c>
      <c r="E77" s="2" t="inlineStr">
        <is>
          <t>3.0mm</t>
        </is>
      </c>
      <c r="F77" s="2" t="n">
        <v>2</v>
      </c>
      <c r="G77" s="2" t="n">
        <v>30</v>
      </c>
      <c r="H77" s="2" t="inlineStr">
        <is>
          <t>LC/PC</t>
        </is>
      </c>
      <c r="I77" s="2" t="inlineStr">
        <is>
          <t>SC/PC</t>
        </is>
      </c>
      <c r="J77" s="2" t="n"/>
      <c r="K77" s="2" t="n"/>
      <c r="L77" s="2" t="n"/>
      <c r="M77" s="2" t="n"/>
      <c r="N77" s="2" t="n"/>
      <c r="O77" s="2" t="n">
        <v>1</v>
      </c>
      <c r="P77" s="2" t="n"/>
      <c r="Q77" s="2" t="n"/>
      <c r="R77" s="2" t="n"/>
      <c r="S77" s="2" t="n"/>
      <c r="T77" s="2" t="n"/>
      <c r="U77" s="2" t="n"/>
      <c r="V77" s="2">
        <f>SUM(J77:U77)</f>
        <v/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>
        <v>2</v>
      </c>
      <c r="AK77" s="2" t="n"/>
      <c r="AL77" s="2" t="n"/>
      <c r="AM77" s="2" t="n"/>
      <c r="AN77" s="2" t="n"/>
      <c r="AO77" s="2" t="n">
        <v>2</v>
      </c>
      <c r="AP77" s="2" t="n"/>
      <c r="AQ77" s="2" t="n"/>
      <c r="AR77" s="2" t="n"/>
      <c r="AS77" s="2" t="n"/>
      <c r="AT77" s="2" t="n"/>
      <c r="AU77" s="2" t="n"/>
      <c r="AV77" s="2">
        <f>IF(F77=1,V77*2,IF(F77=2,V77*F77*2,IF(F77&gt;2,F77*2*V77)))</f>
        <v/>
      </c>
      <c r="AW77" s="2">
        <f>SUM(W77:AU77)</f>
        <v/>
      </c>
    </row>
    <row r="78">
      <c r="A78" s="2" t="inlineStr">
        <is>
          <t>14-C-612</t>
        </is>
      </c>
      <c r="B78" s="3" t="inlineStr">
        <is>
          <t>Optical Cable Parts,LC/PC-SC/PC-Single mode-40m-2Core</t>
        </is>
      </c>
      <c r="C78" s="2" t="inlineStr">
        <is>
          <t>657A2 , LSZH , LC DUPLEX KIT(CLIP), 500MM/ 500MM</t>
        </is>
      </c>
      <c r="D78" s="2" t="inlineStr">
        <is>
          <t>a2</t>
        </is>
      </c>
      <c r="E78" s="2" t="inlineStr">
        <is>
          <t>2.0mm</t>
        </is>
      </c>
      <c r="F78" s="2" t="n">
        <v>2</v>
      </c>
      <c r="G78" s="2" t="n">
        <v>40</v>
      </c>
      <c r="H78" s="2" t="inlineStr">
        <is>
          <t>LC/PC</t>
        </is>
      </c>
      <c r="I78" s="2" t="inlineStr">
        <is>
          <t>SC/PC</t>
        </is>
      </c>
      <c r="J78" s="2" t="n"/>
      <c r="K78" s="2" t="n"/>
      <c r="L78" s="2" t="n"/>
      <c r="M78" s="2" t="n"/>
      <c r="N78" s="2" t="n"/>
      <c r="O78" s="2" t="n">
        <v>4</v>
      </c>
      <c r="P78" s="2" t="n"/>
      <c r="Q78" s="2" t="n"/>
      <c r="R78" s="2" t="n"/>
      <c r="S78" s="2" t="n"/>
      <c r="T78" s="2" t="n"/>
      <c r="U78" s="2" t="n"/>
      <c r="V78" s="2">
        <f>SUM(J78:U78)</f>
        <v/>
      </c>
      <c r="W78" s="2" t="n">
        <v>8</v>
      </c>
      <c r="X78" s="2" t="n"/>
      <c r="Y78" s="2" t="n"/>
      <c r="Z78" s="2" t="n"/>
      <c r="AA78" s="2" t="n"/>
      <c r="AB78" s="2" t="n">
        <v>8</v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>
        <f>IF(F78=1,V78*2,IF(F78=2,V78*F78*2,IF(F78&gt;2,F78*2*V78)))</f>
        <v/>
      </c>
      <c r="AW78" s="2">
        <f>SUM(W78:AU78)</f>
        <v/>
      </c>
    </row>
    <row r="79">
      <c r="A79" s="2" t="inlineStr">
        <is>
          <t>14-C-613</t>
        </is>
      </c>
      <c r="B79" s="3" t="inlineStr">
        <is>
          <t>Optical Cable Parts,LC/PC-LC/PC-Single mode-5m-2Core</t>
        </is>
      </c>
      <c r="C79" s="2" t="inlineStr">
        <is>
          <t>657A2 , LSZH , LC DUPLEX KIT(CLIP), 1,000MM/1,000MM</t>
        </is>
      </c>
      <c r="D79" s="2" t="inlineStr">
        <is>
          <t>a2</t>
        </is>
      </c>
      <c r="E79" s="2" t="inlineStr">
        <is>
          <t>2.0mm</t>
        </is>
      </c>
      <c r="F79" s="2" t="n">
        <v>2</v>
      </c>
      <c r="G79" s="2" t="n">
        <v>5</v>
      </c>
      <c r="H79" s="2" t="inlineStr">
        <is>
          <t>LC/PC</t>
        </is>
      </c>
      <c r="I79" s="2" t="inlineStr">
        <is>
          <t>LC/PC</t>
        </is>
      </c>
      <c r="J79" s="2" t="n"/>
      <c r="K79" s="2" t="n"/>
      <c r="L79" s="2" t="n"/>
      <c r="M79" s="2" t="n"/>
      <c r="N79" s="2" t="n"/>
      <c r="O79" s="2" t="n"/>
      <c r="P79" s="2" t="n">
        <v>100</v>
      </c>
      <c r="Q79" s="2" t="n"/>
      <c r="R79" s="2" t="n"/>
      <c r="S79" s="2" t="n"/>
      <c r="T79" s="2" t="n"/>
      <c r="U79" s="2" t="n"/>
      <c r="V79" s="2">
        <f>SUM(J79:U79)</f>
        <v/>
      </c>
      <c r="W79" s="2" t="n">
        <v>200</v>
      </c>
      <c r="X79" s="2" t="n">
        <v>200</v>
      </c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>
        <f>IF(F79=1,V79*2,IF(F79=2,V79*F79*2,IF(F79&gt;2,F79*2*V79)))</f>
        <v/>
      </c>
      <c r="AW79" s="2">
        <f>SUM(W79:AU79)</f>
        <v/>
      </c>
    </row>
    <row r="80">
      <c r="A80" s="2" t="inlineStr">
        <is>
          <t>14-C-614</t>
        </is>
      </c>
      <c r="B80" s="3" t="inlineStr">
        <is>
          <t>Optical Cable Parts,LC/PC-LC/PC-Single mode-10m-2Core</t>
        </is>
      </c>
      <c r="C80" s="2" t="inlineStr">
        <is>
          <t>657A2 , LSZH , LC DUPLEX KIT(CLIP), 1,000MM/1,000MM</t>
        </is>
      </c>
      <c r="D80" s="2" t="inlineStr">
        <is>
          <t>a2</t>
        </is>
      </c>
      <c r="E80" s="2" t="inlineStr">
        <is>
          <t>2.0mm</t>
        </is>
      </c>
      <c r="F80" s="2" t="n">
        <v>2</v>
      </c>
      <c r="G80" s="2" t="n">
        <v>10</v>
      </c>
      <c r="H80" s="2" t="inlineStr">
        <is>
          <t>LC/PC</t>
        </is>
      </c>
      <c r="I80" s="2" t="inlineStr">
        <is>
          <t>LC/PC</t>
        </is>
      </c>
      <c r="J80" s="2" t="n"/>
      <c r="K80" s="2" t="n"/>
      <c r="L80" s="2" t="n"/>
      <c r="M80" s="2" t="n"/>
      <c r="N80" s="2" t="n"/>
      <c r="O80" s="2" t="n"/>
      <c r="P80" s="2" t="n">
        <v>50</v>
      </c>
      <c r="Q80" s="2" t="n"/>
      <c r="R80" s="2" t="n"/>
      <c r="S80" s="2" t="n"/>
      <c r="T80" s="2" t="n"/>
      <c r="U80" s="2" t="n"/>
      <c r="V80" s="2">
        <f>SUM(J80:U80)</f>
        <v/>
      </c>
      <c r="W80" s="2" t="n">
        <v>100</v>
      </c>
      <c r="X80" s="2" t="n">
        <v>100</v>
      </c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>
        <f>IF(F80=1,V80*2,IF(F80=2,V80*F80*2,IF(F80&gt;2,F80*2*V80)))</f>
        <v/>
      </c>
      <c r="AW80" s="2">
        <f>SUM(W80:AU80)</f>
        <v/>
      </c>
    </row>
    <row r="81">
      <c r="A81" s="2" t="inlineStr">
        <is>
          <t>14-C-615</t>
        </is>
      </c>
      <c r="B81" s="3" t="inlineStr">
        <is>
          <t>Optical Cable Parts,LC/PC-LC/PC-Single mode-15m-2Core</t>
        </is>
      </c>
      <c r="C81" s="2" t="inlineStr">
        <is>
          <t>657A2 , LSZH , LC DUPLEX KIT(CLIP), 1,000MM/1,000MM</t>
        </is>
      </c>
      <c r="D81" s="2" t="inlineStr">
        <is>
          <t>a2</t>
        </is>
      </c>
      <c r="E81" s="2" t="inlineStr">
        <is>
          <t>2.0mm</t>
        </is>
      </c>
      <c r="F81" s="2" t="n">
        <v>2</v>
      </c>
      <c r="G81" s="2" t="n">
        <v>15</v>
      </c>
      <c r="H81" s="2" t="inlineStr">
        <is>
          <t>LC/PC</t>
        </is>
      </c>
      <c r="I81" s="2" t="inlineStr">
        <is>
          <t>LC/PC</t>
        </is>
      </c>
      <c r="J81" s="2" t="n"/>
      <c r="K81" s="2" t="n"/>
      <c r="L81" s="2" t="n"/>
      <c r="M81" s="2" t="n"/>
      <c r="N81" s="2" t="n"/>
      <c r="O81" s="2" t="n"/>
      <c r="P81" s="2" t="n">
        <v>50</v>
      </c>
      <c r="Q81" s="2" t="n"/>
      <c r="R81" s="2" t="n"/>
      <c r="S81" s="2" t="n"/>
      <c r="T81" s="2" t="n"/>
      <c r="U81" s="2" t="n"/>
      <c r="V81" s="2">
        <f>SUM(J81:U81)</f>
        <v/>
      </c>
      <c r="W81" s="2" t="n">
        <v>100</v>
      </c>
      <c r="X81" s="2" t="n">
        <v>100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>
        <f>IF(F81=1,V81*2,IF(F81=2,V81*F81*2,IF(F81&gt;2,F81*2*V81)))</f>
        <v/>
      </c>
      <c r="AW81" s="2">
        <f>SUM(W81:AU81)</f>
        <v/>
      </c>
    </row>
    <row r="82">
      <c r="A82" s="2" t="inlineStr">
        <is>
          <t>14-C-616</t>
        </is>
      </c>
      <c r="B82" s="3" t="inlineStr">
        <is>
          <t>DROP-CABLE(SC/PC-SC/APC)</t>
        </is>
      </c>
      <c r="C82" s="2" t="inlineStr">
        <is>
          <t>1C, 1.5M</t>
        </is>
      </c>
      <c r="D82" s="2" t="inlineStr">
        <is>
          <t>drop</t>
        </is>
      </c>
      <c r="E82" s="2" t="inlineStr">
        <is>
          <t>3.0mm</t>
        </is>
      </c>
      <c r="F82" s="2" t="n">
        <v>1</v>
      </c>
      <c r="G82" s="2" t="n">
        <v>1.5</v>
      </c>
      <c r="H82" s="2" t="inlineStr">
        <is>
          <t>SC/PC</t>
        </is>
      </c>
      <c r="I82" s="2" t="inlineStr">
        <is>
          <t>SC/APC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>
        <v>20</v>
      </c>
      <c r="T82" s="2" t="n"/>
      <c r="U82" s="2" t="n"/>
      <c r="V82" s="2">
        <f>SUM(J82:U82)</f>
        <v/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>
        <v>20</v>
      </c>
      <c r="AO82" s="2" t="n"/>
      <c r="AP82" s="2" t="n">
        <v>20</v>
      </c>
      <c r="AQ82" s="2" t="n"/>
      <c r="AR82" s="2" t="n"/>
      <c r="AS82" s="2" t="n"/>
      <c r="AT82" s="2" t="n"/>
      <c r="AU82" s="2" t="n"/>
      <c r="AV82" s="2">
        <f>IF(F82=1,V82*2,IF(F82=2,V82*F82*2,IF(F82&gt;2,F82*2*V82)))</f>
        <v/>
      </c>
      <c r="AW82" s="2">
        <f>SUM(W82:AU82)</f>
        <v/>
      </c>
    </row>
    <row r="83">
      <c r="A83" s="2" t="inlineStr">
        <is>
          <t>14-C-620</t>
        </is>
      </c>
      <c r="B83" s="3" t="inlineStr">
        <is>
          <t>DROP-CABLE(LC/PC)-2C</t>
        </is>
      </c>
      <c r="C83" s="2" t="inlineStr">
        <is>
          <t>100m</t>
        </is>
      </c>
      <c r="D83" s="2" t="inlineStr">
        <is>
          <t>drop</t>
        </is>
      </c>
      <c r="E83" s="2" t="inlineStr">
        <is>
          <t>3.0mm</t>
        </is>
      </c>
      <c r="F83" s="2" t="n">
        <v>2</v>
      </c>
      <c r="G83" s="2" t="n">
        <v>100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>
        <v>15</v>
      </c>
      <c r="U83" s="2" t="n"/>
      <c r="V83" s="2">
        <f>SUM(J83:U83)</f>
        <v/>
      </c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>
        <v>30</v>
      </c>
      <c r="AK83" s="2" t="n">
        <v>30</v>
      </c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>
        <f>IF(F83=1,V83*2,IF(F83=2,V83*F83*2,IF(F83&gt;2,F83*2*V83)))</f>
        <v/>
      </c>
      <c r="AW83" s="2">
        <f>SUM(W83:AU83)</f>
        <v/>
      </c>
    </row>
    <row r="84">
      <c r="A84" s="2" t="inlineStr">
        <is>
          <t>14-C-626</t>
        </is>
      </c>
      <c r="B84" s="3" t="inlineStr">
        <is>
          <t>DROP-CABLE(LC/PC-SC/PC)</t>
        </is>
      </c>
      <c r="C84" s="2" t="inlineStr">
        <is>
          <t>70M</t>
        </is>
      </c>
      <c r="D84" s="2" t="inlineStr">
        <is>
          <t>drop</t>
        </is>
      </c>
      <c r="E84" s="2" t="inlineStr">
        <is>
          <t>3.0mm</t>
        </is>
      </c>
      <c r="F84" s="2" t="n">
        <v>1</v>
      </c>
      <c r="G84" s="2" t="n">
        <v>70</v>
      </c>
      <c r="H84" s="2" t="inlineStr">
        <is>
          <t>LC/PC</t>
        </is>
      </c>
      <c r="I84" s="2" t="inlineStr">
        <is>
          <t>SC/PC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>
        <v>1</v>
      </c>
      <c r="V84" s="2">
        <f>SUM(J84:U84)</f>
        <v/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>
        <v>1</v>
      </c>
      <c r="AK84" s="2" t="n"/>
      <c r="AL84" s="2" t="n"/>
      <c r="AM84" s="2" t="n"/>
      <c r="AN84" s="2" t="n">
        <v>1</v>
      </c>
      <c r="AO84" s="2" t="n"/>
      <c r="AP84" s="2" t="n"/>
      <c r="AQ84" s="2" t="n"/>
      <c r="AR84" s="2" t="n"/>
      <c r="AS84" s="2" t="n"/>
      <c r="AT84" s="2" t="n"/>
      <c r="AU84" s="2" t="n"/>
      <c r="AV84" s="2">
        <f>IF(F84=1,V84*2,IF(F84=2,V84*F84*2,IF(F84&gt;2,F84*2*V84)))</f>
        <v/>
      </c>
      <c r="AW84" s="2">
        <f>SUM(W84:AU84)</f>
        <v/>
      </c>
    </row>
    <row r="85">
      <c r="A85" s="2" t="inlineStr">
        <is>
          <t>14-D-009</t>
        </is>
      </c>
      <c r="B85" s="3" t="inlineStr">
        <is>
          <t>DOJC-MM(OM3)-LC/PC-LC/PC</t>
        </is>
      </c>
      <c r="C85" s="2" t="inlineStr">
        <is>
          <t>12M</t>
        </is>
      </c>
      <c r="D85" s="2" t="inlineStr">
        <is>
          <t>om3</t>
        </is>
      </c>
      <c r="E85" s="2" t="inlineStr">
        <is>
          <t>2.0mm</t>
        </is>
      </c>
      <c r="F85" s="2" t="n">
        <v>2</v>
      </c>
      <c r="G85" s="2" t="n">
        <v>12</v>
      </c>
      <c r="H85" s="2" t="inlineStr">
        <is>
          <t>LC/PC</t>
        </is>
      </c>
      <c r="I85" s="2" t="inlineStr">
        <is>
          <t>LC/PC</t>
        </is>
      </c>
      <c r="J85" s="2" t="n"/>
      <c r="K85" s="2" t="n">
        <v>8</v>
      </c>
      <c r="L85" s="2" t="n">
        <v>7</v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</f>
        <v/>
      </c>
      <c r="W85" s="2" t="n"/>
      <c r="X85" s="2" t="n">
        <v>30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>
        <v>30</v>
      </c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>
        <f>IF(F85=1,V85*2,IF(F85=2,V85*F85*2,IF(F85&gt;2,F85*2*V85)))</f>
        <v/>
      </c>
      <c r="AW85" s="2">
        <f>SUM(W85:AU85)</f>
        <v/>
      </c>
    </row>
    <row r="86">
      <c r="A86" s="2" t="inlineStr">
        <is>
          <t>14-D-019</t>
        </is>
      </c>
      <c r="B86" s="3" t="inlineStr">
        <is>
          <t>DOJC-MM(OM3)-LC/PC-LC/PC</t>
        </is>
      </c>
      <c r="C86" s="2" t="inlineStr">
        <is>
          <t>30M</t>
        </is>
      </c>
      <c r="D86" s="2" t="inlineStr">
        <is>
          <t>om3</t>
        </is>
      </c>
      <c r="E86" s="2" t="inlineStr">
        <is>
          <t>2.0mm</t>
        </is>
      </c>
      <c r="F86" s="2" t="n">
        <v>2</v>
      </c>
      <c r="G86" s="2" t="n">
        <v>30</v>
      </c>
      <c r="H86" s="2" t="inlineStr">
        <is>
          <t>LC/PC</t>
        </is>
      </c>
      <c r="I86" s="2" t="inlineStr">
        <is>
          <t>LC/PC</t>
        </is>
      </c>
      <c r="J86" s="2" t="n">
        <v>2</v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>
        <v>1</v>
      </c>
      <c r="V86" s="2">
        <f>SUM(J86:U86)</f>
        <v/>
      </c>
      <c r="W86" s="2" t="n"/>
      <c r="X86" s="2" t="n">
        <v>6</v>
      </c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>
        <v>6</v>
      </c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>
        <f>IF(F86=1,V86*2,IF(F86=2,V86*F86*2,IF(F86&gt;2,F86*2*V86)))</f>
        <v/>
      </c>
      <c r="AW86" s="2">
        <f>SUM(W86:AU86)</f>
        <v/>
      </c>
    </row>
    <row r="87">
      <c r="A87" s="2" t="inlineStr">
        <is>
          <t>14-D-020</t>
        </is>
      </c>
      <c r="B87" s="3" t="inlineStr">
        <is>
          <t>DOJC-MM(OM3)-LC/PC-LC/PC</t>
        </is>
      </c>
      <c r="C87" s="2" t="inlineStr">
        <is>
          <t>35M</t>
        </is>
      </c>
      <c r="D87" s="2" t="inlineStr">
        <is>
          <t>om3</t>
        </is>
      </c>
      <c r="E87" s="2" t="inlineStr">
        <is>
          <t>2.0mm</t>
        </is>
      </c>
      <c r="F87" s="2" t="n">
        <v>2</v>
      </c>
      <c r="G87" s="2" t="n">
        <v>35</v>
      </c>
      <c r="H87" s="2" t="inlineStr">
        <is>
          <t>LC/PC</t>
        </is>
      </c>
      <c r="I87" s="2" t="inlineStr">
        <is>
          <t>LC/PC</t>
        </is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>
        <v>20</v>
      </c>
      <c r="U87" s="2" t="n"/>
      <c r="V87" s="2">
        <f>SUM(J87:U87)</f>
        <v/>
      </c>
      <c r="W87" s="2" t="n"/>
      <c r="X87" s="2" t="n">
        <v>40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>
        <v>40</v>
      </c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>
        <f>IF(F87=1,V87*2,IF(F87=2,V87*F87*2,IF(F87&gt;2,F87*2*V87)))</f>
        <v/>
      </c>
      <c r="AW87" s="2">
        <f>SUM(W87:AU87)</f>
        <v/>
      </c>
    </row>
    <row r="88">
      <c r="A88" s="2" t="inlineStr">
        <is>
          <t>14-D-021</t>
        </is>
      </c>
      <c r="B88" s="3" t="inlineStr">
        <is>
          <t>DOJC-MM(OM3)-LC/PC-LC/PC</t>
        </is>
      </c>
      <c r="C88" s="2" t="inlineStr">
        <is>
          <t>3M</t>
        </is>
      </c>
      <c r="D88" s="2" t="inlineStr">
        <is>
          <t>om3</t>
        </is>
      </c>
      <c r="E88" s="2" t="inlineStr">
        <is>
          <t>2.0mm</t>
        </is>
      </c>
      <c r="F88" s="2" t="n">
        <v>2</v>
      </c>
      <c r="G88" s="2" t="n">
        <v>3</v>
      </c>
      <c r="H88" s="2" t="inlineStr">
        <is>
          <t>LC/PC</t>
        </is>
      </c>
      <c r="I88" s="2" t="inlineStr">
        <is>
          <t>LC/PC</t>
        </is>
      </c>
      <c r="J88" s="2" t="n"/>
      <c r="K88" s="2" t="n"/>
      <c r="L88" s="2" t="n"/>
      <c r="M88" s="2" t="n"/>
      <c r="N88" s="2" t="n"/>
      <c r="O88" s="2" t="n"/>
      <c r="P88" s="2" t="n">
        <v>90</v>
      </c>
      <c r="Q88" s="2" t="n"/>
      <c r="R88" s="2" t="n"/>
      <c r="S88" s="2" t="n">
        <v>10</v>
      </c>
      <c r="T88" s="2" t="n">
        <v>24</v>
      </c>
      <c r="U88" s="2" t="n">
        <v>14</v>
      </c>
      <c r="V88" s="2">
        <f>SUM(J88:U88)</f>
        <v/>
      </c>
      <c r="W88" s="2" t="n"/>
      <c r="X88" s="2" t="n">
        <v>276</v>
      </c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>
        <v>276</v>
      </c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>
        <f>IF(F88=1,V88*2,IF(F88=2,V88*F88*2,IF(F88&gt;2,F88*2*V88)))</f>
        <v/>
      </c>
      <c r="AW88" s="2">
        <f>SUM(W88:AU88)</f>
        <v/>
      </c>
    </row>
    <row r="89">
      <c r="A89" s="2" t="inlineStr">
        <is>
          <t>14-D-022</t>
        </is>
      </c>
      <c r="B89" s="3" t="inlineStr">
        <is>
          <t>DOJC-MM(OM3)-LC/PC-LC/PC</t>
        </is>
      </c>
      <c r="C89" s="2" t="inlineStr">
        <is>
          <t>40M</t>
        </is>
      </c>
      <c r="D89" s="2" t="inlineStr">
        <is>
          <t>om3</t>
        </is>
      </c>
      <c r="E89" s="2" t="inlineStr">
        <is>
          <t>2.0mm</t>
        </is>
      </c>
      <c r="F89" s="2" t="n">
        <v>2</v>
      </c>
      <c r="G89" s="2" t="n">
        <v>40</v>
      </c>
      <c r="H89" s="2" t="inlineStr">
        <is>
          <t>LC/PC</t>
        </is>
      </c>
      <c r="I89" s="2" t="inlineStr">
        <is>
          <t>LC/PC</t>
        </is>
      </c>
      <c r="J89" s="2" t="n">
        <v>3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>
        <v>30</v>
      </c>
      <c r="T89" s="2" t="n"/>
      <c r="U89" s="2" t="n"/>
      <c r="V89" s="2">
        <f>SUM(J89:U89)</f>
        <v/>
      </c>
      <c r="W89" s="2" t="n"/>
      <c r="X89" s="2" t="n">
        <v>66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>
        <v>66</v>
      </c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>
        <f>IF(F89=1,V89*2,IF(F89=2,V89*F89*2,IF(F89&gt;2,F89*2*V89)))</f>
        <v/>
      </c>
      <c r="AW89" s="2">
        <f>SUM(W89:AU89)</f>
        <v/>
      </c>
    </row>
    <row r="90">
      <c r="A90" s="2" t="inlineStr">
        <is>
          <t>14-D-023</t>
        </is>
      </c>
      <c r="B90" s="3" t="inlineStr">
        <is>
          <t>DOJC-MM(OM3)-LC/PC-LC/PC</t>
        </is>
      </c>
      <c r="C90" s="2" t="inlineStr">
        <is>
          <t>45M</t>
        </is>
      </c>
      <c r="D90" s="2" t="inlineStr">
        <is>
          <t>om3</t>
        </is>
      </c>
      <c r="E90" s="2" t="inlineStr">
        <is>
          <t>2.0mm</t>
        </is>
      </c>
      <c r="F90" s="2" t="n">
        <v>2</v>
      </c>
      <c r="G90" s="2" t="n">
        <v>45</v>
      </c>
      <c r="H90" s="2" t="inlineStr">
        <is>
          <t>LC/PC</t>
        </is>
      </c>
      <c r="I90" s="2" t="inlineStr">
        <is>
          <t>LC/PC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>
        <v>4</v>
      </c>
      <c r="V90" s="2">
        <f>SUM(J90:U90)</f>
        <v/>
      </c>
      <c r="W90" s="2" t="n"/>
      <c r="X90" s="2" t="n">
        <v>8</v>
      </c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>
        <v>8</v>
      </c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>
        <f>IF(F90=1,V90*2,IF(F90=2,V90*F90*2,IF(F90&gt;2,F90*2*V90)))</f>
        <v/>
      </c>
      <c r="AW90" s="2">
        <f>SUM(W90:AU90)</f>
        <v/>
      </c>
    </row>
    <row r="91">
      <c r="A91" s="2" t="inlineStr">
        <is>
          <t>14-D-024</t>
        </is>
      </c>
      <c r="B91" s="3" t="inlineStr">
        <is>
          <t>DOJC-MM(OM3)-LC/PC-LC/PC</t>
        </is>
      </c>
      <c r="C91" s="2" t="inlineStr">
        <is>
          <t>50M</t>
        </is>
      </c>
      <c r="D91" s="2" t="inlineStr">
        <is>
          <t>om3</t>
        </is>
      </c>
      <c r="E91" s="2" t="inlineStr">
        <is>
          <t>2.0mm</t>
        </is>
      </c>
      <c r="F91" s="2" t="n">
        <v>2</v>
      </c>
      <c r="G91" s="2" t="n">
        <v>50</v>
      </c>
      <c r="H91" s="2" t="inlineStr">
        <is>
          <t>LC/PC</t>
        </is>
      </c>
      <c r="I91" s="2" t="inlineStr">
        <is>
          <t>LC/PC</t>
        </is>
      </c>
      <c r="J91" s="2" t="n"/>
      <c r="K91" s="2" t="n"/>
      <c r="L91" s="2" t="n"/>
      <c r="M91" s="2" t="n"/>
      <c r="N91" s="2" t="n"/>
      <c r="O91" s="2" t="n">
        <v>14</v>
      </c>
      <c r="P91" s="2" t="n">
        <v>4</v>
      </c>
      <c r="Q91" s="2" t="n"/>
      <c r="R91" s="2" t="n"/>
      <c r="S91" s="2" t="n">
        <v>20</v>
      </c>
      <c r="T91" s="2" t="n"/>
      <c r="U91" s="2" t="n"/>
      <c r="V91" s="2">
        <f>SUM(J91:U91)</f>
        <v/>
      </c>
      <c r="W91" s="2" t="n"/>
      <c r="X91" s="2" t="n">
        <v>76</v>
      </c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>
        <v>76</v>
      </c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>
        <f>IF(F91=1,V91*2,IF(F91=2,V91*F91*2,IF(F91&gt;2,F91*2*V91)))</f>
        <v/>
      </c>
      <c r="AW91" s="2">
        <f>SUM(W91:AU91)</f>
        <v/>
      </c>
    </row>
    <row r="92">
      <c r="A92" s="2" t="inlineStr">
        <is>
          <t>14-D-027</t>
        </is>
      </c>
      <c r="B92" s="3" t="inlineStr">
        <is>
          <t>DOJC-MM(OM3)-LC/PC-LC/PC</t>
        </is>
      </c>
      <c r="C92" s="2" t="inlineStr">
        <is>
          <t>7M</t>
        </is>
      </c>
      <c r="D92" s="2" t="inlineStr">
        <is>
          <t>om3</t>
        </is>
      </c>
      <c r="E92" s="2" t="inlineStr">
        <is>
          <t>2.0mm</t>
        </is>
      </c>
      <c r="F92" s="2" t="n">
        <v>2</v>
      </c>
      <c r="G92" s="2" t="n">
        <v>7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>
        <v>10</v>
      </c>
      <c r="M92" s="2" t="n"/>
      <c r="N92" s="2" t="n"/>
      <c r="O92" s="2" t="n"/>
      <c r="P92" s="2" t="n">
        <v>50</v>
      </c>
      <c r="Q92" s="2" t="n"/>
      <c r="R92" s="2" t="n"/>
      <c r="S92" s="2" t="n"/>
      <c r="T92" s="2" t="n"/>
      <c r="U92" s="2" t="n">
        <v>20</v>
      </c>
      <c r="V92" s="2">
        <f>SUM(J92:U92)</f>
        <v/>
      </c>
      <c r="W92" s="2" t="n"/>
      <c r="X92" s="2" t="n">
        <v>160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>
        <v>160</v>
      </c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>
        <f>IF(F92=1,V92*2,IF(F92=2,V92*F92*2,IF(F92&gt;2,F92*2*V92)))</f>
        <v/>
      </c>
      <c r="AW92" s="2">
        <f>SUM(W92:AU92)</f>
        <v/>
      </c>
    </row>
    <row r="93">
      <c r="A93" s="2" t="inlineStr">
        <is>
          <t>14-D-037</t>
        </is>
      </c>
      <c r="B93" s="3" t="inlineStr">
        <is>
          <t>DOJC-MM-LC/PC-LC/PC</t>
        </is>
      </c>
      <c r="C93" s="2" t="inlineStr">
        <is>
          <t>12M</t>
        </is>
      </c>
      <c r="D93" s="2" t="inlineStr">
        <is>
          <t>om1</t>
        </is>
      </c>
      <c r="E93" s="2" t="inlineStr">
        <is>
          <t>2.0mm</t>
        </is>
      </c>
      <c r="F93" s="2" t="n">
        <v>2</v>
      </c>
      <c r="G93" s="2" t="n">
        <v>12</v>
      </c>
      <c r="H93" s="2" t="inlineStr">
        <is>
          <t>LC/PC</t>
        </is>
      </c>
      <c r="I93" s="2" t="inlineStr">
        <is>
          <t>LC/PC</t>
        </is>
      </c>
      <c r="J93" s="2" t="n"/>
      <c r="K93" s="2" t="n"/>
      <c r="L93" s="2" t="n"/>
      <c r="M93" s="2" t="n"/>
      <c r="N93" s="2" t="n"/>
      <c r="O93" s="2" t="n">
        <v>3</v>
      </c>
      <c r="P93" s="2" t="n"/>
      <c r="Q93" s="2" t="n"/>
      <c r="R93" s="2" t="n"/>
      <c r="S93" s="2" t="n"/>
      <c r="T93" s="2" t="n"/>
      <c r="U93" s="2" t="n"/>
      <c r="V93" s="2">
        <f>SUM(J93:U93)</f>
        <v/>
      </c>
      <c r="W93" s="2" t="n"/>
      <c r="X93" s="2" t="n">
        <v>6</v>
      </c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>
        <v>6</v>
      </c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>
        <f>IF(F93=1,V93*2,IF(F93=2,V93*F93*2,IF(F93&gt;2,F93*2*V93)))</f>
        <v/>
      </c>
      <c r="AW93" s="2">
        <f>SUM(W93:AU93)</f>
        <v/>
      </c>
    </row>
    <row r="94">
      <c r="A94" s="2" t="inlineStr">
        <is>
          <t>14-D-038</t>
        </is>
      </c>
      <c r="B94" s="3" t="inlineStr">
        <is>
          <t>DOJC-MM-LC/PC-LC/PC</t>
        </is>
      </c>
      <c r="C94" s="2" t="inlineStr">
        <is>
          <t>13M</t>
        </is>
      </c>
      <c r="D94" s="2" t="inlineStr">
        <is>
          <t>om1</t>
        </is>
      </c>
      <c r="E94" s="2" t="inlineStr">
        <is>
          <t>2.0mm</t>
        </is>
      </c>
      <c r="F94" s="2" t="n">
        <v>2</v>
      </c>
      <c r="G94" s="2" t="n">
        <v>13</v>
      </c>
      <c r="H94" s="2" t="inlineStr">
        <is>
          <t>LC/PC</t>
        </is>
      </c>
      <c r="I94" s="2" t="inlineStr">
        <is>
          <t>LC/PC</t>
        </is>
      </c>
      <c r="J94" s="2" t="n"/>
      <c r="K94" s="2" t="n"/>
      <c r="L94" s="2" t="n"/>
      <c r="M94" s="2" t="n"/>
      <c r="N94" s="2" t="n"/>
      <c r="O94" s="2" t="n"/>
      <c r="P94" s="2" t="n"/>
      <c r="Q94" s="2" t="n">
        <v>150</v>
      </c>
      <c r="R94" s="2" t="n"/>
      <c r="S94" s="2" t="n"/>
      <c r="T94" s="2" t="n">
        <v>10</v>
      </c>
      <c r="U94" s="2" t="n"/>
      <c r="V94" s="2">
        <f>SUM(J94:U94)</f>
        <v/>
      </c>
      <c r="W94" s="2" t="n"/>
      <c r="X94" s="2" t="n">
        <v>320</v>
      </c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>
        <v>320</v>
      </c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>
        <f>IF(F94=1,V94*2,IF(F94=2,V94*F94*2,IF(F94&gt;2,F94*2*V94)))</f>
        <v/>
      </c>
      <c r="AW94" s="2">
        <f>SUM(W94:AU94)</f>
        <v/>
      </c>
    </row>
    <row r="95">
      <c r="A95" s="2" t="inlineStr">
        <is>
          <t>14-D-041</t>
        </is>
      </c>
      <c r="B95" s="3" t="inlineStr">
        <is>
          <t>DOJC-MM-LC/PC-LC/PC</t>
        </is>
      </c>
      <c r="C95" s="2" t="inlineStr">
        <is>
          <t>17M</t>
        </is>
      </c>
      <c r="D95" s="2" t="inlineStr">
        <is>
          <t>om1</t>
        </is>
      </c>
      <c r="E95" s="2" t="inlineStr">
        <is>
          <t>2.0mm</t>
        </is>
      </c>
      <c r="F95" s="2" t="n">
        <v>2</v>
      </c>
      <c r="G95" s="2" t="n">
        <v>17</v>
      </c>
      <c r="H95" s="2" t="inlineStr">
        <is>
          <t>LC/PC</t>
        </is>
      </c>
      <c r="I95" s="2" t="inlineStr">
        <is>
          <t>LC/PC</t>
        </is>
      </c>
      <c r="J95" s="2" t="n"/>
      <c r="K95" s="2" t="n">
        <v>7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>
        <f>SUM(J95:U95)</f>
        <v/>
      </c>
      <c r="W95" s="2" t="n"/>
      <c r="X95" s="2" t="n">
        <v>14</v>
      </c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>
        <v>14</v>
      </c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>
        <f>IF(F95=1,V95*2,IF(F95=2,V95*F95*2,IF(F95&gt;2,F95*2*V95)))</f>
        <v/>
      </c>
      <c r="AW95" s="2">
        <f>SUM(W95:AU95)</f>
        <v/>
      </c>
    </row>
    <row r="96">
      <c r="A96" s="2" t="inlineStr">
        <is>
          <t>14-D-042</t>
        </is>
      </c>
      <c r="B96" s="3" t="inlineStr">
        <is>
          <t>DOJC-MM-LC/PC-LC/PC</t>
        </is>
      </c>
      <c r="C96" s="2" t="inlineStr">
        <is>
          <t>18M</t>
        </is>
      </c>
      <c r="D96" s="2" t="inlineStr">
        <is>
          <t>om1</t>
        </is>
      </c>
      <c r="E96" s="2" t="inlineStr">
        <is>
          <t>2.0mm</t>
        </is>
      </c>
      <c r="F96" s="2" t="n">
        <v>2</v>
      </c>
      <c r="G96" s="2" t="n">
        <v>18</v>
      </c>
      <c r="H96" s="2" t="inlineStr">
        <is>
          <t>LC/PC</t>
        </is>
      </c>
      <c r="I96" s="2" t="inlineStr">
        <is>
          <t>LC/PC</t>
        </is>
      </c>
      <c r="J96" s="2" t="n"/>
      <c r="K96" s="2" t="n">
        <v>4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</f>
        <v/>
      </c>
      <c r="W96" s="2" t="n"/>
      <c r="X96" s="2" t="n">
        <v>8</v>
      </c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>
        <v>8</v>
      </c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>
        <f>IF(F96=1,V96*2,IF(F96=2,V96*F96*2,IF(F96&gt;2,F96*2*V96)))</f>
        <v/>
      </c>
      <c r="AW96" s="2">
        <f>SUM(W96:AU96)</f>
        <v/>
      </c>
    </row>
    <row r="97">
      <c r="A97" s="2" t="inlineStr">
        <is>
          <t>14-D-051</t>
        </is>
      </c>
      <c r="B97" s="3" t="inlineStr">
        <is>
          <t>DOJC-MM-LC/PC-LC/PC</t>
        </is>
      </c>
      <c r="C97" s="2" t="inlineStr">
        <is>
          <t>35M</t>
        </is>
      </c>
      <c r="D97" s="2" t="inlineStr">
        <is>
          <t>om1</t>
        </is>
      </c>
      <c r="E97" s="2" t="inlineStr">
        <is>
          <t>2.0mm</t>
        </is>
      </c>
      <c r="F97" s="2" t="n">
        <v>2</v>
      </c>
      <c r="G97" s="2" t="n">
        <v>35</v>
      </c>
      <c r="H97" s="2" t="inlineStr">
        <is>
          <t>LC/PC</t>
        </is>
      </c>
      <c r="I97" s="2" t="inlineStr">
        <is>
          <t>LC/PC</t>
        </is>
      </c>
      <c r="J97" s="2" t="n"/>
      <c r="K97" s="2" t="n"/>
      <c r="L97" s="2" t="n"/>
      <c r="M97" s="2" t="n"/>
      <c r="N97" s="2" t="n"/>
      <c r="O97" s="2" t="n">
        <v>32</v>
      </c>
      <c r="P97" s="2" t="n"/>
      <c r="Q97" s="2" t="n">
        <v>44</v>
      </c>
      <c r="R97" s="2" t="n"/>
      <c r="S97" s="2" t="n"/>
      <c r="T97" s="2" t="n"/>
      <c r="U97" s="2" t="n"/>
      <c r="V97" s="2">
        <f>SUM(J97:U97)</f>
        <v/>
      </c>
      <c r="W97" s="2" t="n"/>
      <c r="X97" s="2" t="n">
        <v>152</v>
      </c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>
        <v>152</v>
      </c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>
        <f>IF(F97=1,V97*2,IF(F97=2,V97*F97*2,IF(F97&gt;2,F97*2*V97)))</f>
        <v/>
      </c>
      <c r="AW97" s="2">
        <f>SUM(W97:AU97)</f>
        <v/>
      </c>
    </row>
    <row r="98">
      <c r="A98" s="2" t="inlineStr">
        <is>
          <t>14-D-053</t>
        </is>
      </c>
      <c r="B98" s="3" t="inlineStr">
        <is>
          <t>DOJC-MM-LC/PC-LC/PC</t>
        </is>
      </c>
      <c r="C98" s="2" t="inlineStr">
        <is>
          <t>40M</t>
        </is>
      </c>
      <c r="D98" s="2" t="inlineStr">
        <is>
          <t>om1</t>
        </is>
      </c>
      <c r="E98" s="2" t="inlineStr">
        <is>
          <t>2.0mm</t>
        </is>
      </c>
      <c r="F98" s="2" t="n">
        <v>2</v>
      </c>
      <c r="G98" s="2" t="n">
        <v>40</v>
      </c>
      <c r="H98" s="2" t="inlineStr">
        <is>
          <t>LC/PC</t>
        </is>
      </c>
      <c r="I98" s="2" t="inlineStr">
        <is>
          <t>LC/PC</t>
        </is>
      </c>
      <c r="J98" s="2" t="n"/>
      <c r="K98" s="2" t="n"/>
      <c r="L98" s="2" t="n"/>
      <c r="M98" s="2" t="n"/>
      <c r="N98" s="2" t="n"/>
      <c r="O98" s="2" t="n"/>
      <c r="P98" s="2" t="n">
        <v>6</v>
      </c>
      <c r="Q98" s="2" t="n"/>
      <c r="R98" s="2" t="n">
        <v>1</v>
      </c>
      <c r="S98" s="2" t="n">
        <v>4</v>
      </c>
      <c r="T98" s="2" t="n">
        <v>1</v>
      </c>
      <c r="U98" s="2" t="n"/>
      <c r="V98" s="2">
        <f>SUM(J98:U98)</f>
        <v/>
      </c>
      <c r="W98" s="2" t="n"/>
      <c r="X98" s="2" t="n">
        <v>24</v>
      </c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>
        <v>24</v>
      </c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>
        <f>IF(F98=1,V98*2,IF(F98=2,V98*F98*2,IF(F98&gt;2,F98*2*V98)))</f>
        <v/>
      </c>
      <c r="AW98" s="2">
        <f>SUM(W98:AU98)</f>
        <v/>
      </c>
    </row>
    <row r="99">
      <c r="A99" s="2" t="inlineStr">
        <is>
          <t>14-D-056</t>
        </is>
      </c>
      <c r="B99" s="3" t="inlineStr">
        <is>
          <t>DOJC-MM-LC/PC-LC/PC</t>
        </is>
      </c>
      <c r="C99" s="2" t="inlineStr">
        <is>
          <t>55M</t>
        </is>
      </c>
      <c r="D99" s="2" t="inlineStr">
        <is>
          <t>om1</t>
        </is>
      </c>
      <c r="E99" s="2" t="inlineStr">
        <is>
          <t>2.0mm</t>
        </is>
      </c>
      <c r="F99" s="2" t="n">
        <v>2</v>
      </c>
      <c r="G99" s="2" t="n">
        <v>55</v>
      </c>
      <c r="H99" s="2" t="inlineStr">
        <is>
          <t>LC/PC</t>
        </is>
      </c>
      <c r="I99" s="2" t="inlineStr">
        <is>
          <t>LC/PC</t>
        </is>
      </c>
      <c r="J99" s="2" t="n"/>
      <c r="K99" s="2" t="n"/>
      <c r="L99" s="2" t="n"/>
      <c r="M99" s="2" t="n"/>
      <c r="N99" s="2" t="n"/>
      <c r="O99" s="2" t="n"/>
      <c r="P99" s="2" t="n"/>
      <c r="Q99" s="2" t="n">
        <v>2</v>
      </c>
      <c r="R99" s="2" t="n"/>
      <c r="S99" s="2" t="n"/>
      <c r="T99" s="2" t="n"/>
      <c r="U99" s="2" t="n"/>
      <c r="V99" s="2">
        <f>SUM(J99:U99)</f>
        <v/>
      </c>
      <c r="W99" s="2" t="n"/>
      <c r="X99" s="2" t="n">
        <v>4</v>
      </c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>
        <v>4</v>
      </c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>
        <f>IF(F99=1,V99*2,IF(F99=2,V99*F99*2,IF(F99&gt;2,F99*2*V99)))</f>
        <v/>
      </c>
      <c r="AW99" s="2">
        <f>SUM(W99:AU99)</f>
        <v/>
      </c>
    </row>
    <row r="100">
      <c r="A100" s="2" t="inlineStr">
        <is>
          <t>14-D-058</t>
        </is>
      </c>
      <c r="B100" s="3" t="inlineStr">
        <is>
          <t>DOJC-MM-LC/PC-LC/PC</t>
        </is>
      </c>
      <c r="C100" s="2" t="inlineStr">
        <is>
          <t>60M</t>
        </is>
      </c>
      <c r="D100" s="2" t="inlineStr">
        <is>
          <t>om1</t>
        </is>
      </c>
      <c r="E100" s="2" t="inlineStr">
        <is>
          <t>2.0mm</t>
        </is>
      </c>
      <c r="F100" s="2" t="n">
        <v>2</v>
      </c>
      <c r="G100" s="2" t="n">
        <v>60</v>
      </c>
      <c r="H100" s="2" t="inlineStr">
        <is>
          <t>LC/PC</t>
        </is>
      </c>
      <c r="I100" s="2" t="inlineStr">
        <is>
          <t>LC/PC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>
        <v>2</v>
      </c>
      <c r="R100" s="2" t="n"/>
      <c r="S100" s="2" t="n"/>
      <c r="T100" s="2" t="n"/>
      <c r="U100" s="2" t="n"/>
      <c r="V100" s="2">
        <f>SUM(J100:U100)</f>
        <v/>
      </c>
      <c r="W100" s="2" t="n"/>
      <c r="X100" s="2" t="n">
        <v>4</v>
      </c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>
        <v>4</v>
      </c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>
        <f>IF(F100=1,V100*2,IF(F100=2,V100*F100*2,IF(F100&gt;2,F100*2*V100)))</f>
        <v/>
      </c>
      <c r="AW100" s="2">
        <f>SUM(W100:AU100)</f>
        <v/>
      </c>
    </row>
    <row r="101">
      <c r="A101" s="2" t="inlineStr">
        <is>
          <t>14-D-060</t>
        </is>
      </c>
      <c r="B101" s="3" t="inlineStr">
        <is>
          <t>DOJC-MM-LC/PC-LC/PC</t>
        </is>
      </c>
      <c r="C101" s="2" t="inlineStr">
        <is>
          <t>70M</t>
        </is>
      </c>
      <c r="D101" s="2" t="inlineStr">
        <is>
          <t>om1</t>
        </is>
      </c>
      <c r="E101" s="2" t="inlineStr">
        <is>
          <t>2.0mm</t>
        </is>
      </c>
      <c r="F101" s="2" t="n">
        <v>2</v>
      </c>
      <c r="G101" s="2" t="n">
        <v>70</v>
      </c>
      <c r="H101" s="2" t="inlineStr">
        <is>
          <t>LC/PC</t>
        </is>
      </c>
      <c r="I101" s="2" t="inlineStr">
        <is>
          <t>LC/PC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n">
        <v>5</v>
      </c>
      <c r="R101" s="2" t="n"/>
      <c r="S101" s="2" t="n"/>
      <c r="T101" s="2" t="n"/>
      <c r="U101" s="2" t="n"/>
      <c r="V101" s="2">
        <f>SUM(J101:U101)</f>
        <v/>
      </c>
      <c r="W101" s="2" t="n"/>
      <c r="X101" s="2" t="n">
        <v>10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>
        <v>10</v>
      </c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>
        <f>IF(F101=1,V101*2,IF(F101=2,V101*F101*2,IF(F101&gt;2,F101*2*V101)))</f>
        <v/>
      </c>
      <c r="AW101" s="2">
        <f>SUM(W101:AU101)</f>
        <v/>
      </c>
    </row>
    <row r="102">
      <c r="A102" s="2" t="inlineStr">
        <is>
          <t>14-D-085</t>
        </is>
      </c>
      <c r="B102" s="3" t="inlineStr">
        <is>
          <t>DOJC-MM-LC/PC-SC/PC</t>
        </is>
      </c>
      <c r="C102" s="2" t="inlineStr">
        <is>
          <t>70M</t>
        </is>
      </c>
      <c r="D102" s="2" t="inlineStr">
        <is>
          <t>om1</t>
        </is>
      </c>
      <c r="E102" s="2" t="inlineStr">
        <is>
          <t>2.0mm</t>
        </is>
      </c>
      <c r="F102" s="2" t="n">
        <v>2</v>
      </c>
      <c r="G102" s="2" t="n">
        <v>70</v>
      </c>
      <c r="H102" s="2" t="inlineStr">
        <is>
          <t>LC/PC</t>
        </is>
      </c>
      <c r="I102" s="2" t="inlineStr">
        <is>
          <t>SC/PC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>
        <v>2</v>
      </c>
      <c r="R102" s="2" t="n"/>
      <c r="S102" s="2" t="n"/>
      <c r="T102" s="2" t="n"/>
      <c r="U102" s="2" t="n"/>
      <c r="V102" s="2">
        <f>SUM(J102:U102)</f>
        <v/>
      </c>
      <c r="W102" s="2" t="n"/>
      <c r="X102" s="2" t="n"/>
      <c r="Y102" s="2" t="n"/>
      <c r="Z102" s="2" t="n"/>
      <c r="AA102" s="2" t="n"/>
      <c r="AB102" s="2" t="n">
        <v>4</v>
      </c>
      <c r="AC102" s="2" t="n"/>
      <c r="AD102" s="2" t="n"/>
      <c r="AE102" s="2" t="n"/>
      <c r="AF102" s="2" t="n"/>
      <c r="AG102" s="2" t="n"/>
      <c r="AH102" s="2" t="n"/>
      <c r="AI102" s="2" t="n">
        <v>4</v>
      </c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>
        <f>IF(F102=1,V102*2,IF(F102=2,V102*F102*2,IF(F102&gt;2,F102*2*V102)))</f>
        <v/>
      </c>
      <c r="AW102" s="2">
        <f>SUM(W102:AU102)</f>
        <v/>
      </c>
    </row>
    <row r="103">
      <c r="A103" s="2" t="inlineStr">
        <is>
          <t>14-D-090</t>
        </is>
      </c>
      <c r="B103" s="3" t="inlineStr">
        <is>
          <t>DOJC-MM-SC/PC-SC/APC</t>
        </is>
      </c>
      <c r="C103" s="2" t="inlineStr">
        <is>
          <t>20M</t>
        </is>
      </c>
      <c r="D103" s="2" t="inlineStr">
        <is>
          <t>om1</t>
        </is>
      </c>
      <c r="E103" s="2" t="inlineStr">
        <is>
          <t>2.0mm</t>
        </is>
      </c>
      <c r="F103" s="2" t="n">
        <v>2</v>
      </c>
      <c r="G103" s="2" t="n">
        <v>20</v>
      </c>
      <c r="H103" s="2" t="inlineStr">
        <is>
          <t>SC/PC</t>
        </is>
      </c>
      <c r="I103" s="2" t="inlineStr">
        <is>
          <t>SC/APC</t>
        </is>
      </c>
      <c r="J103" s="2" t="n"/>
      <c r="K103" s="2" t="n"/>
      <c r="L103" s="2" t="n"/>
      <c r="M103" s="2" t="n"/>
      <c r="N103" s="2" t="n"/>
      <c r="O103" s="2" t="n"/>
      <c r="P103" s="2" t="n">
        <v>10</v>
      </c>
      <c r="Q103" s="2" t="n"/>
      <c r="R103" s="2" t="n"/>
      <c r="S103" s="2" t="n"/>
      <c r="T103" s="2" t="n"/>
      <c r="U103" s="2" t="n"/>
      <c r="V103" s="2">
        <f>SUM(J103:U103)</f>
        <v/>
      </c>
      <c r="W103" s="2" t="n"/>
      <c r="X103" s="2" t="n"/>
      <c r="Y103" s="2" t="n"/>
      <c r="Z103" s="2" t="n"/>
      <c r="AA103" s="2" t="n">
        <v>20</v>
      </c>
      <c r="AB103" s="2" t="n"/>
      <c r="AC103" s="2" t="n"/>
      <c r="AD103" s="2" t="n">
        <v>20</v>
      </c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>
        <f>IF(F103=1,V103*2,IF(F103=2,V103*F103*2,IF(F103&gt;2,F103*2*V103)))</f>
        <v/>
      </c>
      <c r="AW103" s="2">
        <f>SUM(W103:AU103)</f>
        <v/>
      </c>
    </row>
    <row r="104">
      <c r="A104" s="2" t="inlineStr">
        <is>
          <t>14-D-094</t>
        </is>
      </c>
      <c r="B104" s="3" t="inlineStr">
        <is>
          <t>DOJC-MM-SC/PC-SC/PC</t>
        </is>
      </c>
      <c r="C104" s="2" t="inlineStr">
        <is>
          <t>1M</t>
        </is>
      </c>
      <c r="D104" s="2" t="inlineStr">
        <is>
          <t>om1</t>
        </is>
      </c>
      <c r="E104" s="2" t="inlineStr">
        <is>
          <t>2.0mm</t>
        </is>
      </c>
      <c r="F104" s="2" t="n">
        <v>2</v>
      </c>
      <c r="G104" s="2" t="n">
        <v>1</v>
      </c>
      <c r="H104" s="2" t="inlineStr">
        <is>
          <t>SC/PC</t>
        </is>
      </c>
      <c r="I104" s="2" t="inlineStr">
        <is>
          <t>SC/PC</t>
        </is>
      </c>
      <c r="J104" s="2" t="n">
        <v>20</v>
      </c>
      <c r="K104" s="2" t="n"/>
      <c r="L104" s="2" t="n"/>
      <c r="M104" s="2" t="n"/>
      <c r="N104" s="2" t="n"/>
      <c r="O104" s="2" t="n"/>
      <c r="P104" s="2" t="n"/>
      <c r="Q104" s="2" t="n"/>
      <c r="R104" s="2" t="n">
        <v>4</v>
      </c>
      <c r="S104" s="2" t="n">
        <v>10</v>
      </c>
      <c r="T104" s="2" t="n"/>
      <c r="U104" s="2" t="n"/>
      <c r="V104" s="2">
        <f>SUM(J104:U104)</f>
        <v/>
      </c>
      <c r="W104" s="2" t="n"/>
      <c r="X104" s="2" t="n"/>
      <c r="Y104" s="2" t="n"/>
      <c r="Z104" s="2" t="n"/>
      <c r="AA104" s="2" t="n">
        <v>68</v>
      </c>
      <c r="AB104" s="2" t="n">
        <v>68</v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>
        <f>IF(F104=1,V104*2,IF(F104=2,V104*F104*2,IF(F104&gt;2,F104*2*V104)))</f>
        <v/>
      </c>
      <c r="AW104" s="2">
        <f>SUM(W104:AU104)</f>
        <v/>
      </c>
    </row>
    <row r="105">
      <c r="A105" s="2" t="inlineStr">
        <is>
          <t>14-D-095</t>
        </is>
      </c>
      <c r="B105" s="3" t="inlineStr">
        <is>
          <t>DOJC-MM-SC/PC-SC/PC</t>
        </is>
      </c>
      <c r="C105" s="2" t="inlineStr">
        <is>
          <t>20M</t>
        </is>
      </c>
      <c r="D105" s="2" t="inlineStr">
        <is>
          <t>om1</t>
        </is>
      </c>
      <c r="E105" s="2" t="inlineStr">
        <is>
          <t>2.0mm</t>
        </is>
      </c>
      <c r="F105" s="2" t="n">
        <v>2</v>
      </c>
      <c r="G105" s="2" t="n">
        <v>20</v>
      </c>
      <c r="H105" s="2" t="inlineStr">
        <is>
          <t>SC/PC</t>
        </is>
      </c>
      <c r="I105" s="2" t="inlineStr">
        <is>
          <t>SC/PC</t>
        </is>
      </c>
      <c r="J105" s="2" t="n"/>
      <c r="K105" s="2" t="n"/>
      <c r="L105" s="2" t="n"/>
      <c r="M105" s="2" t="n"/>
      <c r="N105" s="2" t="n"/>
      <c r="O105" s="2" t="n"/>
      <c r="P105" s="2" t="n">
        <v>10</v>
      </c>
      <c r="Q105" s="2" t="n"/>
      <c r="R105" s="2" t="n"/>
      <c r="S105" s="2" t="n"/>
      <c r="T105" s="2" t="n"/>
      <c r="U105" s="2" t="n"/>
      <c r="V105" s="2">
        <f>SUM(J105:U105)</f>
        <v/>
      </c>
      <c r="W105" s="2" t="n"/>
      <c r="X105" s="2" t="n"/>
      <c r="Y105" s="2" t="n"/>
      <c r="Z105" s="2" t="n"/>
      <c r="AA105" s="2" t="n">
        <v>20</v>
      </c>
      <c r="AB105" s="2" t="n">
        <v>20</v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>
        <f>IF(F105=1,V105*2,IF(F105=2,V105*F105*2,IF(F105&gt;2,F105*2*V105)))</f>
        <v/>
      </c>
      <c r="AW105" s="2">
        <f>SUM(W105:AU105)</f>
        <v/>
      </c>
    </row>
    <row r="106">
      <c r="A106" s="2" t="inlineStr">
        <is>
          <t>14-D-097</t>
        </is>
      </c>
      <c r="B106" s="3" t="inlineStr">
        <is>
          <t>DOJC-MM-SC/PC-SC/PC</t>
        </is>
      </c>
      <c r="C106" s="2" t="inlineStr">
        <is>
          <t>2M</t>
        </is>
      </c>
      <c r="D106" s="2" t="inlineStr">
        <is>
          <t>om1</t>
        </is>
      </c>
      <c r="E106" s="2" t="inlineStr">
        <is>
          <t>2.0mm</t>
        </is>
      </c>
      <c r="F106" s="2" t="n">
        <v>2</v>
      </c>
      <c r="G106" s="2" t="n">
        <v>2</v>
      </c>
      <c r="H106" s="2" t="inlineStr">
        <is>
          <t>SC/PC</t>
        </is>
      </c>
      <c r="I106" s="2" t="inlineStr">
        <is>
          <t>SC/PC</t>
        </is>
      </c>
      <c r="J106" s="2" t="n">
        <v>55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>
        <f>SUM(J106:U106)</f>
        <v/>
      </c>
      <c r="W106" s="2" t="n"/>
      <c r="X106" s="2" t="n"/>
      <c r="Y106" s="2" t="n"/>
      <c r="Z106" s="2" t="n"/>
      <c r="AA106" s="2" t="n">
        <v>110</v>
      </c>
      <c r="AB106" s="2" t="n">
        <v>110</v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>
        <f>IF(F106=1,V106*2,IF(F106=2,V106*F106*2,IF(F106&gt;2,F106*2*V106)))</f>
        <v/>
      </c>
      <c r="AW106" s="2">
        <f>SUM(W106:AU106)</f>
        <v/>
      </c>
    </row>
    <row r="107">
      <c r="A107" s="2" t="inlineStr">
        <is>
          <t>14-D-101</t>
        </is>
      </c>
      <c r="B107" s="3" t="inlineStr">
        <is>
          <t>DOJC-MM-SC/PC-SC/PC</t>
        </is>
      </c>
      <c r="C107" s="2" t="inlineStr">
        <is>
          <t>5M</t>
        </is>
      </c>
      <c r="D107" s="2" t="inlineStr">
        <is>
          <t>om1</t>
        </is>
      </c>
      <c r="E107" s="2" t="inlineStr">
        <is>
          <t>2.0mm</t>
        </is>
      </c>
      <c r="F107" s="2" t="n">
        <v>2</v>
      </c>
      <c r="G107" s="2" t="n">
        <v>5</v>
      </c>
      <c r="H107" s="2" t="inlineStr">
        <is>
          <t>SC/PC</t>
        </is>
      </c>
      <c r="I107" s="2" t="inlineStr">
        <is>
          <t>SC/PC</t>
        </is>
      </c>
      <c r="J107" s="2" t="n">
        <v>55</v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>
        <f>SUM(J107:U107)</f>
        <v/>
      </c>
      <c r="W107" s="2" t="n"/>
      <c r="X107" s="2" t="n"/>
      <c r="Y107" s="2" t="n"/>
      <c r="Z107" s="2" t="n"/>
      <c r="AA107" s="2" t="n">
        <v>110</v>
      </c>
      <c r="AB107" s="2" t="n">
        <v>110</v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>
        <f>IF(F107=1,V107*2,IF(F107=2,V107*F107*2,IF(F107&gt;2,F107*2*V107)))</f>
        <v/>
      </c>
      <c r="AW107" s="2">
        <f>SUM(W107:AU107)</f>
        <v/>
      </c>
    </row>
    <row r="108">
      <c r="A108" s="2" t="inlineStr">
        <is>
          <t>14-D-1022</t>
        </is>
      </c>
      <c r="B108" s="3" t="inlineStr">
        <is>
          <t>DOJC-SM-LC/PC-LC/PC</t>
        </is>
      </c>
      <c r="C108" s="2" t="inlineStr">
        <is>
          <t>2.5M</t>
        </is>
      </c>
      <c r="D108" s="2" t="inlineStr">
        <is>
          <t>a1</t>
        </is>
      </c>
      <c r="E108" s="2" t="inlineStr">
        <is>
          <t>2.0mm</t>
        </is>
      </c>
      <c r="F108" s="2" t="n">
        <v>2</v>
      </c>
      <c r="G108" s="2" t="n">
        <v>2.5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>
        <v>100</v>
      </c>
      <c r="T108" s="2" t="n"/>
      <c r="U108" s="2" t="n"/>
      <c r="V108" s="2">
        <f>SUM(J108:U108)</f>
        <v/>
      </c>
      <c r="W108" s="2" t="n">
        <v>200</v>
      </c>
      <c r="X108" s="2" t="n">
        <v>200</v>
      </c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>
        <f>IF(F108=1,V108*2,IF(F108=2,V108*F108*2,IF(F108&gt;2,F108*2*V108)))</f>
        <v/>
      </c>
      <c r="AW108" s="2">
        <f>SUM(W108:AU108)</f>
        <v/>
      </c>
    </row>
    <row r="109">
      <c r="A109" s="2" t="inlineStr">
        <is>
          <t>14-D-143</t>
        </is>
      </c>
      <c r="B109" s="3" t="inlineStr">
        <is>
          <t>DOJC-SM-FC/PC-FC/PC</t>
        </is>
      </c>
      <c r="C109" s="2" t="inlineStr">
        <is>
          <t>15M</t>
        </is>
      </c>
      <c r="D109" s="2" t="inlineStr">
        <is>
          <t>a1</t>
        </is>
      </c>
      <c r="E109" s="2" t="inlineStr">
        <is>
          <t>2.0mm</t>
        </is>
      </c>
      <c r="F109" s="2" t="n">
        <v>2</v>
      </c>
      <c r="G109" s="2" t="n">
        <v>15</v>
      </c>
      <c r="H109" s="2" t="inlineStr">
        <is>
          <t>FC/PC</t>
        </is>
      </c>
      <c r="I109" s="2" t="inlineStr">
        <is>
          <t>FC/PC</t>
        </is>
      </c>
      <c r="J109" s="2" t="n"/>
      <c r="K109" s="2" t="n"/>
      <c r="L109" s="2" t="n"/>
      <c r="M109" s="2" t="n"/>
      <c r="N109" s="2" t="n"/>
      <c r="O109" s="2" t="n">
        <v>10</v>
      </c>
      <c r="P109" s="2" t="n"/>
      <c r="Q109" s="2" t="n"/>
      <c r="R109" s="2" t="n"/>
      <c r="S109" s="2" t="n"/>
      <c r="T109" s="2" t="n"/>
      <c r="U109" s="2" t="n"/>
      <c r="V109" s="2">
        <f>SUM(J109:U109)</f>
        <v/>
      </c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>
        <v>20</v>
      </c>
      <c r="AF109" s="2" t="n">
        <v>20</v>
      </c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>
        <f>IF(F109=1,V109*2,IF(F109=2,V109*F109*2,IF(F109&gt;2,F109*2*V109)))</f>
        <v/>
      </c>
      <c r="AW109" s="2">
        <f>SUM(W109:AU109)</f>
        <v/>
      </c>
    </row>
    <row r="110">
      <c r="A110" s="2" t="inlineStr">
        <is>
          <t>14-D-145</t>
        </is>
      </c>
      <c r="B110" s="3" t="inlineStr">
        <is>
          <t>DOJC-SM-FC/PC-FC/PC</t>
        </is>
      </c>
      <c r="C110" s="2" t="inlineStr">
        <is>
          <t>20M</t>
        </is>
      </c>
      <c r="D110" s="2" t="inlineStr">
        <is>
          <t>a1</t>
        </is>
      </c>
      <c r="E110" s="2" t="inlineStr">
        <is>
          <t>2.0mm</t>
        </is>
      </c>
      <c r="F110" s="2" t="n">
        <v>2</v>
      </c>
      <c r="G110" s="2" t="n">
        <v>20</v>
      </c>
      <c r="H110" s="2" t="inlineStr">
        <is>
          <t>FC/PC</t>
        </is>
      </c>
      <c r="I110" s="2" t="inlineStr">
        <is>
          <t>FC/PC</t>
        </is>
      </c>
      <c r="J110" s="2" t="n"/>
      <c r="K110" s="2" t="n"/>
      <c r="L110" s="2" t="n"/>
      <c r="M110" s="2" t="n"/>
      <c r="N110" s="2" t="n"/>
      <c r="O110" s="2" t="n">
        <v>10</v>
      </c>
      <c r="P110" s="2" t="n"/>
      <c r="Q110" s="2" t="n"/>
      <c r="R110" s="2" t="n"/>
      <c r="S110" s="2" t="n"/>
      <c r="T110" s="2" t="n"/>
      <c r="U110" s="2" t="n"/>
      <c r="V110" s="2">
        <f>SUM(J110:U110)</f>
        <v/>
      </c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>
        <v>20</v>
      </c>
      <c r="AF110" s="2" t="n">
        <v>20</v>
      </c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>
        <f>IF(F110=1,V110*2,IF(F110=2,V110*F110*2,IF(F110&gt;2,F110*2*V110)))</f>
        <v/>
      </c>
      <c r="AW110" s="2">
        <f>SUM(W110:AU110)</f>
        <v/>
      </c>
    </row>
    <row r="111">
      <c r="A111" s="2" t="inlineStr">
        <is>
          <t>14-D-147</t>
        </is>
      </c>
      <c r="B111" s="3" t="inlineStr">
        <is>
          <t>DOJC-SM-FC/PC-FC/PC</t>
        </is>
      </c>
      <c r="C111" s="2" t="inlineStr">
        <is>
          <t>25M</t>
        </is>
      </c>
      <c r="D111" s="2" t="inlineStr">
        <is>
          <t>a1</t>
        </is>
      </c>
      <c r="E111" s="2" t="inlineStr">
        <is>
          <t>2.0mm</t>
        </is>
      </c>
      <c r="F111" s="2" t="n">
        <v>2</v>
      </c>
      <c r="G111" s="2" t="n">
        <v>25</v>
      </c>
      <c r="H111" s="2" t="inlineStr">
        <is>
          <t>FC/PC</t>
        </is>
      </c>
      <c r="I111" s="2" t="inlineStr">
        <is>
          <t>FC/PC</t>
        </is>
      </c>
      <c r="J111" s="2" t="n"/>
      <c r="K111" s="2" t="n"/>
      <c r="L111" s="2" t="n"/>
      <c r="M111" s="2" t="n"/>
      <c r="N111" s="2" t="n"/>
      <c r="O111" s="2" t="n">
        <v>10</v>
      </c>
      <c r="P111" s="2" t="n"/>
      <c r="Q111" s="2" t="n"/>
      <c r="R111" s="2" t="n"/>
      <c r="S111" s="2" t="n"/>
      <c r="T111" s="2" t="n"/>
      <c r="U111" s="2" t="n"/>
      <c r="V111" s="2">
        <f>SUM(J111:U111)</f>
        <v/>
      </c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>
        <v>20</v>
      </c>
      <c r="AF111" s="2" t="n">
        <v>20</v>
      </c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>
        <f>IF(F111=1,V111*2,IF(F111=2,V111*F111*2,IF(F111&gt;2,F111*2*V111)))</f>
        <v/>
      </c>
      <c r="AW111" s="2">
        <f>SUM(W111:AU111)</f>
        <v/>
      </c>
    </row>
    <row r="112">
      <c r="A112" s="2" t="inlineStr">
        <is>
          <t>14-D-150</t>
        </is>
      </c>
      <c r="B112" s="3" t="inlineStr">
        <is>
          <t>DOJC-SM-FC/PC-FC/PC</t>
        </is>
      </c>
      <c r="C112" s="2" t="inlineStr">
        <is>
          <t>3M</t>
        </is>
      </c>
      <c r="D112" s="2" t="inlineStr">
        <is>
          <t>a1</t>
        </is>
      </c>
      <c r="E112" s="2" t="inlineStr">
        <is>
          <t>2.0mm</t>
        </is>
      </c>
      <c r="F112" s="2" t="n">
        <v>2</v>
      </c>
      <c r="G112" s="2" t="n">
        <v>3</v>
      </c>
      <c r="H112" s="2" t="inlineStr">
        <is>
          <t>FC/PC</t>
        </is>
      </c>
      <c r="I112" s="2" t="inlineStr">
        <is>
          <t>FC/PC</t>
        </is>
      </c>
      <c r="J112" s="2" t="n"/>
      <c r="K112" s="2" t="n"/>
      <c r="L112" s="2" t="n"/>
      <c r="M112" s="2" t="n"/>
      <c r="N112" s="2" t="n"/>
      <c r="O112" s="2" t="n">
        <v>10</v>
      </c>
      <c r="P112" s="2" t="n">
        <v>10</v>
      </c>
      <c r="Q112" s="2" t="n"/>
      <c r="R112" s="2" t="n"/>
      <c r="S112" s="2" t="n"/>
      <c r="T112" s="2" t="n"/>
      <c r="U112" s="2" t="n"/>
      <c r="V112" s="2">
        <f>SUM(J112:U112)</f>
        <v/>
      </c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>
        <v>40</v>
      </c>
      <c r="AF112" s="2" t="n">
        <v>40</v>
      </c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>
        <f>IF(F112=1,V112*2,IF(F112=2,V112*F112*2,IF(F112&gt;2,F112*2*V112)))</f>
        <v/>
      </c>
      <c r="AW112" s="2">
        <f>SUM(W112:AU112)</f>
        <v/>
      </c>
    </row>
    <row r="113">
      <c r="A113" s="2" t="inlineStr">
        <is>
          <t>14-D-161</t>
        </is>
      </c>
      <c r="B113" s="3" t="inlineStr">
        <is>
          <t>DOJC-SM-LC/PC-FC/APC</t>
        </is>
      </c>
      <c r="C113" s="2" t="inlineStr">
        <is>
          <t>15M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15</v>
      </c>
      <c r="H113" s="2" t="inlineStr">
        <is>
          <t>LC/PC</t>
        </is>
      </c>
      <c r="I113" s="2" t="inlineStr">
        <is>
          <t>FC/APC</t>
        </is>
      </c>
      <c r="J113" s="2" t="n"/>
      <c r="K113" s="2" t="n"/>
      <c r="L113" s="2" t="n"/>
      <c r="M113" s="2" t="n"/>
      <c r="N113" s="2" t="n">
        <v>30</v>
      </c>
      <c r="O113" s="2" t="n"/>
      <c r="P113" s="2" t="n"/>
      <c r="Q113" s="2" t="n"/>
      <c r="R113" s="2" t="n"/>
      <c r="S113" s="2" t="n"/>
      <c r="T113" s="2" t="n"/>
      <c r="U113" s="2" t="n"/>
      <c r="V113" s="2">
        <f>SUM(J113:U113)</f>
        <v/>
      </c>
      <c r="W113" s="2" t="n">
        <v>60</v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>
        <v>60</v>
      </c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>
        <f>IF(F113=1,V113*2,IF(F113=2,V113*F113*2,IF(F113&gt;2,F113*2*V113)))</f>
        <v/>
      </c>
      <c r="AW113" s="2">
        <f>SUM(W113:AU113)</f>
        <v/>
      </c>
    </row>
    <row r="114">
      <c r="A114" s="2" t="inlineStr">
        <is>
          <t>14-D-166</t>
        </is>
      </c>
      <c r="B114" s="3" t="inlineStr">
        <is>
          <t>DOJC-SM-LC/PC-FC/APC</t>
        </is>
      </c>
      <c r="C114" s="2" t="inlineStr">
        <is>
          <t>20M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20</v>
      </c>
      <c r="H114" s="2" t="inlineStr">
        <is>
          <t>LC/PC</t>
        </is>
      </c>
      <c r="I114" s="2" t="inlineStr">
        <is>
          <t>FC/APC</t>
        </is>
      </c>
      <c r="J114" s="2" t="n"/>
      <c r="K114" s="2" t="n"/>
      <c r="L114" s="2" t="n">
        <v>19</v>
      </c>
      <c r="M114" s="2" t="n"/>
      <c r="N114" s="2" t="n"/>
      <c r="O114" s="2" t="n"/>
      <c r="P114" s="2" t="n"/>
      <c r="Q114" s="2" t="n">
        <v>3</v>
      </c>
      <c r="R114" s="2" t="n"/>
      <c r="S114" s="2" t="n"/>
      <c r="T114" s="2" t="n"/>
      <c r="U114" s="2" t="n"/>
      <c r="V114" s="2">
        <f>SUM(J114:U114)</f>
        <v/>
      </c>
      <c r="W114" s="2" t="n">
        <v>44</v>
      </c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>
        <v>44</v>
      </c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>
        <f>IF(F114=1,V114*2,IF(F114=2,V114*F114*2,IF(F114&gt;2,F114*2*V114)))</f>
        <v/>
      </c>
      <c r="AW114" s="2">
        <f>SUM(W114:AU114)</f>
        <v/>
      </c>
    </row>
    <row r="115">
      <c r="A115" s="2" t="inlineStr">
        <is>
          <t>14-D-170</t>
        </is>
      </c>
      <c r="B115" s="3" t="inlineStr">
        <is>
          <t>DOJC-SM-LC/PC-FC/APC</t>
        </is>
      </c>
      <c r="C115" s="2" t="inlineStr">
        <is>
          <t>25M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25</v>
      </c>
      <c r="H115" s="2" t="inlineStr">
        <is>
          <t>LC/PC</t>
        </is>
      </c>
      <c r="I115" s="2" t="inlineStr">
        <is>
          <t>FC/APC</t>
        </is>
      </c>
      <c r="J115" s="2" t="n"/>
      <c r="K115" s="2" t="n"/>
      <c r="L115" s="2" t="n"/>
      <c r="M115" s="2" t="n">
        <v>20</v>
      </c>
      <c r="N115" s="2" t="n">
        <v>50</v>
      </c>
      <c r="O115" s="2" t="n"/>
      <c r="P115" s="2" t="n"/>
      <c r="Q115" s="2" t="n"/>
      <c r="R115" s="2" t="n"/>
      <c r="S115" s="2" t="n"/>
      <c r="T115" s="2" t="n"/>
      <c r="U115" s="2" t="n"/>
      <c r="V115" s="2">
        <f>SUM(J115:U115)</f>
        <v/>
      </c>
      <c r="W115" s="2" t="n">
        <v>140</v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>
        <v>140</v>
      </c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>
        <f>IF(F115=1,V115*2,IF(F115=2,V115*F115*2,IF(F115&gt;2,F115*2*V115)))</f>
        <v/>
      </c>
      <c r="AW115" s="2">
        <f>SUM(W115:AU115)</f>
        <v/>
      </c>
    </row>
    <row r="116">
      <c r="A116" s="2" t="inlineStr">
        <is>
          <t>14-D-173</t>
        </is>
      </c>
      <c r="B116" s="3" t="inlineStr">
        <is>
          <t>DOJC-SM-LC/PC-FC/APC</t>
        </is>
      </c>
      <c r="C116" s="2" t="inlineStr">
        <is>
          <t>30M</t>
        </is>
      </c>
      <c r="D116" s="2" t="inlineStr">
        <is>
          <t>a1</t>
        </is>
      </c>
      <c r="E116" s="2" t="inlineStr">
        <is>
          <t>2.0mm</t>
        </is>
      </c>
      <c r="F116" s="2" t="n">
        <v>2</v>
      </c>
      <c r="G116" s="2" t="n">
        <v>30</v>
      </c>
      <c r="H116" s="2" t="inlineStr">
        <is>
          <t>LC/PC</t>
        </is>
      </c>
      <c r="I116" s="2" t="inlineStr">
        <is>
          <t>FC/APC</t>
        </is>
      </c>
      <c r="J116" s="2" t="n"/>
      <c r="K116" s="2" t="n"/>
      <c r="L116" s="2" t="n"/>
      <c r="M116" s="2" t="n"/>
      <c r="N116" s="2" t="n"/>
      <c r="O116" s="2" t="n">
        <v>10</v>
      </c>
      <c r="P116" s="2" t="n"/>
      <c r="Q116" s="2" t="n"/>
      <c r="R116" s="2" t="n"/>
      <c r="S116" s="2" t="n"/>
      <c r="T116" s="2" t="n"/>
      <c r="U116" s="2" t="n"/>
      <c r="V116" s="2">
        <f>SUM(J116:U116)</f>
        <v/>
      </c>
      <c r="W116" s="2" t="n">
        <v>20</v>
      </c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>
        <v>20</v>
      </c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>
        <f>IF(F116=1,V116*2,IF(F116=2,V116*F116*2,IF(F116&gt;2,F116*2*V116)))</f>
        <v/>
      </c>
      <c r="AW116" s="2">
        <f>SUM(W116:AU116)</f>
        <v/>
      </c>
    </row>
    <row r="117">
      <c r="A117" s="2" t="inlineStr">
        <is>
          <t>14-D-179</t>
        </is>
      </c>
      <c r="B117" s="3" t="inlineStr">
        <is>
          <t>DOJC-SM-LC/PC-FC/APC</t>
        </is>
      </c>
      <c r="C117" s="2" t="inlineStr">
        <is>
          <t>50M</t>
        </is>
      </c>
      <c r="D117" s="2" t="inlineStr">
        <is>
          <t>a1</t>
        </is>
      </c>
      <c r="E117" s="2" t="inlineStr">
        <is>
          <t>2.0mm</t>
        </is>
      </c>
      <c r="F117" s="2" t="n">
        <v>2</v>
      </c>
      <c r="G117" s="2" t="n">
        <v>50</v>
      </c>
      <c r="H117" s="2" t="inlineStr">
        <is>
          <t>LC/PC</t>
        </is>
      </c>
      <c r="I117" s="2" t="inlineStr">
        <is>
          <t>FC/APC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n">
        <v>2</v>
      </c>
      <c r="R117" s="2" t="n"/>
      <c r="S117" s="2" t="n"/>
      <c r="T117" s="2" t="n"/>
      <c r="U117" s="2" t="n"/>
      <c r="V117" s="2">
        <f>SUM(J117:U117)</f>
        <v/>
      </c>
      <c r="W117" s="2" t="n">
        <v>4</v>
      </c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>
        <v>4</v>
      </c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>
        <f>IF(F117=1,V117*2,IF(F117=2,V117*F117*2,IF(F117&gt;2,F117*2*V117)))</f>
        <v/>
      </c>
      <c r="AW117" s="2">
        <f>SUM(W117:AU117)</f>
        <v/>
      </c>
    </row>
    <row r="118">
      <c r="A118" s="2" t="inlineStr">
        <is>
          <t>14-D-180</t>
        </is>
      </c>
      <c r="B118" s="3" t="inlineStr">
        <is>
          <t>DOJC-SM-LC/PC-FC/APC</t>
        </is>
      </c>
      <c r="C118" s="2" t="inlineStr">
        <is>
          <t>55M</t>
        </is>
      </c>
      <c r="D118" s="2" t="inlineStr">
        <is>
          <t>a1</t>
        </is>
      </c>
      <c r="E118" s="2" t="inlineStr">
        <is>
          <t>2.0mm</t>
        </is>
      </c>
      <c r="F118" s="2" t="n">
        <v>2</v>
      </c>
      <c r="G118" s="2" t="n">
        <v>55</v>
      </c>
      <c r="H118" s="2" t="inlineStr">
        <is>
          <t>LC/PC</t>
        </is>
      </c>
      <c r="I118" s="2" t="inlineStr">
        <is>
          <t>FC/APC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n">
        <v>2</v>
      </c>
      <c r="R118" s="2" t="n"/>
      <c r="S118" s="2" t="n"/>
      <c r="T118" s="2" t="n"/>
      <c r="U118" s="2" t="n"/>
      <c r="V118" s="2">
        <f>SUM(J118:U118)</f>
        <v/>
      </c>
      <c r="W118" s="2" t="n">
        <v>4</v>
      </c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>
        <v>4</v>
      </c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>
        <f>IF(F118=1,V118*2,IF(F118=2,V118*F118*2,IF(F118&gt;2,F118*2*V118)))</f>
        <v/>
      </c>
      <c r="AW118" s="2">
        <f>SUM(W118:AU118)</f>
        <v/>
      </c>
    </row>
    <row r="119">
      <c r="A119" s="2" t="inlineStr">
        <is>
          <t>14-D-192</t>
        </is>
      </c>
      <c r="B119" s="3" t="inlineStr">
        <is>
          <t>DOJC-SM-LC/PC-FC/PC</t>
        </is>
      </c>
      <c r="C119" s="2" t="inlineStr">
        <is>
          <t>10M</t>
        </is>
      </c>
      <c r="D119" s="2" t="inlineStr">
        <is>
          <t>a1</t>
        </is>
      </c>
      <c r="E119" s="2" t="inlineStr">
        <is>
          <t>2.0mm</t>
        </is>
      </c>
      <c r="F119" s="2" t="n">
        <v>2</v>
      </c>
      <c r="G119" s="2" t="n">
        <v>10</v>
      </c>
      <c r="H119" s="2" t="inlineStr">
        <is>
          <t>LC/PC</t>
        </is>
      </c>
      <c r="I119" s="2" t="inlineStr">
        <is>
          <t>FC/PC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>
        <v>16</v>
      </c>
      <c r="T119" s="2" t="n"/>
      <c r="U119" s="2" t="n"/>
      <c r="V119" s="2">
        <f>SUM(J119:U119)</f>
        <v/>
      </c>
      <c r="W119" s="2" t="n">
        <v>32</v>
      </c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>
        <v>32</v>
      </c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>
        <f>IF(F119=1,V119*2,IF(F119=2,V119*F119*2,IF(F119&gt;2,F119*2*V119)))</f>
        <v/>
      </c>
      <c r="AW119" s="2">
        <f>SUM(W119:AU119)</f>
        <v/>
      </c>
    </row>
    <row r="120">
      <c r="A120" s="2" t="inlineStr">
        <is>
          <t>14-D-196</t>
        </is>
      </c>
      <c r="B120" s="3" t="inlineStr">
        <is>
          <t>DOJC-SM-LC/PC-FC/PC</t>
        </is>
      </c>
      <c r="C120" s="2" t="inlineStr">
        <is>
          <t>15M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15</v>
      </c>
      <c r="H120" s="2" t="inlineStr">
        <is>
          <t>LC/PC</t>
        </is>
      </c>
      <c r="I120" s="2" t="inlineStr">
        <is>
          <t>FC/PC</t>
        </is>
      </c>
      <c r="J120" s="2" t="n">
        <v>2</v>
      </c>
      <c r="K120" s="2" t="n"/>
      <c r="L120" s="2" t="n"/>
      <c r="M120" s="2" t="n"/>
      <c r="N120" s="2" t="n">
        <v>10</v>
      </c>
      <c r="O120" s="2" t="n"/>
      <c r="P120" s="2" t="n"/>
      <c r="Q120" s="2" t="n"/>
      <c r="R120" s="2" t="n"/>
      <c r="S120" s="2" t="n"/>
      <c r="T120" s="2" t="n"/>
      <c r="U120" s="2" t="n"/>
      <c r="V120" s="2">
        <f>SUM(J120:U120)</f>
        <v/>
      </c>
      <c r="W120" s="2" t="n">
        <v>24</v>
      </c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>
        <v>24</v>
      </c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>
        <f>IF(F120=1,V120*2,IF(F120=2,V120*F120*2,IF(F120&gt;2,F120*2*V120)))</f>
        <v/>
      </c>
      <c r="AW120" s="2">
        <f>SUM(W120:AU120)</f>
        <v/>
      </c>
    </row>
    <row r="121">
      <c r="A121" s="2" t="inlineStr">
        <is>
          <t>14-D-199</t>
        </is>
      </c>
      <c r="B121" s="3" t="inlineStr">
        <is>
          <t>DOJC-SM-LC/PC-FC/PC</t>
        </is>
      </c>
      <c r="C121" s="2" t="inlineStr">
        <is>
          <t>20M</t>
        </is>
      </c>
      <c r="D121" s="2" t="inlineStr">
        <is>
          <t>a1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LC/PC</t>
        </is>
      </c>
      <c r="I121" s="2" t="inlineStr">
        <is>
          <t>FC/PC</t>
        </is>
      </c>
      <c r="J121" s="2" t="n"/>
      <c r="K121" s="2" t="n"/>
      <c r="L121" s="2" t="n"/>
      <c r="M121" s="2" t="n"/>
      <c r="N121" s="2" t="n">
        <v>6</v>
      </c>
      <c r="O121" s="2" t="n"/>
      <c r="P121" s="2" t="n"/>
      <c r="Q121" s="2" t="n"/>
      <c r="R121" s="2" t="n"/>
      <c r="S121" s="2" t="n"/>
      <c r="T121" s="2" t="n"/>
      <c r="U121" s="2" t="n"/>
      <c r="V121" s="2">
        <f>SUM(J121:U121)</f>
        <v/>
      </c>
      <c r="W121" s="2" t="n">
        <v>12</v>
      </c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>
        <v>12</v>
      </c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>
        <f>IF(F121=1,V121*2,IF(F121=2,V121*F121*2,IF(F121&gt;2,F121*2*V121)))</f>
        <v/>
      </c>
      <c r="AW121" s="2">
        <f>SUM(W121:AU121)</f>
        <v/>
      </c>
    </row>
    <row r="122">
      <c r="A122" s="2" t="inlineStr">
        <is>
          <t>14-D-204</t>
        </is>
      </c>
      <c r="B122" s="3" t="inlineStr">
        <is>
          <t>DOJC-SM-LC/PC-FC/PC</t>
        </is>
      </c>
      <c r="C122" s="2" t="inlineStr">
        <is>
          <t>2M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2</v>
      </c>
      <c r="H122" s="2" t="inlineStr">
        <is>
          <t>LC/PC</t>
        </is>
      </c>
      <c r="I122" s="2" t="inlineStr">
        <is>
          <t>FC/PC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20</v>
      </c>
      <c r="S122" s="2" t="n"/>
      <c r="T122" s="2" t="n"/>
      <c r="U122" s="2" t="n"/>
      <c r="V122" s="2">
        <f>SUM(J122:U122)</f>
        <v/>
      </c>
      <c r="W122" s="2" t="n">
        <v>40</v>
      </c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>
        <v>40</v>
      </c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>
        <f>IF(F122=1,V122*2,IF(F122=2,V122*F122*2,IF(F122&gt;2,F122*2*V122)))</f>
        <v/>
      </c>
      <c r="AW122" s="2">
        <f>SUM(W122:AU122)</f>
        <v/>
      </c>
    </row>
    <row r="123">
      <c r="A123" s="2" t="inlineStr">
        <is>
          <t>14-D-206</t>
        </is>
      </c>
      <c r="B123" s="3" t="inlineStr">
        <is>
          <t>DOJC-SM-LC/PC-FC/PC</t>
        </is>
      </c>
      <c r="C123" s="2" t="inlineStr">
        <is>
          <t>35M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35</v>
      </c>
      <c r="H123" s="2" t="inlineStr">
        <is>
          <t>LC/PC</t>
        </is>
      </c>
      <c r="I123" s="2" t="inlineStr">
        <is>
          <t>FC/PC</t>
        </is>
      </c>
      <c r="J123" s="2" t="n">
        <v>2</v>
      </c>
      <c r="K123" s="2" t="n"/>
      <c r="L123" s="2" t="n"/>
      <c r="M123" s="2" t="n"/>
      <c r="N123" s="2" t="n"/>
      <c r="O123" s="2" t="n">
        <v>50</v>
      </c>
      <c r="P123" s="2" t="n"/>
      <c r="Q123" s="2" t="n"/>
      <c r="R123" s="2" t="n"/>
      <c r="S123" s="2" t="n"/>
      <c r="T123" s="2" t="n"/>
      <c r="U123" s="2" t="n"/>
      <c r="V123" s="2">
        <f>SUM(J123:U123)</f>
        <v/>
      </c>
      <c r="W123" s="2" t="n">
        <v>104</v>
      </c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>
        <v>104</v>
      </c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>
        <f>IF(F123=1,V123*2,IF(F123=2,V123*F123*2,IF(F123&gt;2,F123*2*V123)))</f>
        <v/>
      </c>
      <c r="AW123" s="2">
        <f>SUM(W123:AU123)</f>
        <v/>
      </c>
    </row>
    <row r="124">
      <c r="A124" s="2" t="inlineStr">
        <is>
          <t>14-D-207</t>
        </is>
      </c>
      <c r="B124" s="3" t="inlineStr">
        <is>
          <t>DOJC-SM-LC/PC-FC/PC</t>
        </is>
      </c>
      <c r="C124" s="2" t="inlineStr">
        <is>
          <t>3M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3</v>
      </c>
      <c r="H124" s="2" t="inlineStr">
        <is>
          <t>LC/PC</t>
        </is>
      </c>
      <c r="I124" s="2" t="inlineStr">
        <is>
          <t>FC/PC</t>
        </is>
      </c>
      <c r="J124" s="2" t="n"/>
      <c r="K124" s="2" t="n"/>
      <c r="L124" s="2" t="n"/>
      <c r="M124" s="2" t="n"/>
      <c r="N124" s="2" t="n"/>
      <c r="O124" s="2" t="n"/>
      <c r="P124" s="2" t="n">
        <v>10</v>
      </c>
      <c r="Q124" s="2" t="n"/>
      <c r="R124" s="2" t="n"/>
      <c r="S124" s="2" t="n"/>
      <c r="T124" s="2" t="n"/>
      <c r="U124" s="2" t="n"/>
      <c r="V124" s="2">
        <f>SUM(J124:U124)</f>
        <v/>
      </c>
      <c r="W124" s="2" t="n">
        <v>20</v>
      </c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>
        <v>20</v>
      </c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>
        <f>IF(F124=1,V124*2,IF(F124=2,V124*F124*2,IF(F124&gt;2,F124*2*V124)))</f>
        <v/>
      </c>
      <c r="AW124" s="2">
        <f>SUM(W124:AU124)</f>
        <v/>
      </c>
    </row>
    <row r="125">
      <c r="A125" s="2" t="inlineStr">
        <is>
          <t>14-D-208</t>
        </is>
      </c>
      <c r="B125" s="3" t="inlineStr">
        <is>
          <t>DOJC-SM-LC/PC-FC/PC</t>
        </is>
      </c>
      <c r="C125" s="2" t="inlineStr">
        <is>
          <t>40M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40</v>
      </c>
      <c r="H125" s="2" t="inlineStr">
        <is>
          <t>LC/PC</t>
        </is>
      </c>
      <c r="I125" s="2" t="inlineStr">
        <is>
          <t>FC/PC</t>
        </is>
      </c>
      <c r="J125" s="2" t="n"/>
      <c r="K125" s="2" t="n"/>
      <c r="L125" s="2" t="n"/>
      <c r="M125" s="2" t="n"/>
      <c r="N125" s="2" t="n"/>
      <c r="O125" s="2" t="n">
        <v>6</v>
      </c>
      <c r="P125" s="2" t="n"/>
      <c r="Q125" s="2" t="n"/>
      <c r="R125" s="2" t="n"/>
      <c r="S125" s="2" t="n"/>
      <c r="T125" s="2" t="n"/>
      <c r="U125" s="2" t="n"/>
      <c r="V125" s="2">
        <f>SUM(J125:U125)</f>
        <v/>
      </c>
      <c r="W125" s="2" t="n">
        <v>12</v>
      </c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>
        <v>12</v>
      </c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>
        <f>IF(F125=1,V125*2,IF(F125=2,V125*F125*2,IF(F125&gt;2,F125*2*V125)))</f>
        <v/>
      </c>
      <c r="AW125" s="2">
        <f>SUM(W125:AU125)</f>
        <v/>
      </c>
    </row>
    <row r="126">
      <c r="A126" s="2" t="inlineStr">
        <is>
          <t>14-D-209</t>
        </is>
      </c>
      <c r="B126" s="3" t="inlineStr">
        <is>
          <t>DOJC-SM-LC/PC-FC/PC</t>
        </is>
      </c>
      <c r="C126" s="2" t="inlineStr">
        <is>
          <t>45M</t>
        </is>
      </c>
      <c r="D126" s="2" t="inlineStr">
        <is>
          <t>a1</t>
        </is>
      </c>
      <c r="E126" s="2" t="inlineStr">
        <is>
          <t>2.0mm</t>
        </is>
      </c>
      <c r="F126" s="2" t="n">
        <v>2</v>
      </c>
      <c r="G126" s="2" t="n">
        <v>45</v>
      </c>
      <c r="H126" s="2" t="inlineStr">
        <is>
          <t>LC/PC</t>
        </is>
      </c>
      <c r="I126" s="2" t="inlineStr">
        <is>
          <t>FC/PC</t>
        </is>
      </c>
      <c r="J126" s="2" t="n"/>
      <c r="K126" s="2" t="n"/>
      <c r="L126" s="2" t="n"/>
      <c r="M126" s="2" t="n"/>
      <c r="N126" s="2" t="n"/>
      <c r="O126" s="2" t="n">
        <v>3</v>
      </c>
      <c r="P126" s="2" t="n"/>
      <c r="Q126" s="2" t="n"/>
      <c r="R126" s="2" t="n"/>
      <c r="S126" s="2" t="n"/>
      <c r="T126" s="2" t="n"/>
      <c r="U126" s="2" t="n"/>
      <c r="V126" s="2">
        <f>SUM(J126:U126)</f>
        <v/>
      </c>
      <c r="W126" s="2" t="n">
        <v>6</v>
      </c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>
        <v>6</v>
      </c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>
        <f>IF(F126=1,V126*2,IF(F126=2,V126*F126*2,IF(F126&gt;2,F126*2*V126)))</f>
        <v/>
      </c>
      <c r="AW126" s="2">
        <f>SUM(W126:AU126)</f>
        <v/>
      </c>
    </row>
    <row r="127">
      <c r="A127" s="2" t="inlineStr">
        <is>
          <t>14-D-210</t>
        </is>
      </c>
      <c r="B127" s="3" t="inlineStr">
        <is>
          <t>DOJC-SM-LC/PC-FC/PC</t>
        </is>
      </c>
      <c r="C127" s="2" t="inlineStr">
        <is>
          <t>50M</t>
        </is>
      </c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50</v>
      </c>
      <c r="H127" s="2" t="inlineStr">
        <is>
          <t>LC/PC</t>
        </is>
      </c>
      <c r="I127" s="2" t="inlineStr">
        <is>
          <t>FC/PC</t>
        </is>
      </c>
      <c r="J127" s="2" t="n"/>
      <c r="K127" s="2" t="n"/>
      <c r="L127" s="2" t="n"/>
      <c r="M127" s="2" t="n"/>
      <c r="N127" s="2" t="n"/>
      <c r="O127" s="2" t="n">
        <v>6</v>
      </c>
      <c r="P127" s="2" t="n"/>
      <c r="Q127" s="2" t="n"/>
      <c r="R127" s="2" t="n"/>
      <c r="S127" s="2" t="n"/>
      <c r="T127" s="2" t="n"/>
      <c r="U127" s="2" t="n"/>
      <c r="V127" s="2">
        <f>SUM(J127:U127)</f>
        <v/>
      </c>
      <c r="W127" s="2" t="n">
        <v>12</v>
      </c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>
        <v>12</v>
      </c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>
        <f>IF(F127=1,V127*2,IF(F127=2,V127*F127*2,IF(F127&gt;2,F127*2*V127)))</f>
        <v/>
      </c>
      <c r="AW127" s="2">
        <f>SUM(W127:AU127)</f>
        <v/>
      </c>
    </row>
    <row r="128">
      <c r="A128" s="2" t="inlineStr">
        <is>
          <t>14-D-223</t>
        </is>
      </c>
      <c r="B128" s="3" t="inlineStr">
        <is>
          <t>DOJC-SM-LC/PC-LC/PC</t>
        </is>
      </c>
      <c r="C128" s="2" t="inlineStr">
        <is>
          <t>10M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10</v>
      </c>
      <c r="H128" s="2" t="inlineStr">
        <is>
          <t>LC/PC</t>
        </is>
      </c>
      <c r="I128" s="2" t="inlineStr">
        <is>
          <t>LC/PC</t>
        </is>
      </c>
      <c r="J128" s="2" t="n"/>
      <c r="K128" s="2" t="n"/>
      <c r="L128" s="2" t="n">
        <v>170</v>
      </c>
      <c r="M128" s="2" t="n">
        <v>10</v>
      </c>
      <c r="N128" s="2" t="n">
        <v>5</v>
      </c>
      <c r="O128" s="2" t="n">
        <v>30</v>
      </c>
      <c r="P128" s="2" t="n">
        <v>20</v>
      </c>
      <c r="Q128" s="2" t="n">
        <v>50</v>
      </c>
      <c r="R128" s="2" t="n"/>
      <c r="S128" s="2" t="n"/>
      <c r="T128" s="2" t="n">
        <v>100</v>
      </c>
      <c r="U128" s="2" t="n"/>
      <c r="V128" s="2">
        <f>SUM(J128:U128)</f>
        <v/>
      </c>
      <c r="W128" s="2" t="n">
        <v>770</v>
      </c>
      <c r="X128" s="2" t="n">
        <v>770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>
        <f>IF(F128=1,V128*2,IF(F128=2,V128*F128*2,IF(F128&gt;2,F128*2*V128)))</f>
        <v/>
      </c>
      <c r="AW128" s="2">
        <f>SUM(W128:AU128)</f>
        <v/>
      </c>
    </row>
    <row r="129">
      <c r="A129" s="2" t="inlineStr">
        <is>
          <t>14-D-225</t>
        </is>
      </c>
      <c r="B129" s="3" t="inlineStr">
        <is>
          <t>DOJC-SM-LC/PC-LC/PC</t>
        </is>
      </c>
      <c r="C129" s="2" t="inlineStr">
        <is>
          <t>12M</t>
        </is>
      </c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>
        <v>12</v>
      </c>
      <c r="H129" s="2" t="inlineStr">
        <is>
          <t>LC/PC</t>
        </is>
      </c>
      <c r="I129" s="2" t="inlineStr">
        <is>
          <t>LC/PC</t>
        </is>
      </c>
      <c r="J129" s="2" t="n"/>
      <c r="K129" s="2" t="n"/>
      <c r="L129" s="2" t="n"/>
      <c r="M129" s="2" t="n"/>
      <c r="N129" s="2" t="n">
        <v>20</v>
      </c>
      <c r="O129" s="2" t="n">
        <v>1</v>
      </c>
      <c r="P129" s="2" t="n"/>
      <c r="Q129" s="2" t="n"/>
      <c r="R129" s="2" t="n"/>
      <c r="S129" s="2" t="n"/>
      <c r="T129" s="2" t="n"/>
      <c r="U129" s="2" t="n"/>
      <c r="V129" s="2">
        <f>SUM(J129:U129)</f>
        <v/>
      </c>
      <c r="W129" s="2" t="n">
        <v>42</v>
      </c>
      <c r="X129" s="2" t="n">
        <v>42</v>
      </c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>
        <f>IF(F129=1,V129*2,IF(F129=2,V129*F129*2,IF(F129&gt;2,F129*2*V129)))</f>
        <v/>
      </c>
      <c r="AW129" s="2">
        <f>SUM(W129:AU129)</f>
        <v/>
      </c>
    </row>
    <row r="130">
      <c r="A130" s="2" t="inlineStr">
        <is>
          <t>14-D-228</t>
        </is>
      </c>
      <c r="B130" s="3" t="inlineStr">
        <is>
          <t>DOJC-SM-LC/PC-LC/PC</t>
        </is>
      </c>
      <c r="C130" s="2" t="inlineStr">
        <is>
          <t>15M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15</v>
      </c>
      <c r="H130" s="2" t="inlineStr">
        <is>
          <t>LC/PC</t>
        </is>
      </c>
      <c r="I130" s="2" t="inlineStr">
        <is>
          <t>LC/PC</t>
        </is>
      </c>
      <c r="J130" s="2" t="n"/>
      <c r="K130" s="2" t="n">
        <v>150</v>
      </c>
      <c r="L130" s="2" t="n"/>
      <c r="M130" s="2" t="n">
        <v>10</v>
      </c>
      <c r="N130" s="2" t="n"/>
      <c r="O130" s="2" t="n"/>
      <c r="P130" s="2" t="n"/>
      <c r="Q130" s="2" t="n">
        <v>110</v>
      </c>
      <c r="R130" s="2" t="n"/>
      <c r="S130" s="2" t="n"/>
      <c r="T130" s="2" t="n"/>
      <c r="U130" s="2" t="n"/>
      <c r="V130" s="2">
        <f>SUM(J130:U130)</f>
        <v/>
      </c>
      <c r="W130" s="2" t="n">
        <v>540</v>
      </c>
      <c r="X130" s="2" t="n">
        <v>540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>
        <f>IF(F130=1,V130*2,IF(F130=2,V130*F130*2,IF(F130&gt;2,F130*2*V130)))</f>
        <v/>
      </c>
      <c r="AW130" s="2">
        <f>SUM(W130:AU130)</f>
        <v/>
      </c>
    </row>
    <row r="131">
      <c r="A131" s="2" t="inlineStr">
        <is>
          <t>14-D-228R</t>
        </is>
      </c>
      <c r="B131" s="3" t="inlineStr">
        <is>
          <t>DOJC-SM-LC/PC-LC/PC</t>
        </is>
      </c>
      <c r="C131" s="2" t="inlineStr">
        <is>
          <t>15M_적색케이블</t>
        </is>
      </c>
      <c r="D131" s="2" t="inlineStr">
        <is>
          <t>a1-적</t>
        </is>
      </c>
      <c r="E131" s="2" t="inlineStr">
        <is>
          <t>2.0mm</t>
        </is>
      </c>
      <c r="F131" s="2" t="n">
        <v>2</v>
      </c>
      <c r="G131" s="2" t="n">
        <v>15</v>
      </c>
      <c r="H131" s="2" t="inlineStr">
        <is>
          <t>LC/PC</t>
        </is>
      </c>
      <c r="I131" s="2" t="inlineStr">
        <is>
          <t>LC/PC</t>
        </is>
      </c>
      <c r="J131" s="2" t="n"/>
      <c r="K131" s="2" t="n">
        <v>1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>
        <f>SUM(J131:U131)</f>
        <v/>
      </c>
      <c r="W131" s="2" t="n">
        <v>2</v>
      </c>
      <c r="X131" s="2" t="n">
        <v>2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>
        <f>IF(F131=1,V131*2,IF(F131=2,V131*F131*2,IF(F131&gt;2,F131*2*V131)))</f>
        <v/>
      </c>
      <c r="AW131" s="2">
        <f>SUM(W131:AU131)</f>
        <v/>
      </c>
    </row>
    <row r="132">
      <c r="A132" s="2" t="inlineStr">
        <is>
          <t>14-D-233</t>
        </is>
      </c>
      <c r="B132" s="3" t="inlineStr">
        <is>
          <t>DOJC-SM-LC/PC-LC/PC</t>
        </is>
      </c>
      <c r="C132" s="2" t="inlineStr">
        <is>
          <t>1M</t>
        </is>
      </c>
      <c r="D132" s="2" t="inlineStr">
        <is>
          <t>a1</t>
        </is>
      </c>
      <c r="E132" s="2" t="inlineStr">
        <is>
          <t>2.0mm</t>
        </is>
      </c>
      <c r="F132" s="2" t="n">
        <v>2</v>
      </c>
      <c r="G132" s="2" t="n">
        <v>1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>
        <v>50</v>
      </c>
      <c r="U132" s="2" t="n"/>
      <c r="V132" s="2">
        <f>SUM(J132:U132)</f>
        <v/>
      </c>
      <c r="W132" s="2" t="n">
        <v>100</v>
      </c>
      <c r="X132" s="2" t="n">
        <v>100</v>
      </c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>
        <f>IF(F132=1,V132*2,IF(F132=2,V132*F132*2,IF(F132&gt;2,F132*2*V132)))</f>
        <v/>
      </c>
      <c r="AW132" s="2">
        <f>SUM(W132:AU132)</f>
        <v/>
      </c>
    </row>
    <row r="133">
      <c r="A133" s="2" t="inlineStr">
        <is>
          <t>14-D-234</t>
        </is>
      </c>
      <c r="B133" s="3" t="inlineStr">
        <is>
          <t>DOJC-SM-LC/PC-LC/PC</t>
        </is>
      </c>
      <c r="C133" s="2" t="inlineStr">
        <is>
          <t>20M</t>
        </is>
      </c>
      <c r="D133" s="2" t="inlineStr">
        <is>
          <t>a1</t>
        </is>
      </c>
      <c r="E133" s="2" t="inlineStr">
        <is>
          <t>2.0mm</t>
        </is>
      </c>
      <c r="F133" s="2" t="n">
        <v>2</v>
      </c>
      <c r="G133" s="2" t="n">
        <v>20</v>
      </c>
      <c r="H133" s="2" t="inlineStr">
        <is>
          <t>LC/PC</t>
        </is>
      </c>
      <c r="I133" s="2" t="inlineStr">
        <is>
          <t>LC/PC</t>
        </is>
      </c>
      <c r="J133" s="2" t="n">
        <v>30</v>
      </c>
      <c r="K133" s="2" t="n">
        <v>1</v>
      </c>
      <c r="L133" s="2" t="n"/>
      <c r="M133" s="2" t="n"/>
      <c r="N133" s="2" t="n">
        <v>30</v>
      </c>
      <c r="O133" s="2" t="n">
        <v>149</v>
      </c>
      <c r="P133" s="2" t="n"/>
      <c r="Q133" s="2" t="n">
        <v>10</v>
      </c>
      <c r="R133" s="2" t="n"/>
      <c r="S133" s="2" t="n">
        <v>10</v>
      </c>
      <c r="T133" s="2" t="n">
        <v>20</v>
      </c>
      <c r="U133" s="2" t="n"/>
      <c r="V133" s="2">
        <f>SUM(J133:U133)</f>
        <v/>
      </c>
      <c r="W133" s="2" t="n">
        <v>500</v>
      </c>
      <c r="X133" s="2" t="n">
        <v>500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>
        <f>IF(F133=1,V133*2,IF(F133=2,V133*F133*2,IF(F133&gt;2,F133*2*V133)))</f>
        <v/>
      </c>
      <c r="AW133" s="2">
        <f>SUM(W133:AU133)</f>
        <v/>
      </c>
    </row>
    <row r="134">
      <c r="A134" s="2" t="inlineStr">
        <is>
          <t>14-D-234R</t>
        </is>
      </c>
      <c r="B134" s="3" t="inlineStr">
        <is>
          <t>DOJC-SM-LC/PC-LC/PC</t>
        </is>
      </c>
      <c r="C134" s="2" t="inlineStr">
        <is>
          <t>20M_적색케이블</t>
        </is>
      </c>
      <c r="D134" s="2" t="inlineStr">
        <is>
          <t>a1-적</t>
        </is>
      </c>
      <c r="E134" s="2" t="inlineStr">
        <is>
          <t>2.0mm</t>
        </is>
      </c>
      <c r="F134" s="2" t="n">
        <v>2</v>
      </c>
      <c r="G134" s="2" t="n">
        <v>20</v>
      </c>
      <c r="H134" s="2" t="inlineStr">
        <is>
          <t>LC/PC</t>
        </is>
      </c>
      <c r="I134" s="2" t="inlineStr">
        <is>
          <t>LC/PC</t>
        </is>
      </c>
      <c r="J134" s="2" t="n">
        <v>4</v>
      </c>
      <c r="K134" s="2" t="n"/>
      <c r="L134" s="2" t="n">
        <v>20</v>
      </c>
      <c r="M134" s="2" t="n"/>
      <c r="N134" s="2" t="n"/>
      <c r="O134" s="2" t="n">
        <v>20</v>
      </c>
      <c r="P134" s="2" t="n"/>
      <c r="Q134" s="2" t="n"/>
      <c r="R134" s="2" t="n"/>
      <c r="S134" s="2" t="n"/>
      <c r="T134" s="2" t="n">
        <v>20</v>
      </c>
      <c r="U134" s="2" t="n"/>
      <c r="V134" s="2">
        <f>SUM(J134:U134)</f>
        <v/>
      </c>
      <c r="W134" s="2" t="n">
        <v>128</v>
      </c>
      <c r="X134" s="2" t="n">
        <v>128</v>
      </c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>
        <f>IF(F134=1,V134*2,IF(F134=2,V134*F134*2,IF(F134&gt;2,F134*2*V134)))</f>
        <v/>
      </c>
      <c r="AW134" s="2">
        <f>SUM(W134:AU134)</f>
        <v/>
      </c>
    </row>
    <row r="135">
      <c r="A135" s="2" t="inlineStr">
        <is>
          <t>14-D-237</t>
        </is>
      </c>
      <c r="B135" s="3" t="inlineStr">
        <is>
          <t>DOJC-SM-LC/PC-LC/PC</t>
        </is>
      </c>
      <c r="C135" s="2" t="inlineStr">
        <is>
          <t>25M</t>
        </is>
      </c>
      <c r="D135" s="2" t="inlineStr">
        <is>
          <t>a1</t>
        </is>
      </c>
      <c r="E135" s="2" t="inlineStr">
        <is>
          <t>2.0mm</t>
        </is>
      </c>
      <c r="F135" s="2" t="n">
        <v>2</v>
      </c>
      <c r="G135" s="2" t="n">
        <v>25</v>
      </c>
      <c r="H135" s="2" t="inlineStr">
        <is>
          <t>LC/PC</t>
        </is>
      </c>
      <c r="I135" s="2" t="inlineStr">
        <is>
          <t>LC/PC</t>
        </is>
      </c>
      <c r="J135" s="2" t="n"/>
      <c r="K135" s="2" t="n"/>
      <c r="L135" s="2" t="n"/>
      <c r="M135" s="2" t="n"/>
      <c r="N135" s="2" t="n"/>
      <c r="O135" s="2" t="n">
        <v>60</v>
      </c>
      <c r="P135" s="2" t="n"/>
      <c r="Q135" s="2" t="n">
        <v>10</v>
      </c>
      <c r="R135" s="2" t="n"/>
      <c r="S135" s="2" t="n">
        <v>10</v>
      </c>
      <c r="T135" s="2" t="n">
        <v>10</v>
      </c>
      <c r="U135" s="2" t="n"/>
      <c r="V135" s="2">
        <f>SUM(J135:U135)</f>
        <v/>
      </c>
      <c r="W135" s="2" t="n">
        <v>180</v>
      </c>
      <c r="X135" s="2" t="n">
        <v>180</v>
      </c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>
        <f>IF(F135=1,V135*2,IF(F135=2,V135*F135*2,IF(F135&gt;2,F135*2*V135)))</f>
        <v/>
      </c>
      <c r="AW135" s="2">
        <f>SUM(W135:AU135)</f>
        <v/>
      </c>
    </row>
    <row r="136">
      <c r="A136" s="2" t="inlineStr">
        <is>
          <t>14-D-240</t>
        </is>
      </c>
      <c r="B136" s="3" t="inlineStr">
        <is>
          <t>DOJC-SM-LC/PC-LC/PC</t>
        </is>
      </c>
      <c r="C136" s="2" t="inlineStr">
        <is>
          <t>2M</t>
        </is>
      </c>
      <c r="D136" s="2" t="inlineStr">
        <is>
          <t>a1</t>
        </is>
      </c>
      <c r="E136" s="2" t="inlineStr">
        <is>
          <t>2.0mm</t>
        </is>
      </c>
      <c r="F136" s="2" t="n">
        <v>2</v>
      </c>
      <c r="G136" s="2" t="n">
        <v>2</v>
      </c>
      <c r="H136" s="2" t="inlineStr">
        <is>
          <t>LC/PC</t>
        </is>
      </c>
      <c r="I136" s="2" t="inlineStr">
        <is>
          <t>LC/PC</t>
        </is>
      </c>
      <c r="J136" s="2" t="n"/>
      <c r="K136" s="2" t="n">
        <v>262</v>
      </c>
      <c r="L136" s="2" t="n"/>
      <c r="M136" s="2" t="n"/>
      <c r="N136" s="2" t="n">
        <v>50</v>
      </c>
      <c r="O136" s="2" t="n">
        <v>45</v>
      </c>
      <c r="P136" s="2" t="n">
        <v>110</v>
      </c>
      <c r="Q136" s="2" t="n"/>
      <c r="R136" s="2" t="n">
        <v>10</v>
      </c>
      <c r="S136" s="2" t="n"/>
      <c r="T136" s="2" t="n"/>
      <c r="U136" s="2" t="n"/>
      <c r="V136" s="2">
        <f>SUM(J136:U136)</f>
        <v/>
      </c>
      <c r="W136" s="2" t="n">
        <v>954</v>
      </c>
      <c r="X136" s="2" t="n">
        <v>954</v>
      </c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>
        <f>IF(F136=1,V136*2,IF(F136=2,V136*F136*2,IF(F136&gt;2,F136*2*V136)))</f>
        <v/>
      </c>
      <c r="AW136" s="2">
        <f>SUM(W136:AU136)</f>
        <v/>
      </c>
    </row>
    <row r="137">
      <c r="A137" s="2" t="inlineStr">
        <is>
          <t>14-D-241</t>
        </is>
      </c>
      <c r="B137" s="3" t="inlineStr">
        <is>
          <t>DOJC-SM-LC/PC-LC/PC</t>
        </is>
      </c>
      <c r="C137" s="2" t="inlineStr">
        <is>
          <t>30M</t>
        </is>
      </c>
      <c r="D137" s="2" t="inlineStr">
        <is>
          <t>a1</t>
        </is>
      </c>
      <c r="E137" s="2" t="inlineStr">
        <is>
          <t>2.0mm</t>
        </is>
      </c>
      <c r="F137" s="2" t="n">
        <v>2</v>
      </c>
      <c r="G137" s="2" t="n">
        <v>30</v>
      </c>
      <c r="H137" s="2" t="inlineStr">
        <is>
          <t>LC/PC</t>
        </is>
      </c>
      <c r="I137" s="2" t="inlineStr">
        <is>
          <t>LC/PC</t>
        </is>
      </c>
      <c r="J137" s="2" t="n"/>
      <c r="K137" s="2" t="n"/>
      <c r="L137" s="2" t="n">
        <v>2</v>
      </c>
      <c r="M137" s="2" t="n"/>
      <c r="N137" s="2" t="n"/>
      <c r="O137" s="2" t="n">
        <v>50</v>
      </c>
      <c r="P137" s="2" t="n"/>
      <c r="Q137" s="2" t="n">
        <v>10</v>
      </c>
      <c r="R137" s="2" t="n"/>
      <c r="S137" s="2" t="n">
        <v>10</v>
      </c>
      <c r="T137" s="2" t="n">
        <v>10</v>
      </c>
      <c r="U137" s="2" t="n"/>
      <c r="V137" s="2">
        <f>SUM(J137:U137)</f>
        <v/>
      </c>
      <c r="W137" s="2" t="n">
        <v>164</v>
      </c>
      <c r="X137" s="2" t="n">
        <v>164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>
        <f>IF(F137=1,V137*2,IF(F137=2,V137*F137*2,IF(F137&gt;2,F137*2*V137)))</f>
        <v/>
      </c>
      <c r="AW137" s="2">
        <f>SUM(W137:AU137)</f>
        <v/>
      </c>
    </row>
    <row r="138">
      <c r="A138" s="2" t="inlineStr">
        <is>
          <t>14-D-243</t>
        </is>
      </c>
      <c r="B138" s="3" t="inlineStr">
        <is>
          <t>DOJC-SM-LC/PC-LC/PC</t>
        </is>
      </c>
      <c r="C138" s="2" t="inlineStr">
        <is>
          <t>35M</t>
        </is>
      </c>
      <c r="D138" s="2" t="inlineStr">
        <is>
          <t>a1</t>
        </is>
      </c>
      <c r="E138" s="2" t="inlineStr">
        <is>
          <t>2.0mm</t>
        </is>
      </c>
      <c r="F138" s="2" t="n">
        <v>2</v>
      </c>
      <c r="G138" s="2" t="n">
        <v>35</v>
      </c>
      <c r="H138" s="2" t="inlineStr">
        <is>
          <t>LC/PC</t>
        </is>
      </c>
      <c r="I138" s="2" t="inlineStr">
        <is>
          <t>LC/PC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n">
        <v>4</v>
      </c>
      <c r="R138" s="2" t="n"/>
      <c r="S138" s="2" t="n"/>
      <c r="T138" s="2" t="n">
        <v>10</v>
      </c>
      <c r="U138" s="2" t="n"/>
      <c r="V138" s="2">
        <f>SUM(J138:U138)</f>
        <v/>
      </c>
      <c r="W138" s="2" t="n">
        <v>28</v>
      </c>
      <c r="X138" s="2" t="n">
        <v>28</v>
      </c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>
        <f>IF(F138=1,V138*2,IF(F138=2,V138*F138*2,IF(F138&gt;2,F138*2*V138)))</f>
        <v/>
      </c>
      <c r="AW138" s="2">
        <f>SUM(W138:AU138)</f>
        <v/>
      </c>
    </row>
    <row r="139">
      <c r="A139" s="2" t="inlineStr">
        <is>
          <t>14-D-244</t>
        </is>
      </c>
      <c r="B139" s="3" t="inlineStr">
        <is>
          <t>DOJC-SM-LC/PC-LC/PC</t>
        </is>
      </c>
      <c r="C139" s="2" t="inlineStr">
        <is>
          <t>3M</t>
        </is>
      </c>
      <c r="D139" s="2" t="inlineStr">
        <is>
          <t>a1</t>
        </is>
      </c>
      <c r="E139" s="2" t="inlineStr">
        <is>
          <t>2.0mm</t>
        </is>
      </c>
      <c r="F139" s="2" t="n">
        <v>2</v>
      </c>
      <c r="G139" s="2" t="n">
        <v>3</v>
      </c>
      <c r="H139" s="2" t="inlineStr">
        <is>
          <t>LC/PC</t>
        </is>
      </c>
      <c r="I139" s="2" t="inlineStr">
        <is>
          <t>LC/PC</t>
        </is>
      </c>
      <c r="J139" s="2" t="n"/>
      <c r="K139" s="2" t="n">
        <v>2</v>
      </c>
      <c r="L139" s="2" t="n"/>
      <c r="M139" s="2" t="n"/>
      <c r="N139" s="2" t="n">
        <v>65</v>
      </c>
      <c r="O139" s="2" t="n">
        <v>280</v>
      </c>
      <c r="P139" s="2" t="n">
        <v>370</v>
      </c>
      <c r="Q139" s="2" t="n">
        <v>50</v>
      </c>
      <c r="R139" s="2" t="n"/>
      <c r="S139" s="2" t="n">
        <v>30</v>
      </c>
      <c r="T139" s="2" t="n"/>
      <c r="U139" s="2" t="n">
        <v>20</v>
      </c>
      <c r="V139" s="2">
        <f>SUM(J139:U139)</f>
        <v/>
      </c>
      <c r="W139" s="2" t="n">
        <v>1634</v>
      </c>
      <c r="X139" s="2" t="n">
        <v>1634</v>
      </c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>
        <f>IF(F139=1,V139*2,IF(F139=2,V139*F139*2,IF(F139&gt;2,F139*2*V139)))</f>
        <v/>
      </c>
      <c r="AW139" s="2">
        <f>SUM(W139:AU139)</f>
        <v/>
      </c>
    </row>
    <row r="140">
      <c r="A140" s="2" t="inlineStr">
        <is>
          <t>14-D-246</t>
        </is>
      </c>
      <c r="B140" s="3" t="inlineStr">
        <is>
          <t>DOJC-SM-LC/PC-LC/PC</t>
        </is>
      </c>
      <c r="C140" s="2" t="inlineStr">
        <is>
          <t>40M</t>
        </is>
      </c>
      <c r="D140" s="2" t="inlineStr">
        <is>
          <t>a1</t>
        </is>
      </c>
      <c r="E140" s="2" t="inlineStr">
        <is>
          <t>2.0mm</t>
        </is>
      </c>
      <c r="F140" s="2" t="n">
        <v>2</v>
      </c>
      <c r="G140" s="2" t="n">
        <v>40</v>
      </c>
      <c r="H140" s="2" t="inlineStr">
        <is>
          <t>LC/PC</t>
        </is>
      </c>
      <c r="I140" s="2" t="inlineStr">
        <is>
          <t>LC/PC</t>
        </is>
      </c>
      <c r="J140" s="2" t="n"/>
      <c r="K140" s="2" t="n"/>
      <c r="L140" s="2" t="n">
        <v>30</v>
      </c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>
        <f>SUM(J140:U140)</f>
        <v/>
      </c>
      <c r="W140" s="2" t="n">
        <v>60</v>
      </c>
      <c r="X140" s="2" t="n">
        <v>60</v>
      </c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>
        <f>IF(F140=1,V140*2,IF(F140=2,V140*F140*2,IF(F140&gt;2,F140*2*V140)))</f>
        <v/>
      </c>
      <c r="AW140" s="2">
        <f>SUM(W140:AU140)</f>
        <v/>
      </c>
    </row>
    <row r="141">
      <c r="A141" s="2" t="inlineStr">
        <is>
          <t>14-D-247</t>
        </is>
      </c>
      <c r="B141" s="3" t="inlineStr">
        <is>
          <t>DOJC-SM-LC/PC-LC/PC</t>
        </is>
      </c>
      <c r="C141" s="2" t="inlineStr">
        <is>
          <t>45M</t>
        </is>
      </c>
      <c r="D141" s="2" t="inlineStr">
        <is>
          <t>a1</t>
        </is>
      </c>
      <c r="E141" s="2" t="inlineStr">
        <is>
          <t>2.0mm</t>
        </is>
      </c>
      <c r="F141" s="2" t="n">
        <v>2</v>
      </c>
      <c r="G141" s="2" t="n">
        <v>45</v>
      </c>
      <c r="H141" s="2" t="inlineStr">
        <is>
          <t>LC/PC</t>
        </is>
      </c>
      <c r="I141" s="2" t="inlineStr">
        <is>
          <t>LC/PC</t>
        </is>
      </c>
      <c r="J141" s="2" t="n">
        <v>20</v>
      </c>
      <c r="K141" s="2" t="n"/>
      <c r="L141" s="2" t="n">
        <v>30</v>
      </c>
      <c r="M141" s="2" t="n"/>
      <c r="N141" s="2" t="n"/>
      <c r="O141" s="2" t="n">
        <v>10</v>
      </c>
      <c r="P141" s="2" t="n"/>
      <c r="Q141" s="2" t="n"/>
      <c r="R141" s="2" t="n"/>
      <c r="S141" s="2" t="n"/>
      <c r="T141" s="2" t="n"/>
      <c r="U141" s="2" t="n"/>
      <c r="V141" s="2">
        <f>SUM(J141:U141)</f>
        <v/>
      </c>
      <c r="W141" s="2" t="n">
        <v>120</v>
      </c>
      <c r="X141" s="2" t="n">
        <v>120</v>
      </c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>
        <f>IF(F141=1,V141*2,IF(F141=2,V141*F141*2,IF(F141&gt;2,F141*2*V141)))</f>
        <v/>
      </c>
      <c r="AW141" s="2">
        <f>SUM(W141:AU141)</f>
        <v/>
      </c>
    </row>
    <row r="142">
      <c r="A142" s="2" t="inlineStr">
        <is>
          <t>14-D-248</t>
        </is>
      </c>
      <c r="B142" s="3" t="inlineStr">
        <is>
          <t>DOJC-SM-LC/PC-LC/PC</t>
        </is>
      </c>
      <c r="C142" s="2" t="inlineStr">
        <is>
          <t>4M</t>
        </is>
      </c>
      <c r="D142" s="2" t="inlineStr">
        <is>
          <t>a1</t>
        </is>
      </c>
      <c r="E142" s="2" t="inlineStr">
        <is>
          <t>2.0mm</t>
        </is>
      </c>
      <c r="F142" s="2" t="n">
        <v>2</v>
      </c>
      <c r="G142" s="2" t="n">
        <v>4</v>
      </c>
      <c r="H142" s="2" t="inlineStr">
        <is>
          <t>LC/PC</t>
        </is>
      </c>
      <c r="I142" s="2" t="inlineStr">
        <is>
          <t>LC/PC</t>
        </is>
      </c>
      <c r="J142" s="2" t="n"/>
      <c r="K142" s="2" t="n"/>
      <c r="L142" s="2" t="n"/>
      <c r="M142" s="2" t="n"/>
      <c r="N142" s="2" t="n">
        <v>50</v>
      </c>
      <c r="O142" s="2" t="n"/>
      <c r="P142" s="2" t="n"/>
      <c r="Q142" s="2" t="n"/>
      <c r="R142" s="2" t="n"/>
      <c r="S142" s="2" t="n"/>
      <c r="T142" s="2" t="n"/>
      <c r="U142" s="2" t="n"/>
      <c r="V142" s="2">
        <f>SUM(J142:U142)</f>
        <v/>
      </c>
      <c r="W142" s="2" t="n">
        <v>100</v>
      </c>
      <c r="X142" s="2" t="n">
        <v>100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>
        <f>IF(F142=1,V142*2,IF(F142=2,V142*F142*2,IF(F142&gt;2,F142*2*V142)))</f>
        <v/>
      </c>
      <c r="AW142" s="2">
        <f>SUM(W142:AU142)</f>
        <v/>
      </c>
    </row>
    <row r="143">
      <c r="A143" s="2" t="inlineStr">
        <is>
          <t>14-D-249</t>
        </is>
      </c>
      <c r="B143" s="3" t="inlineStr">
        <is>
          <t>DOJC-SM-LC/PC-LC/PC</t>
        </is>
      </c>
      <c r="C143" s="2" t="inlineStr">
        <is>
          <t>50M</t>
        </is>
      </c>
      <c r="D143" s="2" t="inlineStr">
        <is>
          <t>a1</t>
        </is>
      </c>
      <c r="E143" s="2" t="inlineStr">
        <is>
          <t>2.0mm</t>
        </is>
      </c>
      <c r="F143" s="2" t="n">
        <v>2</v>
      </c>
      <c r="G143" s="2" t="n">
        <v>50</v>
      </c>
      <c r="H143" s="2" t="inlineStr">
        <is>
          <t>LC/PC</t>
        </is>
      </c>
      <c r="I143" s="2" t="inlineStr">
        <is>
          <t>LC/PC</t>
        </is>
      </c>
      <c r="J143" s="2" t="n">
        <v>20</v>
      </c>
      <c r="K143" s="2" t="n"/>
      <c r="L143" s="2" t="n">
        <v>30</v>
      </c>
      <c r="M143" s="2" t="n"/>
      <c r="N143" s="2" t="n"/>
      <c r="O143" s="2" t="n">
        <v>20</v>
      </c>
      <c r="P143" s="2" t="n"/>
      <c r="Q143" s="2" t="n"/>
      <c r="R143" s="2" t="n"/>
      <c r="S143" s="2" t="n"/>
      <c r="T143" s="2" t="n"/>
      <c r="U143" s="2" t="n"/>
      <c r="V143" s="2">
        <f>SUM(J143:U143)</f>
        <v/>
      </c>
      <c r="W143" s="2" t="n">
        <v>140</v>
      </c>
      <c r="X143" s="2" t="n">
        <v>140</v>
      </c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>
        <f>IF(F143=1,V143*2,IF(F143=2,V143*F143*2,IF(F143&gt;2,F143*2*V143)))</f>
        <v/>
      </c>
      <c r="AW143" s="2">
        <f>SUM(W143:AU143)</f>
        <v/>
      </c>
    </row>
    <row r="144">
      <c r="A144" s="2" t="inlineStr">
        <is>
          <t>14-D-252</t>
        </is>
      </c>
      <c r="B144" s="3" t="inlineStr">
        <is>
          <t>DOJC-SM-LC/PC-LC/PC</t>
        </is>
      </c>
      <c r="C144" s="2" t="inlineStr">
        <is>
          <t>55M</t>
        </is>
      </c>
      <c r="D144" s="2" t="inlineStr">
        <is>
          <t>a1</t>
        </is>
      </c>
      <c r="E144" s="2" t="inlineStr">
        <is>
          <t>2.0mm</t>
        </is>
      </c>
      <c r="F144" s="2" t="n">
        <v>2</v>
      </c>
      <c r="G144" s="2" t="n">
        <v>55</v>
      </c>
      <c r="H144" s="2" t="inlineStr">
        <is>
          <t>LC/PC</t>
        </is>
      </c>
      <c r="I144" s="2" t="inlineStr">
        <is>
          <t>LC/PC</t>
        </is>
      </c>
      <c r="J144" s="2" t="n">
        <v>20</v>
      </c>
      <c r="K144" s="2" t="n"/>
      <c r="L144" s="2" t="n">
        <v>30</v>
      </c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>
        <f>SUM(J144:U144)</f>
        <v/>
      </c>
      <c r="W144" s="2" t="n">
        <v>100</v>
      </c>
      <c r="X144" s="2" t="n">
        <v>100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>
        <f>IF(F144=1,V144*2,IF(F144=2,V144*F144*2,IF(F144&gt;2,F144*2*V144)))</f>
        <v/>
      </c>
      <c r="AW144" s="2">
        <f>SUM(W144:AU144)</f>
        <v/>
      </c>
    </row>
    <row r="145">
      <c r="A145" s="2" t="inlineStr">
        <is>
          <t>14-D-253</t>
        </is>
      </c>
      <c r="B145" s="3" t="inlineStr">
        <is>
          <t>DOJC-SM-LC/PC-LC/PC</t>
        </is>
      </c>
      <c r="C145" s="2" t="inlineStr">
        <is>
          <t>5M</t>
        </is>
      </c>
      <c r="D145" s="2" t="inlineStr">
        <is>
          <t>a1</t>
        </is>
      </c>
      <c r="E145" s="2" t="inlineStr">
        <is>
          <t>2.0mm</t>
        </is>
      </c>
      <c r="F145" s="2" t="n">
        <v>2</v>
      </c>
      <c r="G145" s="2" t="n">
        <v>5</v>
      </c>
      <c r="H145" s="2" t="inlineStr">
        <is>
          <t>LC/PC</t>
        </is>
      </c>
      <c r="I145" s="2" t="inlineStr">
        <is>
          <t>LC/PC</t>
        </is>
      </c>
      <c r="J145" s="2" t="n"/>
      <c r="K145" s="2" t="n"/>
      <c r="L145" s="2" t="n"/>
      <c r="M145" s="2" t="n"/>
      <c r="N145" s="2" t="n">
        <v>25</v>
      </c>
      <c r="O145" s="2" t="n">
        <v>150</v>
      </c>
      <c r="P145" s="2" t="n">
        <v>108</v>
      </c>
      <c r="Q145" s="2" t="n"/>
      <c r="R145" s="2" t="n">
        <v>50</v>
      </c>
      <c r="S145" s="2" t="n"/>
      <c r="T145" s="2" t="n"/>
      <c r="U145" s="2" t="n"/>
      <c r="V145" s="2">
        <f>SUM(J145:U145)</f>
        <v/>
      </c>
      <c r="W145" s="2" t="n">
        <v>666</v>
      </c>
      <c r="X145" s="2" t="n">
        <v>666</v>
      </c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>
        <f>IF(F145=1,V145*2,IF(F145=2,V145*F145*2,IF(F145&gt;2,F145*2*V145)))</f>
        <v/>
      </c>
      <c r="AW145" s="2">
        <f>SUM(W145:AU145)</f>
        <v/>
      </c>
    </row>
    <row r="146">
      <c r="A146" s="2" t="inlineStr">
        <is>
          <t>14-D-254</t>
        </is>
      </c>
      <c r="B146" s="3" t="inlineStr">
        <is>
          <t>DOJC-SM-LC/PC-LC/PC</t>
        </is>
      </c>
      <c r="C146" s="2" t="inlineStr">
        <is>
          <t>60M</t>
        </is>
      </c>
      <c r="D146" s="2" t="inlineStr">
        <is>
          <t>a1</t>
        </is>
      </c>
      <c r="E146" s="2" t="inlineStr">
        <is>
          <t>2.0mm</t>
        </is>
      </c>
      <c r="F146" s="2" t="n">
        <v>2</v>
      </c>
      <c r="G146" s="2" t="n">
        <v>60</v>
      </c>
      <c r="H146" s="2" t="inlineStr">
        <is>
          <t>LC/PC</t>
        </is>
      </c>
      <c r="I146" s="2" t="inlineStr">
        <is>
          <t>LC/PC</t>
        </is>
      </c>
      <c r="J146" s="2" t="n">
        <v>20</v>
      </c>
      <c r="K146" s="2" t="n"/>
      <c r="L146" s="2" t="n">
        <v>20</v>
      </c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>
        <f>SUM(J146:U146)</f>
        <v/>
      </c>
      <c r="W146" s="2" t="n">
        <v>80</v>
      </c>
      <c r="X146" s="2" t="n">
        <v>80</v>
      </c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>
        <f>IF(F146=1,V146*2,IF(F146=2,V146*F146*2,IF(F146&gt;2,F146*2*V146)))</f>
        <v/>
      </c>
      <c r="AW146" s="2">
        <f>SUM(W146:AU146)</f>
        <v/>
      </c>
    </row>
    <row r="147">
      <c r="A147" s="2" t="inlineStr">
        <is>
          <t>14-D-255</t>
        </is>
      </c>
      <c r="B147" s="3" t="inlineStr">
        <is>
          <t>DOJC-SM-LC/PC-LC/PC</t>
        </is>
      </c>
      <c r="C147" s="2" t="inlineStr">
        <is>
          <t>65M</t>
        </is>
      </c>
      <c r="D147" s="2" t="inlineStr">
        <is>
          <t>a1</t>
        </is>
      </c>
      <c r="E147" s="2" t="inlineStr">
        <is>
          <t>2.0mm</t>
        </is>
      </c>
      <c r="F147" s="2" t="n">
        <v>2</v>
      </c>
      <c r="G147" s="2" t="n">
        <v>65</v>
      </c>
      <c r="H147" s="2" t="inlineStr">
        <is>
          <t>LC/PC</t>
        </is>
      </c>
      <c r="I147" s="2" t="inlineStr">
        <is>
          <t>LC/PC</t>
        </is>
      </c>
      <c r="J147" s="2" t="n"/>
      <c r="K147" s="2" t="n"/>
      <c r="L147" s="2" t="n">
        <v>30</v>
      </c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>
        <f>SUM(J147:U147)</f>
        <v/>
      </c>
      <c r="W147" s="2" t="n">
        <v>60</v>
      </c>
      <c r="X147" s="2" t="n">
        <v>60</v>
      </c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>
        <f>IF(F147=1,V147*2,IF(F147=2,V147*F147*2,IF(F147&gt;2,F147*2*V147)))</f>
        <v/>
      </c>
      <c r="AW147" s="2">
        <f>SUM(W147:AU147)</f>
        <v/>
      </c>
    </row>
    <row r="148">
      <c r="A148" s="2" t="inlineStr">
        <is>
          <t>14-D-256</t>
        </is>
      </c>
      <c r="B148" s="3" t="inlineStr">
        <is>
          <t>DOJC-SM-LC/PC-LC/PC</t>
        </is>
      </c>
      <c r="C148" s="2" t="inlineStr">
        <is>
          <t>6M</t>
        </is>
      </c>
      <c r="D148" s="2" t="inlineStr">
        <is>
          <t>a1</t>
        </is>
      </c>
      <c r="E148" s="2" t="inlineStr">
        <is>
          <t>2.0mm</t>
        </is>
      </c>
      <c r="F148" s="2" t="n">
        <v>2</v>
      </c>
      <c r="G148" s="2" t="n">
        <v>6</v>
      </c>
      <c r="H148" s="2" t="inlineStr">
        <is>
          <t>LC/PC</t>
        </is>
      </c>
      <c r="I148" s="2" t="inlineStr">
        <is>
          <t>LC/PC</t>
        </is>
      </c>
      <c r="J148" s="2" t="n">
        <v>400</v>
      </c>
      <c r="K148" s="2" t="n"/>
      <c r="L148" s="2" t="n">
        <v>400</v>
      </c>
      <c r="M148" s="2" t="n">
        <v>300</v>
      </c>
      <c r="N148" s="2" t="n"/>
      <c r="O148" s="2" t="n">
        <v>300</v>
      </c>
      <c r="P148" s="2" t="n">
        <v>300</v>
      </c>
      <c r="Q148" s="2" t="n"/>
      <c r="R148" s="2" t="n"/>
      <c r="S148" s="2" t="n"/>
      <c r="T148" s="2" t="n">
        <v>250</v>
      </c>
      <c r="U148" s="2" t="n"/>
      <c r="V148" s="2">
        <f>SUM(J148:U148)</f>
        <v/>
      </c>
      <c r="W148" s="2" t="n">
        <v>3900</v>
      </c>
      <c r="X148" s="2" t="n">
        <v>3900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>
        <f>IF(F148=1,V148*2,IF(F148=2,V148*F148*2,IF(F148&gt;2,F148*2*V148)))</f>
        <v/>
      </c>
      <c r="AW148" s="2">
        <f>SUM(W148:AU148)</f>
        <v/>
      </c>
    </row>
    <row r="149">
      <c r="A149" s="2" t="inlineStr">
        <is>
          <t>14-D-257</t>
        </is>
      </c>
      <c r="B149" s="3" t="inlineStr">
        <is>
          <t>DOJC-SM-LC/PC-LC/PC</t>
        </is>
      </c>
      <c r="C149" s="2" t="inlineStr">
        <is>
          <t>70M</t>
        </is>
      </c>
      <c r="D149" s="2" t="inlineStr">
        <is>
          <t>a1</t>
        </is>
      </c>
      <c r="E149" s="2" t="inlineStr">
        <is>
          <t>2.0mm</t>
        </is>
      </c>
      <c r="F149" s="2" t="n">
        <v>2</v>
      </c>
      <c r="G149" s="2" t="n">
        <v>70</v>
      </c>
      <c r="H149" s="2" t="inlineStr">
        <is>
          <t>LC/PC</t>
        </is>
      </c>
      <c r="I149" s="2" t="inlineStr">
        <is>
          <t>LC/PC</t>
        </is>
      </c>
      <c r="J149" s="2" t="n"/>
      <c r="K149" s="2" t="n"/>
      <c r="L149" s="2" t="n"/>
      <c r="M149" s="2" t="n">
        <v>20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>
        <f>SUM(J149:U149)</f>
        <v/>
      </c>
      <c r="W149" s="2" t="n">
        <v>40</v>
      </c>
      <c r="X149" s="2" t="n">
        <v>40</v>
      </c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>
        <f>IF(F149=1,V149*2,IF(F149=2,V149*F149*2,IF(F149&gt;2,F149*2*V149)))</f>
        <v/>
      </c>
      <c r="AW149" s="2">
        <f>SUM(W149:AU149)</f>
        <v/>
      </c>
    </row>
    <row r="150">
      <c r="A150" s="2" t="inlineStr">
        <is>
          <t>14-D-258</t>
        </is>
      </c>
      <c r="B150" s="3" t="inlineStr">
        <is>
          <t>DOJC-SM-LC/PC-LC/PC</t>
        </is>
      </c>
      <c r="C150" s="2" t="inlineStr">
        <is>
          <t>7M</t>
        </is>
      </c>
      <c r="D150" s="2" t="inlineStr">
        <is>
          <t>a1</t>
        </is>
      </c>
      <c r="E150" s="2" t="inlineStr">
        <is>
          <t>2.0mm</t>
        </is>
      </c>
      <c r="F150" s="2" t="n">
        <v>2</v>
      </c>
      <c r="G150" s="2" t="n">
        <v>7</v>
      </c>
      <c r="H150" s="2" t="inlineStr">
        <is>
          <t>LC/PC</t>
        </is>
      </c>
      <c r="I150" s="2" t="inlineStr">
        <is>
          <t>LC/PC</t>
        </is>
      </c>
      <c r="J150" s="2" t="n"/>
      <c r="K150" s="2" t="n"/>
      <c r="L150" s="2" t="n"/>
      <c r="M150" s="2" t="n">
        <v>30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>
        <f>SUM(J150:U150)</f>
        <v/>
      </c>
      <c r="W150" s="2" t="n">
        <v>60</v>
      </c>
      <c r="X150" s="2" t="n">
        <v>60</v>
      </c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>
        <f>IF(F150=1,V150*2,IF(F150=2,V150*F150*2,IF(F150&gt;2,F150*2*V150)))</f>
        <v/>
      </c>
      <c r="AW150" s="2">
        <f>SUM(W150:AU150)</f>
        <v/>
      </c>
    </row>
    <row r="151">
      <c r="A151" s="2" t="inlineStr">
        <is>
          <t>14-D-263</t>
        </is>
      </c>
      <c r="B151" s="3" t="inlineStr">
        <is>
          <t>DOJC-SM-LC/PC-SC/APC</t>
        </is>
      </c>
      <c r="C151" s="2" t="inlineStr">
        <is>
          <t>10M</t>
        </is>
      </c>
      <c r="D151" s="2" t="inlineStr">
        <is>
          <t>a1</t>
        </is>
      </c>
      <c r="E151" s="2" t="inlineStr">
        <is>
          <t>2.0mm</t>
        </is>
      </c>
      <c r="F151" s="2" t="n">
        <v>2</v>
      </c>
      <c r="G151" s="2" t="n">
        <v>10</v>
      </c>
      <c r="H151" s="2" t="inlineStr">
        <is>
          <t>LC/PC</t>
        </is>
      </c>
      <c r="I151" s="2" t="inlineStr">
        <is>
          <t>SC/APC</t>
        </is>
      </c>
      <c r="J151" s="2" t="n"/>
      <c r="K151" s="2" t="n"/>
      <c r="L151" s="2" t="n"/>
      <c r="M151" s="2" t="n"/>
      <c r="N151" s="2" t="n">
        <v>3</v>
      </c>
      <c r="O151" s="2" t="n"/>
      <c r="P151" s="2" t="n"/>
      <c r="Q151" s="2" t="n">
        <v>10</v>
      </c>
      <c r="R151" s="2" t="n"/>
      <c r="S151" s="2" t="n"/>
      <c r="T151" s="2" t="n"/>
      <c r="U151" s="2" t="n"/>
      <c r="V151" s="2">
        <f>SUM(J151:U151)</f>
        <v/>
      </c>
      <c r="W151" s="2" t="n">
        <v>26</v>
      </c>
      <c r="X151" s="2" t="n"/>
      <c r="Y151" s="2" t="n"/>
      <c r="Z151" s="2" t="n"/>
      <c r="AA151" s="2" t="n"/>
      <c r="AB151" s="2" t="n"/>
      <c r="AC151" s="2" t="n"/>
      <c r="AD151" s="2" t="n">
        <v>26</v>
      </c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>
        <f>IF(F151=1,V151*2,IF(F151=2,V151*F151*2,IF(F151&gt;2,F151*2*V151)))</f>
        <v/>
      </c>
      <c r="AW151" s="2">
        <f>SUM(W151:AU151)</f>
        <v/>
      </c>
    </row>
    <row r="152">
      <c r="A152" s="2" t="inlineStr">
        <is>
          <t>14-D-266</t>
        </is>
      </c>
      <c r="B152" s="3" t="inlineStr">
        <is>
          <t>DOJC-SM-LC/PC-SC/APC</t>
        </is>
      </c>
      <c r="C152" s="2" t="inlineStr">
        <is>
          <t>15M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15</v>
      </c>
      <c r="H152" s="2" t="inlineStr">
        <is>
          <t>LC/PC</t>
        </is>
      </c>
      <c r="I152" s="2" t="inlineStr">
        <is>
          <t>SC/APC</t>
        </is>
      </c>
      <c r="J152" s="2" t="n"/>
      <c r="K152" s="2" t="n"/>
      <c r="L152" s="2" t="n"/>
      <c r="M152" s="2" t="n"/>
      <c r="N152" s="2" t="n"/>
      <c r="O152" s="2" t="n"/>
      <c r="P152" s="2" t="n">
        <v>2</v>
      </c>
      <c r="Q152" s="2" t="n"/>
      <c r="R152" s="2" t="n"/>
      <c r="S152" s="2" t="n"/>
      <c r="T152" s="2" t="n"/>
      <c r="U152" s="2" t="n"/>
      <c r="V152" s="2">
        <f>SUM(J152:U152)</f>
        <v/>
      </c>
      <c r="W152" s="2" t="n">
        <v>4</v>
      </c>
      <c r="X152" s="2" t="n"/>
      <c r="Y152" s="2" t="n"/>
      <c r="Z152" s="2" t="n"/>
      <c r="AA152" s="2" t="n"/>
      <c r="AB152" s="2" t="n"/>
      <c r="AC152" s="2" t="n"/>
      <c r="AD152" s="2" t="n">
        <v>4</v>
      </c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>
        <f>IF(F152=1,V152*2,IF(F152=2,V152*F152*2,IF(F152&gt;2,F152*2*V152)))</f>
        <v/>
      </c>
      <c r="AW152" s="2">
        <f>SUM(W152:AU152)</f>
        <v/>
      </c>
    </row>
    <row r="153">
      <c r="A153" s="2" t="inlineStr">
        <is>
          <t>14-D-267</t>
        </is>
      </c>
      <c r="B153" s="3" t="inlineStr">
        <is>
          <t>DOJC-SM-LC/PC-SC/APC</t>
        </is>
      </c>
      <c r="C153" s="2" t="inlineStr">
        <is>
          <t>1M</t>
        </is>
      </c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1</v>
      </c>
      <c r="H153" s="2" t="inlineStr">
        <is>
          <t>LC/PC</t>
        </is>
      </c>
      <c r="I153" s="2" t="inlineStr">
        <is>
          <t>SC/APC</t>
        </is>
      </c>
      <c r="J153" s="2" t="n"/>
      <c r="K153" s="2" t="n"/>
      <c r="L153" s="2" t="n"/>
      <c r="M153" s="2" t="n"/>
      <c r="N153" s="2" t="n"/>
      <c r="O153" s="2" t="n">
        <v>30</v>
      </c>
      <c r="P153" s="2" t="n"/>
      <c r="Q153" s="2" t="n"/>
      <c r="R153" s="2" t="n"/>
      <c r="S153" s="2" t="n"/>
      <c r="T153" s="2" t="n"/>
      <c r="U153" s="2" t="n"/>
      <c r="V153" s="2">
        <f>SUM(J153:U153)</f>
        <v/>
      </c>
      <c r="W153" s="2" t="n">
        <v>60</v>
      </c>
      <c r="X153" s="2" t="n"/>
      <c r="Y153" s="2" t="n"/>
      <c r="Z153" s="2" t="n"/>
      <c r="AA153" s="2" t="n"/>
      <c r="AB153" s="2" t="n"/>
      <c r="AC153" s="2" t="n"/>
      <c r="AD153" s="2" t="n">
        <v>60</v>
      </c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>
        <f>IF(F153=1,V153*2,IF(F153=2,V153*F153*2,IF(F153&gt;2,F153*2*V153)))</f>
        <v/>
      </c>
      <c r="AW153" s="2">
        <f>SUM(W153:AU153)</f>
        <v/>
      </c>
    </row>
    <row r="154">
      <c r="A154" s="2" t="inlineStr">
        <is>
          <t>14-D-268</t>
        </is>
      </c>
      <c r="B154" s="3" t="inlineStr">
        <is>
          <t>DOJC-SM-LC/PC-SC/APC</t>
        </is>
      </c>
      <c r="C154" s="2" t="inlineStr">
        <is>
          <t>20M</t>
        </is>
      </c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20</v>
      </c>
      <c r="H154" s="2" t="inlineStr">
        <is>
          <t>LC/PC</t>
        </is>
      </c>
      <c r="I154" s="2" t="inlineStr">
        <is>
          <t>SC/APC</t>
        </is>
      </c>
      <c r="J154" s="2" t="n"/>
      <c r="K154" s="2" t="n"/>
      <c r="L154" s="2" t="n"/>
      <c r="M154" s="2" t="n"/>
      <c r="N154" s="2" t="n"/>
      <c r="O154" s="2" t="n"/>
      <c r="P154" s="2" t="n">
        <v>10</v>
      </c>
      <c r="Q154" s="2" t="n"/>
      <c r="R154" s="2" t="n"/>
      <c r="S154" s="2" t="n"/>
      <c r="T154" s="2" t="n"/>
      <c r="U154" s="2" t="n"/>
      <c r="V154" s="2">
        <f>SUM(J154:U154)</f>
        <v/>
      </c>
      <c r="W154" s="2" t="n">
        <v>20</v>
      </c>
      <c r="X154" s="2" t="n"/>
      <c r="Y154" s="2" t="n"/>
      <c r="Z154" s="2" t="n"/>
      <c r="AA154" s="2" t="n"/>
      <c r="AB154" s="2" t="n"/>
      <c r="AC154" s="2" t="n"/>
      <c r="AD154" s="2" t="n">
        <v>20</v>
      </c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>
        <f>IF(F154=1,V154*2,IF(F154=2,V154*F154*2,IF(F154&gt;2,F154*2*V154)))</f>
        <v/>
      </c>
      <c r="AW154" s="2">
        <f>SUM(W154:AU154)</f>
        <v/>
      </c>
    </row>
    <row r="155">
      <c r="A155" s="2" t="inlineStr">
        <is>
          <t>14-D-271</t>
        </is>
      </c>
      <c r="B155" s="3" t="inlineStr">
        <is>
          <t>DOJC-SM-LC/PC-SC/APC</t>
        </is>
      </c>
      <c r="C155" s="2" t="inlineStr">
        <is>
          <t>2M</t>
        </is>
      </c>
      <c r="D155" s="2" t="inlineStr">
        <is>
          <t>a1</t>
        </is>
      </c>
      <c r="E155" s="2" t="inlineStr">
        <is>
          <t>2.0mm</t>
        </is>
      </c>
      <c r="F155" s="2" t="n">
        <v>2</v>
      </c>
      <c r="G155" s="2" t="n">
        <v>2</v>
      </c>
      <c r="H155" s="2" t="inlineStr">
        <is>
          <t>LC/PC</t>
        </is>
      </c>
      <c r="I155" s="2" t="inlineStr">
        <is>
          <t>SC/APC</t>
        </is>
      </c>
      <c r="J155" s="2" t="n"/>
      <c r="K155" s="2" t="n"/>
      <c r="L155" s="2" t="n">
        <v>20</v>
      </c>
      <c r="M155" s="2" t="n"/>
      <c r="N155" s="2" t="n"/>
      <c r="O155" s="2" t="n"/>
      <c r="P155" s="2" t="n"/>
      <c r="Q155" s="2" t="n"/>
      <c r="R155" s="2" t="n">
        <v>10</v>
      </c>
      <c r="S155" s="2" t="n"/>
      <c r="T155" s="2" t="n">
        <v>100</v>
      </c>
      <c r="U155" s="2" t="n"/>
      <c r="V155" s="2">
        <f>SUM(J155:U155)</f>
        <v/>
      </c>
      <c r="W155" s="2" t="n">
        <v>260</v>
      </c>
      <c r="X155" s="2" t="n"/>
      <c r="Y155" s="2" t="n"/>
      <c r="Z155" s="2" t="n"/>
      <c r="AA155" s="2" t="n"/>
      <c r="AB155" s="2" t="n"/>
      <c r="AC155" s="2" t="n"/>
      <c r="AD155" s="2" t="n">
        <v>260</v>
      </c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>
        <f>IF(F155=1,V155*2,IF(F155=2,V155*F155*2,IF(F155&gt;2,F155*2*V155)))</f>
        <v/>
      </c>
      <c r="AW155" s="2">
        <f>SUM(W155:AU155)</f>
        <v/>
      </c>
    </row>
    <row r="156">
      <c r="A156" s="2" t="inlineStr">
        <is>
          <t>14-D-272</t>
        </is>
      </c>
      <c r="B156" s="3" t="inlineStr">
        <is>
          <t>DOJC-SM-LC/PC-SC/APC</t>
        </is>
      </c>
      <c r="C156" s="2" t="inlineStr">
        <is>
          <t>30M</t>
        </is>
      </c>
      <c r="D156" s="2" t="inlineStr">
        <is>
          <t>a1</t>
        </is>
      </c>
      <c r="E156" s="2" t="inlineStr">
        <is>
          <t>2.0mm</t>
        </is>
      </c>
      <c r="F156" s="2" t="n">
        <v>2</v>
      </c>
      <c r="G156" s="2" t="n">
        <v>30</v>
      </c>
      <c r="H156" s="2" t="inlineStr">
        <is>
          <t>LC/PC</t>
        </is>
      </c>
      <c r="I156" s="2" t="inlineStr">
        <is>
          <t>SC/APC</t>
        </is>
      </c>
      <c r="J156" s="2" t="n"/>
      <c r="K156" s="2" t="n"/>
      <c r="L156" s="2" t="n"/>
      <c r="M156" s="2" t="n"/>
      <c r="N156" s="2" t="n">
        <v>5</v>
      </c>
      <c r="O156" s="2" t="n"/>
      <c r="P156" s="2" t="n"/>
      <c r="Q156" s="2" t="n"/>
      <c r="R156" s="2" t="n"/>
      <c r="S156" s="2" t="n"/>
      <c r="T156" s="2" t="n"/>
      <c r="U156" s="2" t="n"/>
      <c r="V156" s="2">
        <f>SUM(J156:U156)</f>
        <v/>
      </c>
      <c r="W156" s="2" t="n">
        <v>10</v>
      </c>
      <c r="X156" s="2" t="n"/>
      <c r="Y156" s="2" t="n"/>
      <c r="Z156" s="2" t="n"/>
      <c r="AA156" s="2" t="n"/>
      <c r="AB156" s="2" t="n"/>
      <c r="AC156" s="2" t="n"/>
      <c r="AD156" s="2" t="n">
        <v>10</v>
      </c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>
        <f>IF(F156=1,V156*2,IF(F156=2,V156*F156*2,IF(F156&gt;2,F156*2*V156)))</f>
        <v/>
      </c>
      <c r="AW156" s="2">
        <f>SUM(W156:AU156)</f>
        <v/>
      </c>
    </row>
    <row r="157">
      <c r="A157" s="2" t="inlineStr">
        <is>
          <t>14-D-273</t>
        </is>
      </c>
      <c r="B157" s="3" t="inlineStr">
        <is>
          <t>DOJC-SM-LC/PC-SC/APC</t>
        </is>
      </c>
      <c r="C157" s="2" t="inlineStr">
        <is>
          <t>35M</t>
        </is>
      </c>
      <c r="D157" s="2" t="inlineStr">
        <is>
          <t>a1</t>
        </is>
      </c>
      <c r="E157" s="2" t="inlineStr">
        <is>
          <t>2.0mm</t>
        </is>
      </c>
      <c r="F157" s="2" t="n">
        <v>2</v>
      </c>
      <c r="G157" s="2" t="n">
        <v>35</v>
      </c>
      <c r="H157" s="2" t="inlineStr">
        <is>
          <t>LC/PC</t>
        </is>
      </c>
      <c r="I157" s="2" t="inlineStr">
        <is>
          <t>SC/APC</t>
        </is>
      </c>
      <c r="J157" s="2" t="n"/>
      <c r="K157" s="2" t="n"/>
      <c r="L157" s="2" t="n"/>
      <c r="M157" s="2" t="n"/>
      <c r="N157" s="2" t="n">
        <v>5</v>
      </c>
      <c r="O157" s="2" t="n"/>
      <c r="P157" s="2" t="n"/>
      <c r="Q157" s="2" t="n"/>
      <c r="R157" s="2" t="n"/>
      <c r="S157" s="2" t="n"/>
      <c r="T157" s="2" t="n"/>
      <c r="U157" s="2" t="n">
        <v>2</v>
      </c>
      <c r="V157" s="2">
        <f>SUM(J157:U157)</f>
        <v/>
      </c>
      <c r="W157" s="2" t="n">
        <v>14</v>
      </c>
      <c r="X157" s="2" t="n"/>
      <c r="Y157" s="2" t="n"/>
      <c r="Z157" s="2" t="n"/>
      <c r="AA157" s="2" t="n"/>
      <c r="AB157" s="2" t="n"/>
      <c r="AC157" s="2" t="n"/>
      <c r="AD157" s="2" t="n">
        <v>14</v>
      </c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>
        <f>IF(F157=1,V157*2,IF(F157=2,V157*F157*2,IF(F157&gt;2,F157*2*V157)))</f>
        <v/>
      </c>
      <c r="AW157" s="2">
        <f>SUM(W157:AU157)</f>
        <v/>
      </c>
    </row>
    <row r="158">
      <c r="A158" s="2" t="inlineStr">
        <is>
          <t>14-D-274</t>
        </is>
      </c>
      <c r="B158" s="3" t="inlineStr">
        <is>
          <t>DOJC-SM-LC/PC-SC/APC</t>
        </is>
      </c>
      <c r="C158" s="2" t="inlineStr">
        <is>
          <t>3M</t>
        </is>
      </c>
      <c r="D158" s="2" t="inlineStr">
        <is>
          <t>a1</t>
        </is>
      </c>
      <c r="E158" s="2" t="inlineStr">
        <is>
          <t>2.0mm</t>
        </is>
      </c>
      <c r="F158" s="2" t="n">
        <v>2</v>
      </c>
      <c r="G158" s="2" t="n">
        <v>3</v>
      </c>
      <c r="H158" s="2" t="inlineStr">
        <is>
          <t>LC/PC</t>
        </is>
      </c>
      <c r="I158" s="2" t="inlineStr">
        <is>
          <t>SC/APC</t>
        </is>
      </c>
      <c r="J158" s="2" t="n"/>
      <c r="K158" s="2" t="n">
        <v>10</v>
      </c>
      <c r="L158" s="2" t="n">
        <v>90</v>
      </c>
      <c r="M158" s="2" t="n"/>
      <c r="N158" s="2" t="n">
        <v>70</v>
      </c>
      <c r="O158" s="2" t="n">
        <v>85</v>
      </c>
      <c r="P158" s="2" t="n"/>
      <c r="Q158" s="2" t="n">
        <v>50</v>
      </c>
      <c r="R158" s="2" t="n">
        <v>90</v>
      </c>
      <c r="S158" s="2" t="n">
        <v>130</v>
      </c>
      <c r="T158" s="2" t="n"/>
      <c r="U158" s="2" t="n">
        <v>50</v>
      </c>
      <c r="V158" s="2">
        <f>SUM(J158:U158)</f>
        <v/>
      </c>
      <c r="W158" s="2" t="n">
        <v>1150</v>
      </c>
      <c r="X158" s="2" t="n"/>
      <c r="Y158" s="2" t="n"/>
      <c r="Z158" s="2" t="n"/>
      <c r="AA158" s="2" t="n"/>
      <c r="AB158" s="2" t="n"/>
      <c r="AC158" s="2" t="n"/>
      <c r="AD158" s="2" t="n">
        <v>1150</v>
      </c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>
        <f>IF(F158=1,V158*2,IF(F158=2,V158*F158*2,IF(F158&gt;2,F158*2*V158)))</f>
        <v/>
      </c>
      <c r="AW158" s="2">
        <f>SUM(W158:AU158)</f>
        <v/>
      </c>
    </row>
    <row r="159">
      <c r="A159" s="2" t="inlineStr">
        <is>
          <t>14-D-275</t>
        </is>
      </c>
      <c r="B159" s="3" t="inlineStr">
        <is>
          <t>DOJC-SM-LC/PC-SC/APC</t>
        </is>
      </c>
      <c r="C159" s="2" t="inlineStr">
        <is>
          <t>40M</t>
        </is>
      </c>
      <c r="D159" s="2" t="inlineStr">
        <is>
          <t>a1</t>
        </is>
      </c>
      <c r="E159" s="2" t="inlineStr">
        <is>
          <t>2.0mm</t>
        </is>
      </c>
      <c r="F159" s="2" t="n">
        <v>2</v>
      </c>
      <c r="G159" s="2" t="n">
        <v>40</v>
      </c>
      <c r="H159" s="2" t="inlineStr">
        <is>
          <t>LC/PC</t>
        </is>
      </c>
      <c r="I159" s="2" t="inlineStr">
        <is>
          <t>SC/APC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>
        <v>2</v>
      </c>
      <c r="V159" s="2">
        <f>SUM(J159:U159)</f>
        <v/>
      </c>
      <c r="W159" s="2" t="n">
        <v>4</v>
      </c>
      <c r="X159" s="2" t="n"/>
      <c r="Y159" s="2" t="n"/>
      <c r="Z159" s="2" t="n"/>
      <c r="AA159" s="2" t="n"/>
      <c r="AB159" s="2" t="n"/>
      <c r="AC159" s="2" t="n"/>
      <c r="AD159" s="2" t="n">
        <v>4</v>
      </c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>
        <f>IF(F159=1,V159*2,IF(F159=2,V159*F159*2,IF(F159&gt;2,F159*2*V159)))</f>
        <v/>
      </c>
      <c r="AW159" s="2">
        <f>SUM(W159:AU159)</f>
        <v/>
      </c>
    </row>
    <row r="160">
      <c r="A160" s="2" t="inlineStr">
        <is>
          <t>14-D-276</t>
        </is>
      </c>
      <c r="B160" s="3" t="inlineStr">
        <is>
          <t>DOJC-SM-LC/PC-SC/APC</t>
        </is>
      </c>
      <c r="C160" s="2" t="inlineStr">
        <is>
          <t>4M</t>
        </is>
      </c>
      <c r="D160" s="2" t="inlineStr">
        <is>
          <t>a1</t>
        </is>
      </c>
      <c r="E160" s="2" t="inlineStr">
        <is>
          <t>2.0mm</t>
        </is>
      </c>
      <c r="F160" s="2" t="n">
        <v>2</v>
      </c>
      <c r="G160" s="2" t="n">
        <v>4</v>
      </c>
      <c r="H160" s="2" t="inlineStr">
        <is>
          <t>LC/PC</t>
        </is>
      </c>
      <c r="I160" s="2" t="inlineStr">
        <is>
          <t>SC/APC</t>
        </is>
      </c>
      <c r="J160" s="2" t="n"/>
      <c r="K160" s="2" t="n"/>
      <c r="L160" s="2" t="n">
        <v>10</v>
      </c>
      <c r="M160" s="2" t="n"/>
      <c r="N160" s="2" t="n">
        <v>10</v>
      </c>
      <c r="O160" s="2" t="n"/>
      <c r="P160" s="2" t="n"/>
      <c r="Q160" s="2" t="n"/>
      <c r="R160" s="2" t="n"/>
      <c r="S160" s="2" t="n"/>
      <c r="T160" s="2" t="n"/>
      <c r="U160" s="2" t="n"/>
      <c r="V160" s="2">
        <f>SUM(J160:U160)</f>
        <v/>
      </c>
      <c r="W160" s="2" t="n">
        <v>40</v>
      </c>
      <c r="X160" s="2" t="n"/>
      <c r="Y160" s="2" t="n"/>
      <c r="Z160" s="2" t="n"/>
      <c r="AA160" s="2" t="n"/>
      <c r="AB160" s="2" t="n"/>
      <c r="AC160" s="2" t="n"/>
      <c r="AD160" s="2" t="n">
        <v>40</v>
      </c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>
        <f>IF(F160=1,V160*2,IF(F160=2,V160*F160*2,IF(F160&gt;2,F160*2*V160)))</f>
        <v/>
      </c>
      <c r="AW160" s="2">
        <f>SUM(W160:AU160)</f>
        <v/>
      </c>
    </row>
    <row r="161">
      <c r="A161" s="2" t="inlineStr">
        <is>
          <t>14-D-277</t>
        </is>
      </c>
      <c r="B161" s="3" t="inlineStr">
        <is>
          <t>DOJC-SM-LC/PC-SC/APC</t>
        </is>
      </c>
      <c r="C161" s="2" t="inlineStr">
        <is>
          <t>5M</t>
        </is>
      </c>
      <c r="D161" s="2" t="inlineStr">
        <is>
          <t>a1</t>
        </is>
      </c>
      <c r="E161" s="2" t="inlineStr">
        <is>
          <t>2.0mm</t>
        </is>
      </c>
      <c r="F161" s="2" t="n">
        <v>2</v>
      </c>
      <c r="G161" s="2" t="n">
        <v>5</v>
      </c>
      <c r="H161" s="2" t="inlineStr">
        <is>
          <t>LC/PC</t>
        </is>
      </c>
      <c r="I161" s="2" t="inlineStr">
        <is>
          <t>SC/APC</t>
        </is>
      </c>
      <c r="J161" s="2" t="n"/>
      <c r="K161" s="2" t="n"/>
      <c r="L161" s="2" t="n"/>
      <c r="M161" s="2" t="n"/>
      <c r="N161" s="2" t="n">
        <v>60</v>
      </c>
      <c r="O161" s="2" t="n"/>
      <c r="P161" s="2" t="n">
        <v>100</v>
      </c>
      <c r="Q161" s="2" t="n"/>
      <c r="R161" s="2" t="n"/>
      <c r="S161" s="2" t="n"/>
      <c r="T161" s="2" t="n"/>
      <c r="U161" s="2" t="n"/>
      <c r="V161" s="2">
        <f>SUM(J161:U161)</f>
        <v/>
      </c>
      <c r="W161" s="2" t="n">
        <v>320</v>
      </c>
      <c r="X161" s="2" t="n"/>
      <c r="Y161" s="2" t="n"/>
      <c r="Z161" s="2" t="n"/>
      <c r="AA161" s="2" t="n"/>
      <c r="AB161" s="2" t="n"/>
      <c r="AC161" s="2" t="n"/>
      <c r="AD161" s="2" t="n">
        <v>320</v>
      </c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>
        <f>IF(F161=1,V161*2,IF(F161=2,V161*F161*2,IF(F161&gt;2,F161*2*V161)))</f>
        <v/>
      </c>
      <c r="AW161" s="2">
        <f>SUM(W161:AU161)</f>
        <v/>
      </c>
    </row>
    <row r="162">
      <c r="A162" s="2" t="inlineStr">
        <is>
          <t>14-D-284</t>
        </is>
      </c>
      <c r="B162" s="3" t="inlineStr">
        <is>
          <t>DOJC-SM-LC/PC-SC/PC</t>
        </is>
      </c>
      <c r="C162" s="2" t="inlineStr">
        <is>
          <t>10M</t>
        </is>
      </c>
      <c r="D162" s="2" t="inlineStr">
        <is>
          <t>a1</t>
        </is>
      </c>
      <c r="E162" s="2" t="inlineStr">
        <is>
          <t>2.0mm</t>
        </is>
      </c>
      <c r="F162" s="2" t="n">
        <v>2</v>
      </c>
      <c r="G162" s="2" t="n">
        <v>10</v>
      </c>
      <c r="H162" s="2" t="inlineStr">
        <is>
          <t>LC/PC</t>
        </is>
      </c>
      <c r="I162" s="2" t="inlineStr">
        <is>
          <t>SC/PC</t>
        </is>
      </c>
      <c r="J162" s="2" t="n"/>
      <c r="K162" s="2" t="n"/>
      <c r="L162" s="2" t="n"/>
      <c r="M162" s="2" t="n">
        <v>60</v>
      </c>
      <c r="N162" s="2" t="n"/>
      <c r="O162" s="2" t="n">
        <v>10</v>
      </c>
      <c r="P162" s="2" t="n"/>
      <c r="Q162" s="2" t="n"/>
      <c r="R162" s="2" t="n"/>
      <c r="S162" s="2" t="n"/>
      <c r="T162" s="2" t="n"/>
      <c r="U162" s="2" t="n"/>
      <c r="V162" s="2">
        <f>SUM(J162:U162)</f>
        <v/>
      </c>
      <c r="W162" s="2" t="n">
        <v>140</v>
      </c>
      <c r="X162" s="2" t="n"/>
      <c r="Y162" s="2" t="n"/>
      <c r="Z162" s="2" t="n"/>
      <c r="AA162" s="2" t="n"/>
      <c r="AB162" s="2" t="n">
        <v>140</v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>
        <f>IF(F162=1,V162*2,IF(F162=2,V162*F162*2,IF(F162&gt;2,F162*2*V162)))</f>
        <v/>
      </c>
      <c r="AW162" s="2">
        <f>SUM(W162:AU162)</f>
        <v/>
      </c>
    </row>
    <row r="163">
      <c r="A163" s="2" t="inlineStr">
        <is>
          <t>14-D-286</t>
        </is>
      </c>
      <c r="B163" s="3" t="inlineStr">
        <is>
          <t>DOJC-SM-LC/PC-SC/PC</t>
        </is>
      </c>
      <c r="C163" s="2" t="inlineStr">
        <is>
          <t>12M</t>
        </is>
      </c>
      <c r="D163" s="2" t="inlineStr">
        <is>
          <t>a1</t>
        </is>
      </c>
      <c r="E163" s="2" t="inlineStr">
        <is>
          <t>2.0mm</t>
        </is>
      </c>
      <c r="F163" s="2" t="n">
        <v>2</v>
      </c>
      <c r="G163" s="2" t="n">
        <v>12</v>
      </c>
      <c r="H163" s="2" t="inlineStr">
        <is>
          <t>LC/PC</t>
        </is>
      </c>
      <c r="I163" s="2" t="inlineStr">
        <is>
          <t>SC/PC</t>
        </is>
      </c>
      <c r="J163" s="2" t="n"/>
      <c r="K163" s="2" t="n"/>
      <c r="L163" s="2" t="n"/>
      <c r="M163" s="2" t="n"/>
      <c r="N163" s="2" t="n">
        <v>20</v>
      </c>
      <c r="O163" s="2" t="n"/>
      <c r="P163" s="2" t="n"/>
      <c r="Q163" s="2" t="n"/>
      <c r="R163" s="2" t="n"/>
      <c r="S163" s="2" t="n"/>
      <c r="T163" s="2" t="n"/>
      <c r="U163" s="2" t="n"/>
      <c r="V163" s="2">
        <f>SUM(J163:U163)</f>
        <v/>
      </c>
      <c r="W163" s="2" t="n">
        <v>40</v>
      </c>
      <c r="X163" s="2" t="n"/>
      <c r="Y163" s="2" t="n"/>
      <c r="Z163" s="2" t="n"/>
      <c r="AA163" s="2" t="n"/>
      <c r="AB163" s="2" t="n">
        <v>40</v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>
        <f>IF(F163=1,V163*2,IF(F163=2,V163*F163*2,IF(F163&gt;2,F163*2*V163)))</f>
        <v/>
      </c>
      <c r="AW163" s="2">
        <f>SUM(W163:AU163)</f>
        <v/>
      </c>
    </row>
    <row r="164">
      <c r="A164" s="2" t="inlineStr">
        <is>
          <t>14-D-295</t>
        </is>
      </c>
      <c r="B164" s="3" t="inlineStr">
        <is>
          <t>DOJC-SM-LC/PC-SC/PC</t>
        </is>
      </c>
      <c r="C164" s="2" t="inlineStr">
        <is>
          <t>20M</t>
        </is>
      </c>
      <c r="D164" s="2" t="inlineStr">
        <is>
          <t>a1</t>
        </is>
      </c>
      <c r="E164" s="2" t="inlineStr">
        <is>
          <t>2.0mm</t>
        </is>
      </c>
      <c r="F164" s="2" t="n">
        <v>2</v>
      </c>
      <c r="G164" s="2" t="n">
        <v>20</v>
      </c>
      <c r="H164" s="2" t="inlineStr">
        <is>
          <t>LC/PC</t>
        </is>
      </c>
      <c r="I164" s="2" t="inlineStr">
        <is>
          <t>SC/PC</t>
        </is>
      </c>
      <c r="J164" s="2" t="n"/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</f>
        <v/>
      </c>
      <c r="W164" s="2" t="n">
        <v>2</v>
      </c>
      <c r="X164" s="2" t="n"/>
      <c r="Y164" s="2" t="n"/>
      <c r="Z164" s="2" t="n"/>
      <c r="AA164" s="2" t="n"/>
      <c r="AB164" s="2" t="n">
        <v>2</v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>
        <f>IF(F164=1,V164*2,IF(F164=2,V164*F164*2,IF(F164&gt;2,F164*2*V164)))</f>
        <v/>
      </c>
      <c r="AW164" s="2">
        <f>SUM(W164:AU164)</f>
        <v/>
      </c>
    </row>
    <row r="165">
      <c r="A165" s="2" t="inlineStr">
        <is>
          <t>14-D-300</t>
        </is>
      </c>
      <c r="B165" s="3" t="inlineStr">
        <is>
          <t>DOJC-SM-LC/PC-SC/PC</t>
        </is>
      </c>
      <c r="C165" s="2" t="inlineStr">
        <is>
          <t>25M</t>
        </is>
      </c>
      <c r="D165" s="2" t="inlineStr">
        <is>
          <t>a1</t>
        </is>
      </c>
      <c r="E165" s="2" t="inlineStr">
        <is>
          <t>2.0mm</t>
        </is>
      </c>
      <c r="F165" s="2" t="n">
        <v>2</v>
      </c>
      <c r="G165" s="2" t="n">
        <v>25</v>
      </c>
      <c r="H165" s="2" t="inlineStr">
        <is>
          <t>LC/PC</t>
        </is>
      </c>
      <c r="I165" s="2" t="inlineStr">
        <is>
          <t>SC/PC</t>
        </is>
      </c>
      <c r="J165" s="2" t="n"/>
      <c r="K165" s="2" t="n"/>
      <c r="L165" s="2" t="n"/>
      <c r="M165" s="2" t="n"/>
      <c r="N165" s="2" t="n">
        <v>40</v>
      </c>
      <c r="O165" s="2" t="n"/>
      <c r="P165" s="2" t="n"/>
      <c r="Q165" s="2" t="n"/>
      <c r="R165" s="2" t="n"/>
      <c r="S165" s="2" t="n"/>
      <c r="T165" s="2" t="n"/>
      <c r="U165" s="2" t="n"/>
      <c r="V165" s="2">
        <f>SUM(J165:U165)</f>
        <v/>
      </c>
      <c r="W165" s="2" t="n">
        <v>80</v>
      </c>
      <c r="X165" s="2" t="n"/>
      <c r="Y165" s="2" t="n"/>
      <c r="Z165" s="2" t="n"/>
      <c r="AA165" s="2" t="n"/>
      <c r="AB165" s="2" t="n">
        <v>80</v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>
        <f>IF(F165=1,V165*2,IF(F165=2,V165*F165*2,IF(F165&gt;2,F165*2*V165)))</f>
        <v/>
      </c>
      <c r="AW165" s="2">
        <f>SUM(W165:AU165)</f>
        <v/>
      </c>
    </row>
    <row r="166">
      <c r="A166" s="2" t="inlineStr">
        <is>
          <t>14-D-303</t>
        </is>
      </c>
      <c r="B166" s="3" t="inlineStr">
        <is>
          <t>DOJC-SM-LC/PC-SC/PC</t>
        </is>
      </c>
      <c r="C166" s="2" t="inlineStr">
        <is>
          <t>2M</t>
        </is>
      </c>
      <c r="D166" s="2" t="inlineStr">
        <is>
          <t>a1</t>
        </is>
      </c>
      <c r="E166" s="2" t="inlineStr">
        <is>
          <t>2.0mm</t>
        </is>
      </c>
      <c r="F166" s="2" t="n">
        <v>2</v>
      </c>
      <c r="G166" s="2" t="n">
        <v>2</v>
      </c>
      <c r="H166" s="2" t="inlineStr">
        <is>
          <t>LC/PC</t>
        </is>
      </c>
      <c r="I166" s="2" t="inlineStr">
        <is>
          <t>SC/PC</t>
        </is>
      </c>
      <c r="J166" s="2" t="n"/>
      <c r="K166" s="2" t="n"/>
      <c r="L166" s="2" t="n"/>
      <c r="M166" s="2" t="n">
        <v>50</v>
      </c>
      <c r="N166" s="2" t="n"/>
      <c r="O166" s="2" t="n"/>
      <c r="P166" s="2" t="n"/>
      <c r="Q166" s="2" t="n"/>
      <c r="R166" s="2" t="n">
        <v>10</v>
      </c>
      <c r="S166" s="2" t="n"/>
      <c r="T166" s="2" t="n"/>
      <c r="U166" s="2" t="n"/>
      <c r="V166" s="2">
        <f>SUM(J166:U166)</f>
        <v/>
      </c>
      <c r="W166" s="2" t="n">
        <v>120</v>
      </c>
      <c r="X166" s="2" t="n"/>
      <c r="Y166" s="2" t="n"/>
      <c r="Z166" s="2" t="n"/>
      <c r="AA166" s="2" t="n"/>
      <c r="AB166" s="2" t="n">
        <v>120</v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>
        <f>IF(F166=1,V166*2,IF(F166=2,V166*F166*2,IF(F166&gt;2,F166*2*V166)))</f>
        <v/>
      </c>
      <c r="AW166" s="2">
        <f>SUM(W166:AU166)</f>
        <v/>
      </c>
    </row>
    <row r="167">
      <c r="A167" s="2" t="inlineStr">
        <is>
          <t>14-D-307</t>
        </is>
      </c>
      <c r="B167" s="3" t="inlineStr">
        <is>
          <t>DOJC-SM-LC/PC-SC/PC</t>
        </is>
      </c>
      <c r="C167" s="2" t="inlineStr">
        <is>
          <t>3M</t>
        </is>
      </c>
      <c r="D167" s="2" t="inlineStr">
        <is>
          <t>a1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SC/PC</t>
        </is>
      </c>
      <c r="J167" s="2" t="n"/>
      <c r="K167" s="2" t="n">
        <v>23</v>
      </c>
      <c r="L167" s="2" t="n">
        <v>6</v>
      </c>
      <c r="M167" s="2" t="n"/>
      <c r="N167" s="2" t="n">
        <v>88</v>
      </c>
      <c r="O167" s="2" t="n">
        <v>80</v>
      </c>
      <c r="P167" s="2" t="n">
        <v>40</v>
      </c>
      <c r="Q167" s="2" t="n">
        <v>30</v>
      </c>
      <c r="R167" s="2" t="n"/>
      <c r="S167" s="2" t="n">
        <v>100</v>
      </c>
      <c r="T167" s="2" t="n">
        <v>75</v>
      </c>
      <c r="U167" s="2" t="n">
        <v>15</v>
      </c>
      <c r="V167" s="2">
        <f>SUM(J167:U167)</f>
        <v/>
      </c>
      <c r="W167" s="2" t="n">
        <v>914</v>
      </c>
      <c r="X167" s="2" t="n"/>
      <c r="Y167" s="2" t="n"/>
      <c r="Z167" s="2" t="n"/>
      <c r="AA167" s="2" t="n"/>
      <c r="AB167" s="2" t="n">
        <v>914</v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>
        <f>IF(F167=1,V167*2,IF(F167=2,V167*F167*2,IF(F167&gt;2,F167*2*V167)))</f>
        <v/>
      </c>
      <c r="AW167" s="2">
        <f>SUM(W167:AU167)</f>
        <v/>
      </c>
    </row>
    <row r="168">
      <c r="A168" s="2" t="inlineStr">
        <is>
          <t>14-D-310</t>
        </is>
      </c>
      <c r="B168" s="3" t="inlineStr">
        <is>
          <t>DOJC-SM-LC/PC-SC/PC</t>
        </is>
      </c>
      <c r="C168" s="2" t="inlineStr">
        <is>
          <t>4M</t>
        </is>
      </c>
      <c r="D168" s="2" t="inlineStr">
        <is>
          <t>a1</t>
        </is>
      </c>
      <c r="E168" s="2" t="inlineStr">
        <is>
          <t>2.0mm</t>
        </is>
      </c>
      <c r="F168" s="2" t="n">
        <v>2</v>
      </c>
      <c r="G168" s="2" t="n">
        <v>4</v>
      </c>
      <c r="H168" s="2" t="inlineStr">
        <is>
          <t>LC/PC</t>
        </is>
      </c>
      <c r="I168" s="2" t="inlineStr">
        <is>
          <t>SC/PC</t>
        </is>
      </c>
      <c r="J168" s="2" t="n"/>
      <c r="K168" s="2" t="n"/>
      <c r="L168" s="2" t="n"/>
      <c r="M168" s="2" t="n"/>
      <c r="N168" s="2" t="n">
        <v>30</v>
      </c>
      <c r="O168" s="2" t="n"/>
      <c r="P168" s="2" t="n"/>
      <c r="Q168" s="2" t="n">
        <v>50</v>
      </c>
      <c r="R168" s="2" t="n"/>
      <c r="S168" s="2" t="n"/>
      <c r="T168" s="2" t="n"/>
      <c r="U168" s="2" t="n"/>
      <c r="V168" s="2">
        <f>SUM(J168:U168)</f>
        <v/>
      </c>
      <c r="W168" s="2" t="n">
        <v>160</v>
      </c>
      <c r="X168" s="2" t="n"/>
      <c r="Y168" s="2" t="n"/>
      <c r="Z168" s="2" t="n"/>
      <c r="AA168" s="2" t="n"/>
      <c r="AB168" s="2" t="n">
        <v>160</v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>
        <f>IF(F168=1,V168*2,IF(F168=2,V168*F168*2,IF(F168&gt;2,F168*2*V168)))</f>
        <v/>
      </c>
      <c r="AW168" s="2">
        <f>SUM(W168:AU168)</f>
        <v/>
      </c>
    </row>
    <row r="169">
      <c r="A169" s="2" t="inlineStr">
        <is>
          <t>14-D-311</t>
        </is>
      </c>
      <c r="B169" s="3" t="inlineStr">
        <is>
          <t>DOJC-SM-LC/PC-SC/PC</t>
        </is>
      </c>
      <c r="C169" s="2" t="inlineStr">
        <is>
          <t>50M</t>
        </is>
      </c>
      <c r="D169" s="2" t="inlineStr">
        <is>
          <t>a1</t>
        </is>
      </c>
      <c r="E169" s="2" t="inlineStr">
        <is>
          <t>2.0mm</t>
        </is>
      </c>
      <c r="F169" s="2" t="n">
        <v>2</v>
      </c>
      <c r="G169" s="2" t="n">
        <v>50</v>
      </c>
      <c r="H169" s="2" t="inlineStr">
        <is>
          <t>LC/PC</t>
        </is>
      </c>
      <c r="I169" s="2" t="inlineStr">
        <is>
          <t>SC/PC</t>
        </is>
      </c>
      <c r="J169" s="2" t="n"/>
      <c r="K169" s="2" t="n"/>
      <c r="L169" s="2" t="n"/>
      <c r="M169" s="2" t="n">
        <v>10</v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>
        <f>SUM(J169:U169)</f>
        <v/>
      </c>
      <c r="W169" s="2" t="n">
        <v>20</v>
      </c>
      <c r="X169" s="2" t="n"/>
      <c r="Y169" s="2" t="n"/>
      <c r="Z169" s="2" t="n"/>
      <c r="AA169" s="2" t="n"/>
      <c r="AB169" s="2" t="n">
        <v>20</v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>
        <f>IF(F169=1,V169*2,IF(F169=2,V169*F169*2,IF(F169&gt;2,F169*2*V169)))</f>
        <v/>
      </c>
      <c r="AW169" s="2">
        <f>SUM(W169:AU169)</f>
        <v/>
      </c>
    </row>
    <row r="170">
      <c r="A170" s="2" t="inlineStr">
        <is>
          <t>14-D-313</t>
        </is>
      </c>
      <c r="B170" s="3" t="inlineStr">
        <is>
          <t>DOJC-SM-LC/PC-SC/PC</t>
        </is>
      </c>
      <c r="C170" s="2" t="inlineStr">
        <is>
          <t>5M</t>
        </is>
      </c>
      <c r="D170" s="2" t="inlineStr">
        <is>
          <t>a1</t>
        </is>
      </c>
      <c r="E170" s="2" t="inlineStr">
        <is>
          <t>2.0mm</t>
        </is>
      </c>
      <c r="F170" s="2" t="n">
        <v>2</v>
      </c>
      <c r="G170" s="2" t="n">
        <v>5</v>
      </c>
      <c r="H170" s="2" t="inlineStr">
        <is>
          <t>LC/PC</t>
        </is>
      </c>
      <c r="I170" s="2" t="inlineStr">
        <is>
          <t>SC/PC</t>
        </is>
      </c>
      <c r="J170" s="2" t="n"/>
      <c r="K170" s="2" t="n"/>
      <c r="L170" s="2" t="n"/>
      <c r="M170" s="2" t="n"/>
      <c r="N170" s="2" t="n"/>
      <c r="O170" s="2" t="n"/>
      <c r="P170" s="2" t="n">
        <v>10</v>
      </c>
      <c r="Q170" s="2" t="n"/>
      <c r="R170" s="2" t="n"/>
      <c r="S170" s="2" t="n"/>
      <c r="T170" s="2" t="n"/>
      <c r="U170" s="2" t="n"/>
      <c r="V170" s="2">
        <f>SUM(J170:U170)</f>
        <v/>
      </c>
      <c r="W170" s="2" t="n">
        <v>20</v>
      </c>
      <c r="X170" s="2" t="n"/>
      <c r="Y170" s="2" t="n"/>
      <c r="Z170" s="2" t="n"/>
      <c r="AA170" s="2" t="n"/>
      <c r="AB170" s="2" t="n">
        <v>20</v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>
        <f>IF(F170=1,V170*2,IF(F170=2,V170*F170*2,IF(F170&gt;2,F170*2*V170)))</f>
        <v/>
      </c>
      <c r="AW170" s="2">
        <f>SUM(W170:AU170)</f>
        <v/>
      </c>
    </row>
    <row r="171">
      <c r="A171" s="2" t="inlineStr">
        <is>
          <t>14-D-344</t>
        </is>
      </c>
      <c r="B171" s="3" t="inlineStr">
        <is>
          <t>DOJC-SM-MTRJ-LC/PC</t>
        </is>
      </c>
      <c r="C171" s="2" t="inlineStr">
        <is>
          <t>45M</t>
        </is>
      </c>
      <c r="D171" s="2" t="inlineStr">
        <is>
          <t>a1</t>
        </is>
      </c>
      <c r="E171" s="2" t="inlineStr">
        <is>
          <t>2.0mm</t>
        </is>
      </c>
      <c r="F171" s="2" t="n">
        <v>2</v>
      </c>
      <c r="G171" s="2" t="n">
        <v>45</v>
      </c>
      <c r="H171" s="2" t="inlineStr">
        <is>
          <t>LC/PC</t>
        </is>
      </c>
      <c r="I171" s="2" t="inlineStr">
        <is>
          <t>LC/PC</t>
        </is>
      </c>
      <c r="J171" s="2" t="n"/>
      <c r="K171" s="2" t="n">
        <v>1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>
        <f>SUM(J171:U171)</f>
        <v/>
      </c>
      <c r="W171" s="2" t="n">
        <v>2</v>
      </c>
      <c r="X171" s="2" t="n">
        <v>2</v>
      </c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>
        <f>IF(F171=1,V171*2,IF(F171=2,V171*F171*2,IF(F171&gt;2,F171*2*V171)))</f>
        <v/>
      </c>
      <c r="AW171" s="2">
        <f>SUM(W171:AU171)</f>
        <v/>
      </c>
    </row>
    <row r="172">
      <c r="A172" s="2" t="inlineStr">
        <is>
          <t>14-D-379</t>
        </is>
      </c>
      <c r="B172" s="3" t="inlineStr">
        <is>
          <t>DOJC-SM-SC/APC-SC/APC</t>
        </is>
      </c>
      <c r="C172" s="2" t="inlineStr">
        <is>
          <t>10M</t>
        </is>
      </c>
      <c r="D172" s="2" t="inlineStr">
        <is>
          <t>a1</t>
        </is>
      </c>
      <c r="E172" s="2" t="inlineStr">
        <is>
          <t>2.0mm</t>
        </is>
      </c>
      <c r="F172" s="2" t="n">
        <v>2</v>
      </c>
      <c r="G172" s="2" t="n">
        <v>10</v>
      </c>
      <c r="H172" s="2" t="inlineStr">
        <is>
          <t>SC/APC</t>
        </is>
      </c>
      <c r="I172" s="2" t="inlineStr">
        <is>
          <t>SC/APC</t>
        </is>
      </c>
      <c r="J172" s="2" t="n"/>
      <c r="K172" s="2" t="n"/>
      <c r="L172" s="2" t="n">
        <v>3</v>
      </c>
      <c r="M172" s="2" t="n">
        <v>3</v>
      </c>
      <c r="N172" s="2" t="n">
        <v>11</v>
      </c>
      <c r="O172" s="2" t="n"/>
      <c r="P172" s="2" t="n">
        <v>3</v>
      </c>
      <c r="Q172" s="2" t="n"/>
      <c r="R172" s="2" t="n"/>
      <c r="S172" s="2" t="n"/>
      <c r="T172" s="2" t="n"/>
      <c r="U172" s="2" t="n"/>
      <c r="V172" s="2">
        <f>SUM(J172:U172)</f>
        <v/>
      </c>
      <c r="W172" s="2" t="n"/>
      <c r="X172" s="2" t="n"/>
      <c r="Y172" s="2" t="n"/>
      <c r="Z172" s="2" t="n"/>
      <c r="AA172" s="2" t="n"/>
      <c r="AB172" s="2" t="n"/>
      <c r="AC172" s="2" t="n">
        <v>40</v>
      </c>
      <c r="AD172" s="2" t="n">
        <v>40</v>
      </c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>
        <f>IF(F172=1,V172*2,IF(F172=2,V172*F172*2,IF(F172&gt;2,F172*2*V172)))</f>
        <v/>
      </c>
      <c r="AW172" s="2">
        <f>SUM(W172:AU172)</f>
        <v/>
      </c>
    </row>
    <row r="173">
      <c r="A173" s="2" t="inlineStr">
        <is>
          <t>14-D-380</t>
        </is>
      </c>
      <c r="B173" s="3" t="inlineStr">
        <is>
          <t>DOJC-SM-SC/APC-SC/APC</t>
        </is>
      </c>
      <c r="C173" s="2" t="inlineStr">
        <is>
          <t>12M</t>
        </is>
      </c>
      <c r="D173" s="2" t="inlineStr">
        <is>
          <t>a1</t>
        </is>
      </c>
      <c r="E173" s="2" t="inlineStr">
        <is>
          <t>2.0mm</t>
        </is>
      </c>
      <c r="F173" s="2" t="n">
        <v>2</v>
      </c>
      <c r="G173" s="2" t="n">
        <v>12</v>
      </c>
      <c r="H173" s="2" t="inlineStr">
        <is>
          <t>SC/APC</t>
        </is>
      </c>
      <c r="I173" s="2" t="inlineStr">
        <is>
          <t>SC/APC</t>
        </is>
      </c>
      <c r="J173" s="2" t="n"/>
      <c r="K173" s="2" t="n"/>
      <c r="L173" s="2" t="n"/>
      <c r="M173" s="2" t="n"/>
      <c r="N173" s="2" t="n">
        <v>21</v>
      </c>
      <c r="O173" s="2" t="n"/>
      <c r="P173" s="2" t="n"/>
      <c r="Q173" s="2" t="n"/>
      <c r="R173" s="2" t="n"/>
      <c r="S173" s="2" t="n"/>
      <c r="T173" s="2" t="n"/>
      <c r="U173" s="2" t="n"/>
      <c r="V173" s="2">
        <f>SUM(J173:U173)</f>
        <v/>
      </c>
      <c r="W173" s="2" t="n"/>
      <c r="X173" s="2" t="n"/>
      <c r="Y173" s="2" t="n"/>
      <c r="Z173" s="2" t="n"/>
      <c r="AA173" s="2" t="n"/>
      <c r="AB173" s="2" t="n"/>
      <c r="AC173" s="2" t="n">
        <v>42</v>
      </c>
      <c r="AD173" s="2" t="n">
        <v>42</v>
      </c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>
        <f>IF(F173=1,V173*2,IF(F173=2,V173*F173*2,IF(F173&gt;2,F173*2*V173)))</f>
        <v/>
      </c>
      <c r="AW173" s="2">
        <f>SUM(W173:AU173)</f>
        <v/>
      </c>
    </row>
    <row r="174">
      <c r="A174" s="2" t="inlineStr">
        <is>
          <t>14-D-381</t>
        </is>
      </c>
      <c r="B174" s="3" t="inlineStr">
        <is>
          <t>DOJC-SM-SC/APC-SC/APC</t>
        </is>
      </c>
      <c r="C174" s="2" t="inlineStr">
        <is>
          <t>15M</t>
        </is>
      </c>
      <c r="D174" s="2" t="inlineStr">
        <is>
          <t>a1</t>
        </is>
      </c>
      <c r="E174" s="2" t="inlineStr">
        <is>
          <t>2.0mm</t>
        </is>
      </c>
      <c r="F174" s="2" t="n">
        <v>2</v>
      </c>
      <c r="G174" s="2" t="n">
        <v>15</v>
      </c>
      <c r="H174" s="2" t="inlineStr">
        <is>
          <t>SC/APC</t>
        </is>
      </c>
      <c r="I174" s="2" t="inlineStr">
        <is>
          <t>SC/APC</t>
        </is>
      </c>
      <c r="J174" s="2" t="n"/>
      <c r="K174" s="2" t="n"/>
      <c r="L174" s="2" t="n"/>
      <c r="M174" s="2" t="n"/>
      <c r="N174" s="2" t="n">
        <v>32</v>
      </c>
      <c r="O174" s="2" t="n"/>
      <c r="P174" s="2" t="n"/>
      <c r="Q174" s="2" t="n"/>
      <c r="R174" s="2" t="n"/>
      <c r="S174" s="2" t="n"/>
      <c r="T174" s="2" t="n"/>
      <c r="U174" s="2" t="n"/>
      <c r="V174" s="2">
        <f>SUM(J174:U174)</f>
        <v/>
      </c>
      <c r="W174" s="2" t="n"/>
      <c r="X174" s="2" t="n"/>
      <c r="Y174" s="2" t="n"/>
      <c r="Z174" s="2" t="n"/>
      <c r="AA174" s="2" t="n"/>
      <c r="AB174" s="2" t="n"/>
      <c r="AC174" s="2" t="n">
        <v>64</v>
      </c>
      <c r="AD174" s="2" t="n">
        <v>64</v>
      </c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>
        <f>IF(F174=1,V174*2,IF(F174=2,V174*F174*2,IF(F174&gt;2,F174*2*V174)))</f>
        <v/>
      </c>
      <c r="AW174" s="2">
        <f>SUM(W174:AU174)</f>
        <v/>
      </c>
    </row>
    <row r="175">
      <c r="A175" s="2" t="inlineStr">
        <is>
          <t>14-D-382</t>
        </is>
      </c>
      <c r="B175" s="3" t="inlineStr">
        <is>
          <t>DOJC-SM-SC/APC-SC/APC</t>
        </is>
      </c>
      <c r="C175" s="2" t="inlineStr">
        <is>
          <t>1M</t>
        </is>
      </c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1</v>
      </c>
      <c r="H175" s="2" t="inlineStr">
        <is>
          <t>SC/APC</t>
        </is>
      </c>
      <c r="I175" s="2" t="inlineStr">
        <is>
          <t>SC/APC</t>
        </is>
      </c>
      <c r="J175" s="2" t="n"/>
      <c r="K175" s="2" t="n">
        <v>34</v>
      </c>
      <c r="L175" s="2" t="n"/>
      <c r="M175" s="2" t="n"/>
      <c r="N175" s="2" t="n">
        <v>15</v>
      </c>
      <c r="O175" s="2" t="n"/>
      <c r="P175" s="2" t="n">
        <v>7</v>
      </c>
      <c r="Q175" s="2" t="n"/>
      <c r="R175" s="2" t="n"/>
      <c r="S175" s="2" t="n"/>
      <c r="T175" s="2" t="n"/>
      <c r="U175" s="2" t="n"/>
      <c r="V175" s="2">
        <f>SUM(J175:U175)</f>
        <v/>
      </c>
      <c r="W175" s="2" t="n"/>
      <c r="X175" s="2" t="n"/>
      <c r="Y175" s="2" t="n"/>
      <c r="Z175" s="2" t="n"/>
      <c r="AA175" s="2" t="n"/>
      <c r="AB175" s="2" t="n"/>
      <c r="AC175" s="2" t="n">
        <v>112</v>
      </c>
      <c r="AD175" s="2" t="n">
        <v>112</v>
      </c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>
        <f>IF(F175=1,V175*2,IF(F175=2,V175*F175*2,IF(F175&gt;2,F175*2*V175)))</f>
        <v/>
      </c>
      <c r="AW175" s="2">
        <f>SUM(W175:AU175)</f>
        <v/>
      </c>
    </row>
    <row r="176">
      <c r="A176" s="2" t="inlineStr">
        <is>
          <t>14-D-383</t>
        </is>
      </c>
      <c r="B176" s="3" t="inlineStr">
        <is>
          <t>DOJC-SM-SC/APC-SC/APC</t>
        </is>
      </c>
      <c r="C176" s="2" t="inlineStr">
        <is>
          <t>20M</t>
        </is>
      </c>
      <c r="D176" s="2" t="inlineStr">
        <is>
          <t>a1</t>
        </is>
      </c>
      <c r="E176" s="2" t="inlineStr">
        <is>
          <t>2.0mm</t>
        </is>
      </c>
      <c r="F176" s="2" t="n">
        <v>2</v>
      </c>
      <c r="G176" s="2" t="n">
        <v>20</v>
      </c>
      <c r="H176" s="2" t="inlineStr">
        <is>
          <t>SC/APC</t>
        </is>
      </c>
      <c r="I176" s="2" t="inlineStr">
        <is>
          <t>SC/APC</t>
        </is>
      </c>
      <c r="J176" s="2" t="n"/>
      <c r="K176" s="2" t="n"/>
      <c r="L176" s="2" t="n">
        <v>2</v>
      </c>
      <c r="M176" s="2" t="n"/>
      <c r="N176" s="2" t="n">
        <v>20</v>
      </c>
      <c r="O176" s="2" t="n">
        <v>2</v>
      </c>
      <c r="P176" s="2" t="n">
        <v>1</v>
      </c>
      <c r="Q176" s="2" t="n"/>
      <c r="R176" s="2" t="n"/>
      <c r="S176" s="2" t="n"/>
      <c r="T176" s="2" t="n"/>
      <c r="U176" s="2" t="n"/>
      <c r="V176" s="2">
        <f>SUM(J176:U176)</f>
        <v/>
      </c>
      <c r="W176" s="2" t="n"/>
      <c r="X176" s="2" t="n"/>
      <c r="Y176" s="2" t="n"/>
      <c r="Z176" s="2" t="n"/>
      <c r="AA176" s="2" t="n"/>
      <c r="AB176" s="2" t="n"/>
      <c r="AC176" s="2" t="n">
        <v>50</v>
      </c>
      <c r="AD176" s="2" t="n">
        <v>50</v>
      </c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>
        <f>IF(F176=1,V176*2,IF(F176=2,V176*F176*2,IF(F176&gt;2,F176*2*V176)))</f>
        <v/>
      </c>
      <c r="AW176" s="2">
        <f>SUM(W176:AU176)</f>
        <v/>
      </c>
    </row>
    <row r="177">
      <c r="A177" s="2" t="inlineStr">
        <is>
          <t>14-D-386</t>
        </is>
      </c>
      <c r="B177" s="3" t="inlineStr">
        <is>
          <t>DOJC-SM-SC/APC-SC/APC</t>
        </is>
      </c>
      <c r="C177" s="2" t="inlineStr">
        <is>
          <t>30M</t>
        </is>
      </c>
      <c r="D177" s="2" t="inlineStr">
        <is>
          <t>a1</t>
        </is>
      </c>
      <c r="E177" s="2" t="inlineStr">
        <is>
          <t>2.0mm</t>
        </is>
      </c>
      <c r="F177" s="2" t="n">
        <v>2</v>
      </c>
      <c r="G177" s="2" t="n">
        <v>30</v>
      </c>
      <c r="H177" s="2" t="inlineStr">
        <is>
          <t>SC/APC</t>
        </is>
      </c>
      <c r="I177" s="2" t="inlineStr">
        <is>
          <t>SC/APC</t>
        </is>
      </c>
      <c r="J177" s="2" t="n"/>
      <c r="K177" s="2" t="n"/>
      <c r="L177" s="2" t="n">
        <v>1</v>
      </c>
      <c r="M177" s="2" t="n"/>
      <c r="N177" s="2" t="n">
        <v>20</v>
      </c>
      <c r="O177" s="2" t="n"/>
      <c r="P177" s="2" t="n"/>
      <c r="Q177" s="2" t="n"/>
      <c r="R177" s="2" t="n">
        <v>1</v>
      </c>
      <c r="S177" s="2" t="n"/>
      <c r="T177" s="2" t="n"/>
      <c r="U177" s="2" t="n"/>
      <c r="V177" s="2">
        <f>SUM(J177:U177)</f>
        <v/>
      </c>
      <c r="W177" s="2" t="n"/>
      <c r="X177" s="2" t="n"/>
      <c r="Y177" s="2" t="n"/>
      <c r="Z177" s="2" t="n"/>
      <c r="AA177" s="2" t="n"/>
      <c r="AB177" s="2" t="n"/>
      <c r="AC177" s="2" t="n">
        <v>44</v>
      </c>
      <c r="AD177" s="2" t="n">
        <v>44</v>
      </c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>
        <f>IF(F177=1,V177*2,IF(F177=2,V177*F177*2,IF(F177&gt;2,F177*2*V177)))</f>
        <v/>
      </c>
      <c r="AW177" s="2">
        <f>SUM(W177:AU177)</f>
        <v/>
      </c>
    </row>
    <row r="178">
      <c r="A178" s="2" t="inlineStr">
        <is>
          <t>14-D-388</t>
        </is>
      </c>
      <c r="B178" s="3" t="inlineStr">
        <is>
          <t>DOJC-SM-SC/APC-SC/APC</t>
        </is>
      </c>
      <c r="C178" s="2" t="inlineStr">
        <is>
          <t>3M</t>
        </is>
      </c>
      <c r="D178" s="2" t="inlineStr">
        <is>
          <t>a1</t>
        </is>
      </c>
      <c r="E178" s="2" t="inlineStr">
        <is>
          <t>2.0mm</t>
        </is>
      </c>
      <c r="F178" s="2" t="n">
        <v>2</v>
      </c>
      <c r="G178" s="2" t="n">
        <v>3</v>
      </c>
      <c r="H178" s="2" t="inlineStr">
        <is>
          <t>SC/APC</t>
        </is>
      </c>
      <c r="I178" s="2" t="inlineStr">
        <is>
          <t>SC/APC</t>
        </is>
      </c>
      <c r="J178" s="2" t="n"/>
      <c r="K178" s="2" t="n"/>
      <c r="L178" s="2" t="n"/>
      <c r="M178" s="2" t="n"/>
      <c r="N178" s="2" t="n">
        <v>17</v>
      </c>
      <c r="O178" s="2" t="n"/>
      <c r="P178" s="2" t="n"/>
      <c r="Q178" s="2" t="n"/>
      <c r="R178" s="2" t="n">
        <v>20</v>
      </c>
      <c r="S178" s="2" t="n"/>
      <c r="T178" s="2" t="n"/>
      <c r="U178" s="2" t="n"/>
      <c r="V178" s="2">
        <f>SUM(J178:U178)</f>
        <v/>
      </c>
      <c r="W178" s="2" t="n"/>
      <c r="X178" s="2" t="n"/>
      <c r="Y178" s="2" t="n"/>
      <c r="Z178" s="2" t="n"/>
      <c r="AA178" s="2" t="n"/>
      <c r="AB178" s="2" t="n"/>
      <c r="AC178" s="2" t="n">
        <v>74</v>
      </c>
      <c r="AD178" s="2" t="n">
        <v>74</v>
      </c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>
        <f>IF(F178=1,V178*2,IF(F178=2,V178*F178*2,IF(F178&gt;2,F178*2*V178)))</f>
        <v/>
      </c>
      <c r="AW178" s="2">
        <f>SUM(W178:AU178)</f>
        <v/>
      </c>
    </row>
    <row r="179">
      <c r="A179" s="2" t="inlineStr">
        <is>
          <t>14-D-389</t>
        </is>
      </c>
      <c r="B179" s="3" t="inlineStr">
        <is>
          <t>DOJC-SM-SC/APC-SC/APC</t>
        </is>
      </c>
      <c r="C179" s="2" t="inlineStr">
        <is>
          <t>40M</t>
        </is>
      </c>
      <c r="D179" s="2" t="inlineStr">
        <is>
          <t>a1</t>
        </is>
      </c>
      <c r="E179" s="2" t="inlineStr">
        <is>
          <t>2.0mm</t>
        </is>
      </c>
      <c r="F179" s="2" t="n">
        <v>2</v>
      </c>
      <c r="G179" s="2" t="n">
        <v>40</v>
      </c>
      <c r="H179" s="2" t="inlineStr">
        <is>
          <t>SC/APC</t>
        </is>
      </c>
      <c r="I179" s="2" t="inlineStr">
        <is>
          <t>SC/APC</t>
        </is>
      </c>
      <c r="J179" s="2" t="n"/>
      <c r="K179" s="2" t="n"/>
      <c r="L179" s="2" t="n"/>
      <c r="M179" s="2" t="n"/>
      <c r="N179" s="2" t="n">
        <v>10</v>
      </c>
      <c r="O179" s="2" t="n"/>
      <c r="P179" s="2" t="n"/>
      <c r="Q179" s="2" t="n"/>
      <c r="R179" s="2" t="n"/>
      <c r="S179" s="2" t="n"/>
      <c r="T179" s="2" t="n"/>
      <c r="U179" s="2" t="n"/>
      <c r="V179" s="2">
        <f>SUM(J179:U179)</f>
        <v/>
      </c>
      <c r="W179" s="2" t="n"/>
      <c r="X179" s="2" t="n"/>
      <c r="Y179" s="2" t="n"/>
      <c r="Z179" s="2" t="n"/>
      <c r="AA179" s="2" t="n"/>
      <c r="AB179" s="2" t="n"/>
      <c r="AC179" s="2" t="n">
        <v>20</v>
      </c>
      <c r="AD179" s="2" t="n">
        <v>20</v>
      </c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>
        <f>IF(F179=1,V179*2,IF(F179=2,V179*F179*2,IF(F179&gt;2,F179*2*V179)))</f>
        <v/>
      </c>
      <c r="AW179" s="2">
        <f>SUM(W179:AU179)</f>
        <v/>
      </c>
    </row>
    <row r="180">
      <c r="A180" s="2" t="inlineStr">
        <is>
          <t>14-D-394</t>
        </is>
      </c>
      <c r="B180" s="3" t="inlineStr">
        <is>
          <t>DOJC-SM-SC/APC-SC/APC</t>
        </is>
      </c>
      <c r="C180" s="2" t="inlineStr">
        <is>
          <t>7M</t>
        </is>
      </c>
      <c r="D180" s="2" t="inlineStr">
        <is>
          <t>a1</t>
        </is>
      </c>
      <c r="E180" s="2" t="inlineStr">
        <is>
          <t>2.0mm</t>
        </is>
      </c>
      <c r="F180" s="2" t="n">
        <v>2</v>
      </c>
      <c r="G180" s="2" t="n">
        <v>7</v>
      </c>
      <c r="H180" s="2" t="inlineStr">
        <is>
          <t>SC/APC</t>
        </is>
      </c>
      <c r="I180" s="2" t="inlineStr">
        <is>
          <t>SC/APC</t>
        </is>
      </c>
      <c r="J180" s="2" t="n"/>
      <c r="K180" s="2" t="n"/>
      <c r="L180" s="2" t="n"/>
      <c r="M180" s="2" t="n">
        <v>1</v>
      </c>
      <c r="N180" s="2" t="n"/>
      <c r="O180" s="2" t="n"/>
      <c r="P180" s="2" t="n">
        <v>1</v>
      </c>
      <c r="Q180" s="2" t="n"/>
      <c r="R180" s="2" t="n"/>
      <c r="S180" s="2" t="n"/>
      <c r="T180" s="2" t="n"/>
      <c r="U180" s="2" t="n"/>
      <c r="V180" s="2">
        <f>SUM(J180:U180)</f>
        <v/>
      </c>
      <c r="W180" s="2" t="n"/>
      <c r="X180" s="2" t="n"/>
      <c r="Y180" s="2" t="n"/>
      <c r="Z180" s="2" t="n"/>
      <c r="AA180" s="2" t="n"/>
      <c r="AB180" s="2" t="n"/>
      <c r="AC180" s="2" t="n">
        <v>4</v>
      </c>
      <c r="AD180" s="2" t="n">
        <v>4</v>
      </c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>
        <f>IF(F180=1,V180*2,IF(F180=2,V180*F180*2,IF(F180&gt;2,F180*2*V180)))</f>
        <v/>
      </c>
      <c r="AW180" s="2">
        <f>SUM(W180:AU180)</f>
        <v/>
      </c>
    </row>
    <row r="181">
      <c r="A181" s="2" t="inlineStr">
        <is>
          <t>14-D-396</t>
        </is>
      </c>
      <c r="B181" s="3" t="inlineStr">
        <is>
          <t>DOJC-SM-SC/PC-FC/APC</t>
        </is>
      </c>
      <c r="C181" s="2" t="inlineStr">
        <is>
          <t>10M</t>
        </is>
      </c>
      <c r="D181" s="2" t="inlineStr">
        <is>
          <t>a1</t>
        </is>
      </c>
      <c r="E181" s="2" t="inlineStr">
        <is>
          <t>2.0mm</t>
        </is>
      </c>
      <c r="F181" s="2" t="n">
        <v>2</v>
      </c>
      <c r="G181" s="2" t="n">
        <v>10</v>
      </c>
      <c r="H181" s="2" t="inlineStr">
        <is>
          <t>SC/PC</t>
        </is>
      </c>
      <c r="I181" s="2" t="inlineStr">
        <is>
          <t>FC/APC</t>
        </is>
      </c>
      <c r="J181" s="2" t="n"/>
      <c r="K181" s="2" t="n"/>
      <c r="L181" s="2" t="n">
        <v>12</v>
      </c>
      <c r="M181" s="2" t="n"/>
      <c r="N181" s="2" t="n"/>
      <c r="O181" s="2" t="n"/>
      <c r="P181" s="2" t="n"/>
      <c r="Q181" s="2" t="n">
        <v>17</v>
      </c>
      <c r="R181" s="2" t="n"/>
      <c r="S181" s="2" t="n"/>
      <c r="T181" s="2" t="n"/>
      <c r="U181" s="2" t="n"/>
      <c r="V181" s="2">
        <f>SUM(J181:U181)</f>
        <v/>
      </c>
      <c r="W181" s="2" t="n"/>
      <c r="X181" s="2" t="n"/>
      <c r="Y181" s="2" t="n"/>
      <c r="Z181" s="2" t="n"/>
      <c r="AA181" s="2" t="n">
        <v>58</v>
      </c>
      <c r="AB181" s="2" t="n"/>
      <c r="AC181" s="2" t="n"/>
      <c r="AD181" s="2" t="n"/>
      <c r="AE181" s="2" t="n"/>
      <c r="AF181" s="2" t="n"/>
      <c r="AG181" s="2" t="n"/>
      <c r="AH181" s="2" t="n">
        <v>58</v>
      </c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>
        <f>IF(F181=1,V181*2,IF(F181=2,V181*F181*2,IF(F181&gt;2,F181*2*V181)))</f>
        <v/>
      </c>
      <c r="AW181" s="2">
        <f>SUM(W181:AU181)</f>
        <v/>
      </c>
    </row>
    <row r="182">
      <c r="A182" s="2" t="inlineStr">
        <is>
          <t>14-D-400</t>
        </is>
      </c>
      <c r="B182" s="3" t="inlineStr">
        <is>
          <t>DOJC-SM-SC/PC-FC/APC</t>
        </is>
      </c>
      <c r="C182" s="2" t="inlineStr">
        <is>
          <t>15M</t>
        </is>
      </c>
      <c r="D182" s="2" t="inlineStr">
        <is>
          <t>a1</t>
        </is>
      </c>
      <c r="E182" s="2" t="inlineStr">
        <is>
          <t>2.0mm</t>
        </is>
      </c>
      <c r="F182" s="2" t="n">
        <v>2</v>
      </c>
      <c r="G182" s="2" t="n">
        <v>15</v>
      </c>
      <c r="H182" s="2" t="inlineStr">
        <is>
          <t>SC/PC</t>
        </is>
      </c>
      <c r="I182" s="2" t="inlineStr">
        <is>
          <t>FC/APC</t>
        </is>
      </c>
      <c r="J182" s="2" t="n"/>
      <c r="K182" s="2" t="n"/>
      <c r="L182" s="2" t="n">
        <v>12</v>
      </c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>
        <f>SUM(J182:U182)</f>
        <v/>
      </c>
      <c r="W182" s="2" t="n"/>
      <c r="X182" s="2" t="n"/>
      <c r="Y182" s="2" t="n"/>
      <c r="Z182" s="2" t="n"/>
      <c r="AA182" s="2" t="n">
        <v>24</v>
      </c>
      <c r="AB182" s="2" t="n"/>
      <c r="AC182" s="2" t="n"/>
      <c r="AD182" s="2" t="n"/>
      <c r="AE182" s="2" t="n"/>
      <c r="AF182" s="2" t="n"/>
      <c r="AG182" s="2" t="n"/>
      <c r="AH182" s="2" t="n">
        <v>24</v>
      </c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>
        <f>IF(F182=1,V182*2,IF(F182=2,V182*F182*2,IF(F182&gt;2,F182*2*V182)))</f>
        <v/>
      </c>
      <c r="AW182" s="2">
        <f>SUM(W182:AU182)</f>
        <v/>
      </c>
    </row>
    <row r="183">
      <c r="A183" s="2" t="inlineStr">
        <is>
          <t>14-D-404</t>
        </is>
      </c>
      <c r="B183" s="3" t="inlineStr">
        <is>
          <t>DOJC-SM-SC/PC-FC/APC</t>
        </is>
      </c>
      <c r="C183" s="2" t="inlineStr">
        <is>
          <t>20M</t>
        </is>
      </c>
      <c r="D183" s="2" t="inlineStr">
        <is>
          <t>a1</t>
        </is>
      </c>
      <c r="E183" s="2" t="inlineStr">
        <is>
          <t>2.0mm</t>
        </is>
      </c>
      <c r="F183" s="2" t="n">
        <v>2</v>
      </c>
      <c r="G183" s="2" t="n">
        <v>20</v>
      </c>
      <c r="H183" s="2" t="inlineStr">
        <is>
          <t>SC/PC</t>
        </is>
      </c>
      <c r="I183" s="2" t="inlineStr">
        <is>
          <t>FC/APC</t>
        </is>
      </c>
      <c r="J183" s="2" t="n">
        <v>9</v>
      </c>
      <c r="K183" s="2" t="n"/>
      <c r="L183" s="2" t="n"/>
      <c r="M183" s="2" t="n"/>
      <c r="N183" s="2" t="n">
        <v>65</v>
      </c>
      <c r="O183" s="2" t="n">
        <v>50</v>
      </c>
      <c r="P183" s="2" t="n"/>
      <c r="Q183" s="2" t="n"/>
      <c r="R183" s="2" t="n"/>
      <c r="S183" s="2" t="n"/>
      <c r="T183" s="2" t="n"/>
      <c r="U183" s="2" t="n"/>
      <c r="V183" s="2">
        <f>SUM(J183:U183)</f>
        <v/>
      </c>
      <c r="W183" s="2" t="n"/>
      <c r="X183" s="2" t="n"/>
      <c r="Y183" s="2" t="n"/>
      <c r="Z183" s="2" t="n"/>
      <c r="AA183" s="2" t="n">
        <v>248</v>
      </c>
      <c r="AB183" s="2" t="n"/>
      <c r="AC183" s="2" t="n"/>
      <c r="AD183" s="2" t="n"/>
      <c r="AE183" s="2" t="n"/>
      <c r="AF183" s="2" t="n"/>
      <c r="AG183" s="2" t="n"/>
      <c r="AH183" s="2" t="n">
        <v>248</v>
      </c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>
        <f>IF(F183=1,V183*2,IF(F183=2,V183*F183*2,IF(F183&gt;2,F183*2*V183)))</f>
        <v/>
      </c>
      <c r="AW183" s="2">
        <f>SUM(W183:AU183)</f>
        <v/>
      </c>
    </row>
    <row r="184">
      <c r="A184" s="2" t="inlineStr">
        <is>
          <t>14-D-409</t>
        </is>
      </c>
      <c r="B184" s="3" t="inlineStr">
        <is>
          <t>DOJC-SM-SC/PC-FC/APC</t>
        </is>
      </c>
      <c r="C184" s="2" t="inlineStr">
        <is>
          <t>30M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30</v>
      </c>
      <c r="H184" s="2" t="inlineStr">
        <is>
          <t>SC/PC</t>
        </is>
      </c>
      <c r="I184" s="2" t="inlineStr">
        <is>
          <t>FC/APC</t>
        </is>
      </c>
      <c r="J184" s="2" t="n"/>
      <c r="K184" s="2" t="n"/>
      <c r="L184" s="2" t="n"/>
      <c r="M184" s="2" t="n"/>
      <c r="N184" s="2" t="n"/>
      <c r="O184" s="2" t="n">
        <v>10</v>
      </c>
      <c r="P184" s="2" t="n"/>
      <c r="Q184" s="2" t="n"/>
      <c r="R184" s="2" t="n"/>
      <c r="S184" s="2" t="n"/>
      <c r="T184" s="2" t="n"/>
      <c r="U184" s="2" t="n"/>
      <c r="V184" s="2">
        <f>SUM(J184:U184)</f>
        <v/>
      </c>
      <c r="W184" s="2" t="n"/>
      <c r="X184" s="2" t="n"/>
      <c r="Y184" s="2" t="n"/>
      <c r="Z184" s="2" t="n"/>
      <c r="AA184" s="2" t="n">
        <v>20</v>
      </c>
      <c r="AB184" s="2" t="n"/>
      <c r="AC184" s="2" t="n"/>
      <c r="AD184" s="2" t="n"/>
      <c r="AE184" s="2" t="n"/>
      <c r="AF184" s="2" t="n"/>
      <c r="AG184" s="2" t="n"/>
      <c r="AH184" s="2" t="n">
        <v>20</v>
      </c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>
        <f>IF(F184=1,V184*2,IF(F184=2,V184*F184*2,IF(F184&gt;2,F184*2*V184)))</f>
        <v/>
      </c>
      <c r="AW184" s="2">
        <f>SUM(W184:AU184)</f>
        <v/>
      </c>
    </row>
    <row r="185">
      <c r="A185" s="2" t="inlineStr">
        <is>
          <t>14-D-411</t>
        </is>
      </c>
      <c r="B185" s="3" t="inlineStr">
        <is>
          <t>DOJC-SM-SC/PC-FC/APC</t>
        </is>
      </c>
      <c r="C185" s="2" t="inlineStr">
        <is>
          <t>35M</t>
        </is>
      </c>
      <c r="D185" s="2" t="inlineStr">
        <is>
          <t>a1</t>
        </is>
      </c>
      <c r="E185" s="2" t="inlineStr">
        <is>
          <t>2.0mm</t>
        </is>
      </c>
      <c r="F185" s="2" t="n">
        <v>2</v>
      </c>
      <c r="G185" s="2" t="n">
        <v>35</v>
      </c>
      <c r="H185" s="2" t="inlineStr">
        <is>
          <t>SC/PC</t>
        </is>
      </c>
      <c r="I185" s="2" t="inlineStr">
        <is>
          <t>FC/APC</t>
        </is>
      </c>
      <c r="J185" s="2" t="n"/>
      <c r="K185" s="2" t="n">
        <v>3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>
        <f>SUM(J185:U185)</f>
        <v/>
      </c>
      <c r="W185" s="2" t="n"/>
      <c r="X185" s="2" t="n"/>
      <c r="Y185" s="2" t="n"/>
      <c r="Z185" s="2" t="n"/>
      <c r="AA185" s="2" t="n">
        <v>6</v>
      </c>
      <c r="AB185" s="2" t="n"/>
      <c r="AC185" s="2" t="n"/>
      <c r="AD185" s="2" t="n"/>
      <c r="AE185" s="2" t="n"/>
      <c r="AF185" s="2" t="n"/>
      <c r="AG185" s="2" t="n"/>
      <c r="AH185" s="2" t="n">
        <v>6</v>
      </c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>
        <f>IF(F185=1,V185*2,IF(F185=2,V185*F185*2,IF(F185&gt;2,F185*2*V185)))</f>
        <v/>
      </c>
      <c r="AW185" s="2">
        <f>SUM(W185:AU185)</f>
        <v/>
      </c>
    </row>
    <row r="186">
      <c r="A186" s="2" t="inlineStr">
        <is>
          <t>14-D-427</t>
        </is>
      </c>
      <c r="B186" s="3" t="inlineStr">
        <is>
          <t>DOJC-SM-SC/PC-FC/PC</t>
        </is>
      </c>
      <c r="C186" s="2" t="inlineStr">
        <is>
          <t>12M</t>
        </is>
      </c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12</v>
      </c>
      <c r="H186" s="2" t="inlineStr">
        <is>
          <t>SC/PC</t>
        </is>
      </c>
      <c r="I186" s="2" t="inlineStr">
        <is>
          <t>FC/PC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>
        <v>30</v>
      </c>
      <c r="U186" s="2" t="n"/>
      <c r="V186" s="2">
        <f>SUM(J186:U186)</f>
        <v/>
      </c>
      <c r="W186" s="2" t="n"/>
      <c r="X186" s="2" t="n"/>
      <c r="Y186" s="2" t="n"/>
      <c r="Z186" s="2" t="n"/>
      <c r="AA186" s="2" t="n">
        <v>60</v>
      </c>
      <c r="AB186" s="2" t="n"/>
      <c r="AC186" s="2" t="n"/>
      <c r="AD186" s="2" t="n"/>
      <c r="AE186" s="2" t="n"/>
      <c r="AF186" s="2" t="n">
        <v>60</v>
      </c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>
        <f>IF(F186=1,V186*2,IF(F186=2,V186*F186*2,IF(F186&gt;2,F186*2*V186)))</f>
        <v/>
      </c>
      <c r="AW186" s="2">
        <f>SUM(W186:AU186)</f>
        <v/>
      </c>
    </row>
    <row r="187">
      <c r="A187" s="2" t="inlineStr">
        <is>
          <t>14-D-428</t>
        </is>
      </c>
      <c r="B187" s="3" t="inlineStr">
        <is>
          <t>DOJC-SM-SC/PC-FC/PC</t>
        </is>
      </c>
      <c r="C187" s="2" t="inlineStr">
        <is>
          <t>13M</t>
        </is>
      </c>
      <c r="D187" s="2" t="inlineStr">
        <is>
          <t>a1</t>
        </is>
      </c>
      <c r="E187" s="2" t="inlineStr">
        <is>
          <t>2.0mm</t>
        </is>
      </c>
      <c r="F187" s="2" t="n">
        <v>2</v>
      </c>
      <c r="G187" s="2" t="n">
        <v>13</v>
      </c>
      <c r="H187" s="2" t="inlineStr">
        <is>
          <t>SC/PC</t>
        </is>
      </c>
      <c r="I187" s="2" t="inlineStr">
        <is>
          <t>FC/PC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>
        <v>4</v>
      </c>
      <c r="U187" s="2" t="n"/>
      <c r="V187" s="2">
        <f>SUM(J187:U187)</f>
        <v/>
      </c>
      <c r="W187" s="2" t="n"/>
      <c r="X187" s="2" t="n"/>
      <c r="Y187" s="2" t="n"/>
      <c r="Z187" s="2" t="n"/>
      <c r="AA187" s="2" t="n">
        <v>8</v>
      </c>
      <c r="AB187" s="2" t="n"/>
      <c r="AC187" s="2" t="n"/>
      <c r="AD187" s="2" t="n"/>
      <c r="AE187" s="2" t="n"/>
      <c r="AF187" s="2" t="n">
        <v>8</v>
      </c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>
        <f>IF(F187=1,V187*2,IF(F187=2,V187*F187*2,IF(F187&gt;2,F187*2*V187)))</f>
        <v/>
      </c>
      <c r="AW187" s="2">
        <f>SUM(W187:AU187)</f>
        <v/>
      </c>
    </row>
    <row r="188">
      <c r="A188" s="2" t="inlineStr">
        <is>
          <t>14-D-429</t>
        </is>
      </c>
      <c r="B188" s="3" t="inlineStr">
        <is>
          <t>DOJC-SM-SC/PC-FC/PC</t>
        </is>
      </c>
      <c r="C188" s="2" t="inlineStr">
        <is>
          <t>15M</t>
        </is>
      </c>
      <c r="D188" s="2" t="inlineStr">
        <is>
          <t>a1</t>
        </is>
      </c>
      <c r="E188" s="2" t="inlineStr">
        <is>
          <t>2.0mm</t>
        </is>
      </c>
      <c r="F188" s="2" t="n">
        <v>2</v>
      </c>
      <c r="G188" s="2" t="n">
        <v>15</v>
      </c>
      <c r="H188" s="2" t="inlineStr">
        <is>
          <t>SC/PC</t>
        </is>
      </c>
      <c r="I188" s="2" t="inlineStr">
        <is>
          <t>FC/PC</t>
        </is>
      </c>
      <c r="J188" s="2" t="n"/>
      <c r="K188" s="2" t="n"/>
      <c r="L188" s="2" t="n"/>
      <c r="M188" s="2" t="n">
        <v>5</v>
      </c>
      <c r="N188" s="2" t="n">
        <v>10</v>
      </c>
      <c r="O188" s="2" t="n"/>
      <c r="P188" s="2" t="n"/>
      <c r="Q188" s="2" t="n"/>
      <c r="R188" s="2" t="n"/>
      <c r="S188" s="2" t="n"/>
      <c r="T188" s="2" t="n">
        <v>4</v>
      </c>
      <c r="U188" s="2" t="n"/>
      <c r="V188" s="2">
        <f>SUM(J188:U188)</f>
        <v/>
      </c>
      <c r="W188" s="2" t="n"/>
      <c r="X188" s="2" t="n"/>
      <c r="Y188" s="2" t="n"/>
      <c r="Z188" s="2" t="n"/>
      <c r="AA188" s="2" t="n">
        <v>38</v>
      </c>
      <c r="AB188" s="2" t="n"/>
      <c r="AC188" s="2" t="n"/>
      <c r="AD188" s="2" t="n"/>
      <c r="AE188" s="2" t="n"/>
      <c r="AF188" s="2" t="n">
        <v>38</v>
      </c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>
        <f>IF(F188=1,V188*2,IF(F188=2,V188*F188*2,IF(F188&gt;2,F188*2*V188)))</f>
        <v/>
      </c>
      <c r="AW188" s="2">
        <f>SUM(W188:AU188)</f>
        <v/>
      </c>
    </row>
    <row r="189">
      <c r="A189" s="2" t="inlineStr">
        <is>
          <t>14-D-434</t>
        </is>
      </c>
      <c r="B189" s="3" t="inlineStr">
        <is>
          <t>DOJC-SM-SC/PC-FC/PC</t>
        </is>
      </c>
      <c r="C189" s="2" t="inlineStr">
        <is>
          <t>30M</t>
        </is>
      </c>
      <c r="D189" s="2" t="inlineStr">
        <is>
          <t>a1</t>
        </is>
      </c>
      <c r="E189" s="2" t="inlineStr">
        <is>
          <t>2.0mm</t>
        </is>
      </c>
      <c r="F189" s="2" t="n">
        <v>2</v>
      </c>
      <c r="G189" s="2" t="n">
        <v>30</v>
      </c>
      <c r="H189" s="2" t="inlineStr">
        <is>
          <t>SC/PC</t>
        </is>
      </c>
      <c r="I189" s="2" t="inlineStr">
        <is>
          <t>FC/PC</t>
        </is>
      </c>
      <c r="J189" s="2" t="n"/>
      <c r="K189" s="2" t="n"/>
      <c r="L189" s="2" t="n">
        <v>30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>
        <f>SUM(J189:U189)</f>
        <v/>
      </c>
      <c r="W189" s="2" t="n"/>
      <c r="X189" s="2" t="n"/>
      <c r="Y189" s="2" t="n"/>
      <c r="Z189" s="2" t="n"/>
      <c r="AA189" s="2" t="n">
        <v>60</v>
      </c>
      <c r="AB189" s="2" t="n"/>
      <c r="AC189" s="2" t="n"/>
      <c r="AD189" s="2" t="n"/>
      <c r="AE189" s="2" t="n"/>
      <c r="AF189" s="2" t="n">
        <v>60</v>
      </c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>
        <f>IF(F189=1,V189*2,IF(F189=2,V189*F189*2,IF(F189&gt;2,F189*2*V189)))</f>
        <v/>
      </c>
      <c r="AW189" s="2">
        <f>SUM(W189:AU189)</f>
        <v/>
      </c>
    </row>
    <row r="190">
      <c r="A190" s="2" t="inlineStr">
        <is>
          <t>14-D-444</t>
        </is>
      </c>
      <c r="B190" s="3" t="inlineStr">
        <is>
          <t>DOJC-SM-SC/PC-SC/APC</t>
        </is>
      </c>
      <c r="C190" s="2" t="inlineStr">
        <is>
          <t>10M</t>
        </is>
      </c>
      <c r="D190" s="2" t="inlineStr">
        <is>
          <t>a1</t>
        </is>
      </c>
      <c r="E190" s="2" t="inlineStr">
        <is>
          <t>2.0mm</t>
        </is>
      </c>
      <c r="F190" s="2" t="n">
        <v>2</v>
      </c>
      <c r="G190" s="2" t="n">
        <v>10</v>
      </c>
      <c r="H190" s="2" t="inlineStr">
        <is>
          <t>SC/PC</t>
        </is>
      </c>
      <c r="I190" s="2" t="inlineStr">
        <is>
          <t>SC/APC</t>
        </is>
      </c>
      <c r="J190" s="2" t="n"/>
      <c r="K190" s="2" t="n">
        <v>17</v>
      </c>
      <c r="L190" s="2" t="n">
        <v>9</v>
      </c>
      <c r="M190" s="2" t="n"/>
      <c r="N190" s="2" t="n"/>
      <c r="O190" s="2" t="n">
        <v>31</v>
      </c>
      <c r="P190" s="2" t="n">
        <v>15</v>
      </c>
      <c r="Q190" s="2" t="n"/>
      <c r="R190" s="2" t="n"/>
      <c r="S190" s="2" t="n"/>
      <c r="T190" s="2" t="n"/>
      <c r="U190" s="2" t="n"/>
      <c r="V190" s="2">
        <f>SUM(J190:U190)</f>
        <v/>
      </c>
      <c r="W190" s="2" t="n"/>
      <c r="X190" s="2" t="n"/>
      <c r="Y190" s="2" t="n"/>
      <c r="Z190" s="2" t="n"/>
      <c r="AA190" s="2" t="n">
        <v>144</v>
      </c>
      <c r="AB190" s="2" t="n"/>
      <c r="AC190" s="2" t="n"/>
      <c r="AD190" s="2" t="n">
        <v>144</v>
      </c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>
        <f>IF(F190=1,V190*2,IF(F190=2,V190*F190*2,IF(F190&gt;2,F190*2*V190)))</f>
        <v/>
      </c>
      <c r="AW190" s="2">
        <f>SUM(W190:AU190)</f>
        <v/>
      </c>
    </row>
    <row r="191">
      <c r="A191" s="2" t="inlineStr">
        <is>
          <t>14-D-445</t>
        </is>
      </c>
      <c r="B191" s="3" t="inlineStr">
        <is>
          <t>DOJC-SM-SC/PC-SC/APC</t>
        </is>
      </c>
      <c r="C191" s="2" t="inlineStr">
        <is>
          <t>12M</t>
        </is>
      </c>
      <c r="D191" s="2" t="inlineStr">
        <is>
          <t>a1</t>
        </is>
      </c>
      <c r="E191" s="2" t="inlineStr">
        <is>
          <t>2.0mm</t>
        </is>
      </c>
      <c r="F191" s="2" t="n">
        <v>2</v>
      </c>
      <c r="G191" s="2" t="n">
        <v>12</v>
      </c>
      <c r="H191" s="2" t="inlineStr">
        <is>
          <t>SC/PC</t>
        </is>
      </c>
      <c r="I191" s="2" t="inlineStr">
        <is>
          <t>SC/APC</t>
        </is>
      </c>
      <c r="J191" s="2" t="n"/>
      <c r="K191" s="2" t="n"/>
      <c r="L191" s="2" t="n"/>
      <c r="M191" s="2" t="n"/>
      <c r="N191" s="2" t="n">
        <v>2</v>
      </c>
      <c r="O191" s="2" t="n"/>
      <c r="P191" s="2" t="n"/>
      <c r="Q191" s="2" t="n"/>
      <c r="R191" s="2" t="n"/>
      <c r="S191" s="2" t="n"/>
      <c r="T191" s="2" t="n"/>
      <c r="U191" s="2" t="n"/>
      <c r="V191" s="2">
        <f>SUM(J191:U191)</f>
        <v/>
      </c>
      <c r="W191" s="2" t="n"/>
      <c r="X191" s="2" t="n"/>
      <c r="Y191" s="2" t="n"/>
      <c r="Z191" s="2" t="n"/>
      <c r="AA191" s="2" t="n">
        <v>4</v>
      </c>
      <c r="AB191" s="2" t="n"/>
      <c r="AC191" s="2" t="n"/>
      <c r="AD191" s="2" t="n">
        <v>4</v>
      </c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>
        <f>IF(F191=1,V191*2,IF(F191=2,V191*F191*2,IF(F191&gt;2,F191*2*V191)))</f>
        <v/>
      </c>
      <c r="AW191" s="2">
        <f>SUM(W191:AU191)</f>
        <v/>
      </c>
    </row>
    <row r="192">
      <c r="A192" s="2" t="inlineStr">
        <is>
          <t>14-D-447</t>
        </is>
      </c>
      <c r="B192" s="3" t="inlineStr">
        <is>
          <t>DOJC-SM-SC/PC-SC/APC</t>
        </is>
      </c>
      <c r="C192" s="2" t="inlineStr">
        <is>
          <t>15M</t>
        </is>
      </c>
      <c r="D192" s="2" t="inlineStr">
        <is>
          <t>a1</t>
        </is>
      </c>
      <c r="E192" s="2" t="inlineStr">
        <is>
          <t>2.0mm</t>
        </is>
      </c>
      <c r="F192" s="2" t="n">
        <v>2</v>
      </c>
      <c r="G192" s="2" t="n">
        <v>15</v>
      </c>
      <c r="H192" s="2" t="inlineStr">
        <is>
          <t>SC/PC</t>
        </is>
      </c>
      <c r="I192" s="2" t="inlineStr">
        <is>
          <t>SC/APC</t>
        </is>
      </c>
      <c r="J192" s="2" t="n"/>
      <c r="K192" s="2" t="n">
        <v>31</v>
      </c>
      <c r="L192" s="2" t="n"/>
      <c r="M192" s="2" t="n"/>
      <c r="N192" s="2" t="n"/>
      <c r="O192" s="2" t="n"/>
      <c r="P192" s="2" t="n">
        <v>2</v>
      </c>
      <c r="Q192" s="2" t="n"/>
      <c r="R192" s="2" t="n"/>
      <c r="S192" s="2" t="n"/>
      <c r="T192" s="2" t="n"/>
      <c r="U192" s="2" t="n"/>
      <c r="V192" s="2">
        <f>SUM(J192:U192)</f>
        <v/>
      </c>
      <c r="W192" s="2" t="n"/>
      <c r="X192" s="2" t="n"/>
      <c r="Y192" s="2" t="n"/>
      <c r="Z192" s="2" t="n"/>
      <c r="AA192" s="2" t="n">
        <v>66</v>
      </c>
      <c r="AB192" s="2" t="n"/>
      <c r="AC192" s="2" t="n"/>
      <c r="AD192" s="2" t="n">
        <v>66</v>
      </c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>
        <f>IF(F192=1,V192*2,IF(F192=2,V192*F192*2,IF(F192&gt;2,F192*2*V192)))</f>
        <v/>
      </c>
      <c r="AW192" s="2">
        <f>SUM(W192:AU192)</f>
        <v/>
      </c>
    </row>
    <row r="193">
      <c r="A193" s="2" t="inlineStr">
        <is>
          <t>14-D-448</t>
        </is>
      </c>
      <c r="B193" s="3" t="inlineStr">
        <is>
          <t>DOJC-SM-SC/PC-SC/APC</t>
        </is>
      </c>
      <c r="C193" s="2" t="inlineStr">
        <is>
          <t>1M</t>
        </is>
      </c>
      <c r="D193" s="2" t="inlineStr">
        <is>
          <t>a1</t>
        </is>
      </c>
      <c r="E193" s="2" t="inlineStr">
        <is>
          <t>2.0mm</t>
        </is>
      </c>
      <c r="F193" s="2" t="n">
        <v>2</v>
      </c>
      <c r="G193" s="2" t="n">
        <v>1</v>
      </c>
      <c r="H193" s="2" t="inlineStr">
        <is>
          <t>SC/PC</t>
        </is>
      </c>
      <c r="I193" s="2" t="inlineStr">
        <is>
          <t>SC/APC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>
        <v>712</v>
      </c>
      <c r="S193" s="2" t="n"/>
      <c r="T193" s="2" t="n"/>
      <c r="U193" s="2" t="n"/>
      <c r="V193" s="2">
        <f>SUM(J193:U193)</f>
        <v/>
      </c>
      <c r="W193" s="2" t="n"/>
      <c r="X193" s="2" t="n"/>
      <c r="Y193" s="2" t="n"/>
      <c r="Z193" s="2" t="n"/>
      <c r="AA193" s="2" t="n">
        <v>1424</v>
      </c>
      <c r="AB193" s="2" t="n"/>
      <c r="AC193" s="2" t="n"/>
      <c r="AD193" s="2" t="n">
        <v>1424</v>
      </c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>
        <f>IF(F193=1,V193*2,IF(F193=2,V193*F193*2,IF(F193&gt;2,F193*2*V193)))</f>
        <v/>
      </c>
      <c r="AW193" s="2">
        <f>SUM(W193:AU193)</f>
        <v/>
      </c>
    </row>
    <row r="194">
      <c r="A194" s="2" t="inlineStr">
        <is>
          <t>14-D-449</t>
        </is>
      </c>
      <c r="B194" s="3" t="inlineStr">
        <is>
          <t>DOJC-SM-SC/PC-SC/APC</t>
        </is>
      </c>
      <c r="C194" s="2" t="inlineStr">
        <is>
          <t>20M</t>
        </is>
      </c>
      <c r="D194" s="2" t="inlineStr">
        <is>
          <t>a1</t>
        </is>
      </c>
      <c r="E194" s="2" t="inlineStr">
        <is>
          <t>2.0mm</t>
        </is>
      </c>
      <c r="F194" s="2" t="n">
        <v>2</v>
      </c>
      <c r="G194" s="2" t="n">
        <v>20</v>
      </c>
      <c r="H194" s="2" t="inlineStr">
        <is>
          <t>SC/PC</t>
        </is>
      </c>
      <c r="I194" s="2" t="inlineStr">
        <is>
          <t>SC/APC</t>
        </is>
      </c>
      <c r="J194" s="2" t="n">
        <v>1</v>
      </c>
      <c r="K194" s="2" t="n">
        <v>1</v>
      </c>
      <c r="L194" s="2" t="n"/>
      <c r="M194" s="2" t="n"/>
      <c r="N194" s="2" t="n"/>
      <c r="O194" s="2" t="n"/>
      <c r="P194" s="2" t="n">
        <v>52</v>
      </c>
      <c r="Q194" s="2" t="n"/>
      <c r="R194" s="2" t="n"/>
      <c r="S194" s="2" t="n"/>
      <c r="T194" s="2" t="n"/>
      <c r="U194" s="2" t="n"/>
      <c r="V194" s="2">
        <f>SUM(J194:U194)</f>
        <v/>
      </c>
      <c r="W194" s="2" t="n"/>
      <c r="X194" s="2" t="n"/>
      <c r="Y194" s="2" t="n"/>
      <c r="Z194" s="2" t="n"/>
      <c r="AA194" s="2" t="n">
        <v>108</v>
      </c>
      <c r="AB194" s="2" t="n"/>
      <c r="AC194" s="2" t="n"/>
      <c r="AD194" s="2" t="n">
        <v>108</v>
      </c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>
        <f>IF(F194=1,V194*2,IF(F194=2,V194*F194*2,IF(F194&gt;2,F194*2*V194)))</f>
        <v/>
      </c>
      <c r="AW194" s="2">
        <f>SUM(W194:AU194)</f>
        <v/>
      </c>
    </row>
    <row r="195">
      <c r="A195" s="2" t="inlineStr">
        <is>
          <t>14-D-451</t>
        </is>
      </c>
      <c r="B195" s="3" t="inlineStr">
        <is>
          <t>DOJC-SM-SC/PC-SC/APC</t>
        </is>
      </c>
      <c r="C195" s="2" t="inlineStr">
        <is>
          <t>2M</t>
        </is>
      </c>
      <c r="D195" s="2" t="inlineStr">
        <is>
          <t>a1</t>
        </is>
      </c>
      <c r="E195" s="2" t="inlineStr">
        <is>
          <t>2.0mm</t>
        </is>
      </c>
      <c r="F195" s="2" t="n">
        <v>2</v>
      </c>
      <c r="G195" s="2" t="n">
        <v>2</v>
      </c>
      <c r="H195" s="2" t="inlineStr">
        <is>
          <t>SC/PC</t>
        </is>
      </c>
      <c r="I195" s="2" t="inlineStr">
        <is>
          <t>SC/APC</t>
        </is>
      </c>
      <c r="J195" s="2" t="n"/>
      <c r="K195" s="2" t="n"/>
      <c r="L195" s="2" t="n">
        <v>500</v>
      </c>
      <c r="M195" s="2" t="n"/>
      <c r="N195" s="2" t="n"/>
      <c r="O195" s="2" t="n"/>
      <c r="P195" s="2" t="n"/>
      <c r="Q195" s="2" t="n"/>
      <c r="R195" s="2" t="n"/>
      <c r="S195" s="2" t="n"/>
      <c r="T195" s="2" t="n">
        <v>50</v>
      </c>
      <c r="U195" s="2" t="n"/>
      <c r="V195" s="2">
        <f>SUM(J195:U195)</f>
        <v/>
      </c>
      <c r="W195" s="2" t="n"/>
      <c r="X195" s="2" t="n"/>
      <c r="Y195" s="2" t="n"/>
      <c r="Z195" s="2" t="n"/>
      <c r="AA195" s="2" t="n">
        <v>1100</v>
      </c>
      <c r="AB195" s="2" t="n"/>
      <c r="AC195" s="2" t="n"/>
      <c r="AD195" s="2" t="n">
        <v>1100</v>
      </c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>
        <f>IF(F195=1,V195*2,IF(F195=2,V195*F195*2,IF(F195&gt;2,F195*2*V195)))</f>
        <v/>
      </c>
      <c r="AW195" s="2">
        <f>SUM(W195:AU195)</f>
        <v/>
      </c>
    </row>
    <row r="196">
      <c r="A196" s="2" t="inlineStr">
        <is>
          <t>14-D-452</t>
        </is>
      </c>
      <c r="B196" s="3" t="inlineStr">
        <is>
          <t>DOJC-SM-SC/PC-SC/APC</t>
        </is>
      </c>
      <c r="C196" s="2" t="inlineStr">
        <is>
          <t>30M</t>
        </is>
      </c>
      <c r="D196" s="2" t="inlineStr">
        <is>
          <t>a1</t>
        </is>
      </c>
      <c r="E196" s="2" t="inlineStr">
        <is>
          <t>2.0mm</t>
        </is>
      </c>
      <c r="F196" s="2" t="n">
        <v>2</v>
      </c>
      <c r="G196" s="2" t="n">
        <v>30</v>
      </c>
      <c r="H196" s="2" t="inlineStr">
        <is>
          <t>SC/PC</t>
        </is>
      </c>
      <c r="I196" s="2" t="inlineStr">
        <is>
          <t>SC/APC</t>
        </is>
      </c>
      <c r="J196" s="2" t="n"/>
      <c r="K196" s="2" t="n"/>
      <c r="L196" s="2" t="n"/>
      <c r="M196" s="2" t="n"/>
      <c r="N196" s="2" t="n">
        <v>1</v>
      </c>
      <c r="O196" s="2" t="n"/>
      <c r="P196" s="2" t="n"/>
      <c r="Q196" s="2" t="n"/>
      <c r="R196" s="2" t="n"/>
      <c r="S196" s="2" t="n"/>
      <c r="T196" s="2" t="n"/>
      <c r="U196" s="2" t="n"/>
      <c r="V196" s="2">
        <f>SUM(J196:U196)</f>
        <v/>
      </c>
      <c r="W196" s="2" t="n"/>
      <c r="X196" s="2" t="n"/>
      <c r="Y196" s="2" t="n"/>
      <c r="Z196" s="2" t="n"/>
      <c r="AA196" s="2" t="n">
        <v>2</v>
      </c>
      <c r="AB196" s="2" t="n"/>
      <c r="AC196" s="2" t="n"/>
      <c r="AD196" s="2" t="n">
        <v>2</v>
      </c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>
        <f>IF(F196=1,V196*2,IF(F196=2,V196*F196*2,IF(F196&gt;2,F196*2*V196)))</f>
        <v/>
      </c>
      <c r="AW196" s="2">
        <f>SUM(W196:AU196)</f>
        <v/>
      </c>
    </row>
    <row r="197">
      <c r="A197" s="2" t="inlineStr">
        <is>
          <t>14-D-455</t>
        </is>
      </c>
      <c r="B197" s="3" t="inlineStr">
        <is>
          <t>DOJC-SM-SC/PC-SC/APC</t>
        </is>
      </c>
      <c r="C197" s="2" t="inlineStr">
        <is>
          <t>3M</t>
        </is>
      </c>
      <c r="D197" s="2" t="inlineStr">
        <is>
          <t>a1</t>
        </is>
      </c>
      <c r="E197" s="2" t="inlineStr">
        <is>
          <t>2.0mm</t>
        </is>
      </c>
      <c r="F197" s="2" t="n">
        <v>2</v>
      </c>
      <c r="G197" s="2" t="n">
        <v>3</v>
      </c>
      <c r="H197" s="2" t="inlineStr">
        <is>
          <t>SC/PC</t>
        </is>
      </c>
      <c r="I197" s="2" t="inlineStr">
        <is>
          <t>SC/APC</t>
        </is>
      </c>
      <c r="J197" s="2" t="n"/>
      <c r="K197" s="2" t="n"/>
      <c r="L197" s="2" t="n">
        <v>500</v>
      </c>
      <c r="M197" s="2" t="n"/>
      <c r="N197" s="2" t="n"/>
      <c r="O197" s="2" t="n"/>
      <c r="P197" s="2" t="n">
        <v>150</v>
      </c>
      <c r="Q197" s="2" t="n"/>
      <c r="R197" s="2" t="n"/>
      <c r="S197" s="2" t="n"/>
      <c r="T197" s="2" t="n"/>
      <c r="U197" s="2" t="n"/>
      <c r="V197" s="2">
        <f>SUM(J197:U197)</f>
        <v/>
      </c>
      <c r="W197" s="2" t="n"/>
      <c r="X197" s="2" t="n"/>
      <c r="Y197" s="2" t="n"/>
      <c r="Z197" s="2" t="n"/>
      <c r="AA197" s="2" t="n">
        <v>1300</v>
      </c>
      <c r="AB197" s="2" t="n"/>
      <c r="AC197" s="2" t="n"/>
      <c r="AD197" s="2" t="n">
        <v>1300</v>
      </c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>
        <f>IF(F197=1,V197*2,IF(F197=2,V197*F197*2,IF(F197&gt;2,F197*2*V197)))</f>
        <v/>
      </c>
      <c r="AW197" s="2">
        <f>SUM(W197:AU197)</f>
        <v/>
      </c>
    </row>
    <row r="198">
      <c r="A198" s="2" t="inlineStr">
        <is>
          <t>14-D-458</t>
        </is>
      </c>
      <c r="B198" s="3" t="inlineStr">
        <is>
          <t>DOJC-SM-SC/PC-SC/APC</t>
        </is>
      </c>
      <c r="C198" s="2" t="inlineStr">
        <is>
          <t>4M</t>
        </is>
      </c>
      <c r="D198" s="2" t="inlineStr">
        <is>
          <t>a1</t>
        </is>
      </c>
      <c r="E198" s="2" t="inlineStr">
        <is>
          <t>2.0mm</t>
        </is>
      </c>
      <c r="F198" s="2" t="n">
        <v>2</v>
      </c>
      <c r="G198" s="2" t="n">
        <v>4</v>
      </c>
      <c r="H198" s="2" t="inlineStr">
        <is>
          <t>SC/PC</t>
        </is>
      </c>
      <c r="I198" s="2" t="inlineStr">
        <is>
          <t>SC/APC</t>
        </is>
      </c>
      <c r="J198" s="2" t="n"/>
      <c r="K198" s="2" t="n"/>
      <c r="L198" s="2" t="n"/>
      <c r="M198" s="2" t="n">
        <v>200</v>
      </c>
      <c r="N198" s="2" t="n">
        <v>20</v>
      </c>
      <c r="O198" s="2" t="n"/>
      <c r="P198" s="2" t="n"/>
      <c r="Q198" s="2" t="n"/>
      <c r="R198" s="2" t="n"/>
      <c r="S198" s="2" t="n">
        <v>20</v>
      </c>
      <c r="T198" s="2" t="n"/>
      <c r="U198" s="2" t="n"/>
      <c r="V198" s="2">
        <f>SUM(J198:U198)</f>
        <v/>
      </c>
      <c r="W198" s="2" t="n"/>
      <c r="X198" s="2" t="n"/>
      <c r="Y198" s="2" t="n"/>
      <c r="Z198" s="2" t="n"/>
      <c r="AA198" s="2" t="n">
        <v>480</v>
      </c>
      <c r="AB198" s="2" t="n"/>
      <c r="AC198" s="2" t="n"/>
      <c r="AD198" s="2" t="n">
        <v>480</v>
      </c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>
        <f>IF(F198=1,V198*2,IF(F198=2,V198*F198*2,IF(F198&gt;2,F198*2*V198)))</f>
        <v/>
      </c>
      <c r="AW198" s="2">
        <f>SUM(W198:AU198)</f>
        <v/>
      </c>
    </row>
    <row r="199">
      <c r="A199" s="2" t="inlineStr">
        <is>
          <t>14-D-459</t>
        </is>
      </c>
      <c r="B199" s="3" t="inlineStr">
        <is>
          <t>DOJC-SM-SC/PC-SC/APC</t>
        </is>
      </c>
      <c r="C199" s="2" t="inlineStr">
        <is>
          <t>5M</t>
        </is>
      </c>
      <c r="D199" s="2" t="inlineStr">
        <is>
          <t>a1</t>
        </is>
      </c>
      <c r="E199" s="2" t="inlineStr">
        <is>
          <t>2.0mm</t>
        </is>
      </c>
      <c r="F199" s="2" t="n">
        <v>2</v>
      </c>
      <c r="G199" s="2" t="n">
        <v>5</v>
      </c>
      <c r="H199" s="2" t="inlineStr">
        <is>
          <t>SC/PC</t>
        </is>
      </c>
      <c r="I199" s="2" t="inlineStr">
        <is>
          <t>SC/APC</t>
        </is>
      </c>
      <c r="J199" s="2" t="n"/>
      <c r="K199" s="2" t="n"/>
      <c r="L199" s="2" t="n"/>
      <c r="M199" s="2" t="n">
        <v>200</v>
      </c>
      <c r="N199" s="2" t="n">
        <v>2</v>
      </c>
      <c r="O199" s="2" t="n"/>
      <c r="P199" s="2" t="n"/>
      <c r="Q199" s="2" t="n"/>
      <c r="R199" s="2" t="n">
        <v>30</v>
      </c>
      <c r="S199" s="2" t="n"/>
      <c r="T199" s="2" t="n"/>
      <c r="U199" s="2" t="n"/>
      <c r="V199" s="2">
        <f>SUM(J199:U199)</f>
        <v/>
      </c>
      <c r="W199" s="2" t="n"/>
      <c r="X199" s="2" t="n"/>
      <c r="Y199" s="2" t="n"/>
      <c r="Z199" s="2" t="n"/>
      <c r="AA199" s="2" t="n">
        <v>464</v>
      </c>
      <c r="AB199" s="2" t="n"/>
      <c r="AC199" s="2" t="n"/>
      <c r="AD199" s="2" t="n">
        <v>464</v>
      </c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>
        <f>IF(F199=1,V199*2,IF(F199=2,V199*F199*2,IF(F199&gt;2,F199*2*V199)))</f>
        <v/>
      </c>
      <c r="AW199" s="2">
        <f>SUM(W199:AU199)</f>
        <v/>
      </c>
    </row>
    <row r="200">
      <c r="A200" s="2" t="inlineStr">
        <is>
          <t>14-D-464</t>
        </is>
      </c>
      <c r="B200" s="3" t="inlineStr">
        <is>
          <t>DOJC-SM-SC/PC-SC/PC</t>
        </is>
      </c>
      <c r="C200" s="2" t="inlineStr">
        <is>
          <t>10M</t>
        </is>
      </c>
      <c r="D200" s="2" t="inlineStr">
        <is>
          <t>a1</t>
        </is>
      </c>
      <c r="E200" s="2" t="inlineStr">
        <is>
          <t>2.0mm</t>
        </is>
      </c>
      <c r="F200" s="2" t="n">
        <v>2</v>
      </c>
      <c r="G200" s="2" t="n">
        <v>10</v>
      </c>
      <c r="H200" s="2" t="inlineStr">
        <is>
          <t>SC/PC</t>
        </is>
      </c>
      <c r="I200" s="2" t="inlineStr">
        <is>
          <t>SC/PC</t>
        </is>
      </c>
      <c r="J200" s="2" t="n"/>
      <c r="K200" s="2" t="n"/>
      <c r="L200" s="2" t="n"/>
      <c r="M200" s="2" t="n"/>
      <c r="N200" s="2" t="n">
        <v>10</v>
      </c>
      <c r="O200" s="2" t="n"/>
      <c r="P200" s="2" t="n">
        <v>10</v>
      </c>
      <c r="Q200" s="2" t="n"/>
      <c r="R200" s="2" t="n"/>
      <c r="S200" s="2" t="n"/>
      <c r="T200" s="2" t="n"/>
      <c r="U200" s="2" t="n"/>
      <c r="V200" s="2">
        <f>SUM(J200:U200)</f>
        <v/>
      </c>
      <c r="W200" s="2" t="n"/>
      <c r="X200" s="2" t="n"/>
      <c r="Y200" s="2" t="n"/>
      <c r="Z200" s="2" t="n"/>
      <c r="AA200" s="2" t="n">
        <v>40</v>
      </c>
      <c r="AB200" s="2" t="n">
        <v>40</v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>
        <f>IF(F200=1,V200*2,IF(F200=2,V200*F200*2,IF(F200&gt;2,F200*2*V200)))</f>
        <v/>
      </c>
      <c r="AW200" s="2">
        <f>SUM(W200:AU200)</f>
        <v/>
      </c>
    </row>
    <row r="201">
      <c r="A201" s="2" t="inlineStr">
        <is>
          <t>14-D-466</t>
        </is>
      </c>
      <c r="B201" s="3" t="inlineStr">
        <is>
          <t>DOJC-SM-SC/PC-SC/PC</t>
        </is>
      </c>
      <c r="C201" s="2" t="inlineStr">
        <is>
          <t>15M</t>
        </is>
      </c>
      <c r="D201" s="2" t="inlineStr">
        <is>
          <t>a1</t>
        </is>
      </c>
      <c r="E201" s="2" t="inlineStr">
        <is>
          <t>2.0mm</t>
        </is>
      </c>
      <c r="F201" s="2" t="n">
        <v>2</v>
      </c>
      <c r="G201" s="2" t="n">
        <v>15</v>
      </c>
      <c r="H201" s="2" t="inlineStr">
        <is>
          <t>SC/PC</t>
        </is>
      </c>
      <c r="I201" s="2" t="inlineStr">
        <is>
          <t>SC/PC</t>
        </is>
      </c>
      <c r="J201" s="2" t="n"/>
      <c r="K201" s="2" t="n"/>
      <c r="L201" s="2" t="n"/>
      <c r="M201" s="2" t="n"/>
      <c r="N201" s="2" t="n"/>
      <c r="O201" s="2" t="n">
        <v>100</v>
      </c>
      <c r="P201" s="2" t="n"/>
      <c r="Q201" s="2" t="n"/>
      <c r="R201" s="2" t="n"/>
      <c r="S201" s="2" t="n"/>
      <c r="T201" s="2" t="n"/>
      <c r="U201" s="2" t="n"/>
      <c r="V201" s="2">
        <f>SUM(J201:U201)</f>
        <v/>
      </c>
      <c r="W201" s="2" t="n"/>
      <c r="X201" s="2" t="n"/>
      <c r="Y201" s="2" t="n"/>
      <c r="Z201" s="2" t="n"/>
      <c r="AA201" s="2" t="n">
        <v>200</v>
      </c>
      <c r="AB201" s="2" t="n">
        <v>200</v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>
        <f>IF(F201=1,V201*2,IF(F201=2,V201*F201*2,IF(F201&gt;2,F201*2*V201)))</f>
        <v/>
      </c>
      <c r="AW201" s="2">
        <f>SUM(W201:AU201)</f>
        <v/>
      </c>
    </row>
    <row r="202">
      <c r="A202" s="2" t="inlineStr">
        <is>
          <t>14-D-467</t>
        </is>
      </c>
      <c r="B202" s="3" t="inlineStr">
        <is>
          <t>DOJC-SM-SC/PC-SC/PC</t>
        </is>
      </c>
      <c r="C202" s="2" t="inlineStr">
        <is>
          <t>1M</t>
        </is>
      </c>
      <c r="D202" s="2" t="inlineStr">
        <is>
          <t>a1</t>
        </is>
      </c>
      <c r="E202" s="2" t="inlineStr">
        <is>
          <t>2.0mm</t>
        </is>
      </c>
      <c r="F202" s="2" t="n">
        <v>2</v>
      </c>
      <c r="G202" s="2" t="n">
        <v>1</v>
      </c>
      <c r="H202" s="2" t="inlineStr">
        <is>
          <t>SC/PC</t>
        </is>
      </c>
      <c r="I202" s="2" t="inlineStr">
        <is>
          <t>SC/PC</t>
        </is>
      </c>
      <c r="J202" s="2" t="n"/>
      <c r="K202" s="2" t="n"/>
      <c r="L202" s="2" t="n"/>
      <c r="M202" s="2" t="n"/>
      <c r="N202" s="2" t="n"/>
      <c r="O202" s="2" t="n"/>
      <c r="P202" s="2" t="n">
        <v>20</v>
      </c>
      <c r="Q202" s="2" t="n">
        <v>50</v>
      </c>
      <c r="R202" s="2" t="n"/>
      <c r="S202" s="2" t="n"/>
      <c r="T202" s="2" t="n"/>
      <c r="U202" s="2" t="n"/>
      <c r="V202" s="2">
        <f>SUM(J202:U202)</f>
        <v/>
      </c>
      <c r="W202" s="2" t="n"/>
      <c r="X202" s="2" t="n"/>
      <c r="Y202" s="2" t="n"/>
      <c r="Z202" s="2" t="n"/>
      <c r="AA202" s="2" t="n">
        <v>140</v>
      </c>
      <c r="AB202" s="2" t="n">
        <v>140</v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>
        <f>IF(F202=1,V202*2,IF(F202=2,V202*F202*2,IF(F202&gt;2,F202*2*V202)))</f>
        <v/>
      </c>
      <c r="AW202" s="2">
        <f>SUM(W202:AU202)</f>
        <v/>
      </c>
    </row>
    <row r="203">
      <c r="A203" s="2" t="inlineStr">
        <is>
          <t>14-D-472</t>
        </is>
      </c>
      <c r="B203" s="3" t="inlineStr">
        <is>
          <t>DOJC-SM-SC/PC-SC/PC</t>
        </is>
      </c>
      <c r="C203" s="2" t="inlineStr">
        <is>
          <t>30M</t>
        </is>
      </c>
      <c r="D203" s="2" t="inlineStr">
        <is>
          <t>a1</t>
        </is>
      </c>
      <c r="E203" s="2" t="inlineStr">
        <is>
          <t>2.0mm</t>
        </is>
      </c>
      <c r="F203" s="2" t="n">
        <v>2</v>
      </c>
      <c r="G203" s="2" t="n">
        <v>30</v>
      </c>
      <c r="H203" s="2" t="inlineStr">
        <is>
          <t>SC/PC</t>
        </is>
      </c>
      <c r="I203" s="2" t="inlineStr">
        <is>
          <t>SC/PC</t>
        </is>
      </c>
      <c r="J203" s="2" t="n"/>
      <c r="K203" s="2" t="n"/>
      <c r="L203" s="2" t="n"/>
      <c r="M203" s="2" t="n"/>
      <c r="N203" s="2" t="n">
        <v>5</v>
      </c>
      <c r="O203" s="2" t="n"/>
      <c r="P203" s="2" t="n"/>
      <c r="Q203" s="2" t="n"/>
      <c r="R203" s="2" t="n"/>
      <c r="S203" s="2" t="n"/>
      <c r="T203" s="2" t="n"/>
      <c r="U203" s="2" t="n"/>
      <c r="V203" s="2">
        <f>SUM(J203:U203)</f>
        <v/>
      </c>
      <c r="W203" s="2" t="n"/>
      <c r="X203" s="2" t="n"/>
      <c r="Y203" s="2" t="n"/>
      <c r="Z203" s="2" t="n"/>
      <c r="AA203" s="2" t="n">
        <v>10</v>
      </c>
      <c r="AB203" s="2" t="n">
        <v>10</v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>
        <f>IF(F203=1,V203*2,IF(F203=2,V203*F203*2,IF(F203&gt;2,F203*2*V203)))</f>
        <v/>
      </c>
      <c r="AW203" s="2">
        <f>SUM(W203:AU203)</f>
        <v/>
      </c>
    </row>
    <row r="204">
      <c r="A204" s="2" t="inlineStr">
        <is>
          <t>14-D-474</t>
        </is>
      </c>
      <c r="B204" s="3" t="inlineStr">
        <is>
          <t>DOJC-SM-SC/PC-SC/PC</t>
        </is>
      </c>
      <c r="C204" s="2" t="inlineStr">
        <is>
          <t>3M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3</v>
      </c>
      <c r="H204" s="2" t="inlineStr">
        <is>
          <t>SC/PC</t>
        </is>
      </c>
      <c r="I204" s="2" t="inlineStr">
        <is>
          <t>SC/PC</t>
        </is>
      </c>
      <c r="J204" s="2" t="n"/>
      <c r="K204" s="2" t="n"/>
      <c r="L204" s="2" t="n"/>
      <c r="M204" s="2" t="n"/>
      <c r="N204" s="2" t="n">
        <v>20</v>
      </c>
      <c r="O204" s="2" t="n">
        <v>100</v>
      </c>
      <c r="P204" s="2" t="n">
        <v>50</v>
      </c>
      <c r="Q204" s="2" t="n">
        <v>20</v>
      </c>
      <c r="R204" s="2" t="n"/>
      <c r="S204" s="2" t="n"/>
      <c r="T204" s="2" t="n">
        <v>55</v>
      </c>
      <c r="U204" s="2" t="n"/>
      <c r="V204" s="2">
        <f>SUM(J204:U204)</f>
        <v/>
      </c>
      <c r="W204" s="2" t="n"/>
      <c r="X204" s="2" t="n"/>
      <c r="Y204" s="2" t="n"/>
      <c r="Z204" s="2" t="n"/>
      <c r="AA204" s="2" t="n">
        <v>490</v>
      </c>
      <c r="AB204" s="2" t="n">
        <v>490</v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>
        <f>IF(F204=1,V204*2,IF(F204=2,V204*F204*2,IF(F204&gt;2,F204*2*V204)))</f>
        <v/>
      </c>
      <c r="AW204" s="2">
        <f>SUM(W204:AU204)</f>
        <v/>
      </c>
    </row>
    <row r="205">
      <c r="A205" s="2" t="inlineStr">
        <is>
          <t>14-D-478</t>
        </is>
      </c>
      <c r="B205" s="3" t="inlineStr">
        <is>
          <t>DOJC-SM-SC/PC-SC/PC</t>
        </is>
      </c>
      <c r="C205" s="2" t="inlineStr">
        <is>
          <t>4M</t>
        </is>
      </c>
      <c r="D205" s="2" t="inlineStr">
        <is>
          <t>a1</t>
        </is>
      </c>
      <c r="E205" s="2" t="inlineStr">
        <is>
          <t>2.0mm</t>
        </is>
      </c>
      <c r="F205" s="2" t="n">
        <v>2</v>
      </c>
      <c r="G205" s="2" t="n">
        <v>4</v>
      </c>
      <c r="H205" s="2" t="inlineStr">
        <is>
          <t>SC/PC</t>
        </is>
      </c>
      <c r="I205" s="2" t="inlineStr">
        <is>
          <t>SC/PC</t>
        </is>
      </c>
      <c r="J205" s="2" t="n"/>
      <c r="K205" s="2" t="n"/>
      <c r="L205" s="2" t="n">
        <v>400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</f>
        <v/>
      </c>
      <c r="W205" s="2" t="n"/>
      <c r="X205" s="2" t="n"/>
      <c r="Y205" s="2" t="n"/>
      <c r="Z205" s="2" t="n"/>
      <c r="AA205" s="2" t="n">
        <v>800</v>
      </c>
      <c r="AB205" s="2" t="n">
        <v>800</v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>
        <f>IF(F205=1,V205*2,IF(F205=2,V205*F205*2,IF(F205&gt;2,F205*2*V205)))</f>
        <v/>
      </c>
      <c r="AW205" s="2">
        <f>SUM(W205:AU205)</f>
        <v/>
      </c>
    </row>
    <row r="206">
      <c r="A206" s="2" t="inlineStr">
        <is>
          <t>14-D-481</t>
        </is>
      </c>
      <c r="B206" s="3" t="inlineStr">
        <is>
          <t>DOJC-SM-SC/PC-SC/PC</t>
        </is>
      </c>
      <c r="C206" s="2" t="inlineStr">
        <is>
          <t>5M</t>
        </is>
      </c>
      <c r="D206" s="2" t="inlineStr">
        <is>
          <t>a1</t>
        </is>
      </c>
      <c r="E206" s="2" t="inlineStr">
        <is>
          <t>2.0mm</t>
        </is>
      </c>
      <c r="F206" s="2" t="n">
        <v>2</v>
      </c>
      <c r="G206" s="2" t="n">
        <v>5</v>
      </c>
      <c r="H206" s="2" t="inlineStr">
        <is>
          <t>SC/PC</t>
        </is>
      </c>
      <c r="I206" s="2" t="inlineStr">
        <is>
          <t>SC/PC</t>
        </is>
      </c>
      <c r="J206" s="2" t="n"/>
      <c r="K206" s="2" t="n"/>
      <c r="L206" s="2" t="n"/>
      <c r="M206" s="2" t="n"/>
      <c r="N206" s="2" t="n"/>
      <c r="O206" s="2" t="n">
        <v>200</v>
      </c>
      <c r="P206" s="2" t="n">
        <v>20</v>
      </c>
      <c r="Q206" s="2" t="n"/>
      <c r="R206" s="2" t="n"/>
      <c r="S206" s="2" t="n"/>
      <c r="T206" s="2" t="n"/>
      <c r="U206" s="2" t="n"/>
      <c r="V206" s="2">
        <f>SUM(J206:U206)</f>
        <v/>
      </c>
      <c r="W206" s="2" t="n"/>
      <c r="X206" s="2" t="n"/>
      <c r="Y206" s="2" t="n"/>
      <c r="Z206" s="2" t="n"/>
      <c r="AA206" s="2" t="n">
        <v>440</v>
      </c>
      <c r="AB206" s="2" t="n">
        <v>440</v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>
        <f>IF(F206=1,V206*2,IF(F206=2,V206*F206*2,IF(F206&gt;2,F206*2*V206)))</f>
        <v/>
      </c>
      <c r="AW206" s="2">
        <f>SUM(W206:AU206)</f>
        <v/>
      </c>
    </row>
    <row r="207">
      <c r="A207" s="2" t="inlineStr">
        <is>
          <t>14-D-491</t>
        </is>
      </c>
      <c r="B207" s="3" t="inlineStr">
        <is>
          <t>DOJC-SM-ST/PC-LC/PC</t>
        </is>
      </c>
      <c r="C207" s="2" t="inlineStr">
        <is>
          <t>10M</t>
        </is>
      </c>
      <c r="D207" s="2" t="inlineStr">
        <is>
          <t>a1</t>
        </is>
      </c>
      <c r="E207" s="2" t="inlineStr">
        <is>
          <t>2.0mm</t>
        </is>
      </c>
      <c r="F207" s="2" t="n">
        <v>2</v>
      </c>
      <c r="G207" s="2" t="n">
        <v>10</v>
      </c>
      <c r="H207" s="2" t="inlineStr">
        <is>
          <t>LC/PC</t>
        </is>
      </c>
      <c r="I207" s="2" t="inlineStr">
        <is>
          <t>LC/PC</t>
        </is>
      </c>
      <c r="J207" s="2" t="n"/>
      <c r="K207" s="2" t="n"/>
      <c r="L207" s="2" t="n"/>
      <c r="M207" s="2" t="n"/>
      <c r="N207" s="2" t="n">
        <v>2</v>
      </c>
      <c r="O207" s="2" t="n"/>
      <c r="P207" s="2" t="n"/>
      <c r="Q207" s="2" t="n"/>
      <c r="R207" s="2" t="n"/>
      <c r="S207" s="2" t="n"/>
      <c r="T207" s="2" t="n"/>
      <c r="U207" s="2" t="n"/>
      <c r="V207" s="2">
        <f>SUM(J207:U207)</f>
        <v/>
      </c>
      <c r="W207" s="2" t="n">
        <v>4</v>
      </c>
      <c r="X207" s="2" t="n">
        <v>4</v>
      </c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>
        <f>IF(F207=1,V207*2,IF(F207=2,V207*F207*2,IF(F207&gt;2,F207*2*V207)))</f>
        <v/>
      </c>
      <c r="AW207" s="2">
        <f>SUM(W207:AU207)</f>
        <v/>
      </c>
    </row>
    <row r="208">
      <c r="A208" s="2" t="inlineStr">
        <is>
          <t>14-D-499</t>
        </is>
      </c>
      <c r="B208" s="3" t="inlineStr">
        <is>
          <t>DOJC-SM-ST/PC-SC/PC</t>
        </is>
      </c>
      <c r="C208" s="2" t="inlineStr">
        <is>
          <t>10M</t>
        </is>
      </c>
      <c r="D208" s="2" t="inlineStr">
        <is>
          <t>a1</t>
        </is>
      </c>
      <c r="E208" s="2" t="inlineStr">
        <is>
          <t>2.0mm</t>
        </is>
      </c>
      <c r="F208" s="2" t="n">
        <v>2</v>
      </c>
      <c r="G208" s="2" t="n">
        <v>10</v>
      </c>
      <c r="H208" s="2" t="inlineStr">
        <is>
          <t>SC/PC</t>
        </is>
      </c>
      <c r="I208" s="2" t="inlineStr">
        <is>
          <t>SC/PC</t>
        </is>
      </c>
      <c r="J208" s="2" t="n"/>
      <c r="K208" s="2" t="n"/>
      <c r="L208" s="2" t="n"/>
      <c r="M208" s="2" t="n"/>
      <c r="N208" s="2" t="n">
        <v>2</v>
      </c>
      <c r="O208" s="2" t="n">
        <v>10</v>
      </c>
      <c r="P208" s="2" t="n"/>
      <c r="Q208" s="2" t="n"/>
      <c r="R208" s="2" t="n"/>
      <c r="S208" s="2" t="n"/>
      <c r="T208" s="2" t="n"/>
      <c r="U208" s="2" t="n"/>
      <c r="V208" s="2">
        <f>SUM(J208:U208)</f>
        <v/>
      </c>
      <c r="W208" s="2" t="n"/>
      <c r="X208" s="2" t="n"/>
      <c r="Y208" s="2" t="n"/>
      <c r="Z208" s="2" t="n"/>
      <c r="AA208" s="2" t="n">
        <v>24</v>
      </c>
      <c r="AB208" s="2" t="n">
        <v>24</v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>
        <f>IF(F208=1,V208*2,IF(F208=2,V208*F208*2,IF(F208&gt;2,F208*2*V208)))</f>
        <v/>
      </c>
      <c r="AW208" s="2">
        <f>SUM(W208:AU208)</f>
        <v/>
      </c>
    </row>
    <row r="209">
      <c r="A209" s="2" t="inlineStr">
        <is>
          <t>14-D-500</t>
        </is>
      </c>
      <c r="B209" s="3" t="inlineStr">
        <is>
          <t>DOJC-SM-ST/PC-SC/PC</t>
        </is>
      </c>
      <c r="C209" s="2" t="inlineStr">
        <is>
          <t>20M</t>
        </is>
      </c>
      <c r="D209" s="2" t="inlineStr">
        <is>
          <t>a1</t>
        </is>
      </c>
      <c r="E209" s="2" t="inlineStr">
        <is>
          <t>2.0mm</t>
        </is>
      </c>
      <c r="F209" s="2" t="n">
        <v>2</v>
      </c>
      <c r="G209" s="2" t="n">
        <v>20</v>
      </c>
      <c r="H209" s="2" t="inlineStr">
        <is>
          <t>SC/PC</t>
        </is>
      </c>
      <c r="I209" s="2" t="inlineStr">
        <is>
          <t>SC/PC</t>
        </is>
      </c>
      <c r="J209" s="2" t="n"/>
      <c r="K209" s="2" t="n"/>
      <c r="L209" s="2" t="n"/>
      <c r="M209" s="2" t="n"/>
      <c r="N209" s="2" t="n">
        <v>2</v>
      </c>
      <c r="O209" s="2" t="n">
        <v>10</v>
      </c>
      <c r="P209" s="2" t="n"/>
      <c r="Q209" s="2" t="n"/>
      <c r="R209" s="2" t="n"/>
      <c r="S209" s="2" t="n"/>
      <c r="T209" s="2" t="n"/>
      <c r="U209" s="2" t="n"/>
      <c r="V209" s="2">
        <f>SUM(J209:U209)</f>
        <v/>
      </c>
      <c r="W209" s="2" t="n"/>
      <c r="X209" s="2" t="n"/>
      <c r="Y209" s="2" t="n"/>
      <c r="Z209" s="2" t="n"/>
      <c r="AA209" s="2" t="n">
        <v>24</v>
      </c>
      <c r="AB209" s="2" t="n">
        <v>24</v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>
        <f>IF(F209=1,V209*2,IF(F209=2,V209*F209*2,IF(F209&gt;2,F209*2*V209)))</f>
        <v/>
      </c>
      <c r="AW209" s="2">
        <f>SUM(W209:AU209)</f>
        <v/>
      </c>
    </row>
    <row r="210">
      <c r="A210" s="2" t="inlineStr">
        <is>
          <t>14-D-501</t>
        </is>
      </c>
      <c r="B210" s="3" t="inlineStr">
        <is>
          <t>DOJC-SM-ST/PC-SC/PC</t>
        </is>
      </c>
      <c r="C210" s="2" t="inlineStr">
        <is>
          <t>3M</t>
        </is>
      </c>
      <c r="D210" s="2" t="inlineStr">
        <is>
          <t>a1</t>
        </is>
      </c>
      <c r="E210" s="2" t="inlineStr">
        <is>
          <t>2.0mm</t>
        </is>
      </c>
      <c r="F210" s="2" t="n">
        <v>2</v>
      </c>
      <c r="G210" s="2" t="n">
        <v>3</v>
      </c>
      <c r="H210" s="2" t="inlineStr">
        <is>
          <t>SC/PC</t>
        </is>
      </c>
      <c r="I210" s="2" t="inlineStr">
        <is>
          <t>SC/PC</t>
        </is>
      </c>
      <c r="J210" s="2" t="n"/>
      <c r="K210" s="2" t="n">
        <v>10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</f>
        <v/>
      </c>
      <c r="W210" s="2" t="n"/>
      <c r="X210" s="2" t="n"/>
      <c r="Y210" s="2" t="n"/>
      <c r="Z210" s="2" t="n"/>
      <c r="AA210" s="2" t="n">
        <v>20</v>
      </c>
      <c r="AB210" s="2" t="n">
        <v>20</v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>
        <f>IF(F210=1,V210*2,IF(F210=2,V210*F210*2,IF(F210&gt;2,F210*2*V210)))</f>
        <v/>
      </c>
      <c r="AW210" s="2">
        <f>SUM(W210:AU210)</f>
        <v/>
      </c>
    </row>
    <row r="211">
      <c r="A211" s="2" t="inlineStr">
        <is>
          <t>14-D-530</t>
        </is>
      </c>
      <c r="B211" s="3" t="inlineStr">
        <is>
          <t>DOJC-MM(OM3)-LC/PC-LC/PC</t>
        </is>
      </c>
      <c r="C211" s="2" t="inlineStr">
        <is>
          <t>4M</t>
        </is>
      </c>
      <c r="D211" s="2" t="inlineStr">
        <is>
          <t>om3</t>
        </is>
      </c>
      <c r="E211" s="2" t="inlineStr">
        <is>
          <t>2.0mm</t>
        </is>
      </c>
      <c r="F211" s="2" t="n">
        <v>2</v>
      </c>
      <c r="G211" s="2" t="n">
        <v>4</v>
      </c>
      <c r="H211" s="2" t="inlineStr">
        <is>
          <t>LC/PC</t>
        </is>
      </c>
      <c r="I211" s="2" t="inlineStr">
        <is>
          <t>LC/PC</t>
        </is>
      </c>
      <c r="J211" s="2" t="n"/>
      <c r="K211" s="2" t="n"/>
      <c r="L211" s="2" t="n">
        <v>10</v>
      </c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>
        <v>30</v>
      </c>
      <c r="V211" s="2">
        <f>SUM(J211:U211)</f>
        <v/>
      </c>
      <c r="W211" s="2" t="n"/>
      <c r="X211" s="2" t="n">
        <v>80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>
        <v>80</v>
      </c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>
        <f>IF(F211=1,V211*2,IF(F211=2,V211*F211*2,IF(F211&gt;2,F211*2*V211)))</f>
        <v/>
      </c>
      <c r="AW211" s="2">
        <f>SUM(W211:AU211)</f>
        <v/>
      </c>
    </row>
    <row r="212">
      <c r="A212" s="2" t="inlineStr">
        <is>
          <t>14-D-531</t>
        </is>
      </c>
      <c r="B212" s="3" t="inlineStr">
        <is>
          <t>DOJC-SM-SC/APC-SC/APC</t>
        </is>
      </c>
      <c r="C212" s="2" t="inlineStr">
        <is>
          <t>1.5M</t>
        </is>
      </c>
      <c r="D212" s="2" t="inlineStr">
        <is>
          <t>a1</t>
        </is>
      </c>
      <c r="E212" s="2" t="inlineStr">
        <is>
          <t>2.0mm</t>
        </is>
      </c>
      <c r="F212" s="2" t="n">
        <v>2</v>
      </c>
      <c r="G212" s="2" t="n">
        <v>1.5</v>
      </c>
      <c r="H212" s="2" t="inlineStr">
        <is>
          <t>SC/APC</t>
        </is>
      </c>
      <c r="I212" s="2" t="inlineStr">
        <is>
          <t>SC/APC</t>
        </is>
      </c>
      <c r="J212" s="2" t="n"/>
      <c r="K212" s="2" t="n"/>
      <c r="L212" s="2" t="n">
        <v>4</v>
      </c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>
        <f>SUM(J212:U212)</f>
        <v/>
      </c>
      <c r="W212" s="2" t="n"/>
      <c r="X212" s="2" t="n"/>
      <c r="Y212" s="2" t="n"/>
      <c r="Z212" s="2" t="n"/>
      <c r="AA212" s="2" t="n"/>
      <c r="AB212" s="2" t="n"/>
      <c r="AC212" s="2" t="n">
        <v>8</v>
      </c>
      <c r="AD212" s="2" t="n">
        <v>8</v>
      </c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>
        <f>IF(F212=1,V212*2,IF(F212=2,V212*F212*2,IF(F212&gt;2,F212*2*V212)))</f>
        <v/>
      </c>
      <c r="AW212" s="2">
        <f>SUM(W212:AU212)</f>
        <v/>
      </c>
    </row>
    <row r="213">
      <c r="A213" s="2" t="inlineStr">
        <is>
          <t>14-D-555</t>
        </is>
      </c>
      <c r="B213" s="3" t="inlineStr">
        <is>
          <t>DOJC-SM-SC/PC-SC/APC</t>
        </is>
      </c>
      <c r="C213" s="2" t="inlineStr">
        <is>
          <t>9M</t>
        </is>
      </c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9</v>
      </c>
      <c r="H213" s="2" t="inlineStr">
        <is>
          <t>SC/PC</t>
        </is>
      </c>
      <c r="I213" s="2" t="inlineStr">
        <is>
          <t>SC/APC</t>
        </is>
      </c>
      <c r="J213" s="2" t="n"/>
      <c r="K213" s="2" t="n"/>
      <c r="L213" s="2" t="n"/>
      <c r="M213" s="2" t="n"/>
      <c r="N213" s="2" t="n"/>
      <c r="O213" s="2" t="n">
        <v>4</v>
      </c>
      <c r="P213" s="2" t="n"/>
      <c r="Q213" s="2" t="n"/>
      <c r="R213" s="2" t="n"/>
      <c r="S213" s="2" t="n"/>
      <c r="T213" s="2" t="n"/>
      <c r="U213" s="2" t="n"/>
      <c r="V213" s="2">
        <f>SUM(J213:U213)</f>
        <v/>
      </c>
      <c r="W213" s="2" t="n"/>
      <c r="X213" s="2" t="n"/>
      <c r="Y213" s="2" t="n"/>
      <c r="Z213" s="2" t="n"/>
      <c r="AA213" s="2" t="n">
        <v>8</v>
      </c>
      <c r="AB213" s="2" t="n"/>
      <c r="AC213" s="2" t="n"/>
      <c r="AD213" s="2" t="n">
        <v>8</v>
      </c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>
        <f>IF(F213=1,V213*2,IF(F213=2,V213*F213*2,IF(F213&gt;2,F213*2*V213)))</f>
        <v/>
      </c>
      <c r="AW213" s="2">
        <f>SUM(W213:AU213)</f>
        <v/>
      </c>
    </row>
    <row r="214">
      <c r="A214" s="2" t="inlineStr">
        <is>
          <t>14-D-569</t>
        </is>
      </c>
      <c r="B214" s="3" t="inlineStr">
        <is>
          <t>DOJC-MM-LC/PC-LC/PC</t>
        </is>
      </c>
      <c r="C214" s="2" t="inlineStr">
        <is>
          <t>16M</t>
        </is>
      </c>
      <c r="D214" s="2" t="inlineStr">
        <is>
          <t>om1</t>
        </is>
      </c>
      <c r="E214" s="2" t="inlineStr">
        <is>
          <t>2.0mm</t>
        </is>
      </c>
      <c r="F214" s="2" t="n">
        <v>2</v>
      </c>
      <c r="G214" s="2" t="n">
        <v>16</v>
      </c>
      <c r="H214" s="2" t="inlineStr">
        <is>
          <t>LC/PC</t>
        </is>
      </c>
      <c r="I214" s="2" t="inlineStr">
        <is>
          <t>LC/PC</t>
        </is>
      </c>
      <c r="J214" s="2" t="n"/>
      <c r="K214" s="2" t="n">
        <v>2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>
        <f>SUM(J214:U214)</f>
        <v/>
      </c>
      <c r="W214" s="2" t="n"/>
      <c r="X214" s="2" t="n">
        <v>4</v>
      </c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>
        <v>4</v>
      </c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>
        <f>IF(F214=1,V214*2,IF(F214=2,V214*F214*2,IF(F214&gt;2,F214*2*V214)))</f>
        <v/>
      </c>
      <c r="AW214" s="2">
        <f>SUM(W214:AU214)</f>
        <v/>
      </c>
    </row>
    <row r="215">
      <c r="A215" s="2" t="inlineStr">
        <is>
          <t>14-D-589</t>
        </is>
      </c>
      <c r="B215" s="3" t="inlineStr">
        <is>
          <t>DOJC-SM-LC/PC-LC/PC</t>
        </is>
      </c>
      <c r="C215" s="2" t="inlineStr">
        <is>
          <t>75M</t>
        </is>
      </c>
      <c r="D215" s="2" t="inlineStr">
        <is>
          <t>a1</t>
        </is>
      </c>
      <c r="E215" s="2" t="inlineStr">
        <is>
          <t>2.0mm</t>
        </is>
      </c>
      <c r="F215" s="2" t="n">
        <v>2</v>
      </c>
      <c r="G215" s="2" t="n">
        <v>75</v>
      </c>
      <c r="H215" s="2" t="inlineStr">
        <is>
          <t>LC/PC</t>
        </is>
      </c>
      <c r="I215" s="2" t="inlineStr">
        <is>
          <t>LC/PC</t>
        </is>
      </c>
      <c r="J215" s="2" t="n"/>
      <c r="K215" s="2" t="n"/>
      <c r="L215" s="2" t="n"/>
      <c r="M215" s="2" t="n">
        <v>20</v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>
        <f>SUM(J215:U215)</f>
        <v/>
      </c>
      <c r="W215" s="2" t="n">
        <v>40</v>
      </c>
      <c r="X215" s="2" t="n">
        <v>40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>
        <f>IF(F215=1,V215*2,IF(F215=2,V215*F215*2,IF(F215&gt;2,F215*2*V215)))</f>
        <v/>
      </c>
      <c r="AW215" s="2">
        <f>SUM(W215:AU215)</f>
        <v/>
      </c>
    </row>
    <row r="216">
      <c r="A216" s="2" t="inlineStr">
        <is>
          <t>14-D-603</t>
        </is>
      </c>
      <c r="B216" s="3" t="inlineStr">
        <is>
          <t>DOJC-MM(OM3)-LC/PC-LC/PC</t>
        </is>
      </c>
      <c r="C216" s="2" t="inlineStr">
        <is>
          <t>8M</t>
        </is>
      </c>
      <c r="D216" s="2" t="inlineStr">
        <is>
          <t>om3</t>
        </is>
      </c>
      <c r="E216" s="2" t="inlineStr">
        <is>
          <t>2.0mm</t>
        </is>
      </c>
      <c r="F216" s="2" t="n">
        <v>2</v>
      </c>
      <c r="G216" s="2" t="n">
        <v>8</v>
      </c>
      <c r="H216" s="2" t="inlineStr">
        <is>
          <t>LC/PC</t>
        </is>
      </c>
      <c r="I216" s="2" t="inlineStr">
        <is>
          <t>LC/PC</t>
        </is>
      </c>
      <c r="J216" s="2" t="n"/>
      <c r="K216" s="2" t="n"/>
      <c r="L216" s="2" t="n"/>
      <c r="M216" s="2" t="n"/>
      <c r="N216" s="2" t="n"/>
      <c r="O216" s="2" t="n"/>
      <c r="P216" s="2" t="n">
        <v>40</v>
      </c>
      <c r="Q216" s="2" t="n"/>
      <c r="R216" s="2" t="n"/>
      <c r="S216" s="2" t="n"/>
      <c r="T216" s="2" t="n"/>
      <c r="U216" s="2" t="n"/>
      <c r="V216" s="2">
        <f>SUM(J216:U216)</f>
        <v/>
      </c>
      <c r="W216" s="2" t="n"/>
      <c r="X216" s="2" t="n">
        <v>80</v>
      </c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>
        <v>80</v>
      </c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>
        <f>IF(F216=1,V216*2,IF(F216=2,V216*F216*2,IF(F216&gt;2,F216*2*V216)))</f>
        <v/>
      </c>
      <c r="AW216" s="2">
        <f>SUM(W216:AU216)</f>
        <v/>
      </c>
    </row>
    <row r="217">
      <c r="A217" s="2" t="inlineStr">
        <is>
          <t>14-D-661</t>
        </is>
      </c>
      <c r="B217" s="3" t="inlineStr">
        <is>
          <t>DOJC-SM-LC/PC-SC/PC</t>
        </is>
      </c>
      <c r="C217" s="2" t="inlineStr">
        <is>
          <t>30M_적색케이블</t>
        </is>
      </c>
      <c r="D217" s="2" t="inlineStr">
        <is>
          <t>a1-적</t>
        </is>
      </c>
      <c r="E217" s="2" t="inlineStr">
        <is>
          <t>2.0mm</t>
        </is>
      </c>
      <c r="F217" s="2" t="n">
        <v>2</v>
      </c>
      <c r="G217" s="2" t="n">
        <v>30</v>
      </c>
      <c r="H217" s="2" t="inlineStr">
        <is>
          <t>LC/PC</t>
        </is>
      </c>
      <c r="I217" s="2" t="inlineStr">
        <is>
          <t>SC/PC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>
        <v>6</v>
      </c>
      <c r="U217" s="2" t="n"/>
      <c r="V217" s="2">
        <f>SUM(J217:U217)</f>
        <v/>
      </c>
      <c r="W217" s="2" t="n">
        <v>12</v>
      </c>
      <c r="X217" s="2" t="n"/>
      <c r="Y217" s="2" t="n"/>
      <c r="Z217" s="2" t="n"/>
      <c r="AA217" s="2" t="n"/>
      <c r="AB217" s="2" t="n">
        <v>12</v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>
        <f>IF(F217=1,V217*2,IF(F217=2,V217*F217*2,IF(F217&gt;2,F217*2*V217)))</f>
        <v/>
      </c>
      <c r="AW217" s="2">
        <f>SUM(W217:AU217)</f>
        <v/>
      </c>
    </row>
    <row r="218">
      <c r="A218" s="2" t="inlineStr">
        <is>
          <t>14-D-662</t>
        </is>
      </c>
      <c r="B218" s="3" t="inlineStr">
        <is>
          <t>DOJC-SM-LC/PC-LC/PC</t>
        </is>
      </c>
      <c r="C218" s="2" t="inlineStr">
        <is>
          <t>20M_적색케이블</t>
        </is>
      </c>
      <c r="D218" s="2" t="inlineStr">
        <is>
          <t>a1-적</t>
        </is>
      </c>
      <c r="E218" s="2" t="inlineStr">
        <is>
          <t>2.0mm</t>
        </is>
      </c>
      <c r="F218" s="2" t="n">
        <v>2</v>
      </c>
      <c r="G218" s="2" t="n">
        <v>20</v>
      </c>
      <c r="H218" s="2" t="inlineStr">
        <is>
          <t>LC/PC</t>
        </is>
      </c>
      <c r="I218" s="2" t="inlineStr">
        <is>
          <t>LC/PC</t>
        </is>
      </c>
      <c r="J218" s="2" t="n">
        <v>30</v>
      </c>
      <c r="K218" s="2" t="n"/>
      <c r="L218" s="2" t="n"/>
      <c r="M218" s="2" t="n"/>
      <c r="N218" s="2" t="n"/>
      <c r="O218" s="2" t="n"/>
      <c r="P218" s="2" t="n"/>
      <c r="Q218" s="2" t="n">
        <v>20</v>
      </c>
      <c r="R218" s="2" t="n"/>
      <c r="S218" s="2" t="n"/>
      <c r="T218" s="2" t="n"/>
      <c r="U218" s="2" t="n"/>
      <c r="V218" s="2">
        <f>SUM(J218:U218)</f>
        <v/>
      </c>
      <c r="W218" s="2" t="n">
        <v>100</v>
      </c>
      <c r="X218" s="2" t="n">
        <v>100</v>
      </c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>
        <f>IF(F218=1,V218*2,IF(F218=2,V218*F218*2,IF(F218&gt;2,F218*2*V218)))</f>
        <v/>
      </c>
      <c r="AW218" s="2">
        <f>SUM(W218:AU218)</f>
        <v/>
      </c>
    </row>
    <row r="219">
      <c r="A219" s="2" t="inlineStr">
        <is>
          <t>14-D-663</t>
        </is>
      </c>
      <c r="B219" s="3" t="inlineStr">
        <is>
          <t>DOJC-SM-LC/PC-LC/PC</t>
        </is>
      </c>
      <c r="C219" s="2" t="inlineStr">
        <is>
          <t>30M_적색케이블</t>
        </is>
      </c>
      <c r="D219" s="2" t="inlineStr">
        <is>
          <t>a1-적</t>
        </is>
      </c>
      <c r="E219" s="2" t="inlineStr">
        <is>
          <t>2.0mm</t>
        </is>
      </c>
      <c r="F219" s="2" t="n">
        <v>2</v>
      </c>
      <c r="G219" s="2" t="n">
        <v>30</v>
      </c>
      <c r="H219" s="2" t="inlineStr">
        <is>
          <t>LC/PC</t>
        </is>
      </c>
      <c r="I219" s="2" t="inlineStr">
        <is>
          <t>LC/PC</t>
        </is>
      </c>
      <c r="J219" s="2" t="n"/>
      <c r="K219" s="2" t="n">
        <v>2</v>
      </c>
      <c r="L219" s="2" t="n">
        <v>10</v>
      </c>
      <c r="M219" s="2" t="n"/>
      <c r="N219" s="2" t="n"/>
      <c r="O219" s="2" t="n">
        <v>20</v>
      </c>
      <c r="P219" s="2" t="n"/>
      <c r="Q219" s="2" t="n"/>
      <c r="R219" s="2" t="n"/>
      <c r="S219" s="2" t="n"/>
      <c r="T219" s="2" t="n">
        <v>30</v>
      </c>
      <c r="U219" s="2" t="n"/>
      <c r="V219" s="2">
        <f>SUM(J219:U219)</f>
        <v/>
      </c>
      <c r="W219" s="2" t="n">
        <v>124</v>
      </c>
      <c r="X219" s="2" t="n">
        <v>124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>
        <f>IF(F219=1,V219*2,IF(F219=2,V219*F219*2,IF(F219&gt;2,F219*2*V219)))</f>
        <v/>
      </c>
      <c r="AW219" s="2">
        <f>SUM(W219:AU219)</f>
        <v/>
      </c>
    </row>
    <row r="220">
      <c r="A220" s="2" t="inlineStr">
        <is>
          <t>14-D-664</t>
        </is>
      </c>
      <c r="B220" s="3" t="inlineStr">
        <is>
          <t>DOJC-SM-LC/PC-LC/PC</t>
        </is>
      </c>
      <c r="C220" s="2" t="inlineStr">
        <is>
          <t>35M_적색케이블</t>
        </is>
      </c>
      <c r="D220" s="2" t="inlineStr">
        <is>
          <t>a1-적</t>
        </is>
      </c>
      <c r="E220" s="2" t="inlineStr">
        <is>
          <t>2.0mm</t>
        </is>
      </c>
      <c r="F220" s="2" t="n">
        <v>2</v>
      </c>
      <c r="G220" s="2" t="n">
        <v>35</v>
      </c>
      <c r="H220" s="2" t="inlineStr">
        <is>
          <t>LC/PC</t>
        </is>
      </c>
      <c r="I220" s="2" t="inlineStr">
        <is>
          <t>LC/PC</t>
        </is>
      </c>
      <c r="J220" s="2" t="n"/>
      <c r="K220" s="2" t="n"/>
      <c r="L220" s="2" t="n"/>
      <c r="M220" s="2" t="n"/>
      <c r="N220" s="2" t="n"/>
      <c r="O220" s="2" t="n">
        <v>10</v>
      </c>
      <c r="P220" s="2" t="n"/>
      <c r="Q220" s="2" t="n">
        <v>10</v>
      </c>
      <c r="R220" s="2" t="n"/>
      <c r="S220" s="2" t="n"/>
      <c r="T220" s="2" t="n"/>
      <c r="U220" s="2" t="n"/>
      <c r="V220" s="2">
        <f>SUM(J220:U220)</f>
        <v/>
      </c>
      <c r="W220" s="2" t="n">
        <v>40</v>
      </c>
      <c r="X220" s="2" t="n">
        <v>40</v>
      </c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>
        <f>IF(F220=1,V220*2,IF(F220=2,V220*F220*2,IF(F220&gt;2,F220*2*V220)))</f>
        <v/>
      </c>
      <c r="AW220" s="2">
        <f>SUM(W220:AU220)</f>
        <v/>
      </c>
    </row>
    <row r="221">
      <c r="A221" s="2" t="inlineStr">
        <is>
          <t>14-D-676</t>
        </is>
      </c>
      <c r="B221" s="3" t="inlineStr">
        <is>
          <t>DOJC-SM-LC/PC-LC/PC</t>
        </is>
      </c>
      <c r="C221" s="2" t="inlineStr">
        <is>
          <t>25M_적색케이블</t>
        </is>
      </c>
      <c r="D221" s="2" t="inlineStr">
        <is>
          <t>a1-적</t>
        </is>
      </c>
      <c r="E221" s="2" t="inlineStr">
        <is>
          <t>2.0mm</t>
        </is>
      </c>
      <c r="F221" s="2" t="n">
        <v>2</v>
      </c>
      <c r="G221" s="2" t="n">
        <v>25</v>
      </c>
      <c r="H221" s="2" t="inlineStr">
        <is>
          <t>LC/PC</t>
        </is>
      </c>
      <c r="I221" s="2" t="inlineStr">
        <is>
          <t>LC/PC</t>
        </is>
      </c>
      <c r="J221" s="2" t="n">
        <v>24</v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>
        <f>SUM(J221:U221)</f>
        <v/>
      </c>
      <c r="W221" s="2" t="n">
        <v>48</v>
      </c>
      <c r="X221" s="2" t="n">
        <v>48</v>
      </c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>
        <f>IF(F221=1,V221*2,IF(F221=2,V221*F221*2,IF(F221&gt;2,F221*2*V221)))</f>
        <v/>
      </c>
      <c r="AW221" s="2">
        <f>SUM(W221:AU221)</f>
        <v/>
      </c>
    </row>
    <row r="222">
      <c r="A222" s="2" t="inlineStr">
        <is>
          <t>14-D-696</t>
        </is>
      </c>
      <c r="B222" s="3" t="inlineStr">
        <is>
          <t>DOJC-MM(OM3)-LC/PC-LC/PC</t>
        </is>
      </c>
      <c r="C222" s="2" t="inlineStr">
        <is>
          <t>1M</t>
        </is>
      </c>
      <c r="D222" s="2" t="inlineStr">
        <is>
          <t>om3</t>
        </is>
      </c>
      <c r="E222" s="2" t="inlineStr">
        <is>
          <t>2.0mm</t>
        </is>
      </c>
      <c r="F222" s="2" t="n">
        <v>2</v>
      </c>
      <c r="G222" s="2" t="n">
        <v>1</v>
      </c>
      <c r="H222" s="2" t="inlineStr">
        <is>
          <t>LC/PC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>
        <v>4</v>
      </c>
      <c r="P222" s="2" t="n"/>
      <c r="Q222" s="2" t="n"/>
      <c r="R222" s="2" t="n"/>
      <c r="S222" s="2" t="n"/>
      <c r="T222" s="2" t="n"/>
      <c r="U222" s="2" t="n"/>
      <c r="V222" s="2">
        <f>SUM(J222:U222)</f>
        <v/>
      </c>
      <c r="W222" s="2" t="n"/>
      <c r="X222" s="2" t="n">
        <v>8</v>
      </c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>
        <v>8</v>
      </c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>
        <f>IF(F222=1,V222*2,IF(F222=2,V222*F222*2,IF(F222&gt;2,F222*2*V222)))</f>
        <v/>
      </c>
      <c r="AW222" s="2">
        <f>SUM(W222:AU222)</f>
        <v/>
      </c>
    </row>
    <row r="223">
      <c r="A223" s="2" t="inlineStr">
        <is>
          <t>14-D-726</t>
        </is>
      </c>
      <c r="B223" s="3" t="inlineStr">
        <is>
          <t>DOJC-SM-SC/PC-SC/PC</t>
        </is>
      </c>
      <c r="C223" s="2" t="inlineStr">
        <is>
          <t>0.5M</t>
        </is>
      </c>
      <c r="D223" s="2" t="inlineStr">
        <is>
          <t>a1</t>
        </is>
      </c>
      <c r="E223" s="2" t="inlineStr">
        <is>
          <t>2.0mm</t>
        </is>
      </c>
      <c r="F223" s="2" t="n">
        <v>2</v>
      </c>
      <c r="G223" s="2" t="n">
        <v>0.5</v>
      </c>
      <c r="H223" s="2" t="inlineStr">
        <is>
          <t>SC/PC</t>
        </is>
      </c>
      <c r="I223" s="2" t="inlineStr">
        <is>
          <t>SC/PC</t>
        </is>
      </c>
      <c r="J223" s="2" t="n"/>
      <c r="K223" s="2" t="n"/>
      <c r="L223" s="2" t="n"/>
      <c r="M223" s="2" t="n">
        <v>108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</f>
        <v/>
      </c>
      <c r="W223" s="2" t="n"/>
      <c r="X223" s="2" t="n"/>
      <c r="Y223" s="2" t="n"/>
      <c r="Z223" s="2" t="n"/>
      <c r="AA223" s="2" t="n">
        <v>216</v>
      </c>
      <c r="AB223" s="2" t="n">
        <v>216</v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>
        <f>IF(F223=1,V223*2,IF(F223=2,V223*F223*2,IF(F223&gt;2,F223*2*V223)))</f>
        <v/>
      </c>
      <c r="AW223" s="2">
        <f>SUM(W223:AU223)</f>
        <v/>
      </c>
    </row>
    <row r="224">
      <c r="A224" s="2" t="inlineStr">
        <is>
          <t>14-D-728</t>
        </is>
      </c>
      <c r="B224" s="3" t="inlineStr">
        <is>
          <t>DOJC-SM-SC/PC-SC/APC</t>
        </is>
      </c>
      <c r="C224" s="2" t="inlineStr">
        <is>
          <t>0.5M</t>
        </is>
      </c>
      <c r="D224" s="2" t="inlineStr">
        <is>
          <t>a1</t>
        </is>
      </c>
      <c r="E224" s="2" t="inlineStr">
        <is>
          <t>2.0mm</t>
        </is>
      </c>
      <c r="F224" s="2" t="n">
        <v>2</v>
      </c>
      <c r="G224" s="2" t="n">
        <v>0.5</v>
      </c>
      <c r="H224" s="2" t="inlineStr">
        <is>
          <t>SC/PC</t>
        </is>
      </c>
      <c r="I224" s="2" t="inlineStr">
        <is>
          <t>SC/APC</t>
        </is>
      </c>
      <c r="J224" s="2" t="n"/>
      <c r="K224" s="2" t="n"/>
      <c r="L224" s="2" t="n"/>
      <c r="M224" s="2" t="n"/>
      <c r="N224" s="2" t="n"/>
      <c r="O224" s="2" t="n"/>
      <c r="P224" s="2" t="n">
        <v>992</v>
      </c>
      <c r="Q224" s="2" t="n"/>
      <c r="R224" s="2" t="n"/>
      <c r="S224" s="2" t="n"/>
      <c r="T224" s="2" t="n"/>
      <c r="U224" s="2" t="n"/>
      <c r="V224" s="2">
        <f>SUM(J224:U224)</f>
        <v/>
      </c>
      <c r="W224" s="2" t="n"/>
      <c r="X224" s="2" t="n"/>
      <c r="Y224" s="2" t="n"/>
      <c r="Z224" s="2" t="n"/>
      <c r="AA224" s="2" t="n">
        <v>1984</v>
      </c>
      <c r="AB224" s="2" t="n"/>
      <c r="AC224" s="2" t="n"/>
      <c r="AD224" s="2" t="n">
        <v>1984</v>
      </c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>
        <f>IF(F224=1,V224*2,IF(F224=2,V224*F224*2,IF(F224&gt;2,F224*2*V224)))</f>
        <v/>
      </c>
      <c r="AW224" s="2">
        <f>SUM(W224:AU224)</f>
        <v/>
      </c>
    </row>
    <row r="225">
      <c r="A225" s="2" t="inlineStr">
        <is>
          <t>14-D-733</t>
        </is>
      </c>
      <c r="B225" s="3" t="inlineStr">
        <is>
          <t>DOJC-SM-LC/PC-LC/PC</t>
        </is>
      </c>
      <c r="C225" s="2" t="inlineStr">
        <is>
          <t>20M_청색케이블</t>
        </is>
      </c>
      <c r="D225" s="2" t="inlineStr">
        <is>
          <t>a1-청</t>
        </is>
      </c>
      <c r="E225" s="2" t="inlineStr">
        <is>
          <t>2.0mm</t>
        </is>
      </c>
      <c r="F225" s="2" t="n">
        <v>2</v>
      </c>
      <c r="G225" s="2" t="n">
        <v>20</v>
      </c>
      <c r="H225" s="2" t="inlineStr">
        <is>
          <t>LC/PC</t>
        </is>
      </c>
      <c r="I225" s="2" t="inlineStr">
        <is>
          <t>LC/PC</t>
        </is>
      </c>
      <c r="J225" s="2" t="n">
        <v>30</v>
      </c>
      <c r="K225" s="2" t="n"/>
      <c r="L225" s="2" t="n"/>
      <c r="M225" s="2" t="n"/>
      <c r="N225" s="2" t="n"/>
      <c r="O225" s="2" t="n"/>
      <c r="P225" s="2" t="n"/>
      <c r="Q225" s="2" t="n">
        <v>10</v>
      </c>
      <c r="R225" s="2" t="n"/>
      <c r="S225" s="2" t="n"/>
      <c r="T225" s="2" t="n">
        <v>30</v>
      </c>
      <c r="U225" s="2" t="n"/>
      <c r="V225" s="2">
        <f>SUM(J225:U225)</f>
        <v/>
      </c>
      <c r="W225" s="2" t="n">
        <v>140</v>
      </c>
      <c r="X225" s="2" t="n">
        <v>140</v>
      </c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>
        <f>IF(F225=1,V225*2,IF(F225=2,V225*F225*2,IF(F225&gt;2,F225*2*V225)))</f>
        <v/>
      </c>
      <c r="AW225" s="2">
        <f>SUM(W225:AU225)</f>
        <v/>
      </c>
    </row>
    <row r="226">
      <c r="A226" s="2" t="inlineStr">
        <is>
          <t>14-D-734</t>
        </is>
      </c>
      <c r="B226" s="3" t="inlineStr">
        <is>
          <t>DOJC-SM-LC/PC-LC/PC</t>
        </is>
      </c>
      <c r="C226" s="2" t="inlineStr">
        <is>
          <t>25M_청색케이블</t>
        </is>
      </c>
      <c r="D226" s="2" t="inlineStr">
        <is>
          <t>a1-청</t>
        </is>
      </c>
      <c r="E226" s="2" t="inlineStr">
        <is>
          <t>2.0mm</t>
        </is>
      </c>
      <c r="F226" s="2" t="n">
        <v>2</v>
      </c>
      <c r="G226" s="2" t="n">
        <v>25</v>
      </c>
      <c r="H226" s="2" t="inlineStr">
        <is>
          <t>LC/PC</t>
        </is>
      </c>
      <c r="I226" s="2" t="inlineStr">
        <is>
          <t>LC/PC</t>
        </is>
      </c>
      <c r="J226" s="2" t="n">
        <v>20</v>
      </c>
      <c r="K226" s="2" t="n"/>
      <c r="L226" s="2" t="n"/>
      <c r="M226" s="2" t="n"/>
      <c r="N226" s="2" t="n"/>
      <c r="O226" s="2" t="n">
        <v>20</v>
      </c>
      <c r="P226" s="2" t="n"/>
      <c r="Q226" s="2" t="n"/>
      <c r="R226" s="2" t="n"/>
      <c r="S226" s="2" t="n"/>
      <c r="T226" s="2" t="n"/>
      <c r="U226" s="2" t="n"/>
      <c r="V226" s="2">
        <f>SUM(J226:U226)</f>
        <v/>
      </c>
      <c r="W226" s="2" t="n">
        <v>80</v>
      </c>
      <c r="X226" s="2" t="n">
        <v>80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>
        <f>IF(F226=1,V226*2,IF(F226=2,V226*F226*2,IF(F226&gt;2,F226*2*V226)))</f>
        <v/>
      </c>
      <c r="AW226" s="2">
        <f>SUM(W226:AU226)</f>
        <v/>
      </c>
    </row>
    <row r="227">
      <c r="A227" s="2" t="inlineStr">
        <is>
          <t>14-D-735</t>
        </is>
      </c>
      <c r="B227" s="3" t="inlineStr">
        <is>
          <t>DOJC-SM-LC/PC-LC/PC</t>
        </is>
      </c>
      <c r="C227" s="2" t="inlineStr">
        <is>
          <t>35M_청색케이블</t>
        </is>
      </c>
      <c r="D227" s="2" t="inlineStr">
        <is>
          <t>a1-청</t>
        </is>
      </c>
      <c r="E227" s="2" t="inlineStr">
        <is>
          <t>2.0mm</t>
        </is>
      </c>
      <c r="F227" s="2" t="n">
        <v>2</v>
      </c>
      <c r="G227" s="2" t="n">
        <v>35</v>
      </c>
      <c r="H227" s="2" t="inlineStr">
        <is>
          <t>LC/PC</t>
        </is>
      </c>
      <c r="I227" s="2" t="inlineStr">
        <is>
          <t>LC/PC</t>
        </is>
      </c>
      <c r="J227" s="2" t="n"/>
      <c r="K227" s="2" t="n"/>
      <c r="L227" s="2" t="n"/>
      <c r="M227" s="2" t="n"/>
      <c r="N227" s="2" t="n"/>
      <c r="O227" s="2" t="n">
        <v>20</v>
      </c>
      <c r="P227" s="2" t="n"/>
      <c r="Q227" s="2" t="n">
        <v>10</v>
      </c>
      <c r="R227" s="2" t="n"/>
      <c r="S227" s="2" t="n"/>
      <c r="T227" s="2" t="n"/>
      <c r="U227" s="2" t="n"/>
      <c r="V227" s="2">
        <f>SUM(J227:U227)</f>
        <v/>
      </c>
      <c r="W227" s="2" t="n">
        <v>60</v>
      </c>
      <c r="X227" s="2" t="n">
        <v>60</v>
      </c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>
        <f>IF(F227=1,V227*2,IF(F227=2,V227*F227*2,IF(F227&gt;2,F227*2*V227)))</f>
        <v/>
      </c>
      <c r="AW227" s="2">
        <f>SUM(W227:AU227)</f>
        <v/>
      </c>
    </row>
    <row r="228">
      <c r="A228" s="2" t="inlineStr">
        <is>
          <t>14-D-745</t>
        </is>
      </c>
      <c r="B228" s="3" t="inlineStr">
        <is>
          <t>DOJC-SM-LC/PC-LC/PC</t>
        </is>
      </c>
      <c r="C228" s="2" t="inlineStr">
        <is>
          <t>45M_청색케이블</t>
        </is>
      </c>
      <c r="D228" s="2" t="inlineStr">
        <is>
          <t>a1-청</t>
        </is>
      </c>
      <c r="E228" s="2" t="inlineStr">
        <is>
          <t>2.0mm</t>
        </is>
      </c>
      <c r="F228" s="2" t="n">
        <v>2</v>
      </c>
      <c r="G228" s="2" t="n">
        <v>45</v>
      </c>
      <c r="H228" s="2" t="inlineStr">
        <is>
          <t>LC/PC</t>
        </is>
      </c>
      <c r="I228" s="2" t="inlineStr">
        <is>
          <t>LC/PC</t>
        </is>
      </c>
      <c r="J228" s="2" t="n"/>
      <c r="K228" s="2" t="n"/>
      <c r="L228" s="2" t="n">
        <v>20</v>
      </c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</f>
        <v/>
      </c>
      <c r="W228" s="2" t="n">
        <v>40</v>
      </c>
      <c r="X228" s="2" t="n">
        <v>40</v>
      </c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>
        <f>IF(F228=1,V228*2,IF(F228=2,V228*F228*2,IF(F228&gt;2,F228*2*V228)))</f>
        <v/>
      </c>
      <c r="AW228" s="2">
        <f>SUM(W228:AU228)</f>
        <v/>
      </c>
    </row>
    <row r="229">
      <c r="A229" s="2" t="inlineStr">
        <is>
          <t>14-D-746</t>
        </is>
      </c>
      <c r="B229" s="3" t="inlineStr">
        <is>
          <t>DOJC-SM-LC/PC-LC/PC</t>
        </is>
      </c>
      <c r="C229" s="2" t="inlineStr">
        <is>
          <t>50M_청색케이블</t>
        </is>
      </c>
      <c r="D229" s="2" t="inlineStr">
        <is>
          <t>a1-청</t>
        </is>
      </c>
      <c r="E229" s="2" t="inlineStr">
        <is>
          <t>2.0mm</t>
        </is>
      </c>
      <c r="F229" s="2" t="n">
        <v>2</v>
      </c>
      <c r="G229" s="2" t="n">
        <v>50</v>
      </c>
      <c r="H229" s="2" t="inlineStr">
        <is>
          <t>LC/PC</t>
        </is>
      </c>
      <c r="I229" s="2" t="inlineStr">
        <is>
          <t>LC/PC</t>
        </is>
      </c>
      <c r="J229" s="2" t="n">
        <v>30</v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>
        <f>SUM(J229:U229)</f>
        <v/>
      </c>
      <c r="W229" s="2" t="n">
        <v>60</v>
      </c>
      <c r="X229" s="2" t="n">
        <v>60</v>
      </c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>
        <f>IF(F229=1,V229*2,IF(F229=2,V229*F229*2,IF(F229&gt;2,F229*2*V229)))</f>
        <v/>
      </c>
      <c r="AW229" s="2">
        <f>SUM(W229:AU229)</f>
        <v/>
      </c>
    </row>
    <row r="230">
      <c r="A230" s="2" t="inlineStr">
        <is>
          <t>14-D-747</t>
        </is>
      </c>
      <c r="B230" s="3" t="inlineStr">
        <is>
          <t>DOJC-SM-LC/PC-LC/PC</t>
        </is>
      </c>
      <c r="C230" s="2" t="inlineStr">
        <is>
          <t>55M_청색케이블</t>
        </is>
      </c>
      <c r="D230" s="2" t="inlineStr">
        <is>
          <t>a1-청</t>
        </is>
      </c>
      <c r="E230" s="2" t="inlineStr">
        <is>
          <t>2.0mm</t>
        </is>
      </c>
      <c r="F230" s="2" t="n">
        <v>2</v>
      </c>
      <c r="G230" s="2" t="n">
        <v>55</v>
      </c>
      <c r="H230" s="2" t="inlineStr">
        <is>
          <t>LC/PC</t>
        </is>
      </c>
      <c r="I230" s="2" t="inlineStr">
        <is>
          <t>LC/PC</t>
        </is>
      </c>
      <c r="J230" s="2" t="n">
        <v>30</v>
      </c>
      <c r="K230" s="2" t="n"/>
      <c r="L230" s="2" t="n">
        <v>10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</f>
        <v/>
      </c>
      <c r="W230" s="2" t="n">
        <v>80</v>
      </c>
      <c r="X230" s="2" t="n">
        <v>80</v>
      </c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>
        <f>IF(F230=1,V230*2,IF(F230=2,V230*F230*2,IF(F230&gt;2,F230*2*V230)))</f>
        <v/>
      </c>
      <c r="AW230" s="2">
        <f>SUM(W230:AU230)</f>
        <v/>
      </c>
    </row>
    <row r="231">
      <c r="A231" s="2" t="inlineStr">
        <is>
          <t>14-D-764</t>
        </is>
      </c>
      <c r="B231" s="3" t="inlineStr">
        <is>
          <t>DOJC-MM(OM3)-LC/PC-LC/PC</t>
        </is>
      </c>
      <c r="C231" s="2" t="inlineStr">
        <is>
          <t>18M</t>
        </is>
      </c>
      <c r="D231" s="2" t="inlineStr">
        <is>
          <t>om3</t>
        </is>
      </c>
      <c r="E231" s="2" t="inlineStr">
        <is>
          <t>2.0mm</t>
        </is>
      </c>
      <c r="F231" s="2" t="n">
        <v>2</v>
      </c>
      <c r="G231" s="2" t="n">
        <v>18</v>
      </c>
      <c r="H231" s="2" t="inlineStr">
        <is>
          <t>LC/PC</t>
        </is>
      </c>
      <c r="I231" s="2" t="inlineStr">
        <is>
          <t>LC/PC</t>
        </is>
      </c>
      <c r="J231" s="2" t="n"/>
      <c r="K231" s="2" t="n">
        <v>5</v>
      </c>
      <c r="L231" s="2" t="n">
        <v>2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</f>
        <v/>
      </c>
      <c r="W231" s="2" t="n"/>
      <c r="X231" s="2" t="n">
        <v>14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>
        <v>14</v>
      </c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>
        <f>IF(F231=1,V231*2,IF(F231=2,V231*F231*2,IF(F231&gt;2,F231*2*V231)))</f>
        <v/>
      </c>
      <c r="AW231" s="2">
        <f>SUM(W231:AU231)</f>
        <v/>
      </c>
    </row>
    <row r="232">
      <c r="A232" s="2" t="inlineStr">
        <is>
          <t>14-D-768</t>
        </is>
      </c>
      <c r="B232" s="3" t="inlineStr">
        <is>
          <t>DOJC-SM-LC/PC-LC/PC</t>
        </is>
      </c>
      <c r="C232" s="2" t="inlineStr">
        <is>
          <t>30M_청색케이블</t>
        </is>
      </c>
      <c r="D232" s="2" t="inlineStr">
        <is>
          <t>a1-청</t>
        </is>
      </c>
      <c r="E232" s="2" t="inlineStr">
        <is>
          <t>2.0mm</t>
        </is>
      </c>
      <c r="F232" s="2" t="n">
        <v>2</v>
      </c>
      <c r="G232" s="2" t="n">
        <v>30</v>
      </c>
      <c r="H232" s="2" t="inlineStr">
        <is>
          <t>LC/PC</t>
        </is>
      </c>
      <c r="I232" s="2" t="inlineStr">
        <is>
          <t>LC/PC</t>
        </is>
      </c>
      <c r="J232" s="2" t="n"/>
      <c r="K232" s="2" t="n"/>
      <c r="L232" s="2" t="n"/>
      <c r="M232" s="2" t="n"/>
      <c r="N232" s="2" t="n"/>
      <c r="O232" s="2" t="n">
        <v>20</v>
      </c>
      <c r="P232" s="2" t="n"/>
      <c r="Q232" s="2" t="n"/>
      <c r="R232" s="2" t="n"/>
      <c r="S232" s="2" t="n"/>
      <c r="T232" s="2" t="n"/>
      <c r="U232" s="2" t="n"/>
      <c r="V232" s="2">
        <f>SUM(J232:U232)</f>
        <v/>
      </c>
      <c r="W232" s="2" t="n">
        <v>40</v>
      </c>
      <c r="X232" s="2" t="n">
        <v>40</v>
      </c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>
        <f>IF(F232=1,V232*2,IF(F232=2,V232*F232*2,IF(F232&gt;2,F232*2*V232)))</f>
        <v/>
      </c>
      <c r="AW232" s="2">
        <f>SUM(W232:AU232)</f>
        <v/>
      </c>
    </row>
    <row r="233">
      <c r="A233" s="2" t="inlineStr">
        <is>
          <t>14-D-771</t>
        </is>
      </c>
      <c r="B233" s="3" t="inlineStr">
        <is>
          <t>DOJC-MM-LC/PC-LC/PC</t>
        </is>
      </c>
      <c r="C233" s="2" t="inlineStr">
        <is>
          <t>19M</t>
        </is>
      </c>
      <c r="D233" s="2" t="inlineStr">
        <is>
          <t>om1</t>
        </is>
      </c>
      <c r="E233" s="2" t="inlineStr">
        <is>
          <t>2.0mm</t>
        </is>
      </c>
      <c r="F233" s="2" t="n">
        <v>2</v>
      </c>
      <c r="G233" s="2" t="n">
        <v>19</v>
      </c>
      <c r="H233" s="2" t="inlineStr">
        <is>
          <t>LC/PC</t>
        </is>
      </c>
      <c r="I233" s="2" t="inlineStr">
        <is>
          <t>LC/PC</t>
        </is>
      </c>
      <c r="J233" s="2" t="n"/>
      <c r="K233" s="2" t="n">
        <v>2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>
        <f>SUM(J233:U233)</f>
        <v/>
      </c>
      <c r="W233" s="2" t="n"/>
      <c r="X233" s="2" t="n">
        <v>4</v>
      </c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>
        <v>4</v>
      </c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>
        <f>IF(F233=1,V233*2,IF(F233=2,V233*F233*2,IF(F233&gt;2,F233*2*V233)))</f>
        <v/>
      </c>
      <c r="AW233" s="2">
        <f>SUM(W233:AU233)</f>
        <v/>
      </c>
    </row>
    <row r="234">
      <c r="A234" s="2" t="inlineStr">
        <is>
          <t>14-D-901</t>
        </is>
      </c>
      <c r="B234" s="3" t="inlineStr">
        <is>
          <t>DOJC-SM-LC/PC-LC/APC</t>
        </is>
      </c>
      <c r="C234" s="2" t="inlineStr">
        <is>
          <t>3M</t>
        </is>
      </c>
      <c r="D234" s="2" t="inlineStr">
        <is>
          <t>a1</t>
        </is>
      </c>
      <c r="E234" s="2" t="inlineStr">
        <is>
          <t>2.0mm</t>
        </is>
      </c>
      <c r="F234" s="2" t="n">
        <v>2</v>
      </c>
      <c r="G234" s="2" t="n">
        <v>3</v>
      </c>
      <c r="H234" s="2" t="inlineStr">
        <is>
          <t>LC/PC</t>
        </is>
      </c>
      <c r="I234" s="2" t="inlineStr">
        <is>
          <t>LC/APC</t>
        </is>
      </c>
      <c r="J234" s="2" t="n"/>
      <c r="K234" s="2" t="n"/>
      <c r="L234" s="2" t="n"/>
      <c r="M234" s="2" t="n">
        <v>10</v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</f>
        <v/>
      </c>
      <c r="W234" s="2" t="n">
        <v>20</v>
      </c>
      <c r="X234" s="2" t="n"/>
      <c r="Y234" s="2" t="n"/>
      <c r="Z234" s="2" t="n">
        <v>20</v>
      </c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>
        <f>IF(F234=1,V234*2,IF(F234=2,V234*F234*2,IF(F234&gt;2,F234*2*V234)))</f>
        <v/>
      </c>
      <c r="AW234" s="2">
        <f>SUM(W234:AU234)</f>
        <v/>
      </c>
    </row>
    <row r="235">
      <c r="A235" s="2" t="inlineStr">
        <is>
          <t>14-D-903</t>
        </is>
      </c>
      <c r="B235" s="3" t="inlineStr">
        <is>
          <t>DOJC-SM-LC/PC-SC/APC</t>
        </is>
      </c>
      <c r="C235" s="2" t="inlineStr">
        <is>
          <t>17M</t>
        </is>
      </c>
      <c r="D235" s="2" t="inlineStr">
        <is>
          <t>a1</t>
        </is>
      </c>
      <c r="E235" s="2" t="inlineStr">
        <is>
          <t>2.0mm</t>
        </is>
      </c>
      <c r="F235" s="2" t="n">
        <v>2</v>
      </c>
      <c r="G235" s="2" t="n">
        <v>17</v>
      </c>
      <c r="H235" s="2" t="inlineStr">
        <is>
          <t>LC/PC</t>
        </is>
      </c>
      <c r="I235" s="2" t="inlineStr">
        <is>
          <t>SC/APC</t>
        </is>
      </c>
      <c r="J235" s="2" t="n">
        <v>1</v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>
        <f>SUM(J235:U235)</f>
        <v/>
      </c>
      <c r="W235" s="2" t="n">
        <v>2</v>
      </c>
      <c r="X235" s="2" t="n"/>
      <c r="Y235" s="2" t="n"/>
      <c r="Z235" s="2" t="n"/>
      <c r="AA235" s="2" t="n"/>
      <c r="AB235" s="2" t="n"/>
      <c r="AC235" s="2" t="n"/>
      <c r="AD235" s="2" t="n">
        <v>2</v>
      </c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>
        <f>IF(F235=1,V235*2,IF(F235=2,V235*F235*2,IF(F235&gt;2,F235*2*V235)))</f>
        <v/>
      </c>
      <c r="AW235" s="2">
        <f>SUM(W235:AU235)</f>
        <v/>
      </c>
    </row>
    <row r="236">
      <c r="A236" s="2" t="inlineStr">
        <is>
          <t>14-D-980</t>
        </is>
      </c>
      <c r="B236" s="3" t="inlineStr">
        <is>
          <t>DOJC-SM-SC/APC-SC/APC</t>
        </is>
      </c>
      <c r="C236" s="2" t="inlineStr">
        <is>
          <t>19M</t>
        </is>
      </c>
      <c r="D236" s="2" t="inlineStr">
        <is>
          <t>a1</t>
        </is>
      </c>
      <c r="E236" s="2" t="inlineStr">
        <is>
          <t>2.0mm</t>
        </is>
      </c>
      <c r="F236" s="2" t="n">
        <v>2</v>
      </c>
      <c r="G236" s="2" t="n">
        <v>19</v>
      </c>
      <c r="H236" s="2" t="inlineStr">
        <is>
          <t>SC/APC</t>
        </is>
      </c>
      <c r="I236" s="2" t="inlineStr">
        <is>
          <t>SC/APC</t>
        </is>
      </c>
      <c r="J236" s="2" t="n"/>
      <c r="K236" s="2" t="n"/>
      <c r="L236" s="2" t="n"/>
      <c r="M236" s="2" t="n">
        <v>1</v>
      </c>
      <c r="N236" s="2" t="n"/>
      <c r="O236" s="2" t="n"/>
      <c r="P236" s="2" t="n">
        <v>1</v>
      </c>
      <c r="Q236" s="2" t="n"/>
      <c r="R236" s="2" t="n"/>
      <c r="S236" s="2" t="n"/>
      <c r="T236" s="2" t="n"/>
      <c r="U236" s="2" t="n"/>
      <c r="V236" s="2">
        <f>SUM(J236:U236)</f>
        <v/>
      </c>
      <c r="W236" s="2" t="n"/>
      <c r="X236" s="2" t="n"/>
      <c r="Y236" s="2" t="n"/>
      <c r="Z236" s="2" t="n"/>
      <c r="AA236" s="2" t="n"/>
      <c r="AB236" s="2" t="n"/>
      <c r="AC236" s="2" t="n">
        <v>4</v>
      </c>
      <c r="AD236" s="2" t="n">
        <v>4</v>
      </c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>
        <f>IF(F236=1,V236*2,IF(F236=2,V236*F236*2,IF(F236&gt;2,F236*2*V236)))</f>
        <v/>
      </c>
      <c r="AW236" s="2">
        <f>SUM(W236:AU236)</f>
        <v/>
      </c>
    </row>
    <row r="237">
      <c r="A237" s="2" t="inlineStr">
        <is>
          <t>14-D-984</t>
        </is>
      </c>
      <c r="B237" s="3" t="inlineStr">
        <is>
          <t>DOJC-SM-SC/APC-SC/APC</t>
        </is>
      </c>
      <c r="C237" s="2" t="inlineStr">
        <is>
          <t>24M</t>
        </is>
      </c>
      <c r="D237" s="2" t="inlineStr">
        <is>
          <t>a1</t>
        </is>
      </c>
      <c r="E237" s="2" t="inlineStr">
        <is>
          <t>2.0mm</t>
        </is>
      </c>
      <c r="F237" s="2" t="n">
        <v>2</v>
      </c>
      <c r="G237" s="2" t="n">
        <v>24</v>
      </c>
      <c r="H237" s="2" t="inlineStr">
        <is>
          <t>SC/APC</t>
        </is>
      </c>
      <c r="I237" s="2" t="inlineStr">
        <is>
          <t>SC/APC</t>
        </is>
      </c>
      <c r="J237" s="2" t="n"/>
      <c r="K237" s="2" t="n"/>
      <c r="L237" s="2" t="n"/>
      <c r="M237" s="2" t="n">
        <v>2</v>
      </c>
      <c r="N237" s="2" t="n"/>
      <c r="O237" s="2" t="n"/>
      <c r="P237" s="2" t="n">
        <v>2</v>
      </c>
      <c r="Q237" s="2" t="n"/>
      <c r="R237" s="2" t="n"/>
      <c r="S237" s="2" t="n"/>
      <c r="T237" s="2" t="n"/>
      <c r="U237" s="2" t="n"/>
      <c r="V237" s="2">
        <f>SUM(J237:U237)</f>
        <v/>
      </c>
      <c r="W237" s="2" t="n"/>
      <c r="X237" s="2" t="n"/>
      <c r="Y237" s="2" t="n"/>
      <c r="Z237" s="2" t="n"/>
      <c r="AA237" s="2" t="n"/>
      <c r="AB237" s="2" t="n"/>
      <c r="AC237" s="2" t="n">
        <v>8</v>
      </c>
      <c r="AD237" s="2" t="n">
        <v>8</v>
      </c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>
        <f>IF(F237=1,V237*2,IF(F237=2,V237*F237*2,IF(F237&gt;2,F237*2*V237)))</f>
        <v/>
      </c>
      <c r="AW237" s="2">
        <f>SUM(W237:AU237)</f>
        <v/>
      </c>
    </row>
    <row r="238">
      <c r="A238" s="2" t="inlineStr">
        <is>
          <t>14-D-A08</t>
        </is>
      </c>
      <c r="B238" s="3" t="inlineStr">
        <is>
          <t>DOJC-SM-LC/PC-LC/PC</t>
        </is>
      </c>
      <c r="C238" s="2" t="inlineStr">
        <is>
          <t>40M_적색케이블</t>
        </is>
      </c>
      <c r="D238" s="2" t="inlineStr">
        <is>
          <t>a1-적</t>
        </is>
      </c>
      <c r="E238" s="2" t="inlineStr">
        <is>
          <t>2.0mm</t>
        </is>
      </c>
      <c r="F238" s="2" t="n">
        <v>2</v>
      </c>
      <c r="G238" s="2" t="n">
        <v>40</v>
      </c>
      <c r="H238" s="2" t="inlineStr">
        <is>
          <t>LC/PC</t>
        </is>
      </c>
      <c r="I238" s="2" t="inlineStr">
        <is>
          <t>LC/PC</t>
        </is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>
        <v>4</v>
      </c>
      <c r="U238" s="2" t="n"/>
      <c r="V238" s="2">
        <f>SUM(J238:U238)</f>
        <v/>
      </c>
      <c r="W238" s="2" t="n">
        <v>8</v>
      </c>
      <c r="X238" s="2" t="n">
        <v>8</v>
      </c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>
        <f>IF(F238=1,V238*2,IF(F238=2,V238*F238*2,IF(F238&gt;2,F238*2*V238)))</f>
        <v/>
      </c>
      <c r="AW238" s="2">
        <f>SUM(W238:AU238)</f>
        <v/>
      </c>
    </row>
    <row r="239">
      <c r="A239" s="2" t="inlineStr">
        <is>
          <t>14-D-A10</t>
        </is>
      </c>
      <c r="B239" s="3" t="inlineStr">
        <is>
          <t>DOJC-SM-LC/PC-LC/PC</t>
        </is>
      </c>
      <c r="C239" s="2" t="inlineStr">
        <is>
          <t>10M_청색케이블</t>
        </is>
      </c>
      <c r="D239" s="2" t="inlineStr">
        <is>
          <t>a1-청</t>
        </is>
      </c>
      <c r="E239" s="2" t="inlineStr">
        <is>
          <t>2.0mm</t>
        </is>
      </c>
      <c r="F239" s="2" t="n">
        <v>2</v>
      </c>
      <c r="G239" s="2" t="n">
        <v>10</v>
      </c>
      <c r="H239" s="2" t="inlineStr">
        <is>
          <t>LC/PC</t>
        </is>
      </c>
      <c r="I239" s="2" t="inlineStr">
        <is>
          <t>LC/PC</t>
        </is>
      </c>
      <c r="J239" s="2" t="n"/>
      <c r="K239" s="2" t="n"/>
      <c r="L239" s="2" t="n">
        <v>170</v>
      </c>
      <c r="M239" s="2" t="n"/>
      <c r="N239" s="2" t="n">
        <v>20</v>
      </c>
      <c r="O239" s="2" t="n"/>
      <c r="P239" s="2" t="n"/>
      <c r="Q239" s="2" t="n"/>
      <c r="R239" s="2" t="n"/>
      <c r="S239" s="2" t="n"/>
      <c r="T239" s="2" t="n"/>
      <c r="U239" s="2" t="n"/>
      <c r="V239" s="2">
        <f>SUM(J239:U239)</f>
        <v/>
      </c>
      <c r="W239" s="2" t="n">
        <v>380</v>
      </c>
      <c r="X239" s="2" t="n">
        <v>380</v>
      </c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>
        <f>IF(F239=1,V239*2,IF(F239=2,V239*F239*2,IF(F239&gt;2,F239*2*V239)))</f>
        <v/>
      </c>
      <c r="AW239" s="2">
        <f>SUM(W239:AU239)</f>
        <v/>
      </c>
    </row>
    <row r="240">
      <c r="A240" s="2" t="inlineStr">
        <is>
          <t>14-D-A100</t>
        </is>
      </c>
      <c r="B240" s="3" t="inlineStr">
        <is>
          <t>OJC-A1-SC/LC-SM-20-PC/PC-DP</t>
        </is>
      </c>
      <c r="C240" s="2" t="inlineStr">
        <is>
          <t>K9089164_녹색</t>
        </is>
      </c>
      <c r="D240" s="2" t="inlineStr">
        <is>
          <t>a1-녹</t>
        </is>
      </c>
      <c r="E240" s="2" t="inlineStr">
        <is>
          <t>2.0mm</t>
        </is>
      </c>
      <c r="F240" s="2" t="n">
        <v>2</v>
      </c>
      <c r="G240" s="2" t="n">
        <v>20</v>
      </c>
      <c r="H240" s="2" t="inlineStr">
        <is>
          <t>SC/PC</t>
        </is>
      </c>
      <c r="I240" s="2" t="inlineStr">
        <is>
          <t>LC/PC</t>
        </is>
      </c>
      <c r="J240" s="2" t="n"/>
      <c r="K240" s="2" t="n"/>
      <c r="L240" s="2" t="n"/>
      <c r="M240" s="2" t="n"/>
      <c r="N240" s="2" t="n"/>
      <c r="O240" s="2" t="n">
        <v>316</v>
      </c>
      <c r="P240" s="2" t="n"/>
      <c r="Q240" s="2" t="n">
        <v>1</v>
      </c>
      <c r="R240" s="2" t="n">
        <v>36</v>
      </c>
      <c r="S240" s="2" t="n"/>
      <c r="T240" s="2" t="n">
        <v>140</v>
      </c>
      <c r="U240" s="2" t="n">
        <v>615</v>
      </c>
      <c r="V240" s="2">
        <f>SUM(J240:U240)</f>
        <v/>
      </c>
      <c r="W240" s="2" t="n"/>
      <c r="X240" s="2" t="n">
        <v>2216</v>
      </c>
      <c r="Y240" s="2" t="n"/>
      <c r="Z240" s="2" t="n"/>
      <c r="AA240" s="2" t="n">
        <v>2216</v>
      </c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>
        <f>IF(F240=1,V240*2,IF(F240=2,V240*F240*2,IF(F240&gt;2,F240*2*V240)))</f>
        <v/>
      </c>
      <c r="AW240" s="2">
        <f>SUM(W240:AU240)</f>
        <v/>
      </c>
    </row>
    <row r="241">
      <c r="A241" s="2" t="inlineStr">
        <is>
          <t>14-D-A102</t>
        </is>
      </c>
      <c r="B241" s="3" t="inlineStr">
        <is>
          <t>OJC-A1-LC/LC-SM-20-PC/PC-DP</t>
        </is>
      </c>
      <c r="C241" s="2" t="inlineStr">
        <is>
          <t>K9089178_녹색</t>
        </is>
      </c>
      <c r="D241" s="2" t="inlineStr">
        <is>
          <t>a1-녹</t>
        </is>
      </c>
      <c r="E241" s="2" t="inlineStr">
        <is>
          <t>2.0mm</t>
        </is>
      </c>
      <c r="F241" s="2" t="n">
        <v>2</v>
      </c>
      <c r="G241" s="2" t="n">
        <v>20</v>
      </c>
      <c r="H241" s="2" t="inlineStr">
        <is>
          <t>LC/PC</t>
        </is>
      </c>
      <c r="I241" s="2" t="inlineStr">
        <is>
          <t>LC/PC</t>
        </is>
      </c>
      <c r="J241" s="2" t="n"/>
      <c r="K241" s="2" t="n"/>
      <c r="L241" s="2" t="n"/>
      <c r="M241" s="2" t="n"/>
      <c r="N241" s="2" t="n"/>
      <c r="O241" s="2" t="n">
        <v>179</v>
      </c>
      <c r="P241" s="2" t="n"/>
      <c r="Q241" s="2" t="n"/>
      <c r="R241" s="2" t="n">
        <v>2</v>
      </c>
      <c r="S241" s="2" t="n"/>
      <c r="T241" s="2" t="n">
        <v>10</v>
      </c>
      <c r="U241" s="2" t="n">
        <v>23</v>
      </c>
      <c r="V241" s="2">
        <f>SUM(J241:U241)</f>
        <v/>
      </c>
      <c r="W241" s="2" t="n">
        <v>428</v>
      </c>
      <c r="X241" s="2" t="n">
        <v>428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>
        <f>IF(F241=1,V241*2,IF(F241=2,V241*F241*2,IF(F241&gt;2,F241*2*V241)))</f>
        <v/>
      </c>
      <c r="AW241" s="2">
        <f>SUM(W241:AU241)</f>
        <v/>
      </c>
    </row>
    <row r="242">
      <c r="A242" s="2" t="inlineStr">
        <is>
          <t>14-D-A104</t>
        </is>
      </c>
      <c r="B242" s="3" t="inlineStr">
        <is>
          <t>OJC-A1-SC/LC-SM-25-PC/PC-DP</t>
        </is>
      </c>
      <c r="C242" s="2" t="inlineStr">
        <is>
          <t>K9089165_녹색</t>
        </is>
      </c>
      <c r="D242" s="2" t="inlineStr">
        <is>
          <t>a1-녹</t>
        </is>
      </c>
      <c r="E242" s="2" t="inlineStr">
        <is>
          <t>2.0mm</t>
        </is>
      </c>
      <c r="F242" s="2" t="n">
        <v>2</v>
      </c>
      <c r="G242" s="2" t="n">
        <v>25</v>
      </c>
      <c r="H242" s="2" t="inlineStr">
        <is>
          <t>SC/PC</t>
        </is>
      </c>
      <c r="I242" s="2" t="inlineStr">
        <is>
          <t>LC/PC</t>
        </is>
      </c>
      <c r="J242" s="2" t="n"/>
      <c r="K242" s="2" t="n"/>
      <c r="L242" s="2" t="n"/>
      <c r="M242" s="2" t="n"/>
      <c r="N242" s="2" t="n"/>
      <c r="O242" s="2" t="n">
        <v>21</v>
      </c>
      <c r="P242" s="2" t="n"/>
      <c r="Q242" s="2" t="n"/>
      <c r="R242" s="2" t="n">
        <v>2</v>
      </c>
      <c r="S242" s="2" t="n"/>
      <c r="T242" s="2" t="n"/>
      <c r="U242" s="2" t="n">
        <v>14</v>
      </c>
      <c r="V242" s="2">
        <f>SUM(J242:U242)</f>
        <v/>
      </c>
      <c r="W242" s="2" t="n"/>
      <c r="X242" s="2" t="n">
        <v>74</v>
      </c>
      <c r="Y242" s="2" t="n"/>
      <c r="Z242" s="2" t="n"/>
      <c r="AA242" s="2" t="n">
        <v>74</v>
      </c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>
        <f>IF(F242=1,V242*2,IF(F242=2,V242*F242*2,IF(F242&gt;2,F242*2*V242)))</f>
        <v/>
      </c>
      <c r="AW242" s="2">
        <f>SUM(W242:AU242)</f>
        <v/>
      </c>
    </row>
    <row r="243">
      <c r="A243" s="2" t="inlineStr">
        <is>
          <t>14-D-A108</t>
        </is>
      </c>
      <c r="B243" s="3" t="inlineStr">
        <is>
          <t>DOJC-SM-LC/PC-LC/PC</t>
        </is>
      </c>
      <c r="C243" s="2" t="inlineStr">
        <is>
          <t>6M_청색케이블</t>
        </is>
      </c>
      <c r="D243" s="2" t="inlineStr">
        <is>
          <t>a1-청</t>
        </is>
      </c>
      <c r="E243" s="2" t="inlineStr">
        <is>
          <t>2.0mm</t>
        </is>
      </c>
      <c r="F243" s="2" t="n">
        <v>2</v>
      </c>
      <c r="G243" s="2" t="n">
        <v>6</v>
      </c>
      <c r="H243" s="2" t="inlineStr">
        <is>
          <t>LC/PC</t>
        </is>
      </c>
      <c r="I243" s="2" t="inlineStr">
        <is>
          <t>LC/PC</t>
        </is>
      </c>
      <c r="J243" s="2" t="n">
        <v>200</v>
      </c>
      <c r="K243" s="2" t="n"/>
      <c r="L243" s="2" t="n">
        <v>500</v>
      </c>
      <c r="M243" s="2" t="n">
        <v>200</v>
      </c>
      <c r="N243" s="2" t="n"/>
      <c r="O243" s="2" t="n"/>
      <c r="P243" s="2" t="n">
        <v>300</v>
      </c>
      <c r="Q243" s="2" t="n"/>
      <c r="R243" s="2" t="n"/>
      <c r="S243" s="2" t="n"/>
      <c r="T243" s="2" t="n"/>
      <c r="U243" s="2" t="n"/>
      <c r="V243" s="2">
        <f>SUM(J243:U243)</f>
        <v/>
      </c>
      <c r="W243" s="2" t="n">
        <v>2400</v>
      </c>
      <c r="X243" s="2" t="n">
        <v>2400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>
        <f>IF(F243=1,V243*2,IF(F243=2,V243*F243*2,IF(F243&gt;2,F243*2*V243)))</f>
        <v/>
      </c>
      <c r="AW243" s="2">
        <f>SUM(W243:AU243)</f>
        <v/>
      </c>
    </row>
    <row r="244">
      <c r="A244" s="2" t="inlineStr">
        <is>
          <t>14-D-A109</t>
        </is>
      </c>
      <c r="B244" s="3" t="inlineStr">
        <is>
          <t>DOJC-SM-LC/APC-LC/APC</t>
        </is>
      </c>
      <c r="C244" s="2" t="inlineStr">
        <is>
          <t>5M</t>
        </is>
      </c>
      <c r="D244" s="2" t="inlineStr">
        <is>
          <t>a1</t>
        </is>
      </c>
      <c r="E244" s="2" t="inlineStr">
        <is>
          <t>2.0mm</t>
        </is>
      </c>
      <c r="F244" s="2" t="n">
        <v>2</v>
      </c>
      <c r="G244" s="2" t="n">
        <v>5</v>
      </c>
      <c r="H244" s="2" t="inlineStr">
        <is>
          <t>LC/APC</t>
        </is>
      </c>
      <c r="I244" s="2" t="inlineStr">
        <is>
          <t>LC/APC</t>
        </is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>
        <v>10</v>
      </c>
      <c r="S244" s="2" t="n"/>
      <c r="T244" s="2" t="n"/>
      <c r="U244" s="2" t="n"/>
      <c r="V244" s="2">
        <f>SUM(J244:U244)</f>
        <v/>
      </c>
      <c r="W244" s="2" t="n"/>
      <c r="X244" s="2" t="n"/>
      <c r="Y244" s="2" t="n">
        <v>20</v>
      </c>
      <c r="Z244" s="2" t="n">
        <v>20</v>
      </c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>
        <f>IF(F244=1,V244*2,IF(F244=2,V244*F244*2,IF(F244&gt;2,F244*2*V244)))</f>
        <v/>
      </c>
      <c r="AW244" s="2">
        <f>SUM(W244:AU244)</f>
        <v/>
      </c>
    </row>
    <row r="245">
      <c r="A245" s="2" t="inlineStr">
        <is>
          <t>14-D-A118</t>
        </is>
      </c>
      <c r="B245" s="3" t="inlineStr">
        <is>
          <t>DOJC-MM(OM3)-LC/PC-LC/PC</t>
        </is>
      </c>
      <c r="C245" s="2" t="inlineStr">
        <is>
          <t>60M</t>
        </is>
      </c>
      <c r="D245" s="2" t="inlineStr">
        <is>
          <t>om3</t>
        </is>
      </c>
      <c r="E245" s="2" t="inlineStr">
        <is>
          <t>2.0mm</t>
        </is>
      </c>
      <c r="F245" s="2" t="n">
        <v>2</v>
      </c>
      <c r="G245" s="2" t="n">
        <v>60</v>
      </c>
      <c r="H245" s="2" t="inlineStr">
        <is>
          <t>LC/PC</t>
        </is>
      </c>
      <c r="I245" s="2" t="inlineStr">
        <is>
          <t>LC/PC</t>
        </is>
      </c>
      <c r="J245" s="2" t="n"/>
      <c r="K245" s="2" t="n"/>
      <c r="L245" s="2" t="n"/>
      <c r="M245" s="2" t="n"/>
      <c r="N245" s="2" t="n"/>
      <c r="O245" s="2" t="n"/>
      <c r="P245" s="2" t="n"/>
      <c r="Q245" s="2" t="n">
        <v>6</v>
      </c>
      <c r="R245" s="2" t="n"/>
      <c r="S245" s="2" t="n">
        <v>20</v>
      </c>
      <c r="T245" s="2" t="n"/>
      <c r="U245" s="2" t="n"/>
      <c r="V245" s="2">
        <f>SUM(J245:U245)</f>
        <v/>
      </c>
      <c r="W245" s="2" t="n"/>
      <c r="X245" s="2" t="n">
        <v>52</v>
      </c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>
        <v>52</v>
      </c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>
        <f>IF(F245=1,V245*2,IF(F245=2,V245*F245*2,IF(F245&gt;2,F245*2*V245)))</f>
        <v/>
      </c>
      <c r="AW245" s="2">
        <f>SUM(W245:AU245)</f>
        <v/>
      </c>
    </row>
    <row r="246">
      <c r="A246" s="2" t="inlineStr">
        <is>
          <t>14-D-A12</t>
        </is>
      </c>
      <c r="B246" s="3" t="inlineStr">
        <is>
          <t>DOJC-SM-LC/PC-LC/PC</t>
        </is>
      </c>
      <c r="C246" s="2" t="inlineStr">
        <is>
          <t>40M_청색케이블</t>
        </is>
      </c>
      <c r="D246" s="2" t="inlineStr">
        <is>
          <t>a1-청</t>
        </is>
      </c>
      <c r="E246" s="2" t="inlineStr">
        <is>
          <t>2.0mm</t>
        </is>
      </c>
      <c r="F246" s="2" t="n">
        <v>2</v>
      </c>
      <c r="G246" s="2" t="n">
        <v>40</v>
      </c>
      <c r="H246" s="2" t="inlineStr">
        <is>
          <t>LC/PC</t>
        </is>
      </c>
      <c r="I246" s="2" t="inlineStr">
        <is>
          <t>LC/PC</t>
        </is>
      </c>
      <c r="J246" s="2" t="n"/>
      <c r="K246" s="2" t="n"/>
      <c r="L246" s="2" t="n">
        <v>20</v>
      </c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>
        <f>SUM(J246:U246)</f>
        <v/>
      </c>
      <c r="W246" s="2" t="n">
        <v>40</v>
      </c>
      <c r="X246" s="2" t="n">
        <v>40</v>
      </c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>
        <f>IF(F246=1,V246*2,IF(F246=2,V246*F246*2,IF(F246&gt;2,F246*2*V246)))</f>
        <v/>
      </c>
      <c r="AW246" s="2">
        <f>SUM(W246:AU246)</f>
        <v/>
      </c>
    </row>
    <row r="247">
      <c r="A247" s="2" t="inlineStr">
        <is>
          <t>14-D-A124</t>
        </is>
      </c>
      <c r="B247" s="3" t="inlineStr">
        <is>
          <t>DOJC-SM-LC/APC-FC/APC</t>
        </is>
      </c>
      <c r="C247" s="2" t="inlineStr">
        <is>
          <t>15M</t>
        </is>
      </c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15</v>
      </c>
      <c r="H247" s="2" t="inlineStr">
        <is>
          <t>LC/APC</t>
        </is>
      </c>
      <c r="I247" s="2" t="inlineStr">
        <is>
          <t>FC/APC</t>
        </is>
      </c>
      <c r="J247" s="2" t="n"/>
      <c r="K247" s="2" t="n"/>
      <c r="L247" s="2" t="n"/>
      <c r="M247" s="2" t="n"/>
      <c r="N247" s="2" t="n">
        <v>10</v>
      </c>
      <c r="O247" s="2" t="n"/>
      <c r="P247" s="2" t="n"/>
      <c r="Q247" s="2" t="n"/>
      <c r="R247" s="2" t="n"/>
      <c r="S247" s="2" t="n"/>
      <c r="T247" s="2" t="n"/>
      <c r="U247" s="2" t="n"/>
      <c r="V247" s="2">
        <f>SUM(J247:U247)</f>
        <v/>
      </c>
      <c r="W247" s="2" t="n"/>
      <c r="X247" s="2" t="n"/>
      <c r="Y247" s="2" t="n">
        <v>20</v>
      </c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>
        <v>20</v>
      </c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>
        <f>IF(F247=1,V247*2,IF(F247=2,V247*F247*2,IF(F247&gt;2,F247*2*V247)))</f>
        <v/>
      </c>
      <c r="AW247" s="2">
        <f>SUM(W247:AU247)</f>
        <v/>
      </c>
    </row>
    <row r="248">
      <c r="A248" s="2" t="inlineStr">
        <is>
          <t>14-D-A126</t>
        </is>
      </c>
      <c r="B248" s="3" t="inlineStr">
        <is>
          <t>OJC-A1-SC/LC-SM-10-PC/PC-DP</t>
        </is>
      </c>
      <c r="C248" s="2" t="inlineStr">
        <is>
          <t>K9089162_녹색</t>
        </is>
      </c>
      <c r="D248" s="2" t="inlineStr">
        <is>
          <t>a1-녹</t>
        </is>
      </c>
      <c r="E248" s="2" t="inlineStr">
        <is>
          <t>2.0mm</t>
        </is>
      </c>
      <c r="F248" s="2" t="n">
        <v>2</v>
      </c>
      <c r="G248" s="2" t="n">
        <v>10</v>
      </c>
      <c r="H248" s="2" t="inlineStr">
        <is>
          <t>SC/PC</t>
        </is>
      </c>
      <c r="I248" s="2" t="inlineStr">
        <is>
          <t>LC/PC</t>
        </is>
      </c>
      <c r="J248" s="2" t="n"/>
      <c r="K248" s="2" t="n"/>
      <c r="L248" s="2" t="n"/>
      <c r="M248" s="2" t="n"/>
      <c r="N248" s="2" t="n"/>
      <c r="O248" s="2" t="n">
        <v>48</v>
      </c>
      <c r="P248" s="2" t="n"/>
      <c r="Q248" s="2" t="n">
        <v>7</v>
      </c>
      <c r="R248" s="2" t="n">
        <v>4</v>
      </c>
      <c r="S248" s="2" t="n">
        <v>5</v>
      </c>
      <c r="T248" s="2" t="n"/>
      <c r="U248" s="2" t="n">
        <v>38</v>
      </c>
      <c r="V248" s="2">
        <f>SUM(J248:U248)</f>
        <v/>
      </c>
      <c r="W248" s="2" t="n"/>
      <c r="X248" s="2" t="n">
        <v>204</v>
      </c>
      <c r="Y248" s="2" t="n"/>
      <c r="Z248" s="2" t="n"/>
      <c r="AA248" s="2" t="n">
        <v>204</v>
      </c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>
        <f>IF(F248=1,V248*2,IF(F248=2,V248*F248*2,IF(F248&gt;2,F248*2*V248)))</f>
        <v/>
      </c>
      <c r="AW248" s="2">
        <f>SUM(W248:AU248)</f>
        <v/>
      </c>
    </row>
    <row r="249">
      <c r="A249" s="2" t="inlineStr">
        <is>
          <t>14-D-A127</t>
        </is>
      </c>
      <c r="B249" s="3" t="inlineStr">
        <is>
          <t>OJC-A1-SC/LC-SM-15-PC/PC-DP</t>
        </is>
      </c>
      <c r="C249" s="2" t="inlineStr">
        <is>
          <t>K9089163_녹색</t>
        </is>
      </c>
      <c r="D249" s="2" t="inlineStr">
        <is>
          <t>a1-녹</t>
        </is>
      </c>
      <c r="E249" s="2" t="inlineStr">
        <is>
          <t>2.0mm</t>
        </is>
      </c>
      <c r="F249" s="2" t="n">
        <v>2</v>
      </c>
      <c r="G249" s="2" t="n">
        <v>15</v>
      </c>
      <c r="H249" s="2" t="inlineStr">
        <is>
          <t>SC/PC</t>
        </is>
      </c>
      <c r="I249" s="2" t="inlineStr">
        <is>
          <t>LC/PC</t>
        </is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>
        <v>43</v>
      </c>
      <c r="S249" s="2" t="n"/>
      <c r="T249" s="2" t="n"/>
      <c r="U249" s="2" t="n"/>
      <c r="V249" s="2">
        <f>SUM(J249:U249)</f>
        <v/>
      </c>
      <c r="W249" s="2" t="n"/>
      <c r="X249" s="2" t="n">
        <v>86</v>
      </c>
      <c r="Y249" s="2" t="n"/>
      <c r="Z249" s="2" t="n"/>
      <c r="AA249" s="2" t="n">
        <v>86</v>
      </c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>
        <f>IF(F249=1,V249*2,IF(F249=2,V249*F249*2,IF(F249&gt;2,F249*2*V249)))</f>
        <v/>
      </c>
      <c r="AW249" s="2">
        <f>SUM(W249:AU249)</f>
        <v/>
      </c>
    </row>
    <row r="250">
      <c r="A250" s="2" t="inlineStr">
        <is>
          <t>14-D-A185</t>
        </is>
      </c>
      <c r="B250" s="3" t="inlineStr">
        <is>
          <t>DOJC-MM(OM3)-LC/PC-LC/PC</t>
        </is>
      </c>
      <c r="C250" s="2" t="inlineStr">
        <is>
          <t>13M</t>
        </is>
      </c>
      <c r="D250" s="2" t="inlineStr">
        <is>
          <t>om3</t>
        </is>
      </c>
      <c r="E250" s="2" t="inlineStr">
        <is>
          <t>2.0mm</t>
        </is>
      </c>
      <c r="F250" s="2" t="n">
        <v>2</v>
      </c>
      <c r="G250" s="2" t="n">
        <v>13</v>
      </c>
      <c r="H250" s="2" t="inlineStr">
        <is>
          <t>LC/PC</t>
        </is>
      </c>
      <c r="I250" s="2" t="inlineStr">
        <is>
          <t>LC/PC</t>
        </is>
      </c>
      <c r="J250" s="2" t="n"/>
      <c r="K250" s="2" t="n">
        <v>2</v>
      </c>
      <c r="L250" s="2" t="n">
        <v>4</v>
      </c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>
        <v>2</v>
      </c>
      <c r="V250" s="2">
        <f>SUM(J250:U250)</f>
        <v/>
      </c>
      <c r="W250" s="2" t="n"/>
      <c r="X250" s="2" t="n">
        <v>16</v>
      </c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>
        <v>16</v>
      </c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>
        <f>IF(F250=1,V250*2,IF(F250=2,V250*F250*2,IF(F250&gt;2,F250*2*V250)))</f>
        <v/>
      </c>
      <c r="AW250" s="2">
        <f>SUM(W250:AU250)</f>
        <v/>
      </c>
    </row>
    <row r="251">
      <c r="A251" s="2" t="inlineStr">
        <is>
          <t>14-D-A196</t>
        </is>
      </c>
      <c r="B251" s="3" t="inlineStr">
        <is>
          <t>DOJC-SM-SC/PC-SC/PC</t>
        </is>
      </c>
      <c r="C251" s="2" t="inlineStr">
        <is>
          <t>10M_적색케이블</t>
        </is>
      </c>
      <c r="D251" s="2" t="inlineStr">
        <is>
          <t>a1-적</t>
        </is>
      </c>
      <c r="E251" s="2" t="inlineStr">
        <is>
          <t>2.0mm</t>
        </is>
      </c>
      <c r="F251" s="2" t="n">
        <v>2</v>
      </c>
      <c r="G251" s="2" t="n">
        <v>10</v>
      </c>
      <c r="H251" s="2" t="inlineStr">
        <is>
          <t>SC/PC</t>
        </is>
      </c>
      <c r="I251" s="2" t="inlineStr">
        <is>
          <t>SC/PC</t>
        </is>
      </c>
      <c r="J251" s="2" t="n"/>
      <c r="K251" s="2" t="n"/>
      <c r="L251" s="2" t="n"/>
      <c r="M251" s="2" t="n"/>
      <c r="N251" s="2" t="n"/>
      <c r="O251" s="2" t="n"/>
      <c r="P251" s="2" t="n">
        <v>20</v>
      </c>
      <c r="Q251" s="2" t="n"/>
      <c r="R251" s="2" t="n">
        <v>10</v>
      </c>
      <c r="S251" s="2" t="n"/>
      <c r="T251" s="2" t="n"/>
      <c r="U251" s="2" t="n"/>
      <c r="V251" s="2">
        <f>SUM(J251:U251)</f>
        <v/>
      </c>
      <c r="W251" s="2" t="n"/>
      <c r="X251" s="2" t="n"/>
      <c r="Y251" s="2" t="n"/>
      <c r="Z251" s="2" t="n"/>
      <c r="AA251" s="2" t="n">
        <v>60</v>
      </c>
      <c r="AB251" s="2" t="n">
        <v>60</v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>
        <f>IF(F251=1,V251*2,IF(F251=2,V251*F251*2,IF(F251&gt;2,F251*2*V251)))</f>
        <v/>
      </c>
      <c r="AW251" s="2">
        <f>SUM(W251:AU251)</f>
        <v/>
      </c>
    </row>
    <row r="252">
      <c r="A252" s="2" t="inlineStr">
        <is>
          <t>14-D-A197</t>
        </is>
      </c>
      <c r="B252" s="3" t="inlineStr">
        <is>
          <t>DOJC-SM-SC/PC-SC/PC</t>
        </is>
      </c>
      <c r="C252" s="2" t="inlineStr">
        <is>
          <t>7M_적색케이블</t>
        </is>
      </c>
      <c r="D252" s="2" t="inlineStr">
        <is>
          <t>a1-적</t>
        </is>
      </c>
      <c r="E252" s="2" t="inlineStr">
        <is>
          <t>2.0mm</t>
        </is>
      </c>
      <c r="F252" s="2" t="n">
        <v>2</v>
      </c>
      <c r="G252" s="2" t="n">
        <v>7</v>
      </c>
      <c r="H252" s="2" t="inlineStr">
        <is>
          <t>SC/PC</t>
        </is>
      </c>
      <c r="I252" s="2" t="inlineStr">
        <is>
          <t>SC/PC</t>
        </is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>
        <v>20</v>
      </c>
      <c r="S252" s="2" t="n"/>
      <c r="T252" s="2" t="n"/>
      <c r="U252" s="2" t="n"/>
      <c r="V252" s="2">
        <f>SUM(J252:U252)</f>
        <v/>
      </c>
      <c r="W252" s="2" t="n"/>
      <c r="X252" s="2" t="n"/>
      <c r="Y252" s="2" t="n"/>
      <c r="Z252" s="2" t="n"/>
      <c r="AA252" s="2" t="n">
        <v>40</v>
      </c>
      <c r="AB252" s="2" t="n">
        <v>40</v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>
        <f>IF(F252=1,V252*2,IF(F252=2,V252*F252*2,IF(F252&gt;2,F252*2*V252)))</f>
        <v/>
      </c>
      <c r="AW252" s="2">
        <f>SUM(W252:AU252)</f>
        <v/>
      </c>
    </row>
    <row r="253">
      <c r="A253" s="2" t="inlineStr">
        <is>
          <t>14-D-A198</t>
        </is>
      </c>
      <c r="B253" s="3" t="inlineStr">
        <is>
          <t>DOJC-SM-LC/PC-LC/PC</t>
        </is>
      </c>
      <c r="C253" s="2" t="inlineStr">
        <is>
          <t>1.5M_청색케이블</t>
        </is>
      </c>
      <c r="D253" s="2" t="inlineStr">
        <is>
          <t>a1-청</t>
        </is>
      </c>
      <c r="E253" s="2" t="inlineStr">
        <is>
          <t>2.0mm</t>
        </is>
      </c>
      <c r="F253" s="2" t="n">
        <v>2</v>
      </c>
      <c r="G253" s="2" t="n">
        <v>1.5</v>
      </c>
      <c r="H253" s="2" t="inlineStr">
        <is>
          <t>LC/PC</t>
        </is>
      </c>
      <c r="I253" s="2" t="inlineStr">
        <is>
          <t>LC/PC</t>
        </is>
      </c>
      <c r="J253" s="2" t="n"/>
      <c r="K253" s="2" t="n"/>
      <c r="L253" s="2" t="n"/>
      <c r="M253" s="2" t="n"/>
      <c r="N253" s="2" t="n">
        <v>40</v>
      </c>
      <c r="O253" s="2" t="n"/>
      <c r="P253" s="2" t="n">
        <v>120</v>
      </c>
      <c r="Q253" s="2" t="n"/>
      <c r="R253" s="2" t="n"/>
      <c r="S253" s="2" t="n"/>
      <c r="T253" s="2" t="n"/>
      <c r="U253" s="2" t="n"/>
      <c r="V253" s="2">
        <f>SUM(J253:U253)</f>
        <v/>
      </c>
      <c r="W253" s="2" t="n">
        <v>320</v>
      </c>
      <c r="X253" s="2" t="n">
        <v>320</v>
      </c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>
        <f>IF(F253=1,V253*2,IF(F253=2,V253*F253*2,IF(F253&gt;2,F253*2*V253)))</f>
        <v/>
      </c>
      <c r="AW253" s="2">
        <f>SUM(W253:AU253)</f>
        <v/>
      </c>
    </row>
    <row r="254">
      <c r="A254" s="2" t="inlineStr">
        <is>
          <t>14-D-A199</t>
        </is>
      </c>
      <c r="B254" s="3" t="inlineStr">
        <is>
          <t>DOJC-SM-LC/PC-LC/PC</t>
        </is>
      </c>
      <c r="C254" s="2" t="inlineStr">
        <is>
          <t>3M_청색케이블</t>
        </is>
      </c>
      <c r="D254" s="2" t="inlineStr">
        <is>
          <t>a1-청</t>
        </is>
      </c>
      <c r="E254" s="2" t="inlineStr">
        <is>
          <t>2.0mm</t>
        </is>
      </c>
      <c r="F254" s="2" t="n">
        <v>2</v>
      </c>
      <c r="G254" s="2" t="n">
        <v>3</v>
      </c>
      <c r="H254" s="2" t="inlineStr">
        <is>
          <t>LC/PC</t>
        </is>
      </c>
      <c r="I254" s="2" t="inlineStr">
        <is>
          <t>LC/PC</t>
        </is>
      </c>
      <c r="J254" s="2" t="n"/>
      <c r="K254" s="2" t="n"/>
      <c r="L254" s="2" t="n"/>
      <c r="M254" s="2" t="n"/>
      <c r="N254" s="2" t="n"/>
      <c r="O254" s="2" t="n"/>
      <c r="P254" s="2" t="n">
        <v>120</v>
      </c>
      <c r="Q254" s="2" t="n"/>
      <c r="R254" s="2" t="n"/>
      <c r="S254" s="2" t="n"/>
      <c r="T254" s="2" t="n"/>
      <c r="U254" s="2" t="n"/>
      <c r="V254" s="2">
        <f>SUM(J254:U254)</f>
        <v/>
      </c>
      <c r="W254" s="2" t="n">
        <v>240</v>
      </c>
      <c r="X254" s="2" t="n">
        <v>240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>
        <f>IF(F254=1,V254*2,IF(F254=2,V254*F254*2,IF(F254&gt;2,F254*2*V254)))</f>
        <v/>
      </c>
      <c r="AW254" s="2">
        <f>SUM(W254:AU254)</f>
        <v/>
      </c>
    </row>
    <row r="255">
      <c r="A255" s="2" t="inlineStr">
        <is>
          <t>14-D-A215</t>
        </is>
      </c>
      <c r="B255" s="3" t="inlineStr">
        <is>
          <t>DOJC-SM-LC/PC-LC/PC</t>
        </is>
      </c>
      <c r="C255" s="2" t="inlineStr">
        <is>
          <t>45M_적색케이블</t>
        </is>
      </c>
      <c r="D255" s="2" t="inlineStr">
        <is>
          <t>a1-적</t>
        </is>
      </c>
      <c r="E255" s="2" t="inlineStr">
        <is>
          <t>2.0mm</t>
        </is>
      </c>
      <c r="F255" s="2" t="n">
        <v>2</v>
      </c>
      <c r="G255" s="2" t="n">
        <v>45</v>
      </c>
      <c r="H255" s="2" t="inlineStr">
        <is>
          <t>LC/PC</t>
        </is>
      </c>
      <c r="I255" s="2" t="inlineStr">
        <is>
          <t>LC/PC</t>
        </is>
      </c>
      <c r="J255" s="2" t="n"/>
      <c r="K255" s="2" t="n"/>
      <c r="L255" s="2" t="n">
        <v>10</v>
      </c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>
        <f>SUM(J255:U255)</f>
        <v/>
      </c>
      <c r="W255" s="2" t="n">
        <v>20</v>
      </c>
      <c r="X255" s="2" t="n">
        <v>20</v>
      </c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>
        <f>IF(F255=1,V255*2,IF(F255=2,V255*F255*2,IF(F255&gt;2,F255*2*V255)))</f>
        <v/>
      </c>
      <c r="AW255" s="2">
        <f>SUM(W255:AU255)</f>
        <v/>
      </c>
    </row>
    <row r="256">
      <c r="A256" s="2" t="inlineStr">
        <is>
          <t>14-D-A216</t>
        </is>
      </c>
      <c r="B256" s="3" t="inlineStr">
        <is>
          <t>DOJC-SM-LC/PC-LC/PC</t>
        </is>
      </c>
      <c r="C256" s="2" t="inlineStr">
        <is>
          <t>50M_적색케이블</t>
        </is>
      </c>
      <c r="D256" s="2" t="inlineStr">
        <is>
          <t>a1-적</t>
        </is>
      </c>
      <c r="E256" s="2" t="inlineStr">
        <is>
          <t>2.0mm</t>
        </is>
      </c>
      <c r="F256" s="2" t="n">
        <v>2</v>
      </c>
      <c r="G256" s="2" t="n">
        <v>50</v>
      </c>
      <c r="H256" s="2" t="inlineStr">
        <is>
          <t>LC/PC</t>
        </is>
      </c>
      <c r="I256" s="2" t="inlineStr">
        <is>
          <t>LC/PC</t>
        </is>
      </c>
      <c r="J256" s="2" t="n">
        <v>30</v>
      </c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>
        <v>10</v>
      </c>
      <c r="U256" s="2" t="n"/>
      <c r="V256" s="2">
        <f>SUM(J256:U256)</f>
        <v/>
      </c>
      <c r="W256" s="2" t="n">
        <v>80</v>
      </c>
      <c r="X256" s="2" t="n">
        <v>80</v>
      </c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>
        <f>IF(F256=1,V256*2,IF(F256=2,V256*F256*2,IF(F256&gt;2,F256*2*V256)))</f>
        <v/>
      </c>
      <c r="AW256" s="2">
        <f>SUM(W256:AU256)</f>
        <v/>
      </c>
    </row>
    <row r="257">
      <c r="A257" s="2" t="inlineStr">
        <is>
          <t>14-D-A217</t>
        </is>
      </c>
      <c r="B257" s="3" t="inlineStr">
        <is>
          <t>DOJC-SM-LC/PC-LC/PC</t>
        </is>
      </c>
      <c r="C257" s="2" t="inlineStr">
        <is>
          <t>55M_적색케이블</t>
        </is>
      </c>
      <c r="D257" s="2" t="inlineStr">
        <is>
          <t>a1-적</t>
        </is>
      </c>
      <c r="E257" s="2" t="inlineStr">
        <is>
          <t>2.0mm</t>
        </is>
      </c>
      <c r="F257" s="2" t="n">
        <v>2</v>
      </c>
      <c r="G257" s="2" t="n">
        <v>55</v>
      </c>
      <c r="H257" s="2" t="inlineStr">
        <is>
          <t>LC/PC</t>
        </is>
      </c>
      <c r="I257" s="2" t="inlineStr">
        <is>
          <t>LC/PC</t>
        </is>
      </c>
      <c r="J257" s="2" t="n">
        <v>30</v>
      </c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>
        <f>SUM(J257:U257)</f>
        <v/>
      </c>
      <c r="W257" s="2" t="n">
        <v>60</v>
      </c>
      <c r="X257" s="2" t="n">
        <v>60</v>
      </c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>
        <f>IF(F257=1,V257*2,IF(F257=2,V257*F257*2,IF(F257&gt;2,F257*2*V257)))</f>
        <v/>
      </c>
      <c r="AW257" s="2">
        <f>SUM(W257:AU257)</f>
        <v/>
      </c>
    </row>
    <row r="258">
      <c r="A258" s="2" t="inlineStr">
        <is>
          <t>14-D-A228</t>
        </is>
      </c>
      <c r="B258" s="3" t="inlineStr">
        <is>
          <t>DOJC-SM-LC/APC-FC/APC</t>
        </is>
      </c>
      <c r="C258" s="2" t="inlineStr">
        <is>
          <t>10M</t>
        </is>
      </c>
      <c r="D258" s="2" t="inlineStr">
        <is>
          <t>a1</t>
        </is>
      </c>
      <c r="E258" s="2" t="inlineStr">
        <is>
          <t>2.0mm</t>
        </is>
      </c>
      <c r="F258" s="2" t="n">
        <v>2</v>
      </c>
      <c r="G258" s="2" t="n">
        <v>10</v>
      </c>
      <c r="H258" s="2" t="inlineStr">
        <is>
          <t>LC/APC</t>
        </is>
      </c>
      <c r="I258" s="2" t="inlineStr">
        <is>
          <t>FC/APC</t>
        </is>
      </c>
      <c r="J258" s="2" t="n"/>
      <c r="K258" s="2" t="n"/>
      <c r="L258" s="2" t="n"/>
      <c r="M258" s="2" t="n"/>
      <c r="N258" s="2" t="n">
        <v>10</v>
      </c>
      <c r="O258" s="2" t="n"/>
      <c r="P258" s="2" t="n"/>
      <c r="Q258" s="2" t="n"/>
      <c r="R258" s="2" t="n"/>
      <c r="S258" s="2" t="n"/>
      <c r="T258" s="2" t="n"/>
      <c r="U258" s="2" t="n"/>
      <c r="V258" s="2">
        <f>SUM(J258:U258)</f>
        <v/>
      </c>
      <c r="W258" s="2" t="n"/>
      <c r="X258" s="2" t="n"/>
      <c r="Y258" s="2" t="n">
        <v>20</v>
      </c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>
        <v>20</v>
      </c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>
        <f>IF(F258=1,V258*2,IF(F258=2,V258*F258*2,IF(F258&gt;2,F258*2*V258)))</f>
        <v/>
      </c>
      <c r="AW258" s="2">
        <f>SUM(W258:AU258)</f>
        <v/>
      </c>
    </row>
    <row r="259">
      <c r="A259" s="2" t="inlineStr">
        <is>
          <t>14-D-A232</t>
        </is>
      </c>
      <c r="B259" s="3" t="inlineStr">
        <is>
          <t>DOJC-MM(OM3)-LC/PC-LC/PC</t>
        </is>
      </c>
      <c r="C259" s="2" t="inlineStr">
        <is>
          <t>6M</t>
        </is>
      </c>
      <c r="D259" s="2" t="inlineStr">
        <is>
          <t>om3</t>
        </is>
      </c>
      <c r="E259" s="2" t="inlineStr">
        <is>
          <t>2.0mm</t>
        </is>
      </c>
      <c r="F259" s="2" t="n">
        <v>2</v>
      </c>
      <c r="G259" s="2" t="n">
        <v>6</v>
      </c>
      <c r="H259" s="2" t="inlineStr">
        <is>
          <t>LC/PC</t>
        </is>
      </c>
      <c r="I259" s="2" t="inlineStr">
        <is>
          <t>LC/PC</t>
        </is>
      </c>
      <c r="J259" s="2" t="n"/>
      <c r="K259" s="2" t="n"/>
      <c r="L259" s="2" t="n"/>
      <c r="M259" s="2" t="n"/>
      <c r="N259" s="2" t="n"/>
      <c r="O259" s="2" t="n"/>
      <c r="P259" s="2" t="n">
        <v>50</v>
      </c>
      <c r="Q259" s="2" t="n"/>
      <c r="R259" s="2" t="n"/>
      <c r="S259" s="2" t="n"/>
      <c r="T259" s="2" t="n">
        <v>80</v>
      </c>
      <c r="U259" s="2" t="n"/>
      <c r="V259" s="2">
        <f>SUM(J259:U259)</f>
        <v/>
      </c>
      <c r="W259" s="2" t="n"/>
      <c r="X259" s="2" t="n">
        <v>260</v>
      </c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>
        <v>260</v>
      </c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>
        <f>IF(F259=1,V259*2,IF(F259=2,V259*F259*2,IF(F259&gt;2,F259*2*V259)))</f>
        <v/>
      </c>
      <c r="AW259" s="2">
        <f>SUM(W259:AU259)</f>
        <v/>
      </c>
    </row>
    <row r="260">
      <c r="A260" s="2" t="inlineStr">
        <is>
          <t>14-D-A234</t>
        </is>
      </c>
      <c r="B260" s="3" t="inlineStr">
        <is>
          <t>DOJC-SM-LC/APC-SC/APC</t>
        </is>
      </c>
      <c r="C260" s="2" t="inlineStr">
        <is>
          <t>15M</t>
        </is>
      </c>
      <c r="D260" s="2" t="inlineStr">
        <is>
          <t>a1</t>
        </is>
      </c>
      <c r="E260" s="2" t="inlineStr">
        <is>
          <t>2.0mm</t>
        </is>
      </c>
      <c r="F260" s="2" t="n">
        <v>2</v>
      </c>
      <c r="G260" s="2" t="n">
        <v>15</v>
      </c>
      <c r="H260" s="2" t="inlineStr">
        <is>
          <t>LC/APC</t>
        </is>
      </c>
      <c r="I260" s="2" t="inlineStr">
        <is>
          <t>SC/APC</t>
        </is>
      </c>
      <c r="J260" s="2" t="n"/>
      <c r="K260" s="2" t="n"/>
      <c r="L260" s="2" t="n"/>
      <c r="M260" s="2" t="n"/>
      <c r="N260" s="2" t="n">
        <v>5</v>
      </c>
      <c r="O260" s="2" t="n"/>
      <c r="P260" s="2" t="n"/>
      <c r="Q260" s="2" t="n"/>
      <c r="R260" s="2" t="n"/>
      <c r="S260" s="2" t="n"/>
      <c r="T260" s="2" t="n"/>
      <c r="U260" s="2" t="n"/>
      <c r="V260" s="2">
        <f>SUM(J260:U260)</f>
        <v/>
      </c>
      <c r="W260" s="2" t="n"/>
      <c r="X260" s="2" t="n"/>
      <c r="Y260" s="2" t="n">
        <v>10</v>
      </c>
      <c r="Z260" s="2" t="n"/>
      <c r="AA260" s="2" t="n"/>
      <c r="AB260" s="2" t="n"/>
      <c r="AC260" s="2" t="n"/>
      <c r="AD260" s="2" t="n">
        <v>10</v>
      </c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>
        <f>IF(F260=1,V260*2,IF(F260=2,V260*F260*2,IF(F260&gt;2,F260*2*V260)))</f>
        <v/>
      </c>
      <c r="AW260" s="2">
        <f>SUM(W260:AU260)</f>
        <v/>
      </c>
    </row>
    <row r="261">
      <c r="A261" s="2" t="inlineStr">
        <is>
          <t>14-D-A235</t>
        </is>
      </c>
      <c r="B261" s="3" t="inlineStr">
        <is>
          <t>OJC-A1-LC/LC-SM-1-PC/APC-DP</t>
        </is>
      </c>
      <c r="C261" s="2" t="inlineStr"/>
      <c r="D261" s="2" t="inlineStr">
        <is>
          <t>a1</t>
        </is>
      </c>
      <c r="E261" s="2" t="inlineStr">
        <is>
          <t>2.0mm</t>
        </is>
      </c>
      <c r="F261" s="2" t="n">
        <v>2</v>
      </c>
      <c r="G261" s="2" t="n">
        <v>1</v>
      </c>
      <c r="H261" s="2" t="inlineStr">
        <is>
          <t>LC/PC</t>
        </is>
      </c>
      <c r="I261" s="2" t="inlineStr">
        <is>
          <t>LC/APC</t>
        </is>
      </c>
      <c r="J261" s="2" t="n"/>
      <c r="K261" s="2" t="n"/>
      <c r="L261" s="2" t="n"/>
      <c r="M261" s="2" t="n"/>
      <c r="N261" s="2" t="n">
        <v>18</v>
      </c>
      <c r="O261" s="2" t="n"/>
      <c r="P261" s="2" t="n"/>
      <c r="Q261" s="2" t="n"/>
      <c r="R261" s="2" t="n"/>
      <c r="S261" s="2" t="n"/>
      <c r="T261" s="2" t="n"/>
      <c r="U261" s="2" t="n"/>
      <c r="V261" s="2">
        <f>SUM(J261:U261)</f>
        <v/>
      </c>
      <c r="W261" s="2" t="n">
        <v>36</v>
      </c>
      <c r="X261" s="2" t="n"/>
      <c r="Y261" s="2" t="n"/>
      <c r="Z261" s="2" t="n">
        <v>36</v>
      </c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>
        <f>IF(F261=1,V261*2,IF(F261=2,V261*F261*2,IF(F261&gt;2,F261*2*V261)))</f>
        <v/>
      </c>
      <c r="AW261" s="2">
        <f>SUM(W261:AU261)</f>
        <v/>
      </c>
    </row>
    <row r="262">
      <c r="A262" s="2" t="inlineStr">
        <is>
          <t>14-D-A341</t>
        </is>
      </c>
      <c r="B262" s="3" t="inlineStr">
        <is>
          <t>DOJC-SM-LC/PC-SC/PC</t>
        </is>
      </c>
      <c r="C262" s="2" t="inlineStr">
        <is>
          <t>60M_적색케이블</t>
        </is>
      </c>
      <c r="D262" s="2" t="inlineStr">
        <is>
          <t>a1-적</t>
        </is>
      </c>
      <c r="E262" s="2" t="inlineStr">
        <is>
          <t>2.0mm</t>
        </is>
      </c>
      <c r="F262" s="2" t="n">
        <v>2</v>
      </c>
      <c r="G262" s="2" t="n">
        <v>60</v>
      </c>
      <c r="H262" s="2" t="inlineStr">
        <is>
          <t>LC/PC</t>
        </is>
      </c>
      <c r="I262" s="2" t="inlineStr">
        <is>
          <t>SC/PC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>
        <v>4</v>
      </c>
      <c r="U262" s="2" t="n"/>
      <c r="V262" s="2">
        <f>SUM(J262:U262)</f>
        <v/>
      </c>
      <c r="W262" s="2" t="n">
        <v>8</v>
      </c>
      <c r="X262" s="2" t="n"/>
      <c r="Y262" s="2" t="n"/>
      <c r="Z262" s="2" t="n"/>
      <c r="AA262" s="2" t="n"/>
      <c r="AB262" s="2" t="n">
        <v>8</v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>
        <f>IF(F262=1,V262*2,IF(F262=2,V262*F262*2,IF(F262&gt;2,F262*2*V262)))</f>
        <v/>
      </c>
      <c r="AW262" s="2">
        <f>SUM(W262:AU262)</f>
        <v/>
      </c>
    </row>
    <row r="263">
      <c r="A263" s="2" t="inlineStr">
        <is>
          <t>14-D-A347</t>
        </is>
      </c>
      <c r="B263" s="3" t="inlineStr">
        <is>
          <t>DOJC-SM-SC/PC-SC/PC</t>
        </is>
      </c>
      <c r="C263" s="2" t="inlineStr">
        <is>
          <t>13M_적색케이블</t>
        </is>
      </c>
      <c r="D263" s="2" t="inlineStr">
        <is>
          <t>a1-적</t>
        </is>
      </c>
      <c r="E263" s="2" t="inlineStr">
        <is>
          <t>2.0mm</t>
        </is>
      </c>
      <c r="F263" s="2" t="n">
        <v>2</v>
      </c>
      <c r="G263" s="2" t="n">
        <v>13</v>
      </c>
      <c r="H263" s="2" t="inlineStr">
        <is>
          <t>SC/PC</t>
        </is>
      </c>
      <c r="I263" s="2" t="inlineStr">
        <is>
          <t>SC/PC</t>
        </is>
      </c>
      <c r="J263" s="2" t="n"/>
      <c r="K263" s="2" t="n"/>
      <c r="L263" s="2" t="n"/>
      <c r="M263" s="2" t="n"/>
      <c r="N263" s="2" t="n"/>
      <c r="O263" s="2" t="n"/>
      <c r="P263" s="2" t="n">
        <v>20</v>
      </c>
      <c r="Q263" s="2" t="n"/>
      <c r="R263" s="2" t="n"/>
      <c r="S263" s="2" t="n"/>
      <c r="T263" s="2" t="n"/>
      <c r="U263" s="2" t="n"/>
      <c r="V263" s="2">
        <f>SUM(J263:U263)</f>
        <v/>
      </c>
      <c r="W263" s="2" t="n"/>
      <c r="X263" s="2" t="n"/>
      <c r="Y263" s="2" t="n"/>
      <c r="Z263" s="2" t="n"/>
      <c r="AA263" s="2" t="n">
        <v>40</v>
      </c>
      <c r="AB263" s="2" t="n">
        <v>40</v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>
        <f>IF(F263=1,V263*2,IF(F263=2,V263*F263*2,IF(F263&gt;2,F263*2*V263)))</f>
        <v/>
      </c>
      <c r="AW263" s="2">
        <f>SUM(W263:AU263)</f>
        <v/>
      </c>
    </row>
    <row r="264">
      <c r="A264" s="2" t="inlineStr">
        <is>
          <t>14-D-A370</t>
        </is>
      </c>
      <c r="B264" s="3" t="inlineStr">
        <is>
          <t>DOJC-SM-LC/PC-LC/PC</t>
        </is>
      </c>
      <c r="C264" s="2" t="inlineStr">
        <is>
          <t>60M_청색</t>
        </is>
      </c>
      <c r="D264" s="2" t="inlineStr">
        <is>
          <t>a1-청</t>
        </is>
      </c>
      <c r="E264" s="2" t="inlineStr">
        <is>
          <t>2.0mm</t>
        </is>
      </c>
      <c r="F264" s="2" t="n">
        <v>2</v>
      </c>
      <c r="G264" s="2" t="n">
        <v>60</v>
      </c>
      <c r="H264" s="2" t="inlineStr">
        <is>
          <t>LC/PC</t>
        </is>
      </c>
      <c r="I264" s="2" t="inlineStr">
        <is>
          <t>LC/PC</t>
        </is>
      </c>
      <c r="J264" s="2" t="n">
        <v>30</v>
      </c>
      <c r="K264" s="2" t="n"/>
      <c r="L264" s="2" t="n">
        <v>10</v>
      </c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>
        <f>SUM(J264:U264)</f>
        <v/>
      </c>
      <c r="W264" s="2" t="n">
        <v>80</v>
      </c>
      <c r="X264" s="2" t="n">
        <v>80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>
        <f>IF(F264=1,V264*2,IF(F264=2,V264*F264*2,IF(F264&gt;2,F264*2*V264)))</f>
        <v/>
      </c>
      <c r="AW264" s="2">
        <f>SUM(W264:AU264)</f>
        <v/>
      </c>
    </row>
    <row r="265">
      <c r="A265" s="2" t="inlineStr">
        <is>
          <t>14-D-A371</t>
        </is>
      </c>
      <c r="B265" s="3" t="inlineStr">
        <is>
          <t>DOJC-SM-LC/PC-LC/PC</t>
        </is>
      </c>
      <c r="C265" s="2" t="inlineStr">
        <is>
          <t>60M_적색</t>
        </is>
      </c>
      <c r="D265" s="2" t="inlineStr">
        <is>
          <t>a1-적</t>
        </is>
      </c>
      <c r="E265" s="2" t="inlineStr">
        <is>
          <t>2.0mm</t>
        </is>
      </c>
      <c r="F265" s="2" t="n">
        <v>2</v>
      </c>
      <c r="G265" s="2" t="n">
        <v>60</v>
      </c>
      <c r="H265" s="2" t="inlineStr">
        <is>
          <t>LC/PC</t>
        </is>
      </c>
      <c r="I265" s="2" t="inlineStr">
        <is>
          <t>LC/PC</t>
        </is>
      </c>
      <c r="J265" s="2" t="n">
        <v>30</v>
      </c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>
        <v>4</v>
      </c>
      <c r="U265" s="2" t="n"/>
      <c r="V265" s="2">
        <f>SUM(J265:U265)</f>
        <v/>
      </c>
      <c r="W265" s="2" t="n">
        <v>68</v>
      </c>
      <c r="X265" s="2" t="n">
        <v>68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>
        <f>IF(F265=1,V265*2,IF(F265=2,V265*F265*2,IF(F265&gt;2,F265*2*V265)))</f>
        <v/>
      </c>
      <c r="AW265" s="2">
        <f>SUM(W265:AU265)</f>
        <v/>
      </c>
    </row>
    <row r="266">
      <c r="A266" s="2" t="inlineStr">
        <is>
          <t>14-D-A376</t>
        </is>
      </c>
      <c r="B266" s="3" t="inlineStr">
        <is>
          <t>DOJC-MM(OM3)-LC/PC-LC/PC</t>
        </is>
      </c>
      <c r="C266" s="2" t="inlineStr">
        <is>
          <t>3M</t>
        </is>
      </c>
      <c r="D266" s="2" t="inlineStr">
        <is>
          <t>om3</t>
        </is>
      </c>
      <c r="E266" s="2" t="inlineStr">
        <is>
          <t>2.0mm</t>
        </is>
      </c>
      <c r="F266" s="2" t="n">
        <v>2</v>
      </c>
      <c r="G266" s="2" t="n">
        <v>3</v>
      </c>
      <c r="H266" s="2" t="inlineStr">
        <is>
          <t>LC/PC</t>
        </is>
      </c>
      <c r="I266" s="2" t="inlineStr">
        <is>
          <t>LC/PC</t>
        </is>
      </c>
      <c r="J266" s="2" t="n"/>
      <c r="K266" s="2" t="n"/>
      <c r="L266" s="2" t="n"/>
      <c r="M266" s="2" t="n"/>
      <c r="N266" s="2" t="n"/>
      <c r="O266" s="2" t="n">
        <v>3</v>
      </c>
      <c r="P266" s="2" t="n"/>
      <c r="Q266" s="2" t="n"/>
      <c r="R266" s="2" t="n"/>
      <c r="S266" s="2" t="n"/>
      <c r="T266" s="2" t="n">
        <v>20</v>
      </c>
      <c r="U266" s="2" t="n"/>
      <c r="V266" s="2">
        <f>SUM(J266:U266)</f>
        <v/>
      </c>
      <c r="W266" s="2" t="n"/>
      <c r="X266" s="2" t="n">
        <v>46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>
        <v>46</v>
      </c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>
        <f>IF(F266=1,V266*2,IF(F266=2,V266*F266*2,IF(F266&gt;2,F266*2*V266)))</f>
        <v/>
      </c>
      <c r="AW266" s="2">
        <f>SUM(W266:AU266)</f>
        <v/>
      </c>
    </row>
    <row r="267">
      <c r="A267" s="2" t="inlineStr">
        <is>
          <t>14-D-A381</t>
        </is>
      </c>
      <c r="B267" s="3" t="inlineStr">
        <is>
          <t>DOJC-MM(OM3)-LC/PC-LC/PC</t>
        </is>
      </c>
      <c r="C267" s="2" t="inlineStr">
        <is>
          <t>19M</t>
        </is>
      </c>
      <c r="D267" s="2" t="inlineStr">
        <is>
          <t>om3</t>
        </is>
      </c>
      <c r="E267" s="2" t="inlineStr">
        <is>
          <t>2.0mm</t>
        </is>
      </c>
      <c r="F267" s="2" t="n">
        <v>2</v>
      </c>
      <c r="G267" s="2" t="n">
        <v>19</v>
      </c>
      <c r="H267" s="2" t="inlineStr">
        <is>
          <t>LC/PC</t>
        </is>
      </c>
      <c r="I267" s="2" t="inlineStr">
        <is>
          <t>LC/PC</t>
        </is>
      </c>
      <c r="J267" s="2" t="n"/>
      <c r="K267" s="2" t="n">
        <v>4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>
        <f>SUM(J267:U267)</f>
        <v/>
      </c>
      <c r="W267" s="2" t="n"/>
      <c r="X267" s="2" t="n">
        <v>8</v>
      </c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>
        <v>8</v>
      </c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>
        <f>IF(F267=1,V267*2,IF(F267=2,V267*F267*2,IF(F267&gt;2,F267*2*V267)))</f>
        <v/>
      </c>
      <c r="AW267" s="2">
        <f>SUM(W267:AU267)</f>
        <v/>
      </c>
    </row>
    <row r="268">
      <c r="A268" s="2" t="inlineStr">
        <is>
          <t>14-D-A382</t>
        </is>
      </c>
      <c r="B268" s="3" t="inlineStr">
        <is>
          <t>DOJC-SM-LC/PC-FC/PC</t>
        </is>
      </c>
      <c r="C268" s="2" t="inlineStr">
        <is>
          <t>25M_적색</t>
        </is>
      </c>
      <c r="D268" s="2" t="inlineStr">
        <is>
          <t>a1-적</t>
        </is>
      </c>
      <c r="E268" s="2" t="inlineStr">
        <is>
          <t>2.0mm</t>
        </is>
      </c>
      <c r="F268" s="2" t="n">
        <v>2</v>
      </c>
      <c r="G268" s="2" t="n">
        <v>25</v>
      </c>
      <c r="H268" s="2" t="inlineStr">
        <is>
          <t>LC/PC</t>
        </is>
      </c>
      <c r="I268" s="2" t="inlineStr">
        <is>
          <t>FC/PC</t>
        </is>
      </c>
      <c r="J268" s="2" t="n"/>
      <c r="K268" s="2" t="n">
        <v>1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>
        <f>SUM(J268:U268)</f>
        <v/>
      </c>
      <c r="W268" s="2" t="n">
        <v>2</v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>
        <v>2</v>
      </c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>
        <f>IF(F268=1,V268*2,IF(F268=2,V268*F268*2,IF(F268&gt;2,F268*2*V268)))</f>
        <v/>
      </c>
      <c r="AW268" s="2">
        <f>SUM(W268:AU268)</f>
        <v/>
      </c>
    </row>
    <row r="269">
      <c r="A269" s="2" t="inlineStr">
        <is>
          <t>14-D-A383</t>
        </is>
      </c>
      <c r="B269" s="3" t="inlineStr">
        <is>
          <t>DOJC-SM-LC/PC-FC/APC</t>
        </is>
      </c>
      <c r="C269" s="2" t="inlineStr">
        <is>
          <t>15M_적색</t>
        </is>
      </c>
      <c r="D269" s="2" t="inlineStr">
        <is>
          <t>a1-적</t>
        </is>
      </c>
      <c r="E269" s="2" t="inlineStr">
        <is>
          <t>2.0mm</t>
        </is>
      </c>
      <c r="F269" s="2" t="n">
        <v>2</v>
      </c>
      <c r="G269" s="2" t="n">
        <v>15</v>
      </c>
      <c r="H269" s="2" t="inlineStr">
        <is>
          <t>LC/PC</t>
        </is>
      </c>
      <c r="I269" s="2" t="inlineStr">
        <is>
          <t>FC/APC</t>
        </is>
      </c>
      <c r="J269" s="2" t="n"/>
      <c r="K269" s="2" t="n">
        <v>1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>
        <f>SUM(J269:U269)</f>
        <v/>
      </c>
      <c r="W269" s="2" t="n">
        <v>2</v>
      </c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>
        <v>2</v>
      </c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>
        <f>IF(F269=1,V269*2,IF(F269=2,V269*F269*2,IF(F269&gt;2,F269*2*V269)))</f>
        <v/>
      </c>
      <c r="AW269" s="2">
        <f>SUM(W269:AU269)</f>
        <v/>
      </c>
    </row>
    <row r="270">
      <c r="A270" s="2" t="inlineStr">
        <is>
          <t>14-D-A385</t>
        </is>
      </c>
      <c r="B270" s="3" t="inlineStr">
        <is>
          <t>DOJC-SM-SC/APC-SC/APC</t>
        </is>
      </c>
      <c r="C270" s="2" t="inlineStr">
        <is>
          <t>3M_적색</t>
        </is>
      </c>
      <c r="D270" s="2" t="inlineStr">
        <is>
          <t>a1-적</t>
        </is>
      </c>
      <c r="E270" s="2" t="inlineStr">
        <is>
          <t>2.0mm</t>
        </is>
      </c>
      <c r="F270" s="2" t="n">
        <v>2</v>
      </c>
      <c r="G270" s="2" t="n">
        <v>3</v>
      </c>
      <c r="H270" s="2" t="inlineStr">
        <is>
          <t>SC/APC</t>
        </is>
      </c>
      <c r="I270" s="2" t="inlineStr">
        <is>
          <t>SC/APC</t>
        </is>
      </c>
      <c r="J270" s="2" t="n"/>
      <c r="K270" s="2" t="n"/>
      <c r="L270" s="2" t="n"/>
      <c r="M270" s="2" t="n">
        <v>80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>
        <f>SUM(J270:U270)</f>
        <v/>
      </c>
      <c r="W270" s="2" t="n"/>
      <c r="X270" s="2" t="n"/>
      <c r="Y270" s="2" t="n"/>
      <c r="Z270" s="2" t="n"/>
      <c r="AA270" s="2" t="n"/>
      <c r="AB270" s="2" t="n"/>
      <c r="AC270" s="2" t="n">
        <v>160</v>
      </c>
      <c r="AD270" s="2" t="n">
        <v>160</v>
      </c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>
        <f>IF(F270=1,V270*2,IF(F270=2,V270*F270*2,IF(F270&gt;2,F270*2*V270)))</f>
        <v/>
      </c>
      <c r="AW270" s="2">
        <f>SUM(W270:AU270)</f>
        <v/>
      </c>
    </row>
    <row r="271">
      <c r="A271" s="2" t="inlineStr">
        <is>
          <t>14-D-A386</t>
        </is>
      </c>
      <c r="B271" s="3" t="inlineStr">
        <is>
          <t>DOJC-SM-SC/APC-SC/APC</t>
        </is>
      </c>
      <c r="C271" s="2" t="inlineStr">
        <is>
          <t>5M_적색</t>
        </is>
      </c>
      <c r="D271" s="2" t="inlineStr">
        <is>
          <t>a1-적</t>
        </is>
      </c>
      <c r="E271" s="2" t="inlineStr">
        <is>
          <t>2.0mm</t>
        </is>
      </c>
      <c r="F271" s="2" t="n">
        <v>2</v>
      </c>
      <c r="G271" s="2" t="n">
        <v>5</v>
      </c>
      <c r="H271" s="2" t="inlineStr">
        <is>
          <t>SC/APC</t>
        </is>
      </c>
      <c r="I271" s="2" t="inlineStr">
        <is>
          <t>SC/APC</t>
        </is>
      </c>
      <c r="J271" s="2" t="n"/>
      <c r="K271" s="2" t="n"/>
      <c r="L271" s="2" t="n"/>
      <c r="M271" s="2" t="n">
        <v>80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>
        <f>SUM(J271:U271)</f>
        <v/>
      </c>
      <c r="W271" s="2" t="n"/>
      <c r="X271" s="2" t="n"/>
      <c r="Y271" s="2" t="n"/>
      <c r="Z271" s="2" t="n"/>
      <c r="AA271" s="2" t="n"/>
      <c r="AB271" s="2" t="n"/>
      <c r="AC271" s="2" t="n">
        <v>160</v>
      </c>
      <c r="AD271" s="2" t="n">
        <v>160</v>
      </c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>
        <f>IF(F271=1,V271*2,IF(F271=2,V271*F271*2,IF(F271&gt;2,F271*2*V271)))</f>
        <v/>
      </c>
      <c r="AW271" s="2">
        <f>SUM(W271:AU271)</f>
        <v/>
      </c>
    </row>
    <row r="272">
      <c r="A272" s="2" t="inlineStr">
        <is>
          <t>14-D-A387</t>
        </is>
      </c>
      <c r="B272" s="3" t="inlineStr">
        <is>
          <t>DOJC-SM-SC/APC-SC/APC</t>
        </is>
      </c>
      <c r="C272" s="2" t="inlineStr">
        <is>
          <t>10M_적색</t>
        </is>
      </c>
      <c r="D272" s="2" t="inlineStr">
        <is>
          <t>a1-적</t>
        </is>
      </c>
      <c r="E272" s="2" t="inlineStr">
        <is>
          <t>2.0mm</t>
        </is>
      </c>
      <c r="F272" s="2" t="n">
        <v>2</v>
      </c>
      <c r="G272" s="2" t="n">
        <v>10</v>
      </c>
      <c r="H272" s="2" t="inlineStr">
        <is>
          <t>SC/APC</t>
        </is>
      </c>
      <c r="I272" s="2" t="inlineStr">
        <is>
          <t>SC/APC</t>
        </is>
      </c>
      <c r="J272" s="2" t="n"/>
      <c r="K272" s="2" t="n"/>
      <c r="L272" s="2" t="n"/>
      <c r="M272" s="2" t="n">
        <v>40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>
        <f>SUM(J272:U272)</f>
        <v/>
      </c>
      <c r="W272" s="2" t="n"/>
      <c r="X272" s="2" t="n"/>
      <c r="Y272" s="2" t="n"/>
      <c r="Z272" s="2" t="n"/>
      <c r="AA272" s="2" t="n"/>
      <c r="AB272" s="2" t="n"/>
      <c r="AC272" s="2" t="n">
        <v>80</v>
      </c>
      <c r="AD272" s="2" t="n">
        <v>80</v>
      </c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>
        <f>IF(F272=1,V272*2,IF(F272=2,V272*F272*2,IF(F272&gt;2,F272*2*V272)))</f>
        <v/>
      </c>
      <c r="AW272" s="2">
        <f>SUM(W272:AU272)</f>
        <v/>
      </c>
    </row>
    <row r="273">
      <c r="A273" s="2" t="inlineStr">
        <is>
          <t>14-D-A388</t>
        </is>
      </c>
      <c r="B273" s="3" t="inlineStr">
        <is>
          <t>DOJC-SM-SC/APC-SC/APC</t>
        </is>
      </c>
      <c r="C273" s="2" t="inlineStr">
        <is>
          <t>20M_적색</t>
        </is>
      </c>
      <c r="D273" s="2" t="inlineStr">
        <is>
          <t>a1-적</t>
        </is>
      </c>
      <c r="E273" s="2" t="inlineStr">
        <is>
          <t>2.0mm</t>
        </is>
      </c>
      <c r="F273" s="2" t="n">
        <v>2</v>
      </c>
      <c r="G273" s="2" t="n">
        <v>20</v>
      </c>
      <c r="H273" s="2" t="inlineStr">
        <is>
          <t>SC/APC</t>
        </is>
      </c>
      <c r="I273" s="2" t="inlineStr">
        <is>
          <t>SC/APC</t>
        </is>
      </c>
      <c r="J273" s="2" t="n"/>
      <c r="K273" s="2" t="n"/>
      <c r="L273" s="2" t="n"/>
      <c r="M273" s="2" t="n">
        <v>40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</f>
        <v/>
      </c>
      <c r="W273" s="2" t="n"/>
      <c r="X273" s="2" t="n"/>
      <c r="Y273" s="2" t="n"/>
      <c r="Z273" s="2" t="n"/>
      <c r="AA273" s="2" t="n"/>
      <c r="AB273" s="2" t="n"/>
      <c r="AC273" s="2" t="n">
        <v>80</v>
      </c>
      <c r="AD273" s="2" t="n">
        <v>80</v>
      </c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>
        <f>IF(F273=1,V273*2,IF(F273=2,V273*F273*2,IF(F273&gt;2,F273*2*V273)))</f>
        <v/>
      </c>
      <c r="AW273" s="2">
        <f>SUM(W273:AU273)</f>
        <v/>
      </c>
    </row>
    <row r="274">
      <c r="A274" s="2" t="inlineStr">
        <is>
          <t>14-D-A389</t>
        </is>
      </c>
      <c r="B274" s="3" t="inlineStr">
        <is>
          <t>DOJC-SM-LC/PC-SC/APC</t>
        </is>
      </c>
      <c r="C274" s="2" t="inlineStr">
        <is>
          <t>20M_적색</t>
        </is>
      </c>
      <c r="D274" s="2" t="inlineStr">
        <is>
          <t>a1-적</t>
        </is>
      </c>
      <c r="E274" s="2" t="inlineStr">
        <is>
          <t>2.0mm</t>
        </is>
      </c>
      <c r="F274" s="2" t="n">
        <v>2</v>
      </c>
      <c r="G274" s="2" t="n">
        <v>20</v>
      </c>
      <c r="H274" s="2" t="inlineStr">
        <is>
          <t>LC/PC</t>
        </is>
      </c>
      <c r="I274" s="2" t="inlineStr">
        <is>
          <t>SC/APC</t>
        </is>
      </c>
      <c r="J274" s="2" t="n"/>
      <c r="K274" s="2" t="n"/>
      <c r="L274" s="2" t="n"/>
      <c r="M274" s="2" t="n">
        <v>60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</f>
        <v/>
      </c>
      <c r="W274" s="2" t="n">
        <v>120</v>
      </c>
      <c r="X274" s="2" t="n"/>
      <c r="Y274" s="2" t="n"/>
      <c r="Z274" s="2" t="n"/>
      <c r="AA274" s="2" t="n"/>
      <c r="AB274" s="2" t="n"/>
      <c r="AC274" s="2" t="n"/>
      <c r="AD274" s="2" t="n">
        <v>120</v>
      </c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>
        <f>IF(F274=1,V274*2,IF(F274=2,V274*F274*2,IF(F274&gt;2,F274*2*V274)))</f>
        <v/>
      </c>
      <c r="AW274" s="2">
        <f>SUM(W274:AU274)</f>
        <v/>
      </c>
    </row>
    <row r="275">
      <c r="A275" s="2" t="inlineStr">
        <is>
          <t>14-D-A390</t>
        </is>
      </c>
      <c r="B275" s="3" t="inlineStr">
        <is>
          <t>DOJC-SM-LC/PC-LC/PC</t>
        </is>
      </c>
      <c r="C275" s="2" t="inlineStr">
        <is>
          <t>65M_청색</t>
        </is>
      </c>
      <c r="D275" s="2" t="inlineStr">
        <is>
          <t>a1-청</t>
        </is>
      </c>
      <c r="E275" s="2" t="inlineStr">
        <is>
          <t>2.0mm</t>
        </is>
      </c>
      <c r="F275" s="2" t="n">
        <v>2</v>
      </c>
      <c r="G275" s="2" t="n">
        <v>65</v>
      </c>
      <c r="H275" s="2" t="inlineStr">
        <is>
          <t>LC/PC</t>
        </is>
      </c>
      <c r="I275" s="2" t="inlineStr">
        <is>
          <t>LC/PC</t>
        </is>
      </c>
      <c r="J275" s="2" t="n"/>
      <c r="K275" s="2" t="n"/>
      <c r="L275" s="2" t="n">
        <v>30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</f>
        <v/>
      </c>
      <c r="W275" s="2" t="n">
        <v>60</v>
      </c>
      <c r="X275" s="2" t="n">
        <v>60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>
        <f>IF(F275=1,V275*2,IF(F275=2,V275*F275*2,IF(F275&gt;2,F275*2*V275)))</f>
        <v/>
      </c>
      <c r="AW275" s="2">
        <f>SUM(W275:AU275)</f>
        <v/>
      </c>
    </row>
    <row r="276">
      <c r="A276" s="2" t="inlineStr">
        <is>
          <t>14-D-A391</t>
        </is>
      </c>
      <c r="B276" s="3" t="inlineStr">
        <is>
          <t>DOJC-SM-LC/PC-LC/PC</t>
        </is>
      </c>
      <c r="C276" s="2" t="inlineStr">
        <is>
          <t>65M_적색</t>
        </is>
      </c>
      <c r="D276" s="2" t="inlineStr">
        <is>
          <t>a1-적</t>
        </is>
      </c>
      <c r="E276" s="2" t="inlineStr">
        <is>
          <t>2.0mm</t>
        </is>
      </c>
      <c r="F276" s="2" t="n">
        <v>2</v>
      </c>
      <c r="G276" s="2" t="n">
        <v>65</v>
      </c>
      <c r="H276" s="2" t="inlineStr">
        <is>
          <t>LC/PC</t>
        </is>
      </c>
      <c r="I276" s="2" t="inlineStr">
        <is>
          <t>LC/PC</t>
        </is>
      </c>
      <c r="J276" s="2" t="n"/>
      <c r="K276" s="2" t="n"/>
      <c r="L276" s="2" t="n">
        <v>30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</f>
        <v/>
      </c>
      <c r="W276" s="2" t="n">
        <v>60</v>
      </c>
      <c r="X276" s="2" t="n">
        <v>60</v>
      </c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>
        <f>IF(F276=1,V276*2,IF(F276=2,V276*F276*2,IF(F276&gt;2,F276*2*V276)))</f>
        <v/>
      </c>
      <c r="AW276" s="2">
        <f>SUM(W276:AU276)</f>
        <v/>
      </c>
    </row>
    <row r="277">
      <c r="A277" s="2" t="inlineStr">
        <is>
          <t>14-D-A392</t>
        </is>
      </c>
      <c r="B277" s="3" t="inlineStr">
        <is>
          <t>DOJC-SM-LC/PC-LC/PC</t>
        </is>
      </c>
      <c r="C277" s="2" t="inlineStr">
        <is>
          <t>70M_청색</t>
        </is>
      </c>
      <c r="D277" s="2" t="inlineStr">
        <is>
          <t>a1-청</t>
        </is>
      </c>
      <c r="E277" s="2" t="inlineStr">
        <is>
          <t>2.0mm</t>
        </is>
      </c>
      <c r="F277" s="2" t="n">
        <v>2</v>
      </c>
      <c r="G277" s="2" t="n">
        <v>70</v>
      </c>
      <c r="H277" s="2" t="inlineStr">
        <is>
          <t>LC/PC</t>
        </is>
      </c>
      <c r="I277" s="2" t="inlineStr">
        <is>
          <t>LC/PC</t>
        </is>
      </c>
      <c r="J277" s="2" t="n"/>
      <c r="K277" s="2" t="n"/>
      <c r="L277" s="2" t="n"/>
      <c r="M277" s="2" t="n">
        <v>20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>
        <f>SUM(J277:U277)</f>
        <v/>
      </c>
      <c r="W277" s="2" t="n">
        <v>40</v>
      </c>
      <c r="X277" s="2" t="n">
        <v>40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>
        <f>IF(F277=1,V277*2,IF(F277=2,V277*F277*2,IF(F277&gt;2,F277*2*V277)))</f>
        <v/>
      </c>
      <c r="AW277" s="2">
        <f>SUM(W277:AU277)</f>
        <v/>
      </c>
    </row>
    <row r="278">
      <c r="A278" s="2" t="inlineStr">
        <is>
          <t>14-D-A393</t>
        </is>
      </c>
      <c r="B278" s="3" t="inlineStr">
        <is>
          <t>DOJC-SM-LC/PC-LC/PC</t>
        </is>
      </c>
      <c r="C278" s="2" t="inlineStr">
        <is>
          <t>75M_청색</t>
        </is>
      </c>
      <c r="D278" s="2" t="inlineStr">
        <is>
          <t>a1-청</t>
        </is>
      </c>
      <c r="E278" s="2" t="inlineStr">
        <is>
          <t>2.0mm</t>
        </is>
      </c>
      <c r="F278" s="2" t="n">
        <v>2</v>
      </c>
      <c r="G278" s="2" t="n">
        <v>75</v>
      </c>
      <c r="H278" s="2" t="inlineStr">
        <is>
          <t>LC/PC</t>
        </is>
      </c>
      <c r="I278" s="2" t="inlineStr">
        <is>
          <t>LC/PC</t>
        </is>
      </c>
      <c r="J278" s="2" t="n"/>
      <c r="K278" s="2" t="n"/>
      <c r="L278" s="2" t="n"/>
      <c r="M278" s="2" t="n">
        <v>20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</f>
        <v/>
      </c>
      <c r="W278" s="2" t="n">
        <v>40</v>
      </c>
      <c r="X278" s="2" t="n">
        <v>40</v>
      </c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>
        <f>IF(F278=1,V278*2,IF(F278=2,V278*F278*2,IF(F278&gt;2,F278*2*V278)))</f>
        <v/>
      </c>
      <c r="AW278" s="2">
        <f>SUM(W278:AU278)</f>
        <v/>
      </c>
    </row>
    <row r="279">
      <c r="A279" s="2" t="inlineStr">
        <is>
          <t>14-D-A394</t>
        </is>
      </c>
      <c r="B279" s="3" t="inlineStr">
        <is>
          <t>DOJC-SM-LC/PC-LC/PC</t>
        </is>
      </c>
      <c r="C279" s="2" t="inlineStr">
        <is>
          <t>70M_적색</t>
        </is>
      </c>
      <c r="D279" s="2" t="inlineStr">
        <is>
          <t>a1-적</t>
        </is>
      </c>
      <c r="E279" s="2" t="inlineStr">
        <is>
          <t>2.0mm</t>
        </is>
      </c>
      <c r="F279" s="2" t="n">
        <v>2</v>
      </c>
      <c r="G279" s="2" t="n">
        <v>70</v>
      </c>
      <c r="H279" s="2" t="inlineStr">
        <is>
          <t>LC/PC</t>
        </is>
      </c>
      <c r="I279" s="2" t="inlineStr">
        <is>
          <t>LC/PC</t>
        </is>
      </c>
      <c r="J279" s="2" t="n"/>
      <c r="K279" s="2" t="n"/>
      <c r="L279" s="2" t="n"/>
      <c r="M279" s="2" t="n">
        <v>20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>
        <f>SUM(J279:U279)</f>
        <v/>
      </c>
      <c r="W279" s="2" t="n">
        <v>40</v>
      </c>
      <c r="X279" s="2" t="n">
        <v>40</v>
      </c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>
        <f>IF(F279=1,V279*2,IF(F279=2,V279*F279*2,IF(F279&gt;2,F279*2*V279)))</f>
        <v/>
      </c>
      <c r="AW279" s="2">
        <f>SUM(W279:AU279)</f>
        <v/>
      </c>
    </row>
    <row r="280">
      <c r="A280" s="2" t="inlineStr">
        <is>
          <t>14-D-A395</t>
        </is>
      </c>
      <c r="B280" s="3" t="inlineStr">
        <is>
          <t>DOJC-SM-LC/PC-LC/PC</t>
        </is>
      </c>
      <c r="C280" s="2" t="inlineStr">
        <is>
          <t>75M_적색</t>
        </is>
      </c>
      <c r="D280" s="2" t="inlineStr">
        <is>
          <t>a1-적</t>
        </is>
      </c>
      <c r="E280" s="2" t="inlineStr">
        <is>
          <t>2.0mm</t>
        </is>
      </c>
      <c r="F280" s="2" t="n">
        <v>2</v>
      </c>
      <c r="G280" s="2" t="n">
        <v>75</v>
      </c>
      <c r="H280" s="2" t="inlineStr">
        <is>
          <t>LC/PC</t>
        </is>
      </c>
      <c r="I280" s="2" t="inlineStr">
        <is>
          <t>LC/PC</t>
        </is>
      </c>
      <c r="J280" s="2" t="n"/>
      <c r="K280" s="2" t="n"/>
      <c r="L280" s="2" t="n"/>
      <c r="M280" s="2" t="n">
        <v>20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</f>
        <v/>
      </c>
      <c r="W280" s="2" t="n">
        <v>40</v>
      </c>
      <c r="X280" s="2" t="n">
        <v>40</v>
      </c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>
        <f>IF(F280=1,V280*2,IF(F280=2,V280*F280*2,IF(F280&gt;2,F280*2*V280)))</f>
        <v/>
      </c>
      <c r="AW280" s="2">
        <f>SUM(W280:AU280)</f>
        <v/>
      </c>
    </row>
    <row r="281">
      <c r="A281" s="2" t="inlineStr">
        <is>
          <t>14-D-A397</t>
        </is>
      </c>
      <c r="B281" s="3" t="inlineStr">
        <is>
          <t>DOJC-SM-LC/PC-LC/PC</t>
        </is>
      </c>
      <c r="C281" s="2" t="inlineStr">
        <is>
          <t>9M_청색</t>
        </is>
      </c>
      <c r="D281" s="2" t="inlineStr">
        <is>
          <t>a1-청</t>
        </is>
      </c>
      <c r="E281" s="2" t="inlineStr">
        <is>
          <t>2.0mm</t>
        </is>
      </c>
      <c r="F281" s="2" t="n">
        <v>2</v>
      </c>
      <c r="G281" s="2" t="n">
        <v>9</v>
      </c>
      <c r="H281" s="2" t="inlineStr">
        <is>
          <t>LC/PC</t>
        </is>
      </c>
      <c r="I281" s="2" t="inlineStr">
        <is>
          <t>LC/PC</t>
        </is>
      </c>
      <c r="J281" s="2" t="n"/>
      <c r="K281" s="2" t="n"/>
      <c r="L281" s="2" t="n"/>
      <c r="M281" s="2" t="n"/>
      <c r="N281" s="2" t="n">
        <v>20</v>
      </c>
      <c r="O281" s="2" t="n"/>
      <c r="P281" s="2" t="n">
        <v>60</v>
      </c>
      <c r="Q281" s="2" t="n"/>
      <c r="R281" s="2" t="n"/>
      <c r="S281" s="2" t="n"/>
      <c r="T281" s="2" t="n"/>
      <c r="U281" s="2" t="n"/>
      <c r="V281" s="2">
        <f>SUM(J281:U281)</f>
        <v/>
      </c>
      <c r="W281" s="2" t="n">
        <v>160</v>
      </c>
      <c r="X281" s="2" t="n">
        <v>160</v>
      </c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>
        <f>IF(F281=1,V281*2,IF(F281=2,V281*F281*2,IF(F281&gt;2,F281*2*V281)))</f>
        <v/>
      </c>
      <c r="AW281" s="2">
        <f>SUM(W281:AU281)</f>
        <v/>
      </c>
    </row>
    <row r="282">
      <c r="A282" s="2" t="inlineStr">
        <is>
          <t>14-D-A398</t>
        </is>
      </c>
      <c r="B282" s="3" t="inlineStr">
        <is>
          <t>DOJC-SM-SC/APC-SC/APC</t>
        </is>
      </c>
      <c r="C282" s="2" t="inlineStr">
        <is>
          <t>60M</t>
        </is>
      </c>
      <c r="D282" s="2" t="inlineStr">
        <is>
          <t>a1</t>
        </is>
      </c>
      <c r="E282" s="2" t="inlineStr">
        <is>
          <t>2.0mm</t>
        </is>
      </c>
      <c r="F282" s="2" t="n">
        <v>2</v>
      </c>
      <c r="G282" s="2" t="n">
        <v>60</v>
      </c>
      <c r="H282" s="2" t="inlineStr">
        <is>
          <t>SC/APC</t>
        </is>
      </c>
      <c r="I282" s="2" t="inlineStr">
        <is>
          <t>SC/APC</t>
        </is>
      </c>
      <c r="J282" s="2" t="n"/>
      <c r="K282" s="2" t="n"/>
      <c r="L282" s="2" t="n"/>
      <c r="M282" s="2" t="n"/>
      <c r="N282" s="2" t="n">
        <v>1</v>
      </c>
      <c r="O282" s="2" t="n"/>
      <c r="P282" s="2" t="n"/>
      <c r="Q282" s="2" t="n"/>
      <c r="R282" s="2" t="n"/>
      <c r="S282" s="2" t="n"/>
      <c r="T282" s="2" t="n"/>
      <c r="U282" s="2" t="n"/>
      <c r="V282" s="2">
        <f>SUM(J282:U282)</f>
        <v/>
      </c>
      <c r="W282" s="2" t="n"/>
      <c r="X282" s="2" t="n"/>
      <c r="Y282" s="2" t="n"/>
      <c r="Z282" s="2" t="n"/>
      <c r="AA282" s="2" t="n"/>
      <c r="AB282" s="2" t="n"/>
      <c r="AC282" s="2" t="n">
        <v>2</v>
      </c>
      <c r="AD282" s="2" t="n">
        <v>2</v>
      </c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>
        <f>IF(F282=1,V282*2,IF(F282=2,V282*F282*2,IF(F282&gt;2,F282*2*V282)))</f>
        <v/>
      </c>
      <c r="AW282" s="2">
        <f>SUM(W282:AU282)</f>
        <v/>
      </c>
    </row>
    <row r="283">
      <c r="A283" s="2" t="inlineStr">
        <is>
          <t>14-D-A403</t>
        </is>
      </c>
      <c r="B283" s="3" t="inlineStr">
        <is>
          <t>DOJC-MM-LC/PC-SC/APC</t>
        </is>
      </c>
      <c r="C283" s="2" t="inlineStr">
        <is>
          <t>20M</t>
        </is>
      </c>
      <c r="D283" s="2" t="inlineStr">
        <is>
          <t>om1</t>
        </is>
      </c>
      <c r="E283" s="2" t="inlineStr">
        <is>
          <t>2.0mm</t>
        </is>
      </c>
      <c r="F283" s="2" t="n">
        <v>2</v>
      </c>
      <c r="G283" s="2" t="n">
        <v>20</v>
      </c>
      <c r="H283" s="2" t="inlineStr">
        <is>
          <t>LC/PC</t>
        </is>
      </c>
      <c r="I283" s="2" t="inlineStr">
        <is>
          <t>SC/APC</t>
        </is>
      </c>
      <c r="J283" s="2" t="n"/>
      <c r="K283" s="2" t="n"/>
      <c r="L283" s="2" t="n"/>
      <c r="M283" s="2" t="n"/>
      <c r="N283" s="2" t="n"/>
      <c r="O283" s="2" t="n"/>
      <c r="P283" s="2" t="n">
        <v>10</v>
      </c>
      <c r="Q283" s="2" t="n"/>
      <c r="R283" s="2" t="n"/>
      <c r="S283" s="2" t="n"/>
      <c r="T283" s="2" t="n"/>
      <c r="U283" s="2" t="n"/>
      <c r="V283" s="2">
        <f>SUM(J283:U283)</f>
        <v/>
      </c>
      <c r="W283" s="2" t="n"/>
      <c r="X283" s="2" t="n"/>
      <c r="Y283" s="2" t="n"/>
      <c r="Z283" s="2" t="n"/>
      <c r="AA283" s="2" t="n"/>
      <c r="AB283" s="2" t="n"/>
      <c r="AC283" s="2" t="n"/>
      <c r="AD283" s="2" t="n">
        <v>20</v>
      </c>
      <c r="AE283" s="2" t="n"/>
      <c r="AF283" s="2" t="n"/>
      <c r="AG283" s="2" t="n"/>
      <c r="AH283" s="2" t="n"/>
      <c r="AI283" s="2" t="n">
        <v>20</v>
      </c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>
        <f>IF(F283=1,V283*2,IF(F283=2,V283*F283*2,IF(F283&gt;2,F283*2*V283)))</f>
        <v/>
      </c>
      <c r="AW283" s="2">
        <f>SUM(W283:AU283)</f>
        <v/>
      </c>
    </row>
    <row r="284">
      <c r="A284" s="2" t="inlineStr">
        <is>
          <t>14-D-A405</t>
        </is>
      </c>
      <c r="B284" s="3" t="inlineStr">
        <is>
          <t>OJC-A1-SC/LC-SM-60-PC/PC-DP</t>
        </is>
      </c>
      <c r="C284" s="2" t="inlineStr">
        <is>
          <t>자색</t>
        </is>
      </c>
      <c r="D284" s="2" t="inlineStr">
        <is>
          <t>a1-자</t>
        </is>
      </c>
      <c r="E284" s="2" t="inlineStr">
        <is>
          <t>2.0mm</t>
        </is>
      </c>
      <c r="F284" s="2" t="n">
        <v>2</v>
      </c>
      <c r="G284" s="2" t="n">
        <v>60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/>
      <c r="O284" s="2" t="n"/>
      <c r="P284" s="2" t="n">
        <v>2</v>
      </c>
      <c r="Q284" s="2" t="n"/>
      <c r="R284" s="2" t="n"/>
      <c r="S284" s="2" t="n"/>
      <c r="T284" s="2" t="n"/>
      <c r="U284" s="2" t="n"/>
      <c r="V284" s="2">
        <f>SUM(J284:U284)</f>
        <v/>
      </c>
      <c r="W284" s="2" t="n"/>
      <c r="X284" s="2" t="n">
        <v>4</v>
      </c>
      <c r="Y284" s="2" t="n"/>
      <c r="Z284" s="2" t="n"/>
      <c r="AA284" s="2" t="n">
        <v>4</v>
      </c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>
        <f>IF(F284=1,V284*2,IF(F284=2,V284*F284*2,IF(F284&gt;2,F284*2*V284)))</f>
        <v/>
      </c>
      <c r="AW284" s="2">
        <f>SUM(W284:AU284)</f>
        <v/>
      </c>
    </row>
    <row r="285">
      <c r="A285" s="2" t="inlineStr">
        <is>
          <t>14-D-A406</t>
        </is>
      </c>
      <c r="B285" s="3" t="inlineStr">
        <is>
          <t>DOJC-MM(OM3)-LC/PC-LC/PC</t>
        </is>
      </c>
      <c r="C285" s="2" t="inlineStr">
        <is>
          <t>9M</t>
        </is>
      </c>
      <c r="D285" s="2" t="inlineStr">
        <is>
          <t>om3</t>
        </is>
      </c>
      <c r="E285" s="2" t="inlineStr">
        <is>
          <t>2.0mm</t>
        </is>
      </c>
      <c r="F285" s="2" t="n">
        <v>2</v>
      </c>
      <c r="G285" s="2" t="n">
        <v>9</v>
      </c>
      <c r="H285" s="2" t="inlineStr">
        <is>
          <t>LC/PC</t>
        </is>
      </c>
      <c r="I285" s="2" t="inlineStr">
        <is>
          <t>LC/PC</t>
        </is>
      </c>
      <c r="J285" s="2" t="n"/>
      <c r="K285" s="2" t="n"/>
      <c r="L285" s="2" t="n"/>
      <c r="M285" s="2" t="n"/>
      <c r="N285" s="2" t="n"/>
      <c r="O285" s="2" t="n"/>
      <c r="P285" s="2" t="n">
        <v>15</v>
      </c>
      <c r="Q285" s="2" t="n"/>
      <c r="R285" s="2" t="n"/>
      <c r="S285" s="2" t="n"/>
      <c r="T285" s="2" t="n"/>
      <c r="U285" s="2" t="n"/>
      <c r="V285" s="2">
        <f>SUM(J285:U285)</f>
        <v/>
      </c>
      <c r="W285" s="2" t="n"/>
      <c r="X285" s="2" t="n">
        <v>30</v>
      </c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>
        <v>30</v>
      </c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>
        <f>IF(F285=1,V285*2,IF(F285=2,V285*F285*2,IF(F285&gt;2,F285*2*V285)))</f>
        <v/>
      </c>
      <c r="AW285" s="2">
        <f>SUM(W285:AU285)</f>
        <v/>
      </c>
    </row>
    <row r="286">
      <c r="A286" s="2" t="inlineStr">
        <is>
          <t>14-D-A407</t>
        </is>
      </c>
      <c r="B286" s="3" t="inlineStr">
        <is>
          <t>DOJC-SM-LC/PC-FC/APC</t>
        </is>
      </c>
      <c r="C286" s="2" t="inlineStr">
        <is>
          <t>20M_청색</t>
        </is>
      </c>
      <c r="D286" s="2" t="inlineStr">
        <is>
          <t>a1-청</t>
        </is>
      </c>
      <c r="E286" s="2" t="inlineStr">
        <is>
          <t>2.0mm</t>
        </is>
      </c>
      <c r="F286" s="2" t="n">
        <v>2</v>
      </c>
      <c r="G286" s="2" t="n">
        <v>20</v>
      </c>
      <c r="H286" s="2" t="inlineStr">
        <is>
          <t>LC/PC</t>
        </is>
      </c>
      <c r="I286" s="2" t="inlineStr">
        <is>
          <t>FC/APC</t>
        </is>
      </c>
      <c r="J286" s="2" t="n"/>
      <c r="K286" s="2" t="n"/>
      <c r="L286" s="2" t="n"/>
      <c r="M286" s="2" t="n"/>
      <c r="N286" s="2" t="n"/>
      <c r="O286" s="2" t="n"/>
      <c r="P286" s="2" t="n">
        <v>1</v>
      </c>
      <c r="Q286" s="2" t="n"/>
      <c r="R286" s="2" t="n"/>
      <c r="S286" s="2" t="n"/>
      <c r="T286" s="2" t="n"/>
      <c r="U286" s="2" t="n"/>
      <c r="V286" s="2">
        <f>SUM(J286:U286)</f>
        <v/>
      </c>
      <c r="W286" s="2" t="n">
        <v>2</v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>
        <v>2</v>
      </c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>
        <f>IF(F286=1,V286*2,IF(F286=2,V286*F286*2,IF(F286&gt;2,F286*2*V286)))</f>
        <v/>
      </c>
      <c r="AW286" s="2">
        <f>SUM(W286:AU286)</f>
        <v/>
      </c>
    </row>
    <row r="287">
      <c r="A287" s="2" t="inlineStr">
        <is>
          <t>14-D-A408</t>
        </is>
      </c>
      <c r="B287" s="3" t="inlineStr">
        <is>
          <t>DOJC-SM-LC/PC-FC/APC</t>
        </is>
      </c>
      <c r="C287" s="2" t="inlineStr">
        <is>
          <t>25M_청색</t>
        </is>
      </c>
      <c r="D287" s="2" t="inlineStr">
        <is>
          <t>a1-청</t>
        </is>
      </c>
      <c r="E287" s="2" t="inlineStr">
        <is>
          <t>2.0mm</t>
        </is>
      </c>
      <c r="F287" s="2" t="n">
        <v>2</v>
      </c>
      <c r="G287" s="2" t="n">
        <v>25</v>
      </c>
      <c r="H287" s="2" t="inlineStr">
        <is>
          <t>LC/PC</t>
        </is>
      </c>
      <c r="I287" s="2" t="inlineStr">
        <is>
          <t>FC/APC</t>
        </is>
      </c>
      <c r="J287" s="2" t="n"/>
      <c r="K287" s="2" t="n"/>
      <c r="L287" s="2" t="n"/>
      <c r="M287" s="2" t="n"/>
      <c r="N287" s="2" t="n"/>
      <c r="O287" s="2" t="n"/>
      <c r="P287" s="2" t="n">
        <v>1</v>
      </c>
      <c r="Q287" s="2" t="n"/>
      <c r="R287" s="2" t="n"/>
      <c r="S287" s="2" t="n"/>
      <c r="T287" s="2" t="n"/>
      <c r="U287" s="2" t="n"/>
      <c r="V287" s="2">
        <f>SUM(J287:U287)</f>
        <v/>
      </c>
      <c r="W287" s="2" t="n">
        <v>2</v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>
        <v>2</v>
      </c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>
        <f>IF(F287=1,V287*2,IF(F287=2,V287*F287*2,IF(F287&gt;2,F287*2*V287)))</f>
        <v/>
      </c>
      <c r="AW287" s="2">
        <f>SUM(W287:AU287)</f>
        <v/>
      </c>
    </row>
    <row r="288">
      <c r="A288" s="2" t="inlineStr">
        <is>
          <t>14-D-A409</t>
        </is>
      </c>
      <c r="B288" s="3" t="inlineStr">
        <is>
          <t>DOJC-SM-LC/PC-LC/PC</t>
        </is>
      </c>
      <c r="C288" s="2" t="inlineStr">
        <is>
          <t>2M_청색</t>
        </is>
      </c>
      <c r="D288" s="2" t="inlineStr">
        <is>
          <t>a1-청</t>
        </is>
      </c>
      <c r="E288" s="2" t="inlineStr">
        <is>
          <t>2.0mm</t>
        </is>
      </c>
      <c r="F288" s="2" t="n">
        <v>2</v>
      </c>
      <c r="G288" s="2" t="n">
        <v>2</v>
      </c>
      <c r="H288" s="2" t="inlineStr">
        <is>
          <t>LC/PC</t>
        </is>
      </c>
      <c r="I288" s="2" t="inlineStr">
        <is>
          <t>LC/PC</t>
        </is>
      </c>
      <c r="J288" s="2" t="n"/>
      <c r="K288" s="2" t="n"/>
      <c r="L288" s="2" t="n"/>
      <c r="M288" s="2" t="n"/>
      <c r="N288" s="2" t="n"/>
      <c r="O288" s="2" t="n"/>
      <c r="P288" s="2" t="n">
        <v>60</v>
      </c>
      <c r="Q288" s="2" t="n"/>
      <c r="R288" s="2" t="n"/>
      <c r="S288" s="2" t="n"/>
      <c r="T288" s="2" t="n"/>
      <c r="U288" s="2" t="n"/>
      <c r="V288" s="2">
        <f>SUM(J288:U288)</f>
        <v/>
      </c>
      <c r="W288" s="2" t="n">
        <v>120</v>
      </c>
      <c r="X288" s="2" t="n">
        <v>120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>
        <f>IF(F288=1,V288*2,IF(F288=2,V288*F288*2,IF(F288&gt;2,F288*2*V288)))</f>
        <v/>
      </c>
      <c r="AW288" s="2">
        <f>SUM(W288:AU288)</f>
        <v/>
      </c>
    </row>
    <row r="289">
      <c r="A289" s="2" t="inlineStr">
        <is>
          <t>14-D-A411</t>
        </is>
      </c>
      <c r="B289" s="3" t="inlineStr">
        <is>
          <t>DOJC-SM-LC/PC-LC/PC</t>
        </is>
      </c>
      <c r="C289" s="2" t="inlineStr">
        <is>
          <t>4M_청색</t>
        </is>
      </c>
      <c r="D289" s="2" t="inlineStr">
        <is>
          <t>a1-청</t>
        </is>
      </c>
      <c r="E289" s="2" t="inlineStr">
        <is>
          <t>2.0mm</t>
        </is>
      </c>
      <c r="F289" s="2" t="n">
        <v>2</v>
      </c>
      <c r="G289" s="2" t="n">
        <v>4</v>
      </c>
      <c r="H289" s="2" t="inlineStr">
        <is>
          <t>LC/PC</t>
        </is>
      </c>
      <c r="I289" s="2" t="inlineStr">
        <is>
          <t>LC/PC</t>
        </is>
      </c>
      <c r="J289" s="2" t="n"/>
      <c r="K289" s="2" t="n"/>
      <c r="L289" s="2" t="n"/>
      <c r="M289" s="2" t="n"/>
      <c r="N289" s="2" t="n"/>
      <c r="O289" s="2" t="n"/>
      <c r="P289" s="2" t="n">
        <v>120</v>
      </c>
      <c r="Q289" s="2" t="n"/>
      <c r="R289" s="2" t="n"/>
      <c r="S289" s="2" t="n"/>
      <c r="T289" s="2" t="n"/>
      <c r="U289" s="2" t="n"/>
      <c r="V289" s="2">
        <f>SUM(J289:U289)</f>
        <v/>
      </c>
      <c r="W289" s="2" t="n">
        <v>240</v>
      </c>
      <c r="X289" s="2" t="n">
        <v>240</v>
      </c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>
        <f>IF(F289=1,V289*2,IF(F289=2,V289*F289*2,IF(F289&gt;2,F289*2*V289)))</f>
        <v/>
      </c>
      <c r="AW289" s="2">
        <f>SUM(W289:AU289)</f>
        <v/>
      </c>
    </row>
    <row r="290">
      <c r="A290" s="2" t="inlineStr">
        <is>
          <t>14-D-A415</t>
        </is>
      </c>
      <c r="B290" s="3" t="inlineStr">
        <is>
          <t>DOJC-SM-LC/PC-LC/PC</t>
        </is>
      </c>
      <c r="C290" s="2" t="inlineStr">
        <is>
          <t>0.4M_청색</t>
        </is>
      </c>
      <c r="D290" s="2" t="inlineStr">
        <is>
          <t>a1-청</t>
        </is>
      </c>
      <c r="E290" s="2" t="inlineStr">
        <is>
          <t>2.0mm</t>
        </is>
      </c>
      <c r="F290" s="2" t="n">
        <v>2</v>
      </c>
      <c r="G290" s="2" t="n">
        <v>0.4</v>
      </c>
      <c r="H290" s="2" t="inlineStr">
        <is>
          <t>LC/PC</t>
        </is>
      </c>
      <c r="I290" s="2" t="inlineStr">
        <is>
          <t>LC/PC</t>
        </is>
      </c>
      <c r="J290" s="2" t="n"/>
      <c r="K290" s="2" t="n"/>
      <c r="L290" s="2" t="n"/>
      <c r="M290" s="2" t="n"/>
      <c r="N290" s="2" t="n"/>
      <c r="O290" s="2" t="n"/>
      <c r="P290" s="2" t="n">
        <v>60</v>
      </c>
      <c r="Q290" s="2" t="n"/>
      <c r="R290" s="2" t="n"/>
      <c r="S290" s="2" t="n"/>
      <c r="T290" s="2" t="n"/>
      <c r="U290" s="2" t="n"/>
      <c r="V290" s="2">
        <f>SUM(J290:U290)</f>
        <v/>
      </c>
      <c r="W290" s="2" t="n">
        <v>120</v>
      </c>
      <c r="X290" s="2" t="n">
        <v>120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>
        <f>IF(F290=1,V290*2,IF(F290=2,V290*F290*2,IF(F290&gt;2,F290*2*V290)))</f>
        <v/>
      </c>
      <c r="AW290" s="2">
        <f>SUM(W290:AU290)</f>
        <v/>
      </c>
    </row>
    <row r="291">
      <c r="A291" s="2" t="inlineStr">
        <is>
          <t>14-D-A416</t>
        </is>
      </c>
      <c r="B291" s="3" t="inlineStr">
        <is>
          <t>DOJC-MM(OM4)-LC/PC-LC/PC</t>
        </is>
      </c>
      <c r="C291" s="2" t="inlineStr">
        <is>
          <t>3M_AQUA, 일체형 클립</t>
        </is>
      </c>
      <c r="D291" s="2" t="inlineStr">
        <is>
          <t>om1</t>
        </is>
      </c>
      <c r="E291" s="2" t="inlineStr">
        <is>
          <t>2.0mm</t>
        </is>
      </c>
      <c r="F291" s="2" t="n">
        <v>2</v>
      </c>
      <c r="G291" s="2" t="n">
        <v>3</v>
      </c>
      <c r="H291" s="2" t="inlineStr">
        <is>
          <t>LC/PC</t>
        </is>
      </c>
      <c r="I291" s="2" t="inlineStr">
        <is>
          <t>LC/PC</t>
        </is>
      </c>
      <c r="J291" s="2" t="n"/>
      <c r="K291" s="2" t="n"/>
      <c r="L291" s="2" t="n"/>
      <c r="M291" s="2" t="n"/>
      <c r="N291" s="2" t="n"/>
      <c r="O291" s="2" t="n"/>
      <c r="P291" s="2" t="n"/>
      <c r="Q291" s="2" t="n">
        <v>10</v>
      </c>
      <c r="R291" s="2" t="n"/>
      <c r="S291" s="2" t="n"/>
      <c r="T291" s="2" t="n"/>
      <c r="U291" s="2" t="n"/>
      <c r="V291" s="2">
        <f>SUM(J291:U291)</f>
        <v/>
      </c>
      <c r="W291" s="2" t="n"/>
      <c r="X291" s="2" t="n">
        <v>20</v>
      </c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>
        <v>20</v>
      </c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>
        <f>IF(F291=1,V291*2,IF(F291=2,V291*F291*2,IF(F291&gt;2,F291*2*V291)))</f>
        <v/>
      </c>
      <c r="AW291" s="2">
        <f>SUM(W291:AU291)</f>
        <v/>
      </c>
    </row>
    <row r="292">
      <c r="A292" s="2" t="inlineStr">
        <is>
          <t>14-D-A417</t>
        </is>
      </c>
      <c r="B292" s="3" t="inlineStr">
        <is>
          <t>DOJC-SM-FC/PC-FC/PC</t>
        </is>
      </c>
      <c r="C292" s="2" t="inlineStr">
        <is>
          <t>2M</t>
        </is>
      </c>
      <c r="D292" s="2" t="inlineStr">
        <is>
          <t>a1</t>
        </is>
      </c>
      <c r="E292" s="2" t="inlineStr">
        <is>
          <t>2.0mm</t>
        </is>
      </c>
      <c r="F292" s="2" t="n">
        <v>2</v>
      </c>
      <c r="G292" s="2" t="n">
        <v>2</v>
      </c>
      <c r="H292" s="2" t="inlineStr">
        <is>
          <t>FC/PC</t>
        </is>
      </c>
      <c r="I292" s="2" t="inlineStr">
        <is>
          <t>FC/PC</t>
        </is>
      </c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>
        <v>20</v>
      </c>
      <c r="S292" s="2" t="n"/>
      <c r="T292" s="2" t="n"/>
      <c r="U292" s="2" t="n"/>
      <c r="V292" s="2">
        <f>SUM(J292:U292)</f>
        <v/>
      </c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>
        <v>40</v>
      </c>
      <c r="AF292" s="2" t="n">
        <v>40</v>
      </c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>
        <f>IF(F292=1,V292*2,IF(F292=2,V292*F292*2,IF(F292&gt;2,F292*2*V292)))</f>
        <v/>
      </c>
      <c r="AW292" s="2">
        <f>SUM(W292:AU292)</f>
        <v/>
      </c>
    </row>
    <row r="293">
      <c r="A293" s="2" t="inlineStr">
        <is>
          <t>14-D-A418</t>
        </is>
      </c>
      <c r="B293" s="3" t="inlineStr">
        <is>
          <t>DOJC-SM-LC/PC-LC/PC</t>
        </is>
      </c>
      <c r="C293" s="2" t="inlineStr">
        <is>
          <t>12M_자색케이블</t>
        </is>
      </c>
      <c r="D293" s="2" t="inlineStr">
        <is>
          <t>a1-자</t>
        </is>
      </c>
      <c r="E293" s="2" t="inlineStr">
        <is>
          <t>2.0mm</t>
        </is>
      </c>
      <c r="F293" s="2" t="n">
        <v>2</v>
      </c>
      <c r="G293" s="2" t="n">
        <v>12</v>
      </c>
      <c r="H293" s="2" t="inlineStr">
        <is>
          <t>LC/PC</t>
        </is>
      </c>
      <c r="I293" s="2" t="inlineStr">
        <is>
          <t>LC/PC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>
        <v>6</v>
      </c>
      <c r="S293" s="2" t="n"/>
      <c r="T293" s="2" t="n"/>
      <c r="U293" s="2" t="n"/>
      <c r="V293" s="2">
        <f>SUM(J293:U293)</f>
        <v/>
      </c>
      <c r="W293" s="2" t="n">
        <v>12</v>
      </c>
      <c r="X293" s="2" t="n">
        <v>12</v>
      </c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>
        <f>IF(F293=1,V293*2,IF(F293=2,V293*F293*2,IF(F293&gt;2,F293*2*V293)))</f>
        <v/>
      </c>
      <c r="AW293" s="2">
        <f>SUM(W293:AU293)</f>
        <v/>
      </c>
    </row>
    <row r="294">
      <c r="A294" s="2" t="inlineStr">
        <is>
          <t>14-D-A419</t>
        </is>
      </c>
      <c r="B294" s="3" t="inlineStr">
        <is>
          <t>DOJC-SM-LC/PC-LC/PC</t>
        </is>
      </c>
      <c r="C294" s="2" t="inlineStr">
        <is>
          <t>22M_자색케이블</t>
        </is>
      </c>
      <c r="D294" s="2" t="inlineStr">
        <is>
          <t>a1-자</t>
        </is>
      </c>
      <c r="E294" s="2" t="inlineStr">
        <is>
          <t>2.0mm</t>
        </is>
      </c>
      <c r="F294" s="2" t="n">
        <v>2</v>
      </c>
      <c r="G294" s="2" t="n">
        <v>22</v>
      </c>
      <c r="H294" s="2" t="inlineStr">
        <is>
          <t>LC/PC</t>
        </is>
      </c>
      <c r="I294" s="2" t="inlineStr">
        <is>
          <t>LC/PC</t>
        </is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>
        <v>12</v>
      </c>
      <c r="S294" s="2" t="n"/>
      <c r="T294" s="2" t="n"/>
      <c r="U294" s="2" t="n"/>
      <c r="V294" s="2">
        <f>SUM(J294:U294)</f>
        <v/>
      </c>
      <c r="W294" s="2" t="n">
        <v>24</v>
      </c>
      <c r="X294" s="2" t="n">
        <v>24</v>
      </c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>
        <f>IF(F294=1,V294*2,IF(F294=2,V294*F294*2,IF(F294&gt;2,F294*2*V294)))</f>
        <v/>
      </c>
      <c r="AW294" s="2">
        <f>SUM(W294:AU294)</f>
        <v/>
      </c>
    </row>
    <row r="295">
      <c r="A295" s="2" t="inlineStr">
        <is>
          <t>14-D-A420</t>
        </is>
      </c>
      <c r="B295" s="3" t="inlineStr">
        <is>
          <t>DOJC-SM-LC/PC-LC/PC</t>
        </is>
      </c>
      <c r="C295" s="2" t="inlineStr">
        <is>
          <t>23M_자색케이블</t>
        </is>
      </c>
      <c r="D295" s="2" t="inlineStr">
        <is>
          <t>a1-자</t>
        </is>
      </c>
      <c r="E295" s="2" t="inlineStr">
        <is>
          <t>2.0mm</t>
        </is>
      </c>
      <c r="F295" s="2" t="n">
        <v>2</v>
      </c>
      <c r="G295" s="2" t="n">
        <v>23</v>
      </c>
      <c r="H295" s="2" t="inlineStr">
        <is>
          <t>LC/PC</t>
        </is>
      </c>
      <c r="I295" s="2" t="inlineStr">
        <is>
          <t>LC/PC</t>
        </is>
      </c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>
        <v>4</v>
      </c>
      <c r="S295" s="2" t="n"/>
      <c r="T295" s="2" t="n"/>
      <c r="U295" s="2" t="n"/>
      <c r="V295" s="2">
        <f>SUM(J295:U295)</f>
        <v/>
      </c>
      <c r="W295" s="2" t="n">
        <v>8</v>
      </c>
      <c r="X295" s="2" t="n">
        <v>8</v>
      </c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>
        <f>IF(F295=1,V295*2,IF(F295=2,V295*F295*2,IF(F295&gt;2,F295*2*V295)))</f>
        <v/>
      </c>
      <c r="AW295" s="2">
        <f>SUM(W295:AU295)</f>
        <v/>
      </c>
    </row>
    <row r="296">
      <c r="A296" s="2" t="inlineStr">
        <is>
          <t>14-D-A421</t>
        </is>
      </c>
      <c r="B296" s="3" t="inlineStr">
        <is>
          <t>DOJC-SM-LC/PC-LC/PC</t>
        </is>
      </c>
      <c r="C296" s="2" t="inlineStr">
        <is>
          <t>26M_자색케이블</t>
        </is>
      </c>
      <c r="D296" s="2" t="inlineStr">
        <is>
          <t>a1-자</t>
        </is>
      </c>
      <c r="E296" s="2" t="inlineStr">
        <is>
          <t>2.0mm</t>
        </is>
      </c>
      <c r="F296" s="2" t="n">
        <v>2</v>
      </c>
      <c r="G296" s="2" t="n">
        <v>26</v>
      </c>
      <c r="H296" s="2" t="inlineStr">
        <is>
          <t>LC/PC</t>
        </is>
      </c>
      <c r="I296" s="2" t="inlineStr">
        <is>
          <t>LC/PC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>
        <v>2</v>
      </c>
      <c r="S296" s="2" t="n"/>
      <c r="T296" s="2" t="n"/>
      <c r="U296" s="2" t="n"/>
      <c r="V296" s="2">
        <f>SUM(J296:U296)</f>
        <v/>
      </c>
      <c r="W296" s="2" t="n">
        <v>4</v>
      </c>
      <c r="X296" s="2" t="n">
        <v>4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>
        <f>IF(F296=1,V296*2,IF(F296=2,V296*F296*2,IF(F296&gt;2,F296*2*V296)))</f>
        <v/>
      </c>
      <c r="AW296" s="2">
        <f>SUM(W296:AU296)</f>
        <v/>
      </c>
    </row>
    <row r="297">
      <c r="A297" s="2" t="inlineStr">
        <is>
          <t>14-D-A422</t>
        </is>
      </c>
      <c r="B297" s="3" t="inlineStr">
        <is>
          <t>DOJC-SM-LC/PC-LC/PC</t>
        </is>
      </c>
      <c r="C297" s="2" t="inlineStr">
        <is>
          <t>27M_자색케이블</t>
        </is>
      </c>
      <c r="D297" s="2" t="inlineStr">
        <is>
          <t>a1-자</t>
        </is>
      </c>
      <c r="E297" s="2" t="inlineStr">
        <is>
          <t>2.0mm</t>
        </is>
      </c>
      <c r="F297" s="2" t="n">
        <v>2</v>
      </c>
      <c r="G297" s="2" t="n">
        <v>27</v>
      </c>
      <c r="H297" s="2" t="inlineStr">
        <is>
          <t>LC/PC</t>
        </is>
      </c>
      <c r="I297" s="2" t="inlineStr">
        <is>
          <t>LC/PC</t>
        </is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>
        <v>8</v>
      </c>
      <c r="S297" s="2" t="n"/>
      <c r="T297" s="2" t="n"/>
      <c r="U297" s="2" t="n"/>
      <c r="V297" s="2">
        <f>SUM(J297:U297)</f>
        <v/>
      </c>
      <c r="W297" s="2" t="n">
        <v>16</v>
      </c>
      <c r="X297" s="2" t="n">
        <v>16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>
        <f>IF(F297=1,V297*2,IF(F297=2,V297*F297*2,IF(F297&gt;2,F297*2*V297)))</f>
        <v/>
      </c>
      <c r="AW297" s="2">
        <f>SUM(W297:AU297)</f>
        <v/>
      </c>
    </row>
    <row r="298">
      <c r="A298" s="2" t="inlineStr">
        <is>
          <t>14-D-A423</t>
        </is>
      </c>
      <c r="B298" s="3" t="inlineStr">
        <is>
          <t>DOJC-SM-LC/PC-LC/PC</t>
        </is>
      </c>
      <c r="C298" s="2" t="inlineStr">
        <is>
          <t>청색_0.5M</t>
        </is>
      </c>
      <c r="D298" s="2" t="inlineStr">
        <is>
          <t>a1-청</t>
        </is>
      </c>
      <c r="E298" s="2" t="inlineStr">
        <is>
          <t>2.0mm</t>
        </is>
      </c>
      <c r="F298" s="2" t="n">
        <v>2</v>
      </c>
      <c r="G298" s="2" t="n">
        <v>0.5</v>
      </c>
      <c r="H298" s="2" t="inlineStr">
        <is>
          <t>LC/PC</t>
        </is>
      </c>
      <c r="I298" s="2" t="inlineStr">
        <is>
          <t>LC/PC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>
        <v>108</v>
      </c>
      <c r="T298" s="2" t="n"/>
      <c r="U298" s="2" t="n"/>
      <c r="V298" s="2">
        <f>SUM(J298:U298)</f>
        <v/>
      </c>
      <c r="W298" s="2" t="n">
        <v>216</v>
      </c>
      <c r="X298" s="2" t="n">
        <v>216</v>
      </c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>
        <f>IF(F298=1,V298*2,IF(F298=2,V298*F298*2,IF(F298&gt;2,F298*2*V298)))</f>
        <v/>
      </c>
      <c r="AW298" s="2">
        <f>SUM(W298:AU298)</f>
        <v/>
      </c>
    </row>
    <row r="299">
      <c r="A299" s="2" t="inlineStr">
        <is>
          <t>14-D-A424</t>
        </is>
      </c>
      <c r="B299" s="3" t="inlineStr">
        <is>
          <t>DOJC-SM-LC/PC-FC/APC</t>
        </is>
      </c>
      <c r="C299" s="2" t="inlineStr">
        <is>
          <t>30M_적색</t>
        </is>
      </c>
      <c r="D299" s="2" t="inlineStr">
        <is>
          <t>a1-적</t>
        </is>
      </c>
      <c r="E299" s="2" t="inlineStr">
        <is>
          <t>2.0mm</t>
        </is>
      </c>
      <c r="F299" s="2" t="n">
        <v>2</v>
      </c>
      <c r="G299" s="2" t="n">
        <v>30</v>
      </c>
      <c r="H299" s="2" t="inlineStr">
        <is>
          <t>LC/PC</t>
        </is>
      </c>
      <c r="I299" s="2" t="inlineStr">
        <is>
          <t>FC/APC</t>
        </is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>
        <v>30</v>
      </c>
      <c r="U299" s="2" t="n"/>
      <c r="V299" s="2">
        <f>SUM(J299:U299)</f>
        <v/>
      </c>
      <c r="W299" s="2" t="n">
        <v>60</v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>
        <v>60</v>
      </c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>
        <f>IF(F299=1,V299*2,IF(F299=2,V299*F299*2,IF(F299&gt;2,F299*2*V299)))</f>
        <v/>
      </c>
      <c r="AW299" s="2">
        <f>SUM(W299:AU299)</f>
        <v/>
      </c>
    </row>
    <row r="300">
      <c r="A300" s="2" t="inlineStr">
        <is>
          <t>14-D-A425</t>
        </is>
      </c>
      <c r="B300" s="3" t="inlineStr">
        <is>
          <t>DOJC-SM-LC/PC-FC/APC</t>
        </is>
      </c>
      <c r="C300" s="2" t="inlineStr">
        <is>
          <t>40M_적색</t>
        </is>
      </c>
      <c r="D300" s="2" t="inlineStr">
        <is>
          <t>a1-적</t>
        </is>
      </c>
      <c r="E300" s="2" t="inlineStr">
        <is>
          <t>2.0mm</t>
        </is>
      </c>
      <c r="F300" s="2" t="n">
        <v>2</v>
      </c>
      <c r="G300" s="2" t="n">
        <v>40</v>
      </c>
      <c r="H300" s="2" t="inlineStr">
        <is>
          <t>LC/PC</t>
        </is>
      </c>
      <c r="I300" s="2" t="inlineStr">
        <is>
          <t>FC/APC</t>
        </is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>
        <v>4</v>
      </c>
      <c r="U300" s="2" t="n"/>
      <c r="V300" s="2">
        <f>SUM(J300:U300)</f>
        <v/>
      </c>
      <c r="W300" s="2" t="n">
        <v>8</v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>
        <v>8</v>
      </c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>
        <f>IF(F300=1,V300*2,IF(F300=2,V300*F300*2,IF(F300&gt;2,F300*2*V300)))</f>
        <v/>
      </c>
      <c r="AW300" s="2">
        <f>SUM(W300:AU300)</f>
        <v/>
      </c>
    </row>
    <row r="301">
      <c r="A301" s="2" t="inlineStr">
        <is>
          <t>14-D-A426</t>
        </is>
      </c>
      <c r="B301" s="3" t="inlineStr">
        <is>
          <t>DOJC-SM-LC/PC-FC/APC</t>
        </is>
      </c>
      <c r="C301" s="2" t="inlineStr">
        <is>
          <t>60M_적색</t>
        </is>
      </c>
      <c r="D301" s="2" t="inlineStr">
        <is>
          <t>a1-적</t>
        </is>
      </c>
      <c r="E301" s="2" t="inlineStr">
        <is>
          <t>2.0mm</t>
        </is>
      </c>
      <c r="F301" s="2" t="n">
        <v>2</v>
      </c>
      <c r="G301" s="2" t="n">
        <v>60</v>
      </c>
      <c r="H301" s="2" t="inlineStr">
        <is>
          <t>LC/PC</t>
        </is>
      </c>
      <c r="I301" s="2" t="inlineStr">
        <is>
          <t>FC/APC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>
        <v>4</v>
      </c>
      <c r="U301" s="2" t="n"/>
      <c r="V301" s="2">
        <f>SUM(J301:U301)</f>
        <v/>
      </c>
      <c r="W301" s="2" t="n">
        <v>8</v>
      </c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>
        <v>8</v>
      </c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>
        <f>IF(F301=1,V301*2,IF(F301=2,V301*F301*2,IF(F301&gt;2,F301*2*V301)))</f>
        <v/>
      </c>
      <c r="AW301" s="2">
        <f>SUM(W301:AU301)</f>
        <v/>
      </c>
    </row>
    <row r="302">
      <c r="A302" s="2" t="inlineStr">
        <is>
          <t>14-D-A427</t>
        </is>
      </c>
      <c r="B302" s="3" t="inlineStr">
        <is>
          <t>DOJC-SM-LC/PC-FC/PC</t>
        </is>
      </c>
      <c r="C302" s="2" t="inlineStr">
        <is>
          <t>30M_적색</t>
        </is>
      </c>
      <c r="D302" s="2" t="inlineStr">
        <is>
          <t>a1-적</t>
        </is>
      </c>
      <c r="E302" s="2" t="inlineStr">
        <is>
          <t>2.0mm</t>
        </is>
      </c>
      <c r="F302" s="2" t="n">
        <v>2</v>
      </c>
      <c r="G302" s="2" t="n">
        <v>30</v>
      </c>
      <c r="H302" s="2" t="inlineStr">
        <is>
          <t>LC/PC</t>
        </is>
      </c>
      <c r="I302" s="2" t="inlineStr">
        <is>
          <t>FC/PC</t>
        </is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>
        <v>30</v>
      </c>
      <c r="U302" s="2" t="n"/>
      <c r="V302" s="2">
        <f>SUM(J302:U302)</f>
        <v/>
      </c>
      <c r="W302" s="2" t="n">
        <v>60</v>
      </c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>
        <v>60</v>
      </c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>
        <f>IF(F302=1,V302*2,IF(F302=2,V302*F302*2,IF(F302&gt;2,F302*2*V302)))</f>
        <v/>
      </c>
      <c r="AW302" s="2">
        <f>SUM(W302:AU302)</f>
        <v/>
      </c>
    </row>
    <row r="303">
      <c r="A303" s="2" t="inlineStr">
        <is>
          <t>14-D-A428</t>
        </is>
      </c>
      <c r="B303" s="3" t="inlineStr">
        <is>
          <t>DOJC-SM-LC/PC-FC/PC</t>
        </is>
      </c>
      <c r="C303" s="2" t="inlineStr">
        <is>
          <t>40M_적색</t>
        </is>
      </c>
      <c r="D303" s="2" t="inlineStr">
        <is>
          <t>a1-적</t>
        </is>
      </c>
      <c r="E303" s="2" t="inlineStr">
        <is>
          <t>2.0mm</t>
        </is>
      </c>
      <c r="F303" s="2" t="n">
        <v>2</v>
      </c>
      <c r="G303" s="2" t="n">
        <v>40</v>
      </c>
      <c r="H303" s="2" t="inlineStr">
        <is>
          <t>LC/PC</t>
        </is>
      </c>
      <c r="I303" s="2" t="inlineStr">
        <is>
          <t>FC/PC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>
        <v>4</v>
      </c>
      <c r="U303" s="2" t="n"/>
      <c r="V303" s="2">
        <f>SUM(J303:U303)</f>
        <v/>
      </c>
      <c r="W303" s="2" t="n">
        <v>8</v>
      </c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>
        <v>8</v>
      </c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>
        <f>IF(F303=1,V303*2,IF(F303=2,V303*F303*2,IF(F303&gt;2,F303*2*V303)))</f>
        <v/>
      </c>
      <c r="AW303" s="2">
        <f>SUM(W303:AU303)</f>
        <v/>
      </c>
    </row>
    <row r="304">
      <c r="A304" s="2" t="inlineStr">
        <is>
          <t>14-D-A429</t>
        </is>
      </c>
      <c r="B304" s="3" t="inlineStr">
        <is>
          <t>DOJC-SM-LC/PC-FC/PC</t>
        </is>
      </c>
      <c r="C304" s="2" t="inlineStr">
        <is>
          <t>60M_적색</t>
        </is>
      </c>
      <c r="D304" s="2" t="inlineStr">
        <is>
          <t>a1-적</t>
        </is>
      </c>
      <c r="E304" s="2" t="inlineStr">
        <is>
          <t>2.0mm</t>
        </is>
      </c>
      <c r="F304" s="2" t="n">
        <v>2</v>
      </c>
      <c r="G304" s="2" t="n">
        <v>60</v>
      </c>
      <c r="H304" s="2" t="inlineStr">
        <is>
          <t>LC/PC</t>
        </is>
      </c>
      <c r="I304" s="2" t="inlineStr">
        <is>
          <t>FC/PC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4</v>
      </c>
      <c r="U304" s="2" t="n"/>
      <c r="V304" s="2">
        <f>SUM(J304:U304)</f>
        <v/>
      </c>
      <c r="W304" s="2" t="n">
        <v>8</v>
      </c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>
        <v>8</v>
      </c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>
        <f>IF(F304=1,V304*2,IF(F304=2,V304*F304*2,IF(F304&gt;2,F304*2*V304)))</f>
        <v/>
      </c>
      <c r="AW304" s="2">
        <f>SUM(W304:AU304)</f>
        <v/>
      </c>
    </row>
    <row r="305">
      <c r="A305" s="2" t="inlineStr">
        <is>
          <t>14-D-A72</t>
        </is>
      </c>
      <c r="B305" s="3" t="inlineStr">
        <is>
          <t>DOJC-MM(OM3)-LC/PC-LC/PC</t>
        </is>
      </c>
      <c r="C305" s="2" t="inlineStr">
        <is>
          <t>16M</t>
        </is>
      </c>
      <c r="D305" s="2" t="inlineStr">
        <is>
          <t>om3</t>
        </is>
      </c>
      <c r="E305" s="2" t="inlineStr">
        <is>
          <t>2.0mm</t>
        </is>
      </c>
      <c r="F305" s="2" t="n">
        <v>2</v>
      </c>
      <c r="G305" s="2" t="n">
        <v>16</v>
      </c>
      <c r="H305" s="2" t="inlineStr">
        <is>
          <t>LC/PC</t>
        </is>
      </c>
      <c r="I305" s="2" t="inlineStr">
        <is>
          <t>LC/PC</t>
        </is>
      </c>
      <c r="J305" s="2" t="n"/>
      <c r="K305" s="2" t="n">
        <v>15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>
        <f>SUM(J305:U305)</f>
        <v/>
      </c>
      <c r="W305" s="2" t="n"/>
      <c r="X305" s="2" t="n">
        <v>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>
        <v>30</v>
      </c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>
        <f>IF(F305=1,V305*2,IF(F305=2,V305*F305*2,IF(F305&gt;2,F305*2*V305)))</f>
        <v/>
      </c>
      <c r="AW305" s="2">
        <f>SUM(W305:AU305)</f>
        <v/>
      </c>
    </row>
    <row r="306">
      <c r="A306" s="2" t="inlineStr">
        <is>
          <t>14-D-A73</t>
        </is>
      </c>
      <c r="B306" s="3" t="inlineStr">
        <is>
          <t>DOJC-MM(OM3)-LC/PC-LC/PC</t>
        </is>
      </c>
      <c r="C306" s="2" t="inlineStr">
        <is>
          <t>17M</t>
        </is>
      </c>
      <c r="D306" s="2" t="inlineStr">
        <is>
          <t>om3</t>
        </is>
      </c>
      <c r="E306" s="2" t="inlineStr">
        <is>
          <t>2.0mm</t>
        </is>
      </c>
      <c r="F306" s="2" t="n">
        <v>2</v>
      </c>
      <c r="G306" s="2" t="n">
        <v>17</v>
      </c>
      <c r="H306" s="2" t="inlineStr">
        <is>
          <t>LC/PC</t>
        </is>
      </c>
      <c r="I306" s="2" t="inlineStr">
        <is>
          <t>LC/PC</t>
        </is>
      </c>
      <c r="J306" s="2" t="n"/>
      <c r="K306" s="2" t="n">
        <v>6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>
        <f>SUM(J306:U306)</f>
        <v/>
      </c>
      <c r="W306" s="2" t="n"/>
      <c r="X306" s="2" t="n">
        <v>12</v>
      </c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>
        <v>12</v>
      </c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>
        <f>IF(F306=1,V306*2,IF(F306=2,V306*F306*2,IF(F306&gt;2,F306*2*V306)))</f>
        <v/>
      </c>
      <c r="AW306" s="2">
        <f>SUM(W306:AU306)</f>
        <v/>
      </c>
    </row>
    <row r="307">
      <c r="A307" s="2" t="inlineStr">
        <is>
          <t>14-D-A87</t>
        </is>
      </c>
      <c r="B307" s="3" t="inlineStr">
        <is>
          <t>DOJC-SM-LC/PC-LC/PC</t>
        </is>
      </c>
      <c r="C307" s="2" t="inlineStr">
        <is>
          <t>8M_청색</t>
        </is>
      </c>
      <c r="D307" s="2" t="inlineStr">
        <is>
          <t>a1-청</t>
        </is>
      </c>
      <c r="E307" s="2" t="inlineStr">
        <is>
          <t>2.0mm</t>
        </is>
      </c>
      <c r="F307" s="2" t="n">
        <v>2</v>
      </c>
      <c r="G307" s="2" t="n">
        <v>8</v>
      </c>
      <c r="H307" s="2" t="inlineStr">
        <is>
          <t>LC/PC</t>
        </is>
      </c>
      <c r="I307" s="2" t="inlineStr">
        <is>
          <t>LC/PC</t>
        </is>
      </c>
      <c r="J307" s="2" t="n"/>
      <c r="K307" s="2" t="n"/>
      <c r="L307" s="2" t="n"/>
      <c r="M307" s="2" t="n"/>
      <c r="N307" s="2" t="n"/>
      <c r="O307" s="2" t="n"/>
      <c r="P307" s="2" t="n">
        <v>60</v>
      </c>
      <c r="Q307" s="2" t="n"/>
      <c r="R307" s="2" t="n"/>
      <c r="S307" s="2" t="n">
        <v>51</v>
      </c>
      <c r="T307" s="2" t="n"/>
      <c r="U307" s="2" t="n"/>
      <c r="V307" s="2">
        <f>SUM(J307:U307)</f>
        <v/>
      </c>
      <c r="W307" s="2" t="n">
        <v>222</v>
      </c>
      <c r="X307" s="2" t="n">
        <v>222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>
        <f>IF(F307=1,V307*2,IF(F307=2,V307*F307*2,IF(F307&gt;2,F307*2*V307)))</f>
        <v/>
      </c>
      <c r="AW307" s="2">
        <f>SUM(W307:AU307)</f>
        <v/>
      </c>
    </row>
    <row r="308">
      <c r="A308" s="2" t="inlineStr">
        <is>
          <t>14-D-A89</t>
        </is>
      </c>
      <c r="B308" s="3" t="inlineStr">
        <is>
          <t>DOJC-MM(OM4)-LC/PC-LC/PC</t>
        </is>
      </c>
      <c r="C308" s="2" t="inlineStr">
        <is>
          <t>1M_AQUA</t>
        </is>
      </c>
      <c r="D308" s="2" t="inlineStr">
        <is>
          <t>om1</t>
        </is>
      </c>
      <c r="E308" s="2" t="inlineStr">
        <is>
          <t>2.0mm</t>
        </is>
      </c>
      <c r="F308" s="2" t="n">
        <v>2</v>
      </c>
      <c r="G308" s="2" t="n">
        <v>1</v>
      </c>
      <c r="H308" s="2" t="inlineStr">
        <is>
          <t>LC/PC</t>
        </is>
      </c>
      <c r="I308" s="2" t="inlineStr">
        <is>
          <t>LC/PC</t>
        </is>
      </c>
      <c r="J308" s="2" t="n"/>
      <c r="K308" s="2" t="n"/>
      <c r="L308" s="2" t="n"/>
      <c r="M308" s="2" t="n"/>
      <c r="N308" s="2" t="n">
        <v>10</v>
      </c>
      <c r="O308" s="2" t="n"/>
      <c r="P308" s="2" t="n"/>
      <c r="Q308" s="2" t="n"/>
      <c r="R308" s="2" t="n"/>
      <c r="S308" s="2" t="n"/>
      <c r="T308" s="2" t="n"/>
      <c r="U308" s="2" t="n"/>
      <c r="V308" s="2">
        <f>SUM(J308:U308)</f>
        <v/>
      </c>
      <c r="W308" s="2" t="n"/>
      <c r="X308" s="2" t="n">
        <v>20</v>
      </c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>
        <v>20</v>
      </c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>
        <f>IF(F308=1,V308*2,IF(F308=2,V308*F308*2,IF(F308&gt;2,F308*2*V308)))</f>
        <v/>
      </c>
      <c r="AW308" s="2">
        <f>SUM(W308:AU308)</f>
        <v/>
      </c>
    </row>
    <row r="309">
      <c r="A309" s="2" t="inlineStr">
        <is>
          <t>14-D-A90</t>
        </is>
      </c>
      <c r="B309" s="3" t="inlineStr">
        <is>
          <t>DOJC-MM(OM4)-LC/PC-LC/PC</t>
        </is>
      </c>
      <c r="C309" s="2" t="inlineStr">
        <is>
          <t>3M_AQUA</t>
        </is>
      </c>
      <c r="D309" s="2" t="inlineStr">
        <is>
          <t>om1</t>
        </is>
      </c>
      <c r="E309" s="2" t="inlineStr">
        <is>
          <t>2.0mm</t>
        </is>
      </c>
      <c r="F309" s="2" t="n">
        <v>2</v>
      </c>
      <c r="G309" s="2" t="n">
        <v>3</v>
      </c>
      <c r="H309" s="2" t="inlineStr">
        <is>
          <t>LC/PC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>
        <v>10</v>
      </c>
      <c r="O309" s="2" t="n"/>
      <c r="P309" s="2" t="n"/>
      <c r="Q309" s="2" t="n"/>
      <c r="R309" s="2" t="n"/>
      <c r="S309" s="2" t="n"/>
      <c r="T309" s="2" t="n"/>
      <c r="U309" s="2" t="n"/>
      <c r="V309" s="2">
        <f>SUM(J309:U309)</f>
        <v/>
      </c>
      <c r="W309" s="2" t="n"/>
      <c r="X309" s="2" t="n">
        <v>20</v>
      </c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>
        <v>20</v>
      </c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>
        <f>IF(F309=1,V309*2,IF(F309=2,V309*F309*2,IF(F309&gt;2,F309*2*V309)))</f>
        <v/>
      </c>
      <c r="AW309" s="2">
        <f>SUM(W309:AU309)</f>
        <v/>
      </c>
    </row>
    <row r="310">
      <c r="A310" s="2" t="inlineStr">
        <is>
          <t>14-D-A93</t>
        </is>
      </c>
      <c r="B310" s="3" t="inlineStr">
        <is>
          <t>DOJC-MM(OM4)-LC/PC-LC/PC</t>
        </is>
      </c>
      <c r="C310" s="2" t="inlineStr">
        <is>
          <t>10M_AQUA</t>
        </is>
      </c>
      <c r="D310" s="2" t="inlineStr">
        <is>
          <t>om1</t>
        </is>
      </c>
      <c r="E310" s="2" t="inlineStr">
        <is>
          <t>2.0mm</t>
        </is>
      </c>
      <c r="F310" s="2" t="n">
        <v>2</v>
      </c>
      <c r="G310" s="2" t="n">
        <v>10</v>
      </c>
      <c r="H310" s="2" t="inlineStr">
        <is>
          <t>LC/PC</t>
        </is>
      </c>
      <c r="I310" s="2" t="inlineStr">
        <is>
          <t>LC/PC</t>
        </is>
      </c>
      <c r="J310" s="2" t="n"/>
      <c r="K310" s="2" t="n"/>
      <c r="L310" s="2" t="n"/>
      <c r="M310" s="2" t="n"/>
      <c r="N310" s="2" t="n">
        <v>10</v>
      </c>
      <c r="O310" s="2" t="n"/>
      <c r="P310" s="2" t="n"/>
      <c r="Q310" s="2" t="n"/>
      <c r="R310" s="2" t="n"/>
      <c r="S310" s="2" t="n"/>
      <c r="T310" s="2" t="n"/>
      <c r="U310" s="2" t="n"/>
      <c r="V310" s="2">
        <f>SUM(J310:U310)</f>
        <v/>
      </c>
      <c r="W310" s="2" t="n"/>
      <c r="X310" s="2" t="n">
        <v>20</v>
      </c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>
        <v>20</v>
      </c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>
        <f>IF(F310=1,V310*2,IF(F310=2,V310*F310*2,IF(F310&gt;2,F310*2*V310)))</f>
        <v/>
      </c>
      <c r="AW310" s="2">
        <f>SUM(W310:AU310)</f>
        <v/>
      </c>
    </row>
    <row r="311">
      <c r="A311" s="2" t="inlineStr">
        <is>
          <t>14-D-A99</t>
        </is>
      </c>
      <c r="B311" s="3" t="inlineStr">
        <is>
          <t>OJC-A1-SC/LC-SM-30-PC/PC-DP</t>
        </is>
      </c>
      <c r="C311" s="2" t="inlineStr">
        <is>
          <t>K9089166_녹색</t>
        </is>
      </c>
      <c r="D311" s="2" t="inlineStr">
        <is>
          <t>a1-녹</t>
        </is>
      </c>
      <c r="E311" s="2" t="inlineStr">
        <is>
          <t>2.0mm</t>
        </is>
      </c>
      <c r="F311" s="2" t="n">
        <v>2</v>
      </c>
      <c r="G311" s="2" t="n">
        <v>30</v>
      </c>
      <c r="H311" s="2" t="inlineStr">
        <is>
          <t>SC/PC</t>
        </is>
      </c>
      <c r="I311" s="2" t="inlineStr">
        <is>
          <t>LC/PC</t>
        </is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>
        <v>4</v>
      </c>
      <c r="S311" s="2" t="n"/>
      <c r="T311" s="2" t="n"/>
      <c r="U311" s="2" t="n"/>
      <c r="V311" s="2">
        <f>SUM(J311:U311)</f>
        <v/>
      </c>
      <c r="W311" s="2" t="n"/>
      <c r="X311" s="2" t="n">
        <v>8</v>
      </c>
      <c r="Y311" s="2" t="n"/>
      <c r="Z311" s="2" t="n"/>
      <c r="AA311" s="2" t="n">
        <v>8</v>
      </c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>
        <f>IF(F311=1,V311*2,IF(F311=2,V311*F311*2,IF(F311&gt;2,F311*2*V311)))</f>
        <v/>
      </c>
      <c r="AW311" s="2">
        <f>SUM(W311:AU311)</f>
        <v/>
      </c>
    </row>
    <row r="312">
      <c r="A312" s="2" t="inlineStr">
        <is>
          <t>14-K-021</t>
        </is>
      </c>
      <c r="B312" s="3" t="inlineStr">
        <is>
          <t>OJC-A1-LC/LC-MM(OM3)-10-PC/PC-DP</t>
        </is>
      </c>
      <c r="C312" s="2" t="inlineStr"/>
      <c r="D312" s="2" t="inlineStr">
        <is>
          <t>om3</t>
        </is>
      </c>
      <c r="E312" s="2" t="inlineStr">
        <is>
          <t>2.0mm</t>
        </is>
      </c>
      <c r="F312" s="2" t="n">
        <v>2</v>
      </c>
      <c r="G312" s="2" t="n">
        <v>10</v>
      </c>
      <c r="H312" s="2" t="inlineStr">
        <is>
          <t>LC/PC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>
        <v>24</v>
      </c>
      <c r="P312" s="2" t="n"/>
      <c r="Q312" s="2" t="n"/>
      <c r="R312" s="2" t="n"/>
      <c r="S312" s="2" t="n"/>
      <c r="T312" s="2" t="n"/>
      <c r="U312" s="2" t="n"/>
      <c r="V312" s="2">
        <f>SUM(J312:U312)</f>
        <v/>
      </c>
      <c r="W312" s="2" t="n"/>
      <c r="X312" s="2" t="n">
        <v>48</v>
      </c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>
        <v>48</v>
      </c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>
        <f>IF(F312=1,V312*2,IF(F312=2,V312*F312*2,IF(F312&gt;2,F312*2*V312)))</f>
        <v/>
      </c>
      <c r="AW312" s="2">
        <f>SUM(W312:AU312)</f>
        <v/>
      </c>
    </row>
    <row r="313">
      <c r="A313" s="2" t="inlineStr">
        <is>
          <t>14-K-022</t>
        </is>
      </c>
      <c r="B313" s="3" t="inlineStr">
        <is>
          <t>OJC-A1-LC/LC-MM(OM3)-15-PC/PC-DP</t>
        </is>
      </c>
      <c r="C313" s="2" t="inlineStr"/>
      <c r="D313" s="2" t="inlineStr">
        <is>
          <t>om3</t>
        </is>
      </c>
      <c r="E313" s="2" t="inlineStr">
        <is>
          <t>2.0mm</t>
        </is>
      </c>
      <c r="F313" s="2" t="n">
        <v>2</v>
      </c>
      <c r="G313" s="2" t="n">
        <v>15</v>
      </c>
      <c r="H313" s="2" t="inlineStr">
        <is>
          <t>LC/PC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/>
      <c r="O313" s="2" t="n">
        <v>12</v>
      </c>
      <c r="P313" s="2" t="n"/>
      <c r="Q313" s="2" t="n"/>
      <c r="R313" s="2" t="n"/>
      <c r="S313" s="2" t="n"/>
      <c r="T313" s="2" t="n"/>
      <c r="U313" s="2" t="n"/>
      <c r="V313" s="2">
        <f>SUM(J313:U313)</f>
        <v/>
      </c>
      <c r="W313" s="2" t="n"/>
      <c r="X313" s="2" t="n">
        <v>24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>
        <v>24</v>
      </c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>
        <f>IF(F313=1,V313*2,IF(F313=2,V313*F313*2,IF(F313&gt;2,F313*2*V313)))</f>
        <v/>
      </c>
      <c r="AW313" s="2">
        <f>SUM(W313:AU313)</f>
        <v/>
      </c>
    </row>
    <row r="314">
      <c r="A314" s="2" t="inlineStr">
        <is>
          <t>14-K-024</t>
        </is>
      </c>
      <c r="B314" s="3" t="inlineStr">
        <is>
          <t>OJC-A1-LC/LC-MM(OM3)-20-PC/PC-DP</t>
        </is>
      </c>
      <c r="C314" s="2" t="inlineStr"/>
      <c r="D314" s="2" t="inlineStr">
        <is>
          <t>om3</t>
        </is>
      </c>
      <c r="E314" s="2" t="inlineStr">
        <is>
          <t>2.0mm</t>
        </is>
      </c>
      <c r="F314" s="2" t="n">
        <v>2</v>
      </c>
      <c r="G314" s="2" t="n">
        <v>20</v>
      </c>
      <c r="H314" s="2" t="inlineStr">
        <is>
          <t>LC/PC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/>
      <c r="O314" s="2" t="n">
        <v>6</v>
      </c>
      <c r="P314" s="2" t="n"/>
      <c r="Q314" s="2" t="n"/>
      <c r="R314" s="2" t="n"/>
      <c r="S314" s="2" t="n"/>
      <c r="T314" s="2" t="n"/>
      <c r="U314" s="2" t="n"/>
      <c r="V314" s="2">
        <f>SUM(J314:U314)</f>
        <v/>
      </c>
      <c r="W314" s="2" t="n"/>
      <c r="X314" s="2" t="n">
        <v>12</v>
      </c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>
        <v>12</v>
      </c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>
        <f>IF(F314=1,V314*2,IF(F314=2,V314*F314*2,IF(F314&gt;2,F314*2*V314)))</f>
        <v/>
      </c>
      <c r="AW314" s="2">
        <f>SUM(W314:AU314)</f>
        <v/>
      </c>
    </row>
    <row r="315">
      <c r="A315" s="2" t="inlineStr">
        <is>
          <t>14-K-025</t>
        </is>
      </c>
      <c r="B315" s="3" t="inlineStr">
        <is>
          <t>OJC-A1-LC/LC-MM(OM3)-25-PC/PC-DP</t>
        </is>
      </c>
      <c r="C315" s="2" t="inlineStr"/>
      <c r="D315" s="2" t="inlineStr">
        <is>
          <t>om3</t>
        </is>
      </c>
      <c r="E315" s="2" t="inlineStr">
        <is>
          <t>2.0mm</t>
        </is>
      </c>
      <c r="F315" s="2" t="n">
        <v>2</v>
      </c>
      <c r="G315" s="2" t="n">
        <v>25</v>
      </c>
      <c r="H315" s="2" t="inlineStr">
        <is>
          <t>LC/PC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>
        <v>10</v>
      </c>
      <c r="O315" s="2" t="n">
        <v>4</v>
      </c>
      <c r="P315" s="2" t="n"/>
      <c r="Q315" s="2" t="n">
        <v>15</v>
      </c>
      <c r="R315" s="2" t="n">
        <v>20</v>
      </c>
      <c r="S315" s="2" t="n"/>
      <c r="T315" s="2" t="n">
        <v>3</v>
      </c>
      <c r="U315" s="2" t="n"/>
      <c r="V315" s="2">
        <f>SUM(J315:U315)</f>
        <v/>
      </c>
      <c r="W315" s="2" t="n"/>
      <c r="X315" s="2" t="n">
        <v>104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>
        <v>104</v>
      </c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>
        <f>IF(F315=1,V315*2,IF(F315=2,V315*F315*2,IF(F315&gt;2,F315*2*V315)))</f>
        <v/>
      </c>
      <c r="AW315" s="2">
        <f>SUM(W315:AU315)</f>
        <v/>
      </c>
    </row>
    <row r="316">
      <c r="A316" s="2" t="inlineStr">
        <is>
          <t>14-K-026</t>
        </is>
      </c>
      <c r="B316" s="3" t="inlineStr">
        <is>
          <t>OJC-A1-LC/LC-MM(OM3)-30-PC/PC-DP</t>
        </is>
      </c>
      <c r="C316" s="2" t="inlineStr"/>
      <c r="D316" s="2" t="inlineStr">
        <is>
          <t>om3</t>
        </is>
      </c>
      <c r="E316" s="2" t="inlineStr">
        <is>
          <t>2.0mm</t>
        </is>
      </c>
      <c r="F316" s="2" t="n">
        <v>2</v>
      </c>
      <c r="G316" s="2" t="n">
        <v>30</v>
      </c>
      <c r="H316" s="2" t="inlineStr">
        <is>
          <t>LC/PC</t>
        </is>
      </c>
      <c r="I316" s="2" t="inlineStr">
        <is>
          <t>LC/PC</t>
        </is>
      </c>
      <c r="J316" s="2" t="n"/>
      <c r="K316" s="2" t="n"/>
      <c r="L316" s="2" t="n"/>
      <c r="M316" s="2" t="n"/>
      <c r="N316" s="2" t="n">
        <v>20</v>
      </c>
      <c r="O316" s="2" t="n"/>
      <c r="P316" s="2" t="n"/>
      <c r="Q316" s="2" t="n"/>
      <c r="R316" s="2" t="n">
        <v>20</v>
      </c>
      <c r="S316" s="2" t="n">
        <v>20</v>
      </c>
      <c r="T316" s="2" t="n"/>
      <c r="U316" s="2" t="n"/>
      <c r="V316" s="2">
        <f>SUM(J316:U316)</f>
        <v/>
      </c>
      <c r="W316" s="2" t="n"/>
      <c r="X316" s="2" t="n">
        <v>120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>
        <v>120</v>
      </c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>
        <f>IF(F316=1,V316*2,IF(F316=2,V316*F316*2,IF(F316&gt;2,F316*2*V316)))</f>
        <v/>
      </c>
      <c r="AW316" s="2">
        <f>SUM(W316:AU316)</f>
        <v/>
      </c>
    </row>
    <row r="317">
      <c r="A317" s="2" t="inlineStr">
        <is>
          <t>14-K-027</t>
        </is>
      </c>
      <c r="B317" s="3" t="inlineStr">
        <is>
          <t>OJC-A1-LC/LC-MM(OM3)-35-PC/PC-DP</t>
        </is>
      </c>
      <c r="C317" s="2" t="inlineStr"/>
      <c r="D317" s="2" t="inlineStr">
        <is>
          <t>om3</t>
        </is>
      </c>
      <c r="E317" s="2" t="inlineStr">
        <is>
          <t>2.0mm</t>
        </is>
      </c>
      <c r="F317" s="2" t="n">
        <v>2</v>
      </c>
      <c r="G317" s="2" t="n">
        <v>35</v>
      </c>
      <c r="H317" s="2" t="inlineStr">
        <is>
          <t>LC/PC</t>
        </is>
      </c>
      <c r="I317" s="2" t="inlineStr">
        <is>
          <t>LC/PC</t>
        </is>
      </c>
      <c r="J317" s="2" t="n"/>
      <c r="K317" s="2" t="n"/>
      <c r="L317" s="2" t="n"/>
      <c r="M317" s="2" t="n"/>
      <c r="N317" s="2" t="n"/>
      <c r="O317" s="2" t="n">
        <v>8</v>
      </c>
      <c r="P317" s="2" t="n">
        <v>2</v>
      </c>
      <c r="Q317" s="2" t="n"/>
      <c r="R317" s="2" t="n"/>
      <c r="S317" s="2" t="n">
        <v>10</v>
      </c>
      <c r="T317" s="2" t="n"/>
      <c r="U317" s="2" t="n"/>
      <c r="V317" s="2">
        <f>SUM(J317:U317)</f>
        <v/>
      </c>
      <c r="W317" s="2" t="n"/>
      <c r="X317" s="2" t="n">
        <v>40</v>
      </c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>
        <v>40</v>
      </c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>
        <f>IF(F317=1,V317*2,IF(F317=2,V317*F317*2,IF(F317&gt;2,F317*2*V317)))</f>
        <v/>
      </c>
      <c r="AW317" s="2">
        <f>SUM(W317:AU317)</f>
        <v/>
      </c>
    </row>
    <row r="318">
      <c r="A318" s="2" t="inlineStr">
        <is>
          <t>14-K-028</t>
        </is>
      </c>
      <c r="B318" s="3" t="inlineStr">
        <is>
          <t>OJC-A1-LC/LC-MM(OM3)-3-PC/PC-DP</t>
        </is>
      </c>
      <c r="C318" s="2" t="inlineStr"/>
      <c r="D318" s="2" t="inlineStr">
        <is>
          <t>om3</t>
        </is>
      </c>
      <c r="E318" s="2" t="inlineStr">
        <is>
          <t>2.0mm</t>
        </is>
      </c>
      <c r="F318" s="2" t="n">
        <v>2</v>
      </c>
      <c r="G318" s="2" t="n">
        <v>3</v>
      </c>
      <c r="H318" s="2" t="inlineStr">
        <is>
          <t>LC/PC</t>
        </is>
      </c>
      <c r="I318" s="2" t="inlineStr">
        <is>
          <t>LC/PC</t>
        </is>
      </c>
      <c r="J318" s="2" t="n"/>
      <c r="K318" s="2" t="n">
        <v>4</v>
      </c>
      <c r="L318" s="2" t="n"/>
      <c r="M318" s="2" t="n"/>
      <c r="N318" s="2" t="n"/>
      <c r="O318" s="2" t="n">
        <v>70</v>
      </c>
      <c r="P318" s="2" t="n"/>
      <c r="Q318" s="2" t="n"/>
      <c r="R318" s="2" t="n"/>
      <c r="S318" s="2" t="n"/>
      <c r="T318" s="2" t="n"/>
      <c r="U318" s="2" t="n"/>
      <c r="V318" s="2">
        <f>SUM(J318:U318)</f>
        <v/>
      </c>
      <c r="W318" s="2" t="n"/>
      <c r="X318" s="2" t="n">
        <v>148</v>
      </c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>
        <v>148</v>
      </c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>
        <f>IF(F318=1,V318*2,IF(F318=2,V318*F318*2,IF(F318&gt;2,F318*2*V318)))</f>
        <v/>
      </c>
      <c r="AW318" s="2">
        <f>SUM(W318:AU318)</f>
        <v/>
      </c>
    </row>
    <row r="319">
      <c r="A319" s="2" t="inlineStr">
        <is>
          <t>14-K-031</t>
        </is>
      </c>
      <c r="B319" s="3" t="inlineStr">
        <is>
          <t>OJC-A1-LC/LC-MM(OM3)-5-PC/PC-DP</t>
        </is>
      </c>
      <c r="C319" s="2" t="inlineStr"/>
      <c r="D319" s="2" t="inlineStr">
        <is>
          <t>om3</t>
        </is>
      </c>
      <c r="E319" s="2" t="inlineStr">
        <is>
          <t>2.0mm</t>
        </is>
      </c>
      <c r="F319" s="2" t="n">
        <v>2</v>
      </c>
      <c r="G319" s="2" t="n">
        <v>5</v>
      </c>
      <c r="H319" s="2" t="inlineStr">
        <is>
          <t>LC/PC</t>
        </is>
      </c>
      <c r="I319" s="2" t="inlineStr">
        <is>
          <t>LC/PC</t>
        </is>
      </c>
      <c r="J319" s="2" t="n"/>
      <c r="K319" s="2" t="n">
        <v>8</v>
      </c>
      <c r="L319" s="2" t="n"/>
      <c r="M319" s="2" t="n"/>
      <c r="N319" s="2" t="n"/>
      <c r="O319" s="2" t="n">
        <v>4</v>
      </c>
      <c r="P319" s="2" t="n"/>
      <c r="Q319" s="2" t="n"/>
      <c r="R319" s="2" t="n"/>
      <c r="S319" s="2" t="n">
        <v>1</v>
      </c>
      <c r="T319" s="2" t="n">
        <v>61</v>
      </c>
      <c r="U319" s="2" t="n"/>
      <c r="V319" s="2">
        <f>SUM(J319:U319)</f>
        <v/>
      </c>
      <c r="W319" s="2" t="n"/>
      <c r="X319" s="2" t="n">
        <v>148</v>
      </c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>
        <v>148</v>
      </c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>
        <f>IF(F319=1,V319*2,IF(F319=2,V319*F319*2,IF(F319&gt;2,F319*2*V319)))</f>
        <v/>
      </c>
      <c r="AW319" s="2">
        <f>SUM(W319:AU319)</f>
        <v/>
      </c>
    </row>
    <row r="320">
      <c r="A320" s="2" t="inlineStr">
        <is>
          <t>14-K-034</t>
        </is>
      </c>
      <c r="B320" s="3" t="inlineStr">
        <is>
          <t>OJC-A1-LC/LC-MM-100-PC/PC-DP</t>
        </is>
      </c>
      <c r="C320" s="2" t="inlineStr"/>
      <c r="D320" s="2" t="inlineStr">
        <is>
          <t>om1</t>
        </is>
      </c>
      <c r="E320" s="2" t="inlineStr">
        <is>
          <t>2.0mm</t>
        </is>
      </c>
      <c r="F320" s="2" t="n">
        <v>2</v>
      </c>
      <c r="G320" s="2" t="n">
        <v>100</v>
      </c>
      <c r="H320" s="2" t="inlineStr">
        <is>
          <t>LC/PC</t>
        </is>
      </c>
      <c r="I320" s="2" t="inlineStr">
        <is>
          <t>LC/PC</t>
        </is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>
        <v>9</v>
      </c>
      <c r="U320" s="2" t="n"/>
      <c r="V320" s="2">
        <f>SUM(J320:U320)</f>
        <v/>
      </c>
      <c r="W320" s="2" t="n"/>
      <c r="X320" s="2" t="n">
        <v>18</v>
      </c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>
        <v>18</v>
      </c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>
        <f>IF(F320=1,V320*2,IF(F320=2,V320*F320*2,IF(F320&gt;2,F320*2*V320)))</f>
        <v/>
      </c>
      <c r="AW320" s="2">
        <f>SUM(W320:AU320)</f>
        <v/>
      </c>
    </row>
    <row r="321">
      <c r="A321" s="2" t="inlineStr">
        <is>
          <t>14-K-035</t>
        </is>
      </c>
      <c r="B321" s="3" t="inlineStr">
        <is>
          <t>OJC-A1-LC/LC-MM-10-PC/PC-DP</t>
        </is>
      </c>
      <c r="C321" s="2" t="inlineStr">
        <is>
          <t>K9089334</t>
        </is>
      </c>
      <c r="D321" s="2" t="inlineStr">
        <is>
          <t>om1</t>
        </is>
      </c>
      <c r="E321" s="2" t="inlineStr">
        <is>
          <t>2.0mm</t>
        </is>
      </c>
      <c r="F321" s="2" t="n">
        <v>2</v>
      </c>
      <c r="G321" s="2" t="n">
        <v>10</v>
      </c>
      <c r="H321" s="2" t="inlineStr">
        <is>
          <t>LC/PC</t>
        </is>
      </c>
      <c r="I321" s="2" t="inlineStr">
        <is>
          <t>LC/PC</t>
        </is>
      </c>
      <c r="J321" s="2" t="n"/>
      <c r="K321" s="2" t="n"/>
      <c r="L321" s="2" t="n"/>
      <c r="M321" s="2" t="n">
        <v>218</v>
      </c>
      <c r="N321" s="2" t="n">
        <v>40</v>
      </c>
      <c r="O321" s="2" t="n">
        <v>18</v>
      </c>
      <c r="P321" s="2" t="n"/>
      <c r="Q321" s="2" t="n"/>
      <c r="R321" s="2" t="n"/>
      <c r="S321" s="2" t="n"/>
      <c r="T321" s="2" t="n"/>
      <c r="U321" s="2" t="n"/>
      <c r="V321" s="2">
        <f>SUM(J321:U321)</f>
        <v/>
      </c>
      <c r="W321" s="2" t="n"/>
      <c r="X321" s="2" t="n">
        <v>552</v>
      </c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>
        <v>552</v>
      </c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>
        <f>IF(F321=1,V321*2,IF(F321=2,V321*F321*2,IF(F321&gt;2,F321*2*V321)))</f>
        <v/>
      </c>
      <c r="AW321" s="2">
        <f>SUM(W321:AU321)</f>
        <v/>
      </c>
    </row>
    <row r="322">
      <c r="A322" s="2" t="inlineStr">
        <is>
          <t>14-K-036</t>
        </is>
      </c>
      <c r="B322" s="3" t="inlineStr">
        <is>
          <t>OJC-A1-LC/LC-MM-10-PC/PC-SP</t>
        </is>
      </c>
      <c r="C322" s="2" t="inlineStr">
        <is>
          <t>K9089286</t>
        </is>
      </c>
      <c r="D322" s="2" t="inlineStr">
        <is>
          <t>om1</t>
        </is>
      </c>
      <c r="E322" s="2" t="inlineStr">
        <is>
          <t>2.0mm</t>
        </is>
      </c>
      <c r="F322" s="2" t="n">
        <v>1</v>
      </c>
      <c r="G322" s="2" t="n">
        <v>10</v>
      </c>
      <c r="H322" s="2" t="inlineStr">
        <is>
          <t>LC/PC</t>
        </is>
      </c>
      <c r="I322" s="2" t="inlineStr">
        <is>
          <t>LC/PC</t>
        </is>
      </c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>
        <v>6</v>
      </c>
      <c r="T322" s="2" t="n"/>
      <c r="U322" s="2" t="n"/>
      <c r="V322" s="2">
        <f>SUM(J322:U322)</f>
        <v/>
      </c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>
        <v>12</v>
      </c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>
        <f>IF(F322=1,V322*2,IF(F322=2,V322*F322*2,IF(F322&gt;2,F322*2*V322)))</f>
        <v/>
      </c>
      <c r="AW322" s="2">
        <f>SUM(W322:AU322)</f>
        <v/>
      </c>
    </row>
    <row r="323">
      <c r="A323" s="2" t="inlineStr">
        <is>
          <t>14-K-039</t>
        </is>
      </c>
      <c r="B323" s="3" t="inlineStr">
        <is>
          <t>OJC-A1-LC/LC-MM-15-PC/PC-DP</t>
        </is>
      </c>
      <c r="C323" s="2" t="inlineStr">
        <is>
          <t>K9089335</t>
        </is>
      </c>
      <c r="D323" s="2" t="inlineStr">
        <is>
          <t>om1</t>
        </is>
      </c>
      <c r="E323" s="2" t="inlineStr">
        <is>
          <t>2.0mm</t>
        </is>
      </c>
      <c r="F323" s="2" t="n">
        <v>2</v>
      </c>
      <c r="G323" s="2" t="n">
        <v>15</v>
      </c>
      <c r="H323" s="2" t="inlineStr">
        <is>
          <t>LC/PC</t>
        </is>
      </c>
      <c r="I323" s="2" t="inlineStr">
        <is>
          <t>LC/PC</t>
        </is>
      </c>
      <c r="J323" s="2" t="n">
        <v>172</v>
      </c>
      <c r="K323" s="2" t="n"/>
      <c r="L323" s="2" t="n"/>
      <c r="M323" s="2" t="n">
        <v>30</v>
      </c>
      <c r="N323" s="2" t="n">
        <v>20</v>
      </c>
      <c r="O323" s="2" t="n"/>
      <c r="P323" s="2" t="n"/>
      <c r="Q323" s="2" t="n"/>
      <c r="R323" s="2" t="n"/>
      <c r="S323" s="2" t="n"/>
      <c r="T323" s="2" t="n"/>
      <c r="U323" s="2" t="n"/>
      <c r="V323" s="2">
        <f>SUM(J323:U323)</f>
        <v/>
      </c>
      <c r="W323" s="2" t="n"/>
      <c r="X323" s="2" t="n">
        <v>444</v>
      </c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>
        <v>444</v>
      </c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>
        <f>IF(F323=1,V323*2,IF(F323=2,V323*F323*2,IF(F323&gt;2,F323*2*V323)))</f>
        <v/>
      </c>
      <c r="AW323" s="2">
        <f>SUM(W323:AU323)</f>
        <v/>
      </c>
    </row>
    <row r="324">
      <c r="A324" s="2" t="inlineStr">
        <is>
          <t>14-K-040</t>
        </is>
      </c>
      <c r="B324" s="3" t="inlineStr">
        <is>
          <t>OJC-A1-LC/LC-MM-15-PC/PC-SP</t>
        </is>
      </c>
      <c r="C324" s="2" t="inlineStr">
        <is>
          <t>K9089287</t>
        </is>
      </c>
      <c r="D324" s="2" t="inlineStr">
        <is>
          <t>om1</t>
        </is>
      </c>
      <c r="E324" s="2" t="inlineStr">
        <is>
          <t>2.0mm</t>
        </is>
      </c>
      <c r="F324" s="2" t="n">
        <v>1</v>
      </c>
      <c r="G324" s="2" t="n">
        <v>15</v>
      </c>
      <c r="H324" s="2" t="inlineStr">
        <is>
          <t>LC/PC</t>
        </is>
      </c>
      <c r="I324" s="2" t="inlineStr">
        <is>
          <t>LC/PC</t>
        </is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>
        <v>4</v>
      </c>
      <c r="T324" s="2" t="n"/>
      <c r="U324" s="2" t="n"/>
      <c r="V324" s="2">
        <f>SUM(J324:U324)</f>
        <v/>
      </c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>
        <v>8</v>
      </c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>
        <f>IF(F324=1,V324*2,IF(F324=2,V324*F324*2,IF(F324&gt;2,F324*2*V324)))</f>
        <v/>
      </c>
      <c r="AW324" s="2">
        <f>SUM(W324:AU324)</f>
        <v/>
      </c>
    </row>
    <row r="325">
      <c r="A325" s="2" t="inlineStr">
        <is>
          <t>14-K-042</t>
        </is>
      </c>
      <c r="B325" s="3" t="inlineStr">
        <is>
          <t>OJC-A1-LC/LC-MM-1-PC/PC-DP</t>
        </is>
      </c>
      <c r="C325" s="2" t="inlineStr">
        <is>
          <t>K9089329</t>
        </is>
      </c>
      <c r="D325" s="2" t="inlineStr">
        <is>
          <t>om1</t>
        </is>
      </c>
      <c r="E325" s="2" t="inlineStr">
        <is>
          <t>2.0mm</t>
        </is>
      </c>
      <c r="F325" s="2" t="n">
        <v>2</v>
      </c>
      <c r="G325" s="2" t="n">
        <v>1</v>
      </c>
      <c r="H325" s="2" t="inlineStr">
        <is>
          <t>LC/PC</t>
        </is>
      </c>
      <c r="I325" s="2" t="inlineStr">
        <is>
          <t>LC/PC</t>
        </is>
      </c>
      <c r="J325" s="2" t="n"/>
      <c r="K325" s="2" t="n"/>
      <c r="L325" s="2" t="n"/>
      <c r="M325" s="2" t="n"/>
      <c r="N325" s="2" t="n"/>
      <c r="O325" s="2" t="n"/>
      <c r="P325" s="2" t="n">
        <v>4</v>
      </c>
      <c r="Q325" s="2" t="n">
        <v>14</v>
      </c>
      <c r="R325" s="2" t="n"/>
      <c r="S325" s="2" t="n"/>
      <c r="T325" s="2" t="n"/>
      <c r="U325" s="2" t="n"/>
      <c r="V325" s="2">
        <f>SUM(J325:U325)</f>
        <v/>
      </c>
      <c r="W325" s="2" t="n"/>
      <c r="X325" s="2" t="n">
        <v>36</v>
      </c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>
        <v>36</v>
      </c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>
        <f>IF(F325=1,V325*2,IF(F325=2,V325*F325*2,IF(F325&gt;2,F325*2*V325)))</f>
        <v/>
      </c>
      <c r="AW325" s="2">
        <f>SUM(W325:AU325)</f>
        <v/>
      </c>
    </row>
    <row r="326">
      <c r="A326" s="2" t="inlineStr">
        <is>
          <t>14-K-044</t>
        </is>
      </c>
      <c r="B326" s="3" t="inlineStr">
        <is>
          <t>OJC-A1-LC/LC-MM-20-PC/PC-DP</t>
        </is>
      </c>
      <c r="C326" s="2" t="inlineStr">
        <is>
          <t>K9089336</t>
        </is>
      </c>
      <c r="D326" s="2" t="inlineStr">
        <is>
          <t>om1</t>
        </is>
      </c>
      <c r="E326" s="2" t="inlineStr">
        <is>
          <t>2.0mm</t>
        </is>
      </c>
      <c r="F326" s="2" t="n">
        <v>2</v>
      </c>
      <c r="G326" s="2" t="n">
        <v>20</v>
      </c>
      <c r="H326" s="2" t="inlineStr">
        <is>
          <t>LC/PC</t>
        </is>
      </c>
      <c r="I326" s="2" t="inlineStr">
        <is>
          <t>LC/PC</t>
        </is>
      </c>
      <c r="J326" s="2" t="n">
        <v>10</v>
      </c>
      <c r="K326" s="2" t="n">
        <v>10</v>
      </c>
      <c r="L326" s="2" t="n"/>
      <c r="M326" s="2" t="n">
        <v>50</v>
      </c>
      <c r="N326" s="2" t="n">
        <v>60</v>
      </c>
      <c r="O326" s="2" t="n"/>
      <c r="P326" s="2" t="n"/>
      <c r="Q326" s="2" t="n"/>
      <c r="R326" s="2" t="n"/>
      <c r="S326" s="2" t="n"/>
      <c r="T326" s="2" t="n"/>
      <c r="U326" s="2" t="n"/>
      <c r="V326" s="2">
        <f>SUM(J326:U326)</f>
        <v/>
      </c>
      <c r="W326" s="2" t="n"/>
      <c r="X326" s="2" t="n">
        <v>260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>
        <v>260</v>
      </c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>
        <f>IF(F326=1,V326*2,IF(F326=2,V326*F326*2,IF(F326&gt;2,F326*2*V326)))</f>
        <v/>
      </c>
      <c r="AW326" s="2">
        <f>SUM(W326:AU326)</f>
        <v/>
      </c>
    </row>
    <row r="327">
      <c r="A327" s="2" t="inlineStr">
        <is>
          <t>14-K-047</t>
        </is>
      </c>
      <c r="B327" s="3" t="inlineStr">
        <is>
          <t>OJC-A1-LC/LC-MM-25-PC/PC-DP</t>
        </is>
      </c>
      <c r="C327" s="2" t="inlineStr">
        <is>
          <t>K9089337</t>
        </is>
      </c>
      <c r="D327" s="2" t="inlineStr">
        <is>
          <t>om1</t>
        </is>
      </c>
      <c r="E327" s="2" t="inlineStr">
        <is>
          <t>2.0mm</t>
        </is>
      </c>
      <c r="F327" s="2" t="n">
        <v>2</v>
      </c>
      <c r="G327" s="2" t="n">
        <v>25</v>
      </c>
      <c r="H327" s="2" t="inlineStr">
        <is>
          <t>LC/PC</t>
        </is>
      </c>
      <c r="I327" s="2" t="inlineStr">
        <is>
          <t>LC/PC</t>
        </is>
      </c>
      <c r="J327" s="2" t="n"/>
      <c r="K327" s="2" t="n"/>
      <c r="L327" s="2" t="n"/>
      <c r="M327" s="2" t="n"/>
      <c r="N327" s="2" t="n">
        <v>20</v>
      </c>
      <c r="O327" s="2" t="n">
        <v>13</v>
      </c>
      <c r="P327" s="2" t="n">
        <v>10</v>
      </c>
      <c r="Q327" s="2" t="n"/>
      <c r="R327" s="2" t="n">
        <v>25</v>
      </c>
      <c r="S327" s="2" t="n">
        <v>10</v>
      </c>
      <c r="T327" s="2" t="n">
        <v>20</v>
      </c>
      <c r="U327" s="2" t="n"/>
      <c r="V327" s="2">
        <f>SUM(J327:U327)</f>
        <v/>
      </c>
      <c r="W327" s="2" t="n"/>
      <c r="X327" s="2" t="n">
        <v>196</v>
      </c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>
        <v>196</v>
      </c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>
        <f>IF(F327=1,V327*2,IF(F327=2,V327*F327*2,IF(F327&gt;2,F327*2*V327)))</f>
        <v/>
      </c>
      <c r="AW327" s="2">
        <f>SUM(W327:AU327)</f>
        <v/>
      </c>
    </row>
    <row r="328">
      <c r="A328" s="2" t="inlineStr">
        <is>
          <t>14-K-051</t>
        </is>
      </c>
      <c r="B328" s="3" t="inlineStr">
        <is>
          <t>OJC-A1-LC/LC-MM-28-PC/PC-DP</t>
        </is>
      </c>
      <c r="C328" s="2" t="inlineStr"/>
      <c r="D328" s="2" t="inlineStr">
        <is>
          <t>om1</t>
        </is>
      </c>
      <c r="E328" s="2" t="inlineStr">
        <is>
          <t>2.0mm</t>
        </is>
      </c>
      <c r="F328" s="2" t="n">
        <v>2</v>
      </c>
      <c r="G328" s="2" t="n">
        <v>28</v>
      </c>
      <c r="H328" s="2" t="inlineStr">
        <is>
          <t>LC/PC</t>
        </is>
      </c>
      <c r="I328" s="2" t="inlineStr">
        <is>
          <t>LC/PC</t>
        </is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>
        <v>2</v>
      </c>
      <c r="T328" s="2" t="n"/>
      <c r="U328" s="2" t="n"/>
      <c r="V328" s="2">
        <f>SUM(J328:U328)</f>
        <v/>
      </c>
      <c r="W328" s="2" t="n"/>
      <c r="X328" s="2" t="n">
        <v>4</v>
      </c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>
        <v>4</v>
      </c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>
        <f>IF(F328=1,V328*2,IF(F328=2,V328*F328*2,IF(F328&gt;2,F328*2*V328)))</f>
        <v/>
      </c>
      <c r="AW328" s="2">
        <f>SUM(W328:AU328)</f>
        <v/>
      </c>
    </row>
    <row r="329">
      <c r="A329" s="2" t="inlineStr">
        <is>
          <t>14-K-052</t>
        </is>
      </c>
      <c r="B329" s="3" t="inlineStr">
        <is>
          <t>OJC-A1-LC/LC-MM-2-PC/PC-DP</t>
        </is>
      </c>
      <c r="C329" s="2" t="inlineStr">
        <is>
          <t>K9089330</t>
        </is>
      </c>
      <c r="D329" s="2" t="inlineStr">
        <is>
          <t>om1</t>
        </is>
      </c>
      <c r="E329" s="2" t="inlineStr">
        <is>
          <t>2.0mm</t>
        </is>
      </c>
      <c r="F329" s="2" t="n">
        <v>2</v>
      </c>
      <c r="G329" s="2" t="n">
        <v>2</v>
      </c>
      <c r="H329" s="2" t="inlineStr">
        <is>
          <t>LC/PC</t>
        </is>
      </c>
      <c r="I329" s="2" t="inlineStr">
        <is>
          <t>LC/PC</t>
        </is>
      </c>
      <c r="J329" s="2" t="n">
        <v>178</v>
      </c>
      <c r="K329" s="2" t="n">
        <v>16</v>
      </c>
      <c r="L329" s="2" t="n"/>
      <c r="M329" s="2" t="n"/>
      <c r="N329" s="2" t="n">
        <v>32</v>
      </c>
      <c r="O329" s="2" t="n">
        <v>90</v>
      </c>
      <c r="P329" s="2" t="n">
        <v>2</v>
      </c>
      <c r="Q329" s="2" t="n">
        <v>5</v>
      </c>
      <c r="R329" s="2" t="n"/>
      <c r="S329" s="2" t="n"/>
      <c r="T329" s="2" t="n">
        <v>8</v>
      </c>
      <c r="U329" s="2" t="n">
        <v>52</v>
      </c>
      <c r="V329" s="2">
        <f>SUM(J329:U329)</f>
        <v/>
      </c>
      <c r="W329" s="2" t="n"/>
      <c r="X329" s="2" t="n">
        <v>766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>
        <v>766</v>
      </c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>
        <f>IF(F329=1,V329*2,IF(F329=2,V329*F329*2,IF(F329&gt;2,F329*2*V329)))</f>
        <v/>
      </c>
      <c r="AW329" s="2">
        <f>SUM(W329:AU329)</f>
        <v/>
      </c>
    </row>
    <row r="330">
      <c r="A330" s="2" t="inlineStr">
        <is>
          <t>14-K-054</t>
        </is>
      </c>
      <c r="B330" s="3" t="inlineStr">
        <is>
          <t>OJC-A1-LC/LC-MM-30-PC/PC-DP</t>
        </is>
      </c>
      <c r="C330" s="2" t="inlineStr">
        <is>
          <t>K9089338</t>
        </is>
      </c>
      <c r="D330" s="2" t="inlineStr">
        <is>
          <t>om1</t>
        </is>
      </c>
      <c r="E330" s="2" t="inlineStr">
        <is>
          <t>2.0mm</t>
        </is>
      </c>
      <c r="F330" s="2" t="n">
        <v>2</v>
      </c>
      <c r="G330" s="2" t="n">
        <v>30</v>
      </c>
      <c r="H330" s="2" t="inlineStr">
        <is>
          <t>LC/PC</t>
        </is>
      </c>
      <c r="I330" s="2" t="inlineStr">
        <is>
          <t>LC/PC</t>
        </is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>
        <v>9</v>
      </c>
      <c r="T330" s="2" t="n">
        <v>10</v>
      </c>
      <c r="U330" s="2" t="n"/>
      <c r="V330" s="2">
        <f>SUM(J330:U330)</f>
        <v/>
      </c>
      <c r="W330" s="2" t="n"/>
      <c r="X330" s="2" t="n">
        <v>38</v>
      </c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>
        <v>38</v>
      </c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>
        <f>IF(F330=1,V330*2,IF(F330=2,V330*F330*2,IF(F330&gt;2,F330*2*V330)))</f>
        <v/>
      </c>
      <c r="AW330" s="2">
        <f>SUM(W330:AU330)</f>
        <v/>
      </c>
    </row>
    <row r="331">
      <c r="A331" s="2" t="inlineStr">
        <is>
          <t>14-K-057</t>
        </is>
      </c>
      <c r="B331" s="3" t="inlineStr">
        <is>
          <t>OJC-A1-LC/LC-MM-35-PC/PC-DP</t>
        </is>
      </c>
      <c r="C331" s="2" t="inlineStr">
        <is>
          <t>K9089339</t>
        </is>
      </c>
      <c r="D331" s="2" t="inlineStr">
        <is>
          <t>om1</t>
        </is>
      </c>
      <c r="E331" s="2" t="inlineStr">
        <is>
          <t>2.0mm</t>
        </is>
      </c>
      <c r="F331" s="2" t="n">
        <v>2</v>
      </c>
      <c r="G331" s="2" t="n">
        <v>35</v>
      </c>
      <c r="H331" s="2" t="inlineStr">
        <is>
          <t>LC/PC</t>
        </is>
      </c>
      <c r="I331" s="2" t="inlineStr">
        <is>
          <t>LC/PC</t>
        </is>
      </c>
      <c r="J331" s="2" t="n">
        <v>8</v>
      </c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>
        <v>10</v>
      </c>
      <c r="T331" s="2" t="n">
        <v>10</v>
      </c>
      <c r="U331" s="2" t="n"/>
      <c r="V331" s="2">
        <f>SUM(J331:U331)</f>
        <v/>
      </c>
      <c r="W331" s="2" t="n"/>
      <c r="X331" s="2" t="n">
        <v>56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>
        <v>56</v>
      </c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>
        <f>IF(F331=1,V331*2,IF(F331=2,V331*F331*2,IF(F331&gt;2,F331*2*V331)))</f>
        <v/>
      </c>
      <c r="AW331" s="2">
        <f>SUM(W331:AU331)</f>
        <v/>
      </c>
    </row>
    <row r="332">
      <c r="A332" s="2" t="inlineStr">
        <is>
          <t>14-K-059</t>
        </is>
      </c>
      <c r="B332" s="3" t="inlineStr">
        <is>
          <t>OJC-A1-LC/LC-MM-3-PC/PC-SP</t>
        </is>
      </c>
      <c r="C332" s="2" t="inlineStr">
        <is>
          <t>K9089283</t>
        </is>
      </c>
      <c r="D332" s="2" t="inlineStr">
        <is>
          <t>om1</t>
        </is>
      </c>
      <c r="E332" s="2" t="inlineStr">
        <is>
          <t>2.0mm</t>
        </is>
      </c>
      <c r="F332" s="2" t="n">
        <v>1</v>
      </c>
      <c r="G332" s="2" t="n">
        <v>3</v>
      </c>
      <c r="H332" s="2" t="inlineStr">
        <is>
          <t>LC/PC</t>
        </is>
      </c>
      <c r="I332" s="2" t="inlineStr">
        <is>
          <t>LC/PC</t>
        </is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>
        <v>10</v>
      </c>
      <c r="T332" s="2" t="n"/>
      <c r="U332" s="2" t="n"/>
      <c r="V332" s="2">
        <f>SUM(J332:U332)</f>
        <v/>
      </c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>
        <v>20</v>
      </c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>
        <f>IF(F332=1,V332*2,IF(F332=2,V332*F332*2,IF(F332&gt;2,F332*2*V332)))</f>
        <v/>
      </c>
      <c r="AW332" s="2">
        <f>SUM(W332:AU332)</f>
        <v/>
      </c>
    </row>
    <row r="333">
      <c r="A333" s="2" t="inlineStr">
        <is>
          <t>14-K-060</t>
        </is>
      </c>
      <c r="B333" s="3" t="inlineStr">
        <is>
          <t>OJC-A1-LC/LC-MM-40-PC/PC-DP</t>
        </is>
      </c>
      <c r="C333" s="2" t="inlineStr">
        <is>
          <t>K9089340</t>
        </is>
      </c>
      <c r="D333" s="2" t="inlineStr">
        <is>
          <t>om1</t>
        </is>
      </c>
      <c r="E333" s="2" t="inlineStr">
        <is>
          <t>2.0mm</t>
        </is>
      </c>
      <c r="F333" s="2" t="n">
        <v>2</v>
      </c>
      <c r="G333" s="2" t="n">
        <v>40</v>
      </c>
      <c r="H333" s="2" t="inlineStr">
        <is>
          <t>LC/PC</t>
        </is>
      </c>
      <c r="I333" s="2" t="inlineStr">
        <is>
          <t>LC/PC</t>
        </is>
      </c>
      <c r="J333" s="2" t="n"/>
      <c r="K333" s="2" t="n"/>
      <c r="L333" s="2" t="n"/>
      <c r="M333" s="2" t="n">
        <v>30</v>
      </c>
      <c r="N333" s="2" t="n"/>
      <c r="O333" s="2" t="n">
        <v>4</v>
      </c>
      <c r="P333" s="2" t="n"/>
      <c r="Q333" s="2" t="n"/>
      <c r="R333" s="2" t="n"/>
      <c r="S333" s="2" t="n"/>
      <c r="T333" s="2" t="n"/>
      <c r="U333" s="2" t="n">
        <v>30</v>
      </c>
      <c r="V333" s="2">
        <f>SUM(J333:U333)</f>
        <v/>
      </c>
      <c r="W333" s="2" t="n"/>
      <c r="X333" s="2" t="n">
        <v>128</v>
      </c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>
        <v>128</v>
      </c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>
        <f>IF(F333=1,V333*2,IF(F333=2,V333*F333*2,IF(F333&gt;2,F333*2*V333)))</f>
        <v/>
      </c>
      <c r="AW333" s="2">
        <f>SUM(W333:AU333)</f>
        <v/>
      </c>
    </row>
    <row r="334">
      <c r="A334" s="2" t="inlineStr">
        <is>
          <t>14-K-061</t>
        </is>
      </c>
      <c r="B334" s="3" t="inlineStr">
        <is>
          <t>OJC-A1-LC/LC-MM-45-PC/PC-DP</t>
        </is>
      </c>
      <c r="C334" s="2" t="inlineStr"/>
      <c r="D334" s="2" t="inlineStr">
        <is>
          <t>om1</t>
        </is>
      </c>
      <c r="E334" s="2" t="inlineStr">
        <is>
          <t>2.0mm</t>
        </is>
      </c>
      <c r="F334" s="2" t="n">
        <v>2</v>
      </c>
      <c r="G334" s="2" t="n">
        <v>45</v>
      </c>
      <c r="H334" s="2" t="inlineStr">
        <is>
          <t>LC/PC</t>
        </is>
      </c>
      <c r="I334" s="2" t="inlineStr">
        <is>
          <t>LC/PC</t>
        </is>
      </c>
      <c r="J334" s="2" t="n"/>
      <c r="K334" s="2" t="n"/>
      <c r="L334" s="2" t="n"/>
      <c r="M334" s="2" t="n"/>
      <c r="N334" s="2" t="n"/>
      <c r="O334" s="2" t="n"/>
      <c r="P334" s="2" t="n">
        <v>3</v>
      </c>
      <c r="Q334" s="2" t="n"/>
      <c r="R334" s="2" t="n"/>
      <c r="S334" s="2" t="n"/>
      <c r="T334" s="2" t="n"/>
      <c r="U334" s="2" t="n"/>
      <c r="V334" s="2">
        <f>SUM(J334:U334)</f>
        <v/>
      </c>
      <c r="W334" s="2" t="n"/>
      <c r="X334" s="2" t="n">
        <v>6</v>
      </c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>
        <v>6</v>
      </c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>
        <f>IF(F334=1,V334*2,IF(F334=2,V334*F334*2,IF(F334&gt;2,F334*2*V334)))</f>
        <v/>
      </c>
      <c r="AW334" s="2">
        <f>SUM(W334:AU334)</f>
        <v/>
      </c>
    </row>
    <row r="335">
      <c r="A335" s="2" t="inlineStr">
        <is>
          <t>14-K-062</t>
        </is>
      </c>
      <c r="B335" s="3" t="inlineStr">
        <is>
          <t>OJC-A1-LC/LC-MM-50-PC/PC-DP</t>
        </is>
      </c>
      <c r="C335" s="2" t="inlineStr">
        <is>
          <t>K9089340</t>
        </is>
      </c>
      <c r="D335" s="2" t="inlineStr">
        <is>
          <t>om1</t>
        </is>
      </c>
      <c r="E335" s="2" t="inlineStr">
        <is>
          <t>2.0mm</t>
        </is>
      </c>
      <c r="F335" s="2" t="n">
        <v>2</v>
      </c>
      <c r="G335" s="2" t="n">
        <v>50</v>
      </c>
      <c r="H335" s="2" t="inlineStr">
        <is>
          <t>LC/PC</t>
        </is>
      </c>
      <c r="I335" s="2" t="inlineStr">
        <is>
          <t>LC/PC</t>
        </is>
      </c>
      <c r="J335" s="2" t="n"/>
      <c r="K335" s="2" t="n"/>
      <c r="L335" s="2" t="n"/>
      <c r="M335" s="2" t="n">
        <v>10</v>
      </c>
      <c r="N335" s="2" t="n">
        <v>4</v>
      </c>
      <c r="O335" s="2" t="n"/>
      <c r="P335" s="2" t="n"/>
      <c r="Q335" s="2" t="n"/>
      <c r="R335" s="2" t="n"/>
      <c r="S335" s="2" t="n"/>
      <c r="T335" s="2" t="n"/>
      <c r="U335" s="2" t="n"/>
      <c r="V335" s="2">
        <f>SUM(J335:U335)</f>
        <v/>
      </c>
      <c r="W335" s="2" t="n"/>
      <c r="X335" s="2" t="n">
        <v>28</v>
      </c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>
        <v>28</v>
      </c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>
        <f>IF(F335=1,V335*2,IF(F335=2,V335*F335*2,IF(F335&gt;2,F335*2*V335)))</f>
        <v/>
      </c>
      <c r="AW335" s="2">
        <f>SUM(W335:AU335)</f>
        <v/>
      </c>
    </row>
    <row r="336">
      <c r="A336" s="2" t="inlineStr">
        <is>
          <t>14-K-064</t>
        </is>
      </c>
      <c r="B336" s="3" t="inlineStr">
        <is>
          <t>OJC-A1-LC/LC-MM-55-PC/PC-DP</t>
        </is>
      </c>
      <c r="C336" s="2" t="inlineStr"/>
      <c r="D336" s="2" t="inlineStr">
        <is>
          <t>om1</t>
        </is>
      </c>
      <c r="E336" s="2" t="inlineStr">
        <is>
          <t>2.0mm</t>
        </is>
      </c>
      <c r="F336" s="2" t="n">
        <v>2</v>
      </c>
      <c r="G336" s="2" t="n">
        <v>55</v>
      </c>
      <c r="H336" s="2" t="inlineStr">
        <is>
          <t>LC/PC</t>
        </is>
      </c>
      <c r="I336" s="2" t="inlineStr">
        <is>
          <t>LC/PC</t>
        </is>
      </c>
      <c r="J336" s="2" t="n"/>
      <c r="K336" s="2" t="n">
        <v>6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</f>
        <v/>
      </c>
      <c r="W336" s="2" t="n"/>
      <c r="X336" s="2" t="n">
        <v>12</v>
      </c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>
        <v>12</v>
      </c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>
        <f>IF(F336=1,V336*2,IF(F336=2,V336*F336*2,IF(F336&gt;2,F336*2*V336)))</f>
        <v/>
      </c>
      <c r="AW336" s="2">
        <f>SUM(W336:AU336)</f>
        <v/>
      </c>
    </row>
    <row r="337">
      <c r="A337" s="2" t="inlineStr">
        <is>
          <t>14-K-065</t>
        </is>
      </c>
      <c r="B337" s="3" t="inlineStr">
        <is>
          <t>OJC-A1-LC/LC-MM-5-PC/PC-DP</t>
        </is>
      </c>
      <c r="C337" s="2" t="inlineStr">
        <is>
          <t>K9089333</t>
        </is>
      </c>
      <c r="D337" s="2" t="inlineStr">
        <is>
          <t>om1</t>
        </is>
      </c>
      <c r="E337" s="2" t="inlineStr">
        <is>
          <t>2.0mm</t>
        </is>
      </c>
      <c r="F337" s="2" t="n">
        <v>2</v>
      </c>
      <c r="G337" s="2" t="n">
        <v>5</v>
      </c>
      <c r="H337" s="2" t="inlineStr">
        <is>
          <t>LC/PC</t>
        </is>
      </c>
      <c r="I337" s="2" t="inlineStr">
        <is>
          <t>LC/PC</t>
        </is>
      </c>
      <c r="J337" s="2" t="n"/>
      <c r="K337" s="2" t="n"/>
      <c r="L337" s="2" t="n"/>
      <c r="M337" s="2" t="n"/>
      <c r="N337" s="2" t="n"/>
      <c r="O337" s="2" t="n"/>
      <c r="P337" s="2" t="n"/>
      <c r="Q337" s="2" t="n">
        <v>10</v>
      </c>
      <c r="R337" s="2" t="n"/>
      <c r="S337" s="2" t="n"/>
      <c r="T337" s="2" t="n">
        <v>12</v>
      </c>
      <c r="U337" s="2" t="n"/>
      <c r="V337" s="2">
        <f>SUM(J337:U337)</f>
        <v/>
      </c>
      <c r="W337" s="2" t="n"/>
      <c r="X337" s="2" t="n">
        <v>44</v>
      </c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>
        <v>44</v>
      </c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>
        <f>IF(F337=1,V337*2,IF(F337=2,V337*F337*2,IF(F337&gt;2,F337*2*V337)))</f>
        <v/>
      </c>
      <c r="AW337" s="2">
        <f>SUM(W337:AU337)</f>
        <v/>
      </c>
    </row>
    <row r="338">
      <c r="A338" s="2" t="inlineStr">
        <is>
          <t>14-K-066</t>
        </is>
      </c>
      <c r="B338" s="3" t="inlineStr">
        <is>
          <t>OJC-A1-LC/LC-MM-5-PC/PC-SP</t>
        </is>
      </c>
      <c r="C338" s="2" t="inlineStr">
        <is>
          <t>K9089285</t>
        </is>
      </c>
      <c r="D338" s="2" t="inlineStr">
        <is>
          <t>om1</t>
        </is>
      </c>
      <c r="E338" s="2" t="inlineStr">
        <is>
          <t>2.0mm</t>
        </is>
      </c>
      <c r="F338" s="2" t="n">
        <v>1</v>
      </c>
      <c r="G338" s="2" t="n">
        <v>5</v>
      </c>
      <c r="H338" s="2" t="inlineStr">
        <is>
          <t>LC/PC</t>
        </is>
      </c>
      <c r="I338" s="2" t="inlineStr">
        <is>
          <t>LC/PC</t>
        </is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>
        <v>6</v>
      </c>
      <c r="T338" s="2" t="n"/>
      <c r="U338" s="2" t="n"/>
      <c r="V338" s="2">
        <f>SUM(J338:U338)</f>
        <v/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>
        <v>12</v>
      </c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>
        <f>IF(F338=1,V338*2,IF(F338=2,V338*F338*2,IF(F338&gt;2,F338*2*V338)))</f>
        <v/>
      </c>
      <c r="AW338" s="2">
        <f>SUM(W338:AU338)</f>
        <v/>
      </c>
    </row>
    <row r="339">
      <c r="A339" s="2" t="inlineStr">
        <is>
          <t>14-K-067</t>
        </is>
      </c>
      <c r="B339" s="3" t="inlineStr">
        <is>
          <t>OJC-A1-LC/LC-MM-60-PC/PC-DP</t>
        </is>
      </c>
      <c r="C339" s="2" t="inlineStr"/>
      <c r="D339" s="2" t="inlineStr">
        <is>
          <t>om1</t>
        </is>
      </c>
      <c r="E339" s="2" t="inlineStr">
        <is>
          <t>2.0mm</t>
        </is>
      </c>
      <c r="F339" s="2" t="n">
        <v>2</v>
      </c>
      <c r="G339" s="2" t="n">
        <v>60</v>
      </c>
      <c r="H339" s="2" t="inlineStr">
        <is>
          <t>LC/PC</t>
        </is>
      </c>
      <c r="I339" s="2" t="inlineStr">
        <is>
          <t>LC/PC</t>
        </is>
      </c>
      <c r="J339" s="2" t="n"/>
      <c r="K339" s="2" t="n"/>
      <c r="L339" s="2" t="n"/>
      <c r="M339" s="2" t="n">
        <v>10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>
        <f>SUM(J339:U339)</f>
        <v/>
      </c>
      <c r="W339" s="2" t="n"/>
      <c r="X339" s="2" t="n">
        <v>20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>
        <v>20</v>
      </c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>
        <f>IF(F339=1,V339*2,IF(F339=2,V339*F339*2,IF(F339&gt;2,F339*2*V339)))</f>
        <v/>
      </c>
      <c r="AW339" s="2">
        <f>SUM(W339:AU339)</f>
        <v/>
      </c>
    </row>
    <row r="340">
      <c r="A340" s="2" t="inlineStr">
        <is>
          <t>14-K-071</t>
        </is>
      </c>
      <c r="B340" s="3" t="inlineStr">
        <is>
          <t>OJC-A1-LC/LC-MM-80-PC/PC-DP</t>
        </is>
      </c>
      <c r="C340" s="2" t="inlineStr"/>
      <c r="D340" s="2" t="inlineStr">
        <is>
          <t>om1</t>
        </is>
      </c>
      <c r="E340" s="2" t="inlineStr">
        <is>
          <t>2.0mm</t>
        </is>
      </c>
      <c r="F340" s="2" t="n">
        <v>2</v>
      </c>
      <c r="G340" s="2" t="n">
        <v>80</v>
      </c>
      <c r="H340" s="2" t="inlineStr">
        <is>
          <t>LC/PC</t>
        </is>
      </c>
      <c r="I340" s="2" t="inlineStr">
        <is>
          <t>LC/PC</t>
        </is>
      </c>
      <c r="J340" s="2" t="n"/>
      <c r="K340" s="2" t="n"/>
      <c r="L340" s="2" t="n"/>
      <c r="M340" s="2" t="n"/>
      <c r="N340" s="2" t="n"/>
      <c r="O340" s="2" t="n"/>
      <c r="P340" s="2" t="n">
        <v>1</v>
      </c>
      <c r="Q340" s="2" t="n"/>
      <c r="R340" s="2" t="n"/>
      <c r="S340" s="2" t="n"/>
      <c r="T340" s="2" t="n"/>
      <c r="U340" s="2" t="n"/>
      <c r="V340" s="2">
        <f>SUM(J340:U340)</f>
        <v/>
      </c>
      <c r="W340" s="2" t="n"/>
      <c r="X340" s="2" t="n">
        <v>2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>
        <v>2</v>
      </c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>
        <f>IF(F340=1,V340*2,IF(F340=2,V340*F340*2,IF(F340&gt;2,F340*2*V340)))</f>
        <v/>
      </c>
      <c r="AW340" s="2">
        <f>SUM(W340:AU340)</f>
        <v/>
      </c>
    </row>
    <row r="341">
      <c r="A341" s="2" t="inlineStr">
        <is>
          <t>14-K-078</t>
        </is>
      </c>
      <c r="B341" s="3" t="inlineStr">
        <is>
          <t>OJC-A1-LC/LC-SM-10-PC/PC-DP</t>
        </is>
      </c>
      <c r="C341" s="2" t="inlineStr">
        <is>
          <t>K9089176</t>
        </is>
      </c>
      <c r="D341" s="2" t="inlineStr">
        <is>
          <t>a1</t>
        </is>
      </c>
      <c r="E341" s="2" t="inlineStr">
        <is>
          <t>2.0mm</t>
        </is>
      </c>
      <c r="F341" s="2" t="n">
        <v>2</v>
      </c>
      <c r="G341" s="2" t="n">
        <v>10</v>
      </c>
      <c r="H341" s="2" t="inlineStr">
        <is>
          <t>LC/PC</t>
        </is>
      </c>
      <c r="I341" s="2" t="inlineStr">
        <is>
          <t>LC/PC</t>
        </is>
      </c>
      <c r="J341" s="2" t="n"/>
      <c r="K341" s="2" t="n"/>
      <c r="L341" s="2" t="n">
        <v>314</v>
      </c>
      <c r="M341" s="2" t="n">
        <v>406</v>
      </c>
      <c r="N341" s="2" t="n">
        <v>143</v>
      </c>
      <c r="O341" s="2" t="n"/>
      <c r="P341" s="2" t="n"/>
      <c r="Q341" s="2" t="n"/>
      <c r="R341" s="2" t="n"/>
      <c r="S341" s="2" t="n"/>
      <c r="T341" s="2" t="n"/>
      <c r="U341" s="2" t="n"/>
      <c r="V341" s="2">
        <f>SUM(J341:U341)</f>
        <v/>
      </c>
      <c r="W341" s="2" t="n">
        <v>1726</v>
      </c>
      <c r="X341" s="2" t="n">
        <v>1726</v>
      </c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>
        <f>IF(F341=1,V341*2,IF(F341=2,V341*F341*2,IF(F341&gt;2,F341*2*V341)))</f>
        <v/>
      </c>
      <c r="AW341" s="2">
        <f>SUM(W341:AU341)</f>
        <v/>
      </c>
    </row>
    <row r="342">
      <c r="A342" s="2" t="inlineStr">
        <is>
          <t>14-K-079</t>
        </is>
      </c>
      <c r="B342" s="3" t="inlineStr">
        <is>
          <t>OJC-A1-LC/LC-SM-10-PC/PC-SP</t>
        </is>
      </c>
      <c r="C342" s="2" t="inlineStr">
        <is>
          <t>K9089047</t>
        </is>
      </c>
      <c r="D342" s="2" t="inlineStr">
        <is>
          <t>a1</t>
        </is>
      </c>
      <c r="E342" s="2" t="inlineStr">
        <is>
          <t>2.0mm</t>
        </is>
      </c>
      <c r="F342" s="2" t="n">
        <v>1</v>
      </c>
      <c r="G342" s="2" t="n">
        <v>10</v>
      </c>
      <c r="H342" s="2" t="inlineStr">
        <is>
          <t>LC/PC</t>
        </is>
      </c>
      <c r="I342" s="2" t="inlineStr">
        <is>
          <t>LC/PC</t>
        </is>
      </c>
      <c r="J342" s="2" t="n"/>
      <c r="K342" s="2" t="n">
        <v>50</v>
      </c>
      <c r="L342" s="2" t="n"/>
      <c r="M342" s="2" t="n">
        <v>90</v>
      </c>
      <c r="N342" s="2" t="n">
        <v>40</v>
      </c>
      <c r="O342" s="2" t="n"/>
      <c r="P342" s="2" t="n"/>
      <c r="Q342" s="2" t="n">
        <v>190</v>
      </c>
      <c r="R342" s="2" t="n"/>
      <c r="S342" s="2" t="n"/>
      <c r="T342" s="2" t="n"/>
      <c r="U342" s="2" t="n"/>
      <c r="V342" s="2">
        <f>SUM(J342:U342)</f>
        <v/>
      </c>
      <c r="W342" s="2" t="n">
        <v>740</v>
      </c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>
        <f>IF(F342=1,V342*2,IF(F342=2,V342*F342*2,IF(F342&gt;2,F342*2*V342)))</f>
        <v/>
      </c>
      <c r="AW342" s="2">
        <f>SUM(W342:AU342)</f>
        <v/>
      </c>
    </row>
    <row r="343">
      <c r="A343" s="2" t="inlineStr">
        <is>
          <t>14-K-080</t>
        </is>
      </c>
      <c r="B343" s="3" t="inlineStr">
        <is>
          <t>OJC-A1-LC/LC-SM-12-PC/PC-DP</t>
        </is>
      </c>
      <c r="C343" s="2" t="inlineStr"/>
      <c r="D343" s="2" t="inlineStr">
        <is>
          <t>a1</t>
        </is>
      </c>
      <c r="E343" s="2" t="inlineStr">
        <is>
          <t>2.0mm</t>
        </is>
      </c>
      <c r="F343" s="2" t="n">
        <v>2</v>
      </c>
      <c r="G343" s="2" t="n">
        <v>12</v>
      </c>
      <c r="H343" s="2" t="inlineStr">
        <is>
          <t>LC/PC</t>
        </is>
      </c>
      <c r="I343" s="2" t="inlineStr">
        <is>
          <t>LC/PC</t>
        </is>
      </c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>
        <v>20</v>
      </c>
      <c r="U343" s="2" t="n"/>
      <c r="V343" s="2">
        <f>SUM(J343:U343)</f>
        <v/>
      </c>
      <c r="W343" s="2" t="n">
        <v>40</v>
      </c>
      <c r="X343" s="2" t="n">
        <v>40</v>
      </c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>
        <f>IF(F343=1,V343*2,IF(F343=2,V343*F343*2,IF(F343&gt;2,F343*2*V343)))</f>
        <v/>
      </c>
      <c r="AW343" s="2">
        <f>SUM(W343:AU343)</f>
        <v/>
      </c>
    </row>
    <row r="344">
      <c r="A344" s="2" t="inlineStr">
        <is>
          <t>14-K-081</t>
        </is>
      </c>
      <c r="B344" s="3" t="inlineStr">
        <is>
          <t>OJC-A1-LC/LC-SM-13-PC/PC-DP</t>
        </is>
      </c>
      <c r="C344" s="2" t="inlineStr"/>
      <c r="D344" s="2" t="inlineStr">
        <is>
          <t>a1</t>
        </is>
      </c>
      <c r="E344" s="2" t="inlineStr">
        <is>
          <t>2.0mm</t>
        </is>
      </c>
      <c r="F344" s="2" t="n">
        <v>2</v>
      </c>
      <c r="G344" s="2" t="n">
        <v>13</v>
      </c>
      <c r="H344" s="2" t="inlineStr">
        <is>
          <t>LC/PC</t>
        </is>
      </c>
      <c r="I344" s="2" t="inlineStr">
        <is>
          <t>LC/PC</t>
        </is>
      </c>
      <c r="J344" s="2" t="n"/>
      <c r="K344" s="2" t="n"/>
      <c r="L344" s="2" t="n"/>
      <c r="M344" s="2" t="n"/>
      <c r="N344" s="2" t="n"/>
      <c r="O344" s="2" t="n">
        <v>50</v>
      </c>
      <c r="P344" s="2" t="n"/>
      <c r="Q344" s="2" t="n"/>
      <c r="R344" s="2" t="n"/>
      <c r="S344" s="2" t="n"/>
      <c r="T344" s="2" t="n"/>
      <c r="U344" s="2" t="n"/>
      <c r="V344" s="2">
        <f>SUM(J344:U344)</f>
        <v/>
      </c>
      <c r="W344" s="2" t="n">
        <v>100</v>
      </c>
      <c r="X344" s="2" t="n">
        <v>100</v>
      </c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>
        <f>IF(F344=1,V344*2,IF(F344=2,V344*F344*2,IF(F344&gt;2,F344*2*V344)))</f>
        <v/>
      </c>
      <c r="AW344" s="2">
        <f>SUM(W344:AU344)</f>
        <v/>
      </c>
    </row>
    <row r="345">
      <c r="A345" s="2" t="inlineStr">
        <is>
          <t>14-K-083</t>
        </is>
      </c>
      <c r="B345" s="3" t="inlineStr">
        <is>
          <t>OJC-A1-LC/LC-SM-15-PC/PC-DP</t>
        </is>
      </c>
      <c r="C345" s="2" t="inlineStr">
        <is>
          <t>K9089177</t>
        </is>
      </c>
      <c r="D345" s="2" t="inlineStr">
        <is>
          <t>a1</t>
        </is>
      </c>
      <c r="E345" s="2" t="inlineStr">
        <is>
          <t>2.0mm</t>
        </is>
      </c>
      <c r="F345" s="2" t="n">
        <v>2</v>
      </c>
      <c r="G345" s="2" t="n">
        <v>15</v>
      </c>
      <c r="H345" s="2" t="inlineStr">
        <is>
          <t>LC/PC</t>
        </is>
      </c>
      <c r="I345" s="2" t="inlineStr">
        <is>
          <t>LC/PC</t>
        </is>
      </c>
      <c r="J345" s="2" t="n"/>
      <c r="K345" s="2" t="n">
        <v>149</v>
      </c>
      <c r="L345" s="2" t="n">
        <v>308</v>
      </c>
      <c r="M345" s="2" t="n"/>
      <c r="N345" s="2" t="n"/>
      <c r="O345" s="2" t="n"/>
      <c r="P345" s="2" t="n"/>
      <c r="Q345" s="2" t="n"/>
      <c r="R345" s="2" t="n"/>
      <c r="S345" s="2" t="n"/>
      <c r="T345" s="2" t="n">
        <v>300</v>
      </c>
      <c r="U345" s="2" t="n"/>
      <c r="V345" s="2">
        <f>SUM(J345:U345)</f>
        <v/>
      </c>
      <c r="W345" s="2" t="n">
        <v>1514</v>
      </c>
      <c r="X345" s="2" t="n">
        <v>1514</v>
      </c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>
        <f>IF(F345=1,V345*2,IF(F345=2,V345*F345*2,IF(F345&gt;2,F345*2*V345)))</f>
        <v/>
      </c>
      <c r="AW345" s="2">
        <f>SUM(W345:AU345)</f>
        <v/>
      </c>
    </row>
    <row r="346">
      <c r="A346" s="2" t="inlineStr">
        <is>
          <t>14-K-084</t>
        </is>
      </c>
      <c r="B346" s="3" t="inlineStr">
        <is>
          <t>OJC-A1-LC/LC-SM-15-PC/PC-SP</t>
        </is>
      </c>
      <c r="C346" s="2" t="inlineStr">
        <is>
          <t>K9089048</t>
        </is>
      </c>
      <c r="D346" s="2" t="inlineStr">
        <is>
          <t>a1</t>
        </is>
      </c>
      <c r="E346" s="2" t="inlineStr">
        <is>
          <t>2.0mm</t>
        </is>
      </c>
      <c r="F346" s="2" t="n">
        <v>1</v>
      </c>
      <c r="G346" s="2" t="n">
        <v>15</v>
      </c>
      <c r="H346" s="2" t="inlineStr">
        <is>
          <t>LC/PC</t>
        </is>
      </c>
      <c r="I346" s="2" t="inlineStr">
        <is>
          <t>LC/PC</t>
        </is>
      </c>
      <c r="J346" s="2" t="n"/>
      <c r="K346" s="2" t="n"/>
      <c r="L346" s="2" t="n"/>
      <c r="M346" s="2" t="n">
        <v>3</v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>
        <f>SUM(J346:U346)</f>
        <v/>
      </c>
      <c r="W346" s="2" t="n">
        <v>6</v>
      </c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>
        <f>IF(F346=1,V346*2,IF(F346=2,V346*F346*2,IF(F346&gt;2,F346*2*V346)))</f>
        <v/>
      </c>
      <c r="AW346" s="2">
        <f>SUM(W346:AU346)</f>
        <v/>
      </c>
    </row>
    <row r="347">
      <c r="A347" s="2" t="inlineStr">
        <is>
          <t>14-K-085</t>
        </is>
      </c>
      <c r="B347" s="3" t="inlineStr">
        <is>
          <t>OJC-A1-LC/LC-SM-1-PC/PC-DP</t>
        </is>
      </c>
      <c r="C347" s="2" t="inlineStr">
        <is>
          <t>K9089171</t>
        </is>
      </c>
      <c r="D347" s="2" t="inlineStr">
        <is>
          <t>a1</t>
        </is>
      </c>
      <c r="E347" s="2" t="inlineStr">
        <is>
          <t>2.0mm</t>
        </is>
      </c>
      <c r="F347" s="2" t="n">
        <v>2</v>
      </c>
      <c r="G347" s="2" t="n">
        <v>1</v>
      </c>
      <c r="H347" s="2" t="inlineStr">
        <is>
          <t>LC/PC</t>
        </is>
      </c>
      <c r="I347" s="2" t="inlineStr">
        <is>
          <t>LC/PC</t>
        </is>
      </c>
      <c r="J347" s="2" t="n">
        <v>605</v>
      </c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>
        <v>56</v>
      </c>
      <c r="V347" s="2">
        <f>SUM(J347:U347)</f>
        <v/>
      </c>
      <c r="W347" s="2" t="n">
        <v>1322</v>
      </c>
      <c r="X347" s="2" t="n">
        <v>1322</v>
      </c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>
        <f>IF(F347=1,V347*2,IF(F347=2,V347*F347*2,IF(F347&gt;2,F347*2*V347)))</f>
        <v/>
      </c>
      <c r="AW347" s="2">
        <f>SUM(W347:AU347)</f>
        <v/>
      </c>
    </row>
    <row r="348">
      <c r="A348" s="2" t="inlineStr">
        <is>
          <t>14-K-091</t>
        </is>
      </c>
      <c r="B348" s="3" t="inlineStr">
        <is>
          <t>OJC-A1-LC/LC-SM-25-PC/PC-DP</t>
        </is>
      </c>
      <c r="C348" s="2" t="inlineStr">
        <is>
          <t>K9089179</t>
        </is>
      </c>
      <c r="D348" s="2" t="inlineStr">
        <is>
          <t>a1</t>
        </is>
      </c>
      <c r="E348" s="2" t="inlineStr">
        <is>
          <t>2.0mm</t>
        </is>
      </c>
      <c r="F348" s="2" t="n">
        <v>2</v>
      </c>
      <c r="G348" s="2" t="n">
        <v>25</v>
      </c>
      <c r="H348" s="2" t="inlineStr">
        <is>
          <t>LC/PC</t>
        </is>
      </c>
      <c r="I348" s="2" t="inlineStr">
        <is>
          <t>LC/PC</t>
        </is>
      </c>
      <c r="J348" s="2" t="n"/>
      <c r="K348" s="2" t="n"/>
      <c r="L348" s="2" t="n">
        <v>80</v>
      </c>
      <c r="M348" s="2" t="n"/>
      <c r="N348" s="2" t="n"/>
      <c r="O348" s="2" t="n">
        <v>57</v>
      </c>
      <c r="P348" s="2" t="n"/>
      <c r="Q348" s="2" t="n"/>
      <c r="R348" s="2" t="n">
        <v>90</v>
      </c>
      <c r="S348" s="2" t="n">
        <v>90</v>
      </c>
      <c r="T348" s="2" t="n">
        <v>5</v>
      </c>
      <c r="U348" s="2" t="n"/>
      <c r="V348" s="2">
        <f>SUM(J348:U348)</f>
        <v/>
      </c>
      <c r="W348" s="2" t="n">
        <v>644</v>
      </c>
      <c r="X348" s="2" t="n">
        <v>644</v>
      </c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>
        <f>IF(F348=1,V348*2,IF(F348=2,V348*F348*2,IF(F348&gt;2,F348*2*V348)))</f>
        <v/>
      </c>
      <c r="AW348" s="2">
        <f>SUM(W348:AU348)</f>
        <v/>
      </c>
    </row>
    <row r="349">
      <c r="A349" s="2" t="inlineStr">
        <is>
          <t>14-K-092</t>
        </is>
      </c>
      <c r="B349" s="3" t="inlineStr">
        <is>
          <t>OJC-A1-LC/LC-SM-25-PC/PC-SP</t>
        </is>
      </c>
      <c r="C349" s="2" t="inlineStr">
        <is>
          <t>K9089050</t>
        </is>
      </c>
      <c r="D349" s="2" t="inlineStr">
        <is>
          <t>a1</t>
        </is>
      </c>
      <c r="E349" s="2" t="inlineStr">
        <is>
          <t>2.0mm</t>
        </is>
      </c>
      <c r="F349" s="2" t="n">
        <v>1</v>
      </c>
      <c r="G349" s="2" t="n">
        <v>25</v>
      </c>
      <c r="H349" s="2" t="inlineStr">
        <is>
          <t>LC/PC</t>
        </is>
      </c>
      <c r="I349" s="2" t="inlineStr">
        <is>
          <t>LC/PC</t>
        </is>
      </c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>
        <v>5</v>
      </c>
      <c r="U349" s="2" t="n"/>
      <c r="V349" s="2">
        <f>SUM(J349:U349)</f>
        <v/>
      </c>
      <c r="W349" s="2" t="n">
        <v>10</v>
      </c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>
        <f>IF(F349=1,V349*2,IF(F349=2,V349*F349*2,IF(F349&gt;2,F349*2*V349)))</f>
        <v/>
      </c>
      <c r="AW349" s="2">
        <f>SUM(W349:AU349)</f>
        <v/>
      </c>
    </row>
    <row r="350">
      <c r="A350" s="2" t="inlineStr">
        <is>
          <t>14-K-093</t>
        </is>
      </c>
      <c r="B350" s="3" t="inlineStr">
        <is>
          <t>OJC-A1-LC/LC-SM-2-PC/PC-DP</t>
        </is>
      </c>
      <c r="C350" s="2" t="inlineStr">
        <is>
          <t>K9089172</t>
        </is>
      </c>
      <c r="D350" s="2" t="inlineStr">
        <is>
          <t>a1</t>
        </is>
      </c>
      <c r="E350" s="2" t="inlineStr">
        <is>
          <t>2.0mm</t>
        </is>
      </c>
      <c r="F350" s="2" t="n">
        <v>2</v>
      </c>
      <c r="G350" s="2" t="n">
        <v>2</v>
      </c>
      <c r="H350" s="2" t="inlineStr">
        <is>
          <t>LC/PC</t>
        </is>
      </c>
      <c r="I350" s="2" t="inlineStr">
        <is>
          <t>LC/PC</t>
        </is>
      </c>
      <c r="J350" s="2" t="n">
        <v>400</v>
      </c>
      <c r="K350" s="2" t="n"/>
      <c r="L350" s="2" t="n"/>
      <c r="M350" s="2" t="n">
        <v>56</v>
      </c>
      <c r="N350" s="2" t="n"/>
      <c r="O350" s="2" t="n">
        <v>70</v>
      </c>
      <c r="P350" s="2" t="n"/>
      <c r="Q350" s="2" t="n"/>
      <c r="R350" s="2" t="n"/>
      <c r="S350" s="2" t="n"/>
      <c r="T350" s="2" t="n">
        <v>102</v>
      </c>
      <c r="U350" s="2" t="n">
        <v>61</v>
      </c>
      <c r="V350" s="2">
        <f>SUM(J350:U350)</f>
        <v/>
      </c>
      <c r="W350" s="2" t="n">
        <v>1378</v>
      </c>
      <c r="X350" s="2" t="n">
        <v>1378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>
        <f>IF(F350=1,V350*2,IF(F350=2,V350*F350*2,IF(F350&gt;2,F350*2*V350)))</f>
        <v/>
      </c>
      <c r="AW350" s="2">
        <f>SUM(W350:AU350)</f>
        <v/>
      </c>
    </row>
    <row r="351">
      <c r="A351" s="2" t="inlineStr">
        <is>
          <t>14-K-094</t>
        </is>
      </c>
      <c r="B351" s="3" t="inlineStr">
        <is>
          <t>OJC-A1-LC/LC-SM-30-PC/PC-DP</t>
        </is>
      </c>
      <c r="C351" s="2" t="inlineStr">
        <is>
          <t>K9089180</t>
        </is>
      </c>
      <c r="D351" s="2" t="inlineStr">
        <is>
          <t>a1</t>
        </is>
      </c>
      <c r="E351" s="2" t="inlineStr">
        <is>
          <t>2.0mm</t>
        </is>
      </c>
      <c r="F351" s="2" t="n">
        <v>2</v>
      </c>
      <c r="G351" s="2" t="n">
        <v>30</v>
      </c>
      <c r="H351" s="2" t="inlineStr">
        <is>
          <t>LC/PC</t>
        </is>
      </c>
      <c r="I351" s="2" t="inlineStr">
        <is>
          <t>LC/PC</t>
        </is>
      </c>
      <c r="J351" s="2" t="n"/>
      <c r="K351" s="2" t="n"/>
      <c r="L351" s="2" t="n"/>
      <c r="M351" s="2" t="n">
        <v>20</v>
      </c>
      <c r="N351" s="2" t="n"/>
      <c r="O351" s="2" t="n"/>
      <c r="P351" s="2" t="n"/>
      <c r="Q351" s="2" t="n"/>
      <c r="R351" s="2" t="n"/>
      <c r="S351" s="2" t="n"/>
      <c r="T351" s="2" t="n">
        <v>55</v>
      </c>
      <c r="U351" s="2" t="n">
        <v>20</v>
      </c>
      <c r="V351" s="2">
        <f>SUM(J351:U351)</f>
        <v/>
      </c>
      <c r="W351" s="2" t="n">
        <v>190</v>
      </c>
      <c r="X351" s="2" t="n">
        <v>190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>
        <f>IF(F351=1,V351*2,IF(F351=2,V351*F351*2,IF(F351&gt;2,F351*2*V351)))</f>
        <v/>
      </c>
      <c r="AW351" s="2">
        <f>SUM(W351:AU351)</f>
        <v/>
      </c>
    </row>
    <row r="352">
      <c r="A352" s="2" t="inlineStr">
        <is>
          <t>14-K-095</t>
        </is>
      </c>
      <c r="B352" s="3" t="inlineStr">
        <is>
          <t>OJC-A1-LC/LC-SM-30-PC/PC-SP</t>
        </is>
      </c>
      <c r="C352" s="2" t="inlineStr">
        <is>
          <t>K9089051</t>
        </is>
      </c>
      <c r="D352" s="2" t="inlineStr">
        <is>
          <t>a1</t>
        </is>
      </c>
      <c r="E352" s="2" t="inlineStr">
        <is>
          <t>2.0mm</t>
        </is>
      </c>
      <c r="F352" s="2" t="n">
        <v>1</v>
      </c>
      <c r="G352" s="2" t="n">
        <v>30</v>
      </c>
      <c r="H352" s="2" t="inlineStr">
        <is>
          <t>LC/PC</t>
        </is>
      </c>
      <c r="I352" s="2" t="inlineStr">
        <is>
          <t>LC/PC</t>
        </is>
      </c>
      <c r="J352" s="2" t="n"/>
      <c r="K352" s="2" t="n"/>
      <c r="L352" s="2" t="n"/>
      <c r="M352" s="2" t="n"/>
      <c r="N352" s="2" t="n"/>
      <c r="O352" s="2" t="n">
        <v>3</v>
      </c>
      <c r="P352" s="2" t="n"/>
      <c r="Q352" s="2" t="n"/>
      <c r="R352" s="2" t="n"/>
      <c r="S352" s="2" t="n"/>
      <c r="T352" s="2" t="n">
        <v>5</v>
      </c>
      <c r="U352" s="2" t="n"/>
      <c r="V352" s="2">
        <f>SUM(J352:U352)</f>
        <v/>
      </c>
      <c r="W352" s="2" t="n">
        <v>16</v>
      </c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>
        <f>IF(F352=1,V352*2,IF(F352=2,V352*F352*2,IF(F352&gt;2,F352*2*V352)))</f>
        <v/>
      </c>
      <c r="AW352" s="2">
        <f>SUM(W352:AU352)</f>
        <v/>
      </c>
    </row>
    <row r="353">
      <c r="A353" s="2" t="inlineStr">
        <is>
          <t>14-K-096</t>
        </is>
      </c>
      <c r="B353" s="3" t="inlineStr">
        <is>
          <t>OJC-A1-LC/LC-SM-35-PC/PC-DP</t>
        </is>
      </c>
      <c r="C353" s="2" t="inlineStr">
        <is>
          <t>K9089181</t>
        </is>
      </c>
      <c r="D353" s="2" t="inlineStr">
        <is>
          <t>a1</t>
        </is>
      </c>
      <c r="E353" s="2" t="inlineStr">
        <is>
          <t>2.0mm</t>
        </is>
      </c>
      <c r="F353" s="2" t="n">
        <v>2</v>
      </c>
      <c r="G353" s="2" t="n">
        <v>35</v>
      </c>
      <c r="H353" s="2" t="inlineStr">
        <is>
          <t>LC/PC</t>
        </is>
      </c>
      <c r="I353" s="2" t="inlineStr">
        <is>
          <t>LC/PC</t>
        </is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>
        <v>28</v>
      </c>
      <c r="S353" s="2" t="n"/>
      <c r="T353" s="2" t="n"/>
      <c r="U353" s="2" t="n">
        <v>30</v>
      </c>
      <c r="V353" s="2">
        <f>SUM(J353:U353)</f>
        <v/>
      </c>
      <c r="W353" s="2" t="n">
        <v>116</v>
      </c>
      <c r="X353" s="2" t="n">
        <v>116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>
        <f>IF(F353=1,V353*2,IF(F353=2,V353*F353*2,IF(F353&gt;2,F353*2*V353)))</f>
        <v/>
      </c>
      <c r="AW353" s="2">
        <f>SUM(W353:AU353)</f>
        <v/>
      </c>
    </row>
    <row r="354">
      <c r="A354" s="2" t="inlineStr">
        <is>
          <t>14-K-097</t>
        </is>
      </c>
      <c r="B354" s="3" t="inlineStr">
        <is>
          <t>OJC-A1-LC/LC-SM-3-PC/PC-DP</t>
        </is>
      </c>
      <c r="C354" s="2" t="inlineStr">
        <is>
          <t>K9089173</t>
        </is>
      </c>
      <c r="D354" s="2" t="inlineStr">
        <is>
          <t>a1</t>
        </is>
      </c>
      <c r="E354" s="2" t="inlineStr">
        <is>
          <t>2.0mm</t>
        </is>
      </c>
      <c r="F354" s="2" t="n">
        <v>2</v>
      </c>
      <c r="G354" s="2" t="n">
        <v>3</v>
      </c>
      <c r="H354" s="2" t="inlineStr">
        <is>
          <t>LC/PC</t>
        </is>
      </c>
      <c r="I354" s="2" t="inlineStr">
        <is>
          <t>LC/PC</t>
        </is>
      </c>
      <c r="J354" s="2" t="n"/>
      <c r="K354" s="2" t="n"/>
      <c r="L354" s="2" t="n"/>
      <c r="M354" s="2" t="n">
        <v>21</v>
      </c>
      <c r="N354" s="2" t="n">
        <v>500</v>
      </c>
      <c r="O354" s="2" t="n"/>
      <c r="P354" s="2" t="n"/>
      <c r="Q354" s="2" t="n"/>
      <c r="R354" s="2" t="n"/>
      <c r="S354" s="2" t="n"/>
      <c r="T354" s="2" t="n"/>
      <c r="U354" s="2" t="n"/>
      <c r="V354" s="2">
        <f>SUM(J354:U354)</f>
        <v/>
      </c>
      <c r="W354" s="2" t="n">
        <v>1042</v>
      </c>
      <c r="X354" s="2" t="n">
        <v>1042</v>
      </c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>
        <f>IF(F354=1,V354*2,IF(F354=2,V354*F354*2,IF(F354&gt;2,F354*2*V354)))</f>
        <v/>
      </c>
      <c r="AW354" s="2">
        <f>SUM(W354:AU354)</f>
        <v/>
      </c>
    </row>
    <row r="355">
      <c r="A355" s="2" t="inlineStr">
        <is>
          <t>14-K-100</t>
        </is>
      </c>
      <c r="B355" s="3" t="inlineStr">
        <is>
          <t>OJC-A1-LC/LC-SM-45-PC/PC-DP</t>
        </is>
      </c>
      <c r="C355" s="2" t="inlineStr">
        <is>
          <t>K9089183</t>
        </is>
      </c>
      <c r="D355" s="2" t="inlineStr">
        <is>
          <t>a1</t>
        </is>
      </c>
      <c r="E355" s="2" t="inlineStr">
        <is>
          <t>2.0mm</t>
        </is>
      </c>
      <c r="F355" s="2" t="n">
        <v>2</v>
      </c>
      <c r="G355" s="2" t="n">
        <v>45</v>
      </c>
      <c r="H355" s="2" t="inlineStr">
        <is>
          <t>LC/PC</t>
        </is>
      </c>
      <c r="I355" s="2" t="inlineStr">
        <is>
          <t>LC/PC</t>
        </is>
      </c>
      <c r="J355" s="2" t="n"/>
      <c r="K355" s="2" t="n"/>
      <c r="L355" s="2" t="n">
        <v>2</v>
      </c>
      <c r="M355" s="2" t="n"/>
      <c r="N355" s="2" t="n"/>
      <c r="O355" s="2" t="n"/>
      <c r="P355" s="2" t="n"/>
      <c r="Q355" s="2" t="n"/>
      <c r="R355" s="2" t="n"/>
      <c r="S355" s="2" t="n"/>
      <c r="T355" s="2" t="n">
        <v>30</v>
      </c>
      <c r="U355" s="2" t="n"/>
      <c r="V355" s="2">
        <f>SUM(J355:U355)</f>
        <v/>
      </c>
      <c r="W355" s="2" t="n">
        <v>64</v>
      </c>
      <c r="X355" s="2" t="n">
        <v>64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>
        <f>IF(F355=1,V355*2,IF(F355=2,V355*F355*2,IF(F355&gt;2,F355*2*V355)))</f>
        <v/>
      </c>
      <c r="AW355" s="2">
        <f>SUM(W355:AU355)</f>
        <v/>
      </c>
    </row>
    <row r="356">
      <c r="A356" s="2" t="inlineStr">
        <is>
          <t>14-K-103</t>
        </is>
      </c>
      <c r="B356" s="3" t="inlineStr">
        <is>
          <t>OJC-A1-LC/LC-SM-50-PC/PC-DP</t>
        </is>
      </c>
      <c r="C356" s="2" t="inlineStr">
        <is>
          <t>K9089184</t>
        </is>
      </c>
      <c r="D356" s="2" t="inlineStr">
        <is>
          <t>a1</t>
        </is>
      </c>
      <c r="E356" s="2" t="inlineStr">
        <is>
          <t>2.0mm</t>
        </is>
      </c>
      <c r="F356" s="2" t="n">
        <v>2</v>
      </c>
      <c r="G356" s="2" t="n">
        <v>50</v>
      </c>
      <c r="H356" s="2" t="inlineStr">
        <is>
          <t>LC/PC</t>
        </is>
      </c>
      <c r="I356" s="2" t="inlineStr">
        <is>
          <t>LC/PC</t>
        </is>
      </c>
      <c r="J356" s="2" t="n">
        <v>1</v>
      </c>
      <c r="K356" s="2" t="n">
        <v>30</v>
      </c>
      <c r="L356" s="2" t="n">
        <v>10</v>
      </c>
      <c r="M356" s="2" t="n"/>
      <c r="N356" s="2" t="n"/>
      <c r="O356" s="2" t="n">
        <v>21</v>
      </c>
      <c r="P356" s="2" t="n"/>
      <c r="Q356" s="2" t="n"/>
      <c r="R356" s="2" t="n"/>
      <c r="S356" s="2" t="n"/>
      <c r="T356" s="2" t="n"/>
      <c r="U356" s="2" t="n">
        <v>2</v>
      </c>
      <c r="V356" s="2">
        <f>SUM(J356:U356)</f>
        <v/>
      </c>
      <c r="W356" s="2" t="n">
        <v>128</v>
      </c>
      <c r="X356" s="2" t="n">
        <v>128</v>
      </c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>
        <f>IF(F356=1,V356*2,IF(F356=2,V356*F356*2,IF(F356&gt;2,F356*2*V356)))</f>
        <v/>
      </c>
      <c r="AW356" s="2">
        <f>SUM(W356:AU356)</f>
        <v/>
      </c>
    </row>
    <row r="357">
      <c r="A357" s="2" t="inlineStr">
        <is>
          <t>14-K-104</t>
        </is>
      </c>
      <c r="B357" s="3" t="inlineStr">
        <is>
          <t>OJC-A1-LC/LC-SM-50-PC/PC-SP</t>
        </is>
      </c>
      <c r="C357" s="2" t="inlineStr">
        <is>
          <t>K9089055</t>
        </is>
      </c>
      <c r="D357" s="2" t="inlineStr">
        <is>
          <t>a1</t>
        </is>
      </c>
      <c r="E357" s="2" t="inlineStr">
        <is>
          <t>2.0mm</t>
        </is>
      </c>
      <c r="F357" s="2" t="n">
        <v>1</v>
      </c>
      <c r="G357" s="2" t="n">
        <v>50</v>
      </c>
      <c r="H357" s="2" t="inlineStr">
        <is>
          <t>LC/PC</t>
        </is>
      </c>
      <c r="I357" s="2" t="inlineStr">
        <is>
          <t>LC/PC</t>
        </is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>
        <v>1</v>
      </c>
      <c r="S357" s="2" t="n"/>
      <c r="T357" s="2" t="n"/>
      <c r="U357" s="2" t="n"/>
      <c r="V357" s="2">
        <f>SUM(J357:U357)</f>
        <v/>
      </c>
      <c r="W357" s="2" t="n">
        <v>2</v>
      </c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>
        <f>IF(F357=1,V357*2,IF(F357=2,V357*F357*2,IF(F357&gt;2,F357*2*V357)))</f>
        <v/>
      </c>
      <c r="AW357" s="2">
        <f>SUM(W357:AU357)</f>
        <v/>
      </c>
    </row>
    <row r="358">
      <c r="A358" s="2" t="inlineStr">
        <is>
          <t>14-K-106</t>
        </is>
      </c>
      <c r="B358" s="3" t="inlineStr">
        <is>
          <t>OJC-A1-LC/LC-SM-55-PC/PC-DP</t>
        </is>
      </c>
      <c r="C358" s="2" t="inlineStr"/>
      <c r="D358" s="2" t="inlineStr">
        <is>
          <t>a1</t>
        </is>
      </c>
      <c r="E358" s="2" t="inlineStr">
        <is>
          <t>2.0mm</t>
        </is>
      </c>
      <c r="F358" s="2" t="n">
        <v>2</v>
      </c>
      <c r="G358" s="2" t="n">
        <v>55</v>
      </c>
      <c r="H358" s="2" t="inlineStr">
        <is>
          <t>LC/PC</t>
        </is>
      </c>
      <c r="I358" s="2" t="inlineStr">
        <is>
          <t>LC/PC</t>
        </is>
      </c>
      <c r="J358" s="2" t="n">
        <v>4</v>
      </c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>
        <f>SUM(J358:U358)</f>
        <v/>
      </c>
      <c r="W358" s="2" t="n">
        <v>8</v>
      </c>
      <c r="X358" s="2" t="n">
        <v>8</v>
      </c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>
        <f>IF(F358=1,V358*2,IF(F358=2,V358*F358*2,IF(F358&gt;2,F358*2*V358)))</f>
        <v/>
      </c>
      <c r="AW358" s="2">
        <f>SUM(W358:AU358)</f>
        <v/>
      </c>
    </row>
    <row r="359">
      <c r="A359" s="2" t="inlineStr">
        <is>
          <t>14-K-107</t>
        </is>
      </c>
      <c r="B359" s="3" t="inlineStr">
        <is>
          <t>OJC-A1-LC/LC-SM-5-PC/PC-DP</t>
        </is>
      </c>
      <c r="C359" s="2" t="inlineStr">
        <is>
          <t>K9089175</t>
        </is>
      </c>
      <c r="D359" s="2" t="inlineStr">
        <is>
          <t>a1</t>
        </is>
      </c>
      <c r="E359" s="2" t="inlineStr">
        <is>
          <t>2.0mm</t>
        </is>
      </c>
      <c r="F359" s="2" t="n">
        <v>2</v>
      </c>
      <c r="G359" s="2" t="n">
        <v>5</v>
      </c>
      <c r="H359" s="2" t="inlineStr">
        <is>
          <t>LC/PC</t>
        </is>
      </c>
      <c r="I359" s="2" t="inlineStr">
        <is>
          <t>LC/PC</t>
        </is>
      </c>
      <c r="J359" s="2" t="n">
        <v>300</v>
      </c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>
        <f>SUM(J359:U359)</f>
        <v/>
      </c>
      <c r="W359" s="2" t="n">
        <v>600</v>
      </c>
      <c r="X359" s="2" t="n">
        <v>600</v>
      </c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>
        <f>IF(F359=1,V359*2,IF(F359=2,V359*F359*2,IF(F359&gt;2,F359*2*V359)))</f>
        <v/>
      </c>
      <c r="AW359" s="2">
        <f>SUM(W359:AU359)</f>
        <v/>
      </c>
    </row>
    <row r="360">
      <c r="A360" s="2" t="inlineStr">
        <is>
          <t>14-K-108</t>
        </is>
      </c>
      <c r="B360" s="3" t="inlineStr">
        <is>
          <t>OJC-A1-LC/LC-SM-5-PC/PC-SP</t>
        </is>
      </c>
      <c r="C360" s="2" t="inlineStr">
        <is>
          <t>K9089046</t>
        </is>
      </c>
      <c r="D360" s="2" t="inlineStr">
        <is>
          <t>a1</t>
        </is>
      </c>
      <c r="E360" s="2" t="inlineStr">
        <is>
          <t>2.0mm</t>
        </is>
      </c>
      <c r="F360" s="2" t="n">
        <v>1</v>
      </c>
      <c r="G360" s="2" t="n">
        <v>5</v>
      </c>
      <c r="H360" s="2" t="inlineStr">
        <is>
          <t>LC/PC</t>
        </is>
      </c>
      <c r="I360" s="2" t="inlineStr">
        <is>
          <t>LC/PC</t>
        </is>
      </c>
      <c r="J360" s="2" t="n"/>
      <c r="K360" s="2" t="n">
        <v>50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>
        <f>SUM(J360:U360)</f>
        <v/>
      </c>
      <c r="W360" s="2" t="n">
        <v>100</v>
      </c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>
        <f>IF(F360=1,V360*2,IF(F360=2,V360*F360*2,IF(F360&gt;2,F360*2*V360)))</f>
        <v/>
      </c>
      <c r="AW360" s="2">
        <f>SUM(W360:AU360)</f>
        <v/>
      </c>
    </row>
    <row r="361">
      <c r="A361" s="2" t="inlineStr">
        <is>
          <t>14-K-110</t>
        </is>
      </c>
      <c r="B361" s="3" t="inlineStr">
        <is>
          <t>OJC-A1-LC/LC-SM-7-PC/PC-DP</t>
        </is>
      </c>
      <c r="C361" s="2" t="inlineStr"/>
      <c r="D361" s="2" t="inlineStr">
        <is>
          <t>a1</t>
        </is>
      </c>
      <c r="E361" s="2" t="inlineStr">
        <is>
          <t>2.0mm</t>
        </is>
      </c>
      <c r="F361" s="2" t="n">
        <v>2</v>
      </c>
      <c r="G361" s="2" t="n">
        <v>7</v>
      </c>
      <c r="H361" s="2" t="inlineStr">
        <is>
          <t>LC/PC</t>
        </is>
      </c>
      <c r="I361" s="2" t="inlineStr">
        <is>
          <t>LC/PC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>
        <v>7</v>
      </c>
      <c r="R361" s="2" t="n"/>
      <c r="S361" s="2" t="n">
        <v>112</v>
      </c>
      <c r="T361" s="2" t="n">
        <v>24</v>
      </c>
      <c r="U361" s="2" t="n"/>
      <c r="V361" s="2">
        <f>SUM(J361:U361)</f>
        <v/>
      </c>
      <c r="W361" s="2" t="n">
        <v>286</v>
      </c>
      <c r="X361" s="2" t="n">
        <v>286</v>
      </c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>
        <f>IF(F361=1,V361*2,IF(F361=2,V361*F361*2,IF(F361&gt;2,F361*2*V361)))</f>
        <v/>
      </c>
      <c r="AW361" s="2">
        <f>SUM(W361:AU361)</f>
        <v/>
      </c>
    </row>
    <row r="362">
      <c r="A362" s="2" t="inlineStr">
        <is>
          <t>14-K-111</t>
        </is>
      </c>
      <c r="B362" s="3" t="inlineStr">
        <is>
          <t>OJC-A1-LC/LC-SM-8-PC/PC-DP</t>
        </is>
      </c>
      <c r="C362" s="2" t="inlineStr"/>
      <c r="D362" s="2" t="inlineStr">
        <is>
          <t>a1</t>
        </is>
      </c>
      <c r="E362" s="2" t="inlineStr">
        <is>
          <t>2.0mm</t>
        </is>
      </c>
      <c r="F362" s="2" t="n">
        <v>2</v>
      </c>
      <c r="G362" s="2" t="n">
        <v>8</v>
      </c>
      <c r="H362" s="2" t="inlineStr">
        <is>
          <t>LC/PC</t>
        </is>
      </c>
      <c r="I362" s="2" t="inlineStr">
        <is>
          <t>LC/PC</t>
        </is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>
        <v>20</v>
      </c>
      <c r="U362" s="2" t="n"/>
      <c r="V362" s="2">
        <f>SUM(J362:U362)</f>
        <v/>
      </c>
      <c r="W362" s="2" t="n">
        <v>40</v>
      </c>
      <c r="X362" s="2" t="n">
        <v>40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>
        <f>IF(F362=1,V362*2,IF(F362=2,V362*F362*2,IF(F362&gt;2,F362*2*V362)))</f>
        <v/>
      </c>
      <c r="AW362" s="2">
        <f>SUM(W362:AU362)</f>
        <v/>
      </c>
    </row>
    <row r="363">
      <c r="A363" s="2" t="inlineStr">
        <is>
          <t>14-K-144</t>
        </is>
      </c>
      <c r="B363" s="3" t="inlineStr">
        <is>
          <t>OJC-A1-SC/LC-MM(OM3)-15-PC/PC-DP</t>
        </is>
      </c>
      <c r="C363" s="2" t="inlineStr"/>
      <c r="D363" s="2" t="inlineStr">
        <is>
          <t>om3</t>
        </is>
      </c>
      <c r="E363" s="2" t="inlineStr">
        <is>
          <t>2.0mm</t>
        </is>
      </c>
      <c r="F363" s="2" t="n">
        <v>2</v>
      </c>
      <c r="G363" s="2" t="n">
        <v>15</v>
      </c>
      <c r="H363" s="2" t="inlineStr">
        <is>
          <t>SC/PC</t>
        </is>
      </c>
      <c r="I363" s="2" t="inlineStr">
        <is>
          <t>LC/PC</t>
        </is>
      </c>
      <c r="J363" s="2" t="n"/>
      <c r="K363" s="2" t="n"/>
      <c r="L363" s="2" t="n"/>
      <c r="M363" s="2" t="n"/>
      <c r="N363" s="2" t="n">
        <v>10</v>
      </c>
      <c r="O363" s="2" t="n"/>
      <c r="P363" s="2" t="n">
        <v>2</v>
      </c>
      <c r="Q363" s="2" t="n"/>
      <c r="R363" s="2" t="n"/>
      <c r="S363" s="2" t="n"/>
      <c r="T363" s="2" t="n"/>
      <c r="U363" s="2" t="n"/>
      <c r="V363" s="2">
        <f>SUM(J363:U363)</f>
        <v/>
      </c>
      <c r="W363" s="2" t="n"/>
      <c r="X363" s="2" t="n">
        <v>24</v>
      </c>
      <c r="Y363" s="2" t="n"/>
      <c r="Z363" s="2" t="n"/>
      <c r="AA363" s="2" t="n">
        <v>24</v>
      </c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>
        <f>IF(F363=1,V363*2,IF(F363=2,V363*F363*2,IF(F363&gt;2,F363*2*V363)))</f>
        <v/>
      </c>
      <c r="AW363" s="2">
        <f>SUM(W363:AU363)</f>
        <v/>
      </c>
    </row>
    <row r="364">
      <c r="A364" s="2" t="inlineStr">
        <is>
          <t>14-K-148</t>
        </is>
      </c>
      <c r="B364" s="3" t="inlineStr">
        <is>
          <t>OJC-A1-SC/LC-MM-10-PC/PC-DP</t>
        </is>
      </c>
      <c r="C364" s="2" t="inlineStr">
        <is>
          <t>K9089322</t>
        </is>
      </c>
      <c r="D364" s="2" t="inlineStr">
        <is>
          <t>om1</t>
        </is>
      </c>
      <c r="E364" s="2" t="inlineStr">
        <is>
          <t>2.0mm</t>
        </is>
      </c>
      <c r="F364" s="2" t="n">
        <v>2</v>
      </c>
      <c r="G364" s="2" t="n">
        <v>10</v>
      </c>
      <c r="H364" s="2" t="inlineStr">
        <is>
          <t>SC/PC</t>
        </is>
      </c>
      <c r="I364" s="2" t="inlineStr">
        <is>
          <t>LC/PC</t>
        </is>
      </c>
      <c r="J364" s="2" t="n"/>
      <c r="K364" s="2" t="n"/>
      <c r="L364" s="2" t="n"/>
      <c r="M364" s="2" t="n"/>
      <c r="N364" s="2" t="n"/>
      <c r="O364" s="2" t="n"/>
      <c r="P364" s="2" t="n"/>
      <c r="Q364" s="2" t="n">
        <v>8</v>
      </c>
      <c r="R364" s="2" t="n"/>
      <c r="S364" s="2" t="n">
        <v>10</v>
      </c>
      <c r="T364" s="2" t="n">
        <v>10</v>
      </c>
      <c r="U364" s="2" t="n"/>
      <c r="V364" s="2">
        <f>SUM(J364:U364)</f>
        <v/>
      </c>
      <c r="W364" s="2" t="n"/>
      <c r="X364" s="2" t="n">
        <v>56</v>
      </c>
      <c r="Y364" s="2" t="n"/>
      <c r="Z364" s="2" t="n"/>
      <c r="AA364" s="2" t="n">
        <v>56</v>
      </c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>
        <f>IF(F364=1,V364*2,IF(F364=2,V364*F364*2,IF(F364&gt;2,F364*2*V364)))</f>
        <v/>
      </c>
      <c r="AW364" s="2">
        <f>SUM(W364:AU364)</f>
        <v/>
      </c>
    </row>
    <row r="365">
      <c r="A365" s="2" t="inlineStr">
        <is>
          <t>14-K-150</t>
        </is>
      </c>
      <c r="B365" s="3" t="inlineStr">
        <is>
          <t>OJC-A1-SC/LC-MM-15-PC/PC-DP</t>
        </is>
      </c>
      <c r="C365" s="2" t="inlineStr">
        <is>
          <t>K9089323</t>
        </is>
      </c>
      <c r="D365" s="2" t="inlineStr">
        <is>
          <t>om1</t>
        </is>
      </c>
      <c r="E365" s="2" t="inlineStr">
        <is>
          <t>2.0mm</t>
        </is>
      </c>
      <c r="F365" s="2" t="n">
        <v>2</v>
      </c>
      <c r="G365" s="2" t="n">
        <v>15</v>
      </c>
      <c r="H365" s="2" t="inlineStr">
        <is>
          <t>SC/PC</t>
        </is>
      </c>
      <c r="I365" s="2" t="inlineStr">
        <is>
          <t>LC/PC</t>
        </is>
      </c>
      <c r="J365" s="2" t="n">
        <v>32</v>
      </c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>
        <v>10</v>
      </c>
      <c r="U365" s="2" t="n"/>
      <c r="V365" s="2">
        <f>SUM(J365:U365)</f>
        <v/>
      </c>
      <c r="W365" s="2" t="n"/>
      <c r="X365" s="2" t="n">
        <v>84</v>
      </c>
      <c r="Y365" s="2" t="n"/>
      <c r="Z365" s="2" t="n"/>
      <c r="AA365" s="2" t="n">
        <v>84</v>
      </c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>
        <f>IF(F365=1,V365*2,IF(F365=2,V365*F365*2,IF(F365&gt;2,F365*2*V365)))</f>
        <v/>
      </c>
      <c r="AW365" s="2">
        <f>SUM(W365:AU365)</f>
        <v/>
      </c>
    </row>
    <row r="366">
      <c r="A366" s="2" t="inlineStr">
        <is>
          <t>14-K-154</t>
        </is>
      </c>
      <c r="B366" s="3" t="inlineStr">
        <is>
          <t>OJC-A1-SC/LC-MM-20-PC/PC-DP</t>
        </is>
      </c>
      <c r="C366" s="2" t="inlineStr">
        <is>
          <t>K9089324</t>
        </is>
      </c>
      <c r="D366" s="2" t="inlineStr">
        <is>
          <t>om1</t>
        </is>
      </c>
      <c r="E366" s="2" t="inlineStr">
        <is>
          <t>2.0mm</t>
        </is>
      </c>
      <c r="F366" s="2" t="n">
        <v>2</v>
      </c>
      <c r="G366" s="2" t="n">
        <v>20</v>
      </c>
      <c r="H366" s="2" t="inlineStr">
        <is>
          <t>SC/PC</t>
        </is>
      </c>
      <c r="I366" s="2" t="inlineStr">
        <is>
          <t>LC/PC</t>
        </is>
      </c>
      <c r="J366" s="2" t="n"/>
      <c r="K366" s="2" t="n"/>
      <c r="L366" s="2" t="n">
        <v>2</v>
      </c>
      <c r="M366" s="2" t="n"/>
      <c r="N366" s="2" t="n"/>
      <c r="O366" s="2" t="n"/>
      <c r="P366" s="2" t="n">
        <v>10</v>
      </c>
      <c r="Q366" s="2" t="n"/>
      <c r="R366" s="2" t="n"/>
      <c r="S366" s="2" t="n"/>
      <c r="T366" s="2" t="n">
        <v>10</v>
      </c>
      <c r="U366" s="2" t="n"/>
      <c r="V366" s="2">
        <f>SUM(J366:U366)</f>
        <v/>
      </c>
      <c r="W366" s="2" t="n"/>
      <c r="X366" s="2" t="n">
        <v>44</v>
      </c>
      <c r="Y366" s="2" t="n"/>
      <c r="Z366" s="2" t="n"/>
      <c r="AA366" s="2" t="n">
        <v>44</v>
      </c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>
        <f>IF(F366=1,V366*2,IF(F366=2,V366*F366*2,IF(F366&gt;2,F366*2*V366)))</f>
        <v/>
      </c>
      <c r="AW366" s="2">
        <f>SUM(W366:AU366)</f>
        <v/>
      </c>
    </row>
    <row r="367">
      <c r="A367" s="2" t="inlineStr">
        <is>
          <t>14-K-157</t>
        </is>
      </c>
      <c r="B367" s="3" t="inlineStr">
        <is>
          <t>OJC-A1-SC/LC-MM-2-PC/PC-DP</t>
        </is>
      </c>
      <c r="C367" s="2" t="inlineStr">
        <is>
          <t>K9089318</t>
        </is>
      </c>
      <c r="D367" s="2" t="inlineStr">
        <is>
          <t>om1</t>
        </is>
      </c>
      <c r="E367" s="2" t="inlineStr">
        <is>
          <t>2.0mm</t>
        </is>
      </c>
      <c r="F367" s="2" t="n">
        <v>2</v>
      </c>
      <c r="G367" s="2" t="n">
        <v>2</v>
      </c>
      <c r="H367" s="2" t="inlineStr">
        <is>
          <t>SC/PC</t>
        </is>
      </c>
      <c r="I367" s="2" t="inlineStr">
        <is>
          <t>LC/PC</t>
        </is>
      </c>
      <c r="J367" s="2" t="n"/>
      <c r="K367" s="2" t="n"/>
      <c r="L367" s="2" t="n">
        <v>4</v>
      </c>
      <c r="M367" s="2" t="n"/>
      <c r="N367" s="2" t="n"/>
      <c r="O367" s="2" t="n">
        <v>6</v>
      </c>
      <c r="P367" s="2" t="n"/>
      <c r="Q367" s="2" t="n">
        <v>2</v>
      </c>
      <c r="R367" s="2" t="n"/>
      <c r="S367" s="2" t="n"/>
      <c r="T367" s="2" t="n"/>
      <c r="U367" s="2" t="n"/>
      <c r="V367" s="2">
        <f>SUM(J367:U367)</f>
        <v/>
      </c>
      <c r="W367" s="2" t="n"/>
      <c r="X367" s="2" t="n">
        <v>24</v>
      </c>
      <c r="Y367" s="2" t="n"/>
      <c r="Z367" s="2" t="n"/>
      <c r="AA367" s="2" t="n">
        <v>24</v>
      </c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>
        <f>IF(F367=1,V367*2,IF(F367=2,V367*F367*2,IF(F367&gt;2,F367*2*V367)))</f>
        <v/>
      </c>
      <c r="AW367" s="2">
        <f>SUM(W367:AU367)</f>
        <v/>
      </c>
    </row>
    <row r="368">
      <c r="A368" s="2" t="inlineStr">
        <is>
          <t>14-K-160</t>
        </is>
      </c>
      <c r="B368" s="3" t="inlineStr">
        <is>
          <t>OJC-A1-SC/LC-MM-35-PC/PC-DP</t>
        </is>
      </c>
      <c r="C368" s="2" t="inlineStr">
        <is>
          <t>K9089327</t>
        </is>
      </c>
      <c r="D368" s="2" t="inlineStr">
        <is>
          <t>om1</t>
        </is>
      </c>
      <c r="E368" s="2" t="inlineStr">
        <is>
          <t>2.0mm</t>
        </is>
      </c>
      <c r="F368" s="2" t="n">
        <v>2</v>
      </c>
      <c r="G368" s="2" t="n">
        <v>35</v>
      </c>
      <c r="H368" s="2" t="inlineStr">
        <is>
          <t>SC/PC</t>
        </is>
      </c>
      <c r="I368" s="2" t="inlineStr">
        <is>
          <t>LC/PC</t>
        </is>
      </c>
      <c r="J368" s="2" t="n"/>
      <c r="K368" s="2" t="n"/>
      <c r="L368" s="2" t="n">
        <v>20</v>
      </c>
      <c r="M368" s="2" t="n"/>
      <c r="N368" s="2" t="n"/>
      <c r="O368" s="2" t="n"/>
      <c r="P368" s="2" t="n"/>
      <c r="Q368" s="2" t="n">
        <v>12</v>
      </c>
      <c r="R368" s="2" t="n"/>
      <c r="S368" s="2" t="n"/>
      <c r="T368" s="2" t="n"/>
      <c r="U368" s="2" t="n"/>
      <c r="V368" s="2">
        <f>SUM(J368:U368)</f>
        <v/>
      </c>
      <c r="W368" s="2" t="n"/>
      <c r="X368" s="2" t="n">
        <v>64</v>
      </c>
      <c r="Y368" s="2" t="n"/>
      <c r="Z368" s="2" t="n"/>
      <c r="AA368" s="2" t="n">
        <v>64</v>
      </c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>
        <f>IF(F368=1,V368*2,IF(F368=2,V368*F368*2,IF(F368&gt;2,F368*2*V368)))</f>
        <v/>
      </c>
      <c r="AW368" s="2">
        <f>SUM(W368:AU368)</f>
        <v/>
      </c>
    </row>
    <row r="369">
      <c r="A369" s="2" t="inlineStr">
        <is>
          <t>14-K-161</t>
        </is>
      </c>
      <c r="B369" s="3" t="inlineStr">
        <is>
          <t>OJC-A1-SC/LC-MM-3-PC/PC-DP</t>
        </is>
      </c>
      <c r="C369" s="2" t="inlineStr">
        <is>
          <t>K9089319</t>
        </is>
      </c>
      <c r="D369" s="2" t="inlineStr">
        <is>
          <t>om1</t>
        </is>
      </c>
      <c r="E369" s="2" t="inlineStr">
        <is>
          <t>2.0mm</t>
        </is>
      </c>
      <c r="F369" s="2" t="n">
        <v>2</v>
      </c>
      <c r="G369" s="2" t="n">
        <v>3</v>
      </c>
      <c r="H369" s="2" t="inlineStr">
        <is>
          <t>SC/PC</t>
        </is>
      </c>
      <c r="I369" s="2" t="inlineStr">
        <is>
          <t>LC/PC</t>
        </is>
      </c>
      <c r="J369" s="2" t="n"/>
      <c r="K369" s="2" t="n"/>
      <c r="L369" s="2" t="n">
        <v>135</v>
      </c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>
        <f>SUM(J369:U369)</f>
        <v/>
      </c>
      <c r="W369" s="2" t="n"/>
      <c r="X369" s="2" t="n">
        <v>270</v>
      </c>
      <c r="Y369" s="2" t="n"/>
      <c r="Z369" s="2" t="n"/>
      <c r="AA369" s="2" t="n">
        <v>270</v>
      </c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>
        <f>IF(F369=1,V369*2,IF(F369=2,V369*F369*2,IF(F369&gt;2,F369*2*V369)))</f>
        <v/>
      </c>
      <c r="AW369" s="2">
        <f>SUM(W369:AU369)</f>
        <v/>
      </c>
    </row>
    <row r="370">
      <c r="A370" s="2" t="inlineStr">
        <is>
          <t>14-K-163</t>
        </is>
      </c>
      <c r="B370" s="3" t="inlineStr">
        <is>
          <t>OJC-A1-SC/LC-MM-40-PC/PC-DP</t>
        </is>
      </c>
      <c r="C370" s="2" t="inlineStr">
        <is>
          <t>K9089328</t>
        </is>
      </c>
      <c r="D370" s="2" t="inlineStr">
        <is>
          <t>om1</t>
        </is>
      </c>
      <c r="E370" s="2" t="inlineStr">
        <is>
          <t>2.0mm</t>
        </is>
      </c>
      <c r="F370" s="2" t="n">
        <v>2</v>
      </c>
      <c r="G370" s="2" t="n">
        <v>40</v>
      </c>
      <c r="H370" s="2" t="inlineStr">
        <is>
          <t>SC/PC</t>
        </is>
      </c>
      <c r="I370" s="2" t="inlineStr">
        <is>
          <t>LC/PC</t>
        </is>
      </c>
      <c r="J370" s="2" t="n"/>
      <c r="K370" s="2" t="n"/>
      <c r="L370" s="2" t="n"/>
      <c r="M370" s="2" t="n"/>
      <c r="N370" s="2" t="n"/>
      <c r="O370" s="2" t="n"/>
      <c r="P370" s="2" t="n"/>
      <c r="Q370" s="2" t="n">
        <v>6</v>
      </c>
      <c r="R370" s="2" t="n"/>
      <c r="S370" s="2" t="n"/>
      <c r="T370" s="2" t="n"/>
      <c r="U370" s="2" t="n"/>
      <c r="V370" s="2">
        <f>SUM(J370:U370)</f>
        <v/>
      </c>
      <c r="W370" s="2" t="n"/>
      <c r="X370" s="2" t="n">
        <v>12</v>
      </c>
      <c r="Y370" s="2" t="n"/>
      <c r="Z370" s="2" t="n"/>
      <c r="AA370" s="2" t="n">
        <v>12</v>
      </c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>
        <f>IF(F370=1,V370*2,IF(F370=2,V370*F370*2,IF(F370&gt;2,F370*2*V370)))</f>
        <v/>
      </c>
      <c r="AW370" s="2">
        <f>SUM(W370:AU370)</f>
        <v/>
      </c>
    </row>
    <row r="371">
      <c r="A371" s="2" t="inlineStr">
        <is>
          <t>14-K-169</t>
        </is>
      </c>
      <c r="B371" s="3" t="inlineStr">
        <is>
          <t>OJC-A1-SC/LC-SM-0.5-PC/PC-DP</t>
        </is>
      </c>
      <c r="C371" s="2" t="inlineStr"/>
      <c r="D371" s="2" t="inlineStr">
        <is>
          <t>a1</t>
        </is>
      </c>
      <c r="E371" s="2" t="inlineStr">
        <is>
          <t>2.0mm</t>
        </is>
      </c>
      <c r="F371" s="2" t="n">
        <v>2</v>
      </c>
      <c r="G371" s="2" t="n">
        <v>0.5</v>
      </c>
      <c r="H371" s="2" t="inlineStr">
        <is>
          <t>SC/PC</t>
        </is>
      </c>
      <c r="I371" s="2" t="inlineStr">
        <is>
          <t>LC/PC</t>
        </is>
      </c>
      <c r="J371" s="2" t="n"/>
      <c r="K371" s="2" t="n"/>
      <c r="L371" s="2" t="n"/>
      <c r="M371" s="2" t="n"/>
      <c r="N371" s="2" t="n"/>
      <c r="O371" s="2" t="n">
        <v>3</v>
      </c>
      <c r="P371" s="2" t="n"/>
      <c r="Q371" s="2" t="n"/>
      <c r="R371" s="2" t="n"/>
      <c r="S371" s="2" t="n"/>
      <c r="T371" s="2" t="n"/>
      <c r="U371" s="2" t="n"/>
      <c r="V371" s="2">
        <f>SUM(J371:U371)</f>
        <v/>
      </c>
      <c r="W371" s="2" t="n"/>
      <c r="X371" s="2" t="n">
        <v>6</v>
      </c>
      <c r="Y371" s="2" t="n"/>
      <c r="Z371" s="2" t="n"/>
      <c r="AA371" s="2" t="n">
        <v>6</v>
      </c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>
        <f>IF(F371=1,V371*2,IF(F371=2,V371*F371*2,IF(F371&gt;2,F371*2*V371)))</f>
        <v/>
      </c>
      <c r="AW371" s="2">
        <f>SUM(W371:AU371)</f>
        <v/>
      </c>
    </row>
    <row r="372">
      <c r="A372" s="2" t="inlineStr">
        <is>
          <t>14-K-176</t>
        </is>
      </c>
      <c r="B372" s="3" t="inlineStr">
        <is>
          <t>OJC-A1-SC/LC-SM-10-PC/PC-DP</t>
        </is>
      </c>
      <c r="C372" s="2" t="inlineStr">
        <is>
          <t>K9089162</t>
        </is>
      </c>
      <c r="D372" s="2" t="inlineStr">
        <is>
          <t>a1</t>
        </is>
      </c>
      <c r="E372" s="2" t="inlineStr">
        <is>
          <t>2.0mm</t>
        </is>
      </c>
      <c r="F372" s="2" t="n">
        <v>2</v>
      </c>
      <c r="G372" s="2" t="n">
        <v>10</v>
      </c>
      <c r="H372" s="2" t="inlineStr">
        <is>
          <t>SC/PC</t>
        </is>
      </c>
      <c r="I372" s="2" t="inlineStr">
        <is>
          <t>LC/PC</t>
        </is>
      </c>
      <c r="J372" s="2" t="n">
        <v>500</v>
      </c>
      <c r="K372" s="2" t="n"/>
      <c r="L372" s="2" t="n">
        <v>77</v>
      </c>
      <c r="M372" s="2" t="n">
        <v>270</v>
      </c>
      <c r="N372" s="2" t="n">
        <v>22</v>
      </c>
      <c r="O372" s="2" t="n"/>
      <c r="P372" s="2" t="n"/>
      <c r="Q372" s="2" t="n"/>
      <c r="R372" s="2" t="n"/>
      <c r="S372" s="2" t="n"/>
      <c r="T372" s="2" t="n"/>
      <c r="U372" s="2" t="n">
        <v>120</v>
      </c>
      <c r="V372" s="2">
        <f>SUM(J372:U372)</f>
        <v/>
      </c>
      <c r="W372" s="2" t="n"/>
      <c r="X372" s="2" t="n">
        <v>1978</v>
      </c>
      <c r="Y372" s="2" t="n"/>
      <c r="Z372" s="2" t="n"/>
      <c r="AA372" s="2" t="n">
        <v>1978</v>
      </c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>
        <f>IF(F372=1,V372*2,IF(F372=2,V372*F372*2,IF(F372&gt;2,F372*2*V372)))</f>
        <v/>
      </c>
      <c r="AW372" s="2">
        <f>SUM(W372:AU372)</f>
        <v/>
      </c>
    </row>
    <row r="373">
      <c r="A373" s="2" t="inlineStr">
        <is>
          <t>14-K-179</t>
        </is>
      </c>
      <c r="B373" s="3" t="inlineStr">
        <is>
          <t>OJC-A1-SC/LC-SM-12-PC/PC-DP</t>
        </is>
      </c>
      <c r="C373" s="2" t="inlineStr"/>
      <c r="D373" s="2" t="inlineStr">
        <is>
          <t>a1</t>
        </is>
      </c>
      <c r="E373" s="2" t="inlineStr">
        <is>
          <t>2.0mm</t>
        </is>
      </c>
      <c r="F373" s="2" t="n">
        <v>2</v>
      </c>
      <c r="G373" s="2" t="n">
        <v>12</v>
      </c>
      <c r="H373" s="2" t="inlineStr">
        <is>
          <t>SC/PC</t>
        </is>
      </c>
      <c r="I373" s="2" t="inlineStr">
        <is>
          <t>LC/PC</t>
        </is>
      </c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>
        <v>50</v>
      </c>
      <c r="T373" s="2" t="n"/>
      <c r="U373" s="2" t="n"/>
      <c r="V373" s="2">
        <f>SUM(J373:U373)</f>
        <v/>
      </c>
      <c r="W373" s="2" t="n"/>
      <c r="X373" s="2" t="n">
        <v>100</v>
      </c>
      <c r="Y373" s="2" t="n"/>
      <c r="Z373" s="2" t="n"/>
      <c r="AA373" s="2" t="n">
        <v>100</v>
      </c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>
        <f>IF(F373=1,V373*2,IF(F373=2,V373*F373*2,IF(F373&gt;2,F373*2*V373)))</f>
        <v/>
      </c>
      <c r="AW373" s="2">
        <f>SUM(W373:AU373)</f>
        <v/>
      </c>
    </row>
    <row r="374">
      <c r="A374" s="2" t="inlineStr">
        <is>
          <t>14-K-181</t>
        </is>
      </c>
      <c r="B374" s="3" t="inlineStr">
        <is>
          <t>OJC-A1-SC/LC-SM-13-PC/PC-DP</t>
        </is>
      </c>
      <c r="C374" s="2" t="inlineStr"/>
      <c r="D374" s="2" t="inlineStr">
        <is>
          <t>a1</t>
        </is>
      </c>
      <c r="E374" s="2" t="inlineStr">
        <is>
          <t>2.0mm</t>
        </is>
      </c>
      <c r="F374" s="2" t="n">
        <v>2</v>
      </c>
      <c r="G374" s="2" t="n">
        <v>13</v>
      </c>
      <c r="H374" s="2" t="inlineStr">
        <is>
          <t>SC/PC</t>
        </is>
      </c>
      <c r="I374" s="2" t="inlineStr">
        <is>
          <t>LC/PC</t>
        </is>
      </c>
      <c r="J374" s="2" t="n"/>
      <c r="K374" s="2" t="n"/>
      <c r="L374" s="2" t="n"/>
      <c r="M374" s="2" t="n"/>
      <c r="N374" s="2" t="n"/>
      <c r="O374" s="2" t="n">
        <v>50</v>
      </c>
      <c r="P374" s="2" t="n"/>
      <c r="Q374" s="2" t="n"/>
      <c r="R374" s="2" t="n"/>
      <c r="S374" s="2" t="n"/>
      <c r="T374" s="2" t="n"/>
      <c r="U374" s="2" t="n"/>
      <c r="V374" s="2">
        <f>SUM(J374:U374)</f>
        <v/>
      </c>
      <c r="W374" s="2" t="n"/>
      <c r="X374" s="2" t="n">
        <v>100</v>
      </c>
      <c r="Y374" s="2" t="n"/>
      <c r="Z374" s="2" t="n"/>
      <c r="AA374" s="2" t="n">
        <v>100</v>
      </c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>
        <f>IF(F374=1,V374*2,IF(F374=2,V374*F374*2,IF(F374&gt;2,F374*2*V374)))</f>
        <v/>
      </c>
      <c r="AW374" s="2">
        <f>SUM(W374:AU374)</f>
        <v/>
      </c>
    </row>
    <row r="375">
      <c r="A375" s="2" t="inlineStr">
        <is>
          <t>14-K-188</t>
        </is>
      </c>
      <c r="B375" s="3" t="inlineStr">
        <is>
          <t>OJC-A1-SC/LC-SM-15-PC/PC-DP</t>
        </is>
      </c>
      <c r="C375" s="2" t="inlineStr">
        <is>
          <t>K9089163</t>
        </is>
      </c>
      <c r="D375" s="2" t="inlineStr">
        <is>
          <t>a1</t>
        </is>
      </c>
      <c r="E375" s="2" t="inlineStr">
        <is>
          <t>2.0mm</t>
        </is>
      </c>
      <c r="F375" s="2" t="n">
        <v>2</v>
      </c>
      <c r="G375" s="2" t="n">
        <v>15</v>
      </c>
      <c r="H375" s="2" t="inlineStr">
        <is>
          <t>SC/PC</t>
        </is>
      </c>
      <c r="I375" s="2" t="inlineStr">
        <is>
          <t>LC/PC</t>
        </is>
      </c>
      <c r="J375" s="2" t="n"/>
      <c r="K375" s="2" t="n"/>
      <c r="L375" s="2" t="n">
        <v>30</v>
      </c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>
        <f>SUM(J375:U375)</f>
        <v/>
      </c>
      <c r="W375" s="2" t="n"/>
      <c r="X375" s="2" t="n">
        <v>60</v>
      </c>
      <c r="Y375" s="2" t="n"/>
      <c r="Z375" s="2" t="n"/>
      <c r="AA375" s="2" t="n">
        <v>60</v>
      </c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>
        <f>IF(F375=1,V375*2,IF(F375=2,V375*F375*2,IF(F375&gt;2,F375*2*V375)))</f>
        <v/>
      </c>
      <c r="AW375" s="2">
        <f>SUM(W375:AU375)</f>
        <v/>
      </c>
    </row>
    <row r="376">
      <c r="A376" s="2" t="inlineStr">
        <is>
          <t>14-K-189</t>
        </is>
      </c>
      <c r="B376" s="3" t="inlineStr">
        <is>
          <t>OJC-A1-SC/LC-SM-15-PC/PC-SP</t>
        </is>
      </c>
      <c r="C376" s="2" t="inlineStr">
        <is>
          <t>K9089034</t>
        </is>
      </c>
      <c r="D376" s="2" t="inlineStr">
        <is>
          <t>a1</t>
        </is>
      </c>
      <c r="E376" s="2" t="inlineStr">
        <is>
          <t>2.0mm</t>
        </is>
      </c>
      <c r="F376" s="2" t="n">
        <v>1</v>
      </c>
      <c r="G376" s="2" t="n">
        <v>15</v>
      </c>
      <c r="H376" s="2" t="inlineStr">
        <is>
          <t>SC/PC</t>
        </is>
      </c>
      <c r="I376" s="2" t="inlineStr">
        <is>
          <t>LC/PC</t>
        </is>
      </c>
      <c r="J376" s="2" t="n"/>
      <c r="K376" s="2" t="n"/>
      <c r="L376" s="2" t="n"/>
      <c r="M376" s="2" t="n"/>
      <c r="N376" s="2" t="n"/>
      <c r="O376" s="2" t="n">
        <v>14</v>
      </c>
      <c r="P376" s="2" t="n"/>
      <c r="Q376" s="2" t="n"/>
      <c r="R376" s="2" t="n"/>
      <c r="S376" s="2" t="n"/>
      <c r="T376" s="2" t="n"/>
      <c r="U376" s="2" t="n"/>
      <c r="V376" s="2">
        <f>SUM(J376:U376)</f>
        <v/>
      </c>
      <c r="W376" s="2" t="n">
        <v>14</v>
      </c>
      <c r="X376" s="2" t="n"/>
      <c r="Y376" s="2" t="n"/>
      <c r="Z376" s="2" t="n"/>
      <c r="AA376" s="2" t="n">
        <v>14</v>
      </c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>
        <f>IF(F376=1,V376*2,IF(F376=2,V376*F376*2,IF(F376&gt;2,F376*2*V376)))</f>
        <v/>
      </c>
      <c r="AW376" s="2">
        <f>SUM(W376:AU376)</f>
        <v/>
      </c>
    </row>
    <row r="377">
      <c r="A377" s="2" t="inlineStr">
        <is>
          <t>14-K-198</t>
        </is>
      </c>
      <c r="B377" s="3" t="inlineStr">
        <is>
          <t>OJC-A1-SC/LC-SM-1-PC/PC-DP</t>
        </is>
      </c>
      <c r="C377" s="2" t="inlineStr">
        <is>
          <t>K9089157</t>
        </is>
      </c>
      <c r="D377" s="2" t="inlineStr">
        <is>
          <t>a1</t>
        </is>
      </c>
      <c r="E377" s="2" t="inlineStr">
        <is>
          <t>2.0mm</t>
        </is>
      </c>
      <c r="F377" s="2" t="n">
        <v>2</v>
      </c>
      <c r="G377" s="2" t="n">
        <v>1</v>
      </c>
      <c r="H377" s="2" t="inlineStr">
        <is>
          <t>SC/PC</t>
        </is>
      </c>
      <c r="I377" s="2" t="inlineStr">
        <is>
          <t>LC/PC</t>
        </is>
      </c>
      <c r="J377" s="2" t="n"/>
      <c r="K377" s="2" t="n"/>
      <c r="L377" s="2" t="n"/>
      <c r="M377" s="2" t="n"/>
      <c r="N377" s="2" t="n"/>
      <c r="O377" s="2" t="n">
        <v>354</v>
      </c>
      <c r="P377" s="2" t="n">
        <v>184</v>
      </c>
      <c r="Q377" s="2" t="n">
        <v>300</v>
      </c>
      <c r="R377" s="2" t="n"/>
      <c r="S377" s="2" t="n"/>
      <c r="T377" s="2" t="n"/>
      <c r="U377" s="2" t="n">
        <v>200</v>
      </c>
      <c r="V377" s="2">
        <f>SUM(J377:U377)</f>
        <v/>
      </c>
      <c r="W377" s="2" t="n"/>
      <c r="X377" s="2" t="n">
        <v>2076</v>
      </c>
      <c r="Y377" s="2" t="n"/>
      <c r="Z377" s="2" t="n"/>
      <c r="AA377" s="2" t="n">
        <v>2076</v>
      </c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>
        <f>IF(F377=1,V377*2,IF(F377=2,V377*F377*2,IF(F377&gt;2,F377*2*V377)))</f>
        <v/>
      </c>
      <c r="AW377" s="2">
        <f>SUM(W377:AU377)</f>
        <v/>
      </c>
    </row>
    <row r="378">
      <c r="A378" s="2" t="inlineStr">
        <is>
          <t>14-K-199</t>
        </is>
      </c>
      <c r="B378" s="3" t="inlineStr">
        <is>
          <t>OJC-A1-SC/LC-SM-1-PC/PC-SP</t>
        </is>
      </c>
      <c r="C378" s="2" t="inlineStr">
        <is>
          <t>K9089028</t>
        </is>
      </c>
      <c r="D378" s="2" t="inlineStr">
        <is>
          <t>a1</t>
        </is>
      </c>
      <c r="E378" s="2" t="inlineStr">
        <is>
          <t>2.0mm</t>
        </is>
      </c>
      <c r="F378" s="2" t="n">
        <v>1</v>
      </c>
      <c r="G378" s="2" t="n">
        <v>1</v>
      </c>
      <c r="H378" s="2" t="inlineStr">
        <is>
          <t>SC/PC</t>
        </is>
      </c>
      <c r="I378" s="2" t="inlineStr">
        <is>
          <t>LC/PC</t>
        </is>
      </c>
      <c r="J378" s="2" t="n"/>
      <c r="K378" s="2" t="n"/>
      <c r="L378" s="2" t="n">
        <v>25</v>
      </c>
      <c r="M378" s="2" t="n">
        <v>31</v>
      </c>
      <c r="N378" s="2" t="n">
        <v>109</v>
      </c>
      <c r="O378" s="2" t="n">
        <v>105</v>
      </c>
      <c r="P378" s="2" t="n"/>
      <c r="Q378" s="2" t="n">
        <v>89</v>
      </c>
      <c r="R378" s="2" t="n">
        <v>263</v>
      </c>
      <c r="S378" s="2" t="n">
        <v>294</v>
      </c>
      <c r="T378" s="2" t="n">
        <v>181</v>
      </c>
      <c r="U378" s="2" t="n"/>
      <c r="V378" s="2">
        <f>SUM(J378:U378)</f>
        <v/>
      </c>
      <c r="W378" s="2" t="n">
        <v>1097</v>
      </c>
      <c r="X378" s="2" t="n"/>
      <c r="Y378" s="2" t="n"/>
      <c r="Z378" s="2" t="n"/>
      <c r="AA378" s="2" t="n">
        <v>1097</v>
      </c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>
        <f>IF(F378=1,V378*2,IF(F378=2,V378*F378*2,IF(F378&gt;2,F378*2*V378)))</f>
        <v/>
      </c>
      <c r="AW378" s="2">
        <f>SUM(W378:AU378)</f>
        <v/>
      </c>
    </row>
    <row r="379">
      <c r="A379" s="2" t="inlineStr">
        <is>
          <t>14-K-203</t>
        </is>
      </c>
      <c r="B379" s="3" t="inlineStr">
        <is>
          <t>OJC-A1-SC/LC-SM-20-PC/APC-SP</t>
        </is>
      </c>
      <c r="C379" s="2" t="inlineStr">
        <is>
          <t>K9089069</t>
        </is>
      </c>
      <c r="D379" s="2" t="inlineStr">
        <is>
          <t>a1</t>
        </is>
      </c>
      <c r="E379" s="2" t="inlineStr">
        <is>
          <t>2.0mm</t>
        </is>
      </c>
      <c r="F379" s="2" t="n">
        <v>1</v>
      </c>
      <c r="G379" s="2" t="n">
        <v>20</v>
      </c>
      <c r="H379" s="2" t="inlineStr">
        <is>
          <t>SC/PC</t>
        </is>
      </c>
      <c r="I379" s="2" t="inlineStr">
        <is>
          <t>LC/APC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>
        <v>50</v>
      </c>
      <c r="V379" s="2">
        <f>SUM(J379:U379)</f>
        <v/>
      </c>
      <c r="W379" s="2" t="n"/>
      <c r="X379" s="2" t="n"/>
      <c r="Y379" s="2" t="n">
        <v>50</v>
      </c>
      <c r="Z379" s="2" t="n"/>
      <c r="AA379" s="2" t="n">
        <v>50</v>
      </c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>
        <f>IF(F379=1,V379*2,IF(F379=2,V379*F379*2,IF(F379&gt;2,F379*2*V379)))</f>
        <v/>
      </c>
      <c r="AW379" s="2">
        <f>SUM(W379:AU379)</f>
        <v/>
      </c>
    </row>
    <row r="380">
      <c r="A380" s="2" t="inlineStr">
        <is>
          <t>14-K-204</t>
        </is>
      </c>
      <c r="B380" s="3" t="inlineStr">
        <is>
          <t>OJC-A1-SC/LC-SM-20-PC/PC-DP</t>
        </is>
      </c>
      <c r="C380" s="2" t="inlineStr">
        <is>
          <t>K9089164</t>
        </is>
      </c>
      <c r="D380" s="2" t="inlineStr">
        <is>
          <t>a1</t>
        </is>
      </c>
      <c r="E380" s="2" t="inlineStr">
        <is>
          <t>2.0mm</t>
        </is>
      </c>
      <c r="F380" s="2" t="n">
        <v>2</v>
      </c>
      <c r="G380" s="2" t="n">
        <v>20</v>
      </c>
      <c r="H380" s="2" t="inlineStr">
        <is>
          <t>SC/PC</t>
        </is>
      </c>
      <c r="I380" s="2" t="inlineStr">
        <is>
          <t>LC/PC</t>
        </is>
      </c>
      <c r="J380" s="2" t="n"/>
      <c r="K380" s="2" t="n"/>
      <c r="L380" s="2" t="n">
        <v>50</v>
      </c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>
        <f>SUM(J380:U380)</f>
        <v/>
      </c>
      <c r="W380" s="2" t="n"/>
      <c r="X380" s="2" t="n">
        <v>100</v>
      </c>
      <c r="Y380" s="2" t="n"/>
      <c r="Z380" s="2" t="n"/>
      <c r="AA380" s="2" t="n">
        <v>100</v>
      </c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>
        <f>IF(F380=1,V380*2,IF(F380=2,V380*F380*2,IF(F380&gt;2,F380*2*V380)))</f>
        <v/>
      </c>
      <c r="AW380" s="2">
        <f>SUM(W380:AU380)</f>
        <v/>
      </c>
    </row>
    <row r="381">
      <c r="A381" s="2" t="inlineStr">
        <is>
          <t>14-K-210</t>
        </is>
      </c>
      <c r="B381" s="3" t="inlineStr">
        <is>
          <t>OJC-A1-SC/LC-SM-25-PC/PC-SP</t>
        </is>
      </c>
      <c r="C381" s="2" t="inlineStr">
        <is>
          <t>K9089036</t>
        </is>
      </c>
      <c r="D381" s="2" t="inlineStr">
        <is>
          <t>a1</t>
        </is>
      </c>
      <c r="E381" s="2" t="inlineStr">
        <is>
          <t>2.0mm</t>
        </is>
      </c>
      <c r="F381" s="2" t="n">
        <v>1</v>
      </c>
      <c r="G381" s="2" t="n">
        <v>25</v>
      </c>
      <c r="H381" s="2" t="inlineStr">
        <is>
          <t>SC/PC</t>
        </is>
      </c>
      <c r="I381" s="2" t="inlineStr">
        <is>
          <t>LC/PC</t>
        </is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>
        <v>984</v>
      </c>
      <c r="S381" s="2" t="n"/>
      <c r="T381" s="2" t="n"/>
      <c r="U381" s="2" t="n"/>
      <c r="V381" s="2">
        <f>SUM(J381:U381)</f>
        <v/>
      </c>
      <c r="W381" s="2" t="n">
        <v>984</v>
      </c>
      <c r="X381" s="2" t="n"/>
      <c r="Y381" s="2" t="n"/>
      <c r="Z381" s="2" t="n"/>
      <c r="AA381" s="2" t="n">
        <v>984</v>
      </c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>
        <f>IF(F381=1,V381*2,IF(F381=2,V381*F381*2,IF(F381&gt;2,F381*2*V381)))</f>
        <v/>
      </c>
      <c r="AW381" s="2">
        <f>SUM(W381:AU381)</f>
        <v/>
      </c>
    </row>
    <row r="382">
      <c r="A382" s="2" t="inlineStr">
        <is>
          <t>14-K-214</t>
        </is>
      </c>
      <c r="B382" s="3" t="inlineStr">
        <is>
          <t>OJC-A1-SC/LC-SM-2-PC/PC-DP</t>
        </is>
      </c>
      <c r="C382" s="2" t="inlineStr">
        <is>
          <t>K9089158</t>
        </is>
      </c>
      <c r="D382" s="2" t="inlineStr">
        <is>
          <t>a1</t>
        </is>
      </c>
      <c r="E382" s="2" t="inlineStr">
        <is>
          <t>2.0mm</t>
        </is>
      </c>
      <c r="F382" s="2" t="n">
        <v>2</v>
      </c>
      <c r="G382" s="2" t="n">
        <v>2</v>
      </c>
      <c r="H382" s="2" t="inlineStr">
        <is>
          <t>SC/PC</t>
        </is>
      </c>
      <c r="I382" s="2" t="inlineStr">
        <is>
          <t>LC/PC</t>
        </is>
      </c>
      <c r="J382" s="2" t="n"/>
      <c r="K382" s="2" t="n">
        <v>500</v>
      </c>
      <c r="L382" s="2" t="n"/>
      <c r="M382" s="2" t="n">
        <v>302</v>
      </c>
      <c r="N382" s="2" t="n">
        <v>300</v>
      </c>
      <c r="O382" s="2" t="n"/>
      <c r="P382" s="2" t="n"/>
      <c r="Q382" s="2" t="n"/>
      <c r="R382" s="2" t="n"/>
      <c r="S382" s="2" t="n"/>
      <c r="T382" s="2" t="n">
        <v>95</v>
      </c>
      <c r="U382" s="2" t="n">
        <v>230</v>
      </c>
      <c r="V382" s="2">
        <f>SUM(J382:U382)</f>
        <v/>
      </c>
      <c r="W382" s="2" t="n"/>
      <c r="X382" s="2" t="n">
        <v>2854</v>
      </c>
      <c r="Y382" s="2" t="n"/>
      <c r="Z382" s="2" t="n"/>
      <c r="AA382" s="2" t="n">
        <v>2854</v>
      </c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>
        <f>IF(F382=1,V382*2,IF(F382=2,V382*F382*2,IF(F382&gt;2,F382*2*V382)))</f>
        <v/>
      </c>
      <c r="AW382" s="2">
        <f>SUM(W382:AU382)</f>
        <v/>
      </c>
    </row>
    <row r="383">
      <c r="A383" s="2" t="inlineStr">
        <is>
          <t>14-K-215</t>
        </is>
      </c>
      <c r="B383" s="3" t="inlineStr">
        <is>
          <t>OJC-A1-SC/LC-SM-2-PC/PC-SP</t>
        </is>
      </c>
      <c r="C383" s="2" t="inlineStr">
        <is>
          <t>K9089029</t>
        </is>
      </c>
      <c r="D383" s="2" t="inlineStr">
        <is>
          <t>a1</t>
        </is>
      </c>
      <c r="E383" s="2" t="inlineStr">
        <is>
          <t>2.0mm</t>
        </is>
      </c>
      <c r="F383" s="2" t="n">
        <v>1</v>
      </c>
      <c r="G383" s="2" t="n">
        <v>2</v>
      </c>
      <c r="H383" s="2" t="inlineStr">
        <is>
          <t>SC/PC</t>
        </is>
      </c>
      <c r="I383" s="2" t="inlineStr">
        <is>
          <t>LC/PC</t>
        </is>
      </c>
      <c r="J383" s="2" t="n"/>
      <c r="K383" s="2" t="n"/>
      <c r="L383" s="2" t="n"/>
      <c r="M383" s="2" t="n"/>
      <c r="N383" s="2" t="n"/>
      <c r="O383" s="2" t="n"/>
      <c r="P383" s="2" t="n"/>
      <c r="Q383" s="2" t="n">
        <v>662</v>
      </c>
      <c r="R383" s="2" t="n"/>
      <c r="S383" s="2" t="n"/>
      <c r="T383" s="2" t="n"/>
      <c r="U383" s="2" t="n"/>
      <c r="V383" s="2">
        <f>SUM(J383:U383)</f>
        <v/>
      </c>
      <c r="W383" s="2" t="n">
        <v>662</v>
      </c>
      <c r="X383" s="2" t="n"/>
      <c r="Y383" s="2" t="n"/>
      <c r="Z383" s="2" t="n"/>
      <c r="AA383" s="2" t="n">
        <v>662</v>
      </c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>
        <f>IF(F383=1,V383*2,IF(F383=2,V383*F383*2,IF(F383&gt;2,F383*2*V383)))</f>
        <v/>
      </c>
      <c r="AW383" s="2">
        <f>SUM(W383:AU383)</f>
        <v/>
      </c>
    </row>
    <row r="384">
      <c r="A384" s="2" t="inlineStr">
        <is>
          <t>14-K-222</t>
        </is>
      </c>
      <c r="B384" s="3" t="inlineStr">
        <is>
          <t>OJC-A1-SC/LC-SM-3-APC/PC-DP</t>
        </is>
      </c>
      <c r="C384" s="2" t="inlineStr"/>
      <c r="D384" s="2" t="inlineStr">
        <is>
          <t>a1</t>
        </is>
      </c>
      <c r="E384" s="2" t="inlineStr">
        <is>
          <t>2.0mm</t>
        </is>
      </c>
      <c r="F384" s="2" t="n">
        <v>2</v>
      </c>
      <c r="G384" s="2" t="n">
        <v>3</v>
      </c>
      <c r="H384" s="2" t="inlineStr">
        <is>
          <t>SC/APC</t>
        </is>
      </c>
      <c r="I384" s="2" t="inlineStr">
        <is>
          <t>LC/PC</t>
        </is>
      </c>
      <c r="J384" s="2" t="n"/>
      <c r="K384" s="2" t="n"/>
      <c r="L384" s="2" t="n">
        <v>100</v>
      </c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>
        <f>SUM(J384:U384)</f>
        <v/>
      </c>
      <c r="W384" s="2" t="n"/>
      <c r="X384" s="2" t="n">
        <v>200</v>
      </c>
      <c r="Y384" s="2" t="n"/>
      <c r="Z384" s="2" t="n"/>
      <c r="AA384" s="2" t="n"/>
      <c r="AB384" s="2" t="n"/>
      <c r="AC384" s="2" t="n">
        <v>200</v>
      </c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>
        <f>IF(F384=1,V384*2,IF(F384=2,V384*F384*2,IF(F384&gt;2,F384*2*V384)))</f>
        <v/>
      </c>
      <c r="AW384" s="2">
        <f>SUM(W384:AU384)</f>
        <v/>
      </c>
    </row>
    <row r="385">
      <c r="A385" s="2" t="inlineStr">
        <is>
          <t>14-K-223</t>
        </is>
      </c>
      <c r="B385" s="3" t="inlineStr">
        <is>
          <t>OJC-A1-SC/LC-SM-3-PC/APC-SP</t>
        </is>
      </c>
      <c r="C385" s="2" t="inlineStr">
        <is>
          <t>K9089065</t>
        </is>
      </c>
      <c r="D385" s="2" t="inlineStr">
        <is>
          <t>a1</t>
        </is>
      </c>
      <c r="E385" s="2" t="inlineStr">
        <is>
          <t>2.0mm</t>
        </is>
      </c>
      <c r="F385" s="2" t="n">
        <v>1</v>
      </c>
      <c r="G385" s="2" t="n">
        <v>3</v>
      </c>
      <c r="H385" s="2" t="inlineStr">
        <is>
          <t>SC/PC</t>
        </is>
      </c>
      <c r="I385" s="2" t="inlineStr">
        <is>
          <t>LC/APC</t>
        </is>
      </c>
      <c r="J385" s="2" t="n"/>
      <c r="K385" s="2" t="n">
        <v>20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>
        <f>SUM(J385:U385)</f>
        <v/>
      </c>
      <c r="W385" s="2" t="n"/>
      <c r="X385" s="2" t="n"/>
      <c r="Y385" s="2" t="n">
        <v>20</v>
      </c>
      <c r="Z385" s="2" t="n"/>
      <c r="AA385" s="2" t="n">
        <v>20</v>
      </c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>
        <f>IF(F385=1,V385*2,IF(F385=2,V385*F385*2,IF(F385&gt;2,F385*2*V385)))</f>
        <v/>
      </c>
      <c r="AW385" s="2">
        <f>SUM(W385:AU385)</f>
        <v/>
      </c>
    </row>
    <row r="386">
      <c r="A386" s="2" t="inlineStr">
        <is>
          <t>14-K-225</t>
        </is>
      </c>
      <c r="B386" s="3" t="inlineStr">
        <is>
          <t>OJC-A1-SC/LC-SM-3-PC/PC-DP</t>
        </is>
      </c>
      <c r="C386" s="2" t="inlineStr">
        <is>
          <t>K9089159</t>
        </is>
      </c>
      <c r="D386" s="2" t="inlineStr">
        <is>
          <t>a1</t>
        </is>
      </c>
      <c r="E386" s="2" t="inlineStr">
        <is>
          <t>2.0mm</t>
        </is>
      </c>
      <c r="F386" s="2" t="n">
        <v>2</v>
      </c>
      <c r="G386" s="2" t="n">
        <v>3</v>
      </c>
      <c r="H386" s="2" t="inlineStr">
        <is>
          <t>SC/PC</t>
        </is>
      </c>
      <c r="I386" s="2" t="inlineStr">
        <is>
          <t>LC/PC</t>
        </is>
      </c>
      <c r="J386" s="2" t="n">
        <v>60</v>
      </c>
      <c r="K386" s="2" t="n">
        <v>300</v>
      </c>
      <c r="L386" s="2" t="n">
        <v>10</v>
      </c>
      <c r="M386" s="2" t="n"/>
      <c r="N386" s="2" t="n">
        <v>522</v>
      </c>
      <c r="O386" s="2" t="n"/>
      <c r="P386" s="2" t="n"/>
      <c r="Q386" s="2" t="n"/>
      <c r="R386" s="2" t="n"/>
      <c r="S386" s="2" t="n"/>
      <c r="T386" s="2" t="n"/>
      <c r="U386" s="2" t="n">
        <v>307</v>
      </c>
      <c r="V386" s="2">
        <f>SUM(J386:U386)</f>
        <v/>
      </c>
      <c r="W386" s="2" t="n"/>
      <c r="X386" s="2" t="n">
        <v>2398</v>
      </c>
      <c r="Y386" s="2" t="n"/>
      <c r="Z386" s="2" t="n"/>
      <c r="AA386" s="2" t="n">
        <v>2398</v>
      </c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>
        <f>IF(F386=1,V386*2,IF(F386=2,V386*F386*2,IF(F386&gt;2,F386*2*V386)))</f>
        <v/>
      </c>
      <c r="AW386" s="2">
        <f>SUM(W386:AU386)</f>
        <v/>
      </c>
    </row>
    <row r="387">
      <c r="A387" s="2" t="inlineStr">
        <is>
          <t>14-K-227</t>
        </is>
      </c>
      <c r="B387" s="3" t="inlineStr">
        <is>
          <t>OJC-A1-SC/LC-SM-40-PC/PC-DP</t>
        </is>
      </c>
      <c r="C387" s="2" t="inlineStr">
        <is>
          <t>K9089168</t>
        </is>
      </c>
      <c r="D387" s="2" t="inlineStr">
        <is>
          <t>a1</t>
        </is>
      </c>
      <c r="E387" s="2" t="inlineStr">
        <is>
          <t>2.0mm</t>
        </is>
      </c>
      <c r="F387" s="2" t="n">
        <v>2</v>
      </c>
      <c r="G387" s="2" t="n">
        <v>40</v>
      </c>
      <c r="H387" s="2" t="inlineStr">
        <is>
          <t>SC/PC</t>
        </is>
      </c>
      <c r="I387" s="2" t="inlineStr">
        <is>
          <t>LC/PC</t>
        </is>
      </c>
      <c r="J387" s="2" t="n"/>
      <c r="K387" s="2" t="n"/>
      <c r="L387" s="2" t="n"/>
      <c r="M387" s="2" t="n"/>
      <c r="N387" s="2" t="n"/>
      <c r="O387" s="2" t="n">
        <v>13</v>
      </c>
      <c r="P387" s="2" t="n"/>
      <c r="Q387" s="2" t="n"/>
      <c r="R387" s="2" t="n"/>
      <c r="S387" s="2" t="n"/>
      <c r="T387" s="2" t="n"/>
      <c r="U387" s="2" t="n">
        <v>2</v>
      </c>
      <c r="V387" s="2">
        <f>SUM(J387:U387)</f>
        <v/>
      </c>
      <c r="W387" s="2" t="n"/>
      <c r="X387" s="2" t="n">
        <v>30</v>
      </c>
      <c r="Y387" s="2" t="n"/>
      <c r="Z387" s="2" t="n"/>
      <c r="AA387" s="2" t="n">
        <v>30</v>
      </c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>
        <f>IF(F387=1,V387*2,IF(F387=2,V387*F387*2,IF(F387&gt;2,F387*2*V387)))</f>
        <v/>
      </c>
      <c r="AW387" s="2">
        <f>SUM(W387:AU387)</f>
        <v/>
      </c>
    </row>
    <row r="388">
      <c r="A388" s="2" t="inlineStr">
        <is>
          <t>14-K-229</t>
        </is>
      </c>
      <c r="B388" s="3" t="inlineStr">
        <is>
          <t>OJC-A1-SC/LC-SM-45-PC/PC-DP</t>
        </is>
      </c>
      <c r="C388" s="2" t="inlineStr">
        <is>
          <t>K9089169</t>
        </is>
      </c>
      <c r="D388" s="2" t="inlineStr">
        <is>
          <t>a1</t>
        </is>
      </c>
      <c r="E388" s="2" t="inlineStr">
        <is>
          <t>2.0mm</t>
        </is>
      </c>
      <c r="F388" s="2" t="n">
        <v>2</v>
      </c>
      <c r="G388" s="2" t="n">
        <v>45</v>
      </c>
      <c r="H388" s="2" t="inlineStr">
        <is>
          <t>SC/PC</t>
        </is>
      </c>
      <c r="I388" s="2" t="inlineStr">
        <is>
          <t>LC/PC</t>
        </is>
      </c>
      <c r="J388" s="2" t="n"/>
      <c r="K388" s="2" t="n"/>
      <c r="L388" s="2" t="n">
        <v>20</v>
      </c>
      <c r="M388" s="2" t="n">
        <v>101</v>
      </c>
      <c r="N388" s="2" t="n"/>
      <c r="O388" s="2" t="n">
        <v>4</v>
      </c>
      <c r="P388" s="2" t="n"/>
      <c r="Q388" s="2" t="n">
        <v>10</v>
      </c>
      <c r="R388" s="2" t="n"/>
      <c r="S388" s="2" t="n"/>
      <c r="T388" s="2" t="n"/>
      <c r="U388" s="2" t="n">
        <v>30</v>
      </c>
      <c r="V388" s="2">
        <f>SUM(J388:U388)</f>
        <v/>
      </c>
      <c r="W388" s="2" t="n"/>
      <c r="X388" s="2" t="n">
        <v>330</v>
      </c>
      <c r="Y388" s="2" t="n"/>
      <c r="Z388" s="2" t="n"/>
      <c r="AA388" s="2" t="n">
        <v>330</v>
      </c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>
        <f>IF(F388=1,V388*2,IF(F388=2,V388*F388*2,IF(F388&gt;2,F388*2*V388)))</f>
        <v/>
      </c>
      <c r="AW388" s="2">
        <f>SUM(W388:AU388)</f>
        <v/>
      </c>
    </row>
    <row r="389">
      <c r="A389" s="2" t="inlineStr">
        <is>
          <t>14-K-230</t>
        </is>
      </c>
      <c r="B389" s="3" t="inlineStr">
        <is>
          <t>OJC-A1-SC/LC-SM-45-PC/PC-SP</t>
        </is>
      </c>
      <c r="C389" s="2" t="inlineStr">
        <is>
          <t>K9089040</t>
        </is>
      </c>
      <c r="D389" s="2" t="inlineStr">
        <is>
          <t>a1</t>
        </is>
      </c>
      <c r="E389" s="2" t="inlineStr">
        <is>
          <t>2.0mm</t>
        </is>
      </c>
      <c r="F389" s="2" t="n">
        <v>1</v>
      </c>
      <c r="G389" s="2" t="n">
        <v>45</v>
      </c>
      <c r="H389" s="2" t="inlineStr">
        <is>
          <t>SC/PC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/>
      <c r="O389" s="2" t="n"/>
      <c r="P389" s="2" t="n"/>
      <c r="Q389" s="2" t="n">
        <v>15</v>
      </c>
      <c r="R389" s="2" t="n">
        <v>20</v>
      </c>
      <c r="S389" s="2" t="n"/>
      <c r="T389" s="2" t="n"/>
      <c r="U389" s="2" t="n">
        <v>30</v>
      </c>
      <c r="V389" s="2">
        <f>SUM(J389:U389)</f>
        <v/>
      </c>
      <c r="W389" s="2" t="n">
        <v>65</v>
      </c>
      <c r="X389" s="2" t="n"/>
      <c r="Y389" s="2" t="n"/>
      <c r="Z389" s="2" t="n"/>
      <c r="AA389" s="2" t="n">
        <v>65</v>
      </c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>
        <f>IF(F389=1,V389*2,IF(F389=2,V389*F389*2,IF(F389&gt;2,F389*2*V389)))</f>
        <v/>
      </c>
      <c r="AW389" s="2">
        <f>SUM(W389:AU389)</f>
        <v/>
      </c>
    </row>
    <row r="390">
      <c r="A390" s="2" t="inlineStr">
        <is>
          <t>14-K-231</t>
        </is>
      </c>
      <c r="B390" s="3" t="inlineStr">
        <is>
          <t>OJC-A1-SC/LC-SM-4-PC/PC-DP</t>
        </is>
      </c>
      <c r="C390" s="2" t="inlineStr">
        <is>
          <t>K9089160</t>
        </is>
      </c>
      <c r="D390" s="2" t="inlineStr">
        <is>
          <t>a1</t>
        </is>
      </c>
      <c r="E390" s="2" t="inlineStr">
        <is>
          <t>2.0mm</t>
        </is>
      </c>
      <c r="F390" s="2" t="n">
        <v>2</v>
      </c>
      <c r="G390" s="2" t="n">
        <v>4</v>
      </c>
      <c r="H390" s="2" t="inlineStr">
        <is>
          <t>SC/PC</t>
        </is>
      </c>
      <c r="I390" s="2" t="inlineStr">
        <is>
          <t>LC/PC</t>
        </is>
      </c>
      <c r="J390" s="2" t="n">
        <v>500</v>
      </c>
      <c r="K390" s="2" t="n"/>
      <c r="L390" s="2" t="n"/>
      <c r="M390" s="2" t="n">
        <v>230</v>
      </c>
      <c r="N390" s="2" t="n">
        <v>300</v>
      </c>
      <c r="O390" s="2" t="n"/>
      <c r="P390" s="2" t="n"/>
      <c r="Q390" s="2" t="n"/>
      <c r="R390" s="2" t="n"/>
      <c r="S390" s="2" t="n"/>
      <c r="T390" s="2" t="n"/>
      <c r="U390" s="2" t="n"/>
      <c r="V390" s="2">
        <f>SUM(J390:U390)</f>
        <v/>
      </c>
      <c r="W390" s="2" t="n"/>
      <c r="X390" s="2" t="n">
        <v>2060</v>
      </c>
      <c r="Y390" s="2" t="n"/>
      <c r="Z390" s="2" t="n"/>
      <c r="AA390" s="2" t="n">
        <v>2060</v>
      </c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>
        <f>IF(F390=1,V390*2,IF(F390=2,V390*F390*2,IF(F390&gt;2,F390*2*V390)))</f>
        <v/>
      </c>
      <c r="AW390" s="2">
        <f>SUM(W390:AU390)</f>
        <v/>
      </c>
    </row>
    <row r="391">
      <c r="A391" s="2" t="inlineStr">
        <is>
          <t>14-K-232</t>
        </is>
      </c>
      <c r="B391" s="3" t="inlineStr">
        <is>
          <t>OJC-A1-SC/LC-SM-50-PC/PC-DP</t>
        </is>
      </c>
      <c r="C391" s="2" t="inlineStr">
        <is>
          <t>K9089170</t>
        </is>
      </c>
      <c r="D391" s="2" t="inlineStr">
        <is>
          <t>a1</t>
        </is>
      </c>
      <c r="E391" s="2" t="inlineStr">
        <is>
          <t>2.0mm</t>
        </is>
      </c>
      <c r="F391" s="2" t="n">
        <v>2</v>
      </c>
      <c r="G391" s="2" t="n">
        <v>50</v>
      </c>
      <c r="H391" s="2" t="inlineStr">
        <is>
          <t>SC/PC</t>
        </is>
      </c>
      <c r="I391" s="2" t="inlineStr">
        <is>
          <t>LC/PC</t>
        </is>
      </c>
      <c r="J391" s="2" t="n"/>
      <c r="K391" s="2" t="n">
        <v>10</v>
      </c>
      <c r="L391" s="2" t="n">
        <v>30</v>
      </c>
      <c r="M391" s="2" t="n"/>
      <c r="N391" s="2" t="n">
        <v>42</v>
      </c>
      <c r="O391" s="2" t="n">
        <v>31</v>
      </c>
      <c r="P391" s="2" t="n"/>
      <c r="Q391" s="2" t="n"/>
      <c r="R391" s="2" t="n"/>
      <c r="S391" s="2" t="n"/>
      <c r="T391" s="2" t="n"/>
      <c r="U391" s="2" t="n"/>
      <c r="V391" s="2">
        <f>SUM(J391:U391)</f>
        <v/>
      </c>
      <c r="W391" s="2" t="n"/>
      <c r="X391" s="2" t="n">
        <v>226</v>
      </c>
      <c r="Y391" s="2" t="n"/>
      <c r="Z391" s="2" t="n"/>
      <c r="AA391" s="2" t="n">
        <v>226</v>
      </c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>
        <f>IF(F391=1,V391*2,IF(F391=2,V391*F391*2,IF(F391&gt;2,F391*2*V391)))</f>
        <v/>
      </c>
      <c r="AW391" s="2">
        <f>SUM(W391:AU391)</f>
        <v/>
      </c>
    </row>
    <row r="392">
      <c r="A392" s="2" t="inlineStr">
        <is>
          <t>14-K-236</t>
        </is>
      </c>
      <c r="B392" s="3" t="inlineStr">
        <is>
          <t>OJC-A1-SC/LC-SM-5-PC/PC-DP</t>
        </is>
      </c>
      <c r="C392" s="2" t="inlineStr">
        <is>
          <t>K9089161</t>
        </is>
      </c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5</v>
      </c>
      <c r="H392" s="2" t="inlineStr">
        <is>
          <t>SC/PC</t>
        </is>
      </c>
      <c r="I392" s="2" t="inlineStr">
        <is>
          <t>LC/PC</t>
        </is>
      </c>
      <c r="J392" s="2" t="n"/>
      <c r="K392" s="2" t="n">
        <v>200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>
        <v>175</v>
      </c>
      <c r="U392" s="2" t="n">
        <v>412</v>
      </c>
      <c r="V392" s="2">
        <f>SUM(J392:U392)</f>
        <v/>
      </c>
      <c r="W392" s="2" t="n"/>
      <c r="X392" s="2" t="n">
        <v>1574</v>
      </c>
      <c r="Y392" s="2" t="n"/>
      <c r="Z392" s="2" t="n"/>
      <c r="AA392" s="2" t="n">
        <v>1574</v>
      </c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>
        <f>IF(F392=1,V392*2,IF(F392=2,V392*F392*2,IF(F392&gt;2,F392*2*V392)))</f>
        <v/>
      </c>
      <c r="AW392" s="2">
        <f>SUM(W392:AU392)</f>
        <v/>
      </c>
    </row>
    <row r="393">
      <c r="A393" s="2" t="inlineStr">
        <is>
          <t>14-K-239</t>
        </is>
      </c>
      <c r="B393" s="3" t="inlineStr">
        <is>
          <t>OJC-A1-SC/LC-SM-60-PC/PC-DP</t>
        </is>
      </c>
      <c r="C393" s="2" t="inlineStr"/>
      <c r="D393" s="2" t="inlineStr">
        <is>
          <t>a1</t>
        </is>
      </c>
      <c r="E393" s="2" t="inlineStr">
        <is>
          <t>2.0mm</t>
        </is>
      </c>
      <c r="F393" s="2" t="n">
        <v>2</v>
      </c>
      <c r="G393" s="2" t="n">
        <v>60</v>
      </c>
      <c r="H393" s="2" t="inlineStr">
        <is>
          <t>SC/PC</t>
        </is>
      </c>
      <c r="I393" s="2" t="inlineStr">
        <is>
          <t>LC/PC</t>
        </is>
      </c>
      <c r="J393" s="2" t="n"/>
      <c r="K393" s="2" t="n"/>
      <c r="L393" s="2" t="n"/>
      <c r="M393" s="2" t="n">
        <v>20</v>
      </c>
      <c r="N393" s="2" t="n"/>
      <c r="O393" s="2" t="n">
        <v>10</v>
      </c>
      <c r="P393" s="2" t="n"/>
      <c r="Q393" s="2" t="n"/>
      <c r="R393" s="2" t="n"/>
      <c r="S393" s="2" t="n"/>
      <c r="T393" s="2" t="n"/>
      <c r="U393" s="2" t="n"/>
      <c r="V393" s="2">
        <f>SUM(J393:U393)</f>
        <v/>
      </c>
      <c r="W393" s="2" t="n"/>
      <c r="X393" s="2" t="n">
        <v>60</v>
      </c>
      <c r="Y393" s="2" t="n"/>
      <c r="Z393" s="2" t="n"/>
      <c r="AA393" s="2" t="n">
        <v>60</v>
      </c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>
        <f>IF(F393=1,V393*2,IF(F393=2,V393*F393*2,IF(F393&gt;2,F393*2*V393)))</f>
        <v/>
      </c>
      <c r="AW393" s="2">
        <f>SUM(W393:AU393)</f>
        <v/>
      </c>
    </row>
    <row r="394">
      <c r="A394" s="2" t="inlineStr">
        <is>
          <t>14-K-243</t>
        </is>
      </c>
      <c r="B394" s="3" t="inlineStr">
        <is>
          <t>OJC-A1-SC/LC-SM-6-PC/PC-DP</t>
        </is>
      </c>
      <c r="C394" s="2" t="inlineStr"/>
      <c r="D394" s="2" t="inlineStr">
        <is>
          <t>a1</t>
        </is>
      </c>
      <c r="E394" s="2" t="inlineStr">
        <is>
          <t>2.0mm</t>
        </is>
      </c>
      <c r="F394" s="2" t="n">
        <v>2</v>
      </c>
      <c r="G394" s="2" t="n">
        <v>6</v>
      </c>
      <c r="H394" s="2" t="inlineStr">
        <is>
          <t>SC/PC</t>
        </is>
      </c>
      <c r="I394" s="2" t="inlineStr">
        <is>
          <t>LC/PC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30</v>
      </c>
      <c r="S394" s="2" t="n"/>
      <c r="T394" s="2" t="n"/>
      <c r="U394" s="2" t="n"/>
      <c r="V394" s="2">
        <f>SUM(J394:U394)</f>
        <v/>
      </c>
      <c r="W394" s="2" t="n"/>
      <c r="X394" s="2" t="n">
        <v>60</v>
      </c>
      <c r="Y394" s="2" t="n"/>
      <c r="Z394" s="2" t="n"/>
      <c r="AA394" s="2" t="n">
        <v>60</v>
      </c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>
        <f>IF(F394=1,V394*2,IF(F394=2,V394*F394*2,IF(F394&gt;2,F394*2*V394)))</f>
        <v/>
      </c>
      <c r="AW394" s="2">
        <f>SUM(W394:AU394)</f>
        <v/>
      </c>
    </row>
    <row r="395">
      <c r="A395" s="2" t="inlineStr">
        <is>
          <t>14-K-245</t>
        </is>
      </c>
      <c r="B395" s="3" t="inlineStr">
        <is>
          <t>OJC-A1-SC/LC-SM-70-PC/PC-DP</t>
        </is>
      </c>
      <c r="C395" s="2" t="inlineStr"/>
      <c r="D395" s="2" t="inlineStr">
        <is>
          <t>a1</t>
        </is>
      </c>
      <c r="E395" s="2" t="inlineStr">
        <is>
          <t>2.0mm</t>
        </is>
      </c>
      <c r="F395" s="2" t="n">
        <v>2</v>
      </c>
      <c r="G395" s="2" t="n">
        <v>70</v>
      </c>
      <c r="H395" s="2" t="inlineStr">
        <is>
          <t>SC/PC</t>
        </is>
      </c>
      <c r="I395" s="2" t="inlineStr">
        <is>
          <t>LC/PC</t>
        </is>
      </c>
      <c r="J395" s="2" t="n"/>
      <c r="K395" s="2" t="n"/>
      <c r="L395" s="2" t="n">
        <v>20</v>
      </c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>
        <f>SUM(J395:U395)</f>
        <v/>
      </c>
      <c r="W395" s="2" t="n"/>
      <c r="X395" s="2" t="n">
        <v>40</v>
      </c>
      <c r="Y395" s="2" t="n"/>
      <c r="Z395" s="2" t="n"/>
      <c r="AA395" s="2" t="n">
        <v>40</v>
      </c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>
        <f>IF(F395=1,V395*2,IF(F395=2,V395*F395*2,IF(F395&gt;2,F395*2*V395)))</f>
        <v/>
      </c>
      <c r="AW395" s="2">
        <f>SUM(W395:AU395)</f>
        <v/>
      </c>
    </row>
    <row r="396">
      <c r="A396" s="2" t="inlineStr">
        <is>
          <t>14-K-247</t>
        </is>
      </c>
      <c r="B396" s="3" t="inlineStr">
        <is>
          <t>OJC-A1-SC/LC-SM-7-PC/PC-DP</t>
        </is>
      </c>
      <c r="C396" s="2" t="inlineStr"/>
      <c r="D396" s="2" t="inlineStr">
        <is>
          <t>a1</t>
        </is>
      </c>
      <c r="E396" s="2" t="inlineStr">
        <is>
          <t>2.0mm</t>
        </is>
      </c>
      <c r="F396" s="2" t="n">
        <v>2</v>
      </c>
      <c r="G396" s="2" t="n">
        <v>7</v>
      </c>
      <c r="H396" s="2" t="inlineStr">
        <is>
          <t>SC/PC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/>
      <c r="P396" s="2" t="n">
        <v>110</v>
      </c>
      <c r="Q396" s="2" t="n"/>
      <c r="R396" s="2" t="n">
        <v>120</v>
      </c>
      <c r="S396" s="2" t="n"/>
      <c r="T396" s="2" t="n"/>
      <c r="U396" s="2" t="n"/>
      <c r="V396" s="2">
        <f>SUM(J396:U396)</f>
        <v/>
      </c>
      <c r="W396" s="2" t="n"/>
      <c r="X396" s="2" t="n">
        <v>460</v>
      </c>
      <c r="Y396" s="2" t="n"/>
      <c r="Z396" s="2" t="n"/>
      <c r="AA396" s="2" t="n">
        <v>460</v>
      </c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>
        <f>IF(F396=1,V396*2,IF(F396=2,V396*F396*2,IF(F396&gt;2,F396*2*V396)))</f>
        <v/>
      </c>
      <c r="AW396" s="2">
        <f>SUM(W396:AU396)</f>
        <v/>
      </c>
    </row>
    <row r="397">
      <c r="A397" s="2" t="inlineStr">
        <is>
          <t>14-K-261</t>
        </is>
      </c>
      <c r="B397" s="3" t="inlineStr">
        <is>
          <t>OJC-A1-SC/SC-MM-10-PC/PC-DP</t>
        </is>
      </c>
      <c r="C397" s="2" t="inlineStr">
        <is>
          <t>K9089310</t>
        </is>
      </c>
      <c r="D397" s="2" t="inlineStr">
        <is>
          <t>om1</t>
        </is>
      </c>
      <c r="E397" s="2" t="inlineStr">
        <is>
          <t>2.0mm</t>
        </is>
      </c>
      <c r="F397" s="2" t="n">
        <v>2</v>
      </c>
      <c r="G397" s="2" t="n">
        <v>10</v>
      </c>
      <c r="H397" s="2" t="inlineStr">
        <is>
          <t>SC/PC</t>
        </is>
      </c>
      <c r="I397" s="2" t="inlineStr">
        <is>
          <t>SC/PC</t>
        </is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>
        <v>26</v>
      </c>
      <c r="V397" s="2">
        <f>SUM(J397:U397)</f>
        <v/>
      </c>
      <c r="W397" s="2" t="n"/>
      <c r="X397" s="2" t="n"/>
      <c r="Y397" s="2" t="n"/>
      <c r="Z397" s="2" t="n"/>
      <c r="AA397" s="2" t="n">
        <v>52</v>
      </c>
      <c r="AB397" s="2" t="n">
        <v>52</v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>
        <f>IF(F397=1,V397*2,IF(F397=2,V397*F397*2,IF(F397&gt;2,F397*2*V397)))</f>
        <v/>
      </c>
      <c r="AW397" s="2">
        <f>SUM(W397:AU397)</f>
        <v/>
      </c>
    </row>
    <row r="398">
      <c r="A398" s="2" t="inlineStr">
        <is>
          <t>14-K-270</t>
        </is>
      </c>
      <c r="B398" s="3" t="inlineStr">
        <is>
          <t>OJC-A1-SC/SC-MM-2-PC/PC-DP</t>
        </is>
      </c>
      <c r="C398" s="2" t="inlineStr">
        <is>
          <t>K9089306</t>
        </is>
      </c>
      <c r="D398" s="2" t="inlineStr">
        <is>
          <t>om1</t>
        </is>
      </c>
      <c r="E398" s="2" t="inlineStr">
        <is>
          <t>2.0mm</t>
        </is>
      </c>
      <c r="F398" s="2" t="n">
        <v>2</v>
      </c>
      <c r="G398" s="2" t="n">
        <v>2</v>
      </c>
      <c r="H398" s="2" t="inlineStr">
        <is>
          <t>SC/PC</t>
        </is>
      </c>
      <c r="I398" s="2" t="inlineStr">
        <is>
          <t>SC/PC</t>
        </is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>
        <v>40</v>
      </c>
      <c r="V398" s="2">
        <f>SUM(J398:U398)</f>
        <v/>
      </c>
      <c r="W398" s="2" t="n"/>
      <c r="X398" s="2" t="n"/>
      <c r="Y398" s="2" t="n"/>
      <c r="Z398" s="2" t="n"/>
      <c r="AA398" s="2" t="n">
        <v>80</v>
      </c>
      <c r="AB398" s="2" t="n">
        <v>80</v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>
        <f>IF(F398=1,V398*2,IF(F398=2,V398*F398*2,IF(F398&gt;2,F398*2*V398)))</f>
        <v/>
      </c>
      <c r="AW398" s="2">
        <f>SUM(W398:AU398)</f>
        <v/>
      </c>
    </row>
    <row r="399">
      <c r="A399" s="2" t="inlineStr">
        <is>
          <t>14-K-274</t>
        </is>
      </c>
      <c r="B399" s="3" t="inlineStr">
        <is>
          <t>OJC-A1-SC/SC-MM-3-PC/PC-DP</t>
        </is>
      </c>
      <c r="C399" s="2" t="inlineStr">
        <is>
          <t>K9089307</t>
        </is>
      </c>
      <c r="D399" s="2" t="inlineStr">
        <is>
          <t>om1</t>
        </is>
      </c>
      <c r="E399" s="2" t="inlineStr">
        <is>
          <t>2.0mm</t>
        </is>
      </c>
      <c r="F399" s="2" t="n">
        <v>2</v>
      </c>
      <c r="G399" s="2" t="n">
        <v>3</v>
      </c>
      <c r="H399" s="2" t="inlineStr">
        <is>
          <t>SC/PC</t>
        </is>
      </c>
      <c r="I399" s="2" t="inlineStr">
        <is>
          <t>SC/PC</t>
        </is>
      </c>
      <c r="J399" s="2" t="n"/>
      <c r="K399" s="2" t="n">
        <v>10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>
        <f>SUM(J399:U399)</f>
        <v/>
      </c>
      <c r="W399" s="2" t="n"/>
      <c r="X399" s="2" t="n"/>
      <c r="Y399" s="2" t="n"/>
      <c r="Z399" s="2" t="n"/>
      <c r="AA399" s="2" t="n">
        <v>20</v>
      </c>
      <c r="AB399" s="2" t="n">
        <v>20</v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>
        <f>IF(F399=1,V399*2,IF(F399=2,V399*F399*2,IF(F399&gt;2,F399*2*V399)))</f>
        <v/>
      </c>
      <c r="AW399" s="2">
        <f>SUM(W399:AU399)</f>
        <v/>
      </c>
    </row>
    <row r="400">
      <c r="A400" s="2" t="inlineStr">
        <is>
          <t>14-K-281</t>
        </is>
      </c>
      <c r="B400" s="3" t="inlineStr">
        <is>
          <t>OJC-A1-SC/SC-SM-0.5-PC/PC-DP</t>
        </is>
      </c>
      <c r="C400" s="2" t="inlineStr"/>
      <c r="D400" s="2" t="inlineStr">
        <is>
          <t>a1</t>
        </is>
      </c>
      <c r="E400" s="2" t="inlineStr">
        <is>
          <t>2.0mm</t>
        </is>
      </c>
      <c r="F400" s="2" t="n">
        <v>2</v>
      </c>
      <c r="G400" s="2" t="n">
        <v>0.5</v>
      </c>
      <c r="H400" s="2" t="inlineStr">
        <is>
          <t>SC/PC</t>
        </is>
      </c>
      <c r="I400" s="2" t="inlineStr">
        <is>
          <t>SC/PC</t>
        </is>
      </c>
      <c r="J400" s="2" t="n"/>
      <c r="K400" s="2" t="n"/>
      <c r="L400" s="2" t="n"/>
      <c r="M400" s="2" t="n"/>
      <c r="N400" s="2" t="n"/>
      <c r="O400" s="2" t="n">
        <v>3</v>
      </c>
      <c r="P400" s="2" t="n"/>
      <c r="Q400" s="2" t="n"/>
      <c r="R400" s="2" t="n"/>
      <c r="S400" s="2" t="n"/>
      <c r="T400" s="2" t="n"/>
      <c r="U400" s="2" t="n"/>
      <c r="V400" s="2">
        <f>SUM(J400:U400)</f>
        <v/>
      </c>
      <c r="W400" s="2" t="n"/>
      <c r="X400" s="2" t="n"/>
      <c r="Y400" s="2" t="n"/>
      <c r="Z400" s="2" t="n"/>
      <c r="AA400" s="2" t="n">
        <v>6</v>
      </c>
      <c r="AB400" s="2" t="n">
        <v>6</v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>
        <f>IF(F400=1,V400*2,IF(F400=2,V400*F400*2,IF(F400&gt;2,F400*2*V400)))</f>
        <v/>
      </c>
      <c r="AW400" s="2">
        <f>SUM(W400:AU400)</f>
        <v/>
      </c>
    </row>
    <row r="401">
      <c r="A401" s="2" t="inlineStr">
        <is>
          <t>14-K-287</t>
        </is>
      </c>
      <c r="B401" s="3" t="inlineStr">
        <is>
          <t>OJC-A1-SC/SC-SM-10-APC/APC-SP</t>
        </is>
      </c>
      <c r="C401" s="2" t="inlineStr"/>
      <c r="D401" s="2" t="inlineStr">
        <is>
          <t>a1</t>
        </is>
      </c>
      <c r="E401" s="2" t="inlineStr">
        <is>
          <t>2.0mm</t>
        </is>
      </c>
      <c r="F401" s="2" t="n">
        <v>1</v>
      </c>
      <c r="G401" s="2" t="n">
        <v>10</v>
      </c>
      <c r="H401" s="2" t="inlineStr">
        <is>
          <t>SC/APC</t>
        </is>
      </c>
      <c r="I401" s="2" t="inlineStr">
        <is>
          <t>SC/APC</t>
        </is>
      </c>
      <c r="J401" s="2" t="n"/>
      <c r="K401" s="2" t="n"/>
      <c r="L401" s="2" t="n">
        <v>10</v>
      </c>
      <c r="M401" s="2" t="n">
        <v>10</v>
      </c>
      <c r="N401" s="2" t="n"/>
      <c r="O401" s="2" t="n"/>
      <c r="P401" s="2" t="n">
        <v>1</v>
      </c>
      <c r="Q401" s="2" t="n"/>
      <c r="R401" s="2" t="n"/>
      <c r="S401" s="2" t="n"/>
      <c r="T401" s="2" t="n">
        <v>19</v>
      </c>
      <c r="U401" s="2" t="n"/>
      <c r="V401" s="2">
        <f>SUM(J401:U401)</f>
        <v/>
      </c>
      <c r="W401" s="2" t="n"/>
      <c r="X401" s="2" t="n"/>
      <c r="Y401" s="2" t="n"/>
      <c r="Z401" s="2" t="n"/>
      <c r="AA401" s="2" t="n"/>
      <c r="AB401" s="2" t="n"/>
      <c r="AC401" s="2" t="n">
        <v>80</v>
      </c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>
        <f>IF(F401=1,V401*2,IF(F401=2,V401*F401*2,IF(F401&gt;2,F401*2*V401)))</f>
        <v/>
      </c>
      <c r="AW401" s="2">
        <f>SUM(W401:AU401)</f>
        <v/>
      </c>
    </row>
    <row r="402">
      <c r="A402" s="2" t="inlineStr">
        <is>
          <t>14-K-288</t>
        </is>
      </c>
      <c r="B402" s="3" t="inlineStr">
        <is>
          <t>OJC-A1-SC/SC-SM-10-PC/APC-DP</t>
        </is>
      </c>
      <c r="C402" s="2" t="inlineStr">
        <is>
          <t>K9089188</t>
        </is>
      </c>
      <c r="D402" s="2" t="inlineStr">
        <is>
          <t>a1</t>
        </is>
      </c>
      <c r="E402" s="2" t="inlineStr">
        <is>
          <t>2.0mm</t>
        </is>
      </c>
      <c r="F402" s="2" t="n">
        <v>2</v>
      </c>
      <c r="G402" s="2" t="n">
        <v>10</v>
      </c>
      <c r="H402" s="2" t="inlineStr">
        <is>
          <t>SC/PC</t>
        </is>
      </c>
      <c r="I402" s="2" t="inlineStr">
        <is>
          <t>SC/APC</t>
        </is>
      </c>
      <c r="J402" s="2" t="n"/>
      <c r="K402" s="2" t="n"/>
      <c r="L402" s="2" t="n"/>
      <c r="M402" s="2" t="n"/>
      <c r="N402" s="2" t="n">
        <v>2</v>
      </c>
      <c r="O402" s="2" t="n"/>
      <c r="P402" s="2" t="n"/>
      <c r="Q402" s="2" t="n"/>
      <c r="R402" s="2" t="n"/>
      <c r="S402" s="2" t="n"/>
      <c r="T402" s="2" t="n"/>
      <c r="U402" s="2" t="n"/>
      <c r="V402" s="2">
        <f>SUM(J402:U402)</f>
        <v/>
      </c>
      <c r="W402" s="2" t="n"/>
      <c r="X402" s="2" t="n"/>
      <c r="Y402" s="2" t="n"/>
      <c r="Z402" s="2" t="n"/>
      <c r="AA402" s="2" t="n">
        <v>4</v>
      </c>
      <c r="AB402" s="2" t="n"/>
      <c r="AC402" s="2" t="n"/>
      <c r="AD402" s="2" t="n">
        <v>4</v>
      </c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>
        <f>IF(F402=1,V402*2,IF(F402=2,V402*F402*2,IF(F402&gt;2,F402*2*V402)))</f>
        <v/>
      </c>
      <c r="AW402" s="2">
        <f>SUM(W402:AU402)</f>
        <v/>
      </c>
    </row>
    <row r="403">
      <c r="A403" s="2" t="inlineStr">
        <is>
          <t>14-K-289</t>
        </is>
      </c>
      <c r="B403" s="3" t="inlineStr">
        <is>
          <t>OJC-A1-SC/SC-SM-10-PC/APC-SP</t>
        </is>
      </c>
      <c r="C403" s="2" t="inlineStr">
        <is>
          <t>K9089059</t>
        </is>
      </c>
      <c r="D403" s="2" t="inlineStr">
        <is>
          <t>a1</t>
        </is>
      </c>
      <c r="E403" s="2" t="inlineStr">
        <is>
          <t>2.0mm</t>
        </is>
      </c>
      <c r="F403" s="2" t="n">
        <v>1</v>
      </c>
      <c r="G403" s="2" t="n">
        <v>10</v>
      </c>
      <c r="H403" s="2" t="inlineStr">
        <is>
          <t>SC/PC</t>
        </is>
      </c>
      <c r="I403" s="2" t="inlineStr">
        <is>
          <t>SC/APC</t>
        </is>
      </c>
      <c r="J403" s="2" t="n">
        <v>92</v>
      </c>
      <c r="K403" s="2" t="n"/>
      <c r="L403" s="2" t="n"/>
      <c r="M403" s="2" t="n"/>
      <c r="N403" s="2" t="n">
        <v>100</v>
      </c>
      <c r="O403" s="2" t="n">
        <v>100</v>
      </c>
      <c r="P403" s="2" t="n">
        <v>130</v>
      </c>
      <c r="Q403" s="2" t="n"/>
      <c r="R403" s="2" t="n">
        <v>10</v>
      </c>
      <c r="S403" s="2" t="n"/>
      <c r="T403" s="2" t="n"/>
      <c r="U403" s="2" t="n"/>
      <c r="V403" s="2">
        <f>SUM(J403:U403)</f>
        <v/>
      </c>
      <c r="W403" s="2" t="n"/>
      <c r="X403" s="2" t="n"/>
      <c r="Y403" s="2" t="n"/>
      <c r="Z403" s="2" t="n"/>
      <c r="AA403" s="2" t="n">
        <v>432</v>
      </c>
      <c r="AB403" s="2" t="n"/>
      <c r="AC403" s="2" t="n">
        <v>432</v>
      </c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>
        <f>IF(F403=1,V403*2,IF(F403=2,V403*F403*2,IF(F403&gt;2,F403*2*V403)))</f>
        <v/>
      </c>
      <c r="AW403" s="2">
        <f>SUM(W403:AU403)</f>
        <v/>
      </c>
    </row>
    <row r="404">
      <c r="A404" s="2" t="inlineStr">
        <is>
          <t>14-K-290</t>
        </is>
      </c>
      <c r="B404" s="3" t="inlineStr">
        <is>
          <t>OJC-A1-SC/SC-SM-10-PC/PC-DP</t>
        </is>
      </c>
      <c r="C404" s="2" t="inlineStr">
        <is>
          <t>K9089132</t>
        </is>
      </c>
      <c r="D404" s="2" t="inlineStr">
        <is>
          <t>a1</t>
        </is>
      </c>
      <c r="E404" s="2" t="inlineStr">
        <is>
          <t>2.0mm</t>
        </is>
      </c>
      <c r="F404" s="2" t="n">
        <v>2</v>
      </c>
      <c r="G404" s="2" t="n">
        <v>10</v>
      </c>
      <c r="H404" s="2" t="inlineStr">
        <is>
          <t>SC/PC</t>
        </is>
      </c>
      <c r="I404" s="2" t="inlineStr">
        <is>
          <t>SC/PC</t>
        </is>
      </c>
      <c r="J404" s="2" t="n"/>
      <c r="K404" s="2" t="n"/>
      <c r="L404" s="2" t="n"/>
      <c r="M404" s="2" t="n"/>
      <c r="N404" s="2" t="n">
        <v>173</v>
      </c>
      <c r="O404" s="2" t="n">
        <v>465</v>
      </c>
      <c r="P404" s="2" t="n"/>
      <c r="Q404" s="2" t="n"/>
      <c r="R404" s="2" t="n"/>
      <c r="S404" s="2" t="n"/>
      <c r="T404" s="2" t="n"/>
      <c r="U404" s="2" t="n"/>
      <c r="V404" s="2">
        <f>SUM(J404:U404)</f>
        <v/>
      </c>
      <c r="W404" s="2" t="n"/>
      <c r="X404" s="2" t="n"/>
      <c r="Y404" s="2" t="n"/>
      <c r="Z404" s="2" t="n"/>
      <c r="AA404" s="2" t="n">
        <v>1276</v>
      </c>
      <c r="AB404" s="2" t="n">
        <v>1276</v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>
        <f>IF(F404=1,V404*2,IF(F404=2,V404*F404*2,IF(F404&gt;2,F404*2*V404)))</f>
        <v/>
      </c>
      <c r="AW404" s="2">
        <f>SUM(W404:AU404)</f>
        <v/>
      </c>
    </row>
    <row r="405">
      <c r="A405" s="2" t="inlineStr">
        <is>
          <t>14-K-291</t>
        </is>
      </c>
      <c r="B405" s="3" t="inlineStr">
        <is>
          <t>OJC-A1-SC/SC-SM-10-PC/PC-SP</t>
        </is>
      </c>
      <c r="C405" s="2" t="inlineStr">
        <is>
          <t>K9089003</t>
        </is>
      </c>
      <c r="D405" s="2" t="inlineStr">
        <is>
          <t>a1</t>
        </is>
      </c>
      <c r="E405" s="2" t="inlineStr">
        <is>
          <t>2.0mm</t>
        </is>
      </c>
      <c r="F405" s="2" t="n">
        <v>1</v>
      </c>
      <c r="G405" s="2" t="n">
        <v>10</v>
      </c>
      <c r="H405" s="2" t="inlineStr">
        <is>
          <t>SC/PC</t>
        </is>
      </c>
      <c r="I405" s="2" t="inlineStr">
        <is>
          <t>SC/PC</t>
        </is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>
        <v>1159</v>
      </c>
      <c r="T405" s="2" t="n">
        <v>52</v>
      </c>
      <c r="U405" s="2" t="n"/>
      <c r="V405" s="2">
        <f>SUM(J405:U405)</f>
        <v/>
      </c>
      <c r="W405" s="2" t="n"/>
      <c r="X405" s="2" t="n"/>
      <c r="Y405" s="2" t="n"/>
      <c r="Z405" s="2" t="n"/>
      <c r="AA405" s="2" t="n">
        <v>2422</v>
      </c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>
        <f>IF(F405=1,V405*2,IF(F405=2,V405*F405*2,IF(F405&gt;2,F405*2*V405)))</f>
        <v/>
      </c>
      <c r="AW405" s="2">
        <f>SUM(W405:AU405)</f>
        <v/>
      </c>
    </row>
    <row r="406">
      <c r="A406" s="2" t="inlineStr">
        <is>
          <t>14-K-294</t>
        </is>
      </c>
      <c r="B406" s="3" t="inlineStr">
        <is>
          <t>OJC-A1-SC/SC-SM-12-PC/PC-SP</t>
        </is>
      </c>
      <c r="C406" s="2" t="inlineStr">
        <is>
          <t>K9089005</t>
        </is>
      </c>
      <c r="D406" s="2" t="inlineStr">
        <is>
          <t>a1</t>
        </is>
      </c>
      <c r="E406" s="2" t="inlineStr">
        <is>
          <t>2.0mm</t>
        </is>
      </c>
      <c r="F406" s="2" t="n">
        <v>1</v>
      </c>
      <c r="G406" s="2" t="n">
        <v>12</v>
      </c>
      <c r="H406" s="2" t="inlineStr">
        <is>
          <t>SC/PC</t>
        </is>
      </c>
      <c r="I406" s="2" t="inlineStr">
        <is>
          <t>SC/PC</t>
        </is>
      </c>
      <c r="J406" s="2" t="n"/>
      <c r="K406" s="2" t="n">
        <v>9</v>
      </c>
      <c r="L406" s="2" t="n"/>
      <c r="M406" s="2" t="n"/>
      <c r="N406" s="2" t="n">
        <v>15</v>
      </c>
      <c r="O406" s="2" t="n"/>
      <c r="P406" s="2" t="n"/>
      <c r="Q406" s="2" t="n"/>
      <c r="R406" s="2" t="n"/>
      <c r="S406" s="2" t="n"/>
      <c r="T406" s="2" t="n"/>
      <c r="U406" s="2" t="n"/>
      <c r="V406" s="2">
        <f>SUM(J406:U406)</f>
        <v/>
      </c>
      <c r="W406" s="2" t="n"/>
      <c r="X406" s="2" t="n"/>
      <c r="Y406" s="2" t="n"/>
      <c r="Z406" s="2" t="n"/>
      <c r="AA406" s="2" t="n">
        <v>48</v>
      </c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>
        <f>IF(F406=1,V406*2,IF(F406=2,V406*F406*2,IF(F406&gt;2,F406*2*V406)))</f>
        <v/>
      </c>
      <c r="AW406" s="2">
        <f>SUM(W406:AU406)</f>
        <v/>
      </c>
    </row>
    <row r="407">
      <c r="A407" s="2" t="inlineStr">
        <is>
          <t>14-K-295</t>
        </is>
      </c>
      <c r="B407" s="3" t="inlineStr">
        <is>
          <t>OJC-A1-SC/SC-SM-13-PC/PC-DP</t>
        </is>
      </c>
      <c r="C407" s="2" t="inlineStr">
        <is>
          <t>K9089135</t>
        </is>
      </c>
      <c r="D407" s="2" t="inlineStr">
        <is>
          <t>a1</t>
        </is>
      </c>
      <c r="E407" s="2" t="inlineStr">
        <is>
          <t>2.0mm</t>
        </is>
      </c>
      <c r="F407" s="2" t="n">
        <v>2</v>
      </c>
      <c r="G407" s="2" t="n">
        <v>13</v>
      </c>
      <c r="H407" s="2" t="inlineStr">
        <is>
          <t>SC/PC</t>
        </is>
      </c>
      <c r="I407" s="2" t="inlineStr">
        <is>
          <t>SC/PC</t>
        </is>
      </c>
      <c r="J407" s="2" t="n"/>
      <c r="K407" s="2" t="n"/>
      <c r="L407" s="2" t="n">
        <v>40</v>
      </c>
      <c r="M407" s="2" t="n"/>
      <c r="N407" s="2" t="n"/>
      <c r="O407" s="2" t="n"/>
      <c r="P407" s="2" t="n"/>
      <c r="Q407" s="2" t="n"/>
      <c r="R407" s="2" t="n"/>
      <c r="S407" s="2" t="n"/>
      <c r="T407" s="2" t="n">
        <v>100</v>
      </c>
      <c r="U407" s="2" t="n"/>
      <c r="V407" s="2">
        <f>SUM(J407:U407)</f>
        <v/>
      </c>
      <c r="W407" s="2" t="n"/>
      <c r="X407" s="2" t="n"/>
      <c r="Y407" s="2" t="n"/>
      <c r="Z407" s="2" t="n"/>
      <c r="AA407" s="2" t="n">
        <v>280</v>
      </c>
      <c r="AB407" s="2" t="n">
        <v>280</v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>
        <f>IF(F407=1,V407*2,IF(F407=2,V407*F407*2,IF(F407&gt;2,F407*2*V407)))</f>
        <v/>
      </c>
      <c r="AW407" s="2">
        <f>SUM(W407:AU407)</f>
        <v/>
      </c>
    </row>
    <row r="408">
      <c r="A408" s="2" t="inlineStr">
        <is>
          <t>14-K-299</t>
        </is>
      </c>
      <c r="B408" s="3" t="inlineStr">
        <is>
          <t>OJC-A1-SC/SC-SM-15-APC/APC-SP</t>
        </is>
      </c>
      <c r="C408" s="2" t="inlineStr"/>
      <c r="D408" s="2" t="inlineStr">
        <is>
          <t>a1</t>
        </is>
      </c>
      <c r="E408" s="2" t="inlineStr">
        <is>
          <t>2.0mm</t>
        </is>
      </c>
      <c r="F408" s="2" t="n">
        <v>1</v>
      </c>
      <c r="G408" s="2" t="n">
        <v>15</v>
      </c>
      <c r="H408" s="2" t="inlineStr">
        <is>
          <t>SC/APC</t>
        </is>
      </c>
      <c r="I408" s="2" t="inlineStr">
        <is>
          <t>SC/APC</t>
        </is>
      </c>
      <c r="J408" s="2" t="n"/>
      <c r="K408" s="2" t="n"/>
      <c r="L408" s="2" t="n"/>
      <c r="M408" s="2" t="n"/>
      <c r="N408" s="2" t="n">
        <v>18</v>
      </c>
      <c r="O408" s="2" t="n"/>
      <c r="P408" s="2" t="n"/>
      <c r="Q408" s="2" t="n"/>
      <c r="R408" s="2" t="n"/>
      <c r="S408" s="2" t="n"/>
      <c r="T408" s="2" t="n"/>
      <c r="U408" s="2" t="n"/>
      <c r="V408" s="2">
        <f>SUM(J408:U408)</f>
        <v/>
      </c>
      <c r="W408" s="2" t="n"/>
      <c r="X408" s="2" t="n"/>
      <c r="Y408" s="2" t="n"/>
      <c r="Z408" s="2" t="n"/>
      <c r="AA408" s="2" t="n"/>
      <c r="AB408" s="2" t="n"/>
      <c r="AC408" s="2" t="n">
        <v>36</v>
      </c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>
        <f>IF(F408=1,V408*2,IF(F408=2,V408*F408*2,IF(F408&gt;2,F408*2*V408)))</f>
        <v/>
      </c>
      <c r="AW408" s="2">
        <f>SUM(W408:AU408)</f>
        <v/>
      </c>
    </row>
    <row r="409">
      <c r="A409" s="2" t="inlineStr">
        <is>
          <t>14-K-301</t>
        </is>
      </c>
      <c r="B409" s="3" t="inlineStr">
        <is>
          <t>OJC-A1-SC/SC-SM-15-PC/APC-SP</t>
        </is>
      </c>
      <c r="C409" s="2" t="inlineStr">
        <is>
          <t>K9089060</t>
        </is>
      </c>
      <c r="D409" s="2" t="inlineStr">
        <is>
          <t>a1</t>
        </is>
      </c>
      <c r="E409" s="2" t="inlineStr">
        <is>
          <t>2.0mm</t>
        </is>
      </c>
      <c r="F409" s="2" t="n">
        <v>1</v>
      </c>
      <c r="G409" s="2" t="n">
        <v>15</v>
      </c>
      <c r="H409" s="2" t="inlineStr">
        <is>
          <t>SC/PC</t>
        </is>
      </c>
      <c r="I409" s="2" t="inlineStr">
        <is>
          <t>SC/APC</t>
        </is>
      </c>
      <c r="J409" s="2" t="n">
        <v>40</v>
      </c>
      <c r="K409" s="2" t="n">
        <v>34</v>
      </c>
      <c r="L409" s="2" t="n"/>
      <c r="M409" s="2" t="n"/>
      <c r="N409" s="2" t="n"/>
      <c r="O409" s="2" t="n"/>
      <c r="P409" s="2" t="n">
        <v>100</v>
      </c>
      <c r="Q409" s="2" t="n"/>
      <c r="R409" s="2" t="n">
        <v>10</v>
      </c>
      <c r="S409" s="2" t="n"/>
      <c r="T409" s="2" t="n"/>
      <c r="U409" s="2" t="n"/>
      <c r="V409" s="2">
        <f>SUM(J409:U409)</f>
        <v/>
      </c>
      <c r="W409" s="2" t="n"/>
      <c r="X409" s="2" t="n"/>
      <c r="Y409" s="2" t="n"/>
      <c r="Z409" s="2" t="n"/>
      <c r="AA409" s="2" t="n">
        <v>184</v>
      </c>
      <c r="AB409" s="2" t="n"/>
      <c r="AC409" s="2" t="n">
        <v>184</v>
      </c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>
        <f>IF(F409=1,V409*2,IF(F409=2,V409*F409*2,IF(F409&gt;2,F409*2*V409)))</f>
        <v/>
      </c>
      <c r="AW409" s="2">
        <f>SUM(W409:AU409)</f>
        <v/>
      </c>
    </row>
    <row r="410">
      <c r="A410" s="2" t="inlineStr">
        <is>
          <t>14-K-302</t>
        </is>
      </c>
      <c r="B410" s="3" t="inlineStr">
        <is>
          <t>OJC-A1-SC/SC-SM-15-PC/PC-DP</t>
        </is>
      </c>
      <c r="C410" s="2" t="inlineStr">
        <is>
          <t>K9089137</t>
        </is>
      </c>
      <c r="D410" s="2" t="inlineStr">
        <is>
          <t>a1</t>
        </is>
      </c>
      <c r="E410" s="2" t="inlineStr">
        <is>
          <t>2.0mm</t>
        </is>
      </c>
      <c r="F410" s="2" t="n">
        <v>2</v>
      </c>
      <c r="G410" s="2" t="n">
        <v>15</v>
      </c>
      <c r="H410" s="2" t="inlineStr">
        <is>
          <t>SC/PC</t>
        </is>
      </c>
      <c r="I410" s="2" t="inlineStr">
        <is>
          <t>SC/PC</t>
        </is>
      </c>
      <c r="J410" s="2" t="n"/>
      <c r="K410" s="2" t="n"/>
      <c r="L410" s="2" t="n"/>
      <c r="M410" s="2" t="n"/>
      <c r="N410" s="2" t="n">
        <v>942</v>
      </c>
      <c r="O410" s="2" t="n">
        <v>380</v>
      </c>
      <c r="P410" s="2" t="n"/>
      <c r="Q410" s="2" t="n"/>
      <c r="R410" s="2" t="n"/>
      <c r="S410" s="2" t="n"/>
      <c r="T410" s="2" t="n"/>
      <c r="U410" s="2" t="n"/>
      <c r="V410" s="2">
        <f>SUM(J410:U410)</f>
        <v/>
      </c>
      <c r="W410" s="2" t="n"/>
      <c r="X410" s="2" t="n"/>
      <c r="Y410" s="2" t="n"/>
      <c r="Z410" s="2" t="n"/>
      <c r="AA410" s="2" t="n">
        <v>2644</v>
      </c>
      <c r="AB410" s="2" t="n">
        <v>2644</v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>
        <f>IF(F410=1,V410*2,IF(F410=2,V410*F410*2,IF(F410&gt;2,F410*2*V410)))</f>
        <v/>
      </c>
      <c r="AW410" s="2">
        <f>SUM(W410:AU410)</f>
        <v/>
      </c>
    </row>
    <row r="411">
      <c r="A411" s="2" t="inlineStr">
        <is>
          <t>14-K-303</t>
        </is>
      </c>
      <c r="B411" s="3" t="inlineStr">
        <is>
          <t>OJC-A1-SC/SC-SM-15-PC/PC-SP</t>
        </is>
      </c>
      <c r="C411" s="2" t="inlineStr">
        <is>
          <t>K9089008</t>
        </is>
      </c>
      <c r="D411" s="2" t="inlineStr">
        <is>
          <t>a1</t>
        </is>
      </c>
      <c r="E411" s="2" t="inlineStr">
        <is>
          <t>2.0mm</t>
        </is>
      </c>
      <c r="F411" s="2" t="n">
        <v>1</v>
      </c>
      <c r="G411" s="2" t="n">
        <v>15</v>
      </c>
      <c r="H411" s="2" t="inlineStr">
        <is>
          <t>SC/PC</t>
        </is>
      </c>
      <c r="I411" s="2" t="inlineStr">
        <is>
          <t>SC/PC</t>
        </is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>
        <v>412</v>
      </c>
      <c r="T411" s="2" t="n">
        <v>500</v>
      </c>
      <c r="U411" s="2" t="n">
        <v>114</v>
      </c>
      <c r="V411" s="2">
        <f>SUM(J411:U411)</f>
        <v/>
      </c>
      <c r="W411" s="2" t="n"/>
      <c r="X411" s="2" t="n"/>
      <c r="Y411" s="2" t="n"/>
      <c r="Z411" s="2" t="n"/>
      <c r="AA411" s="2" t="n">
        <v>2052</v>
      </c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>
        <f>IF(F411=1,V411*2,IF(F411=2,V411*F411*2,IF(F411&gt;2,F411*2*V411)))</f>
        <v/>
      </c>
      <c r="AW411" s="2">
        <f>SUM(W411:AU411)</f>
        <v/>
      </c>
    </row>
    <row r="412">
      <c r="A412" s="2" t="inlineStr">
        <is>
          <t>14-K-315</t>
        </is>
      </c>
      <c r="B412" s="3" t="inlineStr">
        <is>
          <t>OJC-A1-SC/SC-SM-1-PC/PC-DP</t>
        </is>
      </c>
      <c r="C412" s="2" t="inlineStr">
        <is>
          <t>K9089123</t>
        </is>
      </c>
      <c r="D412" s="2" t="inlineStr">
        <is>
          <t>a1</t>
        </is>
      </c>
      <c r="E412" s="2" t="inlineStr">
        <is>
          <t>2.0mm</t>
        </is>
      </c>
      <c r="F412" s="2" t="n">
        <v>2</v>
      </c>
      <c r="G412" s="2" t="n">
        <v>1</v>
      </c>
      <c r="H412" s="2" t="inlineStr">
        <is>
          <t>SC/PC</t>
        </is>
      </c>
      <c r="I412" s="2" t="inlineStr">
        <is>
          <t>SC/PC</t>
        </is>
      </c>
      <c r="J412" s="2" t="n">
        <v>500</v>
      </c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>
        <f>SUM(J412:U412)</f>
        <v/>
      </c>
      <c r="W412" s="2" t="n"/>
      <c r="X412" s="2" t="n"/>
      <c r="Y412" s="2" t="n"/>
      <c r="Z412" s="2" t="n"/>
      <c r="AA412" s="2" t="n">
        <v>1000</v>
      </c>
      <c r="AB412" s="2" t="n">
        <v>1000</v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>
        <f>IF(F412=1,V412*2,IF(F412=2,V412*F412*2,IF(F412&gt;2,F412*2*V412)))</f>
        <v/>
      </c>
      <c r="AW412" s="2">
        <f>SUM(W412:AU412)</f>
        <v/>
      </c>
    </row>
    <row r="413">
      <c r="A413" s="2" t="inlineStr">
        <is>
          <t>14-K-316</t>
        </is>
      </c>
      <c r="B413" s="3" t="inlineStr">
        <is>
          <t>OJC-A1-SC/SC-SM-1-PC/PC-SP</t>
        </is>
      </c>
      <c r="C413" s="2" t="inlineStr">
        <is>
          <t>K9088994</t>
        </is>
      </c>
      <c r="D413" s="2" t="inlineStr">
        <is>
          <t>a1</t>
        </is>
      </c>
      <c r="E413" s="2" t="inlineStr">
        <is>
          <t>2.0mm</t>
        </is>
      </c>
      <c r="F413" s="2" t="n">
        <v>1</v>
      </c>
      <c r="G413" s="2" t="n">
        <v>1</v>
      </c>
      <c r="H413" s="2" t="inlineStr">
        <is>
          <t>SC/PC</t>
        </is>
      </c>
      <c r="I413" s="2" t="inlineStr">
        <is>
          <t>SC/PC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>
        <v>50</v>
      </c>
      <c r="R413" s="2" t="n"/>
      <c r="S413" s="2" t="n"/>
      <c r="T413" s="2" t="n"/>
      <c r="U413" s="2" t="n"/>
      <c r="V413" s="2">
        <f>SUM(J413:U413)</f>
        <v/>
      </c>
      <c r="W413" s="2" t="n"/>
      <c r="X413" s="2" t="n"/>
      <c r="Y413" s="2" t="n"/>
      <c r="Z413" s="2" t="n"/>
      <c r="AA413" s="2" t="n">
        <v>100</v>
      </c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>
        <f>IF(F413=1,V413*2,IF(F413=2,V413*F413*2,IF(F413&gt;2,F413*2*V413)))</f>
        <v/>
      </c>
      <c r="AW413" s="2">
        <f>SUM(W413:AU413)</f>
        <v/>
      </c>
    </row>
    <row r="414">
      <c r="A414" s="2" t="inlineStr">
        <is>
          <t>14-K-320</t>
        </is>
      </c>
      <c r="B414" s="3" t="inlineStr">
        <is>
          <t>OJC-A1-SC/SC-SM-20-PC/APC-SP</t>
        </is>
      </c>
      <c r="C414" s="2" t="inlineStr">
        <is>
          <t>K9089061</t>
        </is>
      </c>
      <c r="D414" s="2" t="inlineStr">
        <is>
          <t>a1</t>
        </is>
      </c>
      <c r="E414" s="2" t="inlineStr">
        <is>
          <t>2.0mm</t>
        </is>
      </c>
      <c r="F414" s="2" t="n">
        <v>1</v>
      </c>
      <c r="G414" s="2" t="n">
        <v>20</v>
      </c>
      <c r="H414" s="2" t="inlineStr">
        <is>
          <t>SC/PC</t>
        </is>
      </c>
      <c r="I414" s="2" t="inlineStr">
        <is>
          <t>SC/APC</t>
        </is>
      </c>
      <c r="J414" s="2" t="n"/>
      <c r="K414" s="2" t="n"/>
      <c r="L414" s="2" t="n"/>
      <c r="M414" s="2" t="n">
        <v>10</v>
      </c>
      <c r="N414" s="2" t="n"/>
      <c r="O414" s="2" t="n"/>
      <c r="P414" s="2" t="n">
        <v>100</v>
      </c>
      <c r="Q414" s="2" t="n"/>
      <c r="R414" s="2" t="n">
        <v>5</v>
      </c>
      <c r="S414" s="2" t="n"/>
      <c r="T414" s="2" t="n"/>
      <c r="U414" s="2" t="n"/>
      <c r="V414" s="2">
        <f>SUM(J414:U414)</f>
        <v/>
      </c>
      <c r="W414" s="2" t="n"/>
      <c r="X414" s="2" t="n"/>
      <c r="Y414" s="2" t="n"/>
      <c r="Z414" s="2" t="n"/>
      <c r="AA414" s="2" t="n">
        <v>115</v>
      </c>
      <c r="AB414" s="2" t="n"/>
      <c r="AC414" s="2" t="n">
        <v>115</v>
      </c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>
        <f>IF(F414=1,V414*2,IF(F414=2,V414*F414*2,IF(F414&gt;2,F414*2*V414)))</f>
        <v/>
      </c>
      <c r="AW414" s="2">
        <f>SUM(W414:AU414)</f>
        <v/>
      </c>
    </row>
    <row r="415">
      <c r="A415" s="2" t="inlineStr">
        <is>
          <t>14-K-322</t>
        </is>
      </c>
      <c r="B415" s="3" t="inlineStr">
        <is>
          <t>OJC-A1-SC/SC-SM-20-PC/PC-SP</t>
        </is>
      </c>
      <c r="C415" s="2" t="inlineStr">
        <is>
          <t>K9089013</t>
        </is>
      </c>
      <c r="D415" s="2" t="inlineStr">
        <is>
          <t>a1</t>
        </is>
      </c>
      <c r="E415" s="2" t="inlineStr">
        <is>
          <t>2.0mm</t>
        </is>
      </c>
      <c r="F415" s="2" t="n">
        <v>1</v>
      </c>
      <c r="G415" s="2" t="n">
        <v>20</v>
      </c>
      <c r="H415" s="2" t="inlineStr">
        <is>
          <t>SC/PC</t>
        </is>
      </c>
      <c r="I415" s="2" t="inlineStr">
        <is>
          <t>SC/PC</t>
        </is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>
        <v>341</v>
      </c>
      <c r="T415" s="2" t="n">
        <v>1390</v>
      </c>
      <c r="U415" s="2" t="n">
        <v>180</v>
      </c>
      <c r="V415" s="2">
        <f>SUM(J415:U415)</f>
        <v/>
      </c>
      <c r="W415" s="2" t="n"/>
      <c r="X415" s="2" t="n"/>
      <c r="Y415" s="2" t="n"/>
      <c r="Z415" s="2" t="n"/>
      <c r="AA415" s="2" t="n">
        <v>3822</v>
      </c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>
        <f>IF(F415=1,V415*2,IF(F415=2,V415*F415*2,IF(F415&gt;2,F415*2*V415)))</f>
        <v/>
      </c>
      <c r="AW415" s="2">
        <f>SUM(W415:AU415)</f>
        <v/>
      </c>
    </row>
    <row r="416">
      <c r="A416" s="2" t="inlineStr">
        <is>
          <t>14-K-328</t>
        </is>
      </c>
      <c r="B416" s="3" t="inlineStr">
        <is>
          <t>OJC-A1-SC/SC-SM-23-PC/PC-SP</t>
        </is>
      </c>
      <c r="C416" s="2" t="inlineStr">
        <is>
          <t>K9089016</t>
        </is>
      </c>
      <c r="D416" s="2" t="inlineStr">
        <is>
          <t>a1</t>
        </is>
      </c>
      <c r="E416" s="2" t="inlineStr">
        <is>
          <t>2.0mm</t>
        </is>
      </c>
      <c r="F416" s="2" t="n">
        <v>1</v>
      </c>
      <c r="G416" s="2" t="n">
        <v>23</v>
      </c>
      <c r="H416" s="2" t="inlineStr">
        <is>
          <t>SC/PC</t>
        </is>
      </c>
      <c r="I416" s="2" t="inlineStr">
        <is>
          <t>SC/PC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>
        <v>50</v>
      </c>
      <c r="R416" s="2" t="n"/>
      <c r="S416" s="2" t="n"/>
      <c r="T416" s="2" t="n"/>
      <c r="U416" s="2" t="n"/>
      <c r="V416" s="2">
        <f>SUM(J416:U416)</f>
        <v/>
      </c>
      <c r="W416" s="2" t="n"/>
      <c r="X416" s="2" t="n"/>
      <c r="Y416" s="2" t="n"/>
      <c r="Z416" s="2" t="n"/>
      <c r="AA416" s="2" t="n">
        <v>100</v>
      </c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>
        <f>IF(F416=1,V416*2,IF(F416=2,V416*F416*2,IF(F416&gt;2,F416*2*V416)))</f>
        <v/>
      </c>
      <c r="AW416" s="2">
        <f>SUM(W416:AU416)</f>
        <v/>
      </c>
    </row>
    <row r="417">
      <c r="A417" s="2" t="inlineStr">
        <is>
          <t>14-K-335</t>
        </is>
      </c>
      <c r="B417" s="3" t="inlineStr">
        <is>
          <t>OJC-A1-SC/SC-SM-25-PC/APC-SP</t>
        </is>
      </c>
      <c r="C417" s="2" t="inlineStr">
        <is>
          <t>K9089062</t>
        </is>
      </c>
      <c r="D417" s="2" t="inlineStr">
        <is>
          <t>a1</t>
        </is>
      </c>
      <c r="E417" s="2" t="inlineStr">
        <is>
          <t>2.0mm</t>
        </is>
      </c>
      <c r="F417" s="2" t="n">
        <v>1</v>
      </c>
      <c r="G417" s="2" t="n">
        <v>25</v>
      </c>
      <c r="H417" s="2" t="inlineStr">
        <is>
          <t>SC/PC</t>
        </is>
      </c>
      <c r="I417" s="2" t="inlineStr">
        <is>
          <t>SC/APC</t>
        </is>
      </c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>
        <v>5</v>
      </c>
      <c r="S417" s="2" t="n"/>
      <c r="T417" s="2" t="n"/>
      <c r="U417" s="2" t="n"/>
      <c r="V417" s="2">
        <f>SUM(J417:U417)</f>
        <v/>
      </c>
      <c r="W417" s="2" t="n"/>
      <c r="X417" s="2" t="n"/>
      <c r="Y417" s="2" t="n"/>
      <c r="Z417" s="2" t="n"/>
      <c r="AA417" s="2" t="n">
        <v>5</v>
      </c>
      <c r="AB417" s="2" t="n"/>
      <c r="AC417" s="2" t="n">
        <v>5</v>
      </c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>
        <f>IF(F417=1,V417*2,IF(F417=2,V417*F417*2,IF(F417&gt;2,F417*2*V417)))</f>
        <v/>
      </c>
      <c r="AW417" s="2">
        <f>SUM(W417:AU417)</f>
        <v/>
      </c>
    </row>
    <row r="418">
      <c r="A418" s="2" t="inlineStr">
        <is>
          <t>14-K-336</t>
        </is>
      </c>
      <c r="B418" s="3" t="inlineStr">
        <is>
          <t>OJC-A1-SC/SC-SM-25-PC/PC-DP</t>
        </is>
      </c>
      <c r="C418" s="2" t="inlineStr">
        <is>
          <t>K9089147</t>
        </is>
      </c>
      <c r="D418" s="2" t="inlineStr">
        <is>
          <t>a1</t>
        </is>
      </c>
      <c r="E418" s="2" t="inlineStr">
        <is>
          <t>2.0mm</t>
        </is>
      </c>
      <c r="F418" s="2" t="n">
        <v>2</v>
      </c>
      <c r="G418" s="2" t="n">
        <v>25</v>
      </c>
      <c r="H418" s="2" t="inlineStr">
        <is>
          <t>SC/PC</t>
        </is>
      </c>
      <c r="I418" s="2" t="inlineStr">
        <is>
          <t>SC/PC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>
        <v>80</v>
      </c>
      <c r="R418" s="2" t="n"/>
      <c r="S418" s="2" t="n"/>
      <c r="T418" s="2" t="n"/>
      <c r="U418" s="2" t="n"/>
      <c r="V418" s="2">
        <f>SUM(J418:U418)</f>
        <v/>
      </c>
      <c r="W418" s="2" t="n"/>
      <c r="X418" s="2" t="n"/>
      <c r="Y418" s="2" t="n"/>
      <c r="Z418" s="2" t="n"/>
      <c r="AA418" s="2" t="n">
        <v>160</v>
      </c>
      <c r="AB418" s="2" t="n">
        <v>160</v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>
        <f>IF(F418=1,V418*2,IF(F418=2,V418*F418*2,IF(F418&gt;2,F418*2*V418)))</f>
        <v/>
      </c>
      <c r="AW418" s="2">
        <f>SUM(W418:AU418)</f>
        <v/>
      </c>
    </row>
    <row r="419">
      <c r="A419" s="2" t="inlineStr">
        <is>
          <t>14-K-337</t>
        </is>
      </c>
      <c r="B419" s="3" t="inlineStr">
        <is>
          <t>OJC-A1-SC/SC-SM-25-PC/PC-SP</t>
        </is>
      </c>
      <c r="C419" s="2" t="inlineStr">
        <is>
          <t>K9089018</t>
        </is>
      </c>
      <c r="D419" s="2" t="inlineStr">
        <is>
          <t>a1</t>
        </is>
      </c>
      <c r="E419" s="2" t="inlineStr">
        <is>
          <t>2.0mm</t>
        </is>
      </c>
      <c r="F419" s="2" t="n">
        <v>1</v>
      </c>
      <c r="G419" s="2" t="n">
        <v>25</v>
      </c>
      <c r="H419" s="2" t="inlineStr">
        <is>
          <t>SC/PC</t>
        </is>
      </c>
      <c r="I419" s="2" t="inlineStr">
        <is>
          <t>SC/PC</t>
        </is>
      </c>
      <c r="J419" s="2" t="n"/>
      <c r="K419" s="2" t="n"/>
      <c r="L419" s="2" t="n"/>
      <c r="M419" s="2" t="n"/>
      <c r="N419" s="2" t="n"/>
      <c r="O419" s="2" t="n"/>
      <c r="P419" s="2" t="n"/>
      <c r="Q419" s="2" t="n">
        <v>156</v>
      </c>
      <c r="R419" s="2" t="n">
        <v>180</v>
      </c>
      <c r="S419" s="2" t="n">
        <v>156</v>
      </c>
      <c r="T419" s="2" t="n">
        <v>550</v>
      </c>
      <c r="U419" s="2" t="n"/>
      <c r="V419" s="2">
        <f>SUM(J419:U419)</f>
        <v/>
      </c>
      <c r="W419" s="2" t="n"/>
      <c r="X419" s="2" t="n"/>
      <c r="Y419" s="2" t="n"/>
      <c r="Z419" s="2" t="n"/>
      <c r="AA419" s="2" t="n">
        <v>2084</v>
      </c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>
        <f>IF(F419=1,V419*2,IF(F419=2,V419*F419*2,IF(F419&gt;2,F419*2*V419)))</f>
        <v/>
      </c>
      <c r="AW419" s="2">
        <f>SUM(W419:AU419)</f>
        <v/>
      </c>
    </row>
    <row r="420">
      <c r="A420" s="2" t="inlineStr">
        <is>
          <t>14-K-346</t>
        </is>
      </c>
      <c r="B420" s="3" t="inlineStr">
        <is>
          <t>OJC-A1-SC/SC-SM-2-PC/PC-DP</t>
        </is>
      </c>
      <c r="C420" s="2" t="inlineStr">
        <is>
          <t>K9089124</t>
        </is>
      </c>
      <c r="D420" s="2" t="inlineStr">
        <is>
          <t>a1</t>
        </is>
      </c>
      <c r="E420" s="2" t="inlineStr">
        <is>
          <t>2.0mm</t>
        </is>
      </c>
      <c r="F420" s="2" t="n">
        <v>2</v>
      </c>
      <c r="G420" s="2" t="n">
        <v>2</v>
      </c>
      <c r="H420" s="2" t="inlineStr">
        <is>
          <t>SC/PC</t>
        </is>
      </c>
      <c r="I420" s="2" t="inlineStr">
        <is>
          <t>SC/PC</t>
        </is>
      </c>
      <c r="J420" s="2" t="n"/>
      <c r="K420" s="2" t="n"/>
      <c r="L420" s="2" t="n"/>
      <c r="M420" s="2" t="n"/>
      <c r="N420" s="2" t="n">
        <v>365</v>
      </c>
      <c r="O420" s="2" t="n">
        <v>100</v>
      </c>
      <c r="P420" s="2" t="n"/>
      <c r="Q420" s="2" t="n"/>
      <c r="R420" s="2" t="n"/>
      <c r="S420" s="2" t="n"/>
      <c r="T420" s="2" t="n"/>
      <c r="U420" s="2" t="n"/>
      <c r="V420" s="2">
        <f>SUM(J420:U420)</f>
        <v/>
      </c>
      <c r="W420" s="2" t="n"/>
      <c r="X420" s="2" t="n"/>
      <c r="Y420" s="2" t="n"/>
      <c r="Z420" s="2" t="n"/>
      <c r="AA420" s="2" t="n">
        <v>930</v>
      </c>
      <c r="AB420" s="2" t="n">
        <v>930</v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>
        <f>IF(F420=1,V420*2,IF(F420=2,V420*F420*2,IF(F420&gt;2,F420*2*V420)))</f>
        <v/>
      </c>
      <c r="AW420" s="2">
        <f>SUM(W420:AU420)</f>
        <v/>
      </c>
    </row>
    <row r="421">
      <c r="A421" s="2" t="inlineStr">
        <is>
          <t>14-K-350</t>
        </is>
      </c>
      <c r="B421" s="3" t="inlineStr">
        <is>
          <t>OJC-A1-SC/SC-SM-30-PC/APC-DP</t>
        </is>
      </c>
      <c r="C421" s="2" t="inlineStr"/>
      <c r="D421" s="2" t="inlineStr">
        <is>
          <t>a1</t>
        </is>
      </c>
      <c r="E421" s="2" t="inlineStr">
        <is>
          <t>2.0mm</t>
        </is>
      </c>
      <c r="F421" s="2" t="n">
        <v>2</v>
      </c>
      <c r="G421" s="2" t="n">
        <v>30</v>
      </c>
      <c r="H421" s="2" t="inlineStr">
        <is>
          <t>SC/PC</t>
        </is>
      </c>
      <c r="I421" s="2" t="inlineStr">
        <is>
          <t>SC/APC</t>
        </is>
      </c>
      <c r="J421" s="2" t="n"/>
      <c r="K421" s="2" t="n"/>
      <c r="L421" s="2" t="n"/>
      <c r="M421" s="2" t="n"/>
      <c r="N421" s="2" t="n">
        <v>3</v>
      </c>
      <c r="O421" s="2" t="n"/>
      <c r="P421" s="2" t="n"/>
      <c r="Q421" s="2" t="n"/>
      <c r="R421" s="2" t="n"/>
      <c r="S421" s="2" t="n"/>
      <c r="T421" s="2" t="n"/>
      <c r="U421" s="2" t="n"/>
      <c r="V421" s="2">
        <f>SUM(J421:U421)</f>
        <v/>
      </c>
      <c r="W421" s="2" t="n"/>
      <c r="X421" s="2" t="n"/>
      <c r="Y421" s="2" t="n"/>
      <c r="Z421" s="2" t="n"/>
      <c r="AA421" s="2" t="n">
        <v>6</v>
      </c>
      <c r="AB421" s="2" t="n"/>
      <c r="AC421" s="2" t="n"/>
      <c r="AD421" s="2" t="n">
        <v>6</v>
      </c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>
        <f>IF(F421=1,V421*2,IF(F421=2,V421*F421*2,IF(F421&gt;2,F421*2*V421)))</f>
        <v/>
      </c>
      <c r="AW421" s="2">
        <f>SUM(W421:AU421)</f>
        <v/>
      </c>
    </row>
    <row r="422">
      <c r="A422" s="2" t="inlineStr">
        <is>
          <t>14-K-352</t>
        </is>
      </c>
      <c r="B422" s="3" t="inlineStr">
        <is>
          <t>OJC-A1-SC/SC-SM-30-PC/PC-DP</t>
        </is>
      </c>
      <c r="C422" s="2" t="inlineStr">
        <is>
          <t>K9089152</t>
        </is>
      </c>
      <c r="D422" s="2" t="inlineStr">
        <is>
          <t>a1</t>
        </is>
      </c>
      <c r="E422" s="2" t="inlineStr">
        <is>
          <t>2.0mm</t>
        </is>
      </c>
      <c r="F422" s="2" t="n">
        <v>2</v>
      </c>
      <c r="G422" s="2" t="n">
        <v>30</v>
      </c>
      <c r="H422" s="2" t="inlineStr">
        <is>
          <t>SC/PC</t>
        </is>
      </c>
      <c r="I422" s="2" t="inlineStr">
        <is>
          <t>SC/PC</t>
        </is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>
        <v>181</v>
      </c>
      <c r="V422" s="2">
        <f>SUM(J422:U422)</f>
        <v/>
      </c>
      <c r="W422" s="2" t="n"/>
      <c r="X422" s="2" t="n"/>
      <c r="Y422" s="2" t="n"/>
      <c r="Z422" s="2" t="n"/>
      <c r="AA422" s="2" t="n">
        <v>362</v>
      </c>
      <c r="AB422" s="2" t="n">
        <v>362</v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>
        <f>IF(F422=1,V422*2,IF(F422=2,V422*F422*2,IF(F422&gt;2,F422*2*V422)))</f>
        <v/>
      </c>
      <c r="AW422" s="2">
        <f>SUM(W422:AU422)</f>
        <v/>
      </c>
    </row>
    <row r="423">
      <c r="A423" s="2" t="inlineStr">
        <is>
          <t>14-K-353</t>
        </is>
      </c>
      <c r="B423" s="3" t="inlineStr">
        <is>
          <t>OJC-A1-SC/SC-SM-30-PC/PC-SP</t>
        </is>
      </c>
      <c r="C423" s="2" t="inlineStr">
        <is>
          <t>K9089023</t>
        </is>
      </c>
      <c r="D423" s="2" t="inlineStr">
        <is>
          <t>a1</t>
        </is>
      </c>
      <c r="E423" s="2" t="inlineStr">
        <is>
          <t>2.0mm</t>
        </is>
      </c>
      <c r="F423" s="2" t="n">
        <v>1</v>
      </c>
      <c r="G423" s="2" t="n">
        <v>30</v>
      </c>
      <c r="H423" s="2" t="inlineStr">
        <is>
          <t>SC/PC</t>
        </is>
      </c>
      <c r="I423" s="2" t="inlineStr">
        <is>
          <t>SC/PC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>
        <v>225</v>
      </c>
      <c r="S423" s="2" t="n">
        <v>150</v>
      </c>
      <c r="T423" s="2" t="n">
        <v>334</v>
      </c>
      <c r="U423" s="2" t="n">
        <v>80</v>
      </c>
      <c r="V423" s="2">
        <f>SUM(J423:U423)</f>
        <v/>
      </c>
      <c r="W423" s="2" t="n"/>
      <c r="X423" s="2" t="n"/>
      <c r="Y423" s="2" t="n"/>
      <c r="Z423" s="2" t="n"/>
      <c r="AA423" s="2" t="n">
        <v>1578</v>
      </c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>
        <f>IF(F423=1,V423*2,IF(F423=2,V423*F423*2,IF(F423&gt;2,F423*2*V423)))</f>
        <v/>
      </c>
      <c r="AW423" s="2">
        <f>SUM(W423:AU423)</f>
        <v/>
      </c>
    </row>
    <row r="424">
      <c r="A424" s="2" t="inlineStr">
        <is>
          <t>14-K-354</t>
        </is>
      </c>
      <c r="B424" s="3" t="inlineStr">
        <is>
          <t>OJC-A1-SC/SC-SM-35-PC/PC-DP</t>
        </is>
      </c>
      <c r="C424" s="2" t="inlineStr">
        <is>
          <t>K9089153</t>
        </is>
      </c>
      <c r="D424" s="2" t="inlineStr">
        <is>
          <t>a1</t>
        </is>
      </c>
      <c r="E424" s="2" t="inlineStr">
        <is>
          <t>2.0mm</t>
        </is>
      </c>
      <c r="F424" s="2" t="n">
        <v>2</v>
      </c>
      <c r="G424" s="2" t="n">
        <v>35</v>
      </c>
      <c r="H424" s="2" t="inlineStr">
        <is>
          <t>SC/PC</t>
        </is>
      </c>
      <c r="I424" s="2" t="inlineStr">
        <is>
          <t>SC/PC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>
        <v>103</v>
      </c>
      <c r="U424" s="2" t="n">
        <v>60</v>
      </c>
      <c r="V424" s="2">
        <f>SUM(J424:U424)</f>
        <v/>
      </c>
      <c r="W424" s="2" t="n"/>
      <c r="X424" s="2" t="n"/>
      <c r="Y424" s="2" t="n"/>
      <c r="Z424" s="2" t="n"/>
      <c r="AA424" s="2" t="n">
        <v>326</v>
      </c>
      <c r="AB424" s="2" t="n">
        <v>326</v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>
        <f>IF(F424=1,V424*2,IF(F424=2,V424*F424*2,IF(F424&gt;2,F424*2*V424)))</f>
        <v/>
      </c>
      <c r="AW424" s="2">
        <f>SUM(W424:AU424)</f>
        <v/>
      </c>
    </row>
    <row r="425">
      <c r="A425" s="2" t="inlineStr">
        <is>
          <t>14-K-355</t>
        </is>
      </c>
      <c r="B425" s="3" t="inlineStr">
        <is>
          <t>OJC-A1-SC/SC-SM-35-PC/PC-SP</t>
        </is>
      </c>
      <c r="C425" s="2" t="inlineStr">
        <is>
          <t>K9089024</t>
        </is>
      </c>
      <c r="D425" s="2" t="inlineStr">
        <is>
          <t>a1</t>
        </is>
      </c>
      <c r="E425" s="2" t="inlineStr">
        <is>
          <t>2.0mm</t>
        </is>
      </c>
      <c r="F425" s="2" t="n">
        <v>1</v>
      </c>
      <c r="G425" s="2" t="n">
        <v>35</v>
      </c>
      <c r="H425" s="2" t="inlineStr">
        <is>
          <t>SC/PC</t>
        </is>
      </c>
      <c r="I425" s="2" t="inlineStr">
        <is>
          <t>SC/PC</t>
        </is>
      </c>
      <c r="J425" s="2" t="n">
        <v>30</v>
      </c>
      <c r="K425" s="2" t="n"/>
      <c r="L425" s="2" t="n"/>
      <c r="M425" s="2" t="n"/>
      <c r="N425" s="2" t="n"/>
      <c r="O425" s="2" t="n"/>
      <c r="P425" s="2" t="n"/>
      <c r="Q425" s="2" t="n">
        <v>200</v>
      </c>
      <c r="R425" s="2" t="n">
        <v>200</v>
      </c>
      <c r="S425" s="2" t="n"/>
      <c r="T425" s="2" t="n">
        <v>100</v>
      </c>
      <c r="U425" s="2" t="n"/>
      <c r="V425" s="2">
        <f>SUM(J425:U425)</f>
        <v/>
      </c>
      <c r="W425" s="2" t="n"/>
      <c r="X425" s="2" t="n"/>
      <c r="Y425" s="2" t="n"/>
      <c r="Z425" s="2" t="n"/>
      <c r="AA425" s="2" t="n">
        <v>1060</v>
      </c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>
        <f>IF(F425=1,V425*2,IF(F425=2,V425*F425*2,IF(F425&gt;2,F425*2*V425)))</f>
        <v/>
      </c>
      <c r="AW425" s="2">
        <f>SUM(W425:AU425)</f>
        <v/>
      </c>
    </row>
    <row r="426">
      <c r="A426" s="2" t="inlineStr">
        <is>
          <t>14-K-360</t>
        </is>
      </c>
      <c r="B426" s="3" t="inlineStr">
        <is>
          <t>OJC-A1-SC/SC-SM-3-PC/APC-SP</t>
        </is>
      </c>
      <c r="C426" s="2" t="inlineStr">
        <is>
          <t>K9089057</t>
        </is>
      </c>
      <c r="D426" s="2" t="inlineStr">
        <is>
          <t>a1</t>
        </is>
      </c>
      <c r="E426" s="2" t="inlineStr">
        <is>
          <t>2.0mm</t>
        </is>
      </c>
      <c r="F426" s="2" t="n">
        <v>1</v>
      </c>
      <c r="G426" s="2" t="n">
        <v>3</v>
      </c>
      <c r="H426" s="2" t="inlineStr">
        <is>
          <t>SC/PC</t>
        </is>
      </c>
      <c r="I426" s="2" t="inlineStr">
        <is>
          <t>SC/APC</t>
        </is>
      </c>
      <c r="J426" s="2" t="n">
        <v>27</v>
      </c>
      <c r="K426" s="2" t="n">
        <v>400</v>
      </c>
      <c r="L426" s="2" t="n"/>
      <c r="M426" s="2" t="n"/>
      <c r="N426" s="2" t="n"/>
      <c r="O426" s="2" t="n"/>
      <c r="P426" s="2" t="n"/>
      <c r="Q426" s="2" t="n">
        <v>20</v>
      </c>
      <c r="R426" s="2" t="n">
        <v>40</v>
      </c>
      <c r="S426" s="2" t="n"/>
      <c r="T426" s="2" t="n"/>
      <c r="U426" s="2" t="n"/>
      <c r="V426" s="2">
        <f>SUM(J426:U426)</f>
        <v/>
      </c>
      <c r="W426" s="2" t="n"/>
      <c r="X426" s="2" t="n"/>
      <c r="Y426" s="2" t="n"/>
      <c r="Z426" s="2" t="n"/>
      <c r="AA426" s="2" t="n">
        <v>487</v>
      </c>
      <c r="AB426" s="2" t="n"/>
      <c r="AC426" s="2" t="n">
        <v>487</v>
      </c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>
        <f>IF(F426=1,V426*2,IF(F426=2,V426*F426*2,IF(F426&gt;2,F426*2*V426)))</f>
        <v/>
      </c>
      <c r="AW426" s="2">
        <f>SUM(W426:AU426)</f>
        <v/>
      </c>
    </row>
    <row r="427">
      <c r="A427" s="2" t="inlineStr">
        <is>
          <t>14-K-361</t>
        </is>
      </c>
      <c r="B427" s="3" t="inlineStr">
        <is>
          <t>OJC-A1-SC/SC-SM-3-PC/PC-DP</t>
        </is>
      </c>
      <c r="C427" s="2" t="inlineStr">
        <is>
          <t>K9089125</t>
        </is>
      </c>
      <c r="D427" s="2" t="inlineStr">
        <is>
          <t>a1</t>
        </is>
      </c>
      <c r="E427" s="2" t="inlineStr">
        <is>
          <t>2.0mm</t>
        </is>
      </c>
      <c r="F427" s="2" t="n">
        <v>2</v>
      </c>
      <c r="G427" s="2" t="n">
        <v>3</v>
      </c>
      <c r="H427" s="2" t="inlineStr">
        <is>
          <t>SC/PC</t>
        </is>
      </c>
      <c r="I427" s="2" t="inlineStr">
        <is>
          <t>SC/PC</t>
        </is>
      </c>
      <c r="J427" s="2" t="n"/>
      <c r="K427" s="2" t="n">
        <v>300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>
        <f>SUM(J427:U427)</f>
        <v/>
      </c>
      <c r="W427" s="2" t="n"/>
      <c r="X427" s="2" t="n"/>
      <c r="Y427" s="2" t="n"/>
      <c r="Z427" s="2" t="n"/>
      <c r="AA427" s="2" t="n">
        <v>600</v>
      </c>
      <c r="AB427" s="2" t="n">
        <v>600</v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>
        <f>IF(F427=1,V427*2,IF(F427=2,V427*F427*2,IF(F427&gt;2,F427*2*V427)))</f>
        <v/>
      </c>
      <c r="AW427" s="2">
        <f>SUM(W427:AU427)</f>
        <v/>
      </c>
    </row>
    <row r="428">
      <c r="A428" s="2" t="inlineStr">
        <is>
          <t>14-K-364</t>
        </is>
      </c>
      <c r="B428" s="3" t="inlineStr">
        <is>
          <t>OJC-A1-SC/SC-SM-40-PC/PC-DP</t>
        </is>
      </c>
      <c r="C428" s="2" t="inlineStr">
        <is>
          <t>K9089154</t>
        </is>
      </c>
      <c r="D428" s="2" t="inlineStr">
        <is>
          <t>a1</t>
        </is>
      </c>
      <c r="E428" s="2" t="inlineStr">
        <is>
          <t>2.0mm</t>
        </is>
      </c>
      <c r="F428" s="2" t="n">
        <v>2</v>
      </c>
      <c r="G428" s="2" t="n">
        <v>40</v>
      </c>
      <c r="H428" s="2" t="inlineStr">
        <is>
          <t>SC/PC</t>
        </is>
      </c>
      <c r="I428" s="2" t="inlineStr">
        <is>
          <t>SC/PC</t>
        </is>
      </c>
      <c r="J428" s="2" t="n"/>
      <c r="K428" s="2" t="n"/>
      <c r="L428" s="2" t="n"/>
      <c r="M428" s="2" t="n"/>
      <c r="N428" s="2" t="n"/>
      <c r="O428" s="2" t="n"/>
      <c r="P428" s="2" t="n">
        <v>112</v>
      </c>
      <c r="Q428" s="2" t="n"/>
      <c r="R428" s="2" t="n"/>
      <c r="S428" s="2" t="n"/>
      <c r="T428" s="2" t="n"/>
      <c r="U428" s="2" t="n"/>
      <c r="V428" s="2">
        <f>SUM(J428:U428)</f>
        <v/>
      </c>
      <c r="W428" s="2" t="n"/>
      <c r="X428" s="2" t="n"/>
      <c r="Y428" s="2" t="n"/>
      <c r="Z428" s="2" t="n"/>
      <c r="AA428" s="2" t="n">
        <v>224</v>
      </c>
      <c r="AB428" s="2" t="n">
        <v>224</v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>
        <f>IF(F428=1,V428*2,IF(F428=2,V428*F428*2,IF(F428&gt;2,F428*2*V428)))</f>
        <v/>
      </c>
      <c r="AW428" s="2">
        <f>SUM(W428:AU428)</f>
        <v/>
      </c>
    </row>
    <row r="429">
      <c r="A429" s="2" t="inlineStr">
        <is>
          <t>14-K-366</t>
        </is>
      </c>
      <c r="B429" s="3" t="inlineStr">
        <is>
          <t>OJC-A1-SC/SC-SM-45-PC/PC-DP</t>
        </is>
      </c>
      <c r="C429" s="2" t="inlineStr">
        <is>
          <t>K9089155</t>
        </is>
      </c>
      <c r="D429" s="2" t="inlineStr">
        <is>
          <t>a1</t>
        </is>
      </c>
      <c r="E429" s="2" t="inlineStr">
        <is>
          <t>2.0mm</t>
        </is>
      </c>
      <c r="F429" s="2" t="n">
        <v>2</v>
      </c>
      <c r="G429" s="2" t="n">
        <v>45</v>
      </c>
      <c r="H429" s="2" t="inlineStr">
        <is>
          <t>SC/PC</t>
        </is>
      </c>
      <c r="I429" s="2" t="inlineStr">
        <is>
          <t>SC/PC</t>
        </is>
      </c>
      <c r="J429" s="2" t="n"/>
      <c r="K429" s="2" t="n"/>
      <c r="L429" s="2" t="n"/>
      <c r="M429" s="2" t="n"/>
      <c r="N429" s="2" t="n"/>
      <c r="O429" s="2" t="n">
        <v>5</v>
      </c>
      <c r="P429" s="2" t="n"/>
      <c r="Q429" s="2" t="n"/>
      <c r="R429" s="2" t="n"/>
      <c r="S429" s="2" t="n"/>
      <c r="T429" s="2" t="n"/>
      <c r="U429" s="2" t="n">
        <v>30</v>
      </c>
      <c r="V429" s="2">
        <f>SUM(J429:U429)</f>
        <v/>
      </c>
      <c r="W429" s="2" t="n"/>
      <c r="X429" s="2" t="n"/>
      <c r="Y429" s="2" t="n"/>
      <c r="Z429" s="2" t="n"/>
      <c r="AA429" s="2" t="n">
        <v>70</v>
      </c>
      <c r="AB429" s="2" t="n">
        <v>70</v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>
        <f>IF(F429=1,V429*2,IF(F429=2,V429*F429*2,IF(F429&gt;2,F429*2*V429)))</f>
        <v/>
      </c>
      <c r="AW429" s="2">
        <f>SUM(W429:AU429)</f>
        <v/>
      </c>
    </row>
    <row r="430">
      <c r="A430" s="2" t="inlineStr">
        <is>
          <t>14-K-367</t>
        </is>
      </c>
      <c r="B430" s="3" t="inlineStr">
        <is>
          <t>OJC-A1-SC/SC-SM-45-PC/PC-SP</t>
        </is>
      </c>
      <c r="C430" s="2" t="inlineStr">
        <is>
          <t>K9089026</t>
        </is>
      </c>
      <c r="D430" s="2" t="inlineStr">
        <is>
          <t>a1</t>
        </is>
      </c>
      <c r="E430" s="2" t="inlineStr">
        <is>
          <t>2.0mm</t>
        </is>
      </c>
      <c r="F430" s="2" t="n">
        <v>1</v>
      </c>
      <c r="G430" s="2" t="n">
        <v>45</v>
      </c>
      <c r="H430" s="2" t="inlineStr">
        <is>
          <t>SC/PC</t>
        </is>
      </c>
      <c r="I430" s="2" t="inlineStr">
        <is>
          <t>SC/PC</t>
        </is>
      </c>
      <c r="J430" s="2" t="n"/>
      <c r="K430" s="2" t="n"/>
      <c r="L430" s="2" t="n"/>
      <c r="M430" s="2" t="n"/>
      <c r="N430" s="2" t="n"/>
      <c r="O430" s="2" t="n"/>
      <c r="P430" s="2" t="n"/>
      <c r="Q430" s="2" t="n">
        <v>15</v>
      </c>
      <c r="R430" s="2" t="n"/>
      <c r="S430" s="2" t="n"/>
      <c r="T430" s="2" t="n"/>
      <c r="U430" s="2" t="n">
        <v>30</v>
      </c>
      <c r="V430" s="2">
        <f>SUM(J430:U430)</f>
        <v/>
      </c>
      <c r="W430" s="2" t="n"/>
      <c r="X430" s="2" t="n"/>
      <c r="Y430" s="2" t="n"/>
      <c r="Z430" s="2" t="n"/>
      <c r="AA430" s="2" t="n">
        <v>90</v>
      </c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>
        <f>IF(F430=1,V430*2,IF(F430=2,V430*F430*2,IF(F430&gt;2,F430*2*V430)))</f>
        <v/>
      </c>
      <c r="AW430" s="2">
        <f>SUM(W430:AU430)</f>
        <v/>
      </c>
    </row>
    <row r="431">
      <c r="A431" s="2" t="inlineStr">
        <is>
          <t>14-K-367</t>
        </is>
      </c>
      <c r="B431" s="3" t="inlineStr">
        <is>
          <t>OJC-A1-SC/SC-SM-45-PC/PC-SP</t>
        </is>
      </c>
      <c r="C431" s="2" t="inlineStr">
        <is>
          <t>K9089026, 녹색</t>
        </is>
      </c>
      <c r="D431" s="2" t="inlineStr">
        <is>
          <t>a1-녹</t>
        </is>
      </c>
      <c r="E431" s="2" t="inlineStr">
        <is>
          <t>2.0mm</t>
        </is>
      </c>
      <c r="F431" s="2" t="n">
        <v>1</v>
      </c>
      <c r="G431" s="2" t="n">
        <v>45</v>
      </c>
      <c r="H431" s="2" t="inlineStr">
        <is>
          <t>SC/PC</t>
        </is>
      </c>
      <c r="I431" s="2" t="inlineStr">
        <is>
          <t>SC/PC</t>
        </is>
      </c>
      <c r="J431" s="2" t="n"/>
      <c r="K431" s="2" t="n"/>
      <c r="L431" s="2" t="n">
        <v>50</v>
      </c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>
        <f>SUM(J431:U431)</f>
        <v/>
      </c>
      <c r="W431" s="2" t="n"/>
      <c r="X431" s="2" t="n"/>
      <c r="Y431" s="2" t="n"/>
      <c r="Z431" s="2" t="n"/>
      <c r="AA431" s="2" t="n">
        <v>100</v>
      </c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>
        <f>IF(F431=1,V431*2,IF(F431=2,V431*F431*2,IF(F431&gt;2,F431*2*V431)))</f>
        <v/>
      </c>
      <c r="AW431" s="2">
        <f>SUM(W431:AU431)</f>
        <v/>
      </c>
    </row>
    <row r="432">
      <c r="A432" s="2" t="inlineStr">
        <is>
          <t>14-K-368</t>
        </is>
      </c>
      <c r="B432" s="3" t="inlineStr">
        <is>
          <t>OJC-A1-SC/SC-SM-4-PC/PC-DP</t>
        </is>
      </c>
      <c r="C432" s="2" t="inlineStr">
        <is>
          <t>K9089126</t>
        </is>
      </c>
      <c r="D432" s="2" t="inlineStr">
        <is>
          <t>a1</t>
        </is>
      </c>
      <c r="E432" s="2" t="inlineStr">
        <is>
          <t>2.0mm</t>
        </is>
      </c>
      <c r="F432" s="2" t="n">
        <v>2</v>
      </c>
      <c r="G432" s="2" t="n">
        <v>4</v>
      </c>
      <c r="H432" s="2" t="inlineStr">
        <is>
          <t>SC/PC</t>
        </is>
      </c>
      <c r="I432" s="2" t="inlineStr">
        <is>
          <t>SC/PC</t>
        </is>
      </c>
      <c r="J432" s="2" t="n"/>
      <c r="K432" s="2" t="n"/>
      <c r="L432" s="2" t="n"/>
      <c r="M432" s="2" t="n">
        <v>500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>
        <f>SUM(J432:U432)</f>
        <v/>
      </c>
      <c r="W432" s="2" t="n"/>
      <c r="X432" s="2" t="n"/>
      <c r="Y432" s="2" t="n"/>
      <c r="Z432" s="2" t="n"/>
      <c r="AA432" s="2" t="n">
        <v>1000</v>
      </c>
      <c r="AB432" s="2" t="n">
        <v>1000</v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>
        <f>IF(F432=1,V432*2,IF(F432=2,V432*F432*2,IF(F432&gt;2,F432*2*V432)))</f>
        <v/>
      </c>
      <c r="AW432" s="2">
        <f>SUM(W432:AU432)</f>
        <v/>
      </c>
    </row>
    <row r="433">
      <c r="A433" s="2" t="inlineStr">
        <is>
          <t>14-K-369</t>
        </is>
      </c>
      <c r="B433" s="3" t="inlineStr">
        <is>
          <t>OJC-A1-SC/SC-SM-4-PC/PC-SP</t>
        </is>
      </c>
      <c r="C433" s="2" t="inlineStr">
        <is>
          <t>K9088997</t>
        </is>
      </c>
      <c r="D433" s="2" t="inlineStr">
        <is>
          <t>a1</t>
        </is>
      </c>
      <c r="E433" s="2" t="inlineStr">
        <is>
          <t>2.0mm</t>
        </is>
      </c>
      <c r="F433" s="2" t="n">
        <v>1</v>
      </c>
      <c r="G433" s="2" t="n">
        <v>4</v>
      </c>
      <c r="H433" s="2" t="inlineStr">
        <is>
          <t>SC/PC</t>
        </is>
      </c>
      <c r="I433" s="2" t="inlineStr">
        <is>
          <t>SC/PC</t>
        </is>
      </c>
      <c r="J433" s="2" t="n"/>
      <c r="K433" s="2" t="n"/>
      <c r="L433" s="2" t="n"/>
      <c r="M433" s="2" t="n"/>
      <c r="N433" s="2" t="n"/>
      <c r="O433" s="2" t="n"/>
      <c r="P433" s="2" t="n"/>
      <c r="Q433" s="2" t="n">
        <v>20</v>
      </c>
      <c r="R433" s="2" t="n"/>
      <c r="S433" s="2" t="n"/>
      <c r="T433" s="2" t="n"/>
      <c r="U433" s="2" t="n"/>
      <c r="V433" s="2">
        <f>SUM(J433:U433)</f>
        <v/>
      </c>
      <c r="W433" s="2" t="n"/>
      <c r="X433" s="2" t="n"/>
      <c r="Y433" s="2" t="n"/>
      <c r="Z433" s="2" t="n"/>
      <c r="AA433" s="2" t="n">
        <v>40</v>
      </c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>
        <f>IF(F433=1,V433*2,IF(F433=2,V433*F433*2,IF(F433&gt;2,F433*2*V433)))</f>
        <v/>
      </c>
      <c r="AW433" s="2">
        <f>SUM(W433:AU433)</f>
        <v/>
      </c>
    </row>
    <row r="434">
      <c r="A434" s="2" t="inlineStr">
        <is>
          <t>14-K-371</t>
        </is>
      </c>
      <c r="B434" s="3" t="inlineStr">
        <is>
          <t>OJC-A1-SC/SC-SM-50-PC/PC-DP</t>
        </is>
      </c>
      <c r="C434" s="2" t="inlineStr">
        <is>
          <t>K9089156</t>
        </is>
      </c>
      <c r="D434" s="2" t="inlineStr">
        <is>
          <t>a1</t>
        </is>
      </c>
      <c r="E434" s="2" t="inlineStr">
        <is>
          <t>2.0mm</t>
        </is>
      </c>
      <c r="F434" s="2" t="n">
        <v>2</v>
      </c>
      <c r="G434" s="2" t="n">
        <v>50</v>
      </c>
      <c r="H434" s="2" t="inlineStr">
        <is>
          <t>SC/PC</t>
        </is>
      </c>
      <c r="I434" s="2" t="inlineStr">
        <is>
          <t>SC/PC</t>
        </is>
      </c>
      <c r="J434" s="2" t="n"/>
      <c r="K434" s="2" t="n"/>
      <c r="L434" s="2" t="n"/>
      <c r="M434" s="2" t="n"/>
      <c r="N434" s="2" t="n"/>
      <c r="O434" s="2" t="n">
        <v>32</v>
      </c>
      <c r="P434" s="2" t="n"/>
      <c r="Q434" s="2" t="n"/>
      <c r="R434" s="2" t="n"/>
      <c r="S434" s="2" t="n"/>
      <c r="T434" s="2" t="n"/>
      <c r="U434" s="2" t="n"/>
      <c r="V434" s="2">
        <f>SUM(J434:U434)</f>
        <v/>
      </c>
      <c r="W434" s="2" t="n"/>
      <c r="X434" s="2" t="n"/>
      <c r="Y434" s="2" t="n"/>
      <c r="Z434" s="2" t="n"/>
      <c r="AA434" s="2" t="n">
        <v>64</v>
      </c>
      <c r="AB434" s="2" t="n">
        <v>64</v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>
        <f>IF(F434=1,V434*2,IF(F434=2,V434*F434*2,IF(F434&gt;2,F434*2*V434)))</f>
        <v/>
      </c>
      <c r="AW434" s="2">
        <f>SUM(W434:AU434)</f>
        <v/>
      </c>
    </row>
    <row r="435">
      <c r="A435" s="2" t="inlineStr">
        <is>
          <t>14-K-372</t>
        </is>
      </c>
      <c r="B435" s="3" t="inlineStr">
        <is>
          <t>OJC-A1-SC/SC-SM-50-PC/PC-SP</t>
        </is>
      </c>
      <c r="C435" s="2" t="inlineStr">
        <is>
          <t>K9089027</t>
        </is>
      </c>
      <c r="D435" s="2" t="inlineStr">
        <is>
          <t>a1</t>
        </is>
      </c>
      <c r="E435" s="2" t="inlineStr">
        <is>
          <t>2.0mm</t>
        </is>
      </c>
      <c r="F435" s="2" t="n">
        <v>1</v>
      </c>
      <c r="G435" s="2" t="n">
        <v>50</v>
      </c>
      <c r="H435" s="2" t="inlineStr">
        <is>
          <t>SC/PC</t>
        </is>
      </c>
      <c r="I435" s="2" t="inlineStr">
        <is>
          <t>SC/PC</t>
        </is>
      </c>
      <c r="J435" s="2" t="n">
        <v>30</v>
      </c>
      <c r="K435" s="2" t="n"/>
      <c r="L435" s="2" t="n"/>
      <c r="M435" s="2" t="n"/>
      <c r="N435" s="2" t="n"/>
      <c r="O435" s="2" t="n">
        <v>15</v>
      </c>
      <c r="P435" s="2" t="n"/>
      <c r="Q435" s="2" t="n"/>
      <c r="R435" s="2" t="n"/>
      <c r="S435" s="2" t="n">
        <v>100</v>
      </c>
      <c r="T435" s="2" t="n"/>
      <c r="U435" s="2" t="n"/>
      <c r="V435" s="2">
        <f>SUM(J435:U435)</f>
        <v/>
      </c>
      <c r="W435" s="2" t="n"/>
      <c r="X435" s="2" t="n"/>
      <c r="Y435" s="2" t="n"/>
      <c r="Z435" s="2" t="n"/>
      <c r="AA435" s="2" t="n">
        <v>290</v>
      </c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>
        <f>IF(F435=1,V435*2,IF(F435=2,V435*F435*2,IF(F435&gt;2,F435*2*V435)))</f>
        <v/>
      </c>
      <c r="AW435" s="2">
        <f>SUM(W435:AU435)</f>
        <v/>
      </c>
    </row>
    <row r="436">
      <c r="A436" s="2" t="inlineStr">
        <is>
          <t>14-K-374</t>
        </is>
      </c>
      <c r="B436" s="3" t="inlineStr">
        <is>
          <t>OJC-A1-SC/SC-SM-5-APC/APC-DP</t>
        </is>
      </c>
      <c r="C436" s="2" t="inlineStr"/>
      <c r="D436" s="2" t="inlineStr">
        <is>
          <t>a1</t>
        </is>
      </c>
      <c r="E436" s="2" t="inlineStr">
        <is>
          <t>2.0mm</t>
        </is>
      </c>
      <c r="F436" s="2" t="n">
        <v>2</v>
      </c>
      <c r="G436" s="2" t="n">
        <v>5</v>
      </c>
      <c r="H436" s="2" t="inlineStr">
        <is>
          <t>SC/APC</t>
        </is>
      </c>
      <c r="I436" s="2" t="inlineStr">
        <is>
          <t>SC/APC</t>
        </is>
      </c>
      <c r="J436" s="2" t="n"/>
      <c r="K436" s="2" t="n"/>
      <c r="L436" s="2" t="n"/>
      <c r="M436" s="2" t="n">
        <v>30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>
        <f>SUM(J436:U436)</f>
        <v/>
      </c>
      <c r="W436" s="2" t="n"/>
      <c r="X436" s="2" t="n"/>
      <c r="Y436" s="2" t="n"/>
      <c r="Z436" s="2" t="n"/>
      <c r="AA436" s="2" t="n"/>
      <c r="AB436" s="2" t="n"/>
      <c r="AC436" s="2" t="n">
        <v>60</v>
      </c>
      <c r="AD436" s="2" t="n">
        <v>60</v>
      </c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>
        <f>IF(F436=1,V436*2,IF(F436=2,V436*F436*2,IF(F436&gt;2,F436*2*V436)))</f>
        <v/>
      </c>
      <c r="AW436" s="2">
        <f>SUM(W436:AU436)</f>
        <v/>
      </c>
    </row>
    <row r="437">
      <c r="A437" s="2" t="inlineStr">
        <is>
          <t>14-K-377</t>
        </is>
      </c>
      <c r="B437" s="3" t="inlineStr">
        <is>
          <t>OJC-A1-SC/SC-SM-5-PC/APC-SP</t>
        </is>
      </c>
      <c r="C437" s="2" t="inlineStr">
        <is>
          <t>K9089058</t>
        </is>
      </c>
      <c r="D437" s="2" t="inlineStr">
        <is>
          <t>a1</t>
        </is>
      </c>
      <c r="E437" s="2" t="inlineStr">
        <is>
          <t>2.0mm</t>
        </is>
      </c>
      <c r="F437" s="2" t="n">
        <v>1</v>
      </c>
      <c r="G437" s="2" t="n">
        <v>5</v>
      </c>
      <c r="H437" s="2" t="inlineStr">
        <is>
          <t>SC/PC</t>
        </is>
      </c>
      <c r="I437" s="2" t="inlineStr">
        <is>
          <t>SC/APC</t>
        </is>
      </c>
      <c r="J437" s="2" t="n"/>
      <c r="K437" s="2" t="n">
        <v>31</v>
      </c>
      <c r="L437" s="2" t="n">
        <v>7</v>
      </c>
      <c r="M437" s="2" t="n"/>
      <c r="N437" s="2" t="n">
        <v>100</v>
      </c>
      <c r="O437" s="2" t="n"/>
      <c r="P437" s="2" t="n"/>
      <c r="Q437" s="2" t="n">
        <v>11</v>
      </c>
      <c r="R437" s="2" t="n"/>
      <c r="S437" s="2" t="n"/>
      <c r="T437" s="2" t="n"/>
      <c r="U437" s="2" t="n"/>
      <c r="V437" s="2">
        <f>SUM(J437:U437)</f>
        <v/>
      </c>
      <c r="W437" s="2" t="n"/>
      <c r="X437" s="2" t="n"/>
      <c r="Y437" s="2" t="n"/>
      <c r="Z437" s="2" t="n"/>
      <c r="AA437" s="2" t="n">
        <v>149</v>
      </c>
      <c r="AB437" s="2" t="n"/>
      <c r="AC437" s="2" t="n">
        <v>149</v>
      </c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>
        <f>IF(F437=1,V437*2,IF(F437=2,V437*F437*2,IF(F437&gt;2,F437*2*V437)))</f>
        <v/>
      </c>
      <c r="AW437" s="2">
        <f>SUM(W437:AU437)</f>
        <v/>
      </c>
    </row>
    <row r="438">
      <c r="A438" s="2" t="inlineStr">
        <is>
          <t>14-K-378</t>
        </is>
      </c>
      <c r="B438" s="3" t="inlineStr">
        <is>
          <t>OJC-A1-SC/SC-SM-5-PC/PC-DP</t>
        </is>
      </c>
      <c r="C438" s="2" t="inlineStr">
        <is>
          <t>K9089127</t>
        </is>
      </c>
      <c r="D438" s="2" t="inlineStr">
        <is>
          <t>a1</t>
        </is>
      </c>
      <c r="E438" s="2" t="inlineStr">
        <is>
          <t>2.0mm</t>
        </is>
      </c>
      <c r="F438" s="2" t="n">
        <v>2</v>
      </c>
      <c r="G438" s="2" t="n">
        <v>5</v>
      </c>
      <c r="H438" s="2" t="inlineStr">
        <is>
          <t>SC/PC</t>
        </is>
      </c>
      <c r="I438" s="2" t="inlineStr">
        <is>
          <t>SC/PC</t>
        </is>
      </c>
      <c r="J438" s="2" t="n"/>
      <c r="K438" s="2" t="n"/>
      <c r="L438" s="2" t="n"/>
      <c r="M438" s="2" t="n">
        <v>360</v>
      </c>
      <c r="N438" s="2" t="n">
        <v>500</v>
      </c>
      <c r="O438" s="2" t="n">
        <v>350</v>
      </c>
      <c r="P438" s="2" t="n"/>
      <c r="Q438" s="2" t="n"/>
      <c r="R438" s="2" t="n"/>
      <c r="S438" s="2" t="n"/>
      <c r="T438" s="2" t="n"/>
      <c r="U438" s="2" t="n"/>
      <c r="V438" s="2">
        <f>SUM(J438:U438)</f>
        <v/>
      </c>
      <c r="W438" s="2" t="n"/>
      <c r="X438" s="2" t="n"/>
      <c r="Y438" s="2" t="n"/>
      <c r="Z438" s="2" t="n"/>
      <c r="AA438" s="2" t="n">
        <v>2420</v>
      </c>
      <c r="AB438" s="2" t="n">
        <v>2420</v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>
        <f>IF(F438=1,V438*2,IF(F438=2,V438*F438*2,IF(F438&gt;2,F438*2*V438)))</f>
        <v/>
      </c>
      <c r="AW438" s="2">
        <f>SUM(W438:AU438)</f>
        <v/>
      </c>
    </row>
    <row r="439">
      <c r="A439" s="2" t="inlineStr">
        <is>
          <t>14-K-380</t>
        </is>
      </c>
      <c r="B439" s="3" t="inlineStr">
        <is>
          <t>OJC-A1-SC/SC-SM-60-PC/PC-DP</t>
        </is>
      </c>
      <c r="C439" s="2" t="inlineStr">
        <is>
          <t>K9089123</t>
        </is>
      </c>
      <c r="D439" s="2" t="inlineStr">
        <is>
          <t>a1</t>
        </is>
      </c>
      <c r="E439" s="2" t="inlineStr">
        <is>
          <t>2.0mm</t>
        </is>
      </c>
      <c r="F439" s="2" t="n">
        <v>2</v>
      </c>
      <c r="G439" s="2" t="n">
        <v>60</v>
      </c>
      <c r="H439" s="2" t="inlineStr">
        <is>
          <t>SC/PC</t>
        </is>
      </c>
      <c r="I439" s="2" t="inlineStr">
        <is>
          <t>SC/PC</t>
        </is>
      </c>
      <c r="J439" s="2" t="n"/>
      <c r="K439" s="2" t="n"/>
      <c r="L439" s="2" t="n"/>
      <c r="M439" s="2" t="n"/>
      <c r="N439" s="2" t="n"/>
      <c r="O439" s="2" t="n">
        <v>3</v>
      </c>
      <c r="P439" s="2" t="n"/>
      <c r="Q439" s="2" t="n"/>
      <c r="R439" s="2" t="n"/>
      <c r="S439" s="2" t="n"/>
      <c r="T439" s="2" t="n"/>
      <c r="U439" s="2" t="n"/>
      <c r="V439" s="2">
        <f>SUM(J439:U439)</f>
        <v/>
      </c>
      <c r="W439" s="2" t="n"/>
      <c r="X439" s="2" t="n"/>
      <c r="Y439" s="2" t="n"/>
      <c r="Z439" s="2" t="n"/>
      <c r="AA439" s="2" t="n">
        <v>6</v>
      </c>
      <c r="AB439" s="2" t="n">
        <v>6</v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>
        <f>IF(F439=1,V439*2,IF(F439=2,V439*F439*2,IF(F439&gt;2,F439*2*V439)))</f>
        <v/>
      </c>
      <c r="AW439" s="2">
        <f>SUM(W439:AU439)</f>
        <v/>
      </c>
    </row>
    <row r="440">
      <c r="A440" s="2" t="inlineStr">
        <is>
          <t>14-K-385</t>
        </is>
      </c>
      <c r="B440" s="3" t="inlineStr">
        <is>
          <t>OJC-A1-SC/SC-SM-6-PC/PC-SP</t>
        </is>
      </c>
      <c r="C440" s="2" t="inlineStr">
        <is>
          <t>K9088999</t>
        </is>
      </c>
      <c r="D440" s="2" t="inlineStr">
        <is>
          <t>a1</t>
        </is>
      </c>
      <c r="E440" s="2" t="inlineStr">
        <is>
          <t>2.0mm</t>
        </is>
      </c>
      <c r="F440" s="2" t="n">
        <v>1</v>
      </c>
      <c r="G440" s="2" t="n">
        <v>6</v>
      </c>
      <c r="H440" s="2" t="inlineStr">
        <is>
          <t>SC/PC</t>
        </is>
      </c>
      <c r="I440" s="2" t="inlineStr">
        <is>
          <t>SC/PC</t>
        </is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>
        <v>200</v>
      </c>
      <c r="U440" s="2" t="n"/>
      <c r="V440" s="2">
        <f>SUM(J440:U440)</f>
        <v/>
      </c>
      <c r="W440" s="2" t="n"/>
      <c r="X440" s="2" t="n"/>
      <c r="Y440" s="2" t="n"/>
      <c r="Z440" s="2" t="n"/>
      <c r="AA440" s="2" t="n">
        <v>400</v>
      </c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>
        <f>IF(F440=1,V440*2,IF(F440=2,V440*F440*2,IF(F440&gt;2,F440*2*V440)))</f>
        <v/>
      </c>
      <c r="AW440" s="2">
        <f>SUM(W440:AU440)</f>
        <v/>
      </c>
    </row>
    <row r="441">
      <c r="A441" s="2" t="inlineStr">
        <is>
          <t>14-K-388</t>
        </is>
      </c>
      <c r="B441" s="3" t="inlineStr">
        <is>
          <t>OJC-A1-SC/SC-SM-7-PC/PC-DP</t>
        </is>
      </c>
      <c r="C441" s="2" t="inlineStr">
        <is>
          <t>K9089129</t>
        </is>
      </c>
      <c r="D441" s="2" t="inlineStr">
        <is>
          <t>a1</t>
        </is>
      </c>
      <c r="E441" s="2" t="inlineStr">
        <is>
          <t>2.0mm</t>
        </is>
      </c>
      <c r="F441" s="2" t="n">
        <v>2</v>
      </c>
      <c r="G441" s="2" t="n">
        <v>7</v>
      </c>
      <c r="H441" s="2" t="inlineStr">
        <is>
          <t>SC/PC</t>
        </is>
      </c>
      <c r="I441" s="2" t="inlineStr">
        <is>
          <t>SC/PC</t>
        </is>
      </c>
      <c r="J441" s="2" t="n"/>
      <c r="K441" s="2" t="n"/>
      <c r="L441" s="2" t="n"/>
      <c r="M441" s="2" t="n"/>
      <c r="N441" s="2" t="n">
        <v>286</v>
      </c>
      <c r="O441" s="2" t="n"/>
      <c r="P441" s="2" t="n"/>
      <c r="Q441" s="2" t="n"/>
      <c r="R441" s="2" t="n"/>
      <c r="S441" s="2" t="n"/>
      <c r="T441" s="2" t="n">
        <v>104</v>
      </c>
      <c r="U441" s="2" t="n"/>
      <c r="V441" s="2">
        <f>SUM(J441:U441)</f>
        <v/>
      </c>
      <c r="W441" s="2" t="n"/>
      <c r="X441" s="2" t="n"/>
      <c r="Y441" s="2" t="n"/>
      <c r="Z441" s="2" t="n"/>
      <c r="AA441" s="2" t="n">
        <v>780</v>
      </c>
      <c r="AB441" s="2" t="n">
        <v>780</v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>
        <f>IF(F441=1,V441*2,IF(F441=2,V441*F441*2,IF(F441&gt;2,F441*2*V441)))</f>
        <v/>
      </c>
      <c r="AW441" s="2">
        <f>SUM(W441:AU441)</f>
        <v/>
      </c>
    </row>
    <row r="442">
      <c r="A442" s="2" t="inlineStr">
        <is>
          <t>14-K-389</t>
        </is>
      </c>
      <c r="B442" s="3" t="inlineStr">
        <is>
          <t>OJC-A1-SC/SC-SM-7-PC/PC-SP</t>
        </is>
      </c>
      <c r="C442" s="2" t="inlineStr">
        <is>
          <t>K9089000</t>
        </is>
      </c>
      <c r="D442" s="2" t="inlineStr">
        <is>
          <t>a1</t>
        </is>
      </c>
      <c r="E442" s="2" t="inlineStr">
        <is>
          <t>2.0mm</t>
        </is>
      </c>
      <c r="F442" s="2" t="n">
        <v>1</v>
      </c>
      <c r="G442" s="2" t="n">
        <v>7</v>
      </c>
      <c r="H442" s="2" t="inlineStr">
        <is>
          <t>SC/PC</t>
        </is>
      </c>
      <c r="I442" s="2" t="inlineStr">
        <is>
          <t>SC/PC</t>
        </is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>
        <v>29</v>
      </c>
      <c r="U442" s="2" t="n"/>
      <c r="V442" s="2">
        <f>SUM(J442:U442)</f>
        <v/>
      </c>
      <c r="W442" s="2" t="n"/>
      <c r="X442" s="2" t="n"/>
      <c r="Y442" s="2" t="n"/>
      <c r="Z442" s="2" t="n"/>
      <c r="AA442" s="2" t="n">
        <v>58</v>
      </c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>
        <f>IF(F442=1,V442*2,IF(F442=2,V442*F442*2,IF(F442&gt;2,F442*2*V442)))</f>
        <v/>
      </c>
      <c r="AW442" s="2">
        <f>SUM(W442:AU442)</f>
        <v/>
      </c>
    </row>
    <row r="443">
      <c r="A443" s="2" t="inlineStr">
        <is>
          <t>14-K-392</t>
        </is>
      </c>
      <c r="B443" s="3" t="inlineStr">
        <is>
          <t>OJC-A1-SC/SC-SM-8-PC/PC-DP</t>
        </is>
      </c>
      <c r="C443" s="2" t="inlineStr">
        <is>
          <t>K9089130</t>
        </is>
      </c>
      <c r="D443" s="2" t="inlineStr">
        <is>
          <t>a1</t>
        </is>
      </c>
      <c r="E443" s="2" t="inlineStr">
        <is>
          <t>2.0mm</t>
        </is>
      </c>
      <c r="F443" s="2" t="n">
        <v>2</v>
      </c>
      <c r="G443" s="2" t="n">
        <v>8</v>
      </c>
      <c r="H443" s="2" t="inlineStr">
        <is>
          <t>SC/PC</t>
        </is>
      </c>
      <c r="I443" s="2" t="inlineStr">
        <is>
          <t>SC/PC</t>
        </is>
      </c>
      <c r="J443" s="2" t="n"/>
      <c r="K443" s="2" t="n"/>
      <c r="L443" s="2" t="n">
        <v>200</v>
      </c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>
        <f>SUM(J443:U443)</f>
        <v/>
      </c>
      <c r="W443" s="2" t="n"/>
      <c r="X443" s="2" t="n"/>
      <c r="Y443" s="2" t="n"/>
      <c r="Z443" s="2" t="n"/>
      <c r="AA443" s="2" t="n">
        <v>400</v>
      </c>
      <c r="AB443" s="2" t="n">
        <v>400</v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>
        <f>IF(F443=1,V443*2,IF(F443=2,V443*F443*2,IF(F443&gt;2,F443*2*V443)))</f>
        <v/>
      </c>
      <c r="AW443" s="2">
        <f>SUM(W443:AU443)</f>
        <v/>
      </c>
    </row>
    <row r="444">
      <c r="A444" s="2" t="inlineStr">
        <is>
          <t>14-K-414</t>
        </is>
      </c>
      <c r="B444" s="3" t="inlineStr">
        <is>
          <t>OJC-A1-SC/LC-SM-3-APC/PC-SP</t>
        </is>
      </c>
      <c r="C444" s="2" t="inlineStr"/>
      <c r="D444" s="2" t="inlineStr">
        <is>
          <t>a1</t>
        </is>
      </c>
      <c r="E444" s="2" t="inlineStr">
        <is>
          <t>2.0mm</t>
        </is>
      </c>
      <c r="F444" s="2" t="n">
        <v>1</v>
      </c>
      <c r="G444" s="2" t="n">
        <v>3</v>
      </c>
      <c r="H444" s="2" t="inlineStr">
        <is>
          <t>SC/APC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>
        <v>1</v>
      </c>
      <c r="U444" s="2" t="n"/>
      <c r="V444" s="2">
        <f>SUM(J444:U444)</f>
        <v/>
      </c>
      <c r="W444" s="2" t="n">
        <v>1</v>
      </c>
      <c r="X444" s="2" t="n"/>
      <c r="Y444" s="2" t="n"/>
      <c r="Z444" s="2" t="n"/>
      <c r="AA444" s="2" t="n"/>
      <c r="AB444" s="2" t="n"/>
      <c r="AC444" s="2" t="n">
        <v>1</v>
      </c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>
        <f>IF(F444=1,V444*2,IF(F444=2,V444*F444*2,IF(F444&gt;2,F444*2*V444)))</f>
        <v/>
      </c>
      <c r="AW444" s="2">
        <f>SUM(W444:AU444)</f>
        <v/>
      </c>
    </row>
    <row r="445">
      <c r="A445" s="2" t="inlineStr">
        <is>
          <t>14-K-425</t>
        </is>
      </c>
      <c r="B445" s="3" t="inlineStr">
        <is>
          <t>OJC-C2-SC/LC-SM-10-PC/PC-12C</t>
        </is>
      </c>
      <c r="C445" s="2" t="inlineStr">
        <is>
          <t>K9089468</t>
        </is>
      </c>
      <c r="D445" s="2" t="inlineStr">
        <is>
          <t>a1-12c</t>
        </is>
      </c>
      <c r="E445" s="2" t="inlineStr">
        <is>
          <t>2.0mm</t>
        </is>
      </c>
      <c r="F445" s="2" t="n">
        <v>12</v>
      </c>
      <c r="G445" s="2" t="n">
        <v>10</v>
      </c>
      <c r="H445" s="2" t="inlineStr">
        <is>
          <t>SC/PC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>
        <v>2</v>
      </c>
      <c r="S445" s="2" t="n"/>
      <c r="T445" s="2" t="n"/>
      <c r="U445" s="2" t="n"/>
      <c r="V445" s="2">
        <f>SUM(J445:U445)</f>
        <v/>
      </c>
      <c r="W445" s="2" t="n">
        <v>24</v>
      </c>
      <c r="X445" s="2" t="n"/>
      <c r="Y445" s="2" t="n"/>
      <c r="Z445" s="2" t="n"/>
      <c r="AA445" s="2" t="n">
        <v>24</v>
      </c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>
        <f>IF(F445=1,V445*2,IF(F445=2,V445*F445*2,IF(F445&gt;2,F445*2*V445)))</f>
        <v/>
      </c>
      <c r="AW445" s="2">
        <f>SUM(W445:AU445)</f>
        <v/>
      </c>
    </row>
    <row r="446">
      <c r="A446" s="2" t="inlineStr">
        <is>
          <t>14-K-429</t>
        </is>
      </c>
      <c r="B446" s="3" t="inlineStr">
        <is>
          <t>OJC-C2-SC/LC-SM-15-PC/PC-20C</t>
        </is>
      </c>
      <c r="C446" s="2" t="inlineStr">
        <is>
          <t>K9094344</t>
        </is>
      </c>
      <c r="D446" s="2" t="inlineStr">
        <is>
          <t>a1-20c</t>
        </is>
      </c>
      <c r="E446" s="2" t="inlineStr">
        <is>
          <t>2.0mm</t>
        </is>
      </c>
      <c r="F446" s="2" t="n">
        <v>20</v>
      </c>
      <c r="G446" s="2" t="n">
        <v>15</v>
      </c>
      <c r="H446" s="2" t="inlineStr">
        <is>
          <t>SC/PC</t>
        </is>
      </c>
      <c r="I446" s="2" t="inlineStr">
        <is>
          <t>LC/PC</t>
        </is>
      </c>
      <c r="J446" s="2" t="n"/>
      <c r="K446" s="2" t="n">
        <v>2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>
        <f>SUM(J446:U446)</f>
        <v/>
      </c>
      <c r="W446" s="2" t="n">
        <v>40</v>
      </c>
      <c r="X446" s="2" t="n"/>
      <c r="Y446" s="2" t="n"/>
      <c r="Z446" s="2" t="n"/>
      <c r="AA446" s="2" t="n">
        <v>40</v>
      </c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>
        <f>IF(F446=1,V446*2,IF(F446=2,V446*F446*2,IF(F446&gt;2,F446*2*V446)))</f>
        <v/>
      </c>
      <c r="AW446" s="2">
        <f>SUM(W446:AU446)</f>
        <v/>
      </c>
    </row>
    <row r="447">
      <c r="A447" s="2" t="inlineStr">
        <is>
          <t>14-K-443</t>
        </is>
      </c>
      <c r="B447" s="3" t="inlineStr">
        <is>
          <t>OJC-C2-SC/LC-SM-25-PC/PC-12C</t>
        </is>
      </c>
      <c r="C447" s="2" t="inlineStr">
        <is>
          <t>K9089468</t>
        </is>
      </c>
      <c r="D447" s="2" t="inlineStr">
        <is>
          <t>a1-12c</t>
        </is>
      </c>
      <c r="E447" s="2" t="inlineStr">
        <is>
          <t>2.0mm</t>
        </is>
      </c>
      <c r="F447" s="2" t="n">
        <v>12</v>
      </c>
      <c r="G447" s="2" t="n">
        <v>25</v>
      </c>
      <c r="H447" s="2" t="inlineStr">
        <is>
          <t>SC/PC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2</v>
      </c>
      <c r="S447" s="2" t="n"/>
      <c r="T447" s="2" t="n"/>
      <c r="U447" s="2" t="n"/>
      <c r="V447" s="2">
        <f>SUM(J447:U447)</f>
        <v/>
      </c>
      <c r="W447" s="2" t="n">
        <v>24</v>
      </c>
      <c r="X447" s="2" t="n"/>
      <c r="Y447" s="2" t="n"/>
      <c r="Z447" s="2" t="n"/>
      <c r="AA447" s="2" t="n">
        <v>24</v>
      </c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>
        <f>IF(F447=1,V447*2,IF(F447=2,V447*F447*2,IF(F447&gt;2,F447*2*V447)))</f>
        <v/>
      </c>
      <c r="AW447" s="2">
        <f>SUM(W447:AU447)</f>
        <v/>
      </c>
    </row>
    <row r="448">
      <c r="A448" s="2" t="inlineStr">
        <is>
          <t>14-K-450</t>
        </is>
      </c>
      <c r="B448" s="3" t="inlineStr">
        <is>
          <t>OJC-C2-SC/LC-SM-30-PC/PC-12C</t>
        </is>
      </c>
      <c r="C448" s="2" t="inlineStr">
        <is>
          <t>K9089468</t>
        </is>
      </c>
      <c r="D448" s="2" t="inlineStr">
        <is>
          <t>a1-12c</t>
        </is>
      </c>
      <c r="E448" s="2" t="inlineStr">
        <is>
          <t>2.0mm</t>
        </is>
      </c>
      <c r="F448" s="2" t="n">
        <v>12</v>
      </c>
      <c r="G448" s="2" t="n">
        <v>30</v>
      </c>
      <c r="H448" s="2" t="inlineStr">
        <is>
          <t>SC/PC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>
        <v>2</v>
      </c>
      <c r="S448" s="2" t="n"/>
      <c r="T448" s="2" t="n"/>
      <c r="U448" s="2" t="n"/>
      <c r="V448" s="2">
        <f>SUM(J448:U448)</f>
        <v/>
      </c>
      <c r="W448" s="2" t="n">
        <v>24</v>
      </c>
      <c r="X448" s="2" t="n"/>
      <c r="Y448" s="2" t="n"/>
      <c r="Z448" s="2" t="n"/>
      <c r="AA448" s="2" t="n">
        <v>24</v>
      </c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>
        <f>IF(F448=1,V448*2,IF(F448=2,V448*F448*2,IF(F448&gt;2,F448*2*V448)))</f>
        <v/>
      </c>
      <c r="AW448" s="2">
        <f>SUM(W448:AU448)</f>
        <v/>
      </c>
    </row>
    <row r="449">
      <c r="A449" s="2" t="inlineStr">
        <is>
          <t>14-K-456</t>
        </is>
      </c>
      <c r="B449" s="3" t="inlineStr">
        <is>
          <t>OJC-C2-SC/SC-SM-10-PC/PC-12C</t>
        </is>
      </c>
      <c r="C449" s="2" t="inlineStr">
        <is>
          <t>K9089453</t>
        </is>
      </c>
      <c r="D449" s="2" t="inlineStr">
        <is>
          <t>a1-12c</t>
        </is>
      </c>
      <c r="E449" s="2" t="inlineStr">
        <is>
          <t>2.0mm</t>
        </is>
      </c>
      <c r="F449" s="2" t="n">
        <v>12</v>
      </c>
      <c r="G449" s="2" t="n">
        <v>10</v>
      </c>
      <c r="H449" s="2" t="inlineStr">
        <is>
          <t>SC/PC</t>
        </is>
      </c>
      <c r="I449" s="2" t="inlineStr">
        <is>
          <t>SC/PC</t>
        </is>
      </c>
      <c r="J449" s="2" t="n">
        <v>10</v>
      </c>
      <c r="K449" s="2" t="n"/>
      <c r="L449" s="2" t="n"/>
      <c r="M449" s="2" t="n">
        <v>20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>
        <f>SUM(J449:U449)</f>
        <v/>
      </c>
      <c r="W449" s="2" t="n"/>
      <c r="X449" s="2" t="n"/>
      <c r="Y449" s="2" t="n"/>
      <c r="Z449" s="2" t="n"/>
      <c r="AA449" s="2" t="n">
        <v>720</v>
      </c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>
        <f>IF(F449=1,V449*2,IF(F449=2,V449*F449*2,IF(F449&gt;2,F449*2*V449)))</f>
        <v/>
      </c>
      <c r="AW449" s="2">
        <f>SUM(W449:AU449)</f>
        <v/>
      </c>
    </row>
    <row r="450">
      <c r="A450" s="2" t="inlineStr">
        <is>
          <t>14-K-457</t>
        </is>
      </c>
      <c r="B450" s="3" t="inlineStr">
        <is>
          <t>OJC-C2-SC/SC-SM-10-PC/PC-16C</t>
        </is>
      </c>
      <c r="C450" s="2" t="inlineStr">
        <is>
          <t>K9094339</t>
        </is>
      </c>
      <c r="D450" s="2" t="inlineStr">
        <is>
          <t>a1-16c</t>
        </is>
      </c>
      <c r="E450" s="2" t="inlineStr">
        <is>
          <t>2.0mm</t>
        </is>
      </c>
      <c r="F450" s="2" t="n">
        <v>16</v>
      </c>
      <c r="G450" s="2" t="n">
        <v>10</v>
      </c>
      <c r="H450" s="2" t="inlineStr">
        <is>
          <t>SC/PC</t>
        </is>
      </c>
      <c r="I450" s="2" t="inlineStr">
        <is>
          <t>SC/PC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>
        <v>50</v>
      </c>
      <c r="R450" s="2" t="n"/>
      <c r="S450" s="2" t="n"/>
      <c r="T450" s="2" t="n"/>
      <c r="U450" s="2" t="n"/>
      <c r="V450" s="2">
        <f>SUM(J450:U450)</f>
        <v/>
      </c>
      <c r="W450" s="2" t="n"/>
      <c r="X450" s="2" t="n"/>
      <c r="Y450" s="2" t="n"/>
      <c r="Z450" s="2" t="n"/>
      <c r="AA450" s="2" t="n">
        <v>1600</v>
      </c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>
        <f>IF(F450=1,V450*2,IF(F450=2,V450*F450*2,IF(F450&gt;2,F450*2*V450)))</f>
        <v/>
      </c>
      <c r="AW450" s="2">
        <f>SUM(W450:AU450)</f>
        <v/>
      </c>
    </row>
    <row r="451">
      <c r="A451" s="2" t="inlineStr">
        <is>
          <t>14-K-459</t>
        </is>
      </c>
      <c r="B451" s="3" t="inlineStr">
        <is>
          <t>OJC-C2-SC/SC-SM-10-PC/PC-8C</t>
        </is>
      </c>
      <c r="C451" s="2" t="inlineStr">
        <is>
          <t>K9089452</t>
        </is>
      </c>
      <c r="D451" s="2" t="inlineStr">
        <is>
          <t>a1-8c</t>
        </is>
      </c>
      <c r="E451" s="2" t="inlineStr">
        <is>
          <t>2.0mm</t>
        </is>
      </c>
      <c r="F451" s="2" t="n">
        <v>8</v>
      </c>
      <c r="G451" s="2" t="n">
        <v>10</v>
      </c>
      <c r="H451" s="2" t="inlineStr">
        <is>
          <t>SC/PC</t>
        </is>
      </c>
      <c r="I451" s="2" t="inlineStr">
        <is>
          <t>SC/PC</t>
        </is>
      </c>
      <c r="J451" s="2" t="n">
        <v>10</v>
      </c>
      <c r="K451" s="2" t="n">
        <v>15</v>
      </c>
      <c r="L451" s="2" t="n">
        <v>8</v>
      </c>
      <c r="M451" s="2" t="n"/>
      <c r="N451" s="2" t="n"/>
      <c r="O451" s="2" t="n"/>
      <c r="P451" s="2" t="n"/>
      <c r="Q451" s="2" t="n"/>
      <c r="R451" s="2" t="n"/>
      <c r="S451" s="2" t="n"/>
      <c r="T451" s="2" t="n">
        <v>5</v>
      </c>
      <c r="U451" s="2" t="n">
        <v>60</v>
      </c>
      <c r="V451" s="2">
        <f>SUM(J451:U451)</f>
        <v/>
      </c>
      <c r="W451" s="2" t="n"/>
      <c r="X451" s="2" t="n"/>
      <c r="Y451" s="2" t="n"/>
      <c r="Z451" s="2" t="n"/>
      <c r="AA451" s="2" t="n">
        <v>1568</v>
      </c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>
        <f>IF(F451=1,V451*2,IF(F451=2,V451*F451*2,IF(F451&gt;2,F451*2*V451)))</f>
        <v/>
      </c>
      <c r="AW451" s="2">
        <f>SUM(W451:AU451)</f>
        <v/>
      </c>
    </row>
    <row r="452">
      <c r="A452" s="2" t="inlineStr">
        <is>
          <t>14-K-474</t>
        </is>
      </c>
      <c r="B452" s="3" t="inlineStr">
        <is>
          <t>OJC-C2-SC/SC-SM-15-PC/PC-12C</t>
        </is>
      </c>
      <c r="C452" s="2" t="inlineStr">
        <is>
          <t>K9089453</t>
        </is>
      </c>
      <c r="D452" s="2" t="inlineStr">
        <is>
          <t>a1-12c</t>
        </is>
      </c>
      <c r="E452" s="2" t="inlineStr">
        <is>
          <t>2.0mm</t>
        </is>
      </c>
      <c r="F452" s="2" t="n">
        <v>12</v>
      </c>
      <c r="G452" s="2" t="n">
        <v>15</v>
      </c>
      <c r="H452" s="2" t="inlineStr">
        <is>
          <t>SC/PC</t>
        </is>
      </c>
      <c r="I452" s="2" t="inlineStr">
        <is>
          <t>SC/PC</t>
        </is>
      </c>
      <c r="J452" s="2" t="n"/>
      <c r="K452" s="2" t="n"/>
      <c r="L452" s="2" t="n"/>
      <c r="M452" s="2" t="n">
        <v>6</v>
      </c>
      <c r="N452" s="2" t="n"/>
      <c r="O452" s="2" t="n"/>
      <c r="P452" s="2" t="n"/>
      <c r="Q452" s="2" t="n">
        <v>20</v>
      </c>
      <c r="R452" s="2" t="n"/>
      <c r="S452" s="2" t="n"/>
      <c r="T452" s="2" t="n"/>
      <c r="U452" s="2" t="n"/>
      <c r="V452" s="2">
        <f>SUM(J452:U452)</f>
        <v/>
      </c>
      <c r="W452" s="2" t="n"/>
      <c r="X452" s="2" t="n"/>
      <c r="Y452" s="2" t="n"/>
      <c r="Z452" s="2" t="n"/>
      <c r="AA452" s="2" t="n">
        <v>624</v>
      </c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>
        <f>IF(F452=1,V452*2,IF(F452=2,V452*F452*2,IF(F452&gt;2,F452*2*V452)))</f>
        <v/>
      </c>
      <c r="AW452" s="2">
        <f>SUM(W452:AU452)</f>
        <v/>
      </c>
    </row>
    <row r="453">
      <c r="A453" s="2" t="inlineStr">
        <is>
          <t>14-K-533</t>
        </is>
      </c>
      <c r="B453" s="3" t="inlineStr">
        <is>
          <t>OJC-C2-SC/SC-SM-3-PC/PC-16C</t>
        </is>
      </c>
      <c r="C453" s="2" t="inlineStr">
        <is>
          <t>K9094339</t>
        </is>
      </c>
      <c r="D453" s="2" t="inlineStr">
        <is>
          <t>a1-16c</t>
        </is>
      </c>
      <c r="E453" s="2" t="inlineStr">
        <is>
          <t>2.0mm</t>
        </is>
      </c>
      <c r="F453" s="2" t="n">
        <v>16</v>
      </c>
      <c r="G453" s="2" t="n">
        <v>3</v>
      </c>
      <c r="H453" s="2" t="inlineStr">
        <is>
          <t>SC/PC</t>
        </is>
      </c>
      <c r="I453" s="2" t="inlineStr">
        <is>
          <t>SC/PC</t>
        </is>
      </c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>
        <v>200</v>
      </c>
      <c r="S453" s="2" t="n"/>
      <c r="T453" s="2" t="n"/>
      <c r="U453" s="2" t="n"/>
      <c r="V453" s="2">
        <f>SUM(J453:U453)</f>
        <v/>
      </c>
      <c r="W453" s="2" t="n"/>
      <c r="X453" s="2" t="n"/>
      <c r="Y453" s="2" t="n"/>
      <c r="Z453" s="2" t="n"/>
      <c r="AA453" s="2" t="n">
        <v>6400</v>
      </c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>
        <f>IF(F453=1,V453*2,IF(F453=2,V453*F453*2,IF(F453&gt;2,F453*2*V453)))</f>
        <v/>
      </c>
      <c r="AW453" s="2">
        <f>SUM(W453:AU453)</f>
        <v/>
      </c>
    </row>
    <row r="454">
      <c r="A454" s="2" t="inlineStr">
        <is>
          <t>14-K-546</t>
        </is>
      </c>
      <c r="B454" s="3" t="inlineStr">
        <is>
          <t>OJC-C2-SC/SC-SM-50-PC/PC-20C</t>
        </is>
      </c>
      <c r="C454" s="2" t="inlineStr">
        <is>
          <t>K9094342</t>
        </is>
      </c>
      <c r="D454" s="2" t="inlineStr">
        <is>
          <t>a1-20c</t>
        </is>
      </c>
      <c r="E454" s="2" t="inlineStr">
        <is>
          <t>2.0mm</t>
        </is>
      </c>
      <c r="F454" s="2" t="n">
        <v>20</v>
      </c>
      <c r="G454" s="2" t="n">
        <v>50</v>
      </c>
      <c r="H454" s="2" t="inlineStr">
        <is>
          <t>SC/PC</t>
        </is>
      </c>
      <c r="I454" s="2" t="inlineStr">
        <is>
          <t>SC/PC</t>
        </is>
      </c>
      <c r="J454" s="2" t="n"/>
      <c r="K454" s="2" t="n"/>
      <c r="L454" s="2" t="n"/>
      <c r="M454" s="2" t="n"/>
      <c r="N454" s="2" t="n">
        <v>4</v>
      </c>
      <c r="O454" s="2" t="n"/>
      <c r="P454" s="2" t="n"/>
      <c r="Q454" s="2" t="n"/>
      <c r="R454" s="2" t="n"/>
      <c r="S454" s="2" t="n"/>
      <c r="T454" s="2" t="n"/>
      <c r="U454" s="2" t="n"/>
      <c r="V454" s="2">
        <f>SUM(J454:U454)</f>
        <v/>
      </c>
      <c r="W454" s="2" t="n"/>
      <c r="X454" s="2" t="n"/>
      <c r="Y454" s="2" t="n"/>
      <c r="Z454" s="2" t="n"/>
      <c r="AA454" s="2" t="n">
        <v>160</v>
      </c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>
        <f>IF(F454=1,V454*2,IF(F454=2,V454*F454*2,IF(F454&gt;2,F454*2*V454)))</f>
        <v/>
      </c>
      <c r="AW454" s="2">
        <f>SUM(W454:AU454)</f>
        <v/>
      </c>
    </row>
    <row r="455">
      <c r="A455" s="2" t="inlineStr">
        <is>
          <t>14-K-550</t>
        </is>
      </c>
      <c r="B455" s="3" t="inlineStr">
        <is>
          <t>OJC-C2-SC/SC-SM-5-PC/PC-16C</t>
        </is>
      </c>
      <c r="C455" s="2" t="inlineStr">
        <is>
          <t>K9094339</t>
        </is>
      </c>
      <c r="D455" s="2" t="inlineStr">
        <is>
          <t>a1-16c</t>
        </is>
      </c>
      <c r="E455" s="2" t="inlineStr">
        <is>
          <t>2.0mm</t>
        </is>
      </c>
      <c r="F455" s="2" t="n">
        <v>16</v>
      </c>
      <c r="G455" s="2" t="n">
        <v>5</v>
      </c>
      <c r="H455" s="2" t="inlineStr">
        <is>
          <t>SC/PC</t>
        </is>
      </c>
      <c r="I455" s="2" t="inlineStr">
        <is>
          <t>SC/PC</t>
        </is>
      </c>
      <c r="J455" s="2" t="n"/>
      <c r="K455" s="2" t="n"/>
      <c r="L455" s="2" t="n"/>
      <c r="M455" s="2" t="n"/>
      <c r="N455" s="2" t="n"/>
      <c r="O455" s="2" t="n"/>
      <c r="P455" s="2" t="n"/>
      <c r="Q455" s="2" t="n">
        <v>45</v>
      </c>
      <c r="R455" s="2" t="n">
        <v>55</v>
      </c>
      <c r="S455" s="2" t="n">
        <v>44</v>
      </c>
      <c r="T455" s="2" t="n"/>
      <c r="U455" s="2" t="n"/>
      <c r="V455" s="2">
        <f>SUM(J455:U455)</f>
        <v/>
      </c>
      <c r="W455" s="2" t="n"/>
      <c r="X455" s="2" t="n"/>
      <c r="Y455" s="2" t="n"/>
      <c r="Z455" s="2" t="n"/>
      <c r="AA455" s="2" t="n">
        <v>4608</v>
      </c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>
        <f>IF(F455=1,V455*2,IF(F455=2,V455*F455*2,IF(F455&gt;2,F455*2*V455)))</f>
        <v/>
      </c>
      <c r="AW455" s="2">
        <f>SUM(W455:AU455)</f>
        <v/>
      </c>
    </row>
    <row r="456">
      <c r="A456" s="2" t="inlineStr">
        <is>
          <t>14-K-594</t>
        </is>
      </c>
      <c r="B456" s="3" t="inlineStr">
        <is>
          <t>OJC-A1-SC/LC-SM-18-PC/PC-DP</t>
        </is>
      </c>
      <c r="C456" s="2" t="inlineStr"/>
      <c r="D456" s="2" t="inlineStr">
        <is>
          <t>a1</t>
        </is>
      </c>
      <c r="E456" s="2" t="inlineStr">
        <is>
          <t>2.0mm</t>
        </is>
      </c>
      <c r="F456" s="2" t="n">
        <v>2</v>
      </c>
      <c r="G456" s="2" t="n">
        <v>18</v>
      </c>
      <c r="H456" s="2" t="inlineStr">
        <is>
          <t>SC/PC</t>
        </is>
      </c>
      <c r="I456" s="2" t="inlineStr">
        <is>
          <t>LC/PC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>
        <v>50</v>
      </c>
      <c r="T456" s="2" t="n"/>
      <c r="U456" s="2" t="n"/>
      <c r="V456" s="2">
        <f>SUM(J456:U456)</f>
        <v/>
      </c>
      <c r="W456" s="2" t="n"/>
      <c r="X456" s="2" t="n">
        <v>100</v>
      </c>
      <c r="Y456" s="2" t="n"/>
      <c r="Z456" s="2" t="n"/>
      <c r="AA456" s="2" t="n">
        <v>100</v>
      </c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>
        <f>IF(F456=1,V456*2,IF(F456=2,V456*F456*2,IF(F456&gt;2,F456*2*V456)))</f>
        <v/>
      </c>
      <c r="AW456" s="2">
        <f>SUM(W456:AU456)</f>
        <v/>
      </c>
    </row>
    <row r="457">
      <c r="A457" s="2" t="inlineStr">
        <is>
          <t>14-K-604</t>
        </is>
      </c>
      <c r="B457" s="3" t="inlineStr">
        <is>
          <t>OJC-A1-SC/SC-SM-1.5-PC/PC-DP</t>
        </is>
      </c>
      <c r="C457" s="2" t="inlineStr"/>
      <c r="D457" s="2" t="inlineStr">
        <is>
          <t>a1</t>
        </is>
      </c>
      <c r="E457" s="2" t="inlineStr">
        <is>
          <t>2.0mm</t>
        </is>
      </c>
      <c r="F457" s="2" t="n">
        <v>2</v>
      </c>
      <c r="G457" s="2" t="n">
        <v>1.5</v>
      </c>
      <c r="H457" s="2" t="inlineStr">
        <is>
          <t>SC/PC</t>
        </is>
      </c>
      <c r="I457" s="2" t="inlineStr">
        <is>
          <t>SC/PC</t>
        </is>
      </c>
      <c r="J457" s="2" t="n"/>
      <c r="K457" s="2" t="n"/>
      <c r="L457" s="2" t="n">
        <v>100</v>
      </c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>
        <f>SUM(J457:U457)</f>
        <v/>
      </c>
      <c r="W457" s="2" t="n"/>
      <c r="X457" s="2" t="n"/>
      <c r="Y457" s="2" t="n"/>
      <c r="Z457" s="2" t="n"/>
      <c r="AA457" s="2" t="n">
        <v>200</v>
      </c>
      <c r="AB457" s="2" t="n">
        <v>200</v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>
        <f>IF(F457=1,V457*2,IF(F457=2,V457*F457*2,IF(F457&gt;2,F457*2*V457)))</f>
        <v/>
      </c>
      <c r="AW457" s="2">
        <f>SUM(W457:AU457)</f>
        <v/>
      </c>
    </row>
    <row r="458">
      <c r="A458" s="2" t="inlineStr">
        <is>
          <t>14-K-616</t>
        </is>
      </c>
      <c r="B458" s="3" t="inlineStr">
        <is>
          <t>OJC-A1-LC/LC-SM-6-PC/PC-DP</t>
        </is>
      </c>
      <c r="C458" s="2" t="inlineStr"/>
      <c r="D458" s="2" t="inlineStr">
        <is>
          <t>a1</t>
        </is>
      </c>
      <c r="E458" s="2" t="inlineStr">
        <is>
          <t>2.0mm</t>
        </is>
      </c>
      <c r="F458" s="2" t="n">
        <v>2</v>
      </c>
      <c r="G458" s="2" t="n">
        <v>6</v>
      </c>
      <c r="H458" s="2" t="inlineStr">
        <is>
          <t>LC/PC</t>
        </is>
      </c>
      <c r="I458" s="2" t="inlineStr">
        <is>
          <t>LC/PC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>
        <v>30</v>
      </c>
      <c r="S458" s="2" t="n"/>
      <c r="T458" s="2" t="n"/>
      <c r="U458" s="2" t="n"/>
      <c r="V458" s="2">
        <f>SUM(J458:U458)</f>
        <v/>
      </c>
      <c r="W458" s="2" t="n">
        <v>60</v>
      </c>
      <c r="X458" s="2" t="n">
        <v>60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>
        <f>IF(F458=1,V458*2,IF(F458=2,V458*F458*2,IF(F458&gt;2,F458*2*V458)))</f>
        <v/>
      </c>
      <c r="AW458" s="2">
        <f>SUM(W458:AU458)</f>
        <v/>
      </c>
    </row>
    <row r="459">
      <c r="A459" s="2" t="inlineStr">
        <is>
          <t>14-K-628</t>
        </is>
      </c>
      <c r="B459" s="3" t="inlineStr">
        <is>
          <t>OJC-A1-LC/LC-MM(OM3)-28-PC/PC-DP</t>
        </is>
      </c>
      <c r="C459" s="2" t="inlineStr"/>
      <c r="D459" s="2" t="inlineStr">
        <is>
          <t>om3</t>
        </is>
      </c>
      <c r="E459" s="2" t="inlineStr">
        <is>
          <t>2.0mm</t>
        </is>
      </c>
      <c r="F459" s="2" t="n">
        <v>2</v>
      </c>
      <c r="G459" s="2" t="n">
        <v>28</v>
      </c>
      <c r="H459" s="2" t="inlineStr">
        <is>
          <t>LC/PC</t>
        </is>
      </c>
      <c r="I459" s="2" t="inlineStr">
        <is>
          <t>LC/PC</t>
        </is>
      </c>
      <c r="J459" s="2" t="n">
        <v>1</v>
      </c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>
        <f>SUM(J459:U459)</f>
        <v/>
      </c>
      <c r="W459" s="2" t="n"/>
      <c r="X459" s="2" t="n">
        <v>2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>
        <v>2</v>
      </c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>
        <f>IF(F459=1,V459*2,IF(F459=2,V459*F459*2,IF(F459&gt;2,F459*2*V459)))</f>
        <v/>
      </c>
      <c r="AW459" s="2">
        <f>SUM(W459:AU459)</f>
        <v/>
      </c>
    </row>
    <row r="460">
      <c r="A460" s="2" t="inlineStr">
        <is>
          <t>14-K-629</t>
        </is>
      </c>
      <c r="B460" s="3" t="inlineStr">
        <is>
          <t>OJC-A1-SC/LC-MM(OM3)-35-PC/PC-DP</t>
        </is>
      </c>
      <c r="C460" s="2" t="inlineStr"/>
      <c r="D460" s="2" t="inlineStr">
        <is>
          <t>om3</t>
        </is>
      </c>
      <c r="E460" s="2" t="inlineStr">
        <is>
          <t>2.0mm</t>
        </is>
      </c>
      <c r="F460" s="2" t="n">
        <v>2</v>
      </c>
      <c r="G460" s="2" t="n">
        <v>35</v>
      </c>
      <c r="H460" s="2" t="inlineStr">
        <is>
          <t>SC/PC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>
        <v>4</v>
      </c>
      <c r="O460" s="2" t="n"/>
      <c r="P460" s="2" t="n"/>
      <c r="Q460" s="2" t="n"/>
      <c r="R460" s="2" t="n"/>
      <c r="S460" s="2" t="n"/>
      <c r="T460" s="2" t="n"/>
      <c r="U460" s="2" t="n"/>
      <c r="V460" s="2">
        <f>SUM(J460:U460)</f>
        <v/>
      </c>
      <c r="W460" s="2" t="n"/>
      <c r="X460" s="2" t="n">
        <v>8</v>
      </c>
      <c r="Y460" s="2" t="n"/>
      <c r="Z460" s="2" t="n"/>
      <c r="AA460" s="2" t="n">
        <v>8</v>
      </c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>
        <f>IF(F460=1,V460*2,IF(F460=2,V460*F460*2,IF(F460&gt;2,F460*2*V460)))</f>
        <v/>
      </c>
      <c r="AW460" s="2">
        <f>SUM(W460:AU460)</f>
        <v/>
      </c>
    </row>
    <row r="461">
      <c r="A461" s="2" t="inlineStr">
        <is>
          <t>14-K-638</t>
        </is>
      </c>
      <c r="B461" s="3" t="inlineStr">
        <is>
          <t>OJC-A1-SC/SC-SM-9-PC/PC-SP</t>
        </is>
      </c>
      <c r="C461" s="2" t="inlineStr">
        <is>
          <t>K9089002</t>
        </is>
      </c>
      <c r="D461" s="2" t="inlineStr">
        <is>
          <t>a1</t>
        </is>
      </c>
      <c r="E461" s="2" t="inlineStr">
        <is>
          <t>2.0mm</t>
        </is>
      </c>
      <c r="F461" s="2" t="n">
        <v>1</v>
      </c>
      <c r="G461" s="2" t="n">
        <v>9</v>
      </c>
      <c r="H461" s="2" t="inlineStr">
        <is>
          <t>SC/PC</t>
        </is>
      </c>
      <c r="I461" s="2" t="inlineStr">
        <is>
          <t>SC/PC</t>
        </is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>
        <v>100</v>
      </c>
      <c r="U461" s="2" t="n"/>
      <c r="V461" s="2">
        <f>SUM(J461:U461)</f>
        <v/>
      </c>
      <c r="W461" s="2" t="n"/>
      <c r="X461" s="2" t="n"/>
      <c r="Y461" s="2" t="n"/>
      <c r="Z461" s="2" t="n"/>
      <c r="AA461" s="2" t="n">
        <v>200</v>
      </c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>
        <f>IF(F461=1,V461*2,IF(F461=2,V461*F461*2,IF(F461&gt;2,F461*2*V461)))</f>
        <v/>
      </c>
      <c r="AW461" s="2">
        <f>SUM(W461:AU461)</f>
        <v/>
      </c>
    </row>
    <row r="462">
      <c r="A462" s="2" t="inlineStr">
        <is>
          <t>14-K-639</t>
        </is>
      </c>
      <c r="B462" s="3" t="inlineStr">
        <is>
          <t>OJC-A1-SC/SC-SM-11-PC/PC-SP</t>
        </is>
      </c>
      <c r="C462" s="2" t="inlineStr">
        <is>
          <t>K9089004</t>
        </is>
      </c>
      <c r="D462" s="2" t="inlineStr">
        <is>
          <t>a1</t>
        </is>
      </c>
      <c r="E462" s="2" t="inlineStr">
        <is>
          <t>2.0mm</t>
        </is>
      </c>
      <c r="F462" s="2" t="n">
        <v>1</v>
      </c>
      <c r="G462" s="2" t="n">
        <v>11</v>
      </c>
      <c r="H462" s="2" t="inlineStr">
        <is>
          <t>SC/PC</t>
        </is>
      </c>
      <c r="I462" s="2" t="inlineStr">
        <is>
          <t>SC/PC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>
        <v>100</v>
      </c>
      <c r="U462" s="2" t="n"/>
      <c r="V462" s="2">
        <f>SUM(J462:U462)</f>
        <v/>
      </c>
      <c r="W462" s="2" t="n"/>
      <c r="X462" s="2" t="n"/>
      <c r="Y462" s="2" t="n"/>
      <c r="Z462" s="2" t="n"/>
      <c r="AA462" s="2" t="n">
        <v>200</v>
      </c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>
        <f>IF(F462=1,V462*2,IF(F462=2,V462*F462*2,IF(F462&gt;2,F462*2*V462)))</f>
        <v/>
      </c>
      <c r="AW462" s="2">
        <f>SUM(W462:AU462)</f>
        <v/>
      </c>
    </row>
    <row r="463">
      <c r="A463" s="2" t="inlineStr">
        <is>
          <t>14-K-640</t>
        </is>
      </c>
      <c r="B463" s="3" t="inlineStr">
        <is>
          <t>OJC-A1-LC/LC-MM-7-PC/PC-DP</t>
        </is>
      </c>
      <c r="C463" s="2" t="inlineStr"/>
      <c r="D463" s="2" t="inlineStr">
        <is>
          <t>om1</t>
        </is>
      </c>
      <c r="E463" s="2" t="inlineStr">
        <is>
          <t>2.0mm</t>
        </is>
      </c>
      <c r="F463" s="2" t="n">
        <v>2</v>
      </c>
      <c r="G463" s="2" t="n">
        <v>7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/>
      <c r="O463" s="2" t="n"/>
      <c r="P463" s="2" t="n">
        <v>4</v>
      </c>
      <c r="Q463" s="2" t="n"/>
      <c r="R463" s="2" t="n"/>
      <c r="S463" s="2" t="n">
        <v>7</v>
      </c>
      <c r="T463" s="2" t="n"/>
      <c r="U463" s="2" t="n"/>
      <c r="V463" s="2">
        <f>SUM(J463:U463)</f>
        <v/>
      </c>
      <c r="W463" s="2" t="n"/>
      <c r="X463" s="2" t="n">
        <v>22</v>
      </c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>
        <v>22</v>
      </c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>
        <f>IF(F463=1,V463*2,IF(F463=2,V463*F463*2,IF(F463&gt;2,F463*2*V463)))</f>
        <v/>
      </c>
      <c r="AW463" s="2">
        <f>SUM(W463:AU463)</f>
        <v/>
      </c>
    </row>
    <row r="464">
      <c r="A464" s="2" t="inlineStr">
        <is>
          <t>14-K-641</t>
        </is>
      </c>
      <c r="B464" s="3" t="inlineStr">
        <is>
          <t>OJC-A1-LC/LC-MM-8-PC/PC-DP</t>
        </is>
      </c>
      <c r="C464" s="2" t="inlineStr"/>
      <c r="D464" s="2" t="inlineStr">
        <is>
          <t>om1</t>
        </is>
      </c>
      <c r="E464" s="2" t="inlineStr">
        <is>
          <t>2.0mm</t>
        </is>
      </c>
      <c r="F464" s="2" t="n">
        <v>2</v>
      </c>
      <c r="G464" s="2" t="n">
        <v>8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/>
      <c r="O464" s="2" t="n"/>
      <c r="P464" s="2" t="n">
        <v>4</v>
      </c>
      <c r="Q464" s="2" t="n"/>
      <c r="R464" s="2" t="n"/>
      <c r="S464" s="2" t="n"/>
      <c r="T464" s="2" t="n"/>
      <c r="U464" s="2" t="n"/>
      <c r="V464" s="2">
        <f>SUM(J464:U464)</f>
        <v/>
      </c>
      <c r="W464" s="2" t="n"/>
      <c r="X464" s="2" t="n">
        <v>8</v>
      </c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>
        <v>8</v>
      </c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>
        <f>IF(F464=1,V464*2,IF(F464=2,V464*F464*2,IF(F464&gt;2,F464*2*V464)))</f>
        <v/>
      </c>
      <c r="AW464" s="2">
        <f>SUM(W464:AU464)</f>
        <v/>
      </c>
    </row>
    <row r="465">
      <c r="A465" s="2" t="inlineStr">
        <is>
          <t>14-K-648</t>
        </is>
      </c>
      <c r="B465" s="3" t="inlineStr">
        <is>
          <t>OJC-A1-LC/LC-MM(OM3)-45-PC/PC-DP</t>
        </is>
      </c>
      <c r="C465" s="2" t="inlineStr"/>
      <c r="D465" s="2" t="inlineStr">
        <is>
          <t>om3</t>
        </is>
      </c>
      <c r="E465" s="2" t="inlineStr">
        <is>
          <t>2.0mm</t>
        </is>
      </c>
      <c r="F465" s="2" t="n">
        <v>2</v>
      </c>
      <c r="G465" s="2" t="n">
        <v>45</v>
      </c>
      <c r="H465" s="2" t="inlineStr">
        <is>
          <t>LC/PC</t>
        </is>
      </c>
      <c r="I465" s="2" t="inlineStr">
        <is>
          <t>LC/PC</t>
        </is>
      </c>
      <c r="J465" s="2" t="n">
        <v>10</v>
      </c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>
        <v>10</v>
      </c>
      <c r="T465" s="2" t="n"/>
      <c r="U465" s="2" t="n"/>
      <c r="V465" s="2">
        <f>SUM(J465:U465)</f>
        <v/>
      </c>
      <c r="W465" s="2" t="n"/>
      <c r="X465" s="2" t="n">
        <v>40</v>
      </c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>
        <v>40</v>
      </c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>
        <f>IF(F465=1,V465*2,IF(F465=2,V465*F465*2,IF(F465&gt;2,F465*2*V465)))</f>
        <v/>
      </c>
      <c r="AW465" s="2">
        <f>SUM(W465:AU465)</f>
        <v/>
      </c>
    </row>
    <row r="466">
      <c r="A466" s="2" t="inlineStr">
        <is>
          <t>14-K-651</t>
        </is>
      </c>
      <c r="B466" s="3" t="inlineStr">
        <is>
          <t>OJC-A1-SC/LC-SM-10-PC/PC-DP</t>
        </is>
      </c>
      <c r="C466" s="2" t="inlineStr">
        <is>
          <t>K9089162_청색</t>
        </is>
      </c>
      <c r="D466" s="2" t="inlineStr">
        <is>
          <t>a1-청</t>
        </is>
      </c>
      <c r="E466" s="2" t="inlineStr">
        <is>
          <t>2.0mm</t>
        </is>
      </c>
      <c r="F466" s="2" t="n">
        <v>2</v>
      </c>
      <c r="G466" s="2" t="n">
        <v>10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>
        <v>50</v>
      </c>
      <c r="T466" s="2" t="n"/>
      <c r="U466" s="2" t="n"/>
      <c r="V466" s="2">
        <f>SUM(J466:U466)</f>
        <v/>
      </c>
      <c r="W466" s="2" t="n"/>
      <c r="X466" s="2" t="n">
        <v>100</v>
      </c>
      <c r="Y466" s="2" t="n"/>
      <c r="Z466" s="2" t="n"/>
      <c r="AA466" s="2" t="n">
        <v>100</v>
      </c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>
        <f>IF(F466=1,V466*2,IF(F466=2,V466*F466*2,IF(F466&gt;2,F466*2*V466)))</f>
        <v/>
      </c>
      <c r="AW466" s="2">
        <f>SUM(W466:AU466)</f>
        <v/>
      </c>
    </row>
    <row r="467">
      <c r="A467" s="2" t="inlineStr">
        <is>
          <t>14-K-652</t>
        </is>
      </c>
      <c r="B467" s="3" t="inlineStr">
        <is>
          <t>OJC-A1-SC/LC-SM-15-PC/PC-DP</t>
        </is>
      </c>
      <c r="C467" s="2" t="inlineStr">
        <is>
          <t>K9089163_청색</t>
        </is>
      </c>
      <c r="D467" s="2" t="inlineStr">
        <is>
          <t>a1-청</t>
        </is>
      </c>
      <c r="E467" s="2" t="inlineStr">
        <is>
          <t>2.0mm</t>
        </is>
      </c>
      <c r="F467" s="2" t="n">
        <v>2</v>
      </c>
      <c r="G467" s="2" t="n">
        <v>15</v>
      </c>
      <c r="H467" s="2" t="inlineStr">
        <is>
          <t>SC/PC</t>
        </is>
      </c>
      <c r="I467" s="2" t="inlineStr">
        <is>
          <t>LC/PC</t>
        </is>
      </c>
      <c r="J467" s="2" t="n"/>
      <c r="K467" s="2" t="n"/>
      <c r="L467" s="2" t="n"/>
      <c r="M467" s="2" t="n"/>
      <c r="N467" s="2" t="n"/>
      <c r="O467" s="2" t="n">
        <v>50</v>
      </c>
      <c r="P467" s="2" t="n"/>
      <c r="Q467" s="2" t="n"/>
      <c r="R467" s="2" t="n">
        <v>50</v>
      </c>
      <c r="S467" s="2" t="n">
        <v>50</v>
      </c>
      <c r="T467" s="2" t="n"/>
      <c r="U467" s="2" t="n"/>
      <c r="V467" s="2">
        <f>SUM(J467:U467)</f>
        <v/>
      </c>
      <c r="W467" s="2" t="n"/>
      <c r="X467" s="2" t="n">
        <v>300</v>
      </c>
      <c r="Y467" s="2" t="n"/>
      <c r="Z467" s="2" t="n"/>
      <c r="AA467" s="2" t="n">
        <v>300</v>
      </c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>
        <f>IF(F467=1,V467*2,IF(F467=2,V467*F467*2,IF(F467&gt;2,F467*2*V467)))</f>
        <v/>
      </c>
      <c r="AW467" s="2">
        <f>SUM(W467:AU467)</f>
        <v/>
      </c>
    </row>
    <row r="468">
      <c r="A468" s="2" t="inlineStr">
        <is>
          <t>14-K-653</t>
        </is>
      </c>
      <c r="B468" s="3" t="inlineStr">
        <is>
          <t>OJC-A1-SC/LC-SM-20-PC/PC-DP</t>
        </is>
      </c>
      <c r="C468" s="2" t="inlineStr">
        <is>
          <t>K9089164_청색</t>
        </is>
      </c>
      <c r="D468" s="2" t="inlineStr">
        <is>
          <t>a1-청</t>
        </is>
      </c>
      <c r="E468" s="2" t="inlineStr">
        <is>
          <t>2.0mm</t>
        </is>
      </c>
      <c r="F468" s="2" t="n">
        <v>2</v>
      </c>
      <c r="G468" s="2" t="n">
        <v>20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>
        <v>50</v>
      </c>
      <c r="T468" s="2" t="n"/>
      <c r="U468" s="2" t="n"/>
      <c r="V468" s="2">
        <f>SUM(J468:U468)</f>
        <v/>
      </c>
      <c r="W468" s="2" t="n"/>
      <c r="X468" s="2" t="n">
        <v>100</v>
      </c>
      <c r="Y468" s="2" t="n"/>
      <c r="Z468" s="2" t="n"/>
      <c r="AA468" s="2" t="n">
        <v>100</v>
      </c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>
        <f>IF(F468=1,V468*2,IF(F468=2,V468*F468*2,IF(F468&gt;2,F468*2*V468)))</f>
        <v/>
      </c>
      <c r="AW468" s="2">
        <f>SUM(W468:AU468)</f>
        <v/>
      </c>
    </row>
    <row r="469">
      <c r="A469" s="2" t="inlineStr">
        <is>
          <t>14-K-663</t>
        </is>
      </c>
      <c r="B469" s="3" t="inlineStr">
        <is>
          <t>OJC-A1-LC/LC-MM(OM3)-40-PC/PC-DP</t>
        </is>
      </c>
      <c r="C469" s="2" t="inlineStr"/>
      <c r="D469" s="2" t="inlineStr">
        <is>
          <t>om3</t>
        </is>
      </c>
      <c r="E469" s="2" t="inlineStr">
        <is>
          <t>2.0mm</t>
        </is>
      </c>
      <c r="F469" s="2" t="n">
        <v>2</v>
      </c>
      <c r="G469" s="2" t="n">
        <v>40</v>
      </c>
      <c r="H469" s="2" t="inlineStr">
        <is>
          <t>LC/PC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>
        <v>8</v>
      </c>
      <c r="R469" s="2" t="n"/>
      <c r="S469" s="2" t="n"/>
      <c r="T469" s="2" t="n"/>
      <c r="U469" s="2" t="n"/>
      <c r="V469" s="2">
        <f>SUM(J469:U469)</f>
        <v/>
      </c>
      <c r="W469" s="2" t="n"/>
      <c r="X469" s="2" t="n">
        <v>16</v>
      </c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>
        <v>16</v>
      </c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>
        <f>IF(F469=1,V469*2,IF(F469=2,V469*F469*2,IF(F469&gt;2,F469*2*V469)))</f>
        <v/>
      </c>
      <c r="AW469" s="2">
        <f>SUM(W469:AU469)</f>
        <v/>
      </c>
    </row>
    <row r="470">
      <c r="A470" s="2" t="inlineStr">
        <is>
          <t>14-K-668</t>
        </is>
      </c>
      <c r="B470" s="3" t="inlineStr">
        <is>
          <t>OJC-A1-SC/SC-SM-25-PC/PC-DP</t>
        </is>
      </c>
      <c r="C470" s="2" t="inlineStr">
        <is>
          <t>K9089147_녹색</t>
        </is>
      </c>
      <c r="D470" s="2" t="inlineStr">
        <is>
          <t>a1-녹</t>
        </is>
      </c>
      <c r="E470" s="2" t="inlineStr">
        <is>
          <t>2.0mm</t>
        </is>
      </c>
      <c r="F470" s="2" t="n">
        <v>2</v>
      </c>
      <c r="G470" s="2" t="n">
        <v>25</v>
      </c>
      <c r="H470" s="2" t="inlineStr">
        <is>
          <t>SC/PC</t>
        </is>
      </c>
      <c r="I470" s="2" t="inlineStr">
        <is>
          <t>SC/PC</t>
        </is>
      </c>
      <c r="J470" s="2" t="n"/>
      <c r="K470" s="2" t="n">
        <v>100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>
        <f>SUM(J470:U470)</f>
        <v/>
      </c>
      <c r="W470" s="2" t="n"/>
      <c r="X470" s="2" t="n"/>
      <c r="Y470" s="2" t="n"/>
      <c r="Z470" s="2" t="n"/>
      <c r="AA470" s="2" t="n">
        <v>200</v>
      </c>
      <c r="AB470" s="2" t="n">
        <v>200</v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>
        <f>IF(F470=1,V470*2,IF(F470=2,V470*F470*2,IF(F470&gt;2,F470*2*V470)))</f>
        <v/>
      </c>
      <c r="AW470" s="2">
        <f>SUM(W470:AU470)</f>
        <v/>
      </c>
    </row>
    <row r="471">
      <c r="A471" s="2" t="inlineStr">
        <is>
          <t>14-K-670</t>
        </is>
      </c>
      <c r="B471" s="3" t="inlineStr">
        <is>
          <t>OJC-A1-SC/SC-SM-15-PC/PC-DP</t>
        </is>
      </c>
      <c r="C471" s="2" t="inlineStr">
        <is>
          <t>K9089137_녹색</t>
        </is>
      </c>
      <c r="D471" s="2" t="inlineStr">
        <is>
          <t>a1-녹</t>
        </is>
      </c>
      <c r="E471" s="2" t="inlineStr">
        <is>
          <t>2.0mm</t>
        </is>
      </c>
      <c r="F471" s="2" t="n">
        <v>2</v>
      </c>
      <c r="G471" s="2" t="n">
        <v>15</v>
      </c>
      <c r="H471" s="2" t="inlineStr">
        <is>
          <t>SC/PC</t>
        </is>
      </c>
      <c r="I471" s="2" t="inlineStr">
        <is>
          <t>SC/PC</t>
        </is>
      </c>
      <c r="J471" s="2" t="n"/>
      <c r="K471" s="2" t="n"/>
      <c r="L471" s="2" t="n"/>
      <c r="M471" s="2" t="n"/>
      <c r="N471" s="2" t="n"/>
      <c r="O471" s="2" t="n"/>
      <c r="P471" s="2" t="n">
        <v>30</v>
      </c>
      <c r="Q471" s="2" t="n"/>
      <c r="R471" s="2" t="n"/>
      <c r="S471" s="2" t="n"/>
      <c r="T471" s="2" t="n"/>
      <c r="U471" s="2" t="n">
        <v>100</v>
      </c>
      <c r="V471" s="2">
        <f>SUM(J471:U471)</f>
        <v/>
      </c>
      <c r="W471" s="2" t="n"/>
      <c r="X471" s="2" t="n"/>
      <c r="Y471" s="2" t="n"/>
      <c r="Z471" s="2" t="n"/>
      <c r="AA471" s="2" t="n">
        <v>260</v>
      </c>
      <c r="AB471" s="2" t="n">
        <v>260</v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>
        <f>IF(F471=1,V471*2,IF(F471=2,V471*F471*2,IF(F471&gt;2,F471*2*V471)))</f>
        <v/>
      </c>
      <c r="AW471" s="2">
        <f>SUM(W471:AU471)</f>
        <v/>
      </c>
    </row>
    <row r="472">
      <c r="A472" s="2" t="inlineStr">
        <is>
          <t>14-K-671</t>
        </is>
      </c>
      <c r="B472" s="3" t="inlineStr">
        <is>
          <t>OJC-A1-SC/SC-SM-20-PC/PC-SP</t>
        </is>
      </c>
      <c r="C472" s="2" t="inlineStr">
        <is>
          <t>K9089013_녹색</t>
        </is>
      </c>
      <c r="D472" s="2" t="inlineStr">
        <is>
          <t>a1-녹</t>
        </is>
      </c>
      <c r="E472" s="2" t="inlineStr">
        <is>
          <t>2.0mm</t>
        </is>
      </c>
      <c r="F472" s="2" t="n">
        <v>1</v>
      </c>
      <c r="G472" s="2" t="n">
        <v>20</v>
      </c>
      <c r="H472" s="2" t="inlineStr">
        <is>
          <t>SC/PC</t>
        </is>
      </c>
      <c r="I472" s="2" t="inlineStr">
        <is>
          <t>SC/PC</t>
        </is>
      </c>
      <c r="J472" s="2" t="n"/>
      <c r="K472" s="2" t="n"/>
      <c r="L472" s="2" t="n"/>
      <c r="M472" s="2" t="n"/>
      <c r="N472" s="2" t="n"/>
      <c r="O472" s="2" t="n">
        <v>9</v>
      </c>
      <c r="P472" s="2" t="n">
        <v>50</v>
      </c>
      <c r="Q472" s="2" t="n"/>
      <c r="R472" s="2" t="n"/>
      <c r="S472" s="2" t="n"/>
      <c r="T472" s="2" t="n"/>
      <c r="U472" s="2" t="n"/>
      <c r="V472" s="2">
        <f>SUM(J472:U472)</f>
        <v/>
      </c>
      <c r="W472" s="2" t="n"/>
      <c r="X472" s="2" t="n"/>
      <c r="Y472" s="2" t="n"/>
      <c r="Z472" s="2" t="n"/>
      <c r="AA472" s="2" t="n">
        <v>118</v>
      </c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>
        <f>IF(F472=1,V472*2,IF(F472=2,V472*F472*2,IF(F472&gt;2,F472*2*V472)))</f>
        <v/>
      </c>
      <c r="AW472" s="2">
        <f>SUM(W472:AU472)</f>
        <v/>
      </c>
    </row>
    <row r="473">
      <c r="A473" s="2" t="inlineStr">
        <is>
          <t>14-K-678</t>
        </is>
      </c>
      <c r="B473" s="3" t="inlineStr">
        <is>
          <t>OJC-A1-SC/SC-SM-35-PC/PC-DP</t>
        </is>
      </c>
      <c r="C473" s="2" t="inlineStr">
        <is>
          <t>K9089153_녹색</t>
        </is>
      </c>
      <c r="D473" s="2" t="inlineStr">
        <is>
          <t>a1-녹</t>
        </is>
      </c>
      <c r="E473" s="2" t="inlineStr">
        <is>
          <t>2.0mm</t>
        </is>
      </c>
      <c r="F473" s="2" t="n">
        <v>2</v>
      </c>
      <c r="G473" s="2" t="n">
        <v>35</v>
      </c>
      <c r="H473" s="2" t="inlineStr">
        <is>
          <t>SC/PC</t>
        </is>
      </c>
      <c r="I473" s="2" t="inlineStr">
        <is>
          <t>SC/PC</t>
        </is>
      </c>
      <c r="J473" s="2" t="n"/>
      <c r="K473" s="2" t="n">
        <v>100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>
        <f>SUM(J473:U473)</f>
        <v/>
      </c>
      <c r="W473" s="2" t="n"/>
      <c r="X473" s="2" t="n"/>
      <c r="Y473" s="2" t="n"/>
      <c r="Z473" s="2" t="n"/>
      <c r="AA473" s="2" t="n">
        <v>200</v>
      </c>
      <c r="AB473" s="2" t="n">
        <v>200</v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>
        <f>IF(F473=1,V473*2,IF(F473=2,V473*F473*2,IF(F473&gt;2,F473*2*V473)))</f>
        <v/>
      </c>
      <c r="AW473" s="2">
        <f>SUM(W473:AU473)</f>
        <v/>
      </c>
    </row>
    <row r="474">
      <c r="A474" s="2" t="inlineStr">
        <is>
          <t>14-K-682</t>
        </is>
      </c>
      <c r="B474" s="3" t="inlineStr">
        <is>
          <t>OJC-A1-SC/SC-SM-25-PC/PC-DP</t>
        </is>
      </c>
      <c r="C474" s="2" t="inlineStr">
        <is>
          <t>K9089147_적색</t>
        </is>
      </c>
      <c r="D474" s="2" t="inlineStr">
        <is>
          <t>a1-적</t>
        </is>
      </c>
      <c r="E474" s="2" t="inlineStr">
        <is>
          <t>2.0mm</t>
        </is>
      </c>
      <c r="F474" s="2" t="n">
        <v>2</v>
      </c>
      <c r="G474" s="2" t="n">
        <v>25</v>
      </c>
      <c r="H474" s="2" t="inlineStr">
        <is>
          <t>SC/PC</t>
        </is>
      </c>
      <c r="I474" s="2" t="inlineStr">
        <is>
          <t>SC/PC</t>
        </is>
      </c>
      <c r="J474" s="2" t="n"/>
      <c r="K474" s="2" t="n"/>
      <c r="L474" s="2" t="n">
        <v>20</v>
      </c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>
        <f>SUM(J474:U474)</f>
        <v/>
      </c>
      <c r="W474" s="2" t="n"/>
      <c r="X474" s="2" t="n"/>
      <c r="Y474" s="2" t="n"/>
      <c r="Z474" s="2" t="n"/>
      <c r="AA474" s="2" t="n">
        <v>40</v>
      </c>
      <c r="AB474" s="2" t="n">
        <v>40</v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>
        <f>IF(F474=1,V474*2,IF(F474=2,V474*F474*2,IF(F474&gt;2,F474*2*V474)))</f>
        <v/>
      </c>
      <c r="AW474" s="2">
        <f>SUM(W474:AU474)</f>
        <v/>
      </c>
    </row>
    <row r="475">
      <c r="A475" s="2" t="inlineStr">
        <is>
          <t>14-K-683</t>
        </is>
      </c>
      <c r="B475" s="3" t="inlineStr">
        <is>
          <t>OJC-A1-SC/SC-SM-15-PC/PC-DP</t>
        </is>
      </c>
      <c r="C475" s="2" t="inlineStr">
        <is>
          <t>K9089137_적색</t>
        </is>
      </c>
      <c r="D475" s="2" t="inlineStr">
        <is>
          <t>a1-적</t>
        </is>
      </c>
      <c r="E475" s="2" t="inlineStr">
        <is>
          <t>2.0mm</t>
        </is>
      </c>
      <c r="F475" s="2" t="n">
        <v>2</v>
      </c>
      <c r="G475" s="2" t="n">
        <v>15</v>
      </c>
      <c r="H475" s="2" t="inlineStr">
        <is>
          <t>SC/PC</t>
        </is>
      </c>
      <c r="I475" s="2" t="inlineStr">
        <is>
          <t>SC/PC</t>
        </is>
      </c>
      <c r="J475" s="2" t="n"/>
      <c r="K475" s="2" t="n">
        <v>10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>
        <f>SUM(J475:U475)</f>
        <v/>
      </c>
      <c r="W475" s="2" t="n"/>
      <c r="X475" s="2" t="n"/>
      <c r="Y475" s="2" t="n"/>
      <c r="Z475" s="2" t="n"/>
      <c r="AA475" s="2" t="n">
        <v>20</v>
      </c>
      <c r="AB475" s="2" t="n">
        <v>20</v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>
        <f>IF(F475=1,V475*2,IF(F475=2,V475*F475*2,IF(F475&gt;2,F475*2*V475)))</f>
        <v/>
      </c>
      <c r="AW475" s="2">
        <f>SUM(W475:AU475)</f>
        <v/>
      </c>
    </row>
    <row r="476">
      <c r="A476" s="2" t="inlineStr">
        <is>
          <t>14-K-684</t>
        </is>
      </c>
      <c r="B476" s="3" t="inlineStr">
        <is>
          <t>OJC-A1-SC/SC-SM-10-PC/PC-DP</t>
        </is>
      </c>
      <c r="C476" s="2" t="inlineStr">
        <is>
          <t>K9089132_적색</t>
        </is>
      </c>
      <c r="D476" s="2" t="inlineStr">
        <is>
          <t>a1-적</t>
        </is>
      </c>
      <c r="E476" s="2" t="inlineStr">
        <is>
          <t>2.0mm</t>
        </is>
      </c>
      <c r="F476" s="2" t="n">
        <v>2</v>
      </c>
      <c r="G476" s="2" t="n">
        <v>10</v>
      </c>
      <c r="H476" s="2" t="inlineStr">
        <is>
          <t>SC/PC</t>
        </is>
      </c>
      <c r="I476" s="2" t="inlineStr">
        <is>
          <t>SC/PC</t>
        </is>
      </c>
      <c r="J476" s="2" t="n"/>
      <c r="K476" s="2" t="n"/>
      <c r="L476" s="2" t="n">
        <v>30</v>
      </c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>
        <f>SUM(J476:U476)</f>
        <v/>
      </c>
      <c r="W476" s="2" t="n"/>
      <c r="X476" s="2" t="n"/>
      <c r="Y476" s="2" t="n"/>
      <c r="Z476" s="2" t="n"/>
      <c r="AA476" s="2" t="n">
        <v>60</v>
      </c>
      <c r="AB476" s="2" t="n">
        <v>60</v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>
        <f>IF(F476=1,V476*2,IF(F476=2,V476*F476*2,IF(F476&gt;2,F476*2*V476)))</f>
        <v/>
      </c>
      <c r="AW476" s="2">
        <f>SUM(W476:AU476)</f>
        <v/>
      </c>
    </row>
    <row r="477">
      <c r="A477" s="2" t="inlineStr">
        <is>
          <t>14-K-696</t>
        </is>
      </c>
      <c r="B477" s="3" t="inlineStr">
        <is>
          <t>OJC-A1-SC/SC-SM-3-PC/PC-SP</t>
        </is>
      </c>
      <c r="C477" s="2" t="inlineStr">
        <is>
          <t>K9088996_적색</t>
        </is>
      </c>
      <c r="D477" s="2" t="inlineStr">
        <is>
          <t>a1-적</t>
        </is>
      </c>
      <c r="E477" s="2" t="inlineStr">
        <is>
          <t>2.0mm</t>
        </is>
      </c>
      <c r="F477" s="2" t="n">
        <v>1</v>
      </c>
      <c r="G477" s="2" t="n">
        <v>3</v>
      </c>
      <c r="H477" s="2" t="inlineStr">
        <is>
          <t>SC/PC</t>
        </is>
      </c>
      <c r="I477" s="2" t="inlineStr">
        <is>
          <t>SC/PC</t>
        </is>
      </c>
      <c r="J477" s="2" t="n"/>
      <c r="K477" s="2" t="n"/>
      <c r="L477" s="2" t="n">
        <v>50</v>
      </c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>
        <f>SUM(J477:U477)</f>
        <v/>
      </c>
      <c r="W477" s="2" t="n"/>
      <c r="X477" s="2" t="n"/>
      <c r="Y477" s="2" t="n"/>
      <c r="Z477" s="2" t="n"/>
      <c r="AA477" s="2" t="n">
        <v>100</v>
      </c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>
        <f>IF(F477=1,V477*2,IF(F477=2,V477*F477*2,IF(F477&gt;2,F477*2*V477)))</f>
        <v/>
      </c>
      <c r="AW477" s="2">
        <f>SUM(W477:AU477)</f>
        <v/>
      </c>
    </row>
    <row r="478">
      <c r="A478" s="2" t="inlineStr">
        <is>
          <t>14-K-704</t>
        </is>
      </c>
      <c r="B478" s="3" t="inlineStr">
        <is>
          <t>OJC-A1-SC/SC-SM-10-PC/PC-SP</t>
        </is>
      </c>
      <c r="C478" s="2" t="inlineStr">
        <is>
          <t>K9089003_녹색</t>
        </is>
      </c>
      <c r="D478" s="2" t="inlineStr">
        <is>
          <t>a1-녹</t>
        </is>
      </c>
      <c r="E478" s="2" t="inlineStr">
        <is>
          <t>2.0mm</t>
        </is>
      </c>
      <c r="F478" s="2" t="n">
        <v>1</v>
      </c>
      <c r="G478" s="2" t="n">
        <v>10</v>
      </c>
      <c r="H478" s="2" t="inlineStr">
        <is>
          <t>SC/PC</t>
        </is>
      </c>
      <c r="I478" s="2" t="inlineStr">
        <is>
          <t>SC/PC</t>
        </is>
      </c>
      <c r="J478" s="2" t="n"/>
      <c r="K478" s="2" t="n"/>
      <c r="L478" s="2" t="n"/>
      <c r="M478" s="2" t="n"/>
      <c r="N478" s="2" t="n"/>
      <c r="O478" s="2" t="n">
        <v>24</v>
      </c>
      <c r="P478" s="2" t="n">
        <v>50</v>
      </c>
      <c r="Q478" s="2" t="n">
        <v>3</v>
      </c>
      <c r="R478" s="2" t="n"/>
      <c r="S478" s="2" t="n">
        <v>3</v>
      </c>
      <c r="T478" s="2" t="n"/>
      <c r="U478" s="2" t="n"/>
      <c r="V478" s="2">
        <f>SUM(J478:U478)</f>
        <v/>
      </c>
      <c r="W478" s="2" t="n"/>
      <c r="X478" s="2" t="n"/>
      <c r="Y478" s="2" t="n"/>
      <c r="Z478" s="2" t="n"/>
      <c r="AA478" s="2" t="n">
        <v>160</v>
      </c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>
        <f>IF(F478=1,V478*2,IF(F478=2,V478*F478*2,IF(F478&gt;2,F478*2*V478)))</f>
        <v/>
      </c>
      <c r="AW478" s="2">
        <f>SUM(W478:AU478)</f>
        <v/>
      </c>
    </row>
    <row r="479">
      <c r="A479" s="2" t="inlineStr">
        <is>
          <t>14-K-705</t>
        </is>
      </c>
      <c r="B479" s="3" t="inlineStr">
        <is>
          <t>OJC-A1-SC/SC-SM-15-PC/PC-SP</t>
        </is>
      </c>
      <c r="C479" s="2" t="inlineStr">
        <is>
          <t>K9089008_녹색</t>
        </is>
      </c>
      <c r="D479" s="2" t="inlineStr">
        <is>
          <t>a1-녹</t>
        </is>
      </c>
      <c r="E479" s="2" t="inlineStr">
        <is>
          <t>2.0mm</t>
        </is>
      </c>
      <c r="F479" s="2" t="n">
        <v>1</v>
      </c>
      <c r="G479" s="2" t="n">
        <v>15</v>
      </c>
      <c r="H479" s="2" t="inlineStr">
        <is>
          <t>SC/PC</t>
        </is>
      </c>
      <c r="I479" s="2" t="inlineStr">
        <is>
          <t>SC/PC</t>
        </is>
      </c>
      <c r="J479" s="2" t="n"/>
      <c r="K479" s="2" t="n"/>
      <c r="L479" s="2" t="n"/>
      <c r="M479" s="2" t="n"/>
      <c r="N479" s="2" t="n"/>
      <c r="O479" s="2" t="n">
        <v>36</v>
      </c>
      <c r="P479" s="2" t="n">
        <v>4</v>
      </c>
      <c r="Q479" s="2" t="n">
        <v>7</v>
      </c>
      <c r="R479" s="2" t="n"/>
      <c r="S479" s="2" t="n">
        <v>6</v>
      </c>
      <c r="T479" s="2" t="n">
        <v>26</v>
      </c>
      <c r="U479" s="2" t="n">
        <v>76</v>
      </c>
      <c r="V479" s="2">
        <f>SUM(J479:U479)</f>
        <v/>
      </c>
      <c r="W479" s="2" t="n"/>
      <c r="X479" s="2" t="n"/>
      <c r="Y479" s="2" t="n"/>
      <c r="Z479" s="2" t="n"/>
      <c r="AA479" s="2" t="n">
        <v>310</v>
      </c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>
        <f>IF(F479=1,V479*2,IF(F479=2,V479*F479*2,IF(F479&gt;2,F479*2*V479)))</f>
        <v/>
      </c>
      <c r="AW479" s="2">
        <f>SUM(W479:AU479)</f>
        <v/>
      </c>
    </row>
    <row r="480">
      <c r="A480" s="2" t="inlineStr">
        <is>
          <t>14-K-706</t>
        </is>
      </c>
      <c r="B480" s="3" t="inlineStr">
        <is>
          <t>OJC-A1-SC/SC-SM-3-APC/APC-SP</t>
        </is>
      </c>
      <c r="C480" s="2" t="inlineStr">
        <is>
          <t>K9089111_녹색</t>
        </is>
      </c>
      <c r="D480" s="2" t="inlineStr">
        <is>
          <t>a1-녹</t>
        </is>
      </c>
      <c r="E480" s="2" t="inlineStr">
        <is>
          <t>2.0mm</t>
        </is>
      </c>
      <c r="F480" s="2" t="n">
        <v>1</v>
      </c>
      <c r="G480" s="2" t="n">
        <v>3</v>
      </c>
      <c r="H480" s="2" t="inlineStr">
        <is>
          <t>SC/APC</t>
        </is>
      </c>
      <c r="I480" s="2" t="inlineStr">
        <is>
          <t>SC/APC</t>
        </is>
      </c>
      <c r="J480" s="2" t="n">
        <v>3</v>
      </c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>
        <f>SUM(J480:U480)</f>
        <v/>
      </c>
      <c r="W480" s="2" t="n"/>
      <c r="X480" s="2" t="n"/>
      <c r="Y480" s="2" t="n"/>
      <c r="Z480" s="2" t="n"/>
      <c r="AA480" s="2" t="n"/>
      <c r="AB480" s="2" t="n"/>
      <c r="AC480" s="2" t="n">
        <v>6</v>
      </c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>
        <f>IF(F480=1,V480*2,IF(F480=2,V480*F480*2,IF(F480&gt;2,F480*2*V480)))</f>
        <v/>
      </c>
      <c r="AW480" s="2">
        <f>SUM(W480:AU480)</f>
        <v/>
      </c>
    </row>
    <row r="481">
      <c r="A481" s="2" t="inlineStr">
        <is>
          <t>14-K-708</t>
        </is>
      </c>
      <c r="B481" s="3" t="inlineStr">
        <is>
          <t>OJC-A1-SC/SC-SM-10-PC/PC-DP</t>
        </is>
      </c>
      <c r="C481" s="2" t="inlineStr">
        <is>
          <t>K9089132_청색</t>
        </is>
      </c>
      <c r="D481" s="2" t="inlineStr">
        <is>
          <t>a1-청</t>
        </is>
      </c>
      <c r="E481" s="2" t="inlineStr">
        <is>
          <t>2.0mm</t>
        </is>
      </c>
      <c r="F481" s="2" t="n">
        <v>2</v>
      </c>
      <c r="G481" s="2" t="n">
        <v>10</v>
      </c>
      <c r="H481" s="2" t="inlineStr">
        <is>
          <t>SC/PC</t>
        </is>
      </c>
      <c r="I481" s="2" t="inlineStr">
        <is>
          <t>SC/PC</t>
        </is>
      </c>
      <c r="J481" s="2" t="n"/>
      <c r="K481" s="2" t="n"/>
      <c r="L481" s="2" t="n"/>
      <c r="M481" s="2" t="n"/>
      <c r="N481" s="2" t="n"/>
      <c r="O481" s="2" t="n"/>
      <c r="P481" s="2" t="n">
        <v>30</v>
      </c>
      <c r="Q481" s="2" t="n"/>
      <c r="R481" s="2" t="n"/>
      <c r="S481" s="2" t="n"/>
      <c r="T481" s="2" t="n">
        <v>110</v>
      </c>
      <c r="U481" s="2" t="n"/>
      <c r="V481" s="2">
        <f>SUM(J481:U481)</f>
        <v/>
      </c>
      <c r="W481" s="2" t="n"/>
      <c r="X481" s="2" t="n"/>
      <c r="Y481" s="2" t="n"/>
      <c r="Z481" s="2" t="n"/>
      <c r="AA481" s="2" t="n">
        <v>280</v>
      </c>
      <c r="AB481" s="2" t="n">
        <v>280</v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>
        <f>IF(F481=1,V481*2,IF(F481=2,V481*F481*2,IF(F481&gt;2,F481*2*V481)))</f>
        <v/>
      </c>
      <c r="AW481" s="2">
        <f>SUM(W481:AU481)</f>
        <v/>
      </c>
    </row>
    <row r="482">
      <c r="A482" s="2" t="inlineStr">
        <is>
          <t>14-K-709</t>
        </is>
      </c>
      <c r="B482" s="3" t="inlineStr">
        <is>
          <t>OJC-A1-SC/SC-SM-15-PC/PC-DP</t>
        </is>
      </c>
      <c r="C482" s="2" t="inlineStr">
        <is>
          <t>K9089137_청색</t>
        </is>
      </c>
      <c r="D482" s="2" t="inlineStr">
        <is>
          <t>a1-청</t>
        </is>
      </c>
      <c r="E482" s="2" t="inlineStr">
        <is>
          <t>2.0mm</t>
        </is>
      </c>
      <c r="F482" s="2" t="n">
        <v>2</v>
      </c>
      <c r="G482" s="2" t="n">
        <v>15</v>
      </c>
      <c r="H482" s="2" t="inlineStr">
        <is>
          <t>SC/PC</t>
        </is>
      </c>
      <c r="I482" s="2" t="inlineStr">
        <is>
          <t>SC/PC</t>
        </is>
      </c>
      <c r="J482" s="2" t="n"/>
      <c r="K482" s="2" t="n"/>
      <c r="L482" s="2" t="n"/>
      <c r="M482" s="2" t="n"/>
      <c r="N482" s="2" t="n"/>
      <c r="O482" s="2" t="n"/>
      <c r="P482" s="2" t="n">
        <v>30</v>
      </c>
      <c r="Q482" s="2" t="n"/>
      <c r="R482" s="2" t="n"/>
      <c r="S482" s="2" t="n"/>
      <c r="T482" s="2" t="n">
        <v>80</v>
      </c>
      <c r="U482" s="2" t="n"/>
      <c r="V482" s="2">
        <f>SUM(J482:U482)</f>
        <v/>
      </c>
      <c r="W482" s="2" t="n"/>
      <c r="X482" s="2" t="n"/>
      <c r="Y482" s="2" t="n"/>
      <c r="Z482" s="2" t="n"/>
      <c r="AA482" s="2" t="n">
        <v>220</v>
      </c>
      <c r="AB482" s="2" t="n">
        <v>220</v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>
        <f>IF(F482=1,V482*2,IF(F482=2,V482*F482*2,IF(F482&gt;2,F482*2*V482)))</f>
        <v/>
      </c>
      <c r="AW482" s="2">
        <f>SUM(W482:AU482)</f>
        <v/>
      </c>
    </row>
    <row r="483">
      <c r="A483" s="2" t="inlineStr">
        <is>
          <t>14-K-710</t>
        </is>
      </c>
      <c r="B483" s="3" t="inlineStr">
        <is>
          <t>OJC-A1-SC/SC-SM-20-PC/PC-DP</t>
        </is>
      </c>
      <c r="C483" s="2" t="inlineStr">
        <is>
          <t>K9089142_청색</t>
        </is>
      </c>
      <c r="D483" s="2" t="inlineStr">
        <is>
          <t>a1-청</t>
        </is>
      </c>
      <c r="E483" s="2" t="inlineStr">
        <is>
          <t>2.0mm</t>
        </is>
      </c>
      <c r="F483" s="2" t="n">
        <v>2</v>
      </c>
      <c r="G483" s="2" t="n">
        <v>20</v>
      </c>
      <c r="H483" s="2" t="inlineStr">
        <is>
          <t>SC/PC</t>
        </is>
      </c>
      <c r="I483" s="2" t="inlineStr">
        <is>
          <t>SC/PC</t>
        </is>
      </c>
      <c r="J483" s="2" t="n"/>
      <c r="K483" s="2" t="n"/>
      <c r="L483" s="2" t="n"/>
      <c r="M483" s="2" t="n"/>
      <c r="N483" s="2" t="n"/>
      <c r="O483" s="2" t="n"/>
      <c r="P483" s="2" t="n">
        <v>30</v>
      </c>
      <c r="Q483" s="2" t="n"/>
      <c r="R483" s="2" t="n"/>
      <c r="S483" s="2" t="n"/>
      <c r="T483" s="2" t="n">
        <v>30</v>
      </c>
      <c r="U483" s="2" t="n"/>
      <c r="V483" s="2">
        <f>SUM(J483:U483)</f>
        <v/>
      </c>
      <c r="W483" s="2" t="n"/>
      <c r="X483" s="2" t="n"/>
      <c r="Y483" s="2" t="n"/>
      <c r="Z483" s="2" t="n"/>
      <c r="AA483" s="2" t="n">
        <v>120</v>
      </c>
      <c r="AB483" s="2" t="n">
        <v>120</v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>
        <f>IF(F483=1,V483*2,IF(F483=2,V483*F483*2,IF(F483&gt;2,F483*2*V483)))</f>
        <v/>
      </c>
      <c r="AW483" s="2">
        <f>SUM(W483:AU483)</f>
        <v/>
      </c>
    </row>
    <row r="484">
      <c r="A484" s="2" t="inlineStr">
        <is>
          <t>14-K-711</t>
        </is>
      </c>
      <c r="B484" s="3" t="inlineStr">
        <is>
          <t>OJC-A1-SC/SC-SM-25-PC/PC-DP</t>
        </is>
      </c>
      <c r="C484" s="2" t="inlineStr">
        <is>
          <t>K9089147_청색</t>
        </is>
      </c>
      <c r="D484" s="2" t="inlineStr">
        <is>
          <t>a1-청</t>
        </is>
      </c>
      <c r="E484" s="2" t="inlineStr">
        <is>
          <t>2.0mm</t>
        </is>
      </c>
      <c r="F484" s="2" t="n">
        <v>2</v>
      </c>
      <c r="G484" s="2" t="n">
        <v>25</v>
      </c>
      <c r="H484" s="2" t="inlineStr">
        <is>
          <t>SC/PC</t>
        </is>
      </c>
      <c r="I484" s="2" t="inlineStr">
        <is>
          <t>SC/PC</t>
        </is>
      </c>
      <c r="J484" s="2" t="n"/>
      <c r="K484" s="2" t="n"/>
      <c r="L484" s="2" t="n"/>
      <c r="M484" s="2" t="n"/>
      <c r="N484" s="2" t="n"/>
      <c r="O484" s="2" t="n"/>
      <c r="P484" s="2" t="n">
        <v>30</v>
      </c>
      <c r="Q484" s="2" t="n"/>
      <c r="R484" s="2" t="n"/>
      <c r="S484" s="2" t="n"/>
      <c r="T484" s="2" t="n"/>
      <c r="U484" s="2" t="n"/>
      <c r="V484" s="2">
        <f>SUM(J484:U484)</f>
        <v/>
      </c>
      <c r="W484" s="2" t="n"/>
      <c r="X484" s="2" t="n"/>
      <c r="Y484" s="2" t="n"/>
      <c r="Z484" s="2" t="n"/>
      <c r="AA484" s="2" t="n">
        <v>60</v>
      </c>
      <c r="AB484" s="2" t="n">
        <v>60</v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>
        <f>IF(F484=1,V484*2,IF(F484=2,V484*F484*2,IF(F484&gt;2,F484*2*V484)))</f>
        <v/>
      </c>
      <c r="AW484" s="2">
        <f>SUM(W484:AU484)</f>
        <v/>
      </c>
    </row>
    <row r="485">
      <c r="A485" s="2" t="inlineStr">
        <is>
          <t>14-K-713</t>
        </is>
      </c>
      <c r="B485" s="3" t="inlineStr">
        <is>
          <t>OJC-A1-SC/SC-SM-30-PC/PC-DP</t>
        </is>
      </c>
      <c r="C485" s="2" t="inlineStr">
        <is>
          <t>K9089152_적색</t>
        </is>
      </c>
      <c r="D485" s="2" t="inlineStr">
        <is>
          <t>a1-적</t>
        </is>
      </c>
      <c r="E485" s="2" t="inlineStr">
        <is>
          <t>2.0mm</t>
        </is>
      </c>
      <c r="F485" s="2" t="n">
        <v>2</v>
      </c>
      <c r="G485" s="2" t="n">
        <v>30</v>
      </c>
      <c r="H485" s="2" t="inlineStr">
        <is>
          <t>SC/PC</t>
        </is>
      </c>
      <c r="I485" s="2" t="inlineStr">
        <is>
          <t>SC/PC</t>
        </is>
      </c>
      <c r="J485" s="2" t="n"/>
      <c r="K485" s="2" t="n"/>
      <c r="L485" s="2" t="n">
        <v>40</v>
      </c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>
        <f>SUM(J485:U485)</f>
        <v/>
      </c>
      <c r="W485" s="2" t="n"/>
      <c r="X485" s="2" t="n"/>
      <c r="Y485" s="2" t="n"/>
      <c r="Z485" s="2" t="n"/>
      <c r="AA485" s="2" t="n">
        <v>80</v>
      </c>
      <c r="AB485" s="2" t="n">
        <v>80</v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>
        <f>IF(F485=1,V485*2,IF(F485=2,V485*F485*2,IF(F485&gt;2,F485*2*V485)))</f>
        <v/>
      </c>
      <c r="AW485" s="2">
        <f>SUM(W485:AU485)</f>
        <v/>
      </c>
    </row>
    <row r="486">
      <c r="A486" s="2" t="inlineStr">
        <is>
          <t>14-K-719</t>
        </is>
      </c>
      <c r="B486" s="3" t="inlineStr">
        <is>
          <t>OJC-A1-LC/LC-SM-20-PC/PC-DP</t>
        </is>
      </c>
      <c r="C486" s="2" t="inlineStr">
        <is>
          <t>K9089178_청색</t>
        </is>
      </c>
      <c r="D486" s="2" t="inlineStr">
        <is>
          <t>a1-청</t>
        </is>
      </c>
      <c r="E486" s="2" t="inlineStr">
        <is>
          <t>2.0mm</t>
        </is>
      </c>
      <c r="F486" s="2" t="n">
        <v>2</v>
      </c>
      <c r="G486" s="2" t="n">
        <v>20</v>
      </c>
      <c r="H486" s="2" t="inlineStr">
        <is>
          <t>LC/PC</t>
        </is>
      </c>
      <c r="I486" s="2" t="inlineStr">
        <is>
          <t>LC/PC</t>
        </is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>
        <v>50</v>
      </c>
      <c r="T486" s="2" t="n"/>
      <c r="U486" s="2" t="n"/>
      <c r="V486" s="2">
        <f>SUM(J486:U486)</f>
        <v/>
      </c>
      <c r="W486" s="2" t="n">
        <v>100</v>
      </c>
      <c r="X486" s="2" t="n">
        <v>100</v>
      </c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>
        <f>IF(F486=1,V486*2,IF(F486=2,V486*F486*2,IF(F486&gt;2,F486*2*V486)))</f>
        <v/>
      </c>
      <c r="AW486" s="2">
        <f>SUM(W486:AU486)</f>
        <v/>
      </c>
    </row>
    <row r="487">
      <c r="A487" s="2" t="inlineStr">
        <is>
          <t>14-K-720</t>
        </is>
      </c>
      <c r="B487" s="3" t="inlineStr">
        <is>
          <t>OJC-A1-LC/LC-SM-15-PC/PC-DP</t>
        </is>
      </c>
      <c r="C487" s="2" t="inlineStr">
        <is>
          <t>K9089177_청색</t>
        </is>
      </c>
      <c r="D487" s="2" t="inlineStr">
        <is>
          <t>a1-청</t>
        </is>
      </c>
      <c r="E487" s="2" t="inlineStr">
        <is>
          <t>2.0mm</t>
        </is>
      </c>
      <c r="F487" s="2" t="n">
        <v>2</v>
      </c>
      <c r="G487" s="2" t="n">
        <v>15</v>
      </c>
      <c r="H487" s="2" t="inlineStr">
        <is>
          <t>LC/PC</t>
        </is>
      </c>
      <c r="I487" s="2" t="inlineStr">
        <is>
          <t>LC/PC</t>
        </is>
      </c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>
        <v>50</v>
      </c>
      <c r="T487" s="2" t="n"/>
      <c r="U487" s="2" t="n"/>
      <c r="V487" s="2">
        <f>SUM(J487:U487)</f>
        <v/>
      </c>
      <c r="W487" s="2" t="n">
        <v>100</v>
      </c>
      <c r="X487" s="2" t="n">
        <v>100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>
        <f>IF(F487=1,V487*2,IF(F487=2,V487*F487*2,IF(F487&gt;2,F487*2*V487)))</f>
        <v/>
      </c>
      <c r="AW487" s="2">
        <f>SUM(W487:AU487)</f>
        <v/>
      </c>
    </row>
    <row r="488">
      <c r="A488" s="2" t="inlineStr">
        <is>
          <t>14-K-721</t>
        </is>
      </c>
      <c r="B488" s="3" t="inlineStr">
        <is>
          <t>OJC-A1-LC/LC-SM-10-PC/PC-DP</t>
        </is>
      </c>
      <c r="C488" s="2" t="inlineStr">
        <is>
          <t>K9089176_청색</t>
        </is>
      </c>
      <c r="D488" s="2" t="inlineStr">
        <is>
          <t>a1-청</t>
        </is>
      </c>
      <c r="E488" s="2" t="inlineStr">
        <is>
          <t>2.0mm</t>
        </is>
      </c>
      <c r="F488" s="2" t="n">
        <v>2</v>
      </c>
      <c r="G488" s="2" t="n">
        <v>10</v>
      </c>
      <c r="H488" s="2" t="inlineStr">
        <is>
          <t>LC/PC</t>
        </is>
      </c>
      <c r="I488" s="2" t="inlineStr">
        <is>
          <t>LC/PC</t>
        </is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>
        <v>50</v>
      </c>
      <c r="S488" s="2" t="n">
        <v>50</v>
      </c>
      <c r="T488" s="2" t="n"/>
      <c r="U488" s="2" t="n"/>
      <c r="V488" s="2">
        <f>SUM(J488:U488)</f>
        <v/>
      </c>
      <c r="W488" s="2" t="n">
        <v>200</v>
      </c>
      <c r="X488" s="2" t="n">
        <v>200</v>
      </c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>
        <f>IF(F488=1,V488*2,IF(F488=2,V488*F488*2,IF(F488&gt;2,F488*2*V488)))</f>
        <v/>
      </c>
      <c r="AW488" s="2">
        <f>SUM(W488:AU488)</f>
        <v/>
      </c>
    </row>
    <row r="489">
      <c r="A489" s="2" t="inlineStr">
        <is>
          <t>14-K-724</t>
        </is>
      </c>
      <c r="B489" s="3" t="inlineStr">
        <is>
          <t>OJC-A1-SC/SC-SM-25-PC/PC-SP</t>
        </is>
      </c>
      <c r="C489" s="2" t="inlineStr">
        <is>
          <t>K9089018_녹색</t>
        </is>
      </c>
      <c r="D489" s="2" t="inlineStr">
        <is>
          <t>a1-녹</t>
        </is>
      </c>
      <c r="E489" s="2" t="inlineStr">
        <is>
          <t>2.0mm</t>
        </is>
      </c>
      <c r="F489" s="2" t="n">
        <v>1</v>
      </c>
      <c r="G489" s="2" t="n">
        <v>25</v>
      </c>
      <c r="H489" s="2" t="inlineStr">
        <is>
          <t>SC/PC</t>
        </is>
      </c>
      <c r="I489" s="2" t="inlineStr">
        <is>
          <t>SC/PC</t>
        </is>
      </c>
      <c r="J489" s="2" t="n"/>
      <c r="K489" s="2" t="n"/>
      <c r="L489" s="2" t="n"/>
      <c r="M489" s="2" t="n"/>
      <c r="N489" s="2" t="n"/>
      <c r="O489" s="2" t="n"/>
      <c r="P489" s="2" t="n">
        <v>50</v>
      </c>
      <c r="Q489" s="2" t="n"/>
      <c r="R489" s="2" t="n"/>
      <c r="S489" s="2" t="n"/>
      <c r="T489" s="2" t="n"/>
      <c r="U489" s="2" t="n"/>
      <c r="V489" s="2">
        <f>SUM(J489:U489)</f>
        <v/>
      </c>
      <c r="W489" s="2" t="n"/>
      <c r="X489" s="2" t="n"/>
      <c r="Y489" s="2" t="n"/>
      <c r="Z489" s="2" t="n"/>
      <c r="AA489" s="2" t="n">
        <v>100</v>
      </c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>
        <f>IF(F489=1,V489*2,IF(F489=2,V489*F489*2,IF(F489&gt;2,F489*2*V489)))</f>
        <v/>
      </c>
      <c r="AW489" s="2">
        <f>SUM(W489:AU489)</f>
        <v/>
      </c>
    </row>
    <row r="490">
      <c r="A490" s="2" t="inlineStr">
        <is>
          <t>14-K-732</t>
        </is>
      </c>
      <c r="B490" s="3" t="inlineStr">
        <is>
          <t>OJC-C2-SC/SC-SM-20-PC/PC-16C</t>
        </is>
      </c>
      <c r="C490" s="2" t="inlineStr">
        <is>
          <t>K9094339</t>
        </is>
      </c>
      <c r="D490" s="2" t="inlineStr">
        <is>
          <t>a1-16c</t>
        </is>
      </c>
      <c r="E490" s="2" t="inlineStr">
        <is>
          <t>2.0mm</t>
        </is>
      </c>
      <c r="F490" s="2" t="n">
        <v>16</v>
      </c>
      <c r="G490" s="2" t="n">
        <v>20</v>
      </c>
      <c r="H490" s="2" t="inlineStr">
        <is>
          <t>SC/PC</t>
        </is>
      </c>
      <c r="I490" s="2" t="inlineStr">
        <is>
          <t>SC/PC</t>
        </is>
      </c>
      <c r="J490" s="2" t="n"/>
      <c r="K490" s="2" t="n"/>
      <c r="L490" s="2" t="n"/>
      <c r="M490" s="2" t="n"/>
      <c r="N490" s="2" t="n"/>
      <c r="O490" s="2" t="n"/>
      <c r="P490" s="2" t="n"/>
      <c r="Q490" s="2" t="n">
        <v>10</v>
      </c>
      <c r="R490" s="2" t="n"/>
      <c r="S490" s="2" t="n"/>
      <c r="T490" s="2" t="n"/>
      <c r="U490" s="2" t="n"/>
      <c r="V490" s="2">
        <f>SUM(J490:U490)</f>
        <v/>
      </c>
      <c r="W490" s="2" t="n"/>
      <c r="X490" s="2" t="n"/>
      <c r="Y490" s="2" t="n"/>
      <c r="Z490" s="2" t="n"/>
      <c r="AA490" s="2" t="n">
        <v>320</v>
      </c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>
        <f>IF(F490=1,V490*2,IF(F490=2,V490*F490*2,IF(F490&gt;2,F490*2*V490)))</f>
        <v/>
      </c>
      <c r="AW490" s="2">
        <f>SUM(W490:AU490)</f>
        <v/>
      </c>
    </row>
    <row r="491">
      <c r="A491" s="2" t="inlineStr">
        <is>
          <t>14-K-744</t>
        </is>
      </c>
      <c r="B491" s="3" t="inlineStr">
        <is>
          <t>OJC-A1-LC/LC-MM(OM3)-2-PC/PC-DP</t>
        </is>
      </c>
      <c r="C491" s="2" t="inlineStr"/>
      <c r="D491" s="2" t="inlineStr">
        <is>
          <t>om3</t>
        </is>
      </c>
      <c r="E491" s="2" t="inlineStr">
        <is>
          <t>2.0mm</t>
        </is>
      </c>
      <c r="F491" s="2" t="n">
        <v>2</v>
      </c>
      <c r="G491" s="2" t="n">
        <v>2</v>
      </c>
      <c r="H491" s="2" t="inlineStr">
        <is>
          <t>LC/PC</t>
        </is>
      </c>
      <c r="I491" s="2" t="inlineStr">
        <is>
          <t>LC/PC</t>
        </is>
      </c>
      <c r="J491" s="2" t="n">
        <v>36</v>
      </c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>
        <f>SUM(J491:U491)</f>
        <v/>
      </c>
      <c r="W491" s="2" t="n"/>
      <c r="X491" s="2" t="n">
        <v>72</v>
      </c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>
        <v>72</v>
      </c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>
        <f>IF(F491=1,V491*2,IF(F491=2,V491*F491*2,IF(F491&gt;2,F491*2*V491)))</f>
        <v/>
      </c>
      <c r="AW491" s="2">
        <f>SUM(W491:AU491)</f>
        <v/>
      </c>
    </row>
    <row r="492">
      <c r="A492" s="2" t="inlineStr">
        <is>
          <t>14-K-775</t>
        </is>
      </c>
      <c r="B492" s="3" t="inlineStr">
        <is>
          <t>OJC-A1-SC/SC-SM-20-PC/PC-DP</t>
        </is>
      </c>
      <c r="C492" s="2" t="inlineStr">
        <is>
          <t>K9089142_적색</t>
        </is>
      </c>
      <c r="D492" s="2" t="inlineStr">
        <is>
          <t>a1-적</t>
        </is>
      </c>
      <c r="E492" s="2" t="inlineStr">
        <is>
          <t>2.0mm</t>
        </is>
      </c>
      <c r="F492" s="2" t="n">
        <v>2</v>
      </c>
      <c r="G492" s="2" t="n">
        <v>20</v>
      </c>
      <c r="H492" s="2" t="inlineStr">
        <is>
          <t>SC/PC</t>
        </is>
      </c>
      <c r="I492" s="2" t="inlineStr">
        <is>
          <t>SC/PC</t>
        </is>
      </c>
      <c r="J492" s="2" t="n"/>
      <c r="K492" s="2" t="n">
        <v>1</v>
      </c>
      <c r="L492" s="2" t="n"/>
      <c r="M492" s="2" t="n">
        <v>4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>
        <f>SUM(J492:U492)</f>
        <v/>
      </c>
      <c r="W492" s="2" t="n"/>
      <c r="X492" s="2" t="n"/>
      <c r="Y492" s="2" t="n"/>
      <c r="Z492" s="2" t="n"/>
      <c r="AA492" s="2" t="n">
        <v>10</v>
      </c>
      <c r="AB492" s="2" t="n">
        <v>10</v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>
        <f>IF(F492=1,V492*2,IF(F492=2,V492*F492*2,IF(F492&gt;2,F492*2*V492)))</f>
        <v/>
      </c>
      <c r="AW492" s="2">
        <f>SUM(W492:AU492)</f>
        <v/>
      </c>
    </row>
    <row r="493">
      <c r="A493" s="2" t="inlineStr">
        <is>
          <t>14-K-780</t>
        </is>
      </c>
      <c r="B493" s="3" t="inlineStr">
        <is>
          <t>OJC-A1-SC/LC-SM-15-PC/PC-DP</t>
        </is>
      </c>
      <c r="C493" s="2" t="inlineStr">
        <is>
          <t>K9089163_적색</t>
        </is>
      </c>
      <c r="D493" s="2" t="inlineStr">
        <is>
          <t>a1-적</t>
        </is>
      </c>
      <c r="E493" s="2" t="inlineStr">
        <is>
          <t>2.0mm</t>
        </is>
      </c>
      <c r="F493" s="2" t="n">
        <v>2</v>
      </c>
      <c r="G493" s="2" t="n">
        <v>15</v>
      </c>
      <c r="H493" s="2" t="inlineStr">
        <is>
          <t>SC/PC</t>
        </is>
      </c>
      <c r="I493" s="2" t="inlineStr">
        <is>
          <t>LC/PC</t>
        </is>
      </c>
      <c r="J493" s="2" t="n"/>
      <c r="K493" s="2" t="n">
        <v>20</v>
      </c>
      <c r="L493" s="2" t="n">
        <v>50</v>
      </c>
      <c r="M493" s="2" t="n"/>
      <c r="N493" s="2" t="n">
        <v>30</v>
      </c>
      <c r="O493" s="2" t="n"/>
      <c r="P493" s="2" t="n"/>
      <c r="Q493" s="2" t="n"/>
      <c r="R493" s="2" t="n"/>
      <c r="S493" s="2" t="n"/>
      <c r="T493" s="2" t="n">
        <v>48</v>
      </c>
      <c r="U493" s="2" t="n"/>
      <c r="V493" s="2">
        <f>SUM(J493:U493)</f>
        <v/>
      </c>
      <c r="W493" s="2" t="n"/>
      <c r="X493" s="2" t="n">
        <v>296</v>
      </c>
      <c r="Y493" s="2" t="n"/>
      <c r="Z493" s="2" t="n"/>
      <c r="AA493" s="2" t="n">
        <v>296</v>
      </c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>
        <f>IF(F493=1,V493*2,IF(F493=2,V493*F493*2,IF(F493&gt;2,F493*2*V493)))</f>
        <v/>
      </c>
      <c r="AW493" s="2">
        <f>SUM(W493:AU493)</f>
        <v/>
      </c>
    </row>
    <row r="494">
      <c r="A494" s="2" t="inlineStr">
        <is>
          <t>14-K-781</t>
        </is>
      </c>
      <c r="B494" s="3" t="inlineStr">
        <is>
          <t>OJC-A1-SC/LC-SM-20-PC/PC-DP</t>
        </is>
      </c>
      <c r="C494" s="2" t="inlineStr">
        <is>
          <t>K9089164_적색</t>
        </is>
      </c>
      <c r="D494" s="2" t="inlineStr">
        <is>
          <t>a1-적</t>
        </is>
      </c>
      <c r="E494" s="2" t="inlineStr">
        <is>
          <t>2.0mm</t>
        </is>
      </c>
      <c r="F494" s="2" t="n">
        <v>2</v>
      </c>
      <c r="G494" s="2" t="n">
        <v>20</v>
      </c>
      <c r="H494" s="2" t="inlineStr">
        <is>
          <t>SC/PC</t>
        </is>
      </c>
      <c r="I494" s="2" t="inlineStr">
        <is>
          <t>LC/PC</t>
        </is>
      </c>
      <c r="J494" s="2" t="n"/>
      <c r="K494" s="2" t="n">
        <v>20</v>
      </c>
      <c r="L494" s="2" t="n">
        <v>70</v>
      </c>
      <c r="M494" s="2" t="n">
        <v>20</v>
      </c>
      <c r="N494" s="2" t="n">
        <v>40</v>
      </c>
      <c r="O494" s="2" t="n"/>
      <c r="P494" s="2" t="n"/>
      <c r="Q494" s="2" t="n"/>
      <c r="R494" s="2" t="n"/>
      <c r="S494" s="2" t="n"/>
      <c r="T494" s="2" t="n"/>
      <c r="U494" s="2" t="n"/>
      <c r="V494" s="2">
        <f>SUM(J494:U494)</f>
        <v/>
      </c>
      <c r="W494" s="2" t="n"/>
      <c r="X494" s="2" t="n">
        <v>300</v>
      </c>
      <c r="Y494" s="2" t="n"/>
      <c r="Z494" s="2" t="n"/>
      <c r="AA494" s="2" t="n">
        <v>300</v>
      </c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>
        <f>IF(F494=1,V494*2,IF(F494=2,V494*F494*2,IF(F494&gt;2,F494*2*V494)))</f>
        <v/>
      </c>
      <c r="AW494" s="2">
        <f>SUM(W494:AU494)</f>
        <v/>
      </c>
    </row>
    <row r="495">
      <c r="A495" s="2" t="inlineStr">
        <is>
          <t>14-K-782</t>
        </is>
      </c>
      <c r="B495" s="3" t="inlineStr">
        <is>
          <t>OJC-A1-SC/LC-SM-25-PC/PC-DP</t>
        </is>
      </c>
      <c r="C495" s="2" t="inlineStr">
        <is>
          <t>K9089165_적색</t>
        </is>
      </c>
      <c r="D495" s="2" t="inlineStr">
        <is>
          <t>a1-적</t>
        </is>
      </c>
      <c r="E495" s="2" t="inlineStr">
        <is>
          <t>2.0mm</t>
        </is>
      </c>
      <c r="F495" s="2" t="n">
        <v>2</v>
      </c>
      <c r="G495" s="2" t="n">
        <v>25</v>
      </c>
      <c r="H495" s="2" t="inlineStr">
        <is>
          <t>SC/PC</t>
        </is>
      </c>
      <c r="I495" s="2" t="inlineStr">
        <is>
          <t>LC/PC</t>
        </is>
      </c>
      <c r="J495" s="2" t="n"/>
      <c r="K495" s="2" t="n">
        <v>20</v>
      </c>
      <c r="L495" s="2" t="n">
        <v>30</v>
      </c>
      <c r="M495" s="2" t="n"/>
      <c r="N495" s="2" t="n">
        <v>40</v>
      </c>
      <c r="O495" s="2" t="n"/>
      <c r="P495" s="2" t="n"/>
      <c r="Q495" s="2" t="n"/>
      <c r="R495" s="2" t="n"/>
      <c r="S495" s="2" t="n"/>
      <c r="T495" s="2" t="n"/>
      <c r="U495" s="2" t="n"/>
      <c r="V495" s="2">
        <f>SUM(J495:U495)</f>
        <v/>
      </c>
      <c r="W495" s="2" t="n"/>
      <c r="X495" s="2" t="n">
        <v>180</v>
      </c>
      <c r="Y495" s="2" t="n"/>
      <c r="Z495" s="2" t="n"/>
      <c r="AA495" s="2" t="n">
        <v>180</v>
      </c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>
        <f>IF(F495=1,V495*2,IF(F495=2,V495*F495*2,IF(F495&gt;2,F495*2*V495)))</f>
        <v/>
      </c>
      <c r="AW495" s="2">
        <f>SUM(W495:AU495)</f>
        <v/>
      </c>
    </row>
    <row r="496">
      <c r="A496" s="2" t="inlineStr">
        <is>
          <t>14-K-783</t>
        </is>
      </c>
      <c r="B496" s="3" t="inlineStr">
        <is>
          <t>OJC-A1-LC/LC-SM-20-PC/PC-DP</t>
        </is>
      </c>
      <c r="C496" s="2" t="inlineStr">
        <is>
          <t>K9089178_적색</t>
        </is>
      </c>
      <c r="D496" s="2" t="inlineStr">
        <is>
          <t>a1-적</t>
        </is>
      </c>
      <c r="E496" s="2" t="inlineStr">
        <is>
          <t>2.0mm</t>
        </is>
      </c>
      <c r="F496" s="2" t="n">
        <v>2</v>
      </c>
      <c r="G496" s="2" t="n">
        <v>20</v>
      </c>
      <c r="H496" s="2" t="inlineStr">
        <is>
          <t>LC/PC</t>
        </is>
      </c>
      <c r="I496" s="2" t="inlineStr">
        <is>
          <t>LC/PC</t>
        </is>
      </c>
      <c r="J496" s="2" t="n"/>
      <c r="K496" s="2" t="n">
        <v>20</v>
      </c>
      <c r="L496" s="2" t="n">
        <v>20</v>
      </c>
      <c r="M496" s="2" t="n"/>
      <c r="N496" s="2" t="n">
        <v>20</v>
      </c>
      <c r="O496" s="2" t="n"/>
      <c r="P496" s="2" t="n"/>
      <c r="Q496" s="2" t="n"/>
      <c r="R496" s="2" t="n"/>
      <c r="S496" s="2" t="n"/>
      <c r="T496" s="2" t="n"/>
      <c r="U496" s="2" t="n"/>
      <c r="V496" s="2">
        <f>SUM(J496:U496)</f>
        <v/>
      </c>
      <c r="W496" s="2" t="n">
        <v>120</v>
      </c>
      <c r="X496" s="2" t="n">
        <v>120</v>
      </c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>
        <f>IF(F496=1,V496*2,IF(F496=2,V496*F496*2,IF(F496&gt;2,F496*2*V496)))</f>
        <v/>
      </c>
      <c r="AW496" s="2">
        <f>SUM(W496:AU496)</f>
        <v/>
      </c>
    </row>
    <row r="497">
      <c r="A497" s="2" t="inlineStr">
        <is>
          <t>14-K-784</t>
        </is>
      </c>
      <c r="B497" s="3" t="inlineStr">
        <is>
          <t>OJC-A1-LC/LC-SM-25-PC/PC-DP</t>
        </is>
      </c>
      <c r="C497" s="2" t="inlineStr">
        <is>
          <t>K9089179_적색</t>
        </is>
      </c>
      <c r="D497" s="2" t="inlineStr">
        <is>
          <t>a1-적</t>
        </is>
      </c>
      <c r="E497" s="2" t="inlineStr">
        <is>
          <t>2.0mm</t>
        </is>
      </c>
      <c r="F497" s="2" t="n">
        <v>2</v>
      </c>
      <c r="G497" s="2" t="n">
        <v>25</v>
      </c>
      <c r="H497" s="2" t="inlineStr">
        <is>
          <t>LC/PC</t>
        </is>
      </c>
      <c r="I497" s="2" t="inlineStr">
        <is>
          <t>LC/PC</t>
        </is>
      </c>
      <c r="J497" s="2" t="n"/>
      <c r="K497" s="2" t="n">
        <v>20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>
        <f>SUM(J497:U497)</f>
        <v/>
      </c>
      <c r="W497" s="2" t="n">
        <v>40</v>
      </c>
      <c r="X497" s="2" t="n">
        <v>40</v>
      </c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>
        <f>IF(F497=1,V497*2,IF(F497=2,V497*F497*2,IF(F497&gt;2,F497*2*V497)))</f>
        <v/>
      </c>
      <c r="AW497" s="2">
        <f>SUM(W497:AU497)</f>
        <v/>
      </c>
    </row>
    <row r="498">
      <c r="A498" s="2" t="inlineStr">
        <is>
          <t>14-K-786</t>
        </is>
      </c>
      <c r="B498" s="3" t="inlineStr">
        <is>
          <t>OJC-A1-LC/LC-SM-30-PC/PC-DP</t>
        </is>
      </c>
      <c r="C498" s="2" t="inlineStr">
        <is>
          <t>K9089180_적색</t>
        </is>
      </c>
      <c r="D498" s="2" t="inlineStr">
        <is>
          <t>a1-적</t>
        </is>
      </c>
      <c r="E498" s="2" t="inlineStr">
        <is>
          <t>2.0mm</t>
        </is>
      </c>
      <c r="F498" s="2" t="n">
        <v>2</v>
      </c>
      <c r="G498" s="2" t="n">
        <v>30</v>
      </c>
      <c r="H498" s="2" t="inlineStr">
        <is>
          <t>LC/PC</t>
        </is>
      </c>
      <c r="I498" s="2" t="inlineStr">
        <is>
          <t>LC/PC</t>
        </is>
      </c>
      <c r="J498" s="2" t="n">
        <v>1</v>
      </c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>
        <f>SUM(J498:U498)</f>
        <v/>
      </c>
      <c r="W498" s="2" t="n">
        <v>2</v>
      </c>
      <c r="X498" s="2" t="n">
        <v>2</v>
      </c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>
        <f>IF(F498=1,V498*2,IF(F498=2,V498*F498*2,IF(F498&gt;2,F498*2*V498)))</f>
        <v/>
      </c>
      <c r="AW498" s="2">
        <f>SUM(W498:AU498)</f>
        <v/>
      </c>
    </row>
    <row r="499">
      <c r="A499" s="2" t="inlineStr">
        <is>
          <t>14-K-787</t>
        </is>
      </c>
      <c r="B499" s="3" t="inlineStr">
        <is>
          <t>OJC-A1-SC/LC-SM-30-PC/PC-DP</t>
        </is>
      </c>
      <c r="C499" s="2" t="inlineStr">
        <is>
          <t>K9089166_적색</t>
        </is>
      </c>
      <c r="D499" s="2" t="inlineStr">
        <is>
          <t>a1-적</t>
        </is>
      </c>
      <c r="E499" s="2" t="inlineStr">
        <is>
          <t>2.0mm</t>
        </is>
      </c>
      <c r="F499" s="2" t="n">
        <v>2</v>
      </c>
      <c r="G499" s="2" t="n">
        <v>30</v>
      </c>
      <c r="H499" s="2" t="inlineStr">
        <is>
          <t>SC/PC</t>
        </is>
      </c>
      <c r="I499" s="2" t="inlineStr">
        <is>
          <t>LC/PC</t>
        </is>
      </c>
      <c r="J499" s="2" t="n"/>
      <c r="K499" s="2" t="n"/>
      <c r="L499" s="2" t="n"/>
      <c r="M499" s="2" t="n"/>
      <c r="N499" s="2" t="n">
        <v>20</v>
      </c>
      <c r="O499" s="2" t="n"/>
      <c r="P499" s="2" t="n"/>
      <c r="Q499" s="2" t="n"/>
      <c r="R499" s="2" t="n"/>
      <c r="S499" s="2" t="n"/>
      <c r="T499" s="2" t="n"/>
      <c r="U499" s="2" t="n"/>
      <c r="V499" s="2">
        <f>SUM(J499:U499)</f>
        <v/>
      </c>
      <c r="W499" s="2" t="n"/>
      <c r="X499" s="2" t="n">
        <v>40</v>
      </c>
      <c r="Y499" s="2" t="n"/>
      <c r="Z499" s="2" t="n"/>
      <c r="AA499" s="2" t="n">
        <v>40</v>
      </c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>
        <f>IF(F499=1,V499*2,IF(F499=2,V499*F499*2,IF(F499&gt;2,F499*2*V499)))</f>
        <v/>
      </c>
      <c r="AW499" s="2">
        <f>SUM(W499:AU499)</f>
        <v/>
      </c>
    </row>
    <row r="500">
      <c r="A500" s="2" t="inlineStr">
        <is>
          <t>14-K-789</t>
        </is>
      </c>
      <c r="B500" s="3" t="inlineStr">
        <is>
          <t>OJC-A1-LC/LC-MM(OM3)-7-PC/PC-DP</t>
        </is>
      </c>
      <c r="C500" s="2" t="inlineStr"/>
      <c r="D500" s="2" t="inlineStr">
        <is>
          <t>om3</t>
        </is>
      </c>
      <c r="E500" s="2" t="inlineStr">
        <is>
          <t>2.0mm</t>
        </is>
      </c>
      <c r="F500" s="2" t="n">
        <v>2</v>
      </c>
      <c r="G500" s="2" t="n">
        <v>7</v>
      </c>
      <c r="H500" s="2" t="inlineStr">
        <is>
          <t>LC/PC</t>
        </is>
      </c>
      <c r="I500" s="2" t="inlineStr">
        <is>
          <t>LC/PC</t>
        </is>
      </c>
      <c r="J500" s="2" t="n"/>
      <c r="K500" s="2" t="n"/>
      <c r="L500" s="2" t="n">
        <v>2</v>
      </c>
      <c r="M500" s="2" t="n"/>
      <c r="N500" s="2" t="n"/>
      <c r="O500" s="2" t="n"/>
      <c r="P500" s="2" t="n"/>
      <c r="Q500" s="2" t="n"/>
      <c r="R500" s="2" t="n"/>
      <c r="S500" s="2" t="n">
        <v>12</v>
      </c>
      <c r="T500" s="2" t="n"/>
      <c r="U500" s="2" t="n"/>
      <c r="V500" s="2">
        <f>SUM(J500:U500)</f>
        <v/>
      </c>
      <c r="W500" s="2" t="n"/>
      <c r="X500" s="2" t="n">
        <v>28</v>
      </c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>
        <v>28</v>
      </c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>
        <f>IF(F500=1,V500*2,IF(F500=2,V500*F500*2,IF(F500&gt;2,F500*2*V500)))</f>
        <v/>
      </c>
      <c r="AW500" s="2">
        <f>SUM(W500:AU500)</f>
        <v/>
      </c>
    </row>
    <row r="501">
      <c r="A501" s="2" t="inlineStr">
        <is>
          <t>14-K-790</t>
        </is>
      </c>
      <c r="B501" s="3" t="inlineStr">
        <is>
          <t>OJC-A1-LC/LC-SM-9-PC/PC-DP</t>
        </is>
      </c>
      <c r="C501" s="2" t="inlineStr"/>
      <c r="D501" s="2" t="inlineStr">
        <is>
          <t>a1</t>
        </is>
      </c>
      <c r="E501" s="2" t="inlineStr">
        <is>
          <t>2.0mm</t>
        </is>
      </c>
      <c r="F501" s="2" t="n">
        <v>2</v>
      </c>
      <c r="G501" s="2" t="n">
        <v>9</v>
      </c>
      <c r="H501" s="2" t="inlineStr">
        <is>
          <t>LC/PC</t>
        </is>
      </c>
      <c r="I501" s="2" t="inlineStr">
        <is>
          <t>LC/PC</t>
        </is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>
        <v>40</v>
      </c>
      <c r="U501" s="2" t="n"/>
      <c r="V501" s="2">
        <f>SUM(J501:U501)</f>
        <v/>
      </c>
      <c r="W501" s="2" t="n">
        <v>80</v>
      </c>
      <c r="X501" s="2" t="n">
        <v>80</v>
      </c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>
        <f>IF(F501=1,V501*2,IF(F501=2,V501*F501*2,IF(F501&gt;2,F501*2*V501)))</f>
        <v/>
      </c>
      <c r="AW501" s="2">
        <f>SUM(W501:AU501)</f>
        <v/>
      </c>
    </row>
    <row r="502">
      <c r="A502" s="2" t="inlineStr">
        <is>
          <t>14-K-808</t>
        </is>
      </c>
      <c r="B502" s="3" t="inlineStr">
        <is>
          <t>OJC-A1-LC/LC-SM-70-PC/PC-DP</t>
        </is>
      </c>
      <c r="C502" s="2" t="inlineStr"/>
      <c r="D502" s="2" t="inlineStr">
        <is>
          <t>a1</t>
        </is>
      </c>
      <c r="E502" s="2" t="inlineStr">
        <is>
          <t>2.0mm</t>
        </is>
      </c>
      <c r="F502" s="2" t="n">
        <v>2</v>
      </c>
      <c r="G502" s="2" t="n">
        <v>70</v>
      </c>
      <c r="H502" s="2" t="inlineStr">
        <is>
          <t>LC/PC</t>
        </is>
      </c>
      <c r="I502" s="2" t="inlineStr">
        <is>
          <t>LC/PC</t>
        </is>
      </c>
      <c r="J502" s="2" t="n"/>
      <c r="K502" s="2" t="n"/>
      <c r="L502" s="2" t="n"/>
      <c r="M502" s="2" t="n"/>
      <c r="N502" s="2" t="n"/>
      <c r="O502" s="2" t="n">
        <v>7</v>
      </c>
      <c r="P502" s="2" t="n">
        <v>1</v>
      </c>
      <c r="Q502" s="2" t="n"/>
      <c r="R502" s="2" t="n"/>
      <c r="S502" s="2" t="n"/>
      <c r="T502" s="2" t="n"/>
      <c r="U502" s="2" t="n"/>
      <c r="V502" s="2">
        <f>SUM(J502:U502)</f>
        <v/>
      </c>
      <c r="W502" s="2" t="n">
        <v>16</v>
      </c>
      <c r="X502" s="2" t="n">
        <v>16</v>
      </c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>
        <f>IF(F502=1,V502*2,IF(F502=2,V502*F502*2,IF(F502&gt;2,F502*2*V502)))</f>
        <v/>
      </c>
      <c r="AW502" s="2">
        <f>SUM(W502:AU502)</f>
        <v/>
      </c>
    </row>
    <row r="503">
      <c r="A503" s="2" t="inlineStr">
        <is>
          <t>14-K-810</t>
        </is>
      </c>
      <c r="B503" s="3" t="inlineStr">
        <is>
          <t>OJC-A1-SC/LC-SM-5-PC/PC-DP</t>
        </is>
      </c>
      <c r="C503" s="2" t="inlineStr">
        <is>
          <t>K9089161_청색</t>
        </is>
      </c>
      <c r="D503" s="2" t="inlineStr">
        <is>
          <t>a1-청</t>
        </is>
      </c>
      <c r="E503" s="2" t="inlineStr">
        <is>
          <t>2.0mm</t>
        </is>
      </c>
      <c r="F503" s="2" t="n">
        <v>2</v>
      </c>
      <c r="G503" s="2" t="n">
        <v>5</v>
      </c>
      <c r="H503" s="2" t="inlineStr">
        <is>
          <t>SC/PC</t>
        </is>
      </c>
      <c r="I503" s="2" t="inlineStr">
        <is>
          <t>LC/PC</t>
        </is>
      </c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>
        <v>50</v>
      </c>
      <c r="T503" s="2" t="n"/>
      <c r="U503" s="2" t="n"/>
      <c r="V503" s="2">
        <f>SUM(J503:U503)</f>
        <v/>
      </c>
      <c r="W503" s="2" t="n"/>
      <c r="X503" s="2" t="n">
        <v>100</v>
      </c>
      <c r="Y503" s="2" t="n"/>
      <c r="Z503" s="2" t="n"/>
      <c r="AA503" s="2" t="n">
        <v>100</v>
      </c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>
        <f>IF(F503=1,V503*2,IF(F503=2,V503*F503*2,IF(F503&gt;2,F503*2*V503)))</f>
        <v/>
      </c>
      <c r="AW503" s="2">
        <f>SUM(W503:AU503)</f>
        <v/>
      </c>
    </row>
    <row r="504">
      <c r="A504" s="2" t="inlineStr">
        <is>
          <t>14-K-814</t>
        </is>
      </c>
      <c r="B504" s="3" t="inlineStr">
        <is>
          <t>OJC-A1-LC/LC-SM-0.3-PC/PC-SP</t>
        </is>
      </c>
      <c r="C504" s="2" t="inlineStr"/>
      <c r="D504" s="2" t="inlineStr">
        <is>
          <t>a1</t>
        </is>
      </c>
      <c r="E504" s="2" t="inlineStr">
        <is>
          <t>2.0mm</t>
        </is>
      </c>
      <c r="F504" s="2" t="n">
        <v>1</v>
      </c>
      <c r="G504" s="2" t="n">
        <v>0.3</v>
      </c>
      <c r="H504" s="2" t="inlineStr">
        <is>
          <t>LC/PC</t>
        </is>
      </c>
      <c r="I504" s="2" t="inlineStr">
        <is>
          <t>LC/PC</t>
        </is>
      </c>
      <c r="J504" s="2" t="n"/>
      <c r="K504" s="2" t="n"/>
      <c r="L504" s="2" t="n">
        <v>200</v>
      </c>
      <c r="M504" s="2" t="n"/>
      <c r="N504" s="2" t="n"/>
      <c r="O504" s="2" t="n"/>
      <c r="P504" s="2" t="n"/>
      <c r="Q504" s="2" t="n"/>
      <c r="R504" s="2" t="n"/>
      <c r="S504" s="2" t="n"/>
      <c r="T504" s="2" t="n">
        <v>100</v>
      </c>
      <c r="U504" s="2" t="n"/>
      <c r="V504" s="2">
        <f>SUM(J504:U504)</f>
        <v/>
      </c>
      <c r="W504" s="2" t="n">
        <v>600</v>
      </c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>
        <f>IF(F504=1,V504*2,IF(F504=2,V504*F504*2,IF(F504&gt;2,F504*2*V504)))</f>
        <v/>
      </c>
      <c r="AW504" s="2">
        <f>SUM(W504:AU504)</f>
        <v/>
      </c>
    </row>
    <row r="505">
      <c r="A505" s="2" t="inlineStr">
        <is>
          <t>14-K-822</t>
        </is>
      </c>
      <c r="B505" s="3" t="inlineStr">
        <is>
          <t>OJC-A1-SC/SC-SM-5-PC/PC-SP</t>
        </is>
      </c>
      <c r="C505" s="2" t="inlineStr">
        <is>
          <t>K9088998_청색</t>
        </is>
      </c>
      <c r="D505" s="2" t="inlineStr">
        <is>
          <t>a1-청</t>
        </is>
      </c>
      <c r="E505" s="2" t="inlineStr">
        <is>
          <t>2.0mm</t>
        </is>
      </c>
      <c r="F505" s="2" t="n">
        <v>1</v>
      </c>
      <c r="G505" s="2" t="n">
        <v>5</v>
      </c>
      <c r="H505" s="2" t="inlineStr">
        <is>
          <t>SC/PC</t>
        </is>
      </c>
      <c r="I505" s="2" t="inlineStr">
        <is>
          <t>SC/PC</t>
        </is>
      </c>
      <c r="J505" s="2" t="n"/>
      <c r="K505" s="2" t="n"/>
      <c r="L505" s="2" t="n">
        <v>50</v>
      </c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>
        <f>SUM(J505:U505)</f>
        <v/>
      </c>
      <c r="W505" s="2" t="n"/>
      <c r="X505" s="2" t="n"/>
      <c r="Y505" s="2" t="n"/>
      <c r="Z505" s="2" t="n"/>
      <c r="AA505" s="2" t="n">
        <v>100</v>
      </c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>
        <f>IF(F505=1,V505*2,IF(F505=2,V505*F505*2,IF(F505&gt;2,F505*2*V505)))</f>
        <v/>
      </c>
      <c r="AW505" s="2">
        <f>SUM(W505:AU505)</f>
        <v/>
      </c>
    </row>
    <row r="506">
      <c r="A506" s="2" t="inlineStr">
        <is>
          <t>14-K-824</t>
        </is>
      </c>
      <c r="B506" s="3" t="inlineStr">
        <is>
          <t>OJC-A1-SC/SC-SM-5-PC/PC-SP</t>
        </is>
      </c>
      <c r="C506" s="2" t="inlineStr">
        <is>
          <t>K9088998_녹색</t>
        </is>
      </c>
      <c r="D506" s="2" t="inlineStr">
        <is>
          <t>a1-녹</t>
        </is>
      </c>
      <c r="E506" s="2" t="inlineStr">
        <is>
          <t>2.0mm</t>
        </is>
      </c>
      <c r="F506" s="2" t="n">
        <v>1</v>
      </c>
      <c r="G506" s="2" t="n">
        <v>5</v>
      </c>
      <c r="H506" s="2" t="inlineStr">
        <is>
          <t>SC/PC</t>
        </is>
      </c>
      <c r="I506" s="2" t="inlineStr">
        <is>
          <t>SC/PC</t>
        </is>
      </c>
      <c r="J506" s="2" t="n"/>
      <c r="K506" s="2" t="n"/>
      <c r="L506" s="2" t="n"/>
      <c r="M506" s="2" t="n"/>
      <c r="N506" s="2" t="n">
        <v>15</v>
      </c>
      <c r="O506" s="2" t="n">
        <v>423</v>
      </c>
      <c r="P506" s="2" t="n"/>
      <c r="Q506" s="2" t="n"/>
      <c r="R506" s="2" t="n"/>
      <c r="S506" s="2" t="n">
        <v>15</v>
      </c>
      <c r="T506" s="2" t="n"/>
      <c r="U506" s="2" t="n"/>
      <c r="V506" s="2">
        <f>SUM(J506:U506)</f>
        <v/>
      </c>
      <c r="W506" s="2" t="n"/>
      <c r="X506" s="2" t="n"/>
      <c r="Y506" s="2" t="n"/>
      <c r="Z506" s="2" t="n"/>
      <c r="AA506" s="2" t="n">
        <v>906</v>
      </c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>
        <f>IF(F506=1,V506*2,IF(F506=2,V506*F506*2,IF(F506&gt;2,F506*2*V506)))</f>
        <v/>
      </c>
      <c r="AW506" s="2">
        <f>SUM(W506:AU506)</f>
        <v/>
      </c>
    </row>
    <row r="507">
      <c r="A507" s="2" t="inlineStr">
        <is>
          <t>14-K-829</t>
        </is>
      </c>
      <c r="B507" s="3" t="inlineStr">
        <is>
          <t>OJC-A1-SC/SC-SM-55-PC/PC-DP</t>
        </is>
      </c>
      <c r="C507" s="2" t="inlineStr"/>
      <c r="D507" s="2" t="inlineStr">
        <is>
          <t>a1</t>
        </is>
      </c>
      <c r="E507" s="2" t="inlineStr">
        <is>
          <t>2.0mm</t>
        </is>
      </c>
      <c r="F507" s="2" t="n">
        <v>2</v>
      </c>
      <c r="G507" s="2" t="n">
        <v>55</v>
      </c>
      <c r="H507" s="2" t="inlineStr">
        <is>
          <t>SC/PC</t>
        </is>
      </c>
      <c r="I507" s="2" t="inlineStr">
        <is>
          <t>SC/PC</t>
        </is>
      </c>
      <c r="J507" s="2" t="n"/>
      <c r="K507" s="2" t="n"/>
      <c r="L507" s="2" t="n"/>
      <c r="M507" s="2" t="n"/>
      <c r="N507" s="2" t="n"/>
      <c r="O507" s="2" t="n">
        <v>3</v>
      </c>
      <c r="P507" s="2" t="n"/>
      <c r="Q507" s="2" t="n"/>
      <c r="R507" s="2" t="n"/>
      <c r="S507" s="2" t="n"/>
      <c r="T507" s="2" t="n"/>
      <c r="U507" s="2" t="n"/>
      <c r="V507" s="2">
        <f>SUM(J507:U507)</f>
        <v/>
      </c>
      <c r="W507" s="2" t="n"/>
      <c r="X507" s="2" t="n"/>
      <c r="Y507" s="2" t="n"/>
      <c r="Z507" s="2" t="n"/>
      <c r="AA507" s="2" t="n">
        <v>6</v>
      </c>
      <c r="AB507" s="2" t="n">
        <v>6</v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>
        <f>IF(F507=1,V507*2,IF(F507=2,V507*F507*2,IF(F507&gt;2,F507*2*V507)))</f>
        <v/>
      </c>
      <c r="AW507" s="2">
        <f>SUM(W507:AU507)</f>
        <v/>
      </c>
    </row>
    <row r="508">
      <c r="A508" s="2" t="inlineStr">
        <is>
          <t>14-K-832</t>
        </is>
      </c>
      <c r="B508" s="3" t="inlineStr">
        <is>
          <t>OJC-A1-LC/LC-SM-5-PC/PC-DP</t>
        </is>
      </c>
      <c r="C508" s="2" t="inlineStr">
        <is>
          <t>K9089175_청색</t>
        </is>
      </c>
      <c r="D508" s="2" t="inlineStr">
        <is>
          <t>a1-청</t>
        </is>
      </c>
      <c r="E508" s="2" t="inlineStr">
        <is>
          <t>2.0mm</t>
        </is>
      </c>
      <c r="F508" s="2" t="n">
        <v>2</v>
      </c>
      <c r="G508" s="2" t="n">
        <v>5</v>
      </c>
      <c r="H508" s="2" t="inlineStr">
        <is>
          <t>LC/PC</t>
        </is>
      </c>
      <c r="I508" s="2" t="inlineStr">
        <is>
          <t>LC/PC</t>
        </is>
      </c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>
        <v>50</v>
      </c>
      <c r="S508" s="2" t="n">
        <v>50</v>
      </c>
      <c r="T508" s="2" t="n"/>
      <c r="U508" s="2" t="n"/>
      <c r="V508" s="2">
        <f>SUM(J508:U508)</f>
        <v/>
      </c>
      <c r="W508" s="2" t="n">
        <v>200</v>
      </c>
      <c r="X508" s="2" t="n">
        <v>200</v>
      </c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>
        <f>IF(F508=1,V508*2,IF(F508=2,V508*F508*2,IF(F508&gt;2,F508*2*V508)))</f>
        <v/>
      </c>
      <c r="AW508" s="2">
        <f>SUM(W508:AU508)</f>
        <v/>
      </c>
    </row>
    <row r="509">
      <c r="A509" s="2" t="inlineStr">
        <is>
          <t>14-K-837</t>
        </is>
      </c>
      <c r="B509" s="3" t="inlineStr">
        <is>
          <t>OJC-A1-LC/LC-MM(OM3)-70-PC/PC-DP</t>
        </is>
      </c>
      <c r="C509" s="2" t="inlineStr"/>
      <c r="D509" s="2" t="inlineStr">
        <is>
          <t>om3</t>
        </is>
      </c>
      <c r="E509" s="2" t="inlineStr">
        <is>
          <t>2.0mm</t>
        </is>
      </c>
      <c r="F509" s="2" t="n">
        <v>2</v>
      </c>
      <c r="G509" s="2" t="n">
        <v>70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/>
      <c r="N509" s="2" t="n"/>
      <c r="O509" s="2" t="n">
        <v>3</v>
      </c>
      <c r="P509" s="2" t="n"/>
      <c r="Q509" s="2" t="n"/>
      <c r="R509" s="2" t="n"/>
      <c r="S509" s="2" t="n"/>
      <c r="T509" s="2" t="n"/>
      <c r="U509" s="2" t="n"/>
      <c r="V509" s="2">
        <f>SUM(J509:U509)</f>
        <v/>
      </c>
      <c r="W509" s="2" t="n"/>
      <c r="X509" s="2" t="n">
        <v>6</v>
      </c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>
        <v>6</v>
      </c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>
        <f>IF(F509=1,V509*2,IF(F509=2,V509*F509*2,IF(F509&gt;2,F509*2*V509)))</f>
        <v/>
      </c>
      <c r="AW509" s="2">
        <f>SUM(W509:AU509)</f>
        <v/>
      </c>
    </row>
    <row r="510">
      <c r="A510" s="2" t="inlineStr">
        <is>
          <t>14-K-838</t>
        </is>
      </c>
      <c r="B510" s="3" t="inlineStr">
        <is>
          <t>OJC-A1-LC/LC-MM(OM3)-90-PC/PC-DP</t>
        </is>
      </c>
      <c r="C510" s="2" t="inlineStr"/>
      <c r="D510" s="2" t="inlineStr">
        <is>
          <t>om3</t>
        </is>
      </c>
      <c r="E510" s="2" t="inlineStr">
        <is>
          <t>2.0mm</t>
        </is>
      </c>
      <c r="F510" s="2" t="n">
        <v>2</v>
      </c>
      <c r="G510" s="2" t="n">
        <v>90</v>
      </c>
      <c r="H510" s="2" t="inlineStr">
        <is>
          <t>LC/PC</t>
        </is>
      </c>
      <c r="I510" s="2" t="inlineStr">
        <is>
          <t>LC/PC</t>
        </is>
      </c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>
        <v>7</v>
      </c>
      <c r="U510" s="2" t="n"/>
      <c r="V510" s="2">
        <f>SUM(J510:U510)</f>
        <v/>
      </c>
      <c r="W510" s="2" t="n"/>
      <c r="X510" s="2" t="n">
        <v>14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>
        <v>14</v>
      </c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>
        <f>IF(F510=1,V510*2,IF(F510=2,V510*F510*2,IF(F510&gt;2,F510*2*V510)))</f>
        <v/>
      </c>
      <c r="AW510" s="2">
        <f>SUM(W510:AU510)</f>
        <v/>
      </c>
    </row>
    <row r="511">
      <c r="A511" s="2" t="inlineStr">
        <is>
          <t>14-K-842</t>
        </is>
      </c>
      <c r="B511" s="3" t="inlineStr">
        <is>
          <t>OJC-A1-SC/SC-SM-10-PC/PC-SP</t>
        </is>
      </c>
      <c r="C511" s="2" t="inlineStr">
        <is>
          <t>K9089003_청색</t>
        </is>
      </c>
      <c r="D511" s="2" t="inlineStr">
        <is>
          <t>a1-청</t>
        </is>
      </c>
      <c r="E511" s="2" t="inlineStr">
        <is>
          <t>2.0mm</t>
        </is>
      </c>
      <c r="F511" s="2" t="n">
        <v>1</v>
      </c>
      <c r="G511" s="2" t="n">
        <v>10</v>
      </c>
      <c r="H511" s="2" t="inlineStr">
        <is>
          <t>SC/PC</t>
        </is>
      </c>
      <c r="I511" s="2" t="inlineStr">
        <is>
          <t>SC/PC</t>
        </is>
      </c>
      <c r="J511" s="2" t="n">
        <v>1</v>
      </c>
      <c r="K511" s="2" t="n"/>
      <c r="L511" s="2" t="n">
        <v>100</v>
      </c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>
        <f>SUM(J511:U511)</f>
        <v/>
      </c>
      <c r="W511" s="2" t="n"/>
      <c r="X511" s="2" t="n"/>
      <c r="Y511" s="2" t="n"/>
      <c r="Z511" s="2" t="n"/>
      <c r="AA511" s="2" t="n">
        <v>202</v>
      </c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>
        <f>IF(F511=1,V511*2,IF(F511=2,V511*F511*2,IF(F511&gt;2,F511*2*V511)))</f>
        <v/>
      </c>
      <c r="AW511" s="2">
        <f>SUM(W511:AU511)</f>
        <v/>
      </c>
    </row>
    <row r="512">
      <c r="A512" s="2" t="inlineStr">
        <is>
          <t>14-K-845</t>
        </is>
      </c>
      <c r="B512" s="3" t="inlineStr">
        <is>
          <t>OJC-A1-SC/LC-SM-25-PC/APC-SP</t>
        </is>
      </c>
      <c r="C512" s="2" t="inlineStr">
        <is>
          <t>K9089070</t>
        </is>
      </c>
      <c r="D512" s="2" t="inlineStr">
        <is>
          <t>a1</t>
        </is>
      </c>
      <c r="E512" s="2" t="inlineStr">
        <is>
          <t>2.0mm</t>
        </is>
      </c>
      <c r="F512" s="2" t="n">
        <v>1</v>
      </c>
      <c r="G512" s="2" t="n">
        <v>25</v>
      </c>
      <c r="H512" s="2" t="inlineStr">
        <is>
          <t>SC/PC</t>
        </is>
      </c>
      <c r="I512" s="2" t="inlineStr">
        <is>
          <t>LC/APC</t>
        </is>
      </c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>
        <v>50</v>
      </c>
      <c r="V512" s="2">
        <f>SUM(J512:U512)</f>
        <v/>
      </c>
      <c r="W512" s="2" t="n"/>
      <c r="X512" s="2" t="n"/>
      <c r="Y512" s="2" t="n">
        <v>50</v>
      </c>
      <c r="Z512" s="2" t="n"/>
      <c r="AA512" s="2" t="n">
        <v>50</v>
      </c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>
        <f>IF(F512=1,V512*2,IF(F512=2,V512*F512*2,IF(F512&gt;2,F512*2*V512)))</f>
        <v/>
      </c>
      <c r="AW512" s="2">
        <f>SUM(W512:AU512)</f>
        <v/>
      </c>
    </row>
    <row r="513">
      <c r="A513" s="2" t="inlineStr">
        <is>
          <t>14-K-851</t>
        </is>
      </c>
      <c r="B513" s="3" t="inlineStr">
        <is>
          <t>OJC-A1-SC/SC-SM-3-PC/PC-SP</t>
        </is>
      </c>
      <c r="C513" s="2" t="inlineStr">
        <is>
          <t>K9088996_포앤티</t>
        </is>
      </c>
      <c r="D513" s="2" t="inlineStr">
        <is>
          <t>a1</t>
        </is>
      </c>
      <c r="E513" s="2" t="inlineStr">
        <is>
          <t>2.0mm</t>
        </is>
      </c>
      <c r="F513" s="2" t="n">
        <v>1</v>
      </c>
      <c r="G513" s="2" t="n">
        <v>3</v>
      </c>
      <c r="H513" s="2" t="inlineStr">
        <is>
          <t>SC/PC</t>
        </is>
      </c>
      <c r="I513" s="2" t="inlineStr">
        <is>
          <t>SC/PC</t>
        </is>
      </c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>
        <v>300</v>
      </c>
      <c r="U513" s="2" t="n"/>
      <c r="V513" s="2">
        <f>SUM(J513:U513)</f>
        <v/>
      </c>
      <c r="W513" s="2" t="n"/>
      <c r="X513" s="2" t="n"/>
      <c r="Y513" s="2" t="n"/>
      <c r="Z513" s="2" t="n"/>
      <c r="AA513" s="2" t="n">
        <v>600</v>
      </c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>
        <f>IF(F513=1,V513*2,IF(F513=2,V513*F513*2,IF(F513&gt;2,F513*2*V513)))</f>
        <v/>
      </c>
      <c r="AW513" s="2">
        <f>SUM(W513:AU513)</f>
        <v/>
      </c>
    </row>
    <row r="514">
      <c r="A514" s="2" t="inlineStr">
        <is>
          <t>14-K-855</t>
        </is>
      </c>
      <c r="B514" s="3" t="inlineStr">
        <is>
          <t>OJC-A1-SC/SC-SM-2-PC/PC-SP</t>
        </is>
      </c>
      <c r="C514" s="2" t="inlineStr">
        <is>
          <t>K9088995_청색</t>
        </is>
      </c>
      <c r="D514" s="2" t="inlineStr">
        <is>
          <t>a1-청</t>
        </is>
      </c>
      <c r="E514" s="2" t="inlineStr">
        <is>
          <t>2.0mm</t>
        </is>
      </c>
      <c r="F514" s="2" t="n">
        <v>1</v>
      </c>
      <c r="G514" s="2" t="n">
        <v>2</v>
      </c>
      <c r="H514" s="2" t="inlineStr">
        <is>
          <t>SC/PC</t>
        </is>
      </c>
      <c r="I514" s="2" t="inlineStr">
        <is>
          <t>SC/PC</t>
        </is>
      </c>
      <c r="J514" s="2" t="n">
        <v>10</v>
      </c>
      <c r="K514" s="2" t="n"/>
      <c r="L514" s="2" t="n">
        <v>10</v>
      </c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>
        <f>SUM(J514:U514)</f>
        <v/>
      </c>
      <c r="W514" s="2" t="n"/>
      <c r="X514" s="2" t="n"/>
      <c r="Y514" s="2" t="n"/>
      <c r="Z514" s="2" t="n"/>
      <c r="AA514" s="2" t="n">
        <v>40</v>
      </c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>
        <f>IF(F514=1,V514*2,IF(F514=2,V514*F514*2,IF(F514&gt;2,F514*2*V514)))</f>
        <v/>
      </c>
      <c r="AW514" s="2">
        <f>SUM(W514:AU514)</f>
        <v/>
      </c>
    </row>
    <row r="515">
      <c r="A515" s="2" t="inlineStr">
        <is>
          <t>14-K-856</t>
        </is>
      </c>
      <c r="B515" s="3" t="inlineStr">
        <is>
          <t>OJC-A1-SC/SC-SM-1-PC/PC-SP</t>
        </is>
      </c>
      <c r="C515" s="2" t="inlineStr">
        <is>
          <t>K9088994_청색</t>
        </is>
      </c>
      <c r="D515" s="2" t="inlineStr">
        <is>
          <t>a1-청</t>
        </is>
      </c>
      <c r="E515" s="2" t="inlineStr">
        <is>
          <t>2.0mm</t>
        </is>
      </c>
      <c r="F515" s="2" t="n">
        <v>1</v>
      </c>
      <c r="G515" s="2" t="n">
        <v>1</v>
      </c>
      <c r="H515" s="2" t="inlineStr">
        <is>
          <t>SC/PC</t>
        </is>
      </c>
      <c r="I515" s="2" t="inlineStr">
        <is>
          <t>SC/PC</t>
        </is>
      </c>
      <c r="J515" s="2" t="n">
        <v>10</v>
      </c>
      <c r="K515" s="2" t="n"/>
      <c r="L515" s="2" t="n">
        <v>10</v>
      </c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>
        <f>SUM(J515:U515)</f>
        <v/>
      </c>
      <c r="W515" s="2" t="n"/>
      <c r="X515" s="2" t="n"/>
      <c r="Y515" s="2" t="n"/>
      <c r="Z515" s="2" t="n"/>
      <c r="AA515" s="2" t="n">
        <v>40</v>
      </c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>
        <f>IF(F515=1,V515*2,IF(F515=2,V515*F515*2,IF(F515&gt;2,F515*2*V515)))</f>
        <v/>
      </c>
      <c r="AW515" s="2">
        <f>SUM(W515:AU515)</f>
        <v/>
      </c>
    </row>
    <row r="516">
      <c r="A516" s="2" t="inlineStr">
        <is>
          <t>14-K-857</t>
        </is>
      </c>
      <c r="B516" s="3" t="inlineStr">
        <is>
          <t>OJC-A1-SC/SC-SM-3-PC/PC-SP</t>
        </is>
      </c>
      <c r="C516" s="2" t="inlineStr">
        <is>
          <t>K9088996_청색</t>
        </is>
      </c>
      <c r="D516" s="2" t="inlineStr">
        <is>
          <t>a1-청</t>
        </is>
      </c>
      <c r="E516" s="2" t="inlineStr">
        <is>
          <t>2.0mm</t>
        </is>
      </c>
      <c r="F516" s="2" t="n">
        <v>1</v>
      </c>
      <c r="G516" s="2" t="n">
        <v>3</v>
      </c>
      <c r="H516" s="2" t="inlineStr">
        <is>
          <t>SC/PC</t>
        </is>
      </c>
      <c r="I516" s="2" t="inlineStr">
        <is>
          <t>SC/PC</t>
        </is>
      </c>
      <c r="J516" s="2" t="n">
        <v>12</v>
      </c>
      <c r="K516" s="2" t="n"/>
      <c r="L516" s="2" t="n">
        <v>10</v>
      </c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>
        <f>SUM(J516:U516)</f>
        <v/>
      </c>
      <c r="W516" s="2" t="n"/>
      <c r="X516" s="2" t="n"/>
      <c r="Y516" s="2" t="n"/>
      <c r="Z516" s="2" t="n"/>
      <c r="AA516" s="2" t="n">
        <v>44</v>
      </c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>
        <f>IF(F516=1,V516*2,IF(F516=2,V516*F516*2,IF(F516&gt;2,F516*2*V516)))</f>
        <v/>
      </c>
      <c r="AW516" s="2">
        <f>SUM(W516:AU516)</f>
        <v/>
      </c>
    </row>
    <row r="517">
      <c r="A517" s="2" t="inlineStr">
        <is>
          <t>14-K-883</t>
        </is>
      </c>
      <c r="B517" s="3" t="inlineStr">
        <is>
          <t>OJC-A1-SC/LC-SM-15-PC/PC-DP</t>
        </is>
      </c>
      <c r="C517" s="2" t="inlineStr">
        <is>
          <t>K9089163_포앤티</t>
        </is>
      </c>
      <c r="D517" s="2" t="inlineStr">
        <is>
          <t>a1</t>
        </is>
      </c>
      <c r="E517" s="2" t="inlineStr">
        <is>
          <t>2.0mm</t>
        </is>
      </c>
      <c r="F517" s="2" t="n">
        <v>2</v>
      </c>
      <c r="G517" s="2" t="n">
        <v>15</v>
      </c>
      <c r="H517" s="2" t="inlineStr">
        <is>
          <t>SC/PC</t>
        </is>
      </c>
      <c r="I517" s="2" t="inlineStr">
        <is>
          <t>LC/PC</t>
        </is>
      </c>
      <c r="J517" s="2" t="n"/>
      <c r="K517" s="2" t="n">
        <v>1000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>
        <f>SUM(J517:U517)</f>
        <v/>
      </c>
      <c r="W517" s="2" t="n"/>
      <c r="X517" s="2" t="n">
        <v>2000</v>
      </c>
      <c r="Y517" s="2" t="n"/>
      <c r="Z517" s="2" t="n"/>
      <c r="AA517" s="2" t="n">
        <v>2000</v>
      </c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>
        <f>IF(F517=1,V517*2,IF(F517=2,V517*F517*2,IF(F517&gt;2,F517*2*V517)))</f>
        <v/>
      </c>
      <c r="AW517" s="2">
        <f>SUM(W517:AU517)</f>
        <v/>
      </c>
    </row>
    <row r="518">
      <c r="A518" s="2" t="inlineStr">
        <is>
          <t>14-K-928</t>
        </is>
      </c>
      <c r="B518" s="3" t="inlineStr">
        <is>
          <t>OJC-A1-LC/LC-SM-3-PC/PC-DP</t>
        </is>
      </c>
      <c r="C518" s="2" t="inlineStr">
        <is>
          <t>K9089173_청색</t>
        </is>
      </c>
      <c r="D518" s="2" t="inlineStr">
        <is>
          <t>a1-청</t>
        </is>
      </c>
      <c r="E518" s="2" t="inlineStr">
        <is>
          <t>2.0mm</t>
        </is>
      </c>
      <c r="F518" s="2" t="n">
        <v>2</v>
      </c>
      <c r="G518" s="2" t="n">
        <v>3</v>
      </c>
      <c r="H518" s="2" t="inlineStr">
        <is>
          <t>LC/PC</t>
        </is>
      </c>
      <c r="I518" s="2" t="inlineStr">
        <is>
          <t>LC/PC</t>
        </is>
      </c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>
        <v>50</v>
      </c>
      <c r="T518" s="2" t="n"/>
      <c r="U518" s="2" t="n"/>
      <c r="V518" s="2">
        <f>SUM(J518:U518)</f>
        <v/>
      </c>
      <c r="W518" s="2" t="n">
        <v>100</v>
      </c>
      <c r="X518" s="2" t="n">
        <v>100</v>
      </c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>
        <f>IF(F518=1,V518*2,IF(F518=2,V518*F518*2,IF(F518&gt;2,F518*2*V518)))</f>
        <v/>
      </c>
      <c r="AW518" s="2">
        <f>SUM(W518:AU518)</f>
        <v/>
      </c>
    </row>
    <row r="519">
      <c r="A519" s="2" t="inlineStr">
        <is>
          <t>14-K-940</t>
        </is>
      </c>
      <c r="B519" s="3" t="inlineStr">
        <is>
          <t>OJC-A1-SC/LC-SM-3-PC/PC-DP</t>
        </is>
      </c>
      <c r="C519" s="2" t="inlineStr">
        <is>
          <t>청색</t>
        </is>
      </c>
      <c r="D519" s="2" t="inlineStr">
        <is>
          <t>a1-청</t>
        </is>
      </c>
      <c r="E519" s="2" t="inlineStr">
        <is>
          <t>2.0mm</t>
        </is>
      </c>
      <c r="F519" s="2" t="n">
        <v>2</v>
      </c>
      <c r="G519" s="2" t="n">
        <v>3</v>
      </c>
      <c r="H519" s="2" t="inlineStr">
        <is>
          <t>SC/PC</t>
        </is>
      </c>
      <c r="I519" s="2" t="inlineStr">
        <is>
          <t>LC/PC</t>
        </is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>
        <v>50</v>
      </c>
      <c r="T519" s="2" t="n"/>
      <c r="U519" s="2" t="n"/>
      <c r="V519" s="2">
        <f>SUM(J519:U519)</f>
        <v/>
      </c>
      <c r="W519" s="2" t="n"/>
      <c r="X519" s="2" t="n">
        <v>100</v>
      </c>
      <c r="Y519" s="2" t="n"/>
      <c r="Z519" s="2" t="n"/>
      <c r="AA519" s="2" t="n">
        <v>100</v>
      </c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>
        <f>IF(F519=1,V519*2,IF(F519=2,V519*F519*2,IF(F519&gt;2,F519*2*V519)))</f>
        <v/>
      </c>
      <c r="AW519" s="2">
        <f>SUM(W519:AU519)</f>
        <v/>
      </c>
    </row>
    <row r="520">
      <c r="A520" s="2" t="inlineStr">
        <is>
          <t>14-K-958</t>
        </is>
      </c>
      <c r="B520" s="3" t="inlineStr">
        <is>
          <t>OJC-A1-SC/SC-SM-45-PC/PC-DP</t>
        </is>
      </c>
      <c r="C520" s="2" t="inlineStr">
        <is>
          <t>K9089155_녹색</t>
        </is>
      </c>
      <c r="D520" s="2" t="inlineStr">
        <is>
          <t>a1-녹</t>
        </is>
      </c>
      <c r="E520" s="2" t="inlineStr">
        <is>
          <t>2.0mm</t>
        </is>
      </c>
      <c r="F520" s="2" t="n">
        <v>2</v>
      </c>
      <c r="G520" s="2" t="n">
        <v>45</v>
      </c>
      <c r="H520" s="2" t="inlineStr">
        <is>
          <t>SC/PC</t>
        </is>
      </c>
      <c r="I520" s="2" t="inlineStr">
        <is>
          <t>SC/PC</t>
        </is>
      </c>
      <c r="J520" s="2" t="n"/>
      <c r="K520" s="2" t="n">
        <v>100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>
        <f>SUM(J520:U520)</f>
        <v/>
      </c>
      <c r="W520" s="2" t="n"/>
      <c r="X520" s="2" t="n"/>
      <c r="Y520" s="2" t="n"/>
      <c r="Z520" s="2" t="n"/>
      <c r="AA520" s="2" t="n">
        <v>200</v>
      </c>
      <c r="AB520" s="2" t="n">
        <v>200</v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>
        <f>IF(F520=1,V520*2,IF(F520=2,V520*F520*2,IF(F520&gt;2,F520*2*V520)))</f>
        <v/>
      </c>
      <c r="AW520" s="2">
        <f>SUM(W520:AU520)</f>
        <v/>
      </c>
    </row>
    <row r="521">
      <c r="A521" s="2" t="inlineStr">
        <is>
          <t>14-K-972</t>
        </is>
      </c>
      <c r="B521" s="3" t="inlineStr">
        <is>
          <t>OJC-C2-SC/SC-SM-10-PC/PC-24C</t>
        </is>
      </c>
      <c r="C521" s="2" t="inlineStr">
        <is>
          <t>K9186717</t>
        </is>
      </c>
      <c r="D521" s="2" t="inlineStr">
        <is>
          <t>a1-24c</t>
        </is>
      </c>
      <c r="E521" s="2" t="inlineStr">
        <is>
          <t>2.0mm</t>
        </is>
      </c>
      <c r="F521" s="2" t="n">
        <v>24</v>
      </c>
      <c r="G521" s="2" t="n">
        <v>10</v>
      </c>
      <c r="H521" s="2" t="inlineStr">
        <is>
          <t>SC/PC</t>
        </is>
      </c>
      <c r="I521" s="2" t="inlineStr">
        <is>
          <t>SC/PC</t>
        </is>
      </c>
      <c r="J521" s="2" t="n"/>
      <c r="K521" s="2" t="n"/>
      <c r="L521" s="2" t="n"/>
      <c r="M521" s="2" t="n">
        <v>20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>
        <f>SUM(J521:U521)</f>
        <v/>
      </c>
      <c r="W521" s="2" t="n"/>
      <c r="X521" s="2" t="n"/>
      <c r="Y521" s="2" t="n"/>
      <c r="Z521" s="2" t="n"/>
      <c r="AA521" s="2" t="n">
        <v>960</v>
      </c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>
        <f>IF(F521=1,V521*2,IF(F521=2,V521*F521*2,IF(F521&gt;2,F521*2*V521)))</f>
        <v/>
      </c>
      <c r="AW521" s="2">
        <f>SUM(W521:AU521)</f>
        <v/>
      </c>
    </row>
    <row r="522">
      <c r="A522" s="2" t="inlineStr">
        <is>
          <t>14-K-989</t>
        </is>
      </c>
      <c r="B522" s="3" t="inlineStr">
        <is>
          <t>OJC-A1-SC/SC-SM-25-PC/PC-SP</t>
        </is>
      </c>
      <c r="C522" s="2" t="inlineStr">
        <is>
          <t>K9089018_청색</t>
        </is>
      </c>
      <c r="D522" s="2" t="inlineStr">
        <is>
          <t>a1-청</t>
        </is>
      </c>
      <c r="E522" s="2" t="inlineStr">
        <is>
          <t>2.0mm</t>
        </is>
      </c>
      <c r="F522" s="2" t="n">
        <v>1</v>
      </c>
      <c r="G522" s="2" t="n">
        <v>25</v>
      </c>
      <c r="H522" s="2" t="inlineStr">
        <is>
          <t>SC/PC</t>
        </is>
      </c>
      <c r="I522" s="2" t="inlineStr">
        <is>
          <t>SC/PC</t>
        </is>
      </c>
      <c r="J522" s="2" t="n"/>
      <c r="K522" s="2" t="n"/>
      <c r="L522" s="2" t="n">
        <v>50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>
        <f>SUM(J522:U522)</f>
        <v/>
      </c>
      <c r="W522" s="2" t="n"/>
      <c r="X522" s="2" t="n"/>
      <c r="Y522" s="2" t="n"/>
      <c r="Z522" s="2" t="n"/>
      <c r="AA522" s="2" t="n">
        <v>100</v>
      </c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>
        <f>IF(F522=1,V522*2,IF(F522=2,V522*F522*2,IF(F522&gt;2,F522*2*V522)))</f>
        <v/>
      </c>
      <c r="AW522" s="2">
        <f>SUM(W522:AU522)</f>
        <v/>
      </c>
    </row>
    <row r="523">
      <c r="A523" s="2" t="inlineStr">
        <is>
          <t>14-K-A101</t>
        </is>
      </c>
      <c r="B523" s="3" t="inlineStr">
        <is>
          <t>OJC-A1-LC/LC-SM-1-PC/PC-DP</t>
        </is>
      </c>
      <c r="C523" s="2" t="inlineStr">
        <is>
          <t>K9089171_청색</t>
        </is>
      </c>
      <c r="D523" s="2" t="inlineStr">
        <is>
          <t>a1-청</t>
        </is>
      </c>
      <c r="E523" s="2" t="inlineStr">
        <is>
          <t>2.0mm</t>
        </is>
      </c>
      <c r="F523" s="2" t="n">
        <v>2</v>
      </c>
      <c r="G523" s="2" t="n">
        <v>1</v>
      </c>
      <c r="H523" s="2" t="inlineStr">
        <is>
          <t>LC/PC</t>
        </is>
      </c>
      <c r="I523" s="2" t="inlineStr">
        <is>
          <t>LC/PC</t>
        </is>
      </c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>
        <v>8</v>
      </c>
      <c r="T523" s="2" t="n"/>
      <c r="U523" s="2" t="n"/>
      <c r="V523" s="2">
        <f>SUM(J523:U523)</f>
        <v/>
      </c>
      <c r="W523" s="2" t="n">
        <v>16</v>
      </c>
      <c r="X523" s="2" t="n">
        <v>16</v>
      </c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>
        <f>IF(F523=1,V523*2,IF(F523=2,V523*F523*2,IF(F523&gt;2,F523*2*V523)))</f>
        <v/>
      </c>
      <c r="AW523" s="2">
        <f>SUM(W523:AU523)</f>
        <v/>
      </c>
    </row>
    <row r="524">
      <c r="A524" s="2" t="inlineStr">
        <is>
          <t>14-K-A131</t>
        </is>
      </c>
      <c r="B524" s="3" t="inlineStr">
        <is>
          <t>OJC-A1-LC/LC-SM-2-APC/APC-DP</t>
        </is>
      </c>
      <c r="C524" s="2" t="inlineStr"/>
      <c r="D524" s="2" t="inlineStr">
        <is>
          <t>a1</t>
        </is>
      </c>
      <c r="E524" s="2" t="inlineStr">
        <is>
          <t>2.0mm</t>
        </is>
      </c>
      <c r="F524" s="2" t="n">
        <v>2</v>
      </c>
      <c r="G524" s="2" t="n">
        <v>2</v>
      </c>
      <c r="H524" s="2" t="inlineStr">
        <is>
          <t>LC/APC</t>
        </is>
      </c>
      <c r="I524" s="2" t="inlineStr">
        <is>
          <t>LC/APC</t>
        </is>
      </c>
      <c r="J524" s="2" t="n"/>
      <c r="K524" s="2" t="n"/>
      <c r="L524" s="2" t="n">
        <v>50</v>
      </c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>
        <f>SUM(J524:U524)</f>
        <v/>
      </c>
      <c r="W524" s="2" t="n"/>
      <c r="X524" s="2" t="n"/>
      <c r="Y524" s="2" t="n">
        <v>100</v>
      </c>
      <c r="Z524" s="2" t="n">
        <v>100</v>
      </c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>
        <f>IF(F524=1,V524*2,IF(F524=2,V524*F524*2,IF(F524&gt;2,F524*2*V524)))</f>
        <v/>
      </c>
      <c r="AW524" s="2">
        <f>SUM(W524:AU524)</f>
        <v/>
      </c>
    </row>
    <row r="525">
      <c r="A525" s="2" t="inlineStr">
        <is>
          <t>14-K-A143</t>
        </is>
      </c>
      <c r="B525" s="3" t="inlineStr">
        <is>
          <t>OJC-A1-LC/LC-SM-15-PC/PC-DP</t>
        </is>
      </c>
      <c r="C525" s="2" t="inlineStr">
        <is>
          <t>K9089177_녹색</t>
        </is>
      </c>
      <c r="D525" s="2" t="inlineStr">
        <is>
          <t>a1-녹</t>
        </is>
      </c>
      <c r="E525" s="2" t="inlineStr">
        <is>
          <t>2.0mm</t>
        </is>
      </c>
      <c r="F525" s="2" t="n">
        <v>2</v>
      </c>
      <c r="G525" s="2" t="n">
        <v>15</v>
      </c>
      <c r="H525" s="2" t="inlineStr">
        <is>
          <t>LC/PC</t>
        </is>
      </c>
      <c r="I525" s="2" t="inlineStr">
        <is>
          <t>LC/PC</t>
        </is>
      </c>
      <c r="J525" s="2" t="n"/>
      <c r="K525" s="2" t="n"/>
      <c r="L525" s="2" t="n"/>
      <c r="M525" s="2" t="n"/>
      <c r="N525" s="2" t="n"/>
      <c r="O525" s="2" t="n">
        <v>34</v>
      </c>
      <c r="P525" s="2" t="n"/>
      <c r="Q525" s="2" t="n"/>
      <c r="R525" s="2" t="n">
        <v>22</v>
      </c>
      <c r="S525" s="2" t="n"/>
      <c r="T525" s="2" t="n">
        <v>22</v>
      </c>
      <c r="U525" s="2" t="n">
        <v>18</v>
      </c>
      <c r="V525" s="2">
        <f>SUM(J525:U525)</f>
        <v/>
      </c>
      <c r="W525" s="2" t="n">
        <v>192</v>
      </c>
      <c r="X525" s="2" t="n">
        <v>192</v>
      </c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>
        <f>IF(F525=1,V525*2,IF(F525=2,V525*F525*2,IF(F525&gt;2,F525*2*V525)))</f>
        <v/>
      </c>
      <c r="AW525" s="2">
        <f>SUM(W525:AU525)</f>
        <v/>
      </c>
    </row>
    <row r="526">
      <c r="A526" s="2" t="inlineStr">
        <is>
          <t>14-K-A144</t>
        </is>
      </c>
      <c r="B526" s="3" t="inlineStr">
        <is>
          <t>OJC-A1-SC/LC-SM-10-PC/PC-SP</t>
        </is>
      </c>
      <c r="C526" s="2" t="inlineStr">
        <is>
          <t>K9089033_녹색</t>
        </is>
      </c>
      <c r="D526" s="2" t="inlineStr">
        <is>
          <t>a1-녹</t>
        </is>
      </c>
      <c r="E526" s="2" t="inlineStr">
        <is>
          <t>2.0mm</t>
        </is>
      </c>
      <c r="F526" s="2" t="n">
        <v>1</v>
      </c>
      <c r="G526" s="2" t="n">
        <v>10</v>
      </c>
      <c r="H526" s="2" t="inlineStr">
        <is>
          <t>SC/PC</t>
        </is>
      </c>
      <c r="I526" s="2" t="inlineStr">
        <is>
          <t>LC/PC</t>
        </is>
      </c>
      <c r="J526" s="2" t="n"/>
      <c r="K526" s="2" t="n"/>
      <c r="L526" s="2" t="n"/>
      <c r="M526" s="2" t="n"/>
      <c r="N526" s="2" t="n"/>
      <c r="O526" s="2" t="n">
        <v>9</v>
      </c>
      <c r="P526" s="2" t="n"/>
      <c r="Q526" s="2" t="n"/>
      <c r="R526" s="2" t="n"/>
      <c r="S526" s="2" t="n"/>
      <c r="T526" s="2" t="n"/>
      <c r="U526" s="2" t="n">
        <v>72</v>
      </c>
      <c r="V526" s="2">
        <f>SUM(J526:U526)</f>
        <v/>
      </c>
      <c r="W526" s="2" t="n">
        <v>81</v>
      </c>
      <c r="X526" s="2" t="n"/>
      <c r="Y526" s="2" t="n"/>
      <c r="Z526" s="2" t="n"/>
      <c r="AA526" s="2" t="n">
        <v>81</v>
      </c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>
        <f>IF(F526=1,V526*2,IF(F526=2,V526*F526*2,IF(F526&gt;2,F526*2*V526)))</f>
        <v/>
      </c>
      <c r="AW526" s="2">
        <f>SUM(W526:AU526)</f>
        <v/>
      </c>
    </row>
    <row r="527">
      <c r="A527" s="2" t="inlineStr">
        <is>
          <t>14-K-A145</t>
        </is>
      </c>
      <c r="B527" s="3" t="inlineStr">
        <is>
          <t>OJC-A1-SC/LC-SM-15-PC/PC-SP</t>
        </is>
      </c>
      <c r="C527" s="2" t="inlineStr">
        <is>
          <t>K9089034_녹색</t>
        </is>
      </c>
      <c r="D527" s="2" t="inlineStr">
        <is>
          <t>a1-녹</t>
        </is>
      </c>
      <c r="E527" s="2" t="inlineStr">
        <is>
          <t>2.0mm</t>
        </is>
      </c>
      <c r="F527" s="2" t="n">
        <v>1</v>
      </c>
      <c r="G527" s="2" t="n">
        <v>15</v>
      </c>
      <c r="H527" s="2" t="inlineStr">
        <is>
          <t>SC/PC</t>
        </is>
      </c>
      <c r="I527" s="2" t="inlineStr">
        <is>
          <t>LC/PC</t>
        </is>
      </c>
      <c r="J527" s="2" t="n"/>
      <c r="K527" s="2" t="n"/>
      <c r="L527" s="2" t="n"/>
      <c r="M527" s="2" t="n"/>
      <c r="N527" s="2" t="n"/>
      <c r="O527" s="2" t="n">
        <v>30</v>
      </c>
      <c r="P527" s="2" t="n"/>
      <c r="Q527" s="2" t="n"/>
      <c r="R527" s="2" t="n"/>
      <c r="S527" s="2" t="n"/>
      <c r="T527" s="2" t="n"/>
      <c r="U527" s="2" t="n"/>
      <c r="V527" s="2">
        <f>SUM(J527:U527)</f>
        <v/>
      </c>
      <c r="W527" s="2" t="n">
        <v>30</v>
      </c>
      <c r="X527" s="2" t="n"/>
      <c r="Y527" s="2" t="n"/>
      <c r="Z527" s="2" t="n"/>
      <c r="AA527" s="2" t="n">
        <v>30</v>
      </c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>
        <f>IF(F527=1,V527*2,IF(F527=2,V527*F527*2,IF(F527&gt;2,F527*2*V527)))</f>
        <v/>
      </c>
      <c r="AW527" s="2">
        <f>SUM(W527:AU527)</f>
        <v/>
      </c>
    </row>
    <row r="528">
      <c r="A528" s="2" t="inlineStr">
        <is>
          <t>14-K-A146</t>
        </is>
      </c>
      <c r="B528" s="3" t="inlineStr">
        <is>
          <t>OJC-A1-SC/LC-SM-20-PC/PC-SP</t>
        </is>
      </c>
      <c r="C528" s="2" t="inlineStr">
        <is>
          <t>K9089035_녹색</t>
        </is>
      </c>
      <c r="D528" s="2" t="inlineStr">
        <is>
          <t>a1-녹</t>
        </is>
      </c>
      <c r="E528" s="2" t="inlineStr">
        <is>
          <t>2.0mm</t>
        </is>
      </c>
      <c r="F528" s="2" t="n">
        <v>1</v>
      </c>
      <c r="G528" s="2" t="n">
        <v>20</v>
      </c>
      <c r="H528" s="2" t="inlineStr">
        <is>
          <t>SC/PC</t>
        </is>
      </c>
      <c r="I528" s="2" t="inlineStr">
        <is>
          <t>LC/PC</t>
        </is>
      </c>
      <c r="J528" s="2" t="n"/>
      <c r="K528" s="2" t="n">
        <v>60</v>
      </c>
      <c r="L528" s="2" t="n"/>
      <c r="M528" s="2" t="n"/>
      <c r="N528" s="2" t="n"/>
      <c r="O528" s="2" t="n">
        <v>6</v>
      </c>
      <c r="P528" s="2" t="n"/>
      <c r="Q528" s="2" t="n">
        <v>3</v>
      </c>
      <c r="R528" s="2" t="n">
        <v>3</v>
      </c>
      <c r="S528" s="2" t="n">
        <v>3</v>
      </c>
      <c r="T528" s="2" t="n">
        <v>20</v>
      </c>
      <c r="U528" s="2" t="n">
        <v>72</v>
      </c>
      <c r="V528" s="2">
        <f>SUM(J528:U528)</f>
        <v/>
      </c>
      <c r="W528" s="2" t="n">
        <v>167</v>
      </c>
      <c r="X528" s="2" t="n"/>
      <c r="Y528" s="2" t="n"/>
      <c r="Z528" s="2" t="n"/>
      <c r="AA528" s="2" t="n">
        <v>167</v>
      </c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>
        <f>IF(F528=1,V528*2,IF(F528=2,V528*F528*2,IF(F528&gt;2,F528*2*V528)))</f>
        <v/>
      </c>
      <c r="AW528" s="2">
        <f>SUM(W528:AU528)</f>
        <v/>
      </c>
    </row>
    <row r="529">
      <c r="A529" s="2" t="inlineStr">
        <is>
          <t>14-K-A147</t>
        </is>
      </c>
      <c r="B529" s="3" t="inlineStr">
        <is>
          <t>OJC-A1-SC/LC-SM-3-PC/PC-SP</t>
        </is>
      </c>
      <c r="C529" s="2" t="inlineStr">
        <is>
          <t>K9089030_녹색</t>
        </is>
      </c>
      <c r="D529" s="2" t="inlineStr">
        <is>
          <t>a1-녹</t>
        </is>
      </c>
      <c r="E529" s="2" t="inlineStr">
        <is>
          <t>2.0mm</t>
        </is>
      </c>
      <c r="F529" s="2" t="n">
        <v>1</v>
      </c>
      <c r="G529" s="2" t="n">
        <v>3</v>
      </c>
      <c r="H529" s="2" t="inlineStr">
        <is>
          <t>SC/PC</t>
        </is>
      </c>
      <c r="I529" s="2" t="inlineStr">
        <is>
          <t>LC/PC</t>
        </is>
      </c>
      <c r="J529" s="2" t="n"/>
      <c r="K529" s="2" t="n">
        <v>60</v>
      </c>
      <c r="L529" s="2" t="n"/>
      <c r="M529" s="2" t="n"/>
      <c r="N529" s="2" t="n"/>
      <c r="O529" s="2" t="n"/>
      <c r="P529" s="2" t="n"/>
      <c r="Q529" s="2" t="n">
        <v>3</v>
      </c>
      <c r="R529" s="2" t="n">
        <v>3</v>
      </c>
      <c r="S529" s="2" t="n">
        <v>3</v>
      </c>
      <c r="T529" s="2" t="n">
        <v>20</v>
      </c>
      <c r="U529" s="2" t="n"/>
      <c r="V529" s="2">
        <f>SUM(J529:U529)</f>
        <v/>
      </c>
      <c r="W529" s="2" t="n">
        <v>89</v>
      </c>
      <c r="X529" s="2" t="n"/>
      <c r="Y529" s="2" t="n"/>
      <c r="Z529" s="2" t="n"/>
      <c r="AA529" s="2" t="n">
        <v>89</v>
      </c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>
        <f>IF(F529=1,V529*2,IF(F529=2,V529*F529*2,IF(F529&gt;2,F529*2*V529)))</f>
        <v/>
      </c>
      <c r="AW529" s="2">
        <f>SUM(W529:AU529)</f>
        <v/>
      </c>
    </row>
    <row r="530">
      <c r="A530" s="2" t="inlineStr">
        <is>
          <t>14-K-A156</t>
        </is>
      </c>
      <c r="B530" s="3" t="inlineStr">
        <is>
          <t>OJC-A1-LC/LC-MM(OM4)-1-PC/PC-DP</t>
        </is>
      </c>
      <c r="C530" s="2" t="inlineStr"/>
      <c r="D530" s="2" t="inlineStr">
        <is>
          <t>om1</t>
        </is>
      </c>
      <c r="E530" s="2" t="inlineStr">
        <is>
          <t>2.0mm</t>
        </is>
      </c>
      <c r="F530" s="2" t="n">
        <v>2</v>
      </c>
      <c r="G530" s="2" t="n"/>
      <c r="H530" s="2" t="inlineStr">
        <is>
          <t>LC/PC</t>
        </is>
      </c>
      <c r="I530" s="2" t="inlineStr">
        <is>
          <t>LC/PC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>
        <v>16</v>
      </c>
      <c r="U530" s="2" t="n"/>
      <c r="V530" s="2">
        <f>SUM(J530:U530)</f>
        <v/>
      </c>
      <c r="W530" s="2" t="n"/>
      <c r="X530" s="2" t="n">
        <v>32</v>
      </c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>
        <v>32</v>
      </c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>
        <f>IF(F530=1,V530*2,IF(F530=2,V530*F530*2,IF(F530&gt;2,F530*2*V530)))</f>
        <v/>
      </c>
      <c r="AW530" s="2">
        <f>SUM(W530:AU530)</f>
        <v/>
      </c>
    </row>
    <row r="531">
      <c r="A531" s="2" t="inlineStr">
        <is>
          <t>14-K-A163</t>
        </is>
      </c>
      <c r="B531" s="3" t="inlineStr">
        <is>
          <t>OJC-A1-SC/LC-SM-30-PC/PC-SP</t>
        </is>
      </c>
      <c r="C531" s="2" t="inlineStr">
        <is>
          <t>K9089037_녹색</t>
        </is>
      </c>
      <c r="D531" s="2" t="inlineStr">
        <is>
          <t>a1-녹</t>
        </is>
      </c>
      <c r="E531" s="2" t="inlineStr">
        <is>
          <t>2.0mm</t>
        </is>
      </c>
      <c r="F531" s="2" t="n">
        <v>1</v>
      </c>
      <c r="G531" s="2" t="n">
        <v>30</v>
      </c>
      <c r="H531" s="2" t="inlineStr">
        <is>
          <t>SC/PC</t>
        </is>
      </c>
      <c r="I531" s="2" t="inlineStr">
        <is>
          <t>LC/PC</t>
        </is>
      </c>
      <c r="J531" s="2" t="n"/>
      <c r="K531" s="2" t="n"/>
      <c r="L531" s="2" t="n"/>
      <c r="M531" s="2" t="n"/>
      <c r="N531" s="2" t="n"/>
      <c r="O531" s="2" t="n">
        <v>9</v>
      </c>
      <c r="P531" s="2" t="n"/>
      <c r="Q531" s="2" t="n"/>
      <c r="R531" s="2" t="n"/>
      <c r="S531" s="2" t="n"/>
      <c r="T531" s="2" t="n"/>
      <c r="U531" s="2" t="n">
        <v>72</v>
      </c>
      <c r="V531" s="2">
        <f>SUM(J531:U531)</f>
        <v/>
      </c>
      <c r="W531" s="2" t="n">
        <v>81</v>
      </c>
      <c r="X531" s="2" t="n"/>
      <c r="Y531" s="2" t="n"/>
      <c r="Z531" s="2" t="n"/>
      <c r="AA531" s="2" t="n">
        <v>81</v>
      </c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>
        <f>IF(F531=1,V531*2,IF(F531=2,V531*F531*2,IF(F531&gt;2,F531*2*V531)))</f>
        <v/>
      </c>
      <c r="AW531" s="2">
        <f>SUM(W531:AU531)</f>
        <v/>
      </c>
    </row>
    <row r="532">
      <c r="A532" s="2" t="inlineStr">
        <is>
          <t>14-K-A19</t>
        </is>
      </c>
      <c r="B532" s="3" t="inlineStr">
        <is>
          <t>OJC-A1-SC/SC-SM-20-PC/PC-SP</t>
        </is>
      </c>
      <c r="C532" s="2" t="inlineStr">
        <is>
          <t>K9089013_청색</t>
        </is>
      </c>
      <c r="D532" s="2" t="inlineStr">
        <is>
          <t>a1-청</t>
        </is>
      </c>
      <c r="E532" s="2" t="inlineStr">
        <is>
          <t>2.0mm</t>
        </is>
      </c>
      <c r="F532" s="2" t="n">
        <v>1</v>
      </c>
      <c r="G532" s="2" t="n">
        <v>20</v>
      </c>
      <c r="H532" s="2" t="inlineStr">
        <is>
          <t>SC/PC</t>
        </is>
      </c>
      <c r="I532" s="2" t="inlineStr">
        <is>
          <t>SC/PC</t>
        </is>
      </c>
      <c r="J532" s="2" t="n"/>
      <c r="K532" s="2" t="n"/>
      <c r="L532" s="2" t="n">
        <v>100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>
        <f>SUM(J532:U532)</f>
        <v/>
      </c>
      <c r="W532" s="2" t="n"/>
      <c r="X532" s="2" t="n"/>
      <c r="Y532" s="2" t="n"/>
      <c r="Z532" s="2" t="n"/>
      <c r="AA532" s="2" t="n">
        <v>200</v>
      </c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>
        <f>IF(F532=1,V532*2,IF(F532=2,V532*F532*2,IF(F532&gt;2,F532*2*V532)))</f>
        <v/>
      </c>
      <c r="AW532" s="2">
        <f>SUM(W532:AU532)</f>
        <v/>
      </c>
    </row>
    <row r="533">
      <c r="A533" s="2" t="inlineStr">
        <is>
          <t>14-K-A194</t>
        </is>
      </c>
      <c r="B533" s="3" t="inlineStr">
        <is>
          <t>OJC-A1-SC/LC-SM-1-APC/PC-DP</t>
        </is>
      </c>
      <c r="C533" s="2" t="inlineStr">
        <is>
          <t>K9089240</t>
        </is>
      </c>
      <c r="D533" s="2" t="inlineStr">
        <is>
          <t>a1</t>
        </is>
      </c>
      <c r="E533" s="2" t="inlineStr">
        <is>
          <t>2.0mm</t>
        </is>
      </c>
      <c r="F533" s="2" t="n">
        <v>2</v>
      </c>
      <c r="G533" s="2" t="n">
        <v>1</v>
      </c>
      <c r="H533" s="2" t="inlineStr">
        <is>
          <t>SC/APC</t>
        </is>
      </c>
      <c r="I533" s="2" t="inlineStr">
        <is>
          <t>LC/PC</t>
        </is>
      </c>
      <c r="J533" s="2" t="n"/>
      <c r="K533" s="2" t="n">
        <v>6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>
        <f>SUM(J533:U533)</f>
        <v/>
      </c>
      <c r="W533" s="2" t="n"/>
      <c r="X533" s="2" t="n">
        <v>12</v>
      </c>
      <c r="Y533" s="2" t="n"/>
      <c r="Z533" s="2" t="n"/>
      <c r="AA533" s="2" t="n"/>
      <c r="AB533" s="2" t="n"/>
      <c r="AC533" s="2" t="n">
        <v>12</v>
      </c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>
        <f>IF(F533=1,V533*2,IF(F533=2,V533*F533*2,IF(F533&gt;2,F533*2*V533)))</f>
        <v/>
      </c>
      <c r="AW533" s="2">
        <f>SUM(W533:AU533)</f>
        <v/>
      </c>
    </row>
    <row r="534">
      <c r="A534" s="2" t="inlineStr">
        <is>
          <t>14-K-A22</t>
        </is>
      </c>
      <c r="B534" s="3" t="inlineStr">
        <is>
          <t>OJC-A1-SC/SC-SM-15-PC/PC-SP</t>
        </is>
      </c>
      <c r="C534" s="2" t="inlineStr">
        <is>
          <t>K9089008_청색</t>
        </is>
      </c>
      <c r="D534" s="2" t="inlineStr">
        <is>
          <t>a1-청</t>
        </is>
      </c>
      <c r="E534" s="2" t="inlineStr">
        <is>
          <t>2.0mm</t>
        </is>
      </c>
      <c r="F534" s="2" t="n">
        <v>1</v>
      </c>
      <c r="G534" s="2" t="n">
        <v>15</v>
      </c>
      <c r="H534" s="2" t="inlineStr">
        <is>
          <t>SC/PC</t>
        </is>
      </c>
      <c r="I534" s="2" t="inlineStr">
        <is>
          <t>SC/PC</t>
        </is>
      </c>
      <c r="J534" s="2" t="n"/>
      <c r="K534" s="2" t="n"/>
      <c r="L534" s="2" t="n">
        <v>150</v>
      </c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>
        <f>SUM(J534:U534)</f>
        <v/>
      </c>
      <c r="W534" s="2" t="n"/>
      <c r="X534" s="2" t="n"/>
      <c r="Y534" s="2" t="n"/>
      <c r="Z534" s="2" t="n"/>
      <c r="AA534" s="2" t="n">
        <v>300</v>
      </c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>
        <f>IF(F534=1,V534*2,IF(F534=2,V534*F534*2,IF(F534&gt;2,F534*2*V534)))</f>
        <v/>
      </c>
      <c r="AW534" s="2">
        <f>SUM(W534:AU534)</f>
        <v/>
      </c>
    </row>
    <row r="535">
      <c r="A535" s="2" t="inlineStr">
        <is>
          <t>14-K-A252</t>
        </is>
      </c>
      <c r="B535" s="3" t="inlineStr">
        <is>
          <t>OJC-A1-LC/LC-MM(OM3)-12-PC/PC-DP</t>
        </is>
      </c>
      <c r="C535" s="2" t="inlineStr"/>
      <c r="D535" s="2" t="inlineStr">
        <is>
          <t>om3</t>
        </is>
      </c>
      <c r="E535" s="2" t="inlineStr">
        <is>
          <t>2.0mm</t>
        </is>
      </c>
      <c r="F535" s="2" t="n">
        <v>2</v>
      </c>
      <c r="G535" s="2" t="n">
        <v>12</v>
      </c>
      <c r="H535" s="2" t="inlineStr">
        <is>
          <t>LC/PC</t>
        </is>
      </c>
      <c r="I535" s="2" t="inlineStr">
        <is>
          <t>LC/PC</t>
        </is>
      </c>
      <c r="J535" s="2" t="n"/>
      <c r="K535" s="2" t="n"/>
      <c r="L535" s="2" t="n"/>
      <c r="M535" s="2" t="n"/>
      <c r="N535" s="2" t="n"/>
      <c r="O535" s="2" t="n">
        <v>4</v>
      </c>
      <c r="P535" s="2" t="n"/>
      <c r="Q535" s="2" t="n"/>
      <c r="R535" s="2" t="n"/>
      <c r="S535" s="2" t="n"/>
      <c r="T535" s="2" t="n"/>
      <c r="U535" s="2" t="n"/>
      <c r="V535" s="2">
        <f>SUM(J535:U535)</f>
        <v/>
      </c>
      <c r="W535" s="2" t="n"/>
      <c r="X535" s="2" t="n">
        <v>8</v>
      </c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>
        <v>8</v>
      </c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>
        <f>IF(F535=1,V535*2,IF(F535=2,V535*F535*2,IF(F535&gt;2,F535*2*V535)))</f>
        <v/>
      </c>
      <c r="AW535" s="2">
        <f>SUM(W535:AU535)</f>
        <v/>
      </c>
    </row>
    <row r="536">
      <c r="A536" s="2" t="inlineStr">
        <is>
          <t>14-K-A261</t>
        </is>
      </c>
      <c r="B536" s="3" t="inlineStr">
        <is>
          <t>OJC-A1-SC/LC-SM-25-PC/PC-SP</t>
        </is>
      </c>
      <c r="C536" s="2" t="inlineStr">
        <is>
          <t>K9089036_녹색</t>
        </is>
      </c>
      <c r="D536" s="2" t="inlineStr">
        <is>
          <t>a1-녹</t>
        </is>
      </c>
      <c r="E536" s="2" t="inlineStr">
        <is>
          <t>2.0mm</t>
        </is>
      </c>
      <c r="F536" s="2" t="n">
        <v>1</v>
      </c>
      <c r="G536" s="2" t="n">
        <v>25</v>
      </c>
      <c r="H536" s="2" t="inlineStr">
        <is>
          <t>SC/PC</t>
        </is>
      </c>
      <c r="I536" s="2" t="inlineStr">
        <is>
          <t>LC/PC</t>
        </is>
      </c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>
        <v>44</v>
      </c>
      <c r="U536" s="2" t="n">
        <v>270</v>
      </c>
      <c r="V536" s="2">
        <f>SUM(J536:U536)</f>
        <v/>
      </c>
      <c r="W536" s="2" t="n">
        <v>314</v>
      </c>
      <c r="X536" s="2" t="n"/>
      <c r="Y536" s="2" t="n"/>
      <c r="Z536" s="2" t="n"/>
      <c r="AA536" s="2" t="n">
        <v>314</v>
      </c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>
        <f>IF(F536=1,V536*2,IF(F536=2,V536*F536*2,IF(F536&gt;2,F536*2*V536)))</f>
        <v/>
      </c>
      <c r="AW536" s="2">
        <f>SUM(W536:AU536)</f>
        <v/>
      </c>
    </row>
    <row r="537">
      <c r="A537" s="2" t="inlineStr">
        <is>
          <t>14-K-A263</t>
        </is>
      </c>
      <c r="B537" s="3" t="inlineStr">
        <is>
          <t>OJC-C2-SC/SC-SM-15-PC/PC-16C</t>
        </is>
      </c>
      <c r="C537" s="2" t="inlineStr">
        <is>
          <t>K9094339, 양단 분기부 1.5M</t>
        </is>
      </c>
      <c r="D537" s="2" t="inlineStr">
        <is>
          <t>a1-16c</t>
        </is>
      </c>
      <c r="E537" s="2" t="inlineStr">
        <is>
          <t>2.0mm</t>
        </is>
      </c>
      <c r="F537" s="2" t="n">
        <v>16</v>
      </c>
      <c r="G537" s="2" t="n">
        <v>15</v>
      </c>
      <c r="H537" s="2" t="inlineStr">
        <is>
          <t>SC/PC</t>
        </is>
      </c>
      <c r="I537" s="2" t="inlineStr">
        <is>
          <t>SC/PC</t>
        </is>
      </c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>
        <v>8</v>
      </c>
      <c r="S537" s="2" t="n"/>
      <c r="T537" s="2" t="n"/>
      <c r="U537" s="2" t="n"/>
      <c r="V537" s="2">
        <f>SUM(J537:U537)</f>
        <v/>
      </c>
      <c r="W537" s="2" t="n"/>
      <c r="X537" s="2" t="n"/>
      <c r="Y537" s="2" t="n"/>
      <c r="Z537" s="2" t="n"/>
      <c r="AA537" s="2" t="n">
        <v>256</v>
      </c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>
        <f>IF(F537=1,V537*2,IF(F537=2,V537*F537*2,IF(F537&gt;2,F537*2*V537)))</f>
        <v/>
      </c>
      <c r="AW537" s="2">
        <f>SUM(W537:AU537)</f>
        <v/>
      </c>
    </row>
    <row r="538">
      <c r="A538" s="2" t="inlineStr">
        <is>
          <t>14-K-A264</t>
        </is>
      </c>
      <c r="B538" s="3" t="inlineStr">
        <is>
          <t>OJC-A1-LC/LC-SM-17-PC/PC-DP</t>
        </is>
      </c>
      <c r="C538" s="2" t="inlineStr">
        <is>
          <t>적색</t>
        </is>
      </c>
      <c r="D538" s="2" t="inlineStr">
        <is>
          <t>a1-적</t>
        </is>
      </c>
      <c r="E538" s="2" t="inlineStr">
        <is>
          <t>2.0mm</t>
        </is>
      </c>
      <c r="F538" s="2" t="n">
        <v>2</v>
      </c>
      <c r="G538" s="2" t="n">
        <v>17</v>
      </c>
      <c r="H538" s="2" t="inlineStr">
        <is>
          <t>LC/PC</t>
        </is>
      </c>
      <c r="I538" s="2" t="inlineStr">
        <is>
          <t>LC/PC</t>
        </is>
      </c>
      <c r="J538" s="2" t="n">
        <v>1</v>
      </c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>
        <f>SUM(J538:U538)</f>
        <v/>
      </c>
      <c r="W538" s="2" t="n">
        <v>2</v>
      </c>
      <c r="X538" s="2" t="n">
        <v>2</v>
      </c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>
        <f>IF(F538=1,V538*2,IF(F538=2,V538*F538*2,IF(F538&gt;2,F538*2*V538)))</f>
        <v/>
      </c>
      <c r="AW538" s="2">
        <f>SUM(W538:AU538)</f>
        <v/>
      </c>
    </row>
    <row r="539">
      <c r="A539" s="2" t="inlineStr">
        <is>
          <t>14-K-A27</t>
        </is>
      </c>
      <c r="B539" s="3" t="inlineStr">
        <is>
          <t>OJC-C2-SC/SC-SM-50-PC/PC-16C</t>
        </is>
      </c>
      <c r="C539" s="2" t="inlineStr">
        <is>
          <t>K9094339</t>
        </is>
      </c>
      <c r="D539" s="2" t="inlineStr">
        <is>
          <t>a1-16c</t>
        </is>
      </c>
      <c r="E539" s="2" t="inlineStr">
        <is>
          <t>2.0mm</t>
        </is>
      </c>
      <c r="F539" s="2" t="n">
        <v>16</v>
      </c>
      <c r="G539" s="2" t="n">
        <v>50</v>
      </c>
      <c r="H539" s="2" t="inlineStr">
        <is>
          <t>SC/PC</t>
        </is>
      </c>
      <c r="I539" s="2" t="inlineStr">
        <is>
          <t>SC/PC</t>
        </is>
      </c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>
        <v>2</v>
      </c>
      <c r="T539" s="2" t="n"/>
      <c r="U539" s="2" t="n"/>
      <c r="V539" s="2">
        <f>SUM(J539:U539)</f>
        <v/>
      </c>
      <c r="W539" s="2" t="n"/>
      <c r="X539" s="2" t="n"/>
      <c r="Y539" s="2" t="n"/>
      <c r="Z539" s="2" t="n"/>
      <c r="AA539" s="2" t="n">
        <v>64</v>
      </c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>
        <f>IF(F539=1,V539*2,IF(F539=2,V539*F539*2,IF(F539&gt;2,F539*2*V539)))</f>
        <v/>
      </c>
      <c r="AW539" s="2">
        <f>SUM(W539:AU539)</f>
        <v/>
      </c>
    </row>
    <row r="540">
      <c r="A540" s="2" t="inlineStr">
        <is>
          <t>14-K-A280</t>
        </is>
      </c>
      <c r="B540" s="3" t="inlineStr">
        <is>
          <t>OJC-A1-LC/LC-SM-25-PC/PC-DP</t>
        </is>
      </c>
      <c r="C540" s="2" t="inlineStr">
        <is>
          <t>K9089179_녹색</t>
        </is>
      </c>
      <c r="D540" s="2" t="inlineStr">
        <is>
          <t>a1-녹</t>
        </is>
      </c>
      <c r="E540" s="2" t="inlineStr">
        <is>
          <t>2.0mm</t>
        </is>
      </c>
      <c r="F540" s="2" t="n">
        <v>2</v>
      </c>
      <c r="G540" s="2" t="n">
        <v>25</v>
      </c>
      <c r="H540" s="2" t="inlineStr">
        <is>
          <t>LC/PC</t>
        </is>
      </c>
      <c r="I540" s="2" t="inlineStr">
        <is>
          <t>LC/PC</t>
        </is>
      </c>
      <c r="J540" s="2" t="n"/>
      <c r="K540" s="2" t="n"/>
      <c r="L540" s="2" t="n"/>
      <c r="M540" s="2" t="n"/>
      <c r="N540" s="2" t="n"/>
      <c r="O540" s="2" t="n">
        <v>28</v>
      </c>
      <c r="P540" s="2" t="n"/>
      <c r="Q540" s="2" t="n"/>
      <c r="R540" s="2" t="n"/>
      <c r="S540" s="2" t="n">
        <v>4</v>
      </c>
      <c r="T540" s="2" t="n"/>
      <c r="U540" s="2" t="n">
        <v>35</v>
      </c>
      <c r="V540" s="2">
        <f>SUM(J540:U540)</f>
        <v/>
      </c>
      <c r="W540" s="2" t="n">
        <v>134</v>
      </c>
      <c r="X540" s="2" t="n">
        <v>134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>
        <f>IF(F540=1,V540*2,IF(F540=2,V540*F540*2,IF(F540&gt;2,F540*2*V540)))</f>
        <v/>
      </c>
      <c r="AW540" s="2">
        <f>SUM(W540:AU540)</f>
        <v/>
      </c>
    </row>
    <row r="541">
      <c r="A541" s="2" t="inlineStr">
        <is>
          <t>14-K-A302</t>
        </is>
      </c>
      <c r="B541" s="3" t="inlineStr">
        <is>
          <t>OJC-A1-LC/LC-MM(OM3)-11-PC/PC-DP</t>
        </is>
      </c>
      <c r="C541" s="2" t="inlineStr"/>
      <c r="D541" s="2" t="inlineStr">
        <is>
          <t>om3</t>
        </is>
      </c>
      <c r="E541" s="2" t="inlineStr">
        <is>
          <t>2.0mm</t>
        </is>
      </c>
      <c r="F541" s="2" t="n">
        <v>2</v>
      </c>
      <c r="G541" s="2" t="n">
        <v>11</v>
      </c>
      <c r="H541" s="2" t="inlineStr">
        <is>
          <t>LC/PC</t>
        </is>
      </c>
      <c r="I541" s="2" t="inlineStr">
        <is>
          <t>LC/PC</t>
        </is>
      </c>
      <c r="J541" s="2" t="n"/>
      <c r="K541" s="2" t="n"/>
      <c r="L541" s="2" t="n"/>
      <c r="M541" s="2" t="n"/>
      <c r="N541" s="2" t="n"/>
      <c r="O541" s="2" t="n">
        <v>4</v>
      </c>
      <c r="P541" s="2" t="n"/>
      <c r="Q541" s="2" t="n"/>
      <c r="R541" s="2" t="n"/>
      <c r="S541" s="2" t="n"/>
      <c r="T541" s="2" t="n"/>
      <c r="U541" s="2" t="n"/>
      <c r="V541" s="2">
        <f>SUM(J541:U541)</f>
        <v/>
      </c>
      <c r="W541" s="2" t="n"/>
      <c r="X541" s="2" t="n">
        <v>8</v>
      </c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>
        <v>8</v>
      </c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>
        <f>IF(F541=1,V541*2,IF(F541=2,V541*F541*2,IF(F541&gt;2,F541*2*V541)))</f>
        <v/>
      </c>
      <c r="AW541" s="2">
        <f>SUM(W541:AU541)</f>
        <v/>
      </c>
    </row>
    <row r="542">
      <c r="A542" s="2" t="inlineStr">
        <is>
          <t>14-K-A309</t>
        </is>
      </c>
      <c r="B542" s="3" t="inlineStr">
        <is>
          <t>OJC-A1-LC/LC-MM(OM3)-15-PC/PC-DP</t>
        </is>
      </c>
      <c r="C542" s="2" t="inlineStr">
        <is>
          <t>LC/DP Clip Type</t>
        </is>
      </c>
      <c r="D542" s="2" t="inlineStr">
        <is>
          <t>om3</t>
        </is>
      </c>
      <c r="E542" s="2" t="inlineStr">
        <is>
          <t>2.0mm</t>
        </is>
      </c>
      <c r="F542" s="2" t="n">
        <v>2</v>
      </c>
      <c r="G542" s="2" t="n">
        <v>15</v>
      </c>
      <c r="H542" s="2" t="inlineStr">
        <is>
          <t>LC/PC</t>
        </is>
      </c>
      <c r="I542" s="2" t="inlineStr">
        <is>
          <t>LC/PC</t>
        </is>
      </c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>
        <v>5</v>
      </c>
      <c r="S542" s="2" t="n"/>
      <c r="T542" s="2" t="n"/>
      <c r="U542" s="2" t="n"/>
      <c r="V542" s="2">
        <f>SUM(J542:U542)</f>
        <v/>
      </c>
      <c r="W542" s="2" t="n"/>
      <c r="X542" s="2" t="n">
        <v>10</v>
      </c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>
        <v>10</v>
      </c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>
        <f>IF(F542=1,V542*2,IF(F542=2,V542*F542*2,IF(F542&gt;2,F542*2*V542)))</f>
        <v/>
      </c>
      <c r="AW542" s="2">
        <f>SUM(W542:AU542)</f>
        <v/>
      </c>
    </row>
    <row r="543">
      <c r="A543" s="2" t="inlineStr">
        <is>
          <t>14-K-A62</t>
        </is>
      </c>
      <c r="B543" s="3" t="inlineStr">
        <is>
          <t>OJC-A1-LC/LC-SM-3-APC/APC-SP</t>
        </is>
      </c>
      <c r="C543" s="2" t="inlineStr"/>
      <c r="D543" s="2" t="inlineStr">
        <is>
          <t>a1</t>
        </is>
      </c>
      <c r="E543" s="2" t="inlineStr">
        <is>
          <t>2.0mm</t>
        </is>
      </c>
      <c r="F543" s="2" t="n">
        <v>1</v>
      </c>
      <c r="G543" s="2" t="n">
        <v>3</v>
      </c>
      <c r="H543" s="2" t="inlineStr">
        <is>
          <t>LC/APC</t>
        </is>
      </c>
      <c r="I543" s="2" t="inlineStr">
        <is>
          <t>LC/APC</t>
        </is>
      </c>
      <c r="J543" s="2" t="n"/>
      <c r="K543" s="2" t="n"/>
      <c r="L543" s="2" t="n"/>
      <c r="M543" s="2" t="n"/>
      <c r="N543" s="2" t="n"/>
      <c r="O543" s="2" t="n"/>
      <c r="P543" s="2" t="n">
        <v>20</v>
      </c>
      <c r="Q543" s="2" t="n"/>
      <c r="R543" s="2" t="n"/>
      <c r="S543" s="2" t="n"/>
      <c r="T543" s="2" t="n"/>
      <c r="U543" s="2" t="n"/>
      <c r="V543" s="2">
        <f>SUM(J543:U543)</f>
        <v/>
      </c>
      <c r="W543" s="2" t="n"/>
      <c r="X543" s="2" t="n"/>
      <c r="Y543" s="2" t="n">
        <v>40</v>
      </c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>
        <f>IF(F543=1,V543*2,IF(F543=2,V543*F543*2,IF(F543&gt;2,F543*2*V543)))</f>
        <v/>
      </c>
      <c r="AW543" s="2">
        <f>SUM(W543:AU543)</f>
        <v/>
      </c>
    </row>
    <row r="544">
      <c r="A544" s="2" t="inlineStr">
        <is>
          <t>14-K-A67</t>
        </is>
      </c>
      <c r="B544" s="3" t="inlineStr">
        <is>
          <t>OJC-A1-SC/LC-SM-30-PC/APC-SP</t>
        </is>
      </c>
      <c r="C544" s="2" t="inlineStr">
        <is>
          <t>K9089071</t>
        </is>
      </c>
      <c r="D544" s="2" t="inlineStr">
        <is>
          <t>a1</t>
        </is>
      </c>
      <c r="E544" s="2" t="inlineStr">
        <is>
          <t>2.0mm</t>
        </is>
      </c>
      <c r="F544" s="2" t="n">
        <v>1</v>
      </c>
      <c r="G544" s="2" t="n">
        <v>30</v>
      </c>
      <c r="H544" s="2" t="inlineStr">
        <is>
          <t>SC/PC</t>
        </is>
      </c>
      <c r="I544" s="2" t="inlineStr">
        <is>
          <t>LC/APC</t>
        </is>
      </c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>
        <v>30</v>
      </c>
      <c r="V544" s="2">
        <f>SUM(J544:U544)</f>
        <v/>
      </c>
      <c r="W544" s="2" t="n"/>
      <c r="X544" s="2" t="n"/>
      <c r="Y544" s="2" t="n">
        <v>30</v>
      </c>
      <c r="Z544" s="2" t="n"/>
      <c r="AA544" s="2" t="n">
        <v>30</v>
      </c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>
        <f>IF(F544=1,V544*2,IF(F544=2,V544*F544*2,IF(F544&gt;2,F544*2*V544)))</f>
        <v/>
      </c>
      <c r="AW544" s="2">
        <f>SUM(W544:AU544)</f>
        <v/>
      </c>
    </row>
    <row r="545">
      <c r="A545" s="2" t="inlineStr">
        <is>
          <t>14-K-A73</t>
        </is>
      </c>
      <c r="B545" s="3" t="inlineStr">
        <is>
          <t>OJC-C2-SC/SC-SM-20-PC/PC-24C</t>
        </is>
      </c>
      <c r="C545" s="2" t="inlineStr">
        <is>
          <t>K9186717</t>
        </is>
      </c>
      <c r="D545" s="2" t="inlineStr">
        <is>
          <t>a1-24c</t>
        </is>
      </c>
      <c r="E545" s="2" t="inlineStr">
        <is>
          <t>2.0mm</t>
        </is>
      </c>
      <c r="F545" s="2" t="n">
        <v>24</v>
      </c>
      <c r="G545" s="2" t="n">
        <v>20</v>
      </c>
      <c r="H545" s="2" t="inlineStr">
        <is>
          <t>SC/PC</t>
        </is>
      </c>
      <c r="I545" s="2" t="inlineStr">
        <is>
          <t>SC/PC</t>
        </is>
      </c>
      <c r="J545" s="2" t="n"/>
      <c r="K545" s="2" t="n"/>
      <c r="L545" s="2" t="n">
        <v>3</v>
      </c>
      <c r="M545" s="2" t="n">
        <v>1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>
        <f>SUM(J545:U545)</f>
        <v/>
      </c>
      <c r="W545" s="2" t="n"/>
      <c r="X545" s="2" t="n"/>
      <c r="Y545" s="2" t="n"/>
      <c r="Z545" s="2" t="n"/>
      <c r="AA545" s="2" t="n">
        <v>192</v>
      </c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>
        <f>IF(F545=1,V545*2,IF(F545=2,V545*F545*2,IF(F545&gt;2,F545*2*V545)))</f>
        <v/>
      </c>
      <c r="AW545" s="2">
        <f>SUM(W545:AU545)</f>
        <v/>
      </c>
    </row>
    <row r="546">
      <c r="A546" s="2" t="inlineStr">
        <is>
          <t>14-K-A736</t>
        </is>
      </c>
      <c r="B546" s="3" t="inlineStr">
        <is>
          <t>OJC-A1-LC/LC-MM(OM3)-25-PC/PC-DP</t>
        </is>
      </c>
      <c r="C546" s="2" t="inlineStr">
        <is>
          <t>LC/DP CLIP Type, 25M</t>
        </is>
      </c>
      <c r="D546" s="2" t="inlineStr">
        <is>
          <t>om3</t>
        </is>
      </c>
      <c r="E546" s="2" t="inlineStr">
        <is>
          <t>2.0mm</t>
        </is>
      </c>
      <c r="F546" s="2" t="n">
        <v>2</v>
      </c>
      <c r="G546" s="2" t="n">
        <v>25</v>
      </c>
      <c r="H546" s="2" t="inlineStr">
        <is>
          <t>LC/PC</t>
        </is>
      </c>
      <c r="I546" s="2" t="inlineStr">
        <is>
          <t>LC/PC</t>
        </is>
      </c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>
        <v>12</v>
      </c>
      <c r="T546" s="2" t="n"/>
      <c r="U546" s="2" t="n"/>
      <c r="V546" s="2">
        <f>SUM(J546:U546)</f>
        <v/>
      </c>
      <c r="W546" s="2" t="n"/>
      <c r="X546" s="2" t="n">
        <v>24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>
        <v>24</v>
      </c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>
        <f>IF(F546=1,V546*2,IF(F546=2,V546*F546*2,IF(F546&gt;2,F546*2*V546)))</f>
        <v/>
      </c>
      <c r="AW546" s="2">
        <f>SUM(W546:AU546)</f>
        <v/>
      </c>
    </row>
    <row r="547">
      <c r="A547" s="2" t="inlineStr">
        <is>
          <t>14-K-A737</t>
        </is>
      </c>
      <c r="B547" s="3" t="inlineStr">
        <is>
          <t>OJC-A1-LC/LC-MM(OM3)-26-PC/PC-DP</t>
        </is>
      </c>
      <c r="C547" s="2" t="inlineStr">
        <is>
          <t>LC/DP CLIP Type, 26M</t>
        </is>
      </c>
      <c r="D547" s="2" t="inlineStr">
        <is>
          <t>om3</t>
        </is>
      </c>
      <c r="E547" s="2" t="inlineStr">
        <is>
          <t>2.0mm</t>
        </is>
      </c>
      <c r="F547" s="2" t="n">
        <v>2</v>
      </c>
      <c r="G547" s="2" t="n">
        <v>26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>
        <v>12</v>
      </c>
      <c r="T547" s="2" t="n"/>
      <c r="U547" s="2" t="n"/>
      <c r="V547" s="2">
        <f>SUM(J547:U547)</f>
        <v/>
      </c>
      <c r="W547" s="2" t="n"/>
      <c r="X547" s="2" t="n">
        <v>24</v>
      </c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>
        <v>24</v>
      </c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>
        <f>IF(F547=1,V547*2,IF(F547=2,V547*F547*2,IF(F547&gt;2,F547*2*V547)))</f>
        <v/>
      </c>
      <c r="AW547" s="2">
        <f>SUM(W547:AU547)</f>
        <v/>
      </c>
    </row>
    <row r="548">
      <c r="A548" s="2" t="inlineStr">
        <is>
          <t>14-K-A738</t>
        </is>
      </c>
      <c r="B548" s="3" t="inlineStr">
        <is>
          <t>OJC-A1-LC/LC-MM(OM3)-27-PC/PC-DP</t>
        </is>
      </c>
      <c r="C548" s="2" t="inlineStr">
        <is>
          <t>LC/DP CLIP Type, 27M</t>
        </is>
      </c>
      <c r="D548" s="2" t="inlineStr">
        <is>
          <t>om3</t>
        </is>
      </c>
      <c r="E548" s="2" t="inlineStr">
        <is>
          <t>2.0mm</t>
        </is>
      </c>
      <c r="F548" s="2" t="n">
        <v>2</v>
      </c>
      <c r="G548" s="2" t="n">
        <v>27</v>
      </c>
      <c r="H548" s="2" t="inlineStr">
        <is>
          <t>LC/PC</t>
        </is>
      </c>
      <c r="I548" s="2" t="inlineStr">
        <is>
          <t>LC/PC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>
        <v>12</v>
      </c>
      <c r="T548" s="2" t="n"/>
      <c r="U548" s="2" t="n"/>
      <c r="V548" s="2">
        <f>SUM(J548:U548)</f>
        <v/>
      </c>
      <c r="W548" s="2" t="n"/>
      <c r="X548" s="2" t="n">
        <v>24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>
        <v>24</v>
      </c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>
        <f>IF(F548=1,V548*2,IF(F548=2,V548*F548*2,IF(F548&gt;2,F548*2*V548)))</f>
        <v/>
      </c>
      <c r="AW548" s="2">
        <f>SUM(W548:AU548)</f>
        <v/>
      </c>
    </row>
    <row r="549">
      <c r="A549" s="2" t="inlineStr">
        <is>
          <t>14-K-A739</t>
        </is>
      </c>
      <c r="B549" s="3" t="inlineStr">
        <is>
          <t>OJC-A1-LC/LC-MM(OM3)-28-PC/PC-DP</t>
        </is>
      </c>
      <c r="C549" s="2" t="inlineStr">
        <is>
          <t>LC/DP CLIP Type, 28M</t>
        </is>
      </c>
      <c r="D549" s="2" t="inlineStr">
        <is>
          <t>om3</t>
        </is>
      </c>
      <c r="E549" s="2" t="inlineStr">
        <is>
          <t>2.0mm</t>
        </is>
      </c>
      <c r="F549" s="2" t="n">
        <v>2</v>
      </c>
      <c r="G549" s="2" t="n">
        <v>28</v>
      </c>
      <c r="H549" s="2" t="inlineStr">
        <is>
          <t>LC/PC</t>
        </is>
      </c>
      <c r="I549" s="2" t="inlineStr">
        <is>
          <t>LC/PC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>
        <v>12</v>
      </c>
      <c r="T549" s="2" t="n"/>
      <c r="U549" s="2" t="n"/>
      <c r="V549" s="2">
        <f>SUM(J549:U549)</f>
        <v/>
      </c>
      <c r="W549" s="2" t="n"/>
      <c r="X549" s="2" t="n">
        <v>24</v>
      </c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>
        <v>24</v>
      </c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>
        <f>IF(F549=1,V549*2,IF(F549=2,V549*F549*2,IF(F549&gt;2,F549*2*V549)))</f>
        <v/>
      </c>
      <c r="AW549" s="2">
        <f>SUM(W549:AU549)</f>
        <v/>
      </c>
    </row>
    <row r="550">
      <c r="A550" s="2" t="inlineStr">
        <is>
          <t>14-K-A740</t>
        </is>
      </c>
      <c r="B550" s="3" t="inlineStr">
        <is>
          <t>OJC-A1-LC/LC-MM(OM3)-29-PC/PC-DP</t>
        </is>
      </c>
      <c r="C550" s="2" t="inlineStr">
        <is>
          <t>LC/DP CLIP Type, 29M</t>
        </is>
      </c>
      <c r="D550" s="2" t="inlineStr">
        <is>
          <t>om3</t>
        </is>
      </c>
      <c r="E550" s="2" t="inlineStr">
        <is>
          <t>2.0mm</t>
        </is>
      </c>
      <c r="F550" s="2" t="n">
        <v>2</v>
      </c>
      <c r="G550" s="2" t="n">
        <v>29</v>
      </c>
      <c r="H550" s="2" t="inlineStr">
        <is>
          <t>LC/PC</t>
        </is>
      </c>
      <c r="I550" s="2" t="inlineStr">
        <is>
          <t>LC/PC</t>
        </is>
      </c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>
        <v>12</v>
      </c>
      <c r="T550" s="2" t="n"/>
      <c r="U550" s="2" t="n"/>
      <c r="V550" s="2">
        <f>SUM(J550:U550)</f>
        <v/>
      </c>
      <c r="W550" s="2" t="n"/>
      <c r="X550" s="2" t="n">
        <v>24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>
        <v>24</v>
      </c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>
        <f>IF(F550=1,V550*2,IF(F550=2,V550*F550*2,IF(F550&gt;2,F550*2*V550)))</f>
        <v/>
      </c>
      <c r="AW550" s="2">
        <f>SUM(W550:AU550)</f>
        <v/>
      </c>
    </row>
    <row r="551">
      <c r="A551" s="2" t="inlineStr">
        <is>
          <t>14-K-A741</t>
        </is>
      </c>
      <c r="B551" s="3" t="inlineStr">
        <is>
          <t>OJC-A1-LC/LC-MM(OM3)-30-PC/PC-DP</t>
        </is>
      </c>
      <c r="C551" s="2" t="inlineStr">
        <is>
          <t>LC/DP CLIP Type, 30M</t>
        </is>
      </c>
      <c r="D551" s="2" t="inlineStr">
        <is>
          <t>om3</t>
        </is>
      </c>
      <c r="E551" s="2" t="inlineStr">
        <is>
          <t>2.0mm</t>
        </is>
      </c>
      <c r="F551" s="2" t="n">
        <v>2</v>
      </c>
      <c r="G551" s="2" t="n">
        <v>30</v>
      </c>
      <c r="H551" s="2" t="inlineStr">
        <is>
          <t>LC/PC</t>
        </is>
      </c>
      <c r="I551" s="2" t="inlineStr">
        <is>
          <t>LC/PC</t>
        </is>
      </c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>
        <v>12</v>
      </c>
      <c r="T551" s="2" t="n"/>
      <c r="U551" s="2" t="n"/>
      <c r="V551" s="2">
        <f>SUM(J551:U551)</f>
        <v/>
      </c>
      <c r="W551" s="2" t="n"/>
      <c r="X551" s="2" t="n">
        <v>24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>
        <v>24</v>
      </c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>
        <f>IF(F551=1,V551*2,IF(F551=2,V551*F551*2,IF(F551&gt;2,F551*2*V551)))</f>
        <v/>
      </c>
      <c r="AW551" s="2">
        <f>SUM(W551:AU551)</f>
        <v/>
      </c>
    </row>
    <row r="552">
      <c r="A552" s="2" t="inlineStr">
        <is>
          <t>14-K-A742</t>
        </is>
      </c>
      <c r="B552" s="3" t="inlineStr">
        <is>
          <t>OJC-A1-LC/LC-MM(OM3)-31-PC/PC-DP</t>
        </is>
      </c>
      <c r="C552" s="2" t="inlineStr">
        <is>
          <t>LC/DP CLIP Type, 31M</t>
        </is>
      </c>
      <c r="D552" s="2" t="inlineStr">
        <is>
          <t>om3</t>
        </is>
      </c>
      <c r="E552" s="2" t="inlineStr">
        <is>
          <t>2.0mm</t>
        </is>
      </c>
      <c r="F552" s="2" t="n">
        <v>2</v>
      </c>
      <c r="G552" s="2" t="n">
        <v>31</v>
      </c>
      <c r="H552" s="2" t="inlineStr">
        <is>
          <t>LC/PC</t>
        </is>
      </c>
      <c r="I552" s="2" t="inlineStr">
        <is>
          <t>LC/PC</t>
        </is>
      </c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>
        <v>12</v>
      </c>
      <c r="T552" s="2" t="n"/>
      <c r="U552" s="2" t="n"/>
      <c r="V552" s="2">
        <f>SUM(J552:U552)</f>
        <v/>
      </c>
      <c r="W552" s="2" t="n"/>
      <c r="X552" s="2" t="n">
        <v>24</v>
      </c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>
        <v>24</v>
      </c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>
        <f>IF(F552=1,V552*2,IF(F552=2,V552*F552*2,IF(F552&gt;2,F552*2*V552)))</f>
        <v/>
      </c>
      <c r="AW552" s="2">
        <f>SUM(W552:AU552)</f>
        <v/>
      </c>
    </row>
    <row r="553">
      <c r="A553" s="2" t="inlineStr">
        <is>
          <t>14-K-A747</t>
        </is>
      </c>
      <c r="B553" s="3" t="inlineStr">
        <is>
          <t>OJC-A1-LC/LC-MM(OM3)-36-PC/PC-DP</t>
        </is>
      </c>
      <c r="C553" s="2" t="inlineStr">
        <is>
          <t>LC/DP CLIP Type, 36M</t>
        </is>
      </c>
      <c r="D553" s="2" t="inlineStr">
        <is>
          <t>om3</t>
        </is>
      </c>
      <c r="E553" s="2" t="inlineStr">
        <is>
          <t>2.0mm</t>
        </is>
      </c>
      <c r="F553" s="2" t="n">
        <v>2</v>
      </c>
      <c r="G553" s="2" t="n">
        <v>36</v>
      </c>
      <c r="H553" s="2" t="inlineStr">
        <is>
          <t>LC/PC</t>
        </is>
      </c>
      <c r="I553" s="2" t="inlineStr">
        <is>
          <t>LC/PC</t>
        </is>
      </c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>
        <v>12</v>
      </c>
      <c r="T553" s="2" t="n"/>
      <c r="U553" s="2" t="n"/>
      <c r="V553" s="2">
        <f>SUM(J553:U553)</f>
        <v/>
      </c>
      <c r="W553" s="2" t="n"/>
      <c r="X553" s="2" t="n">
        <v>24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>
        <v>24</v>
      </c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>
        <f>IF(F553=1,V553*2,IF(F553=2,V553*F553*2,IF(F553&gt;2,F553*2*V553)))</f>
        <v/>
      </c>
      <c r="AW553" s="2">
        <f>SUM(W553:AU553)</f>
        <v/>
      </c>
    </row>
    <row r="554">
      <c r="A554" s="2" t="inlineStr">
        <is>
          <t>14-K-A748</t>
        </is>
      </c>
      <c r="B554" s="3" t="inlineStr">
        <is>
          <t>OJC-A1-LC/LC-MM(OM3)-37-PC/PC-DP</t>
        </is>
      </c>
      <c r="C554" s="2" t="inlineStr">
        <is>
          <t>LC/DP CLIP Type, 37M</t>
        </is>
      </c>
      <c r="D554" s="2" t="inlineStr">
        <is>
          <t>om3</t>
        </is>
      </c>
      <c r="E554" s="2" t="inlineStr">
        <is>
          <t>2.0mm</t>
        </is>
      </c>
      <c r="F554" s="2" t="n">
        <v>2</v>
      </c>
      <c r="G554" s="2" t="n">
        <v>37</v>
      </c>
      <c r="H554" s="2" t="inlineStr">
        <is>
          <t>LC/PC</t>
        </is>
      </c>
      <c r="I554" s="2" t="inlineStr">
        <is>
          <t>LC/PC</t>
        </is>
      </c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>
        <v>12</v>
      </c>
      <c r="T554" s="2" t="n"/>
      <c r="U554" s="2" t="n"/>
      <c r="V554" s="2">
        <f>SUM(J554:U554)</f>
        <v/>
      </c>
      <c r="W554" s="2" t="n"/>
      <c r="X554" s="2" t="n">
        <v>24</v>
      </c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>
        <v>24</v>
      </c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>
        <f>IF(F554=1,V554*2,IF(F554=2,V554*F554*2,IF(F554&gt;2,F554*2*V554)))</f>
        <v/>
      </c>
      <c r="AW554" s="2">
        <f>SUM(W554:AU554)</f>
        <v/>
      </c>
    </row>
    <row r="555">
      <c r="A555" s="2" t="inlineStr">
        <is>
          <t>14-K-A749</t>
        </is>
      </c>
      <c r="B555" s="3" t="inlineStr">
        <is>
          <t>OJC-A1-LC/LC-MM(OM3)-38-PC/PC-DP</t>
        </is>
      </c>
      <c r="C555" s="2" t="inlineStr">
        <is>
          <t>LC/DP CLIP Type, 38M</t>
        </is>
      </c>
      <c r="D555" s="2" t="inlineStr">
        <is>
          <t>om3</t>
        </is>
      </c>
      <c r="E555" s="2" t="inlineStr">
        <is>
          <t>2.0mm</t>
        </is>
      </c>
      <c r="F555" s="2" t="n">
        <v>2</v>
      </c>
      <c r="G555" s="2" t="n">
        <v>38</v>
      </c>
      <c r="H555" s="2" t="inlineStr">
        <is>
          <t>LC/PC</t>
        </is>
      </c>
      <c r="I555" s="2" t="inlineStr">
        <is>
          <t>LC/PC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>
        <v>12</v>
      </c>
      <c r="T555" s="2" t="n"/>
      <c r="U555" s="2" t="n"/>
      <c r="V555" s="2">
        <f>SUM(J555:U555)</f>
        <v/>
      </c>
      <c r="W555" s="2" t="n"/>
      <c r="X555" s="2" t="n">
        <v>24</v>
      </c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>
        <v>24</v>
      </c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>
        <f>IF(F555=1,V555*2,IF(F555=2,V555*F555*2,IF(F555&gt;2,F555*2*V555)))</f>
        <v/>
      </c>
      <c r="AW555" s="2">
        <f>SUM(W555:AU555)</f>
        <v/>
      </c>
    </row>
    <row r="556">
      <c r="A556" s="2" t="inlineStr">
        <is>
          <t>14-K-A750</t>
        </is>
      </c>
      <c r="B556" s="3" t="inlineStr">
        <is>
          <t>OJC-A1-LC/LC-MM(OM3)-39-PC/PC-DP</t>
        </is>
      </c>
      <c r="C556" s="2" t="inlineStr">
        <is>
          <t>LC/DP CLIP Type, 39M</t>
        </is>
      </c>
      <c r="D556" s="2" t="inlineStr">
        <is>
          <t>om3</t>
        </is>
      </c>
      <c r="E556" s="2" t="inlineStr">
        <is>
          <t>2.0mm</t>
        </is>
      </c>
      <c r="F556" s="2" t="n">
        <v>2</v>
      </c>
      <c r="G556" s="2" t="n">
        <v>39</v>
      </c>
      <c r="H556" s="2" t="inlineStr">
        <is>
          <t>LC/PC</t>
        </is>
      </c>
      <c r="I556" s="2" t="inlineStr">
        <is>
          <t>LC/PC</t>
        </is>
      </c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>
        <v>12</v>
      </c>
      <c r="T556" s="2" t="n"/>
      <c r="U556" s="2" t="n"/>
      <c r="V556" s="2">
        <f>SUM(J556:U556)</f>
        <v/>
      </c>
      <c r="W556" s="2" t="n"/>
      <c r="X556" s="2" t="n">
        <v>24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>
        <v>24</v>
      </c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>
        <f>IF(F556=1,V556*2,IF(F556=2,V556*F556*2,IF(F556&gt;2,F556*2*V556)))</f>
        <v/>
      </c>
      <c r="AW556" s="2">
        <f>SUM(W556:AU556)</f>
        <v/>
      </c>
    </row>
    <row r="557">
      <c r="A557" s="2" t="inlineStr">
        <is>
          <t>14-K-A751</t>
        </is>
      </c>
      <c r="B557" s="3" t="inlineStr">
        <is>
          <t>OJC-A1-LC/LC-MM(OM3)-40-PC/PC-DP</t>
        </is>
      </c>
      <c r="C557" s="2" t="inlineStr">
        <is>
          <t>LC/DP CLIP Type, 40M</t>
        </is>
      </c>
      <c r="D557" s="2" t="inlineStr">
        <is>
          <t>om3</t>
        </is>
      </c>
      <c r="E557" s="2" t="inlineStr">
        <is>
          <t>2.0mm</t>
        </is>
      </c>
      <c r="F557" s="2" t="n">
        <v>2</v>
      </c>
      <c r="G557" s="2" t="n">
        <v>40</v>
      </c>
      <c r="H557" s="2" t="inlineStr">
        <is>
          <t>LC/PC</t>
        </is>
      </c>
      <c r="I557" s="2" t="inlineStr">
        <is>
          <t>LC/PC</t>
        </is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>
        <v>12</v>
      </c>
      <c r="T557" s="2" t="n"/>
      <c r="U557" s="2" t="n"/>
      <c r="V557" s="2">
        <f>SUM(J557:U557)</f>
        <v/>
      </c>
      <c r="W557" s="2" t="n"/>
      <c r="X557" s="2" t="n">
        <v>24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>
        <v>24</v>
      </c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>
        <f>IF(F557=1,V557*2,IF(F557=2,V557*F557*2,IF(F557&gt;2,F557*2*V557)))</f>
        <v/>
      </c>
      <c r="AW557" s="2">
        <f>SUM(W557:AU557)</f>
        <v/>
      </c>
    </row>
    <row r="558">
      <c r="A558" s="2" t="inlineStr">
        <is>
          <t>14-K-A752</t>
        </is>
      </c>
      <c r="B558" s="3" t="inlineStr">
        <is>
          <t>OJC-A1-LC/LC-MM(OM3)-41-PC/PC-DP</t>
        </is>
      </c>
      <c r="C558" s="2" t="inlineStr">
        <is>
          <t>LC/DP CLIP Type, 41M</t>
        </is>
      </c>
      <c r="D558" s="2" t="inlineStr">
        <is>
          <t>om3</t>
        </is>
      </c>
      <c r="E558" s="2" t="inlineStr">
        <is>
          <t>2.0mm</t>
        </is>
      </c>
      <c r="F558" s="2" t="n">
        <v>2</v>
      </c>
      <c r="G558" s="2" t="n">
        <v>41</v>
      </c>
      <c r="H558" s="2" t="inlineStr">
        <is>
          <t>LC/PC</t>
        </is>
      </c>
      <c r="I558" s="2" t="inlineStr">
        <is>
          <t>LC/PC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>
        <v>12</v>
      </c>
      <c r="T558" s="2" t="n"/>
      <c r="U558" s="2" t="n"/>
      <c r="V558" s="2">
        <f>SUM(J558:U558)</f>
        <v/>
      </c>
      <c r="W558" s="2" t="n"/>
      <c r="X558" s="2" t="n">
        <v>24</v>
      </c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>
        <v>24</v>
      </c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>
        <f>IF(F558=1,V558*2,IF(F558=2,V558*F558*2,IF(F558&gt;2,F558*2*V558)))</f>
        <v/>
      </c>
      <c r="AW558" s="2">
        <f>SUM(W558:AU558)</f>
        <v/>
      </c>
    </row>
    <row r="559">
      <c r="A559" s="2" t="inlineStr">
        <is>
          <t>14-K-A753</t>
        </is>
      </c>
      <c r="B559" s="3" t="inlineStr">
        <is>
          <t>OJC-A1-LC/LC-MM(OM3)-42-PC/PC-DP</t>
        </is>
      </c>
      <c r="C559" s="2" t="inlineStr">
        <is>
          <t>LC/DP CLIP Type, 42M</t>
        </is>
      </c>
      <c r="D559" s="2" t="inlineStr">
        <is>
          <t>om3</t>
        </is>
      </c>
      <c r="E559" s="2" t="inlineStr">
        <is>
          <t>2.0mm</t>
        </is>
      </c>
      <c r="F559" s="2" t="n">
        <v>2</v>
      </c>
      <c r="G559" s="2" t="n">
        <v>42</v>
      </c>
      <c r="H559" s="2" t="inlineStr">
        <is>
          <t>LC/PC</t>
        </is>
      </c>
      <c r="I559" s="2" t="inlineStr">
        <is>
          <t>LC/PC</t>
        </is>
      </c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>
        <v>14</v>
      </c>
      <c r="T559" s="2" t="n"/>
      <c r="U559" s="2" t="n"/>
      <c r="V559" s="2">
        <f>SUM(J559:U559)</f>
        <v/>
      </c>
      <c r="W559" s="2" t="n"/>
      <c r="X559" s="2" t="n">
        <v>28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>
        <v>28</v>
      </c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>
        <f>IF(F559=1,V559*2,IF(F559=2,V559*F559*2,IF(F559&gt;2,F559*2*V559)))</f>
        <v/>
      </c>
      <c r="AW559" s="2">
        <f>SUM(W559:AU559)</f>
        <v/>
      </c>
    </row>
    <row r="560">
      <c r="A560" s="2" t="inlineStr">
        <is>
          <t>14-K-A87</t>
        </is>
      </c>
      <c r="B560" s="3" t="inlineStr">
        <is>
          <t>OJC-A1-LC/LC-SM-15-PC/PC-DP</t>
        </is>
      </c>
      <c r="C560" s="2" t="inlineStr">
        <is>
          <t>적색</t>
        </is>
      </c>
      <c r="D560" s="2" t="inlineStr">
        <is>
          <t>a1-적</t>
        </is>
      </c>
      <c r="E560" s="2" t="inlineStr">
        <is>
          <t>2.0mm</t>
        </is>
      </c>
      <c r="F560" s="2" t="n">
        <v>2</v>
      </c>
      <c r="G560" s="2" t="n">
        <v>15</v>
      </c>
      <c r="H560" s="2" t="inlineStr">
        <is>
          <t>LC/PC</t>
        </is>
      </c>
      <c r="I560" s="2" t="inlineStr">
        <is>
          <t>LC/PC</t>
        </is>
      </c>
      <c r="J560" s="2" t="n"/>
      <c r="K560" s="2" t="n">
        <v>20</v>
      </c>
      <c r="L560" s="2" t="n"/>
      <c r="M560" s="2" t="n"/>
      <c r="N560" s="2" t="n">
        <v>20</v>
      </c>
      <c r="O560" s="2" t="n"/>
      <c r="P560" s="2" t="n"/>
      <c r="Q560" s="2" t="n"/>
      <c r="R560" s="2" t="n"/>
      <c r="S560" s="2" t="n"/>
      <c r="T560" s="2" t="n"/>
      <c r="U560" s="2" t="n"/>
      <c r="V560" s="2">
        <f>SUM(J560:U560)</f>
        <v/>
      </c>
      <c r="W560" s="2" t="n">
        <v>80</v>
      </c>
      <c r="X560" s="2" t="n">
        <v>80</v>
      </c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>
        <f>IF(F560=1,V560*2,IF(F560=2,V560*F560*2,IF(F560&gt;2,F560*2*V560)))</f>
        <v/>
      </c>
      <c r="AW560" s="2">
        <f>SUM(W560:AU560)</f>
        <v/>
      </c>
    </row>
    <row r="561">
      <c r="A561" s="2" t="inlineStr">
        <is>
          <t>14-K-A914</t>
        </is>
      </c>
      <c r="B561" s="3" t="inlineStr">
        <is>
          <t>OJC-A1-LC/LC-MM(OM4)-3-PC/PC-DP</t>
        </is>
      </c>
      <c r="C561" s="2" t="inlineStr">
        <is>
          <t>LC/DP CLIP Type, 3M</t>
        </is>
      </c>
      <c r="D561" s="2" t="inlineStr">
        <is>
          <t>om1</t>
        </is>
      </c>
      <c r="E561" s="2" t="inlineStr">
        <is>
          <t>2.0mm</t>
        </is>
      </c>
      <c r="F561" s="2" t="n">
        <v>2</v>
      </c>
      <c r="G561" s="2" t="n">
        <v>3</v>
      </c>
      <c r="H561" s="2" t="inlineStr">
        <is>
          <t>LC/PC</t>
        </is>
      </c>
      <c r="I561" s="2" t="inlineStr">
        <is>
          <t>LC/PC</t>
        </is>
      </c>
      <c r="J561" s="2" t="n"/>
      <c r="K561" s="2" t="n"/>
      <c r="L561" s="2" t="n"/>
      <c r="M561" s="2" t="n"/>
      <c r="N561" s="2" t="n">
        <v>10</v>
      </c>
      <c r="O561" s="2" t="n"/>
      <c r="P561" s="2" t="n"/>
      <c r="Q561" s="2" t="n"/>
      <c r="R561" s="2" t="n"/>
      <c r="S561" s="2" t="n"/>
      <c r="T561" s="2" t="n"/>
      <c r="U561" s="2" t="n"/>
      <c r="V561" s="2">
        <f>SUM(J561:U561)</f>
        <v/>
      </c>
      <c r="W561" s="2" t="n"/>
      <c r="X561" s="2" t="n">
        <v>20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>
        <v>20</v>
      </c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>
        <f>IF(F561=1,V561*2,IF(F561=2,V561*F561*2,IF(F561&gt;2,F561*2*V561)))</f>
        <v/>
      </c>
      <c r="AW561" s="2">
        <f>SUM(W561:AU561)</f>
        <v/>
      </c>
    </row>
    <row r="562">
      <c r="A562" s="2" t="inlineStr">
        <is>
          <t>14-K-A92</t>
        </is>
      </c>
      <c r="B562" s="3" t="inlineStr">
        <is>
          <t>OJC-A1-LC/LC-SM-10-PC/PC-DP</t>
        </is>
      </c>
      <c r="C562" s="2" t="inlineStr">
        <is>
          <t>적색</t>
        </is>
      </c>
      <c r="D562" s="2" t="inlineStr">
        <is>
          <t>a1-적</t>
        </is>
      </c>
      <c r="E562" s="2" t="inlineStr">
        <is>
          <t>2.0mm</t>
        </is>
      </c>
      <c r="F562" s="2" t="n">
        <v>2</v>
      </c>
      <c r="G562" s="2" t="n">
        <v>10</v>
      </c>
      <c r="H562" s="2" t="inlineStr">
        <is>
          <t>LC/PC</t>
        </is>
      </c>
      <c r="I562" s="2" t="inlineStr">
        <is>
          <t>LC/PC</t>
        </is>
      </c>
      <c r="J562" s="2" t="n"/>
      <c r="K562" s="2" t="n"/>
      <c r="L562" s="2" t="n">
        <v>20</v>
      </c>
      <c r="M562" s="2" t="n"/>
      <c r="N562" s="2" t="n">
        <v>20</v>
      </c>
      <c r="O562" s="2" t="n"/>
      <c r="P562" s="2" t="n"/>
      <c r="Q562" s="2" t="n"/>
      <c r="R562" s="2" t="n"/>
      <c r="S562" s="2" t="n"/>
      <c r="T562" s="2" t="n"/>
      <c r="U562" s="2" t="n"/>
      <c r="V562" s="2">
        <f>SUM(J562:U562)</f>
        <v/>
      </c>
      <c r="W562" s="2" t="n">
        <v>80</v>
      </c>
      <c r="X562" s="2" t="n">
        <v>80</v>
      </c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>
        <f>IF(F562=1,V562*2,IF(F562=2,V562*F562*2,IF(F562&gt;2,F562*2*V562)))</f>
        <v/>
      </c>
      <c r="AW562" s="2">
        <f>SUM(W562:AU562)</f>
        <v/>
      </c>
    </row>
    <row r="563">
      <c r="A563" s="2" t="inlineStr">
        <is>
          <t>14-K-A926</t>
        </is>
      </c>
      <c r="B563" s="3" t="inlineStr">
        <is>
          <t>OJC-A1-LC/LC-MM(OM4)-15-PC/PC-DP</t>
        </is>
      </c>
      <c r="C563" s="2" t="inlineStr">
        <is>
          <t>LC/DP CLIP Type, 15M</t>
        </is>
      </c>
      <c r="D563" s="2" t="inlineStr">
        <is>
          <t>om1</t>
        </is>
      </c>
      <c r="E563" s="2" t="inlineStr">
        <is>
          <t>2.0mm</t>
        </is>
      </c>
      <c r="F563" s="2" t="n">
        <v>2</v>
      </c>
      <c r="G563" s="2" t="n">
        <v>15</v>
      </c>
      <c r="H563" s="2" t="inlineStr">
        <is>
          <t>LC/PC</t>
        </is>
      </c>
      <c r="I563" s="2" t="inlineStr">
        <is>
          <t>LC/PC</t>
        </is>
      </c>
      <c r="J563" s="2" t="n"/>
      <c r="K563" s="2" t="n"/>
      <c r="L563" s="2" t="n"/>
      <c r="M563" s="2" t="n"/>
      <c r="N563" s="2" t="n">
        <v>7</v>
      </c>
      <c r="O563" s="2" t="n"/>
      <c r="P563" s="2" t="n"/>
      <c r="Q563" s="2" t="n"/>
      <c r="R563" s="2" t="n"/>
      <c r="S563" s="2" t="n"/>
      <c r="T563" s="2" t="n"/>
      <c r="U563" s="2" t="n"/>
      <c r="V563" s="2">
        <f>SUM(J563:U563)</f>
        <v/>
      </c>
      <c r="W563" s="2" t="n"/>
      <c r="X563" s="2" t="n">
        <v>14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>
        <v>14</v>
      </c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>
        <f>IF(F563=1,V563*2,IF(F563=2,V563*F563*2,IF(F563&gt;2,F563*2*V563)))</f>
        <v/>
      </c>
      <c r="AW563" s="2">
        <f>SUM(W563:AU563)</f>
        <v/>
      </c>
    </row>
    <row r="564">
      <c r="A564" s="2" t="inlineStr">
        <is>
          <t>14-K-A95</t>
        </is>
      </c>
      <c r="B564" s="3" t="inlineStr">
        <is>
          <t>OJC-A1-LC/LC-SM-40-PC/PC-DP</t>
        </is>
      </c>
      <c r="C564" s="2" t="inlineStr">
        <is>
          <t>적색</t>
        </is>
      </c>
      <c r="D564" s="2" t="inlineStr">
        <is>
          <t>a1-적</t>
        </is>
      </c>
      <c r="E564" s="2" t="inlineStr">
        <is>
          <t>2.0mm</t>
        </is>
      </c>
      <c r="F564" s="2" t="n">
        <v>2</v>
      </c>
      <c r="G564" s="2" t="n">
        <v>40</v>
      </c>
      <c r="H564" s="2" t="inlineStr">
        <is>
          <t>LC/PC</t>
        </is>
      </c>
      <c r="I564" s="2" t="inlineStr">
        <is>
          <t>LC/PC</t>
        </is>
      </c>
      <c r="J564" s="2" t="n"/>
      <c r="K564" s="2" t="n"/>
      <c r="L564" s="2" t="n"/>
      <c r="M564" s="2" t="n"/>
      <c r="N564" s="2" t="n">
        <v>10</v>
      </c>
      <c r="O564" s="2" t="n"/>
      <c r="P564" s="2" t="n"/>
      <c r="Q564" s="2" t="n"/>
      <c r="R564" s="2" t="n"/>
      <c r="S564" s="2" t="n"/>
      <c r="T564" s="2" t="n"/>
      <c r="U564" s="2" t="n"/>
      <c r="V564" s="2">
        <f>SUM(J564:U564)</f>
        <v/>
      </c>
      <c r="W564" s="2" t="n">
        <v>20</v>
      </c>
      <c r="X564" s="2" t="n">
        <v>20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>
        <f>IF(F564=1,V564*2,IF(F564=2,V564*F564*2,IF(F564&gt;2,F564*2*V564)))</f>
        <v/>
      </c>
      <c r="AW564" s="2">
        <f>SUM(W564:AU564)</f>
        <v/>
      </c>
    </row>
    <row r="565">
      <c r="A565" s="2" t="inlineStr">
        <is>
          <t>14-K-B113</t>
        </is>
      </c>
      <c r="B565" s="3" t="inlineStr">
        <is>
          <t>OJC-C2-SC/LC-SM-20-PC/PC-20C</t>
        </is>
      </c>
      <c r="C565" s="2" t="inlineStr">
        <is>
          <t>K9094344, 양단 분기부 1.5M</t>
        </is>
      </c>
      <c r="D565" s="2" t="inlineStr">
        <is>
          <t>a1-20c</t>
        </is>
      </c>
      <c r="E565" s="2" t="inlineStr">
        <is>
          <t>2.0mm</t>
        </is>
      </c>
      <c r="F565" s="2" t="n">
        <v>20</v>
      </c>
      <c r="G565" s="2" t="n">
        <v>20</v>
      </c>
      <c r="H565" s="2" t="inlineStr">
        <is>
          <t>SC/PC</t>
        </is>
      </c>
      <c r="I565" s="2" t="inlineStr">
        <is>
          <t>LC/PC</t>
        </is>
      </c>
      <c r="J565" s="2" t="n"/>
      <c r="K565" s="2" t="n"/>
      <c r="L565" s="2" t="n"/>
      <c r="M565" s="2" t="n"/>
      <c r="N565" s="2" t="n"/>
      <c r="O565" s="2" t="n"/>
      <c r="P565" s="2" t="n">
        <v>10</v>
      </c>
      <c r="Q565" s="2" t="n"/>
      <c r="R565" s="2" t="n"/>
      <c r="S565" s="2" t="n"/>
      <c r="T565" s="2" t="n"/>
      <c r="U565" s="2" t="n"/>
      <c r="V565" s="2">
        <f>SUM(J565:U565)</f>
        <v/>
      </c>
      <c r="W565" s="2" t="n">
        <v>200</v>
      </c>
      <c r="X565" s="2" t="n"/>
      <c r="Y565" s="2" t="n"/>
      <c r="Z565" s="2" t="n"/>
      <c r="AA565" s="2" t="n">
        <v>200</v>
      </c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>
        <f>IF(F565=1,V565*2,IF(F565=2,V565*F565*2,IF(F565&gt;2,F565*2*V565)))</f>
        <v/>
      </c>
      <c r="AW565" s="2">
        <f>SUM(W565:AU565)</f>
        <v/>
      </c>
    </row>
    <row r="566">
      <c r="A566" s="2" t="inlineStr">
        <is>
          <t>14-K-B134</t>
        </is>
      </c>
      <c r="B566" s="3" t="inlineStr">
        <is>
          <t>OJC-A1-SC/SC-SM-40-PC/APC-SP</t>
        </is>
      </c>
      <c r="C566" s="2" t="inlineStr"/>
      <c r="D566" s="2" t="inlineStr">
        <is>
          <t>a1</t>
        </is>
      </c>
      <c r="E566" s="2" t="inlineStr">
        <is>
          <t>2.0mm</t>
        </is>
      </c>
      <c r="F566" s="2" t="n">
        <v>1</v>
      </c>
      <c r="G566" s="2" t="n">
        <v>40</v>
      </c>
      <c r="H566" s="2" t="inlineStr">
        <is>
          <t>SC/PC</t>
        </is>
      </c>
      <c r="I566" s="2" t="inlineStr">
        <is>
          <t>SC/APC</t>
        </is>
      </c>
      <c r="J566" s="2" t="n"/>
      <c r="K566" s="2" t="n"/>
      <c r="L566" s="2" t="n"/>
      <c r="M566" s="2" t="n"/>
      <c r="N566" s="2" t="n"/>
      <c r="O566" s="2" t="n">
        <v>40</v>
      </c>
      <c r="P566" s="2" t="n"/>
      <c r="Q566" s="2" t="n"/>
      <c r="R566" s="2" t="n"/>
      <c r="S566" s="2" t="n"/>
      <c r="T566" s="2" t="n"/>
      <c r="U566" s="2" t="n"/>
      <c r="V566" s="2">
        <f>SUM(J566:U566)</f>
        <v/>
      </c>
      <c r="W566" s="2" t="n"/>
      <c r="X566" s="2" t="n"/>
      <c r="Y566" s="2" t="n"/>
      <c r="Z566" s="2" t="n"/>
      <c r="AA566" s="2" t="n">
        <v>40</v>
      </c>
      <c r="AB566" s="2" t="n"/>
      <c r="AC566" s="2" t="n">
        <v>40</v>
      </c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>
        <f>IF(F566=1,V566*2,IF(F566=2,V566*F566*2,IF(F566&gt;2,F566*2*V566)))</f>
        <v/>
      </c>
      <c r="AW566" s="2">
        <f>SUM(W566:AU566)</f>
        <v/>
      </c>
    </row>
    <row r="567">
      <c r="A567" s="2" t="inlineStr">
        <is>
          <t>14-K-B154</t>
        </is>
      </c>
      <c r="B567" s="3" t="inlineStr">
        <is>
          <t>OJC-A1-SC/LC-SM-35-PC/PC-DP</t>
        </is>
      </c>
      <c r="C567" s="2" t="inlineStr">
        <is>
          <t>적색</t>
        </is>
      </c>
      <c r="D567" s="2" t="inlineStr">
        <is>
          <t>a1-적</t>
        </is>
      </c>
      <c r="E567" s="2" t="inlineStr">
        <is>
          <t>2.0mm</t>
        </is>
      </c>
      <c r="F567" s="2" t="n">
        <v>2</v>
      </c>
      <c r="G567" s="2" t="n">
        <v>35</v>
      </c>
      <c r="H567" s="2" t="inlineStr">
        <is>
          <t>SC/PC</t>
        </is>
      </c>
      <c r="I567" s="2" t="inlineStr">
        <is>
          <t>LC/PC</t>
        </is>
      </c>
      <c r="J567" s="2" t="n"/>
      <c r="K567" s="2" t="n"/>
      <c r="L567" s="2" t="n"/>
      <c r="M567" s="2" t="n"/>
      <c r="N567" s="2" t="n"/>
      <c r="O567" s="2" t="n">
        <v>30</v>
      </c>
      <c r="P567" s="2" t="n"/>
      <c r="Q567" s="2" t="n"/>
      <c r="R567" s="2" t="n"/>
      <c r="S567" s="2" t="n"/>
      <c r="T567" s="2" t="n"/>
      <c r="U567" s="2" t="n"/>
      <c r="V567" s="2">
        <f>SUM(J567:U567)</f>
        <v/>
      </c>
      <c r="W567" s="2" t="n"/>
      <c r="X567" s="2" t="n">
        <v>60</v>
      </c>
      <c r="Y567" s="2" t="n"/>
      <c r="Z567" s="2" t="n"/>
      <c r="AA567" s="2" t="n">
        <v>60</v>
      </c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>
        <f>IF(F567=1,V567*2,IF(F567=2,V567*F567*2,IF(F567&gt;2,F567*2*V567)))</f>
        <v/>
      </c>
      <c r="AW567" s="2">
        <f>SUM(W567:AU567)</f>
        <v/>
      </c>
    </row>
    <row r="568">
      <c r="A568" s="2" t="inlineStr">
        <is>
          <t>14-K-B175</t>
        </is>
      </c>
      <c r="B568" s="3" t="inlineStr">
        <is>
          <t>OJC-A1-SC/LC-SM-22-PC/PC-DP</t>
        </is>
      </c>
      <c r="C568" s="2" t="inlineStr">
        <is>
          <t>적색</t>
        </is>
      </c>
      <c r="D568" s="2" t="inlineStr">
        <is>
          <t>a1-적</t>
        </is>
      </c>
      <c r="E568" s="2" t="inlineStr">
        <is>
          <t>2.0mm</t>
        </is>
      </c>
      <c r="F568" s="2" t="n">
        <v>2</v>
      </c>
      <c r="G568" s="2" t="n">
        <v>22</v>
      </c>
      <c r="H568" s="2" t="inlineStr">
        <is>
          <t>SC/PC</t>
        </is>
      </c>
      <c r="I568" s="2" t="inlineStr">
        <is>
          <t>LC/PC</t>
        </is>
      </c>
      <c r="J568" s="2" t="n">
        <v>1</v>
      </c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>
        <f>SUM(J568:U568)</f>
        <v/>
      </c>
      <c r="W568" s="2" t="n"/>
      <c r="X568" s="2" t="n">
        <v>2</v>
      </c>
      <c r="Y568" s="2" t="n"/>
      <c r="Z568" s="2" t="n"/>
      <c r="AA568" s="2" t="n">
        <v>2</v>
      </c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>
        <f>IF(F568=1,V568*2,IF(F568=2,V568*F568*2,IF(F568&gt;2,F568*2*V568)))</f>
        <v/>
      </c>
      <c r="AW568" s="2">
        <f>SUM(W568:AU568)</f>
        <v/>
      </c>
    </row>
    <row r="569">
      <c r="A569" s="2" t="inlineStr">
        <is>
          <t>14-K-B177</t>
        </is>
      </c>
      <c r="B569" s="3" t="inlineStr">
        <is>
          <t>OJC-A1-LC/LC-SM-30-PC/PC-DP</t>
        </is>
      </c>
      <c r="C569" s="2" t="inlineStr">
        <is>
          <t>녹색</t>
        </is>
      </c>
      <c r="D569" s="2" t="inlineStr">
        <is>
          <t>a1-녹</t>
        </is>
      </c>
      <c r="E569" s="2" t="inlineStr">
        <is>
          <t>2.0mm</t>
        </is>
      </c>
      <c r="F569" s="2" t="n">
        <v>2</v>
      </c>
      <c r="G569" s="2" t="n">
        <v>30</v>
      </c>
      <c r="H569" s="2" t="inlineStr">
        <is>
          <t>LC/PC</t>
        </is>
      </c>
      <c r="I569" s="2" t="inlineStr">
        <is>
          <t>LC/PC</t>
        </is>
      </c>
      <c r="J569" s="2" t="n"/>
      <c r="K569" s="2" t="n"/>
      <c r="L569" s="2" t="n"/>
      <c r="M569" s="2" t="n"/>
      <c r="N569" s="2" t="n"/>
      <c r="O569" s="2" t="n">
        <v>76</v>
      </c>
      <c r="P569" s="2" t="n"/>
      <c r="Q569" s="2" t="n"/>
      <c r="R569" s="2" t="n">
        <v>4</v>
      </c>
      <c r="S569" s="2" t="n"/>
      <c r="T569" s="2" t="n"/>
      <c r="U569" s="2" t="n"/>
      <c r="V569" s="2">
        <f>SUM(J569:U569)</f>
        <v/>
      </c>
      <c r="W569" s="2" t="n">
        <v>160</v>
      </c>
      <c r="X569" s="2" t="n">
        <v>160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>
        <f>IF(F569=1,V569*2,IF(F569=2,V569*F569*2,IF(F569&gt;2,F569*2*V569)))</f>
        <v/>
      </c>
      <c r="AW569" s="2">
        <f>SUM(W569:AU569)</f>
        <v/>
      </c>
    </row>
    <row r="570">
      <c r="A570" s="2" t="inlineStr">
        <is>
          <t>14-K-B204</t>
        </is>
      </c>
      <c r="B570" s="3" t="inlineStr">
        <is>
          <t>OJC-C2-SC/LC-SM-10-PC/PC-20C</t>
        </is>
      </c>
      <c r="C570" s="2" t="inlineStr"/>
      <c r="D570" s="2" t="inlineStr">
        <is>
          <t>a1-20c</t>
        </is>
      </c>
      <c r="E570" s="2" t="inlineStr">
        <is>
          <t>2.0mm</t>
        </is>
      </c>
      <c r="F570" s="2" t="n">
        <v>20</v>
      </c>
      <c r="G570" s="2" t="n">
        <v>10</v>
      </c>
      <c r="H570" s="2" t="inlineStr">
        <is>
          <t>SC/PC</t>
        </is>
      </c>
      <c r="I570" s="2" t="inlineStr">
        <is>
          <t>LC/PC</t>
        </is>
      </c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>
        <v>6</v>
      </c>
      <c r="S570" s="2" t="n"/>
      <c r="T570" s="2" t="n"/>
      <c r="U570" s="2" t="n"/>
      <c r="V570" s="2">
        <f>SUM(J570:U570)</f>
        <v/>
      </c>
      <c r="W570" s="2" t="n">
        <v>120</v>
      </c>
      <c r="X570" s="2" t="n"/>
      <c r="Y570" s="2" t="n"/>
      <c r="Z570" s="2" t="n"/>
      <c r="AA570" s="2" t="n">
        <v>120</v>
      </c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>
        <f>IF(F570=1,V570*2,IF(F570=2,V570*F570*2,IF(F570&gt;2,F570*2*V570)))</f>
        <v/>
      </c>
      <c r="AW570" s="2">
        <f>SUM(W570:AU570)</f>
        <v/>
      </c>
    </row>
    <row r="571">
      <c r="A571" s="2" t="inlineStr">
        <is>
          <t>14-K-B220</t>
        </is>
      </c>
      <c r="B571" s="3" t="inlineStr">
        <is>
          <t>OJC-A1-SC/LC-MM(OM3)-25-PC/PC-DP</t>
        </is>
      </c>
      <c r="C571" s="2" t="inlineStr"/>
      <c r="D571" s="2" t="inlineStr">
        <is>
          <t>om3</t>
        </is>
      </c>
      <c r="E571" s="2" t="inlineStr">
        <is>
          <t>2.0mm</t>
        </is>
      </c>
      <c r="F571" s="2" t="n">
        <v>2</v>
      </c>
      <c r="G571" s="2" t="n">
        <v>25</v>
      </c>
      <c r="H571" s="2" t="inlineStr">
        <is>
          <t>SC/PC</t>
        </is>
      </c>
      <c r="I571" s="2" t="inlineStr">
        <is>
          <t>LC/PC</t>
        </is>
      </c>
      <c r="J571" s="2" t="n"/>
      <c r="K571" s="2" t="n"/>
      <c r="L571" s="2" t="n"/>
      <c r="M571" s="2" t="n"/>
      <c r="N571" s="2" t="n">
        <v>10</v>
      </c>
      <c r="O571" s="2" t="n"/>
      <c r="P571" s="2" t="n"/>
      <c r="Q571" s="2" t="n"/>
      <c r="R571" s="2" t="n"/>
      <c r="S571" s="2" t="n"/>
      <c r="T571" s="2" t="n"/>
      <c r="U571" s="2" t="n"/>
      <c r="V571" s="2">
        <f>SUM(J571:U571)</f>
        <v/>
      </c>
      <c r="W571" s="2" t="n"/>
      <c r="X571" s="2" t="n">
        <v>20</v>
      </c>
      <c r="Y571" s="2" t="n"/>
      <c r="Z571" s="2" t="n"/>
      <c r="AA571" s="2" t="n">
        <v>20</v>
      </c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>
        <f>IF(F571=1,V571*2,IF(F571=2,V571*F571*2,IF(F571&gt;2,F571*2*V571)))</f>
        <v/>
      </c>
      <c r="AW571" s="2">
        <f>SUM(W571:AU571)</f>
        <v/>
      </c>
    </row>
    <row r="572">
      <c r="A572" s="2" t="inlineStr">
        <is>
          <t>14-K-B237</t>
        </is>
      </c>
      <c r="B572" s="3" t="inlineStr">
        <is>
          <t>OJC-A1-SC/SC-SM-10-APC/APC-SP</t>
        </is>
      </c>
      <c r="C572" s="2" t="inlineStr">
        <is>
          <t>녹색</t>
        </is>
      </c>
      <c r="D572" s="2" t="inlineStr">
        <is>
          <t>a1-녹</t>
        </is>
      </c>
      <c r="E572" s="2" t="inlineStr">
        <is>
          <t>2.0mm</t>
        </is>
      </c>
      <c r="F572" s="2" t="n">
        <v>1</v>
      </c>
      <c r="G572" s="2" t="n">
        <v>10</v>
      </c>
      <c r="H572" s="2" t="inlineStr">
        <is>
          <t>SC/APC</t>
        </is>
      </c>
      <c r="I572" s="2" t="inlineStr">
        <is>
          <t>SC/APC</t>
        </is>
      </c>
      <c r="J572" s="2" t="n">
        <v>2</v>
      </c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>
        <f>SUM(J572:U572)</f>
        <v/>
      </c>
      <c r="W572" s="2" t="n"/>
      <c r="X572" s="2" t="n"/>
      <c r="Y572" s="2" t="n"/>
      <c r="Z572" s="2" t="n"/>
      <c r="AA572" s="2" t="n"/>
      <c r="AB572" s="2" t="n"/>
      <c r="AC572" s="2" t="n">
        <v>4</v>
      </c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>
        <f>IF(F572=1,V572*2,IF(F572=2,V572*F572*2,IF(F572&gt;2,F572*2*V572)))</f>
        <v/>
      </c>
      <c r="AW572" s="2">
        <f>SUM(W572:AU572)</f>
        <v/>
      </c>
    </row>
    <row r="573">
      <c r="A573" s="2" t="inlineStr">
        <is>
          <t>14-K-B238</t>
        </is>
      </c>
      <c r="B573" s="3" t="inlineStr">
        <is>
          <t>OJC-A1-LC/LC-SM-14-PC/PC-DP</t>
        </is>
      </c>
      <c r="C573" s="2" t="inlineStr">
        <is>
          <t>적색</t>
        </is>
      </c>
      <c r="D573" s="2" t="inlineStr">
        <is>
          <t>a1-적</t>
        </is>
      </c>
      <c r="E573" s="2" t="inlineStr">
        <is>
          <t>2.0mm</t>
        </is>
      </c>
      <c r="F573" s="2" t="n">
        <v>2</v>
      </c>
      <c r="G573" s="2" t="n">
        <v>14</v>
      </c>
      <c r="H573" s="2" t="inlineStr">
        <is>
          <t>LC/PC</t>
        </is>
      </c>
      <c r="I573" s="2" t="inlineStr">
        <is>
          <t>LC/PC</t>
        </is>
      </c>
      <c r="J573" s="2" t="n">
        <v>1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>
        <f>SUM(J573:U573)</f>
        <v/>
      </c>
      <c r="W573" s="2" t="n">
        <v>2</v>
      </c>
      <c r="X573" s="2" t="n">
        <v>2</v>
      </c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>
        <f>IF(F573=1,V573*2,IF(F573=2,V573*F573*2,IF(F573&gt;2,F573*2*V573)))</f>
        <v/>
      </c>
      <c r="AW573" s="2">
        <f>SUM(W573:AU573)</f>
        <v/>
      </c>
    </row>
    <row r="574">
      <c r="A574" s="2" t="inlineStr">
        <is>
          <t>14-K-B239</t>
        </is>
      </c>
      <c r="B574" s="3" t="inlineStr">
        <is>
          <t>OJC-A1-LC/LC-SM-27-PC/PC-DP</t>
        </is>
      </c>
      <c r="C574" s="2" t="inlineStr">
        <is>
          <t>적색</t>
        </is>
      </c>
      <c r="D574" s="2" t="inlineStr">
        <is>
          <t>a1-적</t>
        </is>
      </c>
      <c r="E574" s="2" t="inlineStr">
        <is>
          <t>2.0mm</t>
        </is>
      </c>
      <c r="F574" s="2" t="n">
        <v>2</v>
      </c>
      <c r="G574" s="2" t="n">
        <v>27</v>
      </c>
      <c r="H574" s="2" t="inlineStr">
        <is>
          <t>LC/PC</t>
        </is>
      </c>
      <c r="I574" s="2" t="inlineStr">
        <is>
          <t>LC/PC</t>
        </is>
      </c>
      <c r="J574" s="2" t="n">
        <v>1</v>
      </c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>
        <f>SUM(J574:U574)</f>
        <v/>
      </c>
      <c r="W574" s="2" t="n">
        <v>2</v>
      </c>
      <c r="X574" s="2" t="n">
        <v>2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>
        <f>IF(F574=1,V574*2,IF(F574=2,V574*F574*2,IF(F574&gt;2,F574*2*V574)))</f>
        <v/>
      </c>
      <c r="AW574" s="2">
        <f>SUM(W574:AU574)</f>
        <v/>
      </c>
    </row>
    <row r="575">
      <c r="A575" s="2" t="inlineStr">
        <is>
          <t>14-K-B240</t>
        </is>
      </c>
      <c r="B575" s="3" t="inlineStr">
        <is>
          <t>OJC-A1-LC/LC-SM-28-PC/PC-DP</t>
        </is>
      </c>
      <c r="C575" s="2" t="inlineStr">
        <is>
          <t>적색</t>
        </is>
      </c>
      <c r="D575" s="2" t="inlineStr">
        <is>
          <t>a1-적</t>
        </is>
      </c>
      <c r="E575" s="2" t="inlineStr">
        <is>
          <t>2.0mm</t>
        </is>
      </c>
      <c r="F575" s="2" t="n">
        <v>2</v>
      </c>
      <c r="G575" s="2" t="n">
        <v>28</v>
      </c>
      <c r="H575" s="2" t="inlineStr">
        <is>
          <t>LC/PC</t>
        </is>
      </c>
      <c r="I575" s="2" t="inlineStr">
        <is>
          <t>LC/PC</t>
        </is>
      </c>
      <c r="J575" s="2" t="n">
        <v>2</v>
      </c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>
        <f>SUM(J575:U575)</f>
        <v/>
      </c>
      <c r="W575" s="2" t="n">
        <v>4</v>
      </c>
      <c r="X575" s="2" t="n">
        <v>4</v>
      </c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>
        <f>IF(F575=1,V575*2,IF(F575=2,V575*F575*2,IF(F575&gt;2,F575*2*V575)))</f>
        <v/>
      </c>
      <c r="AW575" s="2">
        <f>SUM(W575:AU575)</f>
        <v/>
      </c>
    </row>
    <row r="576">
      <c r="A576" s="2" t="inlineStr">
        <is>
          <t>14-K-B241</t>
        </is>
      </c>
      <c r="B576" s="3" t="inlineStr">
        <is>
          <t>OJC-A1-SC/LC-SM-17-PC/PC-DP</t>
        </is>
      </c>
      <c r="C576" s="2" t="inlineStr">
        <is>
          <t>적색</t>
        </is>
      </c>
      <c r="D576" s="2" t="inlineStr">
        <is>
          <t>a1-적</t>
        </is>
      </c>
      <c r="E576" s="2" t="inlineStr">
        <is>
          <t>2.0mm</t>
        </is>
      </c>
      <c r="F576" s="2" t="n">
        <v>2</v>
      </c>
      <c r="G576" s="2" t="n">
        <v>17</v>
      </c>
      <c r="H576" s="2" t="inlineStr">
        <is>
          <t>SC/PC</t>
        </is>
      </c>
      <c r="I576" s="2" t="inlineStr">
        <is>
          <t>LC/PC</t>
        </is>
      </c>
      <c r="J576" s="2" t="n">
        <v>1</v>
      </c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>
        <f>SUM(J576:U576)</f>
        <v/>
      </c>
      <c r="W576" s="2" t="n"/>
      <c r="X576" s="2" t="n">
        <v>2</v>
      </c>
      <c r="Y576" s="2" t="n"/>
      <c r="Z576" s="2" t="n"/>
      <c r="AA576" s="2" t="n">
        <v>2</v>
      </c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>
        <f>IF(F576=1,V576*2,IF(F576=2,V576*F576*2,IF(F576&gt;2,F576*2*V576)))</f>
        <v/>
      </c>
      <c r="AW576" s="2">
        <f>SUM(W576:AU576)</f>
        <v/>
      </c>
    </row>
    <row r="577">
      <c r="A577" s="2" t="inlineStr">
        <is>
          <t>14-K-B242</t>
        </is>
      </c>
      <c r="B577" s="3" t="inlineStr">
        <is>
          <t>OJC-A1-LC/LC-MM-19-PC/PC-DP</t>
        </is>
      </c>
      <c r="C577" s="2" t="inlineStr"/>
      <c r="D577" s="2" t="inlineStr">
        <is>
          <t>om1</t>
        </is>
      </c>
      <c r="E577" s="2" t="inlineStr">
        <is>
          <t>2.0mm</t>
        </is>
      </c>
      <c r="F577" s="2" t="n">
        <v>2</v>
      </c>
      <c r="G577" s="2" t="n">
        <v>19</v>
      </c>
      <c r="H577" s="2" t="inlineStr">
        <is>
          <t>LC/PC</t>
        </is>
      </c>
      <c r="I577" s="2" t="inlineStr">
        <is>
          <t>LC/PC</t>
        </is>
      </c>
      <c r="J577" s="2" t="n">
        <v>1</v>
      </c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>
        <f>SUM(J577:U577)</f>
        <v/>
      </c>
      <c r="W577" s="2" t="n"/>
      <c r="X577" s="2" t="n">
        <v>2</v>
      </c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>
        <v>2</v>
      </c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>
        <f>IF(F577=1,V577*2,IF(F577=2,V577*F577*2,IF(F577&gt;2,F577*2*V577)))</f>
        <v/>
      </c>
      <c r="AW577" s="2">
        <f>SUM(W577:AU577)</f>
        <v/>
      </c>
    </row>
    <row r="578">
      <c r="A578" s="2" t="inlineStr">
        <is>
          <t>14-K-B243</t>
        </is>
      </c>
      <c r="B578" s="3" t="inlineStr">
        <is>
          <t>OJC-A1-LC/LC-MM-23-PC/PC-DP</t>
        </is>
      </c>
      <c r="C578" s="2" t="inlineStr"/>
      <c r="D578" s="2" t="inlineStr">
        <is>
          <t>om1</t>
        </is>
      </c>
      <c r="E578" s="2" t="inlineStr">
        <is>
          <t>2.0mm</t>
        </is>
      </c>
      <c r="F578" s="2" t="n">
        <v>2</v>
      </c>
      <c r="G578" s="2" t="n">
        <v>23</v>
      </c>
      <c r="H578" s="2" t="inlineStr">
        <is>
          <t>LC/PC</t>
        </is>
      </c>
      <c r="I578" s="2" t="inlineStr">
        <is>
          <t>LC/PC</t>
        </is>
      </c>
      <c r="J578" s="2" t="n">
        <v>1</v>
      </c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>
        <f>SUM(J578:U578)</f>
        <v/>
      </c>
      <c r="W578" s="2" t="n"/>
      <c r="X578" s="2" t="n">
        <v>2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>
        <v>2</v>
      </c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>
        <f>IF(F578=1,V578*2,IF(F578=2,V578*F578*2,IF(F578&gt;2,F578*2*V578)))</f>
        <v/>
      </c>
      <c r="AW578" s="2">
        <f>SUM(W578:AU578)</f>
        <v/>
      </c>
    </row>
    <row r="579">
      <c r="A579" s="2" t="inlineStr">
        <is>
          <t>14-K-B245</t>
        </is>
      </c>
      <c r="B579" s="3" t="inlineStr">
        <is>
          <t>OJC-C2-SC/SC-SM-10-PC/PC-20C</t>
        </is>
      </c>
      <c r="C579" s="2" t="inlineStr">
        <is>
          <t>K9094342, 양단 분기부 1.7M</t>
        </is>
      </c>
      <c r="D579" s="2" t="inlineStr">
        <is>
          <t>a1-20c</t>
        </is>
      </c>
      <c r="E579" s="2" t="inlineStr">
        <is>
          <t>2.0mm</t>
        </is>
      </c>
      <c r="F579" s="2" t="n">
        <v>20</v>
      </c>
      <c r="G579" s="2" t="n">
        <v>10</v>
      </c>
      <c r="H579" s="2" t="inlineStr">
        <is>
          <t>SC/PC</t>
        </is>
      </c>
      <c r="I579" s="2" t="inlineStr">
        <is>
          <t>SC/PC</t>
        </is>
      </c>
      <c r="J579" s="2" t="n"/>
      <c r="K579" s="2" t="n">
        <v>20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>
        <f>SUM(J579:U579)</f>
        <v/>
      </c>
      <c r="W579" s="2" t="n"/>
      <c r="X579" s="2" t="n"/>
      <c r="Y579" s="2" t="n"/>
      <c r="Z579" s="2" t="n"/>
      <c r="AA579" s="2" t="n">
        <v>800</v>
      </c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>
        <f>IF(F579=1,V579*2,IF(F579=2,V579*F579*2,IF(F579&gt;2,F579*2*V579)))</f>
        <v/>
      </c>
      <c r="AW579" s="2">
        <f>SUM(W579:AU579)</f>
        <v/>
      </c>
    </row>
    <row r="580">
      <c r="A580" s="2" t="inlineStr">
        <is>
          <t>14-K-B246</t>
        </is>
      </c>
      <c r="B580" s="3" t="inlineStr">
        <is>
          <t>OJC-A1-LC/LC-SM-30-PC/PC-DP</t>
        </is>
      </c>
      <c r="C580" s="2" t="inlineStr">
        <is>
          <t>K9089180_자색</t>
        </is>
      </c>
      <c r="D580" s="2" t="inlineStr">
        <is>
          <t>a1-자</t>
        </is>
      </c>
      <c r="E580" s="2" t="inlineStr">
        <is>
          <t>2.0mm</t>
        </is>
      </c>
      <c r="F580" s="2" t="n">
        <v>2</v>
      </c>
      <c r="G580" s="2" t="n">
        <v>30</v>
      </c>
      <c r="H580" s="2" t="inlineStr">
        <is>
          <t>LC/PC</t>
        </is>
      </c>
      <c r="I580" s="2" t="inlineStr">
        <is>
          <t>LC/PC</t>
        </is>
      </c>
      <c r="J580" s="2" t="n"/>
      <c r="K580" s="2" t="n">
        <v>20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>
        <f>SUM(J580:U580)</f>
        <v/>
      </c>
      <c r="W580" s="2" t="n">
        <v>40</v>
      </c>
      <c r="X580" s="2" t="n">
        <v>40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>
        <f>IF(F580=1,V580*2,IF(F580=2,V580*F580*2,IF(F580&gt;2,F580*2*V580)))</f>
        <v/>
      </c>
      <c r="AW580" s="2">
        <f>SUM(W580:AU580)</f>
        <v/>
      </c>
    </row>
    <row r="581">
      <c r="A581" s="2" t="inlineStr">
        <is>
          <t>14-K-B247</t>
        </is>
      </c>
      <c r="B581" s="3" t="inlineStr">
        <is>
          <t>OJC-A1-LC/LC-SM-35-PC/PC-DP</t>
        </is>
      </c>
      <c r="C581" s="2" t="inlineStr">
        <is>
          <t>K9089181_자색</t>
        </is>
      </c>
      <c r="D581" s="2" t="inlineStr">
        <is>
          <t>a1-자</t>
        </is>
      </c>
      <c r="E581" s="2" t="inlineStr">
        <is>
          <t>2.0mm</t>
        </is>
      </c>
      <c r="F581" s="2" t="n">
        <v>2</v>
      </c>
      <c r="G581" s="2" t="n">
        <v>35</v>
      </c>
      <c r="H581" s="2" t="inlineStr">
        <is>
          <t>LC/PC</t>
        </is>
      </c>
      <c r="I581" s="2" t="inlineStr">
        <is>
          <t>LC/PC</t>
        </is>
      </c>
      <c r="J581" s="2" t="n"/>
      <c r="K581" s="2" t="n">
        <v>20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>
        <f>SUM(J581:U581)</f>
        <v/>
      </c>
      <c r="W581" s="2" t="n">
        <v>40</v>
      </c>
      <c r="X581" s="2" t="n">
        <v>40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>
        <f>IF(F581=1,V581*2,IF(F581=2,V581*F581*2,IF(F581&gt;2,F581*2*V581)))</f>
        <v/>
      </c>
      <c r="AW581" s="2">
        <f>SUM(W581:AU581)</f>
        <v/>
      </c>
    </row>
    <row r="582">
      <c r="A582" s="2" t="inlineStr">
        <is>
          <t>14-K-B248</t>
        </is>
      </c>
      <c r="B582" s="3" t="inlineStr">
        <is>
          <t>OJC-A1-SC/SC-SM-4-APC/APC-SP</t>
        </is>
      </c>
      <c r="C582" s="2" t="inlineStr"/>
      <c r="D582" s="2" t="inlineStr">
        <is>
          <t>a1</t>
        </is>
      </c>
      <c r="E582" s="2" t="inlineStr">
        <is>
          <t>2.0mm</t>
        </is>
      </c>
      <c r="F582" s="2" t="n">
        <v>1</v>
      </c>
      <c r="G582" s="2" t="n">
        <v>4</v>
      </c>
      <c r="H582" s="2" t="inlineStr">
        <is>
          <t>SC/APC</t>
        </is>
      </c>
      <c r="I582" s="2" t="inlineStr">
        <is>
          <t>SC/APC</t>
        </is>
      </c>
      <c r="J582" s="2" t="n"/>
      <c r="K582" s="2" t="n">
        <v>5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>
        <f>SUM(J582:U582)</f>
        <v/>
      </c>
      <c r="W582" s="2" t="n"/>
      <c r="X582" s="2" t="n"/>
      <c r="Y582" s="2" t="n"/>
      <c r="Z582" s="2" t="n"/>
      <c r="AA582" s="2" t="n"/>
      <c r="AB582" s="2" t="n"/>
      <c r="AC582" s="2" t="n">
        <v>10</v>
      </c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>
        <f>IF(F582=1,V582*2,IF(F582=2,V582*F582*2,IF(F582&gt;2,F582*2*V582)))</f>
        <v/>
      </c>
      <c r="AW582" s="2">
        <f>SUM(W582:AU582)</f>
        <v/>
      </c>
    </row>
    <row r="583">
      <c r="A583" s="2" t="inlineStr">
        <is>
          <t>14-K-B249</t>
        </is>
      </c>
      <c r="B583" s="3" t="inlineStr">
        <is>
          <t>OJC-A1-LC/LC-SM-20-PC/PC-DP</t>
        </is>
      </c>
      <c r="C583" s="2" t="inlineStr">
        <is>
          <t>자색</t>
        </is>
      </c>
      <c r="D583" s="2" t="inlineStr">
        <is>
          <t>a1-자</t>
        </is>
      </c>
      <c r="E583" s="2" t="inlineStr">
        <is>
          <t>2.0mm</t>
        </is>
      </c>
      <c r="F583" s="2" t="n">
        <v>2</v>
      </c>
      <c r="G583" s="2" t="n">
        <v>20</v>
      </c>
      <c r="H583" s="2" t="inlineStr">
        <is>
          <t>LC/PC</t>
        </is>
      </c>
      <c r="I583" s="2" t="inlineStr">
        <is>
          <t>LC/PC</t>
        </is>
      </c>
      <c r="J583" s="2" t="n"/>
      <c r="K583" s="2" t="n">
        <v>20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>
        <f>SUM(J583:U583)</f>
        <v/>
      </c>
      <c r="W583" s="2" t="n">
        <v>40</v>
      </c>
      <c r="X583" s="2" t="n">
        <v>40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>
        <f>IF(F583=1,V583*2,IF(F583=2,V583*F583*2,IF(F583&gt;2,F583*2*V583)))</f>
        <v/>
      </c>
      <c r="AW583" s="2">
        <f>SUM(W583:AU583)</f>
        <v/>
      </c>
    </row>
    <row r="584">
      <c r="A584" s="2" t="inlineStr">
        <is>
          <t>14-K-B250</t>
        </is>
      </c>
      <c r="B584" s="3" t="inlineStr">
        <is>
          <t>OJC-C2-SC/SC-SM-1.5-PC/PC-24C</t>
        </is>
      </c>
      <c r="C584" s="2" t="inlineStr">
        <is>
          <t>K9186717, 양단분기부 30cm</t>
        </is>
      </c>
      <c r="D584" s="2" t="inlineStr">
        <is>
          <t>a1-24c</t>
        </is>
      </c>
      <c r="E584" s="2" t="inlineStr">
        <is>
          <t>2.0mm</t>
        </is>
      </c>
      <c r="F584" s="2" t="n">
        <v>24</v>
      </c>
      <c r="G584" s="2" t="n">
        <v>1.5</v>
      </c>
      <c r="H584" s="2" t="inlineStr">
        <is>
          <t>SC/PC</t>
        </is>
      </c>
      <c r="I584" s="2" t="inlineStr">
        <is>
          <t>SC/PC</t>
        </is>
      </c>
      <c r="J584" s="2" t="n"/>
      <c r="K584" s="2" t="n"/>
      <c r="L584" s="2" t="n"/>
      <c r="M584" s="2" t="n">
        <v>3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>
        <f>SUM(J584:U584)</f>
        <v/>
      </c>
      <c r="W584" s="2" t="n"/>
      <c r="X584" s="2" t="n"/>
      <c r="Y584" s="2" t="n"/>
      <c r="Z584" s="2" t="n"/>
      <c r="AA584" s="2" t="n">
        <v>144</v>
      </c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>
        <f>IF(F584=1,V584*2,IF(F584=2,V584*F584*2,IF(F584&gt;2,F584*2*V584)))</f>
        <v/>
      </c>
      <c r="AW584" s="2">
        <f>SUM(W584:AU584)</f>
        <v/>
      </c>
    </row>
    <row r="585">
      <c r="A585" s="2" t="inlineStr">
        <is>
          <t>14-K-B251</t>
        </is>
      </c>
      <c r="B585" s="3" t="inlineStr">
        <is>
          <t>OJC-A1-SC/LC-MM(OM3)-50-PC/PC-DP</t>
        </is>
      </c>
      <c r="C585" s="2" t="inlineStr"/>
      <c r="D585" s="2" t="inlineStr">
        <is>
          <t>om3</t>
        </is>
      </c>
      <c r="E585" s="2" t="inlineStr">
        <is>
          <t>2.0mm</t>
        </is>
      </c>
      <c r="F585" s="2" t="n">
        <v>2</v>
      </c>
      <c r="G585" s="2" t="n">
        <v>50</v>
      </c>
      <c r="H585" s="2" t="inlineStr">
        <is>
          <t>SC/PC</t>
        </is>
      </c>
      <c r="I585" s="2" t="inlineStr">
        <is>
          <t>LC/PC</t>
        </is>
      </c>
      <c r="J585" s="2" t="n"/>
      <c r="K585" s="2" t="n"/>
      <c r="L585" s="2" t="n"/>
      <c r="M585" s="2" t="n"/>
      <c r="N585" s="2" t="n">
        <v>4</v>
      </c>
      <c r="O585" s="2" t="n"/>
      <c r="P585" s="2" t="n"/>
      <c r="Q585" s="2" t="n"/>
      <c r="R585" s="2" t="n"/>
      <c r="S585" s="2" t="n"/>
      <c r="T585" s="2" t="n"/>
      <c r="U585" s="2" t="n"/>
      <c r="V585" s="2">
        <f>SUM(J585:U585)</f>
        <v/>
      </c>
      <c r="W585" s="2" t="n"/>
      <c r="X585" s="2" t="n">
        <v>8</v>
      </c>
      <c r="Y585" s="2" t="n"/>
      <c r="Z585" s="2" t="n"/>
      <c r="AA585" s="2" t="n">
        <v>8</v>
      </c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>
        <f>IF(F585=1,V585*2,IF(F585=2,V585*F585*2,IF(F585&gt;2,F585*2*V585)))</f>
        <v/>
      </c>
      <c r="AW585" s="2">
        <f>SUM(W585:AU585)</f>
        <v/>
      </c>
    </row>
    <row r="586">
      <c r="A586" s="2" t="inlineStr">
        <is>
          <t>14-K-B252</t>
        </is>
      </c>
      <c r="B586" s="3" t="inlineStr">
        <is>
          <t>OJC-A1-LC/LC-SM-80-PC/PC-DP</t>
        </is>
      </c>
      <c r="C586" s="2" t="inlineStr">
        <is>
          <t>적색</t>
        </is>
      </c>
      <c r="D586" s="2" t="inlineStr">
        <is>
          <t>a1-적</t>
        </is>
      </c>
      <c r="E586" s="2" t="inlineStr">
        <is>
          <t>2.0mm</t>
        </is>
      </c>
      <c r="F586" s="2" t="n">
        <v>2</v>
      </c>
      <c r="G586" s="2" t="n">
        <v>80</v>
      </c>
      <c r="H586" s="2" t="inlineStr">
        <is>
          <t>LC/PC</t>
        </is>
      </c>
      <c r="I586" s="2" t="inlineStr">
        <is>
          <t>LC/PC</t>
        </is>
      </c>
      <c r="J586" s="2" t="n"/>
      <c r="K586" s="2" t="n"/>
      <c r="L586" s="2" t="n"/>
      <c r="M586" s="2" t="n"/>
      <c r="N586" s="2" t="n">
        <v>4</v>
      </c>
      <c r="O586" s="2" t="n"/>
      <c r="P586" s="2" t="n"/>
      <c r="Q586" s="2" t="n"/>
      <c r="R586" s="2" t="n"/>
      <c r="S586" s="2" t="n"/>
      <c r="T586" s="2" t="n"/>
      <c r="U586" s="2" t="n"/>
      <c r="V586" s="2">
        <f>SUM(J586:U586)</f>
        <v/>
      </c>
      <c r="W586" s="2" t="n">
        <v>8</v>
      </c>
      <c r="X586" s="2" t="n">
        <v>8</v>
      </c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>
        <f>IF(F586=1,V586*2,IF(F586=2,V586*F586*2,IF(F586&gt;2,F586*2*V586)))</f>
        <v/>
      </c>
      <c r="AW586" s="2">
        <f>SUM(W586:AU586)</f>
        <v/>
      </c>
    </row>
    <row r="587">
      <c r="A587" s="2" t="inlineStr">
        <is>
          <t>14-K-B253</t>
        </is>
      </c>
      <c r="B587" s="3" t="inlineStr">
        <is>
          <t>OJC-A1-LC/LC-SM-10-PC/PC-DP</t>
        </is>
      </c>
      <c r="C587" s="2" t="inlineStr">
        <is>
          <t>K9089175_녹색</t>
        </is>
      </c>
      <c r="D587" s="2" t="inlineStr">
        <is>
          <t>a1-녹</t>
        </is>
      </c>
      <c r="E587" s="2" t="inlineStr">
        <is>
          <t>2.0mm</t>
        </is>
      </c>
      <c r="F587" s="2" t="n">
        <v>2</v>
      </c>
      <c r="G587" s="2" t="n">
        <v>10</v>
      </c>
      <c r="H587" s="2" t="inlineStr">
        <is>
          <t>LC/PC</t>
        </is>
      </c>
      <c r="I587" s="2" t="inlineStr">
        <is>
          <t>LC/PC</t>
        </is>
      </c>
      <c r="J587" s="2" t="n"/>
      <c r="K587" s="2" t="n"/>
      <c r="L587" s="2" t="n"/>
      <c r="M587" s="2" t="n"/>
      <c r="N587" s="2" t="n"/>
      <c r="O587" s="2" t="n">
        <v>28</v>
      </c>
      <c r="P587" s="2" t="n"/>
      <c r="Q587" s="2" t="n"/>
      <c r="R587" s="2" t="n"/>
      <c r="S587" s="2" t="n"/>
      <c r="T587" s="2" t="n"/>
      <c r="U587" s="2" t="n"/>
      <c r="V587" s="2">
        <f>SUM(J587:U587)</f>
        <v/>
      </c>
      <c r="W587" s="2" t="n">
        <v>56</v>
      </c>
      <c r="X587" s="2" t="n">
        <v>56</v>
      </c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>
        <f>IF(F587=1,V587*2,IF(F587=2,V587*F587*2,IF(F587&gt;2,F587*2*V587)))</f>
        <v/>
      </c>
      <c r="AW587" s="2">
        <f>SUM(W587:AU587)</f>
        <v/>
      </c>
    </row>
    <row r="588">
      <c r="A588" s="2" t="inlineStr">
        <is>
          <t>14-K-B253</t>
        </is>
      </c>
      <c r="B588" s="3" t="inlineStr">
        <is>
          <t>OJC-A1-LC/LC-SM-10-PC/PC-DP</t>
        </is>
      </c>
      <c r="C588" s="2" t="inlineStr">
        <is>
          <t>K9089176_녹색</t>
        </is>
      </c>
      <c r="D588" s="2" t="inlineStr">
        <is>
          <t>a1-녹</t>
        </is>
      </c>
      <c r="E588" s="2" t="inlineStr">
        <is>
          <t>2.0mm</t>
        </is>
      </c>
      <c r="F588" s="2" t="n">
        <v>2</v>
      </c>
      <c r="G588" s="2" t="n">
        <v>10</v>
      </c>
      <c r="H588" s="2" t="inlineStr">
        <is>
          <t>LC/PC</t>
        </is>
      </c>
      <c r="I588" s="2" t="inlineStr">
        <is>
          <t>LC/PC</t>
        </is>
      </c>
      <c r="J588" s="2" t="n"/>
      <c r="K588" s="2" t="n"/>
      <c r="L588" s="2" t="n"/>
      <c r="M588" s="2" t="n"/>
      <c r="N588" s="2" t="n"/>
      <c r="O588" s="2" t="n">
        <v>12</v>
      </c>
      <c r="P588" s="2" t="n"/>
      <c r="Q588" s="2" t="n">
        <v>4</v>
      </c>
      <c r="R588" s="2" t="n">
        <v>7</v>
      </c>
      <c r="S588" s="2" t="n"/>
      <c r="T588" s="2" t="n"/>
      <c r="U588" s="2" t="n">
        <v>43</v>
      </c>
      <c r="V588" s="2">
        <f>SUM(J588:U588)</f>
        <v/>
      </c>
      <c r="W588" s="2" t="n">
        <v>132</v>
      </c>
      <c r="X588" s="2" t="n">
        <v>132</v>
      </c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>
        <f>IF(F588=1,V588*2,IF(F588=2,V588*F588*2,IF(F588&gt;2,F588*2*V588)))</f>
        <v/>
      </c>
      <c r="AW588" s="2">
        <f>SUM(W588:AU588)</f>
        <v/>
      </c>
    </row>
    <row r="589">
      <c r="A589" s="2" t="inlineStr">
        <is>
          <t>14-K-B258</t>
        </is>
      </c>
      <c r="B589" s="3" t="inlineStr">
        <is>
          <t>OJC-C2-SC/SC-SM-10-PC/PC-12C</t>
        </is>
      </c>
      <c r="C589" s="2" t="inlineStr">
        <is>
          <t>양단분기부 2M</t>
        </is>
      </c>
      <c r="D589" s="2" t="inlineStr">
        <is>
          <t>a1-12c</t>
        </is>
      </c>
      <c r="E589" s="2" t="inlineStr">
        <is>
          <t>2.0mm</t>
        </is>
      </c>
      <c r="F589" s="2" t="n">
        <v>12</v>
      </c>
      <c r="G589" s="2" t="n">
        <v>10</v>
      </c>
      <c r="H589" s="2" t="inlineStr">
        <is>
          <t>SC/PC</t>
        </is>
      </c>
      <c r="I589" s="2" t="inlineStr">
        <is>
          <t>SC/PC</t>
        </is>
      </c>
      <c r="J589" s="2" t="n"/>
      <c r="K589" s="2" t="n"/>
      <c r="L589" s="2" t="n"/>
      <c r="M589" s="2" t="n"/>
      <c r="N589" s="2" t="n"/>
      <c r="O589" s="2" t="n">
        <v>30</v>
      </c>
      <c r="P589" s="2" t="n"/>
      <c r="Q589" s="2" t="n"/>
      <c r="R589" s="2" t="n"/>
      <c r="S589" s="2" t="n"/>
      <c r="T589" s="2" t="n"/>
      <c r="U589" s="2" t="n"/>
      <c r="V589" s="2">
        <f>SUM(J589:U589)</f>
        <v/>
      </c>
      <c r="W589" s="2" t="n"/>
      <c r="X589" s="2" t="n"/>
      <c r="Y589" s="2" t="n"/>
      <c r="Z589" s="2" t="n"/>
      <c r="AA589" s="2" t="n">
        <v>720</v>
      </c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>
        <f>IF(F589=1,V589*2,IF(F589=2,V589*F589*2,IF(F589&gt;2,F589*2*V589)))</f>
        <v/>
      </c>
      <c r="AW589" s="2">
        <f>SUM(W589:AU589)</f>
        <v/>
      </c>
    </row>
    <row r="590">
      <c r="A590" s="2" t="inlineStr">
        <is>
          <t>14-K-B259</t>
        </is>
      </c>
      <c r="B590" s="3" t="inlineStr">
        <is>
          <t>OJC-C2-SC/SC-SM-15-PC/PC-12C</t>
        </is>
      </c>
      <c r="C590" s="2" t="inlineStr">
        <is>
          <t>양단분기부 2M</t>
        </is>
      </c>
      <c r="D590" s="2" t="inlineStr">
        <is>
          <t>a1-12c</t>
        </is>
      </c>
      <c r="E590" s="2" t="inlineStr">
        <is>
          <t>2.0mm</t>
        </is>
      </c>
      <c r="F590" s="2" t="n">
        <v>12</v>
      </c>
      <c r="G590" s="2" t="n">
        <v>15</v>
      </c>
      <c r="H590" s="2" t="inlineStr">
        <is>
          <t>SC/PC</t>
        </is>
      </c>
      <c r="I590" s="2" t="inlineStr">
        <is>
          <t>SC/PC</t>
        </is>
      </c>
      <c r="J590" s="2" t="n"/>
      <c r="K590" s="2" t="n"/>
      <c r="L590" s="2" t="n"/>
      <c r="M590" s="2" t="n"/>
      <c r="N590" s="2" t="n"/>
      <c r="O590" s="2" t="n">
        <v>30</v>
      </c>
      <c r="P590" s="2" t="n"/>
      <c r="Q590" s="2" t="n"/>
      <c r="R590" s="2" t="n">
        <v>10</v>
      </c>
      <c r="S590" s="2" t="n"/>
      <c r="T590" s="2" t="n"/>
      <c r="U590" s="2" t="n"/>
      <c r="V590" s="2">
        <f>SUM(J590:U590)</f>
        <v/>
      </c>
      <c r="W590" s="2" t="n"/>
      <c r="X590" s="2" t="n"/>
      <c r="Y590" s="2" t="n"/>
      <c r="Z590" s="2" t="n"/>
      <c r="AA590" s="2" t="n">
        <v>960</v>
      </c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>
        <f>IF(F590=1,V590*2,IF(F590=2,V590*F590*2,IF(F590&gt;2,F590*2*V590)))</f>
        <v/>
      </c>
      <c r="AW590" s="2">
        <f>SUM(W590:AU590)</f>
        <v/>
      </c>
    </row>
    <row r="591">
      <c r="A591" s="2" t="inlineStr">
        <is>
          <t>14-K-B260</t>
        </is>
      </c>
      <c r="B591" s="3" t="inlineStr">
        <is>
          <t>OJC-A1-LC/LC-MM(OM3)-6-PC/PC-DP</t>
        </is>
      </c>
      <c r="C591" s="2" t="inlineStr"/>
      <c r="D591" s="2" t="inlineStr">
        <is>
          <t>om3</t>
        </is>
      </c>
      <c r="E591" s="2" t="inlineStr">
        <is>
          <t>2.0mm</t>
        </is>
      </c>
      <c r="F591" s="2" t="n">
        <v>2</v>
      </c>
      <c r="G591" s="2" t="n">
        <v>6</v>
      </c>
      <c r="H591" s="2" t="inlineStr">
        <is>
          <t>LC/PC</t>
        </is>
      </c>
      <c r="I591" s="2" t="inlineStr">
        <is>
          <t>LC/PC</t>
        </is>
      </c>
      <c r="J591" s="2" t="n"/>
      <c r="K591" s="2" t="n"/>
      <c r="L591" s="2" t="n"/>
      <c r="M591" s="2" t="n"/>
      <c r="N591" s="2" t="n"/>
      <c r="O591" s="2" t="n">
        <v>5</v>
      </c>
      <c r="P591" s="2" t="n"/>
      <c r="Q591" s="2" t="n"/>
      <c r="R591" s="2" t="n"/>
      <c r="S591" s="2" t="n"/>
      <c r="T591" s="2" t="n"/>
      <c r="U591" s="2" t="n"/>
      <c r="V591" s="2">
        <f>SUM(J591:U591)</f>
        <v/>
      </c>
      <c r="W591" s="2" t="n"/>
      <c r="X591" s="2" t="n">
        <v>10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>
        <v>10</v>
      </c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>
        <f>IF(F591=1,V591*2,IF(F591=2,V591*F591*2,IF(F591&gt;2,F591*2*V591)))</f>
        <v/>
      </c>
      <c r="AW591" s="2">
        <f>SUM(W591:AU591)</f>
        <v/>
      </c>
    </row>
    <row r="592">
      <c r="A592" s="2" t="inlineStr">
        <is>
          <t>14-K-B261</t>
        </is>
      </c>
      <c r="B592" s="3" t="inlineStr">
        <is>
          <t>OJC-A1-LC/LC-SM-2-PC/PC-DP</t>
        </is>
      </c>
      <c r="C592" s="2" t="inlineStr">
        <is>
          <t>녹색</t>
        </is>
      </c>
      <c r="D592" s="2" t="inlineStr">
        <is>
          <t>a1-녹</t>
        </is>
      </c>
      <c r="E592" s="2" t="inlineStr">
        <is>
          <t>2.0mm</t>
        </is>
      </c>
      <c r="F592" s="2" t="n">
        <v>2</v>
      </c>
      <c r="G592" s="2" t="n">
        <v>2</v>
      </c>
      <c r="H592" s="2" t="inlineStr">
        <is>
          <t>LC/PC</t>
        </is>
      </c>
      <c r="I592" s="2" t="inlineStr">
        <is>
          <t>LC/PC</t>
        </is>
      </c>
      <c r="J592" s="2" t="n"/>
      <c r="K592" s="2" t="n"/>
      <c r="L592" s="2" t="n"/>
      <c r="M592" s="2" t="n"/>
      <c r="N592" s="2" t="n"/>
      <c r="O592" s="2" t="n">
        <v>150</v>
      </c>
      <c r="P592" s="2" t="n"/>
      <c r="Q592" s="2" t="n"/>
      <c r="R592" s="2" t="n"/>
      <c r="S592" s="2" t="n"/>
      <c r="T592" s="2" t="n"/>
      <c r="U592" s="2" t="n"/>
      <c r="V592" s="2">
        <f>SUM(J592:U592)</f>
        <v/>
      </c>
      <c r="W592" s="2" t="n">
        <v>300</v>
      </c>
      <c r="X592" s="2" t="n">
        <v>300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>
        <f>IF(F592=1,V592*2,IF(F592=2,V592*F592*2,IF(F592&gt;2,F592*2*V592)))</f>
        <v/>
      </c>
      <c r="AW592" s="2">
        <f>SUM(W592:AU592)</f>
        <v/>
      </c>
    </row>
    <row r="593">
      <c r="A593" s="2" t="inlineStr">
        <is>
          <t>14-K-B262</t>
        </is>
      </c>
      <c r="B593" s="3" t="inlineStr">
        <is>
          <t>OJC-C2-SC/SC-SM-15-PC/PC-16C</t>
        </is>
      </c>
      <c r="C593" s="2" t="inlineStr">
        <is>
          <t>K9094339, 편단 분기부 2.0M</t>
        </is>
      </c>
      <c r="D593" s="2" t="inlineStr">
        <is>
          <t>a1-16c</t>
        </is>
      </c>
      <c r="E593" s="2" t="inlineStr">
        <is>
          <t>2.0mm</t>
        </is>
      </c>
      <c r="F593" s="2" t="n">
        <v>16</v>
      </c>
      <c r="G593" s="2" t="n">
        <v>15</v>
      </c>
      <c r="H593" s="2" t="inlineStr">
        <is>
          <t>SC/PC</t>
        </is>
      </c>
      <c r="I593" s="2" t="inlineStr">
        <is>
          <t>SC/PC</t>
        </is>
      </c>
      <c r="J593" s="2" t="n"/>
      <c r="K593" s="2" t="n"/>
      <c r="L593" s="2" t="n"/>
      <c r="M593" s="2" t="n"/>
      <c r="N593" s="2" t="n"/>
      <c r="O593" s="2" t="n"/>
      <c r="P593" s="2" t="n">
        <v>1</v>
      </c>
      <c r="Q593" s="2" t="n"/>
      <c r="R593" s="2" t="n"/>
      <c r="S593" s="2" t="n"/>
      <c r="T593" s="2" t="n"/>
      <c r="U593" s="2" t="n"/>
      <c r="V593" s="2">
        <f>SUM(J593:U593)</f>
        <v/>
      </c>
      <c r="W593" s="2" t="n"/>
      <c r="X593" s="2" t="n"/>
      <c r="Y593" s="2" t="n"/>
      <c r="Z593" s="2" t="n"/>
      <c r="AA593" s="2" t="n">
        <v>32</v>
      </c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>
        <f>IF(F593=1,V593*2,IF(F593=2,V593*F593*2,IF(F593&gt;2,F593*2*V593)))</f>
        <v/>
      </c>
      <c r="AW593" s="2">
        <f>SUM(W593:AU593)</f>
        <v/>
      </c>
    </row>
    <row r="594">
      <c r="A594" s="2" t="inlineStr">
        <is>
          <t>14-K-B263</t>
        </is>
      </c>
      <c r="B594" s="3" t="inlineStr">
        <is>
          <t>OJC-C2-SC/SC-SM-20-PC/PC-16C</t>
        </is>
      </c>
      <c r="C594" s="2" t="inlineStr">
        <is>
          <t>K9094339, 편단 분기부 2.0M</t>
        </is>
      </c>
      <c r="D594" s="2" t="inlineStr">
        <is>
          <t>a1-16c</t>
        </is>
      </c>
      <c r="E594" s="2" t="inlineStr">
        <is>
          <t>2.0mm</t>
        </is>
      </c>
      <c r="F594" s="2" t="n">
        <v>16</v>
      </c>
      <c r="G594" s="2" t="n">
        <v>20</v>
      </c>
      <c r="H594" s="2" t="inlineStr">
        <is>
          <t>SC/PC</t>
        </is>
      </c>
      <c r="I594" s="2" t="inlineStr">
        <is>
          <t>SC/PC</t>
        </is>
      </c>
      <c r="J594" s="2" t="n"/>
      <c r="K594" s="2" t="n"/>
      <c r="L594" s="2" t="n"/>
      <c r="M594" s="2" t="n"/>
      <c r="N594" s="2" t="n"/>
      <c r="O594" s="2" t="n"/>
      <c r="P594" s="2" t="n">
        <v>4</v>
      </c>
      <c r="Q594" s="2" t="n"/>
      <c r="R594" s="2" t="n"/>
      <c r="S594" s="2" t="n"/>
      <c r="T594" s="2" t="n"/>
      <c r="U594" s="2" t="n"/>
      <c r="V594" s="2">
        <f>SUM(J594:U594)</f>
        <v/>
      </c>
      <c r="W594" s="2" t="n"/>
      <c r="X594" s="2" t="n"/>
      <c r="Y594" s="2" t="n"/>
      <c r="Z594" s="2" t="n"/>
      <c r="AA594" s="2" t="n">
        <v>128</v>
      </c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>
        <f>IF(F594=1,V594*2,IF(F594=2,V594*F594*2,IF(F594&gt;2,F594*2*V594)))</f>
        <v/>
      </c>
      <c r="AW594" s="2">
        <f>SUM(W594:AU594)</f>
        <v/>
      </c>
    </row>
    <row r="595">
      <c r="A595" s="2" t="inlineStr">
        <is>
          <t>14-K-B264</t>
        </is>
      </c>
      <c r="B595" s="3" t="inlineStr">
        <is>
          <t>OJC-C2-SC/SC-SM-25-PC/PC-16C</t>
        </is>
      </c>
      <c r="C595" s="2" t="inlineStr">
        <is>
          <t>K9094339, 편단 분기부 2.0M</t>
        </is>
      </c>
      <c r="D595" s="2" t="inlineStr">
        <is>
          <t>a1-16c</t>
        </is>
      </c>
      <c r="E595" s="2" t="inlineStr">
        <is>
          <t>2.0mm</t>
        </is>
      </c>
      <c r="F595" s="2" t="n">
        <v>16</v>
      </c>
      <c r="G595" s="2" t="n">
        <v>25</v>
      </c>
      <c r="H595" s="2" t="inlineStr">
        <is>
          <t>SC/PC</t>
        </is>
      </c>
      <c r="I595" s="2" t="inlineStr">
        <is>
          <t>SC/PC</t>
        </is>
      </c>
      <c r="J595" s="2" t="n"/>
      <c r="K595" s="2" t="n"/>
      <c r="L595" s="2" t="n"/>
      <c r="M595" s="2" t="n"/>
      <c r="N595" s="2" t="n"/>
      <c r="O595" s="2" t="n"/>
      <c r="P595" s="2" t="n">
        <v>1</v>
      </c>
      <c r="Q595" s="2" t="n"/>
      <c r="R595" s="2" t="n"/>
      <c r="S595" s="2" t="n"/>
      <c r="T595" s="2" t="n"/>
      <c r="U595" s="2" t="n"/>
      <c r="V595" s="2">
        <f>SUM(J595:U595)</f>
        <v/>
      </c>
      <c r="W595" s="2" t="n"/>
      <c r="X595" s="2" t="n"/>
      <c r="Y595" s="2" t="n"/>
      <c r="Z595" s="2" t="n"/>
      <c r="AA595" s="2" t="n">
        <v>32</v>
      </c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>
        <f>IF(F595=1,V595*2,IF(F595=2,V595*F595*2,IF(F595&gt;2,F595*2*V595)))</f>
        <v/>
      </c>
      <c r="AW595" s="2">
        <f>SUM(W595:AU595)</f>
        <v/>
      </c>
    </row>
    <row r="596">
      <c r="A596" s="2" t="inlineStr">
        <is>
          <t>14-K-B265</t>
        </is>
      </c>
      <c r="B596" s="3" t="inlineStr">
        <is>
          <t>OJC-C2-SC/SC-SM-20-PC/PC-20C</t>
        </is>
      </c>
      <c r="C596" s="2" t="inlineStr">
        <is>
          <t>K9094342, 편단 분기부 2.0M</t>
        </is>
      </c>
      <c r="D596" s="2" t="inlineStr">
        <is>
          <t>a1-20c</t>
        </is>
      </c>
      <c r="E596" s="2" t="inlineStr">
        <is>
          <t>2.0mm</t>
        </is>
      </c>
      <c r="F596" s="2" t="n">
        <v>20</v>
      </c>
      <c r="G596" s="2" t="n">
        <v>20</v>
      </c>
      <c r="H596" s="2" t="inlineStr">
        <is>
          <t>SC/PC</t>
        </is>
      </c>
      <c r="I596" s="2" t="inlineStr">
        <is>
          <t>SC/PC</t>
        </is>
      </c>
      <c r="J596" s="2" t="n"/>
      <c r="K596" s="2" t="n"/>
      <c r="L596" s="2" t="n"/>
      <c r="M596" s="2" t="n"/>
      <c r="N596" s="2" t="n"/>
      <c r="O596" s="2" t="n"/>
      <c r="P596" s="2" t="n">
        <v>10</v>
      </c>
      <c r="Q596" s="2" t="n"/>
      <c r="R596" s="2" t="n"/>
      <c r="S596" s="2" t="n"/>
      <c r="T596" s="2" t="n"/>
      <c r="U596" s="2" t="n"/>
      <c r="V596" s="2">
        <f>SUM(J596:U596)</f>
        <v/>
      </c>
      <c r="W596" s="2" t="n"/>
      <c r="X596" s="2" t="n"/>
      <c r="Y596" s="2" t="n"/>
      <c r="Z596" s="2" t="n"/>
      <c r="AA596" s="2" t="n">
        <v>400</v>
      </c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>
        <f>IF(F596=1,V596*2,IF(F596=2,V596*F596*2,IF(F596&gt;2,F596*2*V596)))</f>
        <v/>
      </c>
      <c r="AW596" s="2">
        <f>SUM(W596:AU596)</f>
        <v/>
      </c>
    </row>
    <row r="597">
      <c r="A597" s="2" t="inlineStr">
        <is>
          <t>14-K-B276</t>
        </is>
      </c>
      <c r="B597" s="3" t="inlineStr">
        <is>
          <t>OJC-A1-LC/LC-MM-6-PC/PC-DP</t>
        </is>
      </c>
      <c r="C597" s="2" t="inlineStr"/>
      <c r="D597" s="2" t="inlineStr">
        <is>
          <t>om1</t>
        </is>
      </c>
      <c r="E597" s="2" t="inlineStr">
        <is>
          <t>2.0mm</t>
        </is>
      </c>
      <c r="F597" s="2" t="n">
        <v>2</v>
      </c>
      <c r="G597" s="2" t="n">
        <v>6</v>
      </c>
      <c r="H597" s="2" t="inlineStr">
        <is>
          <t>LC/PC</t>
        </is>
      </c>
      <c r="I597" s="2" t="inlineStr">
        <is>
          <t>LC/PC</t>
        </is>
      </c>
      <c r="J597" s="2" t="n"/>
      <c r="K597" s="2" t="n"/>
      <c r="L597" s="2" t="n"/>
      <c r="M597" s="2" t="n"/>
      <c r="N597" s="2" t="n"/>
      <c r="O597" s="2" t="n"/>
      <c r="P597" s="2" t="n"/>
      <c r="Q597" s="2" t="n">
        <v>20</v>
      </c>
      <c r="R597" s="2" t="n"/>
      <c r="S597" s="2" t="n"/>
      <c r="T597" s="2" t="n"/>
      <c r="U597" s="2" t="n"/>
      <c r="V597" s="2">
        <f>SUM(J597:U597)</f>
        <v/>
      </c>
      <c r="W597" s="2" t="n"/>
      <c r="X597" s="2" t="n">
        <v>40</v>
      </c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>
        <v>40</v>
      </c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>
        <f>IF(F597=1,V597*2,IF(F597=2,V597*F597*2,IF(F597&gt;2,F597*2*V597)))</f>
        <v/>
      </c>
      <c r="AW597" s="2">
        <f>SUM(W597:AU597)</f>
        <v/>
      </c>
    </row>
    <row r="598">
      <c r="A598" s="2" t="inlineStr">
        <is>
          <t>14-K-B277</t>
        </is>
      </c>
      <c r="B598" s="3" t="inlineStr">
        <is>
          <t>OJC-A1-SC/SC-SM-15-PC/APC-SP</t>
        </is>
      </c>
      <c r="C598" s="2" t="inlineStr">
        <is>
          <t>녹색</t>
        </is>
      </c>
      <c r="D598" s="2" t="inlineStr">
        <is>
          <t>a1-녹</t>
        </is>
      </c>
      <c r="E598" s="2" t="inlineStr">
        <is>
          <t>2.0mm</t>
        </is>
      </c>
      <c r="F598" s="2" t="n">
        <v>1</v>
      </c>
      <c r="G598" s="2" t="n">
        <v>15</v>
      </c>
      <c r="H598" s="2" t="inlineStr">
        <is>
          <t>SC/PC</t>
        </is>
      </c>
      <c r="I598" s="2" t="inlineStr">
        <is>
          <t>SC/APC</t>
        </is>
      </c>
      <c r="J598" s="2" t="n"/>
      <c r="K598" s="2" t="n"/>
      <c r="L598" s="2" t="n"/>
      <c r="M598" s="2" t="n"/>
      <c r="N598" s="2" t="n"/>
      <c r="O598" s="2" t="n"/>
      <c r="P598" s="2" t="n">
        <v>50</v>
      </c>
      <c r="Q598" s="2" t="n"/>
      <c r="R598" s="2" t="n"/>
      <c r="S598" s="2" t="n"/>
      <c r="T598" s="2" t="n"/>
      <c r="U598" s="2" t="n"/>
      <c r="V598" s="2">
        <f>SUM(J598:U598)</f>
        <v/>
      </c>
      <c r="W598" s="2" t="n"/>
      <c r="X598" s="2" t="n"/>
      <c r="Y598" s="2" t="n"/>
      <c r="Z598" s="2" t="n"/>
      <c r="AA598" s="2" t="n">
        <v>50</v>
      </c>
      <c r="AB598" s="2" t="n"/>
      <c r="AC598" s="2" t="n">
        <v>50</v>
      </c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>
        <f>IF(F598=1,V598*2,IF(F598=2,V598*F598*2,IF(F598&gt;2,F598*2*V598)))</f>
        <v/>
      </c>
      <c r="AW598" s="2">
        <f>SUM(W598:AU598)</f>
        <v/>
      </c>
    </row>
    <row r="599">
      <c r="A599" s="2" t="inlineStr">
        <is>
          <t>14-K-B278</t>
        </is>
      </c>
      <c r="B599" s="3" t="inlineStr">
        <is>
          <t>OJC-A1-SC/SC-SM-30-PC/APC-SP</t>
        </is>
      </c>
      <c r="C599" s="2" t="inlineStr">
        <is>
          <t>녹색</t>
        </is>
      </c>
      <c r="D599" s="2" t="inlineStr">
        <is>
          <t>a1-녹</t>
        </is>
      </c>
      <c r="E599" s="2" t="inlineStr">
        <is>
          <t>2.0mm</t>
        </is>
      </c>
      <c r="F599" s="2" t="n">
        <v>1</v>
      </c>
      <c r="G599" s="2" t="n">
        <v>30</v>
      </c>
      <c r="H599" s="2" t="inlineStr">
        <is>
          <t>SC/PC</t>
        </is>
      </c>
      <c r="I599" s="2" t="inlineStr">
        <is>
          <t>SC/APC</t>
        </is>
      </c>
      <c r="J599" s="2" t="n"/>
      <c r="K599" s="2" t="n"/>
      <c r="L599" s="2" t="n"/>
      <c r="M599" s="2" t="n"/>
      <c r="N599" s="2" t="n"/>
      <c r="O599" s="2" t="n"/>
      <c r="P599" s="2" t="n">
        <v>50</v>
      </c>
      <c r="Q599" s="2" t="n"/>
      <c r="R599" s="2" t="n"/>
      <c r="S599" s="2" t="n"/>
      <c r="T599" s="2" t="n"/>
      <c r="U599" s="2" t="n"/>
      <c r="V599" s="2">
        <f>SUM(J599:U599)</f>
        <v/>
      </c>
      <c r="W599" s="2" t="n"/>
      <c r="X599" s="2" t="n"/>
      <c r="Y599" s="2" t="n"/>
      <c r="Z599" s="2" t="n"/>
      <c r="AA599" s="2" t="n">
        <v>50</v>
      </c>
      <c r="AB599" s="2" t="n"/>
      <c r="AC599" s="2" t="n">
        <v>50</v>
      </c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>
        <f>IF(F599=1,V599*2,IF(F599=2,V599*F599*2,IF(F599&gt;2,F599*2*V599)))</f>
        <v/>
      </c>
      <c r="AW599" s="2">
        <f>SUM(W599:AU599)</f>
        <v/>
      </c>
    </row>
    <row r="600">
      <c r="A600" s="2" t="inlineStr">
        <is>
          <t>14-K-B279</t>
        </is>
      </c>
      <c r="B600" s="3" t="inlineStr">
        <is>
          <t>OJC-A1-LC/LC-SM-5-PC/APC-DP</t>
        </is>
      </c>
      <c r="C600" s="2" t="inlineStr"/>
      <c r="D600" s="2" t="inlineStr">
        <is>
          <t>a1</t>
        </is>
      </c>
      <c r="E600" s="2" t="inlineStr">
        <is>
          <t>2.0mm</t>
        </is>
      </c>
      <c r="F600" s="2" t="n">
        <v>2</v>
      </c>
      <c r="G600" s="2" t="n">
        <v>5</v>
      </c>
      <c r="H600" s="2" t="inlineStr">
        <is>
          <t>LC/PC</t>
        </is>
      </c>
      <c r="I600" s="2" t="inlineStr">
        <is>
          <t>LC/APC</t>
        </is>
      </c>
      <c r="J600" s="2" t="n"/>
      <c r="K600" s="2" t="n"/>
      <c r="L600" s="2" t="n"/>
      <c r="M600" s="2" t="n"/>
      <c r="N600" s="2" t="n"/>
      <c r="O600" s="2" t="n"/>
      <c r="P600" s="2" t="n">
        <v>4</v>
      </c>
      <c r="Q600" s="2" t="n"/>
      <c r="R600" s="2" t="n"/>
      <c r="S600" s="2" t="n"/>
      <c r="T600" s="2" t="n"/>
      <c r="U600" s="2" t="n"/>
      <c r="V600" s="2">
        <f>SUM(J600:U600)</f>
        <v/>
      </c>
      <c r="W600" s="2" t="n">
        <v>8</v>
      </c>
      <c r="X600" s="2" t="n"/>
      <c r="Y600" s="2" t="n"/>
      <c r="Z600" s="2" t="n">
        <v>8</v>
      </c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>
        <f>IF(F600=1,V600*2,IF(F600=2,V600*F600*2,IF(F600&gt;2,F600*2*V600)))</f>
        <v/>
      </c>
      <c r="AW600" s="2">
        <f>SUM(W600:AU600)</f>
        <v/>
      </c>
    </row>
    <row r="601">
      <c r="A601" s="2" t="inlineStr">
        <is>
          <t>14-K-B289</t>
        </is>
      </c>
      <c r="B601" s="3" t="inlineStr">
        <is>
          <t>OJC-A1-SC/LC-MM-1-PC/PC-DP</t>
        </is>
      </c>
      <c r="C601" s="2" t="inlineStr">
        <is>
          <t>LC/DP CLIP Type, 1M</t>
        </is>
      </c>
      <c r="D601" s="2" t="inlineStr">
        <is>
          <t>om1</t>
        </is>
      </c>
      <c r="E601" s="2" t="inlineStr">
        <is>
          <t>2.0mm</t>
        </is>
      </c>
      <c r="F601" s="2" t="n">
        <v>2</v>
      </c>
      <c r="G601" s="2" t="n">
        <v>1</v>
      </c>
      <c r="H601" s="2" t="inlineStr">
        <is>
          <t>SC/PC</t>
        </is>
      </c>
      <c r="I601" s="2" t="inlineStr">
        <is>
          <t>LC/PC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>
        <v>20</v>
      </c>
      <c r="R601" s="2" t="n"/>
      <c r="S601" s="2" t="n"/>
      <c r="T601" s="2" t="n"/>
      <c r="U601" s="2" t="n"/>
      <c r="V601" s="2">
        <f>SUM(J601:U601)</f>
        <v/>
      </c>
      <c r="W601" s="2" t="n"/>
      <c r="X601" s="2" t="n">
        <v>40</v>
      </c>
      <c r="Y601" s="2" t="n"/>
      <c r="Z601" s="2" t="n"/>
      <c r="AA601" s="2" t="n">
        <v>40</v>
      </c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>
        <f>IF(F601=1,V601*2,IF(F601=2,V601*F601*2,IF(F601&gt;2,F601*2*V601)))</f>
        <v/>
      </c>
      <c r="AW601" s="2">
        <f>SUM(W601:AU601)</f>
        <v/>
      </c>
    </row>
    <row r="602">
      <c r="A602" s="2" t="inlineStr">
        <is>
          <t>14-K-B298</t>
        </is>
      </c>
      <c r="B602" s="3" t="inlineStr">
        <is>
          <t>OJC-C2-SC/SC-SM-17-PC/PC-8C</t>
        </is>
      </c>
      <c r="C602" s="2" t="inlineStr">
        <is>
          <t>K9089452, 편단 분기부 2.0M</t>
        </is>
      </c>
      <c r="D602" s="2" t="inlineStr">
        <is>
          <t>a1-8c</t>
        </is>
      </c>
      <c r="E602" s="2" t="inlineStr">
        <is>
          <t>2.0mm</t>
        </is>
      </c>
      <c r="F602" s="2" t="n">
        <v>8</v>
      </c>
      <c r="G602" s="2" t="n">
        <v>17</v>
      </c>
      <c r="H602" s="2" t="inlineStr">
        <is>
          <t>SC/PC</t>
        </is>
      </c>
      <c r="I602" s="2" t="inlineStr">
        <is>
          <t>SC/PC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5</v>
      </c>
      <c r="S602" s="2" t="n"/>
      <c r="T602" s="2" t="n"/>
      <c r="U602" s="2" t="n"/>
      <c r="V602" s="2">
        <f>SUM(J602:U602)</f>
        <v/>
      </c>
      <c r="W602" s="2" t="n"/>
      <c r="X602" s="2" t="n"/>
      <c r="Y602" s="2" t="n"/>
      <c r="Z602" s="2" t="n"/>
      <c r="AA602" s="2" t="n">
        <v>80</v>
      </c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>
        <f>IF(F602=1,V602*2,IF(F602=2,V602*F602*2,IF(F602&gt;2,F602*2*V602)))</f>
        <v/>
      </c>
      <c r="AW602" s="2">
        <f>SUM(W602:AU602)</f>
        <v/>
      </c>
    </row>
    <row r="603">
      <c r="A603" s="2" t="inlineStr">
        <is>
          <t>14-K-B299</t>
        </is>
      </c>
      <c r="B603" s="3" t="inlineStr">
        <is>
          <t>OJC-C2-SC/SC-SM-18-PC/PC-8C</t>
        </is>
      </c>
      <c r="C603" s="2" t="inlineStr">
        <is>
          <t>K9089452, 편단 분기부 2.0M</t>
        </is>
      </c>
      <c r="D603" s="2" t="inlineStr">
        <is>
          <t>a1-8c</t>
        </is>
      </c>
      <c r="E603" s="2" t="inlineStr">
        <is>
          <t>2.0mm</t>
        </is>
      </c>
      <c r="F603" s="2" t="n">
        <v>8</v>
      </c>
      <c r="G603" s="2" t="n">
        <v>18</v>
      </c>
      <c r="H603" s="2" t="inlineStr">
        <is>
          <t>SC/PC</t>
        </is>
      </c>
      <c r="I603" s="2" t="inlineStr">
        <is>
          <t>SC/PC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>
        <v>4</v>
      </c>
      <c r="S603" s="2" t="n"/>
      <c r="T603" s="2" t="n"/>
      <c r="U603" s="2" t="n"/>
      <c r="V603" s="2">
        <f>SUM(J603:U603)</f>
        <v/>
      </c>
      <c r="W603" s="2" t="n"/>
      <c r="X603" s="2" t="n"/>
      <c r="Y603" s="2" t="n"/>
      <c r="Z603" s="2" t="n"/>
      <c r="AA603" s="2" t="n">
        <v>64</v>
      </c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>
        <f>IF(F603=1,V603*2,IF(F603=2,V603*F603*2,IF(F603&gt;2,F603*2*V603)))</f>
        <v/>
      </c>
      <c r="AW603" s="2">
        <f>SUM(W603:AU603)</f>
        <v/>
      </c>
    </row>
    <row r="604">
      <c r="A604" s="2" t="inlineStr">
        <is>
          <t>14-K-B300</t>
        </is>
      </c>
      <c r="B604" s="3" t="inlineStr">
        <is>
          <t>OJC-C2-SC/SC-SM-22-PC/PC-8C</t>
        </is>
      </c>
      <c r="C604" s="2" t="inlineStr">
        <is>
          <t>K9089452, 편단 분기부 2.0M</t>
        </is>
      </c>
      <c r="D604" s="2" t="inlineStr">
        <is>
          <t>a1-8c</t>
        </is>
      </c>
      <c r="E604" s="2" t="inlineStr">
        <is>
          <t>2.0mm</t>
        </is>
      </c>
      <c r="F604" s="2" t="n">
        <v>8</v>
      </c>
      <c r="G604" s="2" t="n">
        <v>22</v>
      </c>
      <c r="H604" s="2" t="inlineStr">
        <is>
          <t>SC/PC</t>
        </is>
      </c>
      <c r="I604" s="2" t="inlineStr">
        <is>
          <t>SC/PC</t>
        </is>
      </c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>
        <v>8</v>
      </c>
      <c r="S604" s="2" t="n"/>
      <c r="T604" s="2" t="n"/>
      <c r="U604" s="2" t="n"/>
      <c r="V604" s="2">
        <f>SUM(J604:U604)</f>
        <v/>
      </c>
      <c r="W604" s="2" t="n"/>
      <c r="X604" s="2" t="n"/>
      <c r="Y604" s="2" t="n"/>
      <c r="Z604" s="2" t="n"/>
      <c r="AA604" s="2" t="n">
        <v>128</v>
      </c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>
        <f>IF(F604=1,V604*2,IF(F604=2,V604*F604*2,IF(F604&gt;2,F604*2*V604)))</f>
        <v/>
      </c>
      <c r="AW604" s="2">
        <f>SUM(W604:AU604)</f>
        <v/>
      </c>
    </row>
    <row r="605">
      <c r="A605" s="2" t="inlineStr">
        <is>
          <t>14-K-B301</t>
        </is>
      </c>
      <c r="B605" s="3" t="inlineStr">
        <is>
          <t>OJC-C2-SC/SC-SM-25-PC/PC-8C</t>
        </is>
      </c>
      <c r="C605" s="2" t="inlineStr">
        <is>
          <t>K9089452, 편단 분기부 2.0M</t>
        </is>
      </c>
      <c r="D605" s="2" t="inlineStr">
        <is>
          <t>a1-8c</t>
        </is>
      </c>
      <c r="E605" s="2" t="inlineStr">
        <is>
          <t>2.0mm</t>
        </is>
      </c>
      <c r="F605" s="2" t="n">
        <v>8</v>
      </c>
      <c r="G605" s="2" t="n">
        <v>25</v>
      </c>
      <c r="H605" s="2" t="inlineStr">
        <is>
          <t>SC/PC</t>
        </is>
      </c>
      <c r="I605" s="2" t="inlineStr">
        <is>
          <t>SC/PC</t>
        </is>
      </c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>
        <v>2</v>
      </c>
      <c r="S605" s="2" t="n"/>
      <c r="T605" s="2" t="n"/>
      <c r="U605" s="2" t="n"/>
      <c r="V605" s="2">
        <f>SUM(J605:U605)</f>
        <v/>
      </c>
      <c r="W605" s="2" t="n"/>
      <c r="X605" s="2" t="n"/>
      <c r="Y605" s="2" t="n"/>
      <c r="Z605" s="2" t="n"/>
      <c r="AA605" s="2" t="n">
        <v>32</v>
      </c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>
        <f>IF(F605=1,V605*2,IF(F605=2,V605*F605*2,IF(F605&gt;2,F605*2*V605)))</f>
        <v/>
      </c>
      <c r="AW605" s="2">
        <f>SUM(W605:AU605)</f>
        <v/>
      </c>
    </row>
    <row r="606">
      <c r="A606" s="2" t="inlineStr">
        <is>
          <t>14-K-B305</t>
        </is>
      </c>
      <c r="B606" s="3" t="inlineStr">
        <is>
          <t>OJC-A1-LC/LC-SM-7-PC/PC-DP</t>
        </is>
      </c>
      <c r="C606" s="2" t="inlineStr">
        <is>
          <t>청색</t>
        </is>
      </c>
      <c r="D606" s="2" t="inlineStr">
        <is>
          <t>a1-청</t>
        </is>
      </c>
      <c r="E606" s="2" t="inlineStr">
        <is>
          <t>2.0mm</t>
        </is>
      </c>
      <c r="F606" s="2" t="n">
        <v>2</v>
      </c>
      <c r="G606" s="2" t="n">
        <v>7</v>
      </c>
      <c r="H606" s="2" t="inlineStr">
        <is>
          <t>LC/PC</t>
        </is>
      </c>
      <c r="I606" s="2" t="inlineStr">
        <is>
          <t>LC/PC</t>
        </is>
      </c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>
        <v>50</v>
      </c>
      <c r="S606" s="2" t="n">
        <v>50</v>
      </c>
      <c r="T606" s="2" t="n"/>
      <c r="U606" s="2" t="n"/>
      <c r="V606" s="2">
        <f>SUM(J606:U606)</f>
        <v/>
      </c>
      <c r="W606" s="2" t="n">
        <v>200</v>
      </c>
      <c r="X606" s="2" t="n">
        <v>200</v>
      </c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>
        <f>IF(F606=1,V606*2,IF(F606=2,V606*F606*2,IF(F606&gt;2,F606*2*V606)))</f>
        <v/>
      </c>
      <c r="AW606" s="2">
        <f>SUM(W606:AU606)</f>
        <v/>
      </c>
    </row>
    <row r="607">
      <c r="A607" s="2" t="inlineStr">
        <is>
          <t>14-K-B306</t>
        </is>
      </c>
      <c r="B607" s="3" t="inlineStr">
        <is>
          <t>OJC-C2-SC/SC-SM-20-PC/PC-12C</t>
        </is>
      </c>
      <c r="C607" s="2" t="inlineStr">
        <is>
          <t>K9089453,편단 분기부 2M</t>
        </is>
      </c>
      <c r="D607" s="2" t="inlineStr">
        <is>
          <t>a1-12c</t>
        </is>
      </c>
      <c r="E607" s="2" t="inlineStr">
        <is>
          <t>2.0mm</t>
        </is>
      </c>
      <c r="F607" s="2" t="n">
        <v>12</v>
      </c>
      <c r="G607" s="2" t="n">
        <v>20</v>
      </c>
      <c r="H607" s="2" t="inlineStr">
        <is>
          <t>SC/PC</t>
        </is>
      </c>
      <c r="I607" s="2" t="inlineStr">
        <is>
          <t>SC/PC</t>
        </is>
      </c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>
        <v>7</v>
      </c>
      <c r="U607" s="2" t="n"/>
      <c r="V607" s="2">
        <f>SUM(J607:U607)</f>
        <v/>
      </c>
      <c r="W607" s="2" t="n"/>
      <c r="X607" s="2" t="n"/>
      <c r="Y607" s="2" t="n"/>
      <c r="Z607" s="2" t="n"/>
      <c r="AA607" s="2" t="n">
        <v>168</v>
      </c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>
        <f>IF(F607=1,V607*2,IF(F607=2,V607*F607*2,IF(F607&gt;2,F607*2*V607)))</f>
        <v/>
      </c>
      <c r="AW607" s="2">
        <f>SUM(W607:AU607)</f>
        <v/>
      </c>
    </row>
    <row r="608">
      <c r="A608" s="2" t="inlineStr">
        <is>
          <t>14-K-B307</t>
        </is>
      </c>
      <c r="B608" s="3" t="inlineStr">
        <is>
          <t>OJC-A1-LC/LC-SM-11-PC/PC-DP</t>
        </is>
      </c>
      <c r="C608" s="2" t="inlineStr"/>
      <c r="D608" s="2" t="inlineStr">
        <is>
          <t>a1</t>
        </is>
      </c>
      <c r="E608" s="2" t="inlineStr">
        <is>
          <t>2.0mm</t>
        </is>
      </c>
      <c r="F608" s="2" t="n">
        <v>2</v>
      </c>
      <c r="G608" s="2" t="n">
        <v>11</v>
      </c>
      <c r="H608" s="2" t="inlineStr">
        <is>
          <t>LC/PC</t>
        </is>
      </c>
      <c r="I608" s="2" t="inlineStr">
        <is>
          <t>LC/PC</t>
        </is>
      </c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>
        <v>40</v>
      </c>
      <c r="U608" s="2" t="n"/>
      <c r="V608" s="2">
        <f>SUM(J608:U608)</f>
        <v/>
      </c>
      <c r="W608" s="2" t="n">
        <v>80</v>
      </c>
      <c r="X608" s="2" t="n">
        <v>80</v>
      </c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>
        <f>IF(F608=1,V608*2,IF(F608=2,V608*F608*2,IF(F608&gt;2,F608*2*V608)))</f>
        <v/>
      </c>
      <c r="AW608" s="2">
        <f>SUM(W608:AU608)</f>
        <v/>
      </c>
    </row>
    <row r="609">
      <c r="A609" s="2" t="inlineStr">
        <is>
          <t>14-K-B308</t>
        </is>
      </c>
      <c r="B609" s="3" t="inlineStr">
        <is>
          <t>OJC-A1-LC/LC-MM-120-PC/PC-DP</t>
        </is>
      </c>
      <c r="C609" s="2" t="inlineStr"/>
      <c r="D609" s="2" t="inlineStr">
        <is>
          <t>om1</t>
        </is>
      </c>
      <c r="E609" s="2" t="inlineStr">
        <is>
          <t>2.0mm</t>
        </is>
      </c>
      <c r="F609" s="2" t="n">
        <v>2</v>
      </c>
      <c r="G609" s="2" t="n">
        <v>120</v>
      </c>
      <c r="H609" s="2" t="inlineStr">
        <is>
          <t>LC/PC</t>
        </is>
      </c>
      <c r="I609" s="2" t="inlineStr">
        <is>
          <t>LC/PC</t>
        </is>
      </c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>
        <v>6</v>
      </c>
      <c r="U609" s="2" t="n"/>
      <c r="V609" s="2">
        <f>SUM(J609:U609)</f>
        <v/>
      </c>
      <c r="W609" s="2" t="n"/>
      <c r="X609" s="2" t="n">
        <v>12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>
        <v>12</v>
      </c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>
        <f>IF(F609=1,V609*2,IF(F609=2,V609*F609*2,IF(F609&gt;2,F609*2*V609)))</f>
        <v/>
      </c>
      <c r="AW609" s="2">
        <f>SUM(W609:AU609)</f>
        <v/>
      </c>
    </row>
    <row r="610">
      <c r="A610" s="2" t="inlineStr">
        <is>
          <t>14-K-B309</t>
        </is>
      </c>
      <c r="B610" s="3" t="inlineStr">
        <is>
          <t>OJC-A1-SC/SC-SM-1-PC/PC-DP</t>
        </is>
      </c>
      <c r="C610" s="2" t="inlineStr">
        <is>
          <t>K9089123_청색</t>
        </is>
      </c>
      <c r="D610" s="2" t="inlineStr">
        <is>
          <t>a1-청</t>
        </is>
      </c>
      <c r="E610" s="2" t="inlineStr">
        <is>
          <t>2.0mm</t>
        </is>
      </c>
      <c r="F610" s="2" t="n">
        <v>2</v>
      </c>
      <c r="G610" s="2" t="n">
        <v>1</v>
      </c>
      <c r="H610" s="2" t="inlineStr">
        <is>
          <t>SC/PC</t>
        </is>
      </c>
      <c r="I610" s="2" t="inlineStr">
        <is>
          <t>SC/PC</t>
        </is>
      </c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>
        <v>80</v>
      </c>
      <c r="U610" s="2" t="n"/>
      <c r="V610" s="2">
        <f>SUM(J610:U610)</f>
        <v/>
      </c>
      <c r="W610" s="2" t="n"/>
      <c r="X610" s="2" t="n"/>
      <c r="Y610" s="2" t="n"/>
      <c r="Z610" s="2" t="n"/>
      <c r="AA610" s="2" t="n">
        <v>160</v>
      </c>
      <c r="AB610" s="2" t="n">
        <v>160</v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>
        <f>IF(F610=1,V610*2,IF(F610=2,V610*F610*2,IF(F610&gt;2,F610*2*V610)))</f>
        <v/>
      </c>
      <c r="AW610" s="2">
        <f>SUM(W610:AU610)</f>
        <v/>
      </c>
    </row>
    <row r="611">
      <c r="A611" s="2" t="inlineStr">
        <is>
          <t>14-K-B310</t>
        </is>
      </c>
      <c r="B611" s="3" t="inlineStr">
        <is>
          <t>OJC-A1-SC/SC-SM-8-PC/PC-DP</t>
        </is>
      </c>
      <c r="C611" s="2" t="inlineStr">
        <is>
          <t>K9089130_청색</t>
        </is>
      </c>
      <c r="D611" s="2" t="inlineStr">
        <is>
          <t>a1-청</t>
        </is>
      </c>
      <c r="E611" s="2" t="inlineStr">
        <is>
          <t>2.0mm</t>
        </is>
      </c>
      <c r="F611" s="2" t="n">
        <v>2</v>
      </c>
      <c r="G611" s="2" t="n">
        <v>8</v>
      </c>
      <c r="H611" s="2" t="inlineStr">
        <is>
          <t>SC/PC</t>
        </is>
      </c>
      <c r="I611" s="2" t="inlineStr">
        <is>
          <t>SC/PC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>
        <v>50</v>
      </c>
      <c r="U611" s="2" t="n"/>
      <c r="V611" s="2">
        <f>SUM(J611:U611)</f>
        <v/>
      </c>
      <c r="W611" s="2" t="n"/>
      <c r="X611" s="2" t="n"/>
      <c r="Y611" s="2" t="n"/>
      <c r="Z611" s="2" t="n"/>
      <c r="AA611" s="2" t="n">
        <v>100</v>
      </c>
      <c r="AB611" s="2" t="n">
        <v>100</v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>
        <f>IF(F611=1,V611*2,IF(F611=2,V611*F611*2,IF(F611&gt;2,F611*2*V611)))</f>
        <v/>
      </c>
      <c r="AW611" s="2">
        <f>SUM(W611:AU611)</f>
        <v/>
      </c>
    </row>
    <row r="612">
      <c r="A612" s="2" t="inlineStr">
        <is>
          <t>14-K-B311</t>
        </is>
      </c>
      <c r="B612" s="3" t="inlineStr">
        <is>
          <t>OJC-A1-LC/LC-SM-23-PC/PC-DP</t>
        </is>
      </c>
      <c r="C612" s="2" t="inlineStr">
        <is>
          <t>23M_적색</t>
        </is>
      </c>
      <c r="D612" s="2" t="inlineStr">
        <is>
          <t>a1-적</t>
        </is>
      </c>
      <c r="E612" s="2" t="inlineStr">
        <is>
          <t>2.0mm</t>
        </is>
      </c>
      <c r="F612" s="2" t="n">
        <v>2</v>
      </c>
      <c r="G612" s="2" t="n">
        <v>23</v>
      </c>
      <c r="H612" s="2" t="inlineStr">
        <is>
          <t>LC/PC</t>
        </is>
      </c>
      <c r="I612" s="2" t="inlineStr">
        <is>
          <t>LC/PC</t>
        </is>
      </c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>
        <v>10</v>
      </c>
      <c r="V612" s="2">
        <f>SUM(J612:U612)</f>
        <v/>
      </c>
      <c r="W612" s="2" t="n">
        <v>20</v>
      </c>
      <c r="X612" s="2" t="n">
        <v>20</v>
      </c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>
        <f>IF(F612=1,V612*2,IF(F612=2,V612*F612*2,IF(F612&gt;2,F612*2*V612)))</f>
        <v/>
      </c>
      <c r="AW612" s="2">
        <f>SUM(W612:AU612)</f>
        <v/>
      </c>
    </row>
    <row r="613">
      <c r="A613" s="2" t="inlineStr">
        <is>
          <t>14-K-B312</t>
        </is>
      </c>
      <c r="B613" s="3" t="inlineStr">
        <is>
          <t>OJC-A1-SC/LC-SM-20-PC/PC-DP</t>
        </is>
      </c>
      <c r="C613" s="2" t="inlineStr">
        <is>
          <t>20M_자색</t>
        </is>
      </c>
      <c r="D613" s="2" t="inlineStr">
        <is>
          <t>a1-자</t>
        </is>
      </c>
      <c r="E613" s="2" t="inlineStr">
        <is>
          <t>2.0mm</t>
        </is>
      </c>
      <c r="F613" s="2" t="n">
        <v>2</v>
      </c>
      <c r="G613" s="2" t="n">
        <v>20</v>
      </c>
      <c r="H613" s="2" t="inlineStr">
        <is>
          <t>SC/PC</t>
        </is>
      </c>
      <c r="I613" s="2" t="inlineStr">
        <is>
          <t>LC/PC</t>
        </is>
      </c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>
        <v>8</v>
      </c>
      <c r="V613" s="2">
        <f>SUM(J613:U613)</f>
        <v/>
      </c>
      <c r="W613" s="2" t="n"/>
      <c r="X613" s="2" t="n">
        <v>16</v>
      </c>
      <c r="Y613" s="2" t="n"/>
      <c r="Z613" s="2" t="n"/>
      <c r="AA613" s="2" t="n">
        <v>16</v>
      </c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>
        <f>IF(F613=1,V613*2,IF(F613=2,V613*F613*2,IF(F613&gt;2,F613*2*V613)))</f>
        <v/>
      </c>
      <c r="AW613" s="2">
        <f>SUM(W613:AU613)</f>
        <v/>
      </c>
    </row>
    <row r="614">
      <c r="A614" s="2" t="inlineStr">
        <is>
          <t>14-K-B313</t>
        </is>
      </c>
      <c r="B614" s="3" t="inlineStr">
        <is>
          <t>OJC-A1-SC/LC-SM-25-PC/PC-DP</t>
        </is>
      </c>
      <c r="C614" s="2" t="inlineStr">
        <is>
          <t>25M_자색</t>
        </is>
      </c>
      <c r="D614" s="2" t="inlineStr">
        <is>
          <t>a1-자</t>
        </is>
      </c>
      <c r="E614" s="2" t="inlineStr">
        <is>
          <t>2.0mm</t>
        </is>
      </c>
      <c r="F614" s="2" t="n">
        <v>2</v>
      </c>
      <c r="G614" s="2" t="n">
        <v>25</v>
      </c>
      <c r="H614" s="2" t="inlineStr">
        <is>
          <t>SC/PC</t>
        </is>
      </c>
      <c r="I614" s="2" t="inlineStr">
        <is>
          <t>LC/PC</t>
        </is>
      </c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>
        <v>8</v>
      </c>
      <c r="V614" s="2">
        <f>SUM(J614:U614)</f>
        <v/>
      </c>
      <c r="W614" s="2" t="n"/>
      <c r="X614" s="2" t="n">
        <v>16</v>
      </c>
      <c r="Y614" s="2" t="n"/>
      <c r="Z614" s="2" t="n"/>
      <c r="AA614" s="2" t="n">
        <v>16</v>
      </c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>
        <f>IF(F614=1,V614*2,IF(F614=2,V614*F614*2,IF(F614&gt;2,F614*2*V614)))</f>
        <v/>
      </c>
      <c r="AW614" s="2">
        <f>SUM(W614:AU614)</f>
        <v/>
      </c>
    </row>
    <row r="615">
      <c r="A615" s="2" t="inlineStr">
        <is>
          <t>14-M-011</t>
        </is>
      </c>
      <c r="B615" s="3" t="inlineStr">
        <is>
          <t>MOJC-SM-12C-LC/PC-LC/PC</t>
        </is>
      </c>
      <c r="C615" s="2" t="inlineStr">
        <is>
          <t>15M</t>
        </is>
      </c>
      <c r="D615" s="2" t="inlineStr">
        <is>
          <t>b3-12c</t>
        </is>
      </c>
      <c r="E615" s="2" t="inlineStr">
        <is>
          <t>2.0mm</t>
        </is>
      </c>
      <c r="F615" s="2" t="n">
        <v>12</v>
      </c>
      <c r="G615" s="2" t="n">
        <v>15</v>
      </c>
      <c r="H615" s="2" t="inlineStr">
        <is>
          <t>LC/PC</t>
        </is>
      </c>
      <c r="I615" s="2" t="inlineStr">
        <is>
          <t>LC/PC</t>
        </is>
      </c>
      <c r="J615" s="2" t="n"/>
      <c r="K615" s="2" t="n"/>
      <c r="L615" s="2" t="n"/>
      <c r="M615" s="2" t="n"/>
      <c r="N615" s="2" t="n"/>
      <c r="O615" s="2" t="n">
        <v>20</v>
      </c>
      <c r="P615" s="2" t="n"/>
      <c r="Q615" s="2" t="n"/>
      <c r="R615" s="2" t="n"/>
      <c r="S615" s="2" t="n"/>
      <c r="T615" s="2" t="n"/>
      <c r="U615" s="2" t="n"/>
      <c r="V615" s="2">
        <f>SUM(J615:U615)</f>
        <v/>
      </c>
      <c r="W615" s="2" t="n">
        <v>480</v>
      </c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>
        <f>IF(F615=1,V615*2,IF(F615=2,V615*F615*2,IF(F615&gt;2,F615*2*V615)))</f>
        <v/>
      </c>
      <c r="AW615" s="2">
        <f>SUM(W615:AU615)</f>
        <v/>
      </c>
    </row>
    <row r="616">
      <c r="A616" s="2" t="inlineStr">
        <is>
          <t>14-M-012</t>
        </is>
      </c>
      <c r="B616" s="3" t="inlineStr">
        <is>
          <t>MOJC-SM-12C-LC/PC-LC/PC</t>
        </is>
      </c>
      <c r="C616" s="2" t="inlineStr">
        <is>
          <t>17M</t>
        </is>
      </c>
      <c r="D616" s="2" t="inlineStr">
        <is>
          <t>b3-12c</t>
        </is>
      </c>
      <c r="E616" s="2" t="inlineStr">
        <is>
          <t>2.0mm</t>
        </is>
      </c>
      <c r="F616" s="2" t="n">
        <v>12</v>
      </c>
      <c r="G616" s="2" t="n">
        <v>17</v>
      </c>
      <c r="H616" s="2" t="inlineStr">
        <is>
          <t>LC/PC</t>
        </is>
      </c>
      <c r="I616" s="2" t="inlineStr">
        <is>
          <t>LC/PC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>
        <v>35</v>
      </c>
      <c r="T616" s="2" t="n"/>
      <c r="U616" s="2" t="n"/>
      <c r="V616" s="2">
        <f>SUM(J616:U616)</f>
        <v/>
      </c>
      <c r="W616" s="2" t="n">
        <v>840</v>
      </c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>
        <f>IF(F616=1,V616*2,IF(F616=2,V616*F616*2,IF(F616&gt;2,F616*2*V616)))</f>
        <v/>
      </c>
      <c r="AW616" s="2">
        <f>SUM(W616:AU616)</f>
        <v/>
      </c>
    </row>
    <row r="617">
      <c r="A617" s="2" t="inlineStr">
        <is>
          <t>14-M-013</t>
        </is>
      </c>
      <c r="B617" s="3" t="inlineStr">
        <is>
          <t>MOJC-SM-12C-LC/PC-LC/PC</t>
        </is>
      </c>
      <c r="C617" s="2" t="inlineStr">
        <is>
          <t>20M</t>
        </is>
      </c>
      <c r="D617" s="2" t="inlineStr">
        <is>
          <t>b3-12c</t>
        </is>
      </c>
      <c r="E617" s="2" t="inlineStr">
        <is>
          <t>2.0mm</t>
        </is>
      </c>
      <c r="F617" s="2" t="n">
        <v>12</v>
      </c>
      <c r="G617" s="2" t="n">
        <v>20</v>
      </c>
      <c r="H617" s="2" t="inlineStr">
        <is>
          <t>LC/PC</t>
        </is>
      </c>
      <c r="I617" s="2" t="inlineStr">
        <is>
          <t>LC/PC</t>
        </is>
      </c>
      <c r="J617" s="2" t="n"/>
      <c r="K617" s="2" t="n"/>
      <c r="L617" s="2" t="n"/>
      <c r="M617" s="2" t="n"/>
      <c r="N617" s="2" t="n"/>
      <c r="O617" s="2" t="n">
        <v>20</v>
      </c>
      <c r="P617" s="2" t="n"/>
      <c r="Q617" s="2" t="n"/>
      <c r="R617" s="2" t="n"/>
      <c r="S617" s="2" t="n"/>
      <c r="T617" s="2" t="n"/>
      <c r="U617" s="2" t="n"/>
      <c r="V617" s="2">
        <f>SUM(J617:U617)</f>
        <v/>
      </c>
      <c r="W617" s="2" t="n">
        <v>480</v>
      </c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>
        <f>IF(F617=1,V617*2,IF(F617=2,V617*F617*2,IF(F617&gt;2,F617*2*V617)))</f>
        <v/>
      </c>
      <c r="AW617" s="2">
        <f>SUM(W617:AU617)</f>
        <v/>
      </c>
    </row>
    <row r="618">
      <c r="A618" s="2" t="inlineStr">
        <is>
          <t>14-M-018</t>
        </is>
      </c>
      <c r="B618" s="3" t="inlineStr">
        <is>
          <t>MOJC-SM-12C-LC/PC-LC/PC</t>
        </is>
      </c>
      <c r="C618" s="2" t="inlineStr">
        <is>
          <t>7M</t>
        </is>
      </c>
      <c r="D618" s="2" t="inlineStr">
        <is>
          <t>b3-12c</t>
        </is>
      </c>
      <c r="E618" s="2" t="inlineStr">
        <is>
          <t>2.0mm</t>
        </is>
      </c>
      <c r="F618" s="2" t="n">
        <v>12</v>
      </c>
      <c r="G618" s="2" t="n">
        <v>7</v>
      </c>
      <c r="H618" s="2" t="inlineStr">
        <is>
          <t>LC/PC</t>
        </is>
      </c>
      <c r="I618" s="2" t="inlineStr">
        <is>
          <t>LC/PC</t>
        </is>
      </c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>
        <v>8</v>
      </c>
      <c r="T618" s="2" t="n"/>
      <c r="U618" s="2" t="n"/>
      <c r="V618" s="2">
        <f>SUM(J618:U618)</f>
        <v/>
      </c>
      <c r="W618" s="2" t="n">
        <v>192</v>
      </c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>
        <f>IF(F618=1,V618*2,IF(F618=2,V618*F618*2,IF(F618&gt;2,F618*2*V618)))</f>
        <v/>
      </c>
      <c r="AW618" s="2">
        <f>SUM(W618:AU618)</f>
        <v/>
      </c>
    </row>
    <row r="619">
      <c r="A619" s="2" t="inlineStr">
        <is>
          <t>14-M-038</t>
        </is>
      </c>
      <c r="B619" s="3" t="inlineStr">
        <is>
          <t>MOJC-SM-12C-SC/PC-SC/APC</t>
        </is>
      </c>
      <c r="C619" s="2" t="inlineStr">
        <is>
          <t>12M</t>
        </is>
      </c>
      <c r="D619" s="2" t="inlineStr">
        <is>
          <t>b3-12c</t>
        </is>
      </c>
      <c r="E619" s="2" t="inlineStr">
        <is>
          <t>2.0mm</t>
        </is>
      </c>
      <c r="F619" s="2" t="n">
        <v>12</v>
      </c>
      <c r="G619" s="2" t="n">
        <v>12</v>
      </c>
      <c r="H619" s="2" t="inlineStr">
        <is>
          <t>SC/PC</t>
        </is>
      </c>
      <c r="I619" s="2" t="inlineStr">
        <is>
          <t>SC/APC</t>
        </is>
      </c>
      <c r="J619" s="2" t="n"/>
      <c r="K619" s="2" t="n"/>
      <c r="L619" s="2" t="n"/>
      <c r="M619" s="2" t="n"/>
      <c r="N619" s="2" t="n"/>
      <c r="O619" s="2" t="n">
        <v>24</v>
      </c>
      <c r="P619" s="2" t="n"/>
      <c r="Q619" s="2" t="n"/>
      <c r="R619" s="2" t="n"/>
      <c r="S619" s="2" t="n"/>
      <c r="T619" s="2" t="n"/>
      <c r="U619" s="2" t="n"/>
      <c r="V619" s="2">
        <f>SUM(J619:U619)</f>
        <v/>
      </c>
      <c r="W619" s="2" t="n"/>
      <c r="X619" s="2" t="n"/>
      <c r="Y619" s="2" t="n"/>
      <c r="Z619" s="2" t="n"/>
      <c r="AA619" s="2" t="n">
        <v>288</v>
      </c>
      <c r="AB619" s="2" t="n"/>
      <c r="AC619" s="2" t="n">
        <v>288</v>
      </c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>
        <f>IF(F619=1,V619*2,IF(F619=2,V619*F619*2,IF(F619&gt;2,F619*2*V619)))</f>
        <v/>
      </c>
      <c r="AW619" s="2">
        <f>SUM(W619:AU619)</f>
        <v/>
      </c>
    </row>
    <row r="620">
      <c r="A620" s="2" t="inlineStr">
        <is>
          <t>14-M-039</t>
        </is>
      </c>
      <c r="B620" s="3" t="inlineStr">
        <is>
          <t>MOJC-SM-12C-SC/PC-SC/APC</t>
        </is>
      </c>
      <c r="C620" s="2" t="inlineStr">
        <is>
          <t>15M</t>
        </is>
      </c>
      <c r="D620" s="2" t="inlineStr">
        <is>
          <t>b3-12c</t>
        </is>
      </c>
      <c r="E620" s="2" t="inlineStr">
        <is>
          <t>2.0mm</t>
        </is>
      </c>
      <c r="F620" s="2" t="n">
        <v>12</v>
      </c>
      <c r="G620" s="2" t="n">
        <v>15</v>
      </c>
      <c r="H620" s="2" t="inlineStr">
        <is>
          <t>SC/PC</t>
        </is>
      </c>
      <c r="I620" s="2" t="inlineStr">
        <is>
          <t>SC/APC</t>
        </is>
      </c>
      <c r="J620" s="2" t="n"/>
      <c r="K620" s="2" t="n"/>
      <c r="L620" s="2" t="n"/>
      <c r="M620" s="2" t="n"/>
      <c r="N620" s="2" t="n"/>
      <c r="O620" s="2" t="n">
        <v>3</v>
      </c>
      <c r="P620" s="2" t="n"/>
      <c r="Q620" s="2" t="n"/>
      <c r="R620" s="2" t="n"/>
      <c r="S620" s="2" t="n"/>
      <c r="T620" s="2" t="n"/>
      <c r="U620" s="2" t="n"/>
      <c r="V620" s="2">
        <f>SUM(J620:U620)</f>
        <v/>
      </c>
      <c r="W620" s="2" t="n"/>
      <c r="X620" s="2" t="n"/>
      <c r="Y620" s="2" t="n"/>
      <c r="Z620" s="2" t="n"/>
      <c r="AA620" s="2" t="n">
        <v>36</v>
      </c>
      <c r="AB620" s="2" t="n"/>
      <c r="AC620" s="2" t="n">
        <v>36</v>
      </c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>
        <f>IF(F620=1,V620*2,IF(F620=2,V620*F620*2,IF(F620&gt;2,F620*2*V620)))</f>
        <v/>
      </c>
      <c r="AW620" s="2">
        <f>SUM(W620:AU620)</f>
        <v/>
      </c>
    </row>
    <row r="621">
      <c r="A621" s="2" t="inlineStr">
        <is>
          <t>14-M-043</t>
        </is>
      </c>
      <c r="B621" s="3" t="inlineStr">
        <is>
          <t>MOJC-SM-12C-SC/PC-SC/PC</t>
        </is>
      </c>
      <c r="C621" s="2" t="inlineStr">
        <is>
          <t>10M</t>
        </is>
      </c>
      <c r="D621" s="2" t="inlineStr">
        <is>
          <t>b3-12c</t>
        </is>
      </c>
      <c r="E621" s="2" t="inlineStr">
        <is>
          <t>2.0mm</t>
        </is>
      </c>
      <c r="F621" s="2" t="n">
        <v>12</v>
      </c>
      <c r="G621" s="2" t="n">
        <v>10</v>
      </c>
      <c r="H621" s="2" t="inlineStr">
        <is>
          <t>SC/PC</t>
        </is>
      </c>
      <c r="I621" s="2" t="inlineStr">
        <is>
          <t>SC/PC</t>
        </is>
      </c>
      <c r="J621" s="2" t="n">
        <v>35</v>
      </c>
      <c r="K621" s="2" t="n">
        <v>50</v>
      </c>
      <c r="L621" s="2" t="n"/>
      <c r="M621" s="2" t="n"/>
      <c r="N621" s="2" t="n">
        <v>5</v>
      </c>
      <c r="O621" s="2" t="n">
        <v>15</v>
      </c>
      <c r="P621" s="2" t="n">
        <v>22</v>
      </c>
      <c r="Q621" s="2" t="n">
        <v>25</v>
      </c>
      <c r="R621" s="2" t="n"/>
      <c r="S621" s="2" t="n">
        <v>27</v>
      </c>
      <c r="T621" s="2" t="n"/>
      <c r="U621" s="2" t="n">
        <v>58</v>
      </c>
      <c r="V621" s="2">
        <f>SUM(J621:U621)</f>
        <v/>
      </c>
      <c r="W621" s="2" t="n"/>
      <c r="X621" s="2" t="n"/>
      <c r="Y621" s="2" t="n"/>
      <c r="Z621" s="2" t="n"/>
      <c r="AA621" s="2" t="n">
        <v>5688</v>
      </c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>
        <f>IF(F621=1,V621*2,IF(F621=2,V621*F621*2,IF(F621&gt;2,F621*2*V621)))</f>
        <v/>
      </c>
      <c r="AW621" s="2">
        <f>SUM(W621:AU621)</f>
        <v/>
      </c>
    </row>
    <row r="622">
      <c r="A622" s="2" t="inlineStr">
        <is>
          <t>14-M-044</t>
        </is>
      </c>
      <c r="B622" s="3" t="inlineStr">
        <is>
          <t>MOJC-SM-12C-SC/PC-SC/PC</t>
        </is>
      </c>
      <c r="C622" s="2" t="inlineStr">
        <is>
          <t>12M</t>
        </is>
      </c>
      <c r="D622" s="2" t="inlineStr">
        <is>
          <t>b3-12c</t>
        </is>
      </c>
      <c r="E622" s="2" t="inlineStr">
        <is>
          <t>2.0mm</t>
        </is>
      </c>
      <c r="F622" s="2" t="n">
        <v>12</v>
      </c>
      <c r="G622" s="2" t="n">
        <v>12</v>
      </c>
      <c r="H622" s="2" t="inlineStr">
        <is>
          <t>SC/PC</t>
        </is>
      </c>
      <c r="I622" s="2" t="inlineStr">
        <is>
          <t>SC/PC</t>
        </is>
      </c>
      <c r="J622" s="2" t="n"/>
      <c r="K622" s="2" t="n"/>
      <c r="L622" s="2" t="n">
        <v>20</v>
      </c>
      <c r="M622" s="2" t="n"/>
      <c r="N622" s="2" t="n">
        <v>43</v>
      </c>
      <c r="O622" s="2" t="n"/>
      <c r="P622" s="2" t="n"/>
      <c r="Q622" s="2" t="n">
        <v>3</v>
      </c>
      <c r="R622" s="2" t="n"/>
      <c r="S622" s="2" t="n"/>
      <c r="T622" s="2" t="n"/>
      <c r="U622" s="2" t="n"/>
      <c r="V622" s="2">
        <f>SUM(J622:U622)</f>
        <v/>
      </c>
      <c r="W622" s="2" t="n"/>
      <c r="X622" s="2" t="n"/>
      <c r="Y622" s="2" t="n"/>
      <c r="Z622" s="2" t="n"/>
      <c r="AA622" s="2" t="n">
        <v>1584</v>
      </c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>
        <f>IF(F622=1,V622*2,IF(F622=2,V622*F622*2,IF(F622&gt;2,F622*2*V622)))</f>
        <v/>
      </c>
      <c r="AW622" s="2">
        <f>SUM(W622:AU622)</f>
        <v/>
      </c>
    </row>
    <row r="623">
      <c r="A623" s="2" t="inlineStr">
        <is>
          <t>14-M-045</t>
        </is>
      </c>
      <c r="B623" s="3" t="inlineStr">
        <is>
          <t>MOJC-SM-12C-SC/PC-SC/PC</t>
        </is>
      </c>
      <c r="C623" s="2" t="inlineStr">
        <is>
          <t>15M</t>
        </is>
      </c>
      <c r="D623" s="2" t="inlineStr">
        <is>
          <t>b3-12c</t>
        </is>
      </c>
      <c r="E623" s="2" t="inlineStr">
        <is>
          <t>2.0mm</t>
        </is>
      </c>
      <c r="F623" s="2" t="n">
        <v>12</v>
      </c>
      <c r="G623" s="2" t="n">
        <v>15</v>
      </c>
      <c r="H623" s="2" t="inlineStr">
        <is>
          <t>SC/PC</t>
        </is>
      </c>
      <c r="I623" s="2" t="inlineStr">
        <is>
          <t>SC/PC</t>
        </is>
      </c>
      <c r="J623" s="2" t="n"/>
      <c r="K623" s="2" t="n"/>
      <c r="L623" s="2" t="n"/>
      <c r="M623" s="2" t="n"/>
      <c r="N623" s="2" t="n"/>
      <c r="O623" s="2" t="n"/>
      <c r="P623" s="2" t="n">
        <v>1</v>
      </c>
      <c r="Q623" s="2" t="n">
        <v>8</v>
      </c>
      <c r="R623" s="2" t="n"/>
      <c r="S623" s="2" t="n"/>
      <c r="T623" s="2" t="n"/>
      <c r="U623" s="2" t="n"/>
      <c r="V623" s="2">
        <f>SUM(J623:U623)</f>
        <v/>
      </c>
      <c r="W623" s="2" t="n"/>
      <c r="X623" s="2" t="n"/>
      <c r="Y623" s="2" t="n"/>
      <c r="Z623" s="2" t="n"/>
      <c r="AA623" s="2" t="n">
        <v>216</v>
      </c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>
        <f>IF(F623=1,V623*2,IF(F623=2,V623*F623*2,IF(F623&gt;2,F623*2*V623)))</f>
        <v/>
      </c>
      <c r="AW623" s="2">
        <f>SUM(W623:AU623)</f>
        <v/>
      </c>
    </row>
    <row r="624">
      <c r="A624" s="2" t="inlineStr">
        <is>
          <t>14-M-048</t>
        </is>
      </c>
      <c r="B624" s="3" t="inlineStr">
        <is>
          <t>MOJC-SM-12C-SC/PC-SC/PC</t>
        </is>
      </c>
      <c r="C624" s="2" t="inlineStr">
        <is>
          <t>20M</t>
        </is>
      </c>
      <c r="D624" s="2" t="inlineStr">
        <is>
          <t>b3-12c</t>
        </is>
      </c>
      <c r="E624" s="2" t="inlineStr">
        <is>
          <t>2.0mm</t>
        </is>
      </c>
      <c r="F624" s="2" t="n">
        <v>12</v>
      </c>
      <c r="G624" s="2" t="n">
        <v>20</v>
      </c>
      <c r="H624" s="2" t="inlineStr">
        <is>
          <t>SC/PC</t>
        </is>
      </c>
      <c r="I624" s="2" t="inlineStr">
        <is>
          <t>SC/PC</t>
        </is>
      </c>
      <c r="J624" s="2" t="n"/>
      <c r="K624" s="2" t="n"/>
      <c r="L624" s="2" t="n"/>
      <c r="M624" s="2" t="n"/>
      <c r="N624" s="2" t="n"/>
      <c r="O624" s="2" t="n"/>
      <c r="P624" s="2" t="n"/>
      <c r="Q624" s="2" t="n">
        <v>3</v>
      </c>
      <c r="R624" s="2" t="n"/>
      <c r="S624" s="2" t="n"/>
      <c r="T624" s="2" t="n"/>
      <c r="U624" s="2" t="n"/>
      <c r="V624" s="2">
        <f>SUM(J624:U624)</f>
        <v/>
      </c>
      <c r="W624" s="2" t="n"/>
      <c r="X624" s="2" t="n"/>
      <c r="Y624" s="2" t="n"/>
      <c r="Z624" s="2" t="n"/>
      <c r="AA624" s="2" t="n">
        <v>72</v>
      </c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>
        <f>IF(F624=1,V624*2,IF(F624=2,V624*F624*2,IF(F624&gt;2,F624*2*V624)))</f>
        <v/>
      </c>
      <c r="AW624" s="2">
        <f>SUM(W624:AU624)</f>
        <v/>
      </c>
    </row>
    <row r="625">
      <c r="A625" s="2" t="inlineStr">
        <is>
          <t>14-M-052</t>
        </is>
      </c>
      <c r="B625" s="3" t="inlineStr">
        <is>
          <t>MOJC-SM-12C-SC/PC-SC/PC</t>
        </is>
      </c>
      <c r="C625" s="2" t="inlineStr">
        <is>
          <t>5M</t>
        </is>
      </c>
      <c r="D625" s="2" t="inlineStr">
        <is>
          <t>b3-12c</t>
        </is>
      </c>
      <c r="E625" s="2" t="inlineStr">
        <is>
          <t>2.0mm</t>
        </is>
      </c>
      <c r="F625" s="2" t="n">
        <v>12</v>
      </c>
      <c r="G625" s="2" t="n">
        <v>5</v>
      </c>
      <c r="H625" s="2" t="inlineStr">
        <is>
          <t>SC/PC</t>
        </is>
      </c>
      <c r="I625" s="2" t="inlineStr">
        <is>
          <t>SC/PC</t>
        </is>
      </c>
      <c r="J625" s="2" t="n"/>
      <c r="K625" s="2" t="n">
        <v>64</v>
      </c>
      <c r="L625" s="2" t="n"/>
      <c r="M625" s="2" t="n"/>
      <c r="N625" s="2" t="n"/>
      <c r="O625" s="2" t="n"/>
      <c r="P625" s="2" t="n"/>
      <c r="Q625" s="2" t="n">
        <v>22</v>
      </c>
      <c r="R625" s="2" t="n"/>
      <c r="S625" s="2" t="n"/>
      <c r="T625" s="2" t="n"/>
      <c r="U625" s="2" t="n"/>
      <c r="V625" s="2">
        <f>SUM(J625:U625)</f>
        <v/>
      </c>
      <c r="W625" s="2" t="n"/>
      <c r="X625" s="2" t="n"/>
      <c r="Y625" s="2" t="n"/>
      <c r="Z625" s="2" t="n"/>
      <c r="AA625" s="2" t="n">
        <v>2064</v>
      </c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>
        <f>IF(F625=1,V625*2,IF(F625=2,V625*F625*2,IF(F625&gt;2,F625*2*V625)))</f>
        <v/>
      </c>
      <c r="AW625" s="2">
        <f>SUM(W625:AU625)</f>
        <v/>
      </c>
    </row>
    <row r="626">
      <c r="A626" s="2" t="inlineStr">
        <is>
          <t>14-M-053</t>
        </is>
      </c>
      <c r="B626" s="3" t="inlineStr">
        <is>
          <t>MOJC-SM-12C-SC/PC-SC/PC</t>
        </is>
      </c>
      <c r="C626" s="2" t="inlineStr">
        <is>
          <t>7M</t>
        </is>
      </c>
      <c r="D626" s="2" t="inlineStr">
        <is>
          <t>b3-12c</t>
        </is>
      </c>
      <c r="E626" s="2" t="inlineStr">
        <is>
          <t>2.0mm</t>
        </is>
      </c>
      <c r="F626" s="2" t="n">
        <v>12</v>
      </c>
      <c r="G626" s="2" t="n">
        <v>7</v>
      </c>
      <c r="H626" s="2" t="inlineStr">
        <is>
          <t>SC/PC</t>
        </is>
      </c>
      <c r="I626" s="2" t="inlineStr">
        <is>
          <t>SC/PC</t>
        </is>
      </c>
      <c r="J626" s="2" t="n">
        <v>20</v>
      </c>
      <c r="K626" s="2" t="n"/>
      <c r="L626" s="2" t="n"/>
      <c r="M626" s="2" t="n"/>
      <c r="N626" s="2" t="n"/>
      <c r="O626" s="2" t="n">
        <v>58</v>
      </c>
      <c r="P626" s="2" t="n"/>
      <c r="Q626" s="2" t="n"/>
      <c r="R626" s="2" t="n"/>
      <c r="S626" s="2" t="n"/>
      <c r="T626" s="2" t="n"/>
      <c r="U626" s="2" t="n"/>
      <c r="V626" s="2">
        <f>SUM(J626:U626)</f>
        <v/>
      </c>
      <c r="W626" s="2" t="n"/>
      <c r="X626" s="2" t="n"/>
      <c r="Y626" s="2" t="n"/>
      <c r="Z626" s="2" t="n"/>
      <c r="AA626" s="2" t="n">
        <v>1872</v>
      </c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>
        <f>IF(F626=1,V626*2,IF(F626=2,V626*F626*2,IF(F626&gt;2,F626*2*V626)))</f>
        <v/>
      </c>
      <c r="AW626" s="2">
        <f>SUM(W626:AU626)</f>
        <v/>
      </c>
    </row>
    <row r="627">
      <c r="A627" s="2" t="inlineStr">
        <is>
          <t>14-M-054</t>
        </is>
      </c>
      <c r="B627" s="3" t="inlineStr">
        <is>
          <t>MOJC-SM-12C-SC/PC-SC/PC</t>
        </is>
      </c>
      <c r="C627" s="2" t="inlineStr">
        <is>
          <t>8M</t>
        </is>
      </c>
      <c r="D627" s="2" t="inlineStr">
        <is>
          <t>b3-12c</t>
        </is>
      </c>
      <c r="E627" s="2" t="inlineStr">
        <is>
          <t>2.0mm</t>
        </is>
      </c>
      <c r="F627" s="2" t="n">
        <v>12</v>
      </c>
      <c r="G627" s="2" t="n">
        <v>8</v>
      </c>
      <c r="H627" s="2" t="inlineStr">
        <is>
          <t>SC/PC</t>
        </is>
      </c>
      <c r="I627" s="2" t="inlineStr">
        <is>
          <t>SC/PC</t>
        </is>
      </c>
      <c r="J627" s="2" t="n"/>
      <c r="K627" s="2" t="n"/>
      <c r="L627" s="2" t="n"/>
      <c r="M627" s="2" t="n"/>
      <c r="N627" s="2" t="n">
        <v>109</v>
      </c>
      <c r="O627" s="2" t="n"/>
      <c r="P627" s="2" t="n"/>
      <c r="Q627" s="2" t="n">
        <v>21</v>
      </c>
      <c r="R627" s="2" t="n"/>
      <c r="S627" s="2" t="n"/>
      <c r="T627" s="2" t="n"/>
      <c r="U627" s="2" t="n">
        <v>90</v>
      </c>
      <c r="V627" s="2">
        <f>SUM(J627:U627)</f>
        <v/>
      </c>
      <c r="W627" s="2" t="n"/>
      <c r="X627" s="2" t="n"/>
      <c r="Y627" s="2" t="n"/>
      <c r="Z627" s="2" t="n"/>
      <c r="AA627" s="2" t="n">
        <v>5280</v>
      </c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>
        <f>IF(F627=1,V627*2,IF(F627=2,V627*F627*2,IF(F627&gt;2,F627*2*V627)))</f>
        <v/>
      </c>
      <c r="AW627" s="2">
        <f>SUM(W627:AU627)</f>
        <v/>
      </c>
    </row>
    <row r="628">
      <c r="A628" s="2" t="inlineStr">
        <is>
          <t>14-M-077</t>
        </is>
      </c>
      <c r="B628" s="3" t="inlineStr">
        <is>
          <t>MOJC-SM-6C-SC/PC-SC/PC</t>
        </is>
      </c>
      <c r="C628" s="2" t="inlineStr">
        <is>
          <t>10M</t>
        </is>
      </c>
      <c r="D628" s="2" t="inlineStr">
        <is>
          <t>b3-6c</t>
        </is>
      </c>
      <c r="E628" s="2" t="inlineStr">
        <is>
          <t>2.0mm</t>
        </is>
      </c>
      <c r="F628" s="2" t="n">
        <v>6</v>
      </c>
      <c r="G628" s="2" t="n">
        <v>10</v>
      </c>
      <c r="H628" s="2" t="inlineStr">
        <is>
          <t>SC/PC</t>
        </is>
      </c>
      <c r="I628" s="2" t="inlineStr">
        <is>
          <t>SC/PC</t>
        </is>
      </c>
      <c r="J628" s="2" t="n">
        <v>32</v>
      </c>
      <c r="K628" s="2" t="n"/>
      <c r="L628" s="2" t="n"/>
      <c r="M628" s="2" t="n">
        <v>10</v>
      </c>
      <c r="N628" s="2" t="n"/>
      <c r="O628" s="2" t="n"/>
      <c r="P628" s="2" t="n"/>
      <c r="Q628" s="2" t="n">
        <v>25</v>
      </c>
      <c r="R628" s="2" t="n"/>
      <c r="S628" s="2" t="n"/>
      <c r="T628" s="2" t="n"/>
      <c r="U628" s="2" t="n">
        <v>20</v>
      </c>
      <c r="V628" s="2">
        <f>SUM(J628:U628)</f>
        <v/>
      </c>
      <c r="W628" s="2" t="n"/>
      <c r="X628" s="2" t="n"/>
      <c r="Y628" s="2" t="n"/>
      <c r="Z628" s="2" t="n"/>
      <c r="AA628" s="2" t="n">
        <v>1044</v>
      </c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>
        <f>IF(F628=1,V628*2,IF(F628=2,V628*F628*2,IF(F628&gt;2,F628*2*V628)))</f>
        <v/>
      </c>
      <c r="AW628" s="2">
        <f>SUM(W628:AU628)</f>
        <v/>
      </c>
    </row>
    <row r="629">
      <c r="A629" s="2" t="inlineStr">
        <is>
          <t>14-M-078</t>
        </is>
      </c>
      <c r="B629" s="3" t="inlineStr">
        <is>
          <t>MOJC-SM-6C-SC/PC-SC/PC</t>
        </is>
      </c>
      <c r="C629" s="2" t="inlineStr">
        <is>
          <t>12M</t>
        </is>
      </c>
      <c r="D629" s="2" t="inlineStr">
        <is>
          <t>b3-6c</t>
        </is>
      </c>
      <c r="E629" s="2" t="inlineStr">
        <is>
          <t>2.0mm</t>
        </is>
      </c>
      <c r="F629" s="2" t="n">
        <v>6</v>
      </c>
      <c r="G629" s="2" t="n">
        <v>12</v>
      </c>
      <c r="H629" s="2" t="inlineStr">
        <is>
          <t>SC/PC</t>
        </is>
      </c>
      <c r="I629" s="2" t="inlineStr">
        <is>
          <t>SC/PC</t>
        </is>
      </c>
      <c r="J629" s="2" t="n"/>
      <c r="K629" s="2" t="n"/>
      <c r="L629" s="2" t="n"/>
      <c r="M629" s="2" t="n"/>
      <c r="N629" s="2" t="n">
        <v>15</v>
      </c>
      <c r="O629" s="2" t="n"/>
      <c r="P629" s="2" t="n"/>
      <c r="Q629" s="2" t="n"/>
      <c r="R629" s="2" t="n"/>
      <c r="S629" s="2" t="n"/>
      <c r="T629" s="2" t="n"/>
      <c r="U629" s="2" t="n"/>
      <c r="V629" s="2">
        <f>SUM(J629:U629)</f>
        <v/>
      </c>
      <c r="W629" s="2" t="n"/>
      <c r="X629" s="2" t="n"/>
      <c r="Y629" s="2" t="n"/>
      <c r="Z629" s="2" t="n"/>
      <c r="AA629" s="2" t="n">
        <v>180</v>
      </c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>
        <f>IF(F629=1,V629*2,IF(F629=2,V629*F629*2,IF(F629&gt;2,F629*2*V629)))</f>
        <v/>
      </c>
      <c r="AW629" s="2">
        <f>SUM(W629:AU629)</f>
        <v/>
      </c>
    </row>
    <row r="630">
      <c r="A630" s="2" t="inlineStr">
        <is>
          <t>14-M-079</t>
        </is>
      </c>
      <c r="B630" s="3" t="inlineStr">
        <is>
          <t>MOJC-SM-6C-SC/PC-SC/PC</t>
        </is>
      </c>
      <c r="C630" s="2" t="inlineStr">
        <is>
          <t>15M</t>
        </is>
      </c>
      <c r="D630" s="2" t="inlineStr">
        <is>
          <t>b3-6c</t>
        </is>
      </c>
      <c r="E630" s="2" t="inlineStr">
        <is>
          <t>2.0mm</t>
        </is>
      </c>
      <c r="F630" s="2" t="n">
        <v>6</v>
      </c>
      <c r="G630" s="2" t="n">
        <v>15</v>
      </c>
      <c r="H630" s="2" t="inlineStr">
        <is>
          <t>SC/PC</t>
        </is>
      </c>
      <c r="I630" s="2" t="inlineStr">
        <is>
          <t>SC/PC</t>
        </is>
      </c>
      <c r="J630" s="2" t="n">
        <v>5</v>
      </c>
      <c r="K630" s="2" t="n"/>
      <c r="L630" s="2" t="n">
        <v>1</v>
      </c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>
        <v>10</v>
      </c>
      <c r="V630" s="2">
        <f>SUM(J630:U630)</f>
        <v/>
      </c>
      <c r="W630" s="2" t="n"/>
      <c r="X630" s="2" t="n"/>
      <c r="Y630" s="2" t="n"/>
      <c r="Z630" s="2" t="n"/>
      <c r="AA630" s="2" t="n">
        <v>192</v>
      </c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>
        <f>IF(F630=1,V630*2,IF(F630=2,V630*F630*2,IF(F630&gt;2,F630*2*V630)))</f>
        <v/>
      </c>
      <c r="AW630" s="2">
        <f>SUM(W630:AU630)</f>
        <v/>
      </c>
    </row>
    <row r="631">
      <c r="A631" s="2" t="inlineStr">
        <is>
          <t>14-M-082</t>
        </is>
      </c>
      <c r="B631" s="3" t="inlineStr">
        <is>
          <t>MOJC-SM-6C-SC/PC-SC/PC</t>
        </is>
      </c>
      <c r="C631" s="2" t="inlineStr">
        <is>
          <t>20M</t>
        </is>
      </c>
      <c r="D631" s="2" t="inlineStr">
        <is>
          <t>b3-6c</t>
        </is>
      </c>
      <c r="E631" s="2" t="inlineStr">
        <is>
          <t>2.0mm</t>
        </is>
      </c>
      <c r="F631" s="2" t="n">
        <v>6</v>
      </c>
      <c r="G631" s="2" t="n">
        <v>20</v>
      </c>
      <c r="H631" s="2" t="inlineStr">
        <is>
          <t>SC/PC</t>
        </is>
      </c>
      <c r="I631" s="2" t="inlineStr">
        <is>
          <t>SC/PC</t>
        </is>
      </c>
      <c r="J631" s="2" t="n"/>
      <c r="K631" s="2" t="n"/>
      <c r="L631" s="2" t="n">
        <v>20</v>
      </c>
      <c r="M631" s="2" t="n"/>
      <c r="N631" s="2" t="n"/>
      <c r="O631" s="2" t="n"/>
      <c r="P631" s="2" t="n">
        <v>10</v>
      </c>
      <c r="Q631" s="2" t="n"/>
      <c r="R631" s="2" t="n"/>
      <c r="S631" s="2" t="n"/>
      <c r="T631" s="2" t="n"/>
      <c r="U631" s="2" t="n"/>
      <c r="V631" s="2">
        <f>SUM(J631:U631)</f>
        <v/>
      </c>
      <c r="W631" s="2" t="n"/>
      <c r="X631" s="2" t="n"/>
      <c r="Y631" s="2" t="n"/>
      <c r="Z631" s="2" t="n"/>
      <c r="AA631" s="2" t="n">
        <v>360</v>
      </c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>
        <f>IF(F631=1,V631*2,IF(F631=2,V631*F631*2,IF(F631&gt;2,F631*2*V631)))</f>
        <v/>
      </c>
      <c r="AW631" s="2">
        <f>SUM(W631:AU631)</f>
        <v/>
      </c>
    </row>
    <row r="632">
      <c r="A632" s="2" t="inlineStr">
        <is>
          <t>14-M-084</t>
        </is>
      </c>
      <c r="B632" s="3" t="inlineStr">
        <is>
          <t>MOJC-SM-6C-SC/PC-SC/PC</t>
        </is>
      </c>
      <c r="C632" s="2" t="inlineStr">
        <is>
          <t>5M</t>
        </is>
      </c>
      <c r="D632" s="2" t="inlineStr">
        <is>
          <t>b3-6c</t>
        </is>
      </c>
      <c r="E632" s="2" t="inlineStr">
        <is>
          <t>2.0mm</t>
        </is>
      </c>
      <c r="F632" s="2" t="n">
        <v>6</v>
      </c>
      <c r="G632" s="2" t="n">
        <v>5</v>
      </c>
      <c r="H632" s="2" t="inlineStr">
        <is>
          <t>SC/PC</t>
        </is>
      </c>
      <c r="I632" s="2" t="inlineStr">
        <is>
          <t>SC/PC</t>
        </is>
      </c>
      <c r="J632" s="2" t="n"/>
      <c r="K632" s="2" t="n">
        <v>57</v>
      </c>
      <c r="L632" s="2" t="n"/>
      <c r="M632" s="2" t="n"/>
      <c r="N632" s="2" t="n"/>
      <c r="O632" s="2" t="n"/>
      <c r="P632" s="2" t="n">
        <v>2</v>
      </c>
      <c r="Q632" s="2" t="n"/>
      <c r="R632" s="2" t="n"/>
      <c r="S632" s="2" t="n"/>
      <c r="T632" s="2" t="n"/>
      <c r="U632" s="2" t="n"/>
      <c r="V632" s="2">
        <f>SUM(J632:U632)</f>
        <v/>
      </c>
      <c r="W632" s="2" t="n"/>
      <c r="X632" s="2" t="n"/>
      <c r="Y632" s="2" t="n"/>
      <c r="Z632" s="2" t="n"/>
      <c r="AA632" s="2" t="n">
        <v>708</v>
      </c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>
        <f>IF(F632=1,V632*2,IF(F632=2,V632*F632*2,IF(F632&gt;2,F632*2*V632)))</f>
        <v/>
      </c>
      <c r="AW632" s="2">
        <f>SUM(W632:AU632)</f>
        <v/>
      </c>
    </row>
    <row r="633">
      <c r="A633" s="2" t="inlineStr">
        <is>
          <t>14-M-085</t>
        </is>
      </c>
      <c r="B633" s="3" t="inlineStr">
        <is>
          <t>MOJC-SM-6C-SC/PC-SC/PC</t>
        </is>
      </c>
      <c r="C633" s="2" t="inlineStr">
        <is>
          <t>7M</t>
        </is>
      </c>
      <c r="D633" s="2" t="inlineStr">
        <is>
          <t>b3-6c</t>
        </is>
      </c>
      <c r="E633" s="2" t="inlineStr">
        <is>
          <t>2.0mm</t>
        </is>
      </c>
      <c r="F633" s="2" t="n">
        <v>6</v>
      </c>
      <c r="G633" s="2" t="n">
        <v>7</v>
      </c>
      <c r="H633" s="2" t="inlineStr">
        <is>
          <t>SC/PC</t>
        </is>
      </c>
      <c r="I633" s="2" t="inlineStr">
        <is>
          <t>SC/PC</t>
        </is>
      </c>
      <c r="J633" s="2" t="n">
        <v>22</v>
      </c>
      <c r="K633" s="2" t="n"/>
      <c r="L633" s="2" t="n">
        <v>5</v>
      </c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>
        <f>SUM(J633:U633)</f>
        <v/>
      </c>
      <c r="W633" s="2" t="n"/>
      <c r="X633" s="2" t="n"/>
      <c r="Y633" s="2" t="n"/>
      <c r="Z633" s="2" t="n"/>
      <c r="AA633" s="2" t="n">
        <v>324</v>
      </c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>
        <f>IF(F633=1,V633*2,IF(F633=2,V633*F633*2,IF(F633&gt;2,F633*2*V633)))</f>
        <v/>
      </c>
      <c r="AW633" s="2">
        <f>SUM(W633:AU633)</f>
        <v/>
      </c>
    </row>
    <row r="634">
      <c r="A634" s="2" t="inlineStr">
        <is>
          <t>14-M-093</t>
        </is>
      </c>
      <c r="B634" s="3" t="inlineStr">
        <is>
          <t>MOJC-SM-6C-SC/PC-SC/PC</t>
        </is>
      </c>
      <c r="C634" s="2" t="inlineStr">
        <is>
          <t>8M</t>
        </is>
      </c>
      <c r="D634" s="2" t="inlineStr">
        <is>
          <t>b3-6c</t>
        </is>
      </c>
      <c r="E634" s="2" t="inlineStr">
        <is>
          <t>2.0mm</t>
        </is>
      </c>
      <c r="F634" s="2" t="n">
        <v>6</v>
      </c>
      <c r="G634" s="2" t="n">
        <v>8</v>
      </c>
      <c r="H634" s="2" t="inlineStr">
        <is>
          <t>SC/PC</t>
        </is>
      </c>
      <c r="I634" s="2" t="inlineStr">
        <is>
          <t>SC/PC</t>
        </is>
      </c>
      <c r="J634" s="2" t="n"/>
      <c r="K634" s="2" t="n"/>
      <c r="L634" s="2" t="n"/>
      <c r="M634" s="2" t="n"/>
      <c r="N634" s="2" t="n">
        <v>74</v>
      </c>
      <c r="O634" s="2" t="n"/>
      <c r="P634" s="2" t="n"/>
      <c r="Q634" s="2" t="n"/>
      <c r="R634" s="2" t="n"/>
      <c r="S634" s="2" t="n"/>
      <c r="T634" s="2" t="n"/>
      <c r="U634" s="2" t="n"/>
      <c r="V634" s="2">
        <f>SUM(J634:U634)</f>
        <v/>
      </c>
      <c r="W634" s="2" t="n"/>
      <c r="X634" s="2" t="n"/>
      <c r="Y634" s="2" t="n"/>
      <c r="Z634" s="2" t="n"/>
      <c r="AA634" s="2" t="n">
        <v>888</v>
      </c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>
        <f>IF(F634=1,V634*2,IF(F634=2,V634*F634*2,IF(F634&gt;2,F634*2*V634)))</f>
        <v/>
      </c>
      <c r="AW634" s="2">
        <f>SUM(W634:AU634)</f>
        <v/>
      </c>
    </row>
    <row r="635">
      <c r="A635" s="2" t="inlineStr">
        <is>
          <t>14-M-096</t>
        </is>
      </c>
      <c r="B635" s="3" t="inlineStr">
        <is>
          <t>MOJC-SM-12C-SC/PC-SC/APC</t>
        </is>
      </c>
      <c r="C635" s="2" t="inlineStr">
        <is>
          <t>8M</t>
        </is>
      </c>
      <c r="D635" s="2" t="inlineStr">
        <is>
          <t>b3-12c</t>
        </is>
      </c>
      <c r="E635" s="2" t="inlineStr">
        <is>
          <t>2.0mm</t>
        </is>
      </c>
      <c r="F635" s="2" t="n">
        <v>12</v>
      </c>
      <c r="G635" s="2" t="n">
        <v>8</v>
      </c>
      <c r="H635" s="2" t="inlineStr">
        <is>
          <t>SC/PC</t>
        </is>
      </c>
      <c r="I635" s="2" t="inlineStr">
        <is>
          <t>SC/APC</t>
        </is>
      </c>
      <c r="J635" s="2" t="n"/>
      <c r="K635" s="2" t="n"/>
      <c r="L635" s="2" t="n"/>
      <c r="M635" s="2" t="n"/>
      <c r="N635" s="2" t="n"/>
      <c r="O635" s="2" t="n">
        <v>54</v>
      </c>
      <c r="P635" s="2" t="n"/>
      <c r="Q635" s="2" t="n"/>
      <c r="R635" s="2" t="n"/>
      <c r="S635" s="2" t="n"/>
      <c r="T635" s="2" t="n"/>
      <c r="U635" s="2" t="n"/>
      <c r="V635" s="2">
        <f>SUM(J635:U635)</f>
        <v/>
      </c>
      <c r="W635" s="2" t="n"/>
      <c r="X635" s="2" t="n"/>
      <c r="Y635" s="2" t="n"/>
      <c r="Z635" s="2" t="n"/>
      <c r="AA635" s="2" t="n">
        <v>648</v>
      </c>
      <c r="AB635" s="2" t="n"/>
      <c r="AC635" s="2" t="n">
        <v>648</v>
      </c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>
        <f>IF(F635=1,V635*2,IF(F635=2,V635*F635*2,IF(F635&gt;2,F635*2*V635)))</f>
        <v/>
      </c>
      <c r="AW635" s="2">
        <f>SUM(W635:AU635)</f>
        <v/>
      </c>
    </row>
    <row r="636">
      <c r="A636" s="2" t="inlineStr">
        <is>
          <t>14-M-102</t>
        </is>
      </c>
      <c r="B636" s="3" t="inlineStr">
        <is>
          <t>MOJC-SM-12C-SC/PC-SC/PC</t>
        </is>
      </c>
      <c r="C636" s="2" t="inlineStr">
        <is>
          <t>6M</t>
        </is>
      </c>
      <c r="D636" s="2" t="inlineStr">
        <is>
          <t>b3-12c</t>
        </is>
      </c>
      <c r="E636" s="2" t="inlineStr">
        <is>
          <t>2.0mm</t>
        </is>
      </c>
      <c r="F636" s="2" t="n">
        <v>12</v>
      </c>
      <c r="G636" s="2" t="n">
        <v>6</v>
      </c>
      <c r="H636" s="2" t="inlineStr">
        <is>
          <t>SC/PC</t>
        </is>
      </c>
      <c r="I636" s="2" t="inlineStr">
        <is>
          <t>SC/PC</t>
        </is>
      </c>
      <c r="J636" s="2" t="n"/>
      <c r="K636" s="2" t="n"/>
      <c r="L636" s="2" t="n"/>
      <c r="M636" s="2" t="n"/>
      <c r="N636" s="2" t="n"/>
      <c r="O636" s="2" t="n"/>
      <c r="P636" s="2" t="n">
        <v>71</v>
      </c>
      <c r="Q636" s="2" t="n"/>
      <c r="R636" s="2" t="n"/>
      <c r="S636" s="2" t="n"/>
      <c r="T636" s="2" t="n"/>
      <c r="U636" s="2" t="n"/>
      <c r="V636" s="2">
        <f>SUM(J636:U636)</f>
        <v/>
      </c>
      <c r="W636" s="2" t="n"/>
      <c r="X636" s="2" t="n"/>
      <c r="Y636" s="2" t="n"/>
      <c r="Z636" s="2" t="n"/>
      <c r="AA636" s="2" t="n">
        <v>1704</v>
      </c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>
        <f>IF(F636=1,V636*2,IF(F636=2,V636*F636*2,IF(F636&gt;2,F636*2*V636)))</f>
        <v/>
      </c>
      <c r="AW636" s="2">
        <f>SUM(W636:AU636)</f>
        <v/>
      </c>
    </row>
    <row r="637">
      <c r="A637" s="2" t="inlineStr">
        <is>
          <t>14-M-1024</t>
        </is>
      </c>
      <c r="B637" s="3" t="inlineStr">
        <is>
          <t>MOJC-SM-6C-SC/APC-SC/APC</t>
        </is>
      </c>
      <c r="C637" s="2" t="inlineStr">
        <is>
          <t>4M</t>
        </is>
      </c>
      <c r="D637" s="2" t="inlineStr">
        <is>
          <t>b3-6c</t>
        </is>
      </c>
      <c r="E637" s="2" t="inlineStr">
        <is>
          <t>2.0mm</t>
        </is>
      </c>
      <c r="F637" s="2" t="n">
        <v>6</v>
      </c>
      <c r="G637" s="2" t="n">
        <v>4</v>
      </c>
      <c r="H637" s="2" t="inlineStr">
        <is>
          <t>SC/APC</t>
        </is>
      </c>
      <c r="I637" s="2" t="inlineStr">
        <is>
          <t>SC/APC</t>
        </is>
      </c>
      <c r="J637" s="2" t="n"/>
      <c r="K637" s="2" t="n"/>
      <c r="L637" s="2" t="n"/>
      <c r="M637" s="2" t="n"/>
      <c r="N637" s="2" t="n"/>
      <c r="O637" s="2" t="n"/>
      <c r="P637" s="2" t="n">
        <v>1</v>
      </c>
      <c r="Q637" s="2" t="n"/>
      <c r="R637" s="2" t="n"/>
      <c r="S637" s="2" t="n"/>
      <c r="T637" s="2" t="n"/>
      <c r="U637" s="2" t="n"/>
      <c r="V637" s="2">
        <f>SUM(J637:U637)</f>
        <v/>
      </c>
      <c r="W637" s="2" t="n"/>
      <c r="X637" s="2" t="n"/>
      <c r="Y637" s="2" t="n"/>
      <c r="Z637" s="2" t="n"/>
      <c r="AA637" s="2" t="n"/>
      <c r="AB637" s="2" t="n"/>
      <c r="AC637" s="2" t="n">
        <v>12</v>
      </c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>
        <f>IF(F637=1,V637*2,IF(F637=2,V637*F637*2,IF(F637&gt;2,F637*2*V637)))</f>
        <v/>
      </c>
      <c r="AW637" s="2">
        <f>SUM(W637:AU637)</f>
        <v/>
      </c>
    </row>
    <row r="638">
      <c r="A638" s="2" t="inlineStr">
        <is>
          <t>14-M-1026</t>
        </is>
      </c>
      <c r="B638" s="3" t="inlineStr">
        <is>
          <t>MOJC-SM-6C-SC/APC-SC/APC</t>
        </is>
      </c>
      <c r="C638" s="2" t="inlineStr">
        <is>
          <t>6M</t>
        </is>
      </c>
      <c r="D638" s="2" t="inlineStr">
        <is>
          <t>b3-6c</t>
        </is>
      </c>
      <c r="E638" s="2" t="inlineStr">
        <is>
          <t>2.0mm</t>
        </is>
      </c>
      <c r="F638" s="2" t="n">
        <v>6</v>
      </c>
      <c r="G638" s="2" t="n">
        <v>6</v>
      </c>
      <c r="H638" s="2" t="inlineStr">
        <is>
          <t>SC/APC</t>
        </is>
      </c>
      <c r="I638" s="2" t="inlineStr">
        <is>
          <t>SC/APC</t>
        </is>
      </c>
      <c r="J638" s="2" t="n"/>
      <c r="K638" s="2" t="n"/>
      <c r="L638" s="2" t="n"/>
      <c r="M638" s="2" t="n"/>
      <c r="N638" s="2" t="n"/>
      <c r="O638" s="2" t="n"/>
      <c r="P638" s="2" t="n">
        <v>12</v>
      </c>
      <c r="Q638" s="2" t="n"/>
      <c r="R638" s="2" t="n"/>
      <c r="S638" s="2" t="n"/>
      <c r="T638" s="2" t="n"/>
      <c r="U638" s="2" t="n"/>
      <c r="V638" s="2">
        <f>SUM(J638:U638)</f>
        <v/>
      </c>
      <c r="W638" s="2" t="n"/>
      <c r="X638" s="2" t="n"/>
      <c r="Y638" s="2" t="n"/>
      <c r="Z638" s="2" t="n"/>
      <c r="AA638" s="2" t="n"/>
      <c r="AB638" s="2" t="n"/>
      <c r="AC638" s="2" t="n">
        <v>144</v>
      </c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>
        <f>IF(F638=1,V638*2,IF(F638=2,V638*F638*2,IF(F638&gt;2,F638*2*V638)))</f>
        <v/>
      </c>
      <c r="AW638" s="2">
        <f>SUM(W638:AU638)</f>
        <v/>
      </c>
    </row>
    <row r="639">
      <c r="A639" s="2" t="inlineStr">
        <is>
          <t>14-M-1030</t>
        </is>
      </c>
      <c r="B639" s="3" t="inlineStr">
        <is>
          <t>MOJC-SM-6C-SC/APC-SC/APC</t>
        </is>
      </c>
      <c r="C639" s="2" t="inlineStr">
        <is>
          <t>10M</t>
        </is>
      </c>
      <c r="D639" s="2" t="inlineStr">
        <is>
          <t>b3-6c</t>
        </is>
      </c>
      <c r="E639" s="2" t="inlineStr">
        <is>
          <t>2.0mm</t>
        </is>
      </c>
      <c r="F639" s="2" t="n">
        <v>6</v>
      </c>
      <c r="G639" s="2" t="n">
        <v>10</v>
      </c>
      <c r="H639" s="2" t="inlineStr">
        <is>
          <t>SC/APC</t>
        </is>
      </c>
      <c r="I639" s="2" t="inlineStr">
        <is>
          <t>SC/APC</t>
        </is>
      </c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>
        <v>9</v>
      </c>
      <c r="V639" s="2">
        <f>SUM(J639:U639)</f>
        <v/>
      </c>
      <c r="W639" s="2" t="n"/>
      <c r="X639" s="2" t="n"/>
      <c r="Y639" s="2" t="n"/>
      <c r="Z639" s="2" t="n"/>
      <c r="AA639" s="2" t="n"/>
      <c r="AB639" s="2" t="n"/>
      <c r="AC639" s="2" t="n">
        <v>108</v>
      </c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>
        <f>IF(F639=1,V639*2,IF(F639=2,V639*F639*2,IF(F639&gt;2,F639*2*V639)))</f>
        <v/>
      </c>
      <c r="AW639" s="2">
        <f>SUM(W639:AU639)</f>
        <v/>
      </c>
    </row>
    <row r="640">
      <c r="A640" s="2" t="inlineStr">
        <is>
          <t>14-M-1035</t>
        </is>
      </c>
      <c r="B640" s="3" t="inlineStr">
        <is>
          <t>MOJC-SM-6C-SC/APC-SC/APC</t>
        </is>
      </c>
      <c r="C640" s="2" t="inlineStr">
        <is>
          <t>15M</t>
        </is>
      </c>
      <c r="D640" s="2" t="inlineStr">
        <is>
          <t>b3-6c</t>
        </is>
      </c>
      <c r="E640" s="2" t="inlineStr">
        <is>
          <t>2.0mm</t>
        </is>
      </c>
      <c r="F640" s="2" t="n">
        <v>6</v>
      </c>
      <c r="G640" s="2" t="n">
        <v>15</v>
      </c>
      <c r="H640" s="2" t="inlineStr">
        <is>
          <t>SC/APC</t>
        </is>
      </c>
      <c r="I640" s="2" t="inlineStr">
        <is>
          <t>SC/APC</t>
        </is>
      </c>
      <c r="J640" s="2" t="n">
        <v>10</v>
      </c>
      <c r="K640" s="2" t="n"/>
      <c r="L640" s="2" t="n"/>
      <c r="M640" s="2" t="n">
        <v>10</v>
      </c>
      <c r="N640" s="2" t="n">
        <v>3</v>
      </c>
      <c r="O640" s="2" t="n"/>
      <c r="P640" s="2" t="n"/>
      <c r="Q640" s="2" t="n"/>
      <c r="R640" s="2" t="n"/>
      <c r="S640" s="2" t="n"/>
      <c r="T640" s="2" t="n"/>
      <c r="U640" s="2" t="n"/>
      <c r="V640" s="2">
        <f>SUM(J640:U640)</f>
        <v/>
      </c>
      <c r="W640" s="2" t="n"/>
      <c r="X640" s="2" t="n"/>
      <c r="Y640" s="2" t="n"/>
      <c r="Z640" s="2" t="n"/>
      <c r="AA640" s="2" t="n"/>
      <c r="AB640" s="2" t="n"/>
      <c r="AC640" s="2" t="n">
        <v>276</v>
      </c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>
        <f>IF(F640=1,V640*2,IF(F640=2,V640*F640*2,IF(F640&gt;2,F640*2*V640)))</f>
        <v/>
      </c>
      <c r="AW640" s="2">
        <f>SUM(W640:AU640)</f>
        <v/>
      </c>
    </row>
    <row r="641">
      <c r="A641" s="2" t="inlineStr">
        <is>
          <t>14-M-1113</t>
        </is>
      </c>
      <c r="B641" s="3" t="inlineStr">
        <is>
          <t>MOJC-SM-6C-SC/PC-SC/APC</t>
        </is>
      </c>
      <c r="C641" s="2" t="inlineStr">
        <is>
          <t>10M</t>
        </is>
      </c>
      <c r="D641" s="2" t="inlineStr">
        <is>
          <t>b3-6c</t>
        </is>
      </c>
      <c r="E641" s="2" t="inlineStr">
        <is>
          <t>2.0mm</t>
        </is>
      </c>
      <c r="F641" s="2" t="n">
        <v>6</v>
      </c>
      <c r="G641" s="2" t="n">
        <v>10</v>
      </c>
      <c r="H641" s="2" t="inlineStr">
        <is>
          <t>SC/PC</t>
        </is>
      </c>
      <c r="I641" s="2" t="inlineStr">
        <is>
          <t>SC/APC</t>
        </is>
      </c>
      <c r="J641" s="2" t="n">
        <v>1</v>
      </c>
      <c r="K641" s="2" t="n">
        <v>1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>
        <f>SUM(J641:U641)</f>
        <v/>
      </c>
      <c r="W641" s="2" t="n"/>
      <c r="X641" s="2" t="n"/>
      <c r="Y641" s="2" t="n"/>
      <c r="Z641" s="2" t="n"/>
      <c r="AA641" s="2" t="n">
        <v>12</v>
      </c>
      <c r="AB641" s="2" t="n"/>
      <c r="AC641" s="2" t="n">
        <v>12</v>
      </c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>
        <f>IF(F641=1,V641*2,IF(F641=2,V641*F641*2,IF(F641&gt;2,F641*2*V641)))</f>
        <v/>
      </c>
      <c r="AW641" s="2">
        <f>SUM(W641:AU641)</f>
        <v/>
      </c>
    </row>
    <row r="642">
      <c r="A642" s="2" t="inlineStr">
        <is>
          <t>14-M-1142</t>
        </is>
      </c>
      <c r="B642" s="3" t="inlineStr">
        <is>
          <t>MOJC-SM-6C-SC/PC-SC/PC</t>
        </is>
      </c>
      <c r="C642" s="2" t="inlineStr">
        <is>
          <t>25M</t>
        </is>
      </c>
      <c r="D642" s="2" t="inlineStr">
        <is>
          <t>b3-6c</t>
        </is>
      </c>
      <c r="E642" s="2" t="inlineStr">
        <is>
          <t>2.0mm</t>
        </is>
      </c>
      <c r="F642" s="2" t="n">
        <v>6</v>
      </c>
      <c r="G642" s="2" t="n">
        <v>25</v>
      </c>
      <c r="H642" s="2" t="inlineStr">
        <is>
          <t>SC/PC</t>
        </is>
      </c>
      <c r="I642" s="2" t="inlineStr">
        <is>
          <t>SC/PC</t>
        </is>
      </c>
      <c r="J642" s="2" t="n"/>
      <c r="K642" s="2" t="n"/>
      <c r="L642" s="2" t="n"/>
      <c r="M642" s="2" t="n"/>
      <c r="N642" s="2" t="n"/>
      <c r="O642" s="2" t="n"/>
      <c r="P642" s="2" t="n">
        <v>10</v>
      </c>
      <c r="Q642" s="2" t="n"/>
      <c r="R642" s="2" t="n"/>
      <c r="S642" s="2" t="n"/>
      <c r="T642" s="2" t="n"/>
      <c r="U642" s="2" t="n"/>
      <c r="V642" s="2">
        <f>SUM(J642:U642)</f>
        <v/>
      </c>
      <c r="W642" s="2" t="n"/>
      <c r="X642" s="2" t="n"/>
      <c r="Y642" s="2" t="n"/>
      <c r="Z642" s="2" t="n"/>
      <c r="AA642" s="2" t="n">
        <v>120</v>
      </c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>
        <f>IF(F642=1,V642*2,IF(F642=2,V642*F642*2,IF(F642&gt;2,F642*2*V642)))</f>
        <v/>
      </c>
      <c r="AW642" s="2">
        <f>SUM(W642:AU642)</f>
        <v/>
      </c>
    </row>
    <row r="643">
      <c r="A643" s="2" t="inlineStr">
        <is>
          <t>14-M-118</t>
        </is>
      </c>
      <c r="B643" s="3" t="inlineStr">
        <is>
          <t>MOJC-SM-6C-SC/PC-SC/PC</t>
        </is>
      </c>
      <c r="C643" s="2" t="inlineStr">
        <is>
          <t>4M</t>
        </is>
      </c>
      <c r="D643" s="2" t="inlineStr">
        <is>
          <t>b3-6c</t>
        </is>
      </c>
      <c r="E643" s="2" t="inlineStr">
        <is>
          <t>2.0mm</t>
        </is>
      </c>
      <c r="F643" s="2" t="n">
        <v>6</v>
      </c>
      <c r="G643" s="2" t="n">
        <v>4</v>
      </c>
      <c r="H643" s="2" t="inlineStr">
        <is>
          <t>SC/PC</t>
        </is>
      </c>
      <c r="I643" s="2" t="inlineStr">
        <is>
          <t>SC/PC</t>
        </is>
      </c>
      <c r="J643" s="2" t="n"/>
      <c r="K643" s="2" t="n"/>
      <c r="L643" s="2" t="n"/>
      <c r="M643" s="2" t="n"/>
      <c r="N643" s="2" t="n"/>
      <c r="O643" s="2" t="n"/>
      <c r="P643" s="2" t="n"/>
      <c r="Q643" s="2" t="n">
        <v>17</v>
      </c>
      <c r="R643" s="2" t="n">
        <v>52</v>
      </c>
      <c r="S643" s="2" t="n"/>
      <c r="T643" s="2" t="n"/>
      <c r="U643" s="2" t="n"/>
      <c r="V643" s="2">
        <f>SUM(J643:U643)</f>
        <v/>
      </c>
      <c r="W643" s="2" t="n"/>
      <c r="X643" s="2" t="n"/>
      <c r="Y643" s="2" t="n"/>
      <c r="Z643" s="2" t="n"/>
      <c r="AA643" s="2" t="n">
        <v>828</v>
      </c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>
        <f>IF(F643=1,V643*2,IF(F643=2,V643*F643*2,IF(F643&gt;2,F643*2*V643)))</f>
        <v/>
      </c>
      <c r="AW643" s="2">
        <f>SUM(W643:AU643)</f>
        <v/>
      </c>
    </row>
    <row r="644">
      <c r="A644" s="2" t="inlineStr">
        <is>
          <t>14-M-119</t>
        </is>
      </c>
      <c r="B644" s="3" t="inlineStr">
        <is>
          <t>MOJC-SM-12C-SC/PC-SC/PC</t>
        </is>
      </c>
      <c r="C644" s="2" t="inlineStr">
        <is>
          <t>4M</t>
        </is>
      </c>
      <c r="D644" s="2" t="inlineStr">
        <is>
          <t>b3-12c</t>
        </is>
      </c>
      <c r="E644" s="2" t="inlineStr">
        <is>
          <t>2.0mm</t>
        </is>
      </c>
      <c r="F644" s="2" t="n">
        <v>12</v>
      </c>
      <c r="G644" s="2" t="n">
        <v>4</v>
      </c>
      <c r="H644" s="2" t="inlineStr">
        <is>
          <t>SC/PC</t>
        </is>
      </c>
      <c r="I644" s="2" t="inlineStr">
        <is>
          <t>SC/PC</t>
        </is>
      </c>
      <c r="J644" s="2" t="n"/>
      <c r="K644" s="2" t="n"/>
      <c r="L644" s="2" t="n"/>
      <c r="M644" s="2" t="n"/>
      <c r="N644" s="2" t="n"/>
      <c r="O644" s="2" t="n"/>
      <c r="P644" s="2" t="n"/>
      <c r="Q644" s="2" t="n">
        <v>52</v>
      </c>
      <c r="R644" s="2" t="n"/>
      <c r="S644" s="2" t="n"/>
      <c r="T644" s="2" t="n"/>
      <c r="U644" s="2" t="n"/>
      <c r="V644" s="2">
        <f>SUM(J644:U644)</f>
        <v/>
      </c>
      <c r="W644" s="2" t="n"/>
      <c r="X644" s="2" t="n"/>
      <c r="Y644" s="2" t="n"/>
      <c r="Z644" s="2" t="n"/>
      <c r="AA644" s="2" t="n">
        <v>1248</v>
      </c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>
        <f>IF(F644=1,V644*2,IF(F644=2,V644*F644*2,IF(F644&gt;2,F644*2*V644)))</f>
        <v/>
      </c>
      <c r="AW644" s="2">
        <f>SUM(W644:AU644)</f>
        <v/>
      </c>
    </row>
    <row r="645">
      <c r="A645" s="2" t="inlineStr">
        <is>
          <t>14-M-234</t>
        </is>
      </c>
      <c r="B645" s="3" t="inlineStr">
        <is>
          <t>MOJC-SM-12C-SC/PC-SC/PC</t>
        </is>
      </c>
      <c r="C645" s="2" t="inlineStr">
        <is>
          <t>3M</t>
        </is>
      </c>
      <c r="D645" s="2" t="inlineStr">
        <is>
          <t>b3-12c</t>
        </is>
      </c>
      <c r="E645" s="2" t="inlineStr">
        <is>
          <t>2.0mm</t>
        </is>
      </c>
      <c r="F645" s="2" t="n">
        <v>12</v>
      </c>
      <c r="G645" s="2" t="n">
        <v>3</v>
      </c>
      <c r="H645" s="2" t="inlineStr">
        <is>
          <t>SC/PC</t>
        </is>
      </c>
      <c r="I645" s="2" t="inlineStr">
        <is>
          <t>SC/PC</t>
        </is>
      </c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>
        <v>30</v>
      </c>
      <c r="S645" s="2" t="n"/>
      <c r="T645" s="2" t="n"/>
      <c r="U645" s="2" t="n"/>
      <c r="V645" s="2">
        <f>SUM(J645:U645)</f>
        <v/>
      </c>
      <c r="W645" s="2" t="n"/>
      <c r="X645" s="2" t="n"/>
      <c r="Y645" s="2" t="n"/>
      <c r="Z645" s="2" t="n"/>
      <c r="AA645" s="2" t="n">
        <v>720</v>
      </c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>
        <f>IF(F645=1,V645*2,IF(F645=2,V645*F645*2,IF(F645&gt;2,F645*2*V645)))</f>
        <v/>
      </c>
      <c r="AW645" s="2">
        <f>SUM(W645:AU645)</f>
        <v/>
      </c>
    </row>
    <row r="646">
      <c r="A646" s="2" t="inlineStr">
        <is>
          <t>14-M-675</t>
        </is>
      </c>
      <c r="B646" s="3" t="inlineStr">
        <is>
          <t>MOJC-SM-12C-SC/PC-SC/APC</t>
        </is>
      </c>
      <c r="C646" s="2" t="inlineStr">
        <is>
          <t>10M</t>
        </is>
      </c>
      <c r="D646" s="2" t="inlineStr">
        <is>
          <t>b3-12c</t>
        </is>
      </c>
      <c r="E646" s="2" t="inlineStr">
        <is>
          <t>2.0mm</t>
        </is>
      </c>
      <c r="F646" s="2" t="n">
        <v>12</v>
      </c>
      <c r="G646" s="2" t="n">
        <v>10</v>
      </c>
      <c r="H646" s="2" t="inlineStr">
        <is>
          <t>SC/PC</t>
        </is>
      </c>
      <c r="I646" s="2" t="inlineStr">
        <is>
          <t>SC/APC</t>
        </is>
      </c>
      <c r="J646" s="2" t="n">
        <v>3</v>
      </c>
      <c r="K646" s="2" t="n">
        <v>3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>
        <f>SUM(J646:U646)</f>
        <v/>
      </c>
      <c r="W646" s="2" t="n"/>
      <c r="X646" s="2" t="n"/>
      <c r="Y646" s="2" t="n"/>
      <c r="Z646" s="2" t="n"/>
      <c r="AA646" s="2" t="n">
        <v>72</v>
      </c>
      <c r="AB646" s="2" t="n"/>
      <c r="AC646" s="2" t="n">
        <v>72</v>
      </c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>
        <f>IF(F646=1,V646*2,IF(F646=2,V646*F646*2,IF(F646&gt;2,F646*2*V646)))</f>
        <v/>
      </c>
      <c r="AW646" s="2">
        <f>SUM(W646:AU646)</f>
        <v/>
      </c>
    </row>
    <row r="647">
      <c r="A647" s="2" t="inlineStr">
        <is>
          <t>14-M-844</t>
        </is>
      </c>
      <c r="B647" s="3" t="inlineStr">
        <is>
          <t>MOJC-SM-6C-LC/APC-SC/APC</t>
        </is>
      </c>
      <c r="C647" s="2" t="inlineStr">
        <is>
          <t>3M</t>
        </is>
      </c>
      <c r="D647" s="2" t="inlineStr">
        <is>
          <t>b3-6c</t>
        </is>
      </c>
      <c r="E647" s="2" t="inlineStr">
        <is>
          <t>2.0mm</t>
        </is>
      </c>
      <c r="F647" s="2" t="n">
        <v>6</v>
      </c>
      <c r="G647" s="2" t="n">
        <v>3</v>
      </c>
      <c r="H647" s="2" t="inlineStr">
        <is>
          <t>LC/APC</t>
        </is>
      </c>
      <c r="I647" s="2" t="inlineStr">
        <is>
          <t>SC/APC</t>
        </is>
      </c>
      <c r="J647" s="2" t="n">
        <v>5</v>
      </c>
      <c r="K647" s="2" t="n"/>
      <c r="L647" s="2" t="n"/>
      <c r="M647" s="2" t="n">
        <v>4</v>
      </c>
      <c r="N647" s="2" t="n">
        <v>2</v>
      </c>
      <c r="O647" s="2" t="n"/>
      <c r="P647" s="2" t="n">
        <v>4</v>
      </c>
      <c r="Q647" s="2" t="n"/>
      <c r="R647" s="2" t="n"/>
      <c r="S647" s="2" t="n"/>
      <c r="T647" s="2" t="n"/>
      <c r="U647" s="2" t="n"/>
      <c r="V647" s="2">
        <f>SUM(J647:U647)</f>
        <v/>
      </c>
      <c r="W647" s="2" t="n"/>
      <c r="X647" s="2" t="n"/>
      <c r="Y647" s="2" t="n">
        <v>90</v>
      </c>
      <c r="Z647" s="2" t="n"/>
      <c r="AA647" s="2" t="n"/>
      <c r="AB647" s="2" t="n"/>
      <c r="AC647" s="2" t="n">
        <v>90</v>
      </c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>
        <f>IF(F647=1,V647*2,IF(F647=2,V647*F647*2,IF(F647&gt;2,F647*2*V647)))</f>
        <v/>
      </c>
      <c r="AW647" s="2">
        <f>SUM(W647:AU647)</f>
        <v/>
      </c>
    </row>
    <row r="648">
      <c r="A648" s="2" t="inlineStr">
        <is>
          <t>14-M-845</t>
        </is>
      </c>
      <c r="B648" s="3" t="inlineStr">
        <is>
          <t>MOJC-SM-6C-LC/APC-SC/APC</t>
        </is>
      </c>
      <c r="C648" s="2" t="inlineStr">
        <is>
          <t>4M</t>
        </is>
      </c>
      <c r="D648" s="2" t="inlineStr">
        <is>
          <t>b3-6c</t>
        </is>
      </c>
      <c r="E648" s="2" t="inlineStr">
        <is>
          <t>2.0mm</t>
        </is>
      </c>
      <c r="F648" s="2" t="n">
        <v>6</v>
      </c>
      <c r="G648" s="2" t="n">
        <v>4</v>
      </c>
      <c r="H648" s="2" t="inlineStr">
        <is>
          <t>LC/APC</t>
        </is>
      </c>
      <c r="I648" s="2" t="inlineStr">
        <is>
          <t>SC/APC</t>
        </is>
      </c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>
        <v>4</v>
      </c>
      <c r="V648" s="2">
        <f>SUM(J648:U648)</f>
        <v/>
      </c>
      <c r="W648" s="2" t="n"/>
      <c r="X648" s="2" t="n"/>
      <c r="Y648" s="2" t="n">
        <v>24</v>
      </c>
      <c r="Z648" s="2" t="n"/>
      <c r="AA648" s="2" t="n"/>
      <c r="AB648" s="2" t="n"/>
      <c r="AC648" s="2" t="n">
        <v>24</v>
      </c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>
        <f>IF(F648=1,V648*2,IF(F648=2,V648*F648*2,IF(F648&gt;2,F648*2*V648)))</f>
        <v/>
      </c>
      <c r="AW648" s="2">
        <f>SUM(W648:AU648)</f>
        <v/>
      </c>
    </row>
    <row r="649">
      <c r="A649" s="2" t="inlineStr">
        <is>
          <t>14-M-A014</t>
        </is>
      </c>
      <c r="B649" s="3" t="inlineStr">
        <is>
          <t>MOJC-SM-24C-LC/PC-LC/PC</t>
        </is>
      </c>
      <c r="C649" s="2" t="inlineStr">
        <is>
          <t>15M</t>
        </is>
      </c>
      <c r="D649" s="2" t="inlineStr">
        <is>
          <t>b3-24c</t>
        </is>
      </c>
      <c r="E649" s="2" t="inlineStr">
        <is>
          <t>2.0mm</t>
        </is>
      </c>
      <c r="F649" s="2" t="n">
        <v>24</v>
      </c>
      <c r="G649" s="2" t="n">
        <v>15</v>
      </c>
      <c r="H649" s="2" t="inlineStr">
        <is>
          <t>LC/PC</t>
        </is>
      </c>
      <c r="I649" s="2" t="inlineStr">
        <is>
          <t>LC/PC</t>
        </is>
      </c>
      <c r="J649" s="2" t="n"/>
      <c r="K649" s="2" t="n">
        <v>6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>
        <f>SUM(J649:U649)</f>
        <v/>
      </c>
      <c r="W649" s="2" t="n">
        <v>288</v>
      </c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>
        <f>IF(F649=1,V649*2,IF(F649=2,V649*F649*2,IF(F649&gt;2,F649*2*V649)))</f>
        <v/>
      </c>
      <c r="AW649" s="2">
        <f>SUM(W649:AU649)</f>
        <v/>
      </c>
    </row>
    <row r="650">
      <c r="A650" s="2" t="inlineStr">
        <is>
          <t>14-M-A031</t>
        </is>
      </c>
      <c r="B650" s="3" t="inlineStr">
        <is>
          <t>MOJC-SM-12C-SC/PC-SC/PC</t>
        </is>
      </c>
      <c r="C650" s="2" t="inlineStr">
        <is>
          <t>10M, 분기부길이 1.5M</t>
        </is>
      </c>
      <c r="D650" s="2" t="inlineStr">
        <is>
          <t>b3-12c</t>
        </is>
      </c>
      <c r="E650" s="2" t="inlineStr">
        <is>
          <t>2.0mm</t>
        </is>
      </c>
      <c r="F650" s="2" t="n">
        <v>12</v>
      </c>
      <c r="G650" s="2" t="n">
        <v>10</v>
      </c>
      <c r="H650" s="2" t="inlineStr">
        <is>
          <t>SC/PC</t>
        </is>
      </c>
      <c r="I650" s="2" t="inlineStr">
        <is>
          <t>SC/PC</t>
        </is>
      </c>
      <c r="J650" s="2" t="n"/>
      <c r="K650" s="2" t="n">
        <v>4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>
        <f>SUM(J650:U650)</f>
        <v/>
      </c>
      <c r="W650" s="2" t="n"/>
      <c r="X650" s="2" t="n"/>
      <c r="Y650" s="2" t="n"/>
      <c r="Z650" s="2" t="n"/>
      <c r="AA650" s="2" t="n">
        <v>96</v>
      </c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>
        <f>IF(F650=1,V650*2,IF(F650=2,V650*F650*2,IF(F650&gt;2,F650*2*V650)))</f>
        <v/>
      </c>
      <c r="AW650" s="2">
        <f>SUM(W650:AU650)</f>
        <v/>
      </c>
    </row>
    <row r="651">
      <c r="A651" s="2" t="inlineStr">
        <is>
          <t>14-M-A065</t>
        </is>
      </c>
      <c r="B651" s="3" t="inlineStr">
        <is>
          <t>MOJC-SM-12C-SC/PC-SC/PC</t>
        </is>
      </c>
      <c r="C651" s="2" t="inlineStr">
        <is>
          <t>12M, 분기부길이 1.5M</t>
        </is>
      </c>
      <c r="D651" s="2" t="inlineStr">
        <is>
          <t>b3-12c</t>
        </is>
      </c>
      <c r="E651" s="2" t="inlineStr">
        <is>
          <t>2.0mm</t>
        </is>
      </c>
      <c r="F651" s="2" t="n">
        <v>12</v>
      </c>
      <c r="G651" s="2" t="n">
        <v>12</v>
      </c>
      <c r="H651" s="2" t="inlineStr">
        <is>
          <t>SC/PC</t>
        </is>
      </c>
      <c r="I651" s="2" t="inlineStr">
        <is>
          <t>SC/PC</t>
        </is>
      </c>
      <c r="J651" s="2" t="n"/>
      <c r="K651" s="2" t="n">
        <v>4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>
        <f>SUM(J651:U651)</f>
        <v/>
      </c>
      <c r="W651" s="2" t="n"/>
      <c r="X651" s="2" t="n"/>
      <c r="Y651" s="2" t="n"/>
      <c r="Z651" s="2" t="n"/>
      <c r="AA651" s="2" t="n">
        <v>96</v>
      </c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>
        <f>IF(F651=1,V651*2,IF(F651=2,V651*F651*2,IF(F651&gt;2,F651*2*V651)))</f>
        <v/>
      </c>
      <c r="AW651" s="2">
        <f>SUM(W651:AU651)</f>
        <v/>
      </c>
    </row>
    <row r="652">
      <c r="A652" s="2" t="inlineStr">
        <is>
          <t>14-M-A066</t>
        </is>
      </c>
      <c r="B652" s="3" t="inlineStr">
        <is>
          <t>MOJC-SM-16C-SC/PC-SC/PC</t>
        </is>
      </c>
      <c r="C652" s="2" t="inlineStr">
        <is>
          <t>3M</t>
        </is>
      </c>
      <c r="D652" s="2" t="inlineStr">
        <is>
          <t>b3-16c</t>
        </is>
      </c>
      <c r="E652" s="2" t="inlineStr">
        <is>
          <t>2.0mm</t>
        </is>
      </c>
      <c r="F652" s="2" t="n">
        <v>16</v>
      </c>
      <c r="G652" s="2" t="n">
        <v>3</v>
      </c>
      <c r="H652" s="2" t="inlineStr">
        <is>
          <t>SC/PC</t>
        </is>
      </c>
      <c r="I652" s="2" t="inlineStr">
        <is>
          <t>SC/PC</t>
        </is>
      </c>
      <c r="J652" s="2" t="n"/>
      <c r="K652" s="2" t="n">
        <v>41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>
        <f>SUM(J652:U652)</f>
        <v/>
      </c>
      <c r="W652" s="2" t="n"/>
      <c r="X652" s="2" t="n"/>
      <c r="Y652" s="2" t="n"/>
      <c r="Z652" s="2" t="n"/>
      <c r="AA652" s="2" t="n">
        <v>1312</v>
      </c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>
        <f>IF(F652=1,V652*2,IF(F652=2,V652*F652*2,IF(F652&gt;2,F652*2*V652)))</f>
        <v/>
      </c>
      <c r="AW652" s="2">
        <f>SUM(W652:AU652)</f>
        <v/>
      </c>
    </row>
    <row r="653">
      <c r="A653" s="2" t="inlineStr">
        <is>
          <t>14-M-A069</t>
        </is>
      </c>
      <c r="B653" s="3" t="inlineStr">
        <is>
          <t>MOJC-SM-6C-SC/APC-LC/APC</t>
        </is>
      </c>
      <c r="C653" s="2" t="inlineStr">
        <is>
          <t>3M</t>
        </is>
      </c>
      <c r="D653" s="2" t="inlineStr">
        <is>
          <t>b3-6c</t>
        </is>
      </c>
      <c r="E653" s="2" t="inlineStr">
        <is>
          <t>2.0mm</t>
        </is>
      </c>
      <c r="F653" s="2" t="n">
        <v>6</v>
      </c>
      <c r="G653" s="2" t="n">
        <v>3</v>
      </c>
      <c r="H653" s="2" t="inlineStr">
        <is>
          <t>SC/APC</t>
        </is>
      </c>
      <c r="I653" s="2" t="inlineStr">
        <is>
          <t>LC/APC</t>
        </is>
      </c>
      <c r="J653" s="2" t="n"/>
      <c r="K653" s="2" t="n"/>
      <c r="L653" s="2" t="n"/>
      <c r="M653" s="2" t="n"/>
      <c r="N653" s="2" t="n"/>
      <c r="O653" s="2" t="n"/>
      <c r="P653" s="2" t="n"/>
      <c r="Q653" s="2" t="n">
        <v>2</v>
      </c>
      <c r="R653" s="2" t="n"/>
      <c r="S653" s="2" t="n"/>
      <c r="T653" s="2" t="n"/>
      <c r="U653" s="2" t="n"/>
      <c r="V653" s="2">
        <f>SUM(J653:U653)</f>
        <v/>
      </c>
      <c r="W653" s="2" t="n"/>
      <c r="X653" s="2" t="n"/>
      <c r="Y653" s="2" t="n">
        <v>12</v>
      </c>
      <c r="Z653" s="2" t="n"/>
      <c r="AA653" s="2" t="n"/>
      <c r="AB653" s="2" t="n"/>
      <c r="AC653" s="2" t="n">
        <v>12</v>
      </c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>
        <f>IF(F653=1,V653*2,IF(F653=2,V653*F653*2,IF(F653&gt;2,F653*2*V653)))</f>
        <v/>
      </c>
      <c r="AW653" s="2">
        <f>SUM(W653:AU653)</f>
        <v/>
      </c>
    </row>
    <row r="654">
      <c r="A654" s="2" t="inlineStr">
        <is>
          <t>14-M-A070</t>
        </is>
      </c>
      <c r="B654" s="3" t="inlineStr">
        <is>
          <t>MOJC-SM-24C-SC/PC-SC/PC</t>
        </is>
      </c>
      <c r="C654" s="2" t="inlineStr">
        <is>
          <t>7M</t>
        </is>
      </c>
      <c r="D654" s="2" t="inlineStr">
        <is>
          <t>b3-24c</t>
        </is>
      </c>
      <c r="E654" s="2" t="inlineStr">
        <is>
          <t>2.0mm</t>
        </is>
      </c>
      <c r="F654" s="2" t="n">
        <v>24</v>
      </c>
      <c r="G654" s="2" t="n">
        <v>7</v>
      </c>
      <c r="H654" s="2" t="inlineStr">
        <is>
          <t>SC/PC</t>
        </is>
      </c>
      <c r="I654" s="2" t="inlineStr">
        <is>
          <t>SC/PC</t>
        </is>
      </c>
      <c r="J654" s="2" t="n"/>
      <c r="K654" s="2" t="n"/>
      <c r="L654" s="2" t="n"/>
      <c r="M654" s="2" t="n"/>
      <c r="N654" s="2" t="n"/>
      <c r="O654" s="2" t="n"/>
      <c r="P654" s="2" t="n"/>
      <c r="Q654" s="2" t="n">
        <v>13</v>
      </c>
      <c r="R654" s="2" t="n"/>
      <c r="S654" s="2" t="n"/>
      <c r="T654" s="2" t="n"/>
      <c r="U654" s="2" t="n"/>
      <c r="V654" s="2">
        <f>SUM(J654:U654)</f>
        <v/>
      </c>
      <c r="W654" s="2" t="n"/>
      <c r="X654" s="2" t="n"/>
      <c r="Y654" s="2" t="n"/>
      <c r="Z654" s="2" t="n"/>
      <c r="AA654" s="2" t="n">
        <v>624</v>
      </c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>
        <f>IF(F654=1,V654*2,IF(F654=2,V654*F654*2,IF(F654&gt;2,F654*2*V654)))</f>
        <v/>
      </c>
      <c r="AW654" s="2">
        <f>SUM(W654:AU654)</f>
        <v/>
      </c>
    </row>
    <row r="655">
      <c r="A655" s="2" t="inlineStr">
        <is>
          <t>14-M-A071</t>
        </is>
      </c>
      <c r="B655" s="3" t="inlineStr">
        <is>
          <t>MOJC-SM-8C-LC/PC-LC/PC</t>
        </is>
      </c>
      <c r="C655" s="2" t="inlineStr">
        <is>
          <t>3.5M</t>
        </is>
      </c>
      <c r="D655" s="2" t="inlineStr">
        <is>
          <t>b3-8c</t>
        </is>
      </c>
      <c r="E655" s="2" t="inlineStr">
        <is>
          <t>2.0mm</t>
        </is>
      </c>
      <c r="F655" s="2" t="n">
        <v>8</v>
      </c>
      <c r="G655" s="2" t="n">
        <v>3.5</v>
      </c>
      <c r="H655" s="2" t="inlineStr">
        <is>
          <t>LC/PC</t>
        </is>
      </c>
      <c r="I655" s="2" t="inlineStr">
        <is>
          <t>LC/PC</t>
        </is>
      </c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>
        <v>30</v>
      </c>
      <c r="T655" s="2" t="n"/>
      <c r="U655" s="2" t="n"/>
      <c r="V655" s="2">
        <f>SUM(J655:U655)</f>
        <v/>
      </c>
      <c r="W655" s="2" t="n">
        <v>480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>
        <f>IF(F655=1,V655*2,IF(F655=2,V655*F655*2,IF(F655&gt;2,F655*2*V655)))</f>
        <v/>
      </c>
      <c r="AW655" s="2">
        <f>SUM(W655:AU655)</f>
        <v/>
      </c>
    </row>
    <row r="656">
      <c r="A656" s="2" t="inlineStr">
        <is>
          <t>14-P-003</t>
        </is>
      </c>
      <c r="B656" s="3" t="inlineStr">
        <is>
          <t>PIGTAIL-LC/PC-MM-1C (0.9mm)</t>
        </is>
      </c>
      <c r="C656" s="2" t="inlineStr">
        <is>
          <t>1.5M</t>
        </is>
      </c>
      <c r="D656" s="2" t="inlineStr">
        <is>
          <t>om1-pigtail</t>
        </is>
      </c>
      <c r="E656" s="2" t="n">
        <v>0.9</v>
      </c>
      <c r="F656" s="2" t="n">
        <v>1</v>
      </c>
      <c r="G656" s="2" t="n">
        <v>1.5</v>
      </c>
      <c r="H656" s="2" t="inlineStr">
        <is>
          <t>LC/PC</t>
        </is>
      </c>
      <c r="I656" s="2" t="n"/>
      <c r="J656" s="2" t="n"/>
      <c r="K656" s="2" t="n">
        <v>136</v>
      </c>
      <c r="L656" s="2" t="n">
        <v>189</v>
      </c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>
        <f>SUM(J656:U656)</f>
        <v/>
      </c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>
        <f>IF(F656=1,V656*2,IF(F656=2,V656*F656*2,IF(F656&gt;2,F656*2*V656)))</f>
        <v/>
      </c>
      <c r="AW656" s="2">
        <f>SUM(W656:AU656)</f>
        <v/>
      </c>
    </row>
    <row r="657">
      <c r="A657" s="2" t="inlineStr">
        <is>
          <t>14-P-004</t>
        </is>
      </c>
      <c r="B657" s="3" t="inlineStr">
        <is>
          <t>PIGTAIL-LC/PC-SM-12C (0.9mm)</t>
        </is>
      </c>
      <c r="C657" s="2" t="inlineStr">
        <is>
          <t>1.5M_12색</t>
        </is>
      </c>
      <c r="D657" s="2" t="inlineStr">
        <is>
          <t>pigtail</t>
        </is>
      </c>
      <c r="E657" s="2" t="n">
        <v>0.9</v>
      </c>
      <c r="F657" s="2" t="n">
        <v>12</v>
      </c>
      <c r="G657" s="2" t="n">
        <v>1.5</v>
      </c>
      <c r="H657" s="2" t="inlineStr">
        <is>
          <t>LC/PC</t>
        </is>
      </c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>
        <v>20</v>
      </c>
      <c r="V657" s="2">
        <f>SUM(J657:U657)</f>
        <v/>
      </c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>
        <f>IF(F657=1,V657*2,IF(F657=2,V657*F657*2,IF(F657&gt;2,F657*2*V657)))</f>
        <v/>
      </c>
      <c r="AW657" s="2">
        <f>SUM(W657:AU657)</f>
        <v/>
      </c>
    </row>
    <row r="658">
      <c r="A658" s="2" t="inlineStr">
        <is>
          <t>14-P-006</t>
        </is>
      </c>
      <c r="B658" s="3" t="inlineStr">
        <is>
          <t>PIGTAIL-LC/PC-SM-1C (0.9mm)</t>
        </is>
      </c>
      <c r="C658" s="2" t="inlineStr">
        <is>
          <t>1.5M</t>
        </is>
      </c>
      <c r="D658" s="2" t="inlineStr">
        <is>
          <t>pigtail</t>
        </is>
      </c>
      <c r="E658" s="2" t="n">
        <v>0.9</v>
      </c>
      <c r="F658" s="2" t="n">
        <v>1</v>
      </c>
      <c r="G658" s="2" t="n">
        <v>1.5</v>
      </c>
      <c r="H658" s="2" t="inlineStr">
        <is>
          <t>LC/PC</t>
        </is>
      </c>
      <c r="I658" s="2" t="n"/>
      <c r="J658" s="2" t="n">
        <v>100</v>
      </c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>
        <v>360</v>
      </c>
      <c r="T658" s="2" t="n">
        <v>390</v>
      </c>
      <c r="U658" s="2" t="n">
        <v>144</v>
      </c>
      <c r="V658" s="2">
        <f>SUM(J658:U658)</f>
        <v/>
      </c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>
        <f>IF(F658=1,V658*2,IF(F658=2,V658*F658*2,IF(F658&gt;2,F658*2*V658)))</f>
        <v/>
      </c>
      <c r="AW658" s="2">
        <f>SUM(W658:AU658)</f>
        <v/>
      </c>
    </row>
    <row r="659">
      <c r="A659" s="2" t="inlineStr">
        <is>
          <t>14-P-010</t>
        </is>
      </c>
      <c r="B659" s="3" t="inlineStr">
        <is>
          <t>PIGTAIL-SC/APC-SM-12C (0.9mm)</t>
        </is>
      </c>
      <c r="C659" s="2" t="inlineStr">
        <is>
          <t>1.5M_12색</t>
        </is>
      </c>
      <c r="D659" s="2" t="inlineStr">
        <is>
          <t>pigtail</t>
        </is>
      </c>
      <c r="E659" s="2" t="n">
        <v>0.9</v>
      </c>
      <c r="F659" s="2" t="n">
        <v>12</v>
      </c>
      <c r="G659" s="2" t="n">
        <v>1.5</v>
      </c>
      <c r="H659" s="2" t="inlineStr">
        <is>
          <t>SC/APC</t>
        </is>
      </c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>
        <v>15</v>
      </c>
      <c r="R659" s="2" t="n"/>
      <c r="S659" s="2" t="n">
        <v>72</v>
      </c>
      <c r="T659" s="2" t="n"/>
      <c r="U659" s="2" t="n"/>
      <c r="V659" s="2">
        <f>SUM(J659:U659)</f>
        <v/>
      </c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>
        <f>IF(F659=1,V659*2,IF(F659=2,V659*F659*2,IF(F659&gt;2,F659*2*V659)))</f>
        <v/>
      </c>
      <c r="AW659" s="2">
        <f>SUM(W659:AU659)</f>
        <v/>
      </c>
    </row>
    <row r="660">
      <c r="A660" s="2" t="inlineStr">
        <is>
          <t>14-P-012</t>
        </is>
      </c>
      <c r="B660" s="3" t="inlineStr">
        <is>
          <t>PIGTAIL-SC/APC-SM-1C (0.9mm)</t>
        </is>
      </c>
      <c r="C660" s="2" t="inlineStr">
        <is>
          <t>1.5M</t>
        </is>
      </c>
      <c r="D660" s="2" t="inlineStr">
        <is>
          <t>pigtail</t>
        </is>
      </c>
      <c r="E660" s="2" t="n">
        <v>0.9</v>
      </c>
      <c r="F660" s="2" t="n">
        <v>1</v>
      </c>
      <c r="G660" s="2" t="n">
        <v>1.5</v>
      </c>
      <c r="H660" s="2" t="inlineStr">
        <is>
          <t>SC/APC</t>
        </is>
      </c>
      <c r="I660" s="2" t="n"/>
      <c r="J660" s="2" t="n"/>
      <c r="K660" s="2" t="n"/>
      <c r="L660" s="2" t="n"/>
      <c r="M660" s="2" t="n"/>
      <c r="N660" s="2" t="n">
        <v>100</v>
      </c>
      <c r="O660" s="2" t="n"/>
      <c r="P660" s="2" t="n"/>
      <c r="Q660" s="2" t="n">
        <v>170</v>
      </c>
      <c r="R660" s="2" t="n">
        <v>200</v>
      </c>
      <c r="S660" s="2" t="n"/>
      <c r="T660" s="2" t="n">
        <v>100</v>
      </c>
      <c r="U660" s="2" t="n">
        <v>200</v>
      </c>
      <c r="V660" s="2">
        <f>SUM(J660:U660)</f>
        <v/>
      </c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>
        <f>IF(F660=1,V660*2,IF(F660=2,V660*F660*2,IF(F660&gt;2,F660*2*V660)))</f>
        <v/>
      </c>
      <c r="AW660" s="2">
        <f>SUM(W660:AU660)</f>
        <v/>
      </c>
    </row>
    <row r="661">
      <c r="A661" s="2" t="inlineStr">
        <is>
          <t>14-P-014</t>
        </is>
      </c>
      <c r="B661" s="3" t="inlineStr">
        <is>
          <t>PIGTAIL-SC/APC-SM-6C (0.9mm)</t>
        </is>
      </c>
      <c r="C661" s="2" t="inlineStr">
        <is>
          <t>1.5M_6색</t>
        </is>
      </c>
      <c r="D661" s="2" t="inlineStr">
        <is>
          <t>pigtail</t>
        </is>
      </c>
      <c r="E661" s="2" t="n">
        <v>0.9</v>
      </c>
      <c r="F661" s="2" t="n">
        <v>6</v>
      </c>
      <c r="G661" s="2" t="n">
        <v>1.5</v>
      </c>
      <c r="H661" s="2" t="inlineStr">
        <is>
          <t>SC/APC</t>
        </is>
      </c>
      <c r="I661" s="2" t="n"/>
      <c r="J661" s="2" t="n"/>
      <c r="K661" s="2" t="n"/>
      <c r="L661" s="2" t="n"/>
      <c r="M661" s="2" t="n"/>
      <c r="N661" s="2" t="n"/>
      <c r="O661" s="2" t="n">
        <v>104</v>
      </c>
      <c r="P661" s="2" t="n"/>
      <c r="Q661" s="2" t="n"/>
      <c r="R661" s="2" t="n">
        <v>100</v>
      </c>
      <c r="S661" s="2" t="n"/>
      <c r="T661" s="2" t="n"/>
      <c r="U661" s="2" t="n">
        <v>100</v>
      </c>
      <c r="V661" s="2">
        <f>SUM(J661:U661)</f>
        <v/>
      </c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>
        <f>IF(F661=1,V661*2,IF(F661=2,V661*F661*2,IF(F661&gt;2,F661*2*V661)))</f>
        <v/>
      </c>
      <c r="AW661" s="2">
        <f>SUM(W661:AU661)</f>
        <v/>
      </c>
    </row>
    <row r="662">
      <c r="A662" s="2" t="inlineStr">
        <is>
          <t>14-P-017</t>
        </is>
      </c>
      <c r="B662" s="3" t="inlineStr">
        <is>
          <t>PIGTAIL-SC/PC-SM-12C (0.9mm)</t>
        </is>
      </c>
      <c r="C662" s="2" t="inlineStr">
        <is>
          <t>1.5M_12색</t>
        </is>
      </c>
      <c r="D662" s="2" t="inlineStr">
        <is>
          <t>pigtail</t>
        </is>
      </c>
      <c r="E662" s="2" t="n">
        <v>0.9</v>
      </c>
      <c r="F662" s="2" t="n">
        <v>12</v>
      </c>
      <c r="G662" s="2" t="n">
        <v>1.5</v>
      </c>
      <c r="H662" s="2" t="inlineStr">
        <is>
          <t>SC/PC</t>
        </is>
      </c>
      <c r="I662" s="2" t="n"/>
      <c r="J662" s="2" t="n"/>
      <c r="K662" s="2" t="n"/>
      <c r="L662" s="2" t="n">
        <v>4</v>
      </c>
      <c r="M662" s="2" t="n"/>
      <c r="N662" s="2" t="n"/>
      <c r="O662" s="2" t="n">
        <v>300</v>
      </c>
      <c r="P662" s="2" t="n"/>
      <c r="Q662" s="2" t="n"/>
      <c r="R662" s="2" t="n"/>
      <c r="S662" s="2" t="n"/>
      <c r="T662" s="2" t="n"/>
      <c r="U662" s="2" t="n"/>
      <c r="V662" s="2">
        <f>SUM(J662:U662)</f>
        <v/>
      </c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>
        <f>IF(F662=1,V662*2,IF(F662=2,V662*F662*2,IF(F662&gt;2,F662*2*V662)))</f>
        <v/>
      </c>
      <c r="AW662" s="2">
        <f>SUM(W662:AU662)</f>
        <v/>
      </c>
    </row>
    <row r="663">
      <c r="A663" s="2" t="inlineStr">
        <is>
          <t>14-P-018</t>
        </is>
      </c>
      <c r="B663" s="3" t="inlineStr">
        <is>
          <t>PIGTAIL-SC/PC-SM-1C (0.9mm)</t>
        </is>
      </c>
      <c r="C663" s="2" t="inlineStr">
        <is>
          <t>1.5M</t>
        </is>
      </c>
      <c r="D663" s="2" t="inlineStr">
        <is>
          <t>pigtail</t>
        </is>
      </c>
      <c r="E663" s="2" t="n">
        <v>0.9</v>
      </c>
      <c r="F663" s="2" t="n">
        <v>1</v>
      </c>
      <c r="G663" s="2" t="n">
        <v>1.5</v>
      </c>
      <c r="H663" s="2" t="inlineStr">
        <is>
          <t>SC/PC</t>
        </is>
      </c>
      <c r="I663" s="2" t="n"/>
      <c r="J663" s="2" t="n">
        <v>340</v>
      </c>
      <c r="K663" s="2" t="n"/>
      <c r="L663" s="2" t="n">
        <v>489</v>
      </c>
      <c r="M663" s="2" t="n">
        <v>598</v>
      </c>
      <c r="N663" s="2" t="n">
        <v>878</v>
      </c>
      <c r="O663" s="2" t="n">
        <v>996</v>
      </c>
      <c r="P663" s="2" t="n"/>
      <c r="Q663" s="2" t="n"/>
      <c r="R663" s="2" t="n"/>
      <c r="S663" s="2" t="n">
        <v>490</v>
      </c>
      <c r="T663" s="2" t="n">
        <v>649</v>
      </c>
      <c r="U663" s="2" t="n"/>
      <c r="V663" s="2">
        <f>SUM(J663:U663)</f>
        <v/>
      </c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>
        <f>IF(F663=1,V663*2,IF(F663=2,V663*F663*2,IF(F663&gt;2,F663*2*V663)))</f>
        <v/>
      </c>
      <c r="AW663" s="2">
        <f>SUM(W663:AU663)</f>
        <v/>
      </c>
    </row>
    <row r="664">
      <c r="A664" s="2" t="inlineStr">
        <is>
          <t>14-P-020</t>
        </is>
      </c>
      <c r="B664" s="3" t="inlineStr">
        <is>
          <t>PIGTAIL-SC/PC-SM-1C (2.0mm)</t>
        </is>
      </c>
      <c r="C664" s="2" t="inlineStr">
        <is>
          <t>1.5M</t>
        </is>
      </c>
      <c r="D664" s="2" t="inlineStr">
        <is>
          <t>pigtail</t>
        </is>
      </c>
      <c r="E664" s="2" t="inlineStr">
        <is>
          <t>2.0mm</t>
        </is>
      </c>
      <c r="F664" s="2" t="n">
        <v>1</v>
      </c>
      <c r="G664" s="2" t="n">
        <v>1.5</v>
      </c>
      <c r="H664" s="2" t="inlineStr">
        <is>
          <t>SC/PC</t>
        </is>
      </c>
      <c r="I664" s="2" t="n"/>
      <c r="J664" s="2" t="n"/>
      <c r="K664" s="2" t="n"/>
      <c r="L664" s="2" t="n"/>
      <c r="M664" s="2" t="n">
        <v>241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</f>
        <v/>
      </c>
      <c r="W664" s="2" t="n"/>
      <c r="X664" s="2" t="n"/>
      <c r="Y664" s="2" t="n"/>
      <c r="Z664" s="2" t="n"/>
      <c r="AA664" s="2" t="n">
        <v>241</v>
      </c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>
        <f>IF(F664=1,V664*2,IF(F664=2,V664*F664*2,IF(F664&gt;2,F664*2*V664)))</f>
        <v/>
      </c>
      <c r="AW664" s="2">
        <f>SUM(W664:AU664)</f>
        <v/>
      </c>
    </row>
    <row r="665">
      <c r="A665" s="2" t="inlineStr">
        <is>
          <t>14-P-029</t>
        </is>
      </c>
      <c r="B665" s="3" t="inlineStr">
        <is>
          <t>PIGTAIL-SC/PC-SM-12C (SK성단용)</t>
        </is>
      </c>
      <c r="C665" s="2" t="inlineStr">
        <is>
          <t>1.5M</t>
        </is>
      </c>
      <c r="D665" s="2" t="inlineStr">
        <is>
          <t>pigtail</t>
        </is>
      </c>
      <c r="E665" s="2" t="n">
        <v>0.9</v>
      </c>
      <c r="F665" s="2" t="n">
        <v>12</v>
      </c>
      <c r="G665" s="2" t="n">
        <v>1.5</v>
      </c>
      <c r="H665" s="2" t="inlineStr">
        <is>
          <t>SC/PC</t>
        </is>
      </c>
      <c r="I665" s="2" t="n"/>
      <c r="J665" s="2" t="n"/>
      <c r="K665" s="2" t="n"/>
      <c r="L665" s="2" t="n">
        <v>32</v>
      </c>
      <c r="M665" s="2" t="n">
        <v>6</v>
      </c>
      <c r="N665" s="2" t="n">
        <v>8</v>
      </c>
      <c r="O665" s="2" t="n"/>
      <c r="P665" s="2" t="n"/>
      <c r="Q665" s="2" t="n"/>
      <c r="R665" s="2" t="n"/>
      <c r="S665" s="2" t="n"/>
      <c r="T665" s="2" t="n"/>
      <c r="U665" s="2" t="n"/>
      <c r="V665" s="2">
        <f>SUM(J665:U665)</f>
        <v/>
      </c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>
        <f>IF(F665=1,V665*2,IF(F665=2,V665*F665*2,IF(F665&gt;2,F665*2*V665)))</f>
        <v/>
      </c>
      <c r="AW665" s="2">
        <f>SUM(W665:AU665)</f>
        <v/>
      </c>
    </row>
    <row r="666">
      <c r="A666" s="2" t="inlineStr">
        <is>
          <t>14-P-030</t>
        </is>
      </c>
      <c r="B666" s="3" t="inlineStr">
        <is>
          <t>PIGTAIL-SC/PC-SM-12C (0.9mm)</t>
        </is>
      </c>
      <c r="C666" s="2" t="inlineStr">
        <is>
          <t>1.5M_(노란색)</t>
        </is>
      </c>
      <c r="D666" s="2" t="inlineStr">
        <is>
          <t>pigtail</t>
        </is>
      </c>
      <c r="E666" s="2" t="n">
        <v>0.9</v>
      </c>
      <c r="F666" s="2" t="n">
        <v>12</v>
      </c>
      <c r="G666" s="2" t="n">
        <v>1.5</v>
      </c>
      <c r="H666" s="2" t="inlineStr">
        <is>
          <t>SC/PC</t>
        </is>
      </c>
      <c r="I666" s="2" t="n"/>
      <c r="J666" s="2" t="n">
        <v>200</v>
      </c>
      <c r="K666" s="2" t="n"/>
      <c r="L666" s="2" t="n">
        <v>15</v>
      </c>
      <c r="M666" s="2" t="n">
        <v>51</v>
      </c>
      <c r="N666" s="2" t="n">
        <v>20</v>
      </c>
      <c r="O666" s="2" t="n"/>
      <c r="P666" s="2" t="n"/>
      <c r="Q666" s="2" t="n">
        <v>10</v>
      </c>
      <c r="R666" s="2" t="n"/>
      <c r="S666" s="2" t="n">
        <v>82</v>
      </c>
      <c r="T666" s="2" t="n">
        <v>3</v>
      </c>
      <c r="U666" s="2" t="n"/>
      <c r="V666" s="2">
        <f>SUM(J666:U666)</f>
        <v/>
      </c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>
        <f>IF(F666=1,V666*2,IF(F666=2,V666*F666*2,IF(F666&gt;2,F666*2*V666)))</f>
        <v/>
      </c>
      <c r="AW666" s="2">
        <f>SUM(W666:AU666)</f>
        <v/>
      </c>
    </row>
    <row r="667">
      <c r="A667" s="2" t="inlineStr">
        <is>
          <t>14-P-031</t>
        </is>
      </c>
      <c r="B667" s="3" t="inlineStr">
        <is>
          <t>PIGTAIL-SC/APC-SM-12C (0.9mm)</t>
        </is>
      </c>
      <c r="C667" s="2" t="inlineStr">
        <is>
          <t>1.5M_(노란색)</t>
        </is>
      </c>
      <c r="D667" s="2" t="inlineStr">
        <is>
          <t>pigtail</t>
        </is>
      </c>
      <c r="E667" s="2" t="n">
        <v>0.9</v>
      </c>
      <c r="F667" s="2" t="n">
        <v>12</v>
      </c>
      <c r="G667" s="2" t="n">
        <v>1.5</v>
      </c>
      <c r="H667" s="2" t="inlineStr">
        <is>
          <t>SC/APC</t>
        </is>
      </c>
      <c r="I667" s="2" t="n"/>
      <c r="J667" s="2" t="n"/>
      <c r="K667" s="2" t="n"/>
      <c r="L667" s="2" t="n"/>
      <c r="M667" s="2" t="n"/>
      <c r="N667" s="2" t="n"/>
      <c r="O667" s="2" t="n">
        <v>4</v>
      </c>
      <c r="P667" s="2" t="n"/>
      <c r="Q667" s="2" t="n"/>
      <c r="R667" s="2" t="n"/>
      <c r="S667" s="2" t="n"/>
      <c r="T667" s="2" t="n"/>
      <c r="U667" s="2" t="n">
        <v>141</v>
      </c>
      <c r="V667" s="2">
        <f>SUM(J667:U667)</f>
        <v/>
      </c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>
        <f>IF(F667=1,V667*2,IF(F667=2,V667*F667*2,IF(F667&gt;2,F667*2*V667)))</f>
        <v/>
      </c>
      <c r="AW667" s="2">
        <f>SUM(W667:AU667)</f>
        <v/>
      </c>
    </row>
    <row r="668">
      <c r="A668" s="2" t="inlineStr">
        <is>
          <t>14-P-032</t>
        </is>
      </c>
      <c r="B668" s="3" t="inlineStr">
        <is>
          <t>PIGTAIL-SC/APC-SM-6C (SK성단용)</t>
        </is>
      </c>
      <c r="C668" s="2" t="inlineStr">
        <is>
          <t>1,5M</t>
        </is>
      </c>
      <c r="D668" s="2" t="inlineStr">
        <is>
          <t>pigtail</t>
        </is>
      </c>
      <c r="E668" s="2" t="n">
        <v>0.9</v>
      </c>
      <c r="F668" s="2" t="n">
        <v>6</v>
      </c>
      <c r="G668" s="2" t="n">
        <v>5</v>
      </c>
      <c r="H668" s="2" t="inlineStr">
        <is>
          <t>SC/APC</t>
        </is>
      </c>
      <c r="I668" s="2" t="n"/>
      <c r="J668" s="2" t="n"/>
      <c r="K668" s="2" t="n"/>
      <c r="L668" s="2" t="n"/>
      <c r="M668" s="2" t="n"/>
      <c r="N668" s="2" t="n"/>
      <c r="O668" s="2" t="n">
        <v>3</v>
      </c>
      <c r="P668" s="2" t="n"/>
      <c r="Q668" s="2" t="n"/>
      <c r="R668" s="2" t="n"/>
      <c r="S668" s="2" t="n"/>
      <c r="T668" s="2" t="n">
        <v>30</v>
      </c>
      <c r="U668" s="2" t="n"/>
      <c r="V668" s="2">
        <f>SUM(J668:U668)</f>
        <v/>
      </c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>
        <f>IF(F668=1,V668*2,IF(F668=2,V668*F668*2,IF(F668&gt;2,F668*2*V668)))</f>
        <v/>
      </c>
      <c r="AW668" s="2">
        <f>SUM(W668:AU668)</f>
        <v/>
      </c>
    </row>
    <row r="669">
      <c r="A669" s="2" t="inlineStr">
        <is>
          <t>14-P-033</t>
        </is>
      </c>
      <c r="B669" s="3" t="inlineStr">
        <is>
          <t>PIGTAIL-LC/PC-MM-12C (SK성단용)</t>
        </is>
      </c>
      <c r="C669" s="2" t="inlineStr">
        <is>
          <t>1.5M</t>
        </is>
      </c>
      <c r="D669" s="2" t="inlineStr">
        <is>
          <t>om1-pigtail</t>
        </is>
      </c>
      <c r="E669" s="2" t="inlineStr">
        <is>
          <t>2.0mm</t>
        </is>
      </c>
      <c r="F669" s="2" t="n">
        <v>12</v>
      </c>
      <c r="G669" s="2" t="n">
        <v>1.5</v>
      </c>
      <c r="H669" s="2" t="inlineStr">
        <is>
          <t>LC/PC</t>
        </is>
      </c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>
        <v>24</v>
      </c>
      <c r="U669" s="2" t="n"/>
      <c r="V669" s="2">
        <f>SUM(J669:U669)</f>
        <v/>
      </c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>
        <v>288</v>
      </c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>
        <f>IF(F669=1,V669*2,IF(F669=2,V669*F669*2,IF(F669&gt;2,F669*2*V669)))</f>
        <v/>
      </c>
      <c r="AW669" s="2">
        <f>SUM(W669:AU669)</f>
        <v/>
      </c>
    </row>
    <row r="670">
      <c r="A670" s="2" t="inlineStr">
        <is>
          <t>14-P-034</t>
        </is>
      </c>
      <c r="B670" s="3" t="inlineStr">
        <is>
          <t>PIGTAIL-LC/PC-MM(OM3)-1C (0.9mm)</t>
        </is>
      </c>
      <c r="C670" s="2" t="inlineStr">
        <is>
          <t>1.5M</t>
        </is>
      </c>
      <c r="D670" s="2" t="inlineStr">
        <is>
          <t>om1-pigtail</t>
        </is>
      </c>
      <c r="E670" s="2" t="n">
        <v>0.9</v>
      </c>
      <c r="F670" s="2" t="n">
        <v>1</v>
      </c>
      <c r="G670" s="2" t="n">
        <v>1.5</v>
      </c>
      <c r="H670" s="2" t="inlineStr">
        <is>
          <t>LC/PC</t>
        </is>
      </c>
      <c r="I670" s="2" t="n"/>
      <c r="J670" s="2" t="n"/>
      <c r="K670" s="2" t="n">
        <v>432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>
        <f>SUM(J670:U670)</f>
        <v/>
      </c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>
        <f>IF(F670=1,V670*2,IF(F670=2,V670*F670*2,IF(F670&gt;2,F670*2*V670)))</f>
        <v/>
      </c>
      <c r="AW670" s="2">
        <f>SUM(W670:AU670)</f>
        <v/>
      </c>
    </row>
    <row r="671">
      <c r="A671" s="2" t="inlineStr">
        <is>
          <t>14-P-036</t>
        </is>
      </c>
      <c r="B671" s="3" t="inlineStr">
        <is>
          <t>PIGTAIL-LC/PC-SM-12C (0.9mm)</t>
        </is>
      </c>
      <c r="C671" s="2" t="inlineStr">
        <is>
          <t>1.5M_(노란색)</t>
        </is>
      </c>
      <c r="D671" s="2" t="inlineStr">
        <is>
          <t>pigtail</t>
        </is>
      </c>
      <c r="E671" s="2" t="n">
        <v>0.9</v>
      </c>
      <c r="F671" s="2" t="n">
        <v>12</v>
      </c>
      <c r="G671" s="2" t="n">
        <v>1.5</v>
      </c>
      <c r="H671" s="2" t="inlineStr">
        <is>
          <t>LC/PC</t>
        </is>
      </c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>
        <v>10</v>
      </c>
      <c r="R671" s="2" t="n"/>
      <c r="S671" s="2" t="n"/>
      <c r="T671" s="2" t="n"/>
      <c r="U671" s="2" t="n"/>
      <c r="V671" s="2">
        <f>SUM(J671:U671)</f>
        <v/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>
        <f>IF(F671=1,V671*2,IF(F671=2,V671*F671*2,IF(F671&gt;2,F671*2*V671)))</f>
        <v/>
      </c>
      <c r="AW671" s="2">
        <f>SUM(W671:AU671)</f>
        <v/>
      </c>
    </row>
    <row r="672">
      <c r="A672" s="2" t="inlineStr">
        <is>
          <t>14-P-040</t>
        </is>
      </c>
      <c r="B672" s="3" t="inlineStr">
        <is>
          <t>PIGTAIL-SC/PC-SM-4C (0.9mm)</t>
        </is>
      </c>
      <c r="C672" s="2" t="inlineStr">
        <is>
          <t>1.5M_(노란색)</t>
        </is>
      </c>
      <c r="D672" s="2" t="inlineStr">
        <is>
          <t>pigtail</t>
        </is>
      </c>
      <c r="E672" s="2" t="n">
        <v>0.9</v>
      </c>
      <c r="F672" s="2" t="n">
        <v>4</v>
      </c>
      <c r="G672" s="2" t="n">
        <v>1.5</v>
      </c>
      <c r="H672" s="2" t="inlineStr">
        <is>
          <t>SC/PC</t>
        </is>
      </c>
      <c r="I672" s="2" t="n"/>
      <c r="J672" s="2" t="n"/>
      <c r="K672" s="2" t="n"/>
      <c r="L672" s="2" t="n">
        <v>12</v>
      </c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>
        <f>SUM(J672:U672)</f>
        <v/>
      </c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>
        <f>IF(F672=1,V672*2,IF(F672=2,V672*F672*2,IF(F672&gt;2,F672*2*V672)))</f>
        <v/>
      </c>
      <c r="AW672" s="2">
        <f>SUM(W672:AU672)</f>
        <v/>
      </c>
    </row>
    <row r="673">
      <c r="A673" s="2" t="inlineStr">
        <is>
          <t>14-P-045</t>
        </is>
      </c>
      <c r="B673" s="3" t="inlineStr">
        <is>
          <t>PIGTAIL-LC/APC-SM-12C (O.9mm)</t>
        </is>
      </c>
      <c r="C673" s="2" t="inlineStr">
        <is>
          <t>1.5M_(노란색)</t>
        </is>
      </c>
      <c r="D673" s="2" t="inlineStr">
        <is>
          <t>pigtail</t>
        </is>
      </c>
      <c r="E673" s="2" t="n">
        <v>0.9</v>
      </c>
      <c r="F673" s="2" t="n">
        <v>12</v>
      </c>
      <c r="G673" s="2" t="n">
        <v>1.5</v>
      </c>
      <c r="H673" s="2" t="inlineStr">
        <is>
          <t>LC/APC</t>
        </is>
      </c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>
        <v>12</v>
      </c>
      <c r="S673" s="2" t="n">
        <v>40</v>
      </c>
      <c r="T673" s="2" t="n"/>
      <c r="U673" s="2" t="n"/>
      <c r="V673" s="2">
        <f>SUM(J673:U673)</f>
        <v/>
      </c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>
        <f>IF(F673=1,V673*2,IF(F673=2,V673*F673*2,IF(F673&gt;2,F673*2*V673)))</f>
        <v/>
      </c>
      <c r="AW673" s="2">
        <f>SUM(W673:AU673)</f>
        <v/>
      </c>
    </row>
    <row r="674">
      <c r="A674" s="2" t="inlineStr">
        <is>
          <t>14-P-076</t>
        </is>
      </c>
      <c r="B674" s="3" t="inlineStr">
        <is>
          <t>PIGTAIL-LC/APC-SM-1C (0.9mm)</t>
        </is>
      </c>
      <c r="C674" s="2" t="inlineStr">
        <is>
          <t>1.5M_노란색</t>
        </is>
      </c>
      <c r="D674" s="2" t="inlineStr">
        <is>
          <t>pigtail</t>
        </is>
      </c>
      <c r="E674" s="2" t="n">
        <v>0.9</v>
      </c>
      <c r="F674" s="2" t="n">
        <v>1</v>
      </c>
      <c r="G674" s="2" t="n">
        <v>1.5</v>
      </c>
      <c r="H674" s="2" t="inlineStr">
        <is>
          <t>LC/APC</t>
        </is>
      </c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>
        <v>40</v>
      </c>
      <c r="T674" s="2" t="n"/>
      <c r="U674" s="2" t="n"/>
      <c r="V674" s="2">
        <f>SUM(J674:U674)</f>
        <v/>
      </c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>
        <f>IF(F674=1,V674*2,IF(F674=2,V674*F674*2,IF(F674&gt;2,F674*2*V674)))</f>
        <v/>
      </c>
      <c r="AW674" s="2">
        <f>SUM(W674:AU674)</f>
        <v/>
      </c>
    </row>
    <row r="675">
      <c r="A675" s="2" t="inlineStr">
        <is>
          <t>14-P-091</t>
        </is>
      </c>
      <c r="B675" s="3" t="inlineStr">
        <is>
          <t>PIGTAIL-LC/APC-SM-12C (0.9mm)</t>
        </is>
      </c>
      <c r="C675" s="2" t="inlineStr">
        <is>
          <t>1.5M_12색</t>
        </is>
      </c>
      <c r="D675" s="2" t="inlineStr">
        <is>
          <t>pigtail</t>
        </is>
      </c>
      <c r="E675" s="2" t="n">
        <v>0.9</v>
      </c>
      <c r="F675" s="2" t="n">
        <v>12</v>
      </c>
      <c r="G675" s="2" t="n">
        <v>1.5</v>
      </c>
      <c r="H675" s="2" t="inlineStr">
        <is>
          <t>LC/APC</t>
        </is>
      </c>
      <c r="I675" s="2" t="n"/>
      <c r="J675" s="2" t="n"/>
      <c r="K675" s="2" t="n"/>
      <c r="L675" s="2" t="n"/>
      <c r="M675" s="2" t="n"/>
      <c r="N675" s="2" t="n">
        <v>10</v>
      </c>
      <c r="O675" s="2" t="n"/>
      <c r="P675" s="2" t="n"/>
      <c r="Q675" s="2" t="n"/>
      <c r="R675" s="2" t="n"/>
      <c r="S675" s="2" t="n"/>
      <c r="T675" s="2" t="n"/>
      <c r="U675" s="2" t="n"/>
      <c r="V675" s="2">
        <f>SUM(J675:U675)</f>
        <v/>
      </c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>
        <f>IF(F675=1,V675*2,IF(F675=2,V675*F675*2,IF(F675&gt;2,F675*2*V675)))</f>
        <v/>
      </c>
      <c r="AW675" s="2">
        <f>SUM(W675:AU675)</f>
        <v/>
      </c>
    </row>
    <row r="676">
      <c r="A676" s="2" t="inlineStr">
        <is>
          <t>14-P-099</t>
        </is>
      </c>
      <c r="B676" s="3" t="inlineStr">
        <is>
          <t>PIGTAIL-LC/PC-SM-1C (0.9mm)</t>
        </is>
      </c>
      <c r="C676" s="2" t="inlineStr">
        <is>
          <t>0.5M</t>
        </is>
      </c>
      <c r="D676" s="2" t="inlineStr">
        <is>
          <t>pigtail</t>
        </is>
      </c>
      <c r="E676" s="2" t="n">
        <v>0.9</v>
      </c>
      <c r="F676" s="2" t="n">
        <v>1</v>
      </c>
      <c r="G676" s="2" t="n">
        <v>0.5</v>
      </c>
      <c r="H676" s="2" t="inlineStr">
        <is>
          <t>LC/PC</t>
        </is>
      </c>
      <c r="I676" s="2" t="n"/>
      <c r="J676" s="2" t="n"/>
      <c r="K676" s="2" t="n"/>
      <c r="L676" s="2" t="n"/>
      <c r="M676" s="2" t="n"/>
      <c r="N676" s="2" t="n"/>
      <c r="O676" s="2" t="n"/>
      <c r="P676" s="2" t="n">
        <v>120</v>
      </c>
      <c r="Q676" s="2" t="n"/>
      <c r="R676" s="2" t="n"/>
      <c r="S676" s="2" t="n"/>
      <c r="T676" s="2" t="n">
        <v>400</v>
      </c>
      <c r="U676" s="2" t="n"/>
      <c r="V676" s="2">
        <f>SUM(J676:U676)</f>
        <v/>
      </c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>
        <f>IF(F676=1,V676*2,IF(F676=2,V676*F676*2,IF(F676&gt;2,F676*2*V676)))</f>
        <v/>
      </c>
      <c r="AW676" s="2">
        <f>SUM(W676:AU676)</f>
        <v/>
      </c>
    </row>
    <row r="677">
      <c r="A677" s="2" t="inlineStr">
        <is>
          <t>14-P-102</t>
        </is>
      </c>
      <c r="B677" s="3" t="inlineStr">
        <is>
          <t>PIGTAIL-FC/PC-SM-1C (0.9mm)</t>
        </is>
      </c>
      <c r="C677" s="2" t="inlineStr">
        <is>
          <t>1.5M</t>
        </is>
      </c>
      <c r="D677" s="2" t="inlineStr">
        <is>
          <t>pigtail</t>
        </is>
      </c>
      <c r="E677" s="2" t="n">
        <v>0.9</v>
      </c>
      <c r="F677" s="2" t="n">
        <v>1</v>
      </c>
      <c r="G677" s="2" t="n">
        <v>1.5</v>
      </c>
      <c r="H677" s="2" t="inlineStr">
        <is>
          <t>FC/PC</t>
        </is>
      </c>
      <c r="I677" s="2" t="n"/>
      <c r="J677" s="2" t="n">
        <v>30</v>
      </c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>
        <f>SUM(J677:U677)</f>
        <v/>
      </c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>
        <f>IF(F677=1,V677*2,IF(F677=2,V677*F677*2,IF(F677&gt;2,F677*2*V677)))</f>
        <v/>
      </c>
      <c r="AW677" s="2">
        <f>SUM(W677:AU677)</f>
        <v/>
      </c>
    </row>
    <row r="678">
      <c r="A678" s="2" t="inlineStr">
        <is>
          <t>14-P-103</t>
        </is>
      </c>
      <c r="B678" s="3" t="inlineStr">
        <is>
          <t>PIGTAIL-SC/PC-SM-1C (0.9mm)</t>
        </is>
      </c>
      <c r="C678" s="2" t="inlineStr">
        <is>
          <t>1.5M_백색</t>
        </is>
      </c>
      <c r="D678" s="2" t="inlineStr">
        <is>
          <t>pigtail</t>
        </is>
      </c>
      <c r="E678" s="2" t="n">
        <v>0.9</v>
      </c>
      <c r="F678" s="2" t="n">
        <v>1</v>
      </c>
      <c r="G678" s="2" t="n">
        <v>1.5</v>
      </c>
      <c r="H678" s="2" t="inlineStr">
        <is>
          <t>SC/PC</t>
        </is>
      </c>
      <c r="I678" s="2" t="n"/>
      <c r="J678" s="2" t="n"/>
      <c r="K678" s="2" t="n"/>
      <c r="L678" s="2" t="n"/>
      <c r="M678" s="2" t="n"/>
      <c r="N678" s="2" t="n">
        <v>300</v>
      </c>
      <c r="O678" s="2" t="n"/>
      <c r="P678" s="2" t="n"/>
      <c r="Q678" s="2" t="n"/>
      <c r="R678" s="2" t="n"/>
      <c r="S678" s="2" t="n"/>
      <c r="T678" s="2" t="n"/>
      <c r="U678" s="2" t="n"/>
      <c r="V678" s="2">
        <f>SUM(J678:U678)</f>
        <v/>
      </c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>
        <f>IF(F678=1,V678*2,IF(F678=2,V678*F678*2,IF(F678&gt;2,F678*2*V678)))</f>
        <v/>
      </c>
      <c r="AW678" s="2">
        <f>SUM(W678:AU678)</f>
        <v/>
      </c>
    </row>
    <row r="679">
      <c r="A679" s="2" t="inlineStr">
        <is>
          <t>14-P-106</t>
        </is>
      </c>
      <c r="B679" s="3" t="inlineStr">
        <is>
          <t>PIGTAIL-LC/PC-SM-12C (0.9mm)</t>
        </is>
      </c>
      <c r="C679" s="2" t="inlineStr">
        <is>
          <t>3M_12색</t>
        </is>
      </c>
      <c r="D679" s="2" t="inlineStr">
        <is>
          <t>pigtail</t>
        </is>
      </c>
      <c r="E679" s="2" t="n">
        <v>0.9</v>
      </c>
      <c r="F679" s="2" t="n">
        <v>12</v>
      </c>
      <c r="G679" s="2" t="n">
        <v>3</v>
      </c>
      <c r="H679" s="2" t="inlineStr">
        <is>
          <t>LC/PC</t>
        </is>
      </c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>
        <v>24</v>
      </c>
      <c r="U679" s="2" t="n"/>
      <c r="V679" s="2">
        <f>SUM(J679:U679)</f>
        <v/>
      </c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>
        <f>IF(F679=1,V679*2,IF(F679=2,V679*F679*2,IF(F679&gt;2,F679*2*V679)))</f>
        <v/>
      </c>
      <c r="AW679" s="2">
        <f>SUM(W679:AU679)</f>
        <v/>
      </c>
    </row>
    <row r="680">
      <c r="A680" s="2" t="inlineStr">
        <is>
          <t>14-S-052</t>
        </is>
      </c>
      <c r="B680" s="3" t="inlineStr">
        <is>
          <t>SOJC-SM-LC/PC-FC/APC</t>
        </is>
      </c>
      <c r="C680" s="2" t="inlineStr">
        <is>
          <t>15M</t>
        </is>
      </c>
      <c r="D680" s="2" t="inlineStr">
        <is>
          <t>a1</t>
        </is>
      </c>
      <c r="E680" s="2" t="inlineStr">
        <is>
          <t>2.0mm</t>
        </is>
      </c>
      <c r="F680" s="2" t="n">
        <v>1</v>
      </c>
      <c r="G680" s="2" t="n">
        <v>15</v>
      </c>
      <c r="H680" s="2" t="inlineStr">
        <is>
          <t>LC/PC</t>
        </is>
      </c>
      <c r="I680" s="2" t="inlineStr">
        <is>
          <t>FC/APC</t>
        </is>
      </c>
      <c r="J680" s="2" t="n"/>
      <c r="K680" s="2" t="n"/>
      <c r="L680" s="2" t="n"/>
      <c r="M680" s="2" t="n"/>
      <c r="N680" s="2" t="n">
        <v>30</v>
      </c>
      <c r="O680" s="2" t="n"/>
      <c r="P680" s="2" t="n"/>
      <c r="Q680" s="2" t="n"/>
      <c r="R680" s="2" t="n"/>
      <c r="S680" s="2" t="n"/>
      <c r="T680" s="2" t="n"/>
      <c r="U680" s="2" t="n"/>
      <c r="V680" s="2">
        <f>SUM(J680:U680)</f>
        <v/>
      </c>
      <c r="W680" s="2" t="n">
        <v>30</v>
      </c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>
        <v>30</v>
      </c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>
        <f>IF(F680=1,V680*2,IF(F680=2,V680*F680*2,IF(F680&gt;2,F680*2*V680)))</f>
        <v/>
      </c>
      <c r="AW680" s="2">
        <f>SUM(W680:AU680)</f>
        <v/>
      </c>
    </row>
    <row r="681">
      <c r="A681" s="2" t="inlineStr">
        <is>
          <t>14-S-060</t>
        </is>
      </c>
      <c r="B681" s="3" t="inlineStr">
        <is>
          <t>SOJC-SM-LC/PC-FC/APC</t>
        </is>
      </c>
      <c r="C681" s="2" t="inlineStr">
        <is>
          <t>3M</t>
        </is>
      </c>
      <c r="D681" s="2" t="inlineStr">
        <is>
          <t>a1</t>
        </is>
      </c>
      <c r="E681" s="2" t="inlineStr">
        <is>
          <t>2.0mm</t>
        </is>
      </c>
      <c r="F681" s="2" t="n">
        <v>1</v>
      </c>
      <c r="G681" s="2" t="n">
        <v>3</v>
      </c>
      <c r="H681" s="2" t="inlineStr">
        <is>
          <t>LC/PC</t>
        </is>
      </c>
      <c r="I681" s="2" t="inlineStr">
        <is>
          <t>FC/APC</t>
        </is>
      </c>
      <c r="J681" s="2" t="n"/>
      <c r="K681" s="2" t="n"/>
      <c r="L681" s="2" t="n"/>
      <c r="M681" s="2" t="n"/>
      <c r="N681" s="2" t="n"/>
      <c r="O681" s="2" t="n">
        <v>20</v>
      </c>
      <c r="P681" s="2" t="n"/>
      <c r="Q681" s="2" t="n"/>
      <c r="R681" s="2" t="n"/>
      <c r="S681" s="2" t="n"/>
      <c r="T681" s="2" t="n"/>
      <c r="U681" s="2" t="n"/>
      <c r="V681" s="2">
        <f>SUM(J681:U681)</f>
        <v/>
      </c>
      <c r="W681" s="2" t="n">
        <v>20</v>
      </c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>
        <v>20</v>
      </c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>
        <f>IF(F681=1,V681*2,IF(F681=2,V681*F681*2,IF(F681&gt;2,F681*2*V681)))</f>
        <v/>
      </c>
      <c r="AW681" s="2">
        <f>SUM(W681:AU681)</f>
        <v/>
      </c>
    </row>
    <row r="682">
      <c r="A682" s="2" t="inlineStr">
        <is>
          <t>14-S-064</t>
        </is>
      </c>
      <c r="B682" s="3" t="inlineStr">
        <is>
          <t>SOJC-SM-LC/PC-FC/APC</t>
        </is>
      </c>
      <c r="C682" s="2" t="inlineStr">
        <is>
          <t>5M</t>
        </is>
      </c>
      <c r="D682" s="2" t="inlineStr">
        <is>
          <t>a1</t>
        </is>
      </c>
      <c r="E682" s="2" t="inlineStr">
        <is>
          <t>2.0mm</t>
        </is>
      </c>
      <c r="F682" s="2" t="n">
        <v>1</v>
      </c>
      <c r="G682" s="2" t="n">
        <v>5</v>
      </c>
      <c r="H682" s="2" t="inlineStr">
        <is>
          <t>LC/PC</t>
        </is>
      </c>
      <c r="I682" s="2" t="inlineStr">
        <is>
          <t>FC/APC</t>
        </is>
      </c>
      <c r="J682" s="2" t="n"/>
      <c r="K682" s="2" t="n"/>
      <c r="L682" s="2" t="n"/>
      <c r="M682" s="2" t="n"/>
      <c r="N682" s="2" t="n"/>
      <c r="O682" s="2" t="n"/>
      <c r="P682" s="2" t="n"/>
      <c r="Q682" s="2" t="n">
        <v>2</v>
      </c>
      <c r="R682" s="2" t="n"/>
      <c r="S682" s="2" t="n"/>
      <c r="T682" s="2" t="n"/>
      <c r="U682" s="2" t="n"/>
      <c r="V682" s="2">
        <f>SUM(J682:U682)</f>
        <v/>
      </c>
      <c r="W682" s="2" t="n">
        <v>2</v>
      </c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>
        <v>2</v>
      </c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>
        <f>IF(F682=1,V682*2,IF(F682=2,V682*F682*2,IF(F682&gt;2,F682*2*V682)))</f>
        <v/>
      </c>
      <c r="AW682" s="2">
        <f>SUM(W682:AU682)</f>
        <v/>
      </c>
    </row>
    <row r="683">
      <c r="A683" s="2" t="inlineStr">
        <is>
          <t>14-S-065</t>
        </is>
      </c>
      <c r="B683" s="3" t="inlineStr">
        <is>
          <t>SOJC-SM-LC/PC-FC/APC</t>
        </is>
      </c>
      <c r="C683" s="2" t="inlineStr">
        <is>
          <t>6M</t>
        </is>
      </c>
      <c r="D683" s="2" t="inlineStr">
        <is>
          <t>a1</t>
        </is>
      </c>
      <c r="E683" s="2" t="inlineStr">
        <is>
          <t>2.0mm</t>
        </is>
      </c>
      <c r="F683" s="2" t="n">
        <v>1</v>
      </c>
      <c r="G683" s="2" t="n">
        <v>6</v>
      </c>
      <c r="H683" s="2" t="inlineStr">
        <is>
          <t>LC/PC</t>
        </is>
      </c>
      <c r="I683" s="2" t="inlineStr">
        <is>
          <t>FC/APC</t>
        </is>
      </c>
      <c r="J683" s="2" t="n"/>
      <c r="K683" s="2" t="n"/>
      <c r="L683" s="2" t="n"/>
      <c r="M683" s="2" t="n"/>
      <c r="N683" s="2" t="n"/>
      <c r="O683" s="2" t="n"/>
      <c r="P683" s="2" t="n"/>
      <c r="Q683" s="2" t="n">
        <v>5</v>
      </c>
      <c r="R683" s="2" t="n"/>
      <c r="S683" s="2" t="n"/>
      <c r="T683" s="2" t="n"/>
      <c r="U683" s="2" t="n"/>
      <c r="V683" s="2">
        <f>SUM(J683:U683)</f>
        <v/>
      </c>
      <c r="W683" s="2" t="n">
        <v>5</v>
      </c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>
        <v>5</v>
      </c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>
        <f>IF(F683=1,V683*2,IF(F683=2,V683*F683*2,IF(F683&gt;2,F683*2*V683)))</f>
        <v/>
      </c>
      <c r="AW683" s="2">
        <f>SUM(W683:AU683)</f>
        <v/>
      </c>
    </row>
    <row r="684">
      <c r="A684" s="2" t="inlineStr">
        <is>
          <t>14-S-069</t>
        </is>
      </c>
      <c r="B684" s="3" t="inlineStr">
        <is>
          <t>SOJC-SM-LC/PC-FC/PC</t>
        </is>
      </c>
      <c r="C684" s="2" t="inlineStr">
        <is>
          <t>15M</t>
        </is>
      </c>
      <c r="D684" s="2" t="inlineStr">
        <is>
          <t>a1</t>
        </is>
      </c>
      <c r="E684" s="2" t="inlineStr">
        <is>
          <t>2.0mm</t>
        </is>
      </c>
      <c r="F684" s="2" t="n">
        <v>1</v>
      </c>
      <c r="G684" s="2" t="n">
        <v>15</v>
      </c>
      <c r="H684" s="2" t="inlineStr">
        <is>
          <t>LC/PC</t>
        </is>
      </c>
      <c r="I684" s="2" t="inlineStr">
        <is>
          <t>FC/PC</t>
        </is>
      </c>
      <c r="J684" s="2" t="n"/>
      <c r="K684" s="2" t="n">
        <v>20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>
        <f>SUM(J684:U684)</f>
        <v/>
      </c>
      <c r="W684" s="2" t="n">
        <v>20</v>
      </c>
      <c r="X684" s="2" t="n"/>
      <c r="Y684" s="2" t="n"/>
      <c r="Z684" s="2" t="n"/>
      <c r="AA684" s="2" t="n"/>
      <c r="AB684" s="2" t="n"/>
      <c r="AC684" s="2" t="n"/>
      <c r="AD684" s="2" t="n"/>
      <c r="AE684" s="2" t="n">
        <v>20</v>
      </c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>
        <f>IF(F684=1,V684*2,IF(F684=2,V684*F684*2,IF(F684&gt;2,F684*2*V684)))</f>
        <v/>
      </c>
      <c r="AW684" s="2">
        <f>SUM(W684:AU684)</f>
        <v/>
      </c>
    </row>
    <row r="685">
      <c r="A685" s="2" t="inlineStr">
        <is>
          <t>14-S-071</t>
        </is>
      </c>
      <c r="B685" s="3" t="inlineStr">
        <is>
          <t>SOJC-SM-LC/PC-FC/PC</t>
        </is>
      </c>
      <c r="C685" s="2" t="inlineStr">
        <is>
          <t>20M</t>
        </is>
      </c>
      <c r="D685" s="2" t="inlineStr">
        <is>
          <t>a1</t>
        </is>
      </c>
      <c r="E685" s="2" t="inlineStr">
        <is>
          <t>2.0mm</t>
        </is>
      </c>
      <c r="F685" s="2" t="n">
        <v>1</v>
      </c>
      <c r="G685" s="2" t="n">
        <v>20</v>
      </c>
      <c r="H685" s="2" t="inlineStr">
        <is>
          <t>LC/PC</t>
        </is>
      </c>
      <c r="I685" s="2" t="inlineStr">
        <is>
          <t>FC/PC</t>
        </is>
      </c>
      <c r="J685" s="2" t="n"/>
      <c r="K685" s="2" t="n">
        <v>20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>
        <f>SUM(J685:U685)</f>
        <v/>
      </c>
      <c r="W685" s="2" t="n">
        <v>20</v>
      </c>
      <c r="X685" s="2" t="n"/>
      <c r="Y685" s="2" t="n"/>
      <c r="Z685" s="2" t="n"/>
      <c r="AA685" s="2" t="n"/>
      <c r="AB685" s="2" t="n"/>
      <c r="AC685" s="2" t="n"/>
      <c r="AD685" s="2" t="n"/>
      <c r="AE685" s="2" t="n">
        <v>20</v>
      </c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>
        <f>IF(F685=1,V685*2,IF(F685=2,V685*F685*2,IF(F685&gt;2,F685*2*V685)))</f>
        <v/>
      </c>
      <c r="AW685" s="2">
        <f>SUM(W685:AU685)</f>
        <v/>
      </c>
    </row>
    <row r="686">
      <c r="A686" s="2" t="inlineStr">
        <is>
          <t>14-S-075</t>
        </is>
      </c>
      <c r="B686" s="3" t="inlineStr">
        <is>
          <t>SOJC-SM-LC/PC-FC/PC</t>
        </is>
      </c>
      <c r="C686" s="2" t="inlineStr">
        <is>
          <t>3M</t>
        </is>
      </c>
      <c r="D686" s="2" t="inlineStr">
        <is>
          <t>a1</t>
        </is>
      </c>
      <c r="E686" s="2" t="inlineStr">
        <is>
          <t>2.0mm</t>
        </is>
      </c>
      <c r="F686" s="2" t="n">
        <v>1</v>
      </c>
      <c r="G686" s="2" t="n">
        <v>3</v>
      </c>
      <c r="H686" s="2" t="inlineStr">
        <is>
          <t>LC/PC</t>
        </is>
      </c>
      <c r="I686" s="2" t="inlineStr">
        <is>
          <t>FC/PC</t>
        </is>
      </c>
      <c r="J686" s="2" t="n"/>
      <c r="K686" s="2" t="n"/>
      <c r="L686" s="2" t="n"/>
      <c r="M686" s="2" t="n"/>
      <c r="N686" s="2" t="n"/>
      <c r="O686" s="2" t="n"/>
      <c r="P686" s="2" t="n">
        <v>20</v>
      </c>
      <c r="Q686" s="2" t="n"/>
      <c r="R686" s="2" t="n"/>
      <c r="S686" s="2" t="n"/>
      <c r="T686" s="2" t="n"/>
      <c r="U686" s="2" t="n"/>
      <c r="V686" s="2">
        <f>SUM(J686:U686)</f>
        <v/>
      </c>
      <c r="W686" s="2" t="n">
        <v>20</v>
      </c>
      <c r="X686" s="2" t="n"/>
      <c r="Y686" s="2" t="n"/>
      <c r="Z686" s="2" t="n"/>
      <c r="AA686" s="2" t="n"/>
      <c r="AB686" s="2" t="n"/>
      <c r="AC686" s="2" t="n"/>
      <c r="AD686" s="2" t="n"/>
      <c r="AE686" s="2" t="n">
        <v>20</v>
      </c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>
        <f>IF(F686=1,V686*2,IF(F686=2,V686*F686*2,IF(F686&gt;2,F686*2*V686)))</f>
        <v/>
      </c>
      <c r="AW686" s="2">
        <f>SUM(W686:AU686)</f>
        <v/>
      </c>
    </row>
    <row r="687">
      <c r="A687" s="2" t="inlineStr">
        <is>
          <t>14-S-089</t>
        </is>
      </c>
      <c r="B687" s="3" t="inlineStr">
        <is>
          <t>SOJC-SM-LC/PC-LC/PC</t>
        </is>
      </c>
      <c r="C687" s="2" t="inlineStr">
        <is>
          <t>15M</t>
        </is>
      </c>
      <c r="D687" s="2" t="inlineStr">
        <is>
          <t>a1</t>
        </is>
      </c>
      <c r="E687" s="2" t="inlineStr">
        <is>
          <t>2.0mm</t>
        </is>
      </c>
      <c r="F687" s="2" t="n">
        <v>1</v>
      </c>
      <c r="G687" s="2" t="n">
        <v>15</v>
      </c>
      <c r="H687" s="2" t="inlineStr">
        <is>
          <t>LC/PC</t>
        </is>
      </c>
      <c r="I687" s="2" t="inlineStr">
        <is>
          <t>LC/PC</t>
        </is>
      </c>
      <c r="J687" s="2" t="n"/>
      <c r="K687" s="2" t="n">
        <v>50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>
        <f>SUM(J687:U687)</f>
        <v/>
      </c>
      <c r="W687" s="2" t="n">
        <v>100</v>
      </c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>
        <f>IF(F687=1,V687*2,IF(F687=2,V687*F687*2,IF(F687&gt;2,F687*2*V687)))</f>
        <v/>
      </c>
      <c r="AW687" s="2">
        <f>SUM(W687:AU687)</f>
        <v/>
      </c>
    </row>
    <row r="688">
      <c r="A688" s="2" t="inlineStr">
        <is>
          <t>14-S-097</t>
        </is>
      </c>
      <c r="B688" s="3" t="inlineStr">
        <is>
          <t>SOJC-SM-LC/PC-LC/PC</t>
        </is>
      </c>
      <c r="C688" s="2" t="inlineStr">
        <is>
          <t>2M</t>
        </is>
      </c>
      <c r="D688" s="2" t="inlineStr">
        <is>
          <t>a1</t>
        </is>
      </c>
      <c r="E688" s="2" t="inlineStr">
        <is>
          <t>2.0mm</t>
        </is>
      </c>
      <c r="F688" s="2" t="n">
        <v>1</v>
      </c>
      <c r="G688" s="2" t="n">
        <v>2</v>
      </c>
      <c r="H688" s="2" t="inlineStr">
        <is>
          <t>LC/PC</t>
        </is>
      </c>
      <c r="I688" s="2" t="inlineStr">
        <is>
          <t>LC/PC</t>
        </is>
      </c>
      <c r="J688" s="2" t="n"/>
      <c r="K688" s="2" t="n"/>
      <c r="L688" s="2" t="n"/>
      <c r="M688" s="2" t="n"/>
      <c r="N688" s="2" t="n">
        <v>200</v>
      </c>
      <c r="O688" s="2" t="n"/>
      <c r="P688" s="2" t="n"/>
      <c r="Q688" s="2" t="n"/>
      <c r="R688" s="2" t="n"/>
      <c r="S688" s="2" t="n"/>
      <c r="T688" s="2" t="n"/>
      <c r="U688" s="2" t="n"/>
      <c r="V688" s="2">
        <f>SUM(J688:U688)</f>
        <v/>
      </c>
      <c r="W688" s="2" t="n">
        <v>400</v>
      </c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>
        <f>IF(F688=1,V688*2,IF(F688=2,V688*F688*2,IF(F688&gt;2,F688*2*V688)))</f>
        <v/>
      </c>
      <c r="AW688" s="2">
        <f>SUM(W688:AU688)</f>
        <v/>
      </c>
    </row>
    <row r="689">
      <c r="A689" s="2" t="inlineStr">
        <is>
          <t>14-S-099</t>
        </is>
      </c>
      <c r="B689" s="3" t="inlineStr">
        <is>
          <t>SOJC-SM-LC/PC-LC/PC</t>
        </is>
      </c>
      <c r="C689" s="2" t="inlineStr">
        <is>
          <t>3M</t>
        </is>
      </c>
      <c r="D689" s="2" t="inlineStr">
        <is>
          <t>a1</t>
        </is>
      </c>
      <c r="E689" s="2" t="inlineStr">
        <is>
          <t>2.0mm</t>
        </is>
      </c>
      <c r="F689" s="2" t="n">
        <v>1</v>
      </c>
      <c r="G689" s="2" t="n">
        <v>3</v>
      </c>
      <c r="H689" s="2" t="inlineStr">
        <is>
          <t>LC/PC</t>
        </is>
      </c>
      <c r="I689" s="2" t="inlineStr">
        <is>
          <t>LC/PC</t>
        </is>
      </c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>
        <v>30</v>
      </c>
      <c r="S689" s="2" t="n">
        <v>80</v>
      </c>
      <c r="T689" s="2" t="n">
        <v>50</v>
      </c>
      <c r="U689" s="2" t="n"/>
      <c r="V689" s="2">
        <f>SUM(J689:U689)</f>
        <v/>
      </c>
      <c r="W689" s="2" t="n">
        <v>320</v>
      </c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>
        <f>IF(F689=1,V689*2,IF(F689=2,V689*F689*2,IF(F689&gt;2,F689*2*V689)))</f>
        <v/>
      </c>
      <c r="AW689" s="2">
        <f>SUM(W689:AU689)</f>
        <v/>
      </c>
    </row>
    <row r="690">
      <c r="A690" s="2" t="inlineStr">
        <is>
          <t>14-S-100</t>
        </is>
      </c>
      <c r="B690" s="3" t="inlineStr">
        <is>
          <t>SOJC-SM-LC/PC-LC/PC</t>
        </is>
      </c>
      <c r="C690" s="2" t="inlineStr">
        <is>
          <t>40M</t>
        </is>
      </c>
      <c r="D690" s="2" t="inlineStr">
        <is>
          <t>a1</t>
        </is>
      </c>
      <c r="E690" s="2" t="inlineStr">
        <is>
          <t>2.0mm</t>
        </is>
      </c>
      <c r="F690" s="2" t="n">
        <v>1</v>
      </c>
      <c r="G690" s="2" t="n">
        <v>40</v>
      </c>
      <c r="H690" s="2" t="inlineStr">
        <is>
          <t>LC/PC</t>
        </is>
      </c>
      <c r="I690" s="2" t="inlineStr">
        <is>
          <t>LC/PC</t>
        </is>
      </c>
      <c r="J690" s="2" t="n"/>
      <c r="K690" s="2" t="n"/>
      <c r="L690" s="2" t="n"/>
      <c r="M690" s="2" t="n"/>
      <c r="N690" s="2" t="n">
        <v>4</v>
      </c>
      <c r="O690" s="2" t="n"/>
      <c r="P690" s="2" t="n"/>
      <c r="Q690" s="2" t="n"/>
      <c r="R690" s="2" t="n"/>
      <c r="S690" s="2" t="n"/>
      <c r="T690" s="2" t="n"/>
      <c r="U690" s="2" t="n"/>
      <c r="V690" s="2">
        <f>SUM(J690:U690)</f>
        <v/>
      </c>
      <c r="W690" s="2" t="n">
        <v>8</v>
      </c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>
        <f>IF(F690=1,V690*2,IF(F690=2,V690*F690*2,IF(F690&gt;2,F690*2*V690)))</f>
        <v/>
      </c>
      <c r="AW690" s="2">
        <f>SUM(W690:AU690)</f>
        <v/>
      </c>
    </row>
    <row r="691">
      <c r="A691" s="2" t="inlineStr">
        <is>
          <t>14-S-104</t>
        </is>
      </c>
      <c r="B691" s="3" t="inlineStr">
        <is>
          <t>SOJC-SM-LC/PC-LC/PC</t>
        </is>
      </c>
      <c r="C691" s="2" t="inlineStr">
        <is>
          <t>5M</t>
        </is>
      </c>
      <c r="D691" s="2" t="inlineStr">
        <is>
          <t>a1</t>
        </is>
      </c>
      <c r="E691" s="2" t="inlineStr">
        <is>
          <t>2.0mm</t>
        </is>
      </c>
      <c r="F691" s="2" t="n">
        <v>1</v>
      </c>
      <c r="G691" s="2" t="n">
        <v>5</v>
      </c>
      <c r="H691" s="2" t="inlineStr">
        <is>
          <t>LC/PC</t>
        </is>
      </c>
      <c r="I691" s="2" t="inlineStr">
        <is>
          <t>LC/PC</t>
        </is>
      </c>
      <c r="J691" s="2" t="n"/>
      <c r="K691" s="2" t="n"/>
      <c r="L691" s="2" t="n"/>
      <c r="M691" s="2" t="n"/>
      <c r="N691" s="2" t="n">
        <v>30</v>
      </c>
      <c r="O691" s="2" t="n"/>
      <c r="P691" s="2" t="n"/>
      <c r="Q691" s="2" t="n">
        <v>30</v>
      </c>
      <c r="R691" s="2" t="n"/>
      <c r="S691" s="2" t="n"/>
      <c r="T691" s="2" t="n"/>
      <c r="U691" s="2" t="n"/>
      <c r="V691" s="2">
        <f>SUM(J691:U691)</f>
        <v/>
      </c>
      <c r="W691" s="2" t="n">
        <v>120</v>
      </c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>
        <f>IF(F691=1,V691*2,IF(F691=2,V691*F691*2,IF(F691&gt;2,F691*2*V691)))</f>
        <v/>
      </c>
      <c r="AW691" s="2">
        <f>SUM(W691:AU691)</f>
        <v/>
      </c>
    </row>
    <row r="692">
      <c r="A692" s="2" t="inlineStr">
        <is>
          <t>14-S-116</t>
        </is>
      </c>
      <c r="B692" s="3" t="inlineStr">
        <is>
          <t>SOJC-SM-LC/PC-SC/APC</t>
        </is>
      </c>
      <c r="C692" s="2" t="inlineStr">
        <is>
          <t>1M</t>
        </is>
      </c>
      <c r="D692" s="2" t="inlineStr">
        <is>
          <t>a1</t>
        </is>
      </c>
      <c r="E692" s="2" t="inlineStr">
        <is>
          <t>2.0mm</t>
        </is>
      </c>
      <c r="F692" s="2" t="n">
        <v>1</v>
      </c>
      <c r="G692" s="2" t="n">
        <v>1</v>
      </c>
      <c r="H692" s="2" t="inlineStr">
        <is>
          <t>LC/PC</t>
        </is>
      </c>
      <c r="I692" s="2" t="inlineStr">
        <is>
          <t>SC/APC</t>
        </is>
      </c>
      <c r="J692" s="2" t="n"/>
      <c r="K692" s="2" t="n"/>
      <c r="L692" s="2" t="n"/>
      <c r="M692" s="2" t="n"/>
      <c r="N692" s="2" t="n"/>
      <c r="O692" s="2" t="n">
        <v>30</v>
      </c>
      <c r="P692" s="2" t="n"/>
      <c r="Q692" s="2" t="n"/>
      <c r="R692" s="2" t="n"/>
      <c r="S692" s="2" t="n"/>
      <c r="T692" s="2" t="n"/>
      <c r="U692" s="2" t="n"/>
      <c r="V692" s="2">
        <f>SUM(J692:U692)</f>
        <v/>
      </c>
      <c r="W692" s="2" t="n">
        <v>30</v>
      </c>
      <c r="X692" s="2" t="n"/>
      <c r="Y692" s="2" t="n"/>
      <c r="Z692" s="2" t="n"/>
      <c r="AA692" s="2" t="n"/>
      <c r="AB692" s="2" t="n"/>
      <c r="AC692" s="2" t="n">
        <v>30</v>
      </c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>
        <f>IF(F692=1,V692*2,IF(F692=2,V692*F692*2,IF(F692&gt;2,F692*2*V692)))</f>
        <v/>
      </c>
      <c r="AW692" s="2">
        <f>SUM(W692:AU692)</f>
        <v/>
      </c>
    </row>
    <row r="693">
      <c r="A693" s="2" t="inlineStr">
        <is>
          <t>14-S-118</t>
        </is>
      </c>
      <c r="B693" s="3" t="inlineStr">
        <is>
          <t>SOJC-SM-LC/PC-SC/APC</t>
        </is>
      </c>
      <c r="C693" s="2" t="inlineStr">
        <is>
          <t>25M</t>
        </is>
      </c>
      <c r="D693" s="2" t="inlineStr">
        <is>
          <t>a1</t>
        </is>
      </c>
      <c r="E693" s="2" t="inlineStr">
        <is>
          <t>2.0mm</t>
        </is>
      </c>
      <c r="F693" s="2" t="n">
        <v>1</v>
      </c>
      <c r="G693" s="2" t="n">
        <v>25</v>
      </c>
      <c r="H693" s="2" t="inlineStr">
        <is>
          <t>LC/PC</t>
        </is>
      </c>
      <c r="I693" s="2" t="inlineStr">
        <is>
          <t>SC/APC</t>
        </is>
      </c>
      <c r="J693" s="2" t="n"/>
      <c r="K693" s="2" t="n"/>
      <c r="L693" s="2" t="n">
        <v>4</v>
      </c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>
        <f>SUM(J693:U693)</f>
        <v/>
      </c>
      <c r="W693" s="2" t="n">
        <v>4</v>
      </c>
      <c r="X693" s="2" t="n"/>
      <c r="Y693" s="2" t="n"/>
      <c r="Z693" s="2" t="n"/>
      <c r="AA693" s="2" t="n"/>
      <c r="AB693" s="2" t="n"/>
      <c r="AC693" s="2" t="n">
        <v>4</v>
      </c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>
        <f>IF(F693=1,V693*2,IF(F693=2,V693*F693*2,IF(F693&gt;2,F693*2*V693)))</f>
        <v/>
      </c>
      <c r="AW693" s="2">
        <f>SUM(W693:AU693)</f>
        <v/>
      </c>
    </row>
    <row r="694">
      <c r="A694" s="2" t="inlineStr">
        <is>
          <t>14-S-120</t>
        </is>
      </c>
      <c r="B694" s="3" t="inlineStr">
        <is>
          <t>SOJC-SM-LC/PC-SC/APC</t>
        </is>
      </c>
      <c r="C694" s="2" t="inlineStr">
        <is>
          <t>30M</t>
        </is>
      </c>
      <c r="D694" s="2" t="inlineStr">
        <is>
          <t>a1</t>
        </is>
      </c>
      <c r="E694" s="2" t="inlineStr">
        <is>
          <t>2.0mm</t>
        </is>
      </c>
      <c r="F694" s="2" t="n">
        <v>1</v>
      </c>
      <c r="G694" s="2" t="n">
        <v>30</v>
      </c>
      <c r="H694" s="2" t="inlineStr">
        <is>
          <t>LC/PC</t>
        </is>
      </c>
      <c r="I694" s="2" t="inlineStr">
        <is>
          <t>SC/APC</t>
        </is>
      </c>
      <c r="J694" s="2" t="n"/>
      <c r="K694" s="2" t="n"/>
      <c r="L694" s="2" t="n"/>
      <c r="M694" s="2" t="n">
        <v>1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>
        <f>SUM(J694:U694)</f>
        <v/>
      </c>
      <c r="W694" s="2" t="n">
        <v>1</v>
      </c>
      <c r="X694" s="2" t="n"/>
      <c r="Y694" s="2" t="n"/>
      <c r="Z694" s="2" t="n"/>
      <c r="AA694" s="2" t="n"/>
      <c r="AB694" s="2" t="n"/>
      <c r="AC694" s="2" t="n">
        <v>1</v>
      </c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>
        <f>IF(F694=1,V694*2,IF(F694=2,V694*F694*2,IF(F694&gt;2,F694*2*V694)))</f>
        <v/>
      </c>
      <c r="AW694" s="2">
        <f>SUM(W694:AU694)</f>
        <v/>
      </c>
    </row>
    <row r="695">
      <c r="A695" s="2" t="inlineStr">
        <is>
          <t>14-S-121</t>
        </is>
      </c>
      <c r="B695" s="3" t="inlineStr">
        <is>
          <t>SOJC-SM-LC/PC-SC/APC</t>
        </is>
      </c>
      <c r="C695" s="2" t="inlineStr">
        <is>
          <t>3M</t>
        </is>
      </c>
      <c r="D695" s="2" t="inlineStr">
        <is>
          <t>a1</t>
        </is>
      </c>
      <c r="E695" s="2" t="inlineStr">
        <is>
          <t>2.0mm</t>
        </is>
      </c>
      <c r="F695" s="2" t="n">
        <v>1</v>
      </c>
      <c r="G695" s="2" t="n">
        <v>3</v>
      </c>
      <c r="H695" s="2" t="inlineStr">
        <is>
          <t>LC/PC</t>
        </is>
      </c>
      <c r="I695" s="2" t="inlineStr">
        <is>
          <t>SC/APC</t>
        </is>
      </c>
      <c r="J695" s="2" t="n"/>
      <c r="K695" s="2" t="n">
        <v>20</v>
      </c>
      <c r="L695" s="2" t="n"/>
      <c r="M695" s="2" t="n"/>
      <c r="N695" s="2" t="n">
        <v>50</v>
      </c>
      <c r="O695" s="2" t="n"/>
      <c r="P695" s="2" t="n"/>
      <c r="Q695" s="2" t="n">
        <v>50</v>
      </c>
      <c r="R695" s="2" t="n"/>
      <c r="S695" s="2" t="n">
        <v>30</v>
      </c>
      <c r="T695" s="2" t="n"/>
      <c r="U695" s="2" t="n"/>
      <c r="V695" s="2">
        <f>SUM(J695:U695)</f>
        <v/>
      </c>
      <c r="W695" s="2" t="n">
        <v>150</v>
      </c>
      <c r="X695" s="2" t="n"/>
      <c r="Y695" s="2" t="n"/>
      <c r="Z695" s="2" t="n"/>
      <c r="AA695" s="2" t="n"/>
      <c r="AB695" s="2" t="n"/>
      <c r="AC695" s="2" t="n">
        <v>150</v>
      </c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>
        <f>IF(F695=1,V695*2,IF(F695=2,V695*F695*2,IF(F695&gt;2,F695*2*V695)))</f>
        <v/>
      </c>
      <c r="AW695" s="2">
        <f>SUM(W695:AU695)</f>
        <v/>
      </c>
    </row>
    <row r="696">
      <c r="A696" s="2" t="inlineStr">
        <is>
          <t>14-S-129</t>
        </is>
      </c>
      <c r="B696" s="3" t="inlineStr">
        <is>
          <t>SOJC-SM-LC/PC-SC/PC</t>
        </is>
      </c>
      <c r="C696" s="2" t="inlineStr">
        <is>
          <t>1.5M</t>
        </is>
      </c>
      <c r="D696" s="2" t="inlineStr">
        <is>
          <t>a1</t>
        </is>
      </c>
      <c r="E696" s="2" t="inlineStr">
        <is>
          <t>2.0mm</t>
        </is>
      </c>
      <c r="F696" s="2" t="n">
        <v>1</v>
      </c>
      <c r="G696" s="2" t="n">
        <v>1.5</v>
      </c>
      <c r="H696" s="2" t="inlineStr">
        <is>
          <t>LC/PC</t>
        </is>
      </c>
      <c r="I696" s="2" t="inlineStr">
        <is>
          <t>SC/PC</t>
        </is>
      </c>
      <c r="J696" s="2" t="n"/>
      <c r="K696" s="2" t="n">
        <v>2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>
        <f>SUM(J696:U696)</f>
        <v/>
      </c>
      <c r="W696" s="2" t="n">
        <v>2</v>
      </c>
      <c r="X696" s="2" t="n"/>
      <c r="Y696" s="2" t="n"/>
      <c r="Z696" s="2" t="n"/>
      <c r="AA696" s="2" t="n">
        <v>2</v>
      </c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>
        <f>IF(F696=1,V696*2,IF(F696=2,V696*F696*2,IF(F696&gt;2,F696*2*V696)))</f>
        <v/>
      </c>
      <c r="AW696" s="2">
        <f>SUM(W696:AU696)</f>
        <v/>
      </c>
    </row>
    <row r="697">
      <c r="A697" s="2" t="inlineStr">
        <is>
          <t>14-S-133</t>
        </is>
      </c>
      <c r="B697" s="3" t="inlineStr">
        <is>
          <t>SOJC-SM-LC/PC-SC/PC</t>
        </is>
      </c>
      <c r="C697" s="2" t="inlineStr">
        <is>
          <t>13M</t>
        </is>
      </c>
      <c r="D697" s="2" t="inlineStr">
        <is>
          <t>a1</t>
        </is>
      </c>
      <c r="E697" s="2" t="inlineStr">
        <is>
          <t>2.0mm</t>
        </is>
      </c>
      <c r="F697" s="2" t="n">
        <v>1</v>
      </c>
      <c r="G697" s="2" t="n">
        <v>13</v>
      </c>
      <c r="H697" s="2" t="inlineStr">
        <is>
          <t>LC/PC</t>
        </is>
      </c>
      <c r="I697" s="2" t="inlineStr">
        <is>
          <t>SC/PC</t>
        </is>
      </c>
      <c r="J697" s="2" t="n"/>
      <c r="K697" s="2" t="n">
        <v>3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>
        <f>SUM(J697:U697)</f>
        <v/>
      </c>
      <c r="W697" s="2" t="n">
        <v>3</v>
      </c>
      <c r="X697" s="2" t="n"/>
      <c r="Y697" s="2" t="n"/>
      <c r="Z697" s="2" t="n"/>
      <c r="AA697" s="2" t="n">
        <v>3</v>
      </c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>
        <f>IF(F697=1,V697*2,IF(F697=2,V697*F697*2,IF(F697&gt;2,F697*2*V697)))</f>
        <v/>
      </c>
      <c r="AW697" s="2">
        <f>SUM(W697:AU697)</f>
        <v/>
      </c>
    </row>
    <row r="698">
      <c r="A698" s="2" t="inlineStr">
        <is>
          <t>14-S-134</t>
        </is>
      </c>
      <c r="B698" s="3" t="inlineStr">
        <is>
          <t>SOJC-SM-LC/PC-SC/PC</t>
        </is>
      </c>
      <c r="C698" s="2" t="inlineStr">
        <is>
          <t>15M</t>
        </is>
      </c>
      <c r="D698" s="2" t="inlineStr">
        <is>
          <t>a1</t>
        </is>
      </c>
      <c r="E698" s="2" t="inlineStr">
        <is>
          <t>2.0mm</t>
        </is>
      </c>
      <c r="F698" s="2" t="n">
        <v>1</v>
      </c>
      <c r="G698" s="2" t="n">
        <v>15</v>
      </c>
      <c r="H698" s="2" t="inlineStr">
        <is>
          <t>LC/PC</t>
        </is>
      </c>
      <c r="I698" s="2" t="inlineStr">
        <is>
          <t>SC/PC</t>
        </is>
      </c>
      <c r="J698" s="2" t="n"/>
      <c r="K698" s="2" t="n">
        <v>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>
        <f>SUM(J698:U698)</f>
        <v/>
      </c>
      <c r="W698" s="2" t="n">
        <v>4</v>
      </c>
      <c r="X698" s="2" t="n"/>
      <c r="Y698" s="2" t="n"/>
      <c r="Z698" s="2" t="n"/>
      <c r="AA698" s="2" t="n">
        <v>4</v>
      </c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>
        <f>IF(F698=1,V698*2,IF(F698=2,V698*F698*2,IF(F698&gt;2,F698*2*V698)))</f>
        <v/>
      </c>
      <c r="AW698" s="2">
        <f>SUM(W698:AU698)</f>
        <v/>
      </c>
    </row>
    <row r="699">
      <c r="A699" s="2" t="inlineStr">
        <is>
          <t>14-S-135</t>
        </is>
      </c>
      <c r="B699" s="3" t="inlineStr">
        <is>
          <t>SOJC-SM-LC/PC-SC/PC</t>
        </is>
      </c>
      <c r="C699" s="2" t="inlineStr">
        <is>
          <t>16M</t>
        </is>
      </c>
      <c r="D699" s="2" t="inlineStr">
        <is>
          <t>a1</t>
        </is>
      </c>
      <c r="E699" s="2" t="inlineStr">
        <is>
          <t>2.0mm</t>
        </is>
      </c>
      <c r="F699" s="2" t="n">
        <v>1</v>
      </c>
      <c r="G699" s="2" t="n">
        <v>16</v>
      </c>
      <c r="H699" s="2" t="inlineStr">
        <is>
          <t>LC/PC</t>
        </is>
      </c>
      <c r="I699" s="2" t="inlineStr">
        <is>
          <t>SC/PC</t>
        </is>
      </c>
      <c r="J699" s="2" t="n"/>
      <c r="K699" s="2" t="n">
        <v>2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>
        <f>SUM(J699:U699)</f>
        <v/>
      </c>
      <c r="W699" s="2" t="n">
        <v>2</v>
      </c>
      <c r="X699" s="2" t="n"/>
      <c r="Y699" s="2" t="n"/>
      <c r="Z699" s="2" t="n"/>
      <c r="AA699" s="2" t="n">
        <v>2</v>
      </c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>
        <f>IF(F699=1,V699*2,IF(F699=2,V699*F699*2,IF(F699&gt;2,F699*2*V699)))</f>
        <v/>
      </c>
      <c r="AW699" s="2">
        <f>SUM(W699:AU699)</f>
        <v/>
      </c>
    </row>
    <row r="700">
      <c r="A700" s="2" t="inlineStr">
        <is>
          <t>14-S-138</t>
        </is>
      </c>
      <c r="B700" s="3" t="inlineStr">
        <is>
          <t>SOJC-SM-LC/PC-SC/PC</t>
        </is>
      </c>
      <c r="C700" s="2" t="inlineStr">
        <is>
          <t>1M</t>
        </is>
      </c>
      <c r="D700" s="2" t="inlineStr">
        <is>
          <t>a1</t>
        </is>
      </c>
      <c r="E700" s="2" t="inlineStr">
        <is>
          <t>2.0mm</t>
        </is>
      </c>
      <c r="F700" s="2" t="n">
        <v>1</v>
      </c>
      <c r="G700" s="2" t="n">
        <v>1</v>
      </c>
      <c r="H700" s="2" t="inlineStr">
        <is>
          <t>LC/PC</t>
        </is>
      </c>
      <c r="I700" s="2" t="inlineStr">
        <is>
          <t>SC/PC</t>
        </is>
      </c>
      <c r="J700" s="2" t="n"/>
      <c r="K700" s="2" t="n"/>
      <c r="L700" s="2" t="n"/>
      <c r="M700" s="2" t="n"/>
      <c r="N700" s="2" t="n"/>
      <c r="O700" s="2" t="n"/>
      <c r="P700" s="2" t="n"/>
      <c r="Q700" s="2" t="n">
        <v>15</v>
      </c>
      <c r="R700" s="2" t="n"/>
      <c r="S700" s="2" t="n"/>
      <c r="T700" s="2" t="n">
        <v>50</v>
      </c>
      <c r="U700" s="2" t="n"/>
      <c r="V700" s="2">
        <f>SUM(J700:U700)</f>
        <v/>
      </c>
      <c r="W700" s="2" t="n">
        <v>65</v>
      </c>
      <c r="X700" s="2" t="n"/>
      <c r="Y700" s="2" t="n"/>
      <c r="Z700" s="2" t="n"/>
      <c r="AA700" s="2" t="n">
        <v>65</v>
      </c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>
        <f>IF(F700=1,V700*2,IF(F700=2,V700*F700*2,IF(F700&gt;2,F700*2*V700)))</f>
        <v/>
      </c>
      <c r="AW700" s="2">
        <f>SUM(W700:AU700)</f>
        <v/>
      </c>
    </row>
    <row r="701">
      <c r="A701" s="2" t="inlineStr">
        <is>
          <t>14-S-146</t>
        </is>
      </c>
      <c r="B701" s="3" t="inlineStr">
        <is>
          <t>SOJC-SM-LC/PC-SC/PC</t>
        </is>
      </c>
      <c r="C701" s="2" t="inlineStr">
        <is>
          <t>3M</t>
        </is>
      </c>
      <c r="D701" s="2" t="inlineStr">
        <is>
          <t>a1</t>
        </is>
      </c>
      <c r="E701" s="2" t="inlineStr">
        <is>
          <t>2.0mm</t>
        </is>
      </c>
      <c r="F701" s="2" t="n">
        <v>1</v>
      </c>
      <c r="G701" s="2" t="n">
        <v>3</v>
      </c>
      <c r="H701" s="2" t="inlineStr">
        <is>
          <t>LC/PC</t>
        </is>
      </c>
      <c r="I701" s="2" t="inlineStr">
        <is>
          <t>SC/PC</t>
        </is>
      </c>
      <c r="J701" s="2" t="n"/>
      <c r="K701" s="2" t="n"/>
      <c r="L701" s="2" t="n"/>
      <c r="M701" s="2" t="n"/>
      <c r="N701" s="2" t="n"/>
      <c r="O701" s="2" t="n"/>
      <c r="P701" s="2" t="n">
        <v>160</v>
      </c>
      <c r="Q701" s="2" t="n">
        <v>1</v>
      </c>
      <c r="R701" s="2" t="n">
        <v>30</v>
      </c>
      <c r="S701" s="2" t="n"/>
      <c r="T701" s="2" t="n"/>
      <c r="U701" s="2" t="n"/>
      <c r="V701" s="2">
        <f>SUM(J701:U701)</f>
        <v/>
      </c>
      <c r="W701" s="2" t="n">
        <v>191</v>
      </c>
      <c r="X701" s="2" t="n"/>
      <c r="Y701" s="2" t="n"/>
      <c r="Z701" s="2" t="n"/>
      <c r="AA701" s="2" t="n">
        <v>191</v>
      </c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>
        <f>IF(F701=1,V701*2,IF(F701=2,V701*F701*2,IF(F701&gt;2,F701*2*V701)))</f>
        <v/>
      </c>
      <c r="AW701" s="2">
        <f>SUM(W701:AU701)</f>
        <v/>
      </c>
    </row>
    <row r="702">
      <c r="A702" s="2" t="inlineStr">
        <is>
          <t>14-S-148</t>
        </is>
      </c>
      <c r="B702" s="3" t="inlineStr">
        <is>
          <t>SOJC-SM-LC/PC-SC/PC</t>
        </is>
      </c>
      <c r="C702" s="2" t="inlineStr">
        <is>
          <t>5M</t>
        </is>
      </c>
      <c r="D702" s="2" t="inlineStr">
        <is>
          <t>a1</t>
        </is>
      </c>
      <c r="E702" s="2" t="inlineStr">
        <is>
          <t>2.0mm</t>
        </is>
      </c>
      <c r="F702" s="2" t="n">
        <v>1</v>
      </c>
      <c r="G702" s="2" t="n">
        <v>5</v>
      </c>
      <c r="H702" s="2" t="inlineStr">
        <is>
          <t>LC/PC</t>
        </is>
      </c>
      <c r="I702" s="2" t="inlineStr">
        <is>
          <t>SC/PC</t>
        </is>
      </c>
      <c r="J702" s="2" t="n"/>
      <c r="K702" s="2" t="n"/>
      <c r="L702" s="2" t="n"/>
      <c r="M702" s="2" t="n"/>
      <c r="N702" s="2" t="n"/>
      <c r="O702" s="2" t="n"/>
      <c r="P702" s="2" t="n">
        <v>30</v>
      </c>
      <c r="Q702" s="2" t="n">
        <v>6</v>
      </c>
      <c r="R702" s="2" t="n"/>
      <c r="S702" s="2" t="n">
        <v>70</v>
      </c>
      <c r="T702" s="2" t="n">
        <v>105</v>
      </c>
      <c r="U702" s="2" t="n"/>
      <c r="V702" s="2">
        <f>SUM(J702:U702)</f>
        <v/>
      </c>
      <c r="W702" s="2" t="n">
        <v>211</v>
      </c>
      <c r="X702" s="2" t="n"/>
      <c r="Y702" s="2" t="n"/>
      <c r="Z702" s="2" t="n"/>
      <c r="AA702" s="2" t="n">
        <v>211</v>
      </c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>
        <f>IF(F702=1,V702*2,IF(F702=2,V702*F702*2,IF(F702&gt;2,F702*2*V702)))</f>
        <v/>
      </c>
      <c r="AW702" s="2">
        <f>SUM(W702:AU702)</f>
        <v/>
      </c>
    </row>
    <row r="703">
      <c r="A703" s="2" t="inlineStr">
        <is>
          <t>14-S-175</t>
        </is>
      </c>
      <c r="B703" s="3" t="inlineStr">
        <is>
          <t>SOJC-SM-SC/APC-SC/APC</t>
        </is>
      </c>
      <c r="C703" s="2" t="inlineStr">
        <is>
          <t>1.5M</t>
        </is>
      </c>
      <c r="D703" s="2" t="inlineStr">
        <is>
          <t>a1</t>
        </is>
      </c>
      <c r="E703" s="2" t="inlineStr">
        <is>
          <t>2.0mm</t>
        </is>
      </c>
      <c r="F703" s="2" t="n">
        <v>1</v>
      </c>
      <c r="G703" s="2" t="n">
        <v>1.5</v>
      </c>
      <c r="H703" s="2" t="inlineStr">
        <is>
          <t>SC/APC</t>
        </is>
      </c>
      <c r="I703" s="2" t="inlineStr">
        <is>
          <t>SC/APC</t>
        </is>
      </c>
      <c r="J703" s="2" t="n"/>
      <c r="K703" s="2" t="n"/>
      <c r="L703" s="2" t="n"/>
      <c r="M703" s="2" t="n"/>
      <c r="N703" s="2" t="n">
        <v>300</v>
      </c>
      <c r="O703" s="2" t="n"/>
      <c r="P703" s="2" t="n"/>
      <c r="Q703" s="2" t="n"/>
      <c r="R703" s="2" t="n"/>
      <c r="S703" s="2" t="n"/>
      <c r="T703" s="2" t="n"/>
      <c r="U703" s="2" t="n"/>
      <c r="V703" s="2">
        <f>SUM(J703:U703)</f>
        <v/>
      </c>
      <c r="W703" s="2" t="n"/>
      <c r="X703" s="2" t="n"/>
      <c r="Y703" s="2" t="n"/>
      <c r="Z703" s="2" t="n"/>
      <c r="AA703" s="2" t="n"/>
      <c r="AB703" s="2" t="n"/>
      <c r="AC703" s="2" t="n">
        <v>600</v>
      </c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>
        <f>IF(F703=1,V703*2,IF(F703=2,V703*F703*2,IF(F703&gt;2,F703*2*V703)))</f>
        <v/>
      </c>
      <c r="AW703" s="2">
        <f>SUM(W703:AU703)</f>
        <v/>
      </c>
    </row>
    <row r="704">
      <c r="A704" s="2" t="inlineStr">
        <is>
          <t>14-S-176</t>
        </is>
      </c>
      <c r="B704" s="3" t="inlineStr">
        <is>
          <t>SOJC-SM-SC/APC-SC/APC</t>
        </is>
      </c>
      <c r="C704" s="2" t="inlineStr">
        <is>
          <t>10M</t>
        </is>
      </c>
      <c r="D704" s="2" t="inlineStr">
        <is>
          <t>a1</t>
        </is>
      </c>
      <c r="E704" s="2" t="inlineStr">
        <is>
          <t>2.0mm</t>
        </is>
      </c>
      <c r="F704" s="2" t="n">
        <v>1</v>
      </c>
      <c r="G704" s="2" t="n">
        <v>10</v>
      </c>
      <c r="H704" s="2" t="inlineStr">
        <is>
          <t>SC/APC</t>
        </is>
      </c>
      <c r="I704" s="2" t="inlineStr">
        <is>
          <t>SC/APC</t>
        </is>
      </c>
      <c r="J704" s="2" t="n"/>
      <c r="K704" s="2" t="n"/>
      <c r="L704" s="2" t="n"/>
      <c r="M704" s="2" t="n"/>
      <c r="N704" s="2" t="n"/>
      <c r="O704" s="2" t="n"/>
      <c r="P704" s="2" t="n"/>
      <c r="Q704" s="2" t="n">
        <v>10</v>
      </c>
      <c r="R704" s="2" t="n"/>
      <c r="S704" s="2" t="n"/>
      <c r="T704" s="2" t="n"/>
      <c r="U704" s="2" t="n"/>
      <c r="V704" s="2">
        <f>SUM(J704:U704)</f>
        <v/>
      </c>
      <c r="W704" s="2" t="n"/>
      <c r="X704" s="2" t="n"/>
      <c r="Y704" s="2" t="n"/>
      <c r="Z704" s="2" t="n"/>
      <c r="AA704" s="2" t="n"/>
      <c r="AB704" s="2" t="n"/>
      <c r="AC704" s="2" t="n">
        <v>20</v>
      </c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>
        <f>IF(F704=1,V704*2,IF(F704=2,V704*F704*2,IF(F704&gt;2,F704*2*V704)))</f>
        <v/>
      </c>
      <c r="AW704" s="2">
        <f>SUM(W704:AU704)</f>
        <v/>
      </c>
    </row>
    <row r="705">
      <c r="A705" s="2" t="inlineStr">
        <is>
          <t>14-S-181</t>
        </is>
      </c>
      <c r="B705" s="3" t="inlineStr">
        <is>
          <t>SOJC-SM-SC/APC-SC/APC</t>
        </is>
      </c>
      <c r="C705" s="2" t="inlineStr">
        <is>
          <t>20M</t>
        </is>
      </c>
      <c r="D705" s="2" t="inlineStr">
        <is>
          <t>a1</t>
        </is>
      </c>
      <c r="E705" s="2" t="inlineStr">
        <is>
          <t>2.0mm</t>
        </is>
      </c>
      <c r="F705" s="2" t="n">
        <v>1</v>
      </c>
      <c r="G705" s="2" t="n">
        <v>20</v>
      </c>
      <c r="H705" s="2" t="inlineStr">
        <is>
          <t>SC/APC</t>
        </is>
      </c>
      <c r="I705" s="2" t="inlineStr">
        <is>
          <t>SC/APC</t>
        </is>
      </c>
      <c r="J705" s="2" t="n"/>
      <c r="K705" s="2" t="n"/>
      <c r="L705" s="2" t="n"/>
      <c r="M705" s="2" t="n">
        <v>15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>
        <f>SUM(J705:U705)</f>
        <v/>
      </c>
      <c r="W705" s="2" t="n"/>
      <c r="X705" s="2" t="n"/>
      <c r="Y705" s="2" t="n"/>
      <c r="Z705" s="2" t="n"/>
      <c r="AA705" s="2" t="n"/>
      <c r="AB705" s="2" t="n"/>
      <c r="AC705" s="2" t="n">
        <v>30</v>
      </c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>
        <f>IF(F705=1,V705*2,IF(F705=2,V705*F705*2,IF(F705&gt;2,F705*2*V705)))</f>
        <v/>
      </c>
      <c r="AW705" s="2">
        <f>SUM(W705:AU705)</f>
        <v/>
      </c>
    </row>
    <row r="706">
      <c r="A706" s="2" t="inlineStr">
        <is>
          <t>14-S-185</t>
        </is>
      </c>
      <c r="B706" s="3" t="inlineStr">
        <is>
          <t>SOJC-SM-SC/APC-SC/APC</t>
        </is>
      </c>
      <c r="C706" s="2" t="inlineStr">
        <is>
          <t>3M</t>
        </is>
      </c>
      <c r="D706" s="2" t="inlineStr">
        <is>
          <t>a1</t>
        </is>
      </c>
      <c r="E706" s="2" t="inlineStr">
        <is>
          <t>2.0mm</t>
        </is>
      </c>
      <c r="F706" s="2" t="n">
        <v>1</v>
      </c>
      <c r="G706" s="2" t="n">
        <v>3</v>
      </c>
      <c r="H706" s="2" t="inlineStr">
        <is>
          <t>SC/APC</t>
        </is>
      </c>
      <c r="I706" s="2" t="inlineStr">
        <is>
          <t>SC/APC</t>
        </is>
      </c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>
        <v>200</v>
      </c>
      <c r="T706" s="2" t="n"/>
      <c r="U706" s="2" t="n"/>
      <c r="V706" s="2">
        <f>SUM(J706:U706)</f>
        <v/>
      </c>
      <c r="W706" s="2" t="n"/>
      <c r="X706" s="2" t="n"/>
      <c r="Y706" s="2" t="n"/>
      <c r="Z706" s="2" t="n"/>
      <c r="AA706" s="2" t="n"/>
      <c r="AB706" s="2" t="n"/>
      <c r="AC706" s="2" t="n">
        <v>400</v>
      </c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>
        <f>IF(F706=1,V706*2,IF(F706=2,V706*F706*2,IF(F706&gt;2,F706*2*V706)))</f>
        <v/>
      </c>
      <c r="AW706" s="2">
        <f>SUM(W706:AU706)</f>
        <v/>
      </c>
    </row>
    <row r="707">
      <c r="A707" s="2" t="inlineStr">
        <is>
          <t>14-S-188</t>
        </is>
      </c>
      <c r="B707" s="3" t="inlineStr">
        <is>
          <t>SOJC-SM-SC/APC-SC/APC</t>
        </is>
      </c>
      <c r="C707" s="2" t="inlineStr">
        <is>
          <t>4M</t>
        </is>
      </c>
      <c r="D707" s="2" t="inlineStr">
        <is>
          <t>a1</t>
        </is>
      </c>
      <c r="E707" s="2" t="inlineStr">
        <is>
          <t>2.0mm</t>
        </is>
      </c>
      <c r="F707" s="2" t="n">
        <v>1</v>
      </c>
      <c r="G707" s="2" t="n">
        <v>4</v>
      </c>
      <c r="H707" s="2" t="inlineStr">
        <is>
          <t>SC/APC</t>
        </is>
      </c>
      <c r="I707" s="2" t="inlineStr">
        <is>
          <t>SC/APC</t>
        </is>
      </c>
      <c r="J707" s="2" t="n">
        <v>25</v>
      </c>
      <c r="K707" s="2" t="n">
        <v>12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>
        <f>SUM(J707:U707)</f>
        <v/>
      </c>
      <c r="W707" s="2" t="n"/>
      <c r="X707" s="2" t="n"/>
      <c r="Y707" s="2" t="n"/>
      <c r="Z707" s="2" t="n"/>
      <c r="AA707" s="2" t="n"/>
      <c r="AB707" s="2" t="n"/>
      <c r="AC707" s="2" t="n">
        <v>74</v>
      </c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>
        <f>IF(F707=1,V707*2,IF(F707=2,V707*F707*2,IF(F707&gt;2,F707*2*V707)))</f>
        <v/>
      </c>
      <c r="AW707" s="2">
        <f>SUM(W707:AU707)</f>
        <v/>
      </c>
    </row>
    <row r="708">
      <c r="A708" s="2" t="inlineStr">
        <is>
          <t>14-S-214</t>
        </is>
      </c>
      <c r="B708" s="3" t="inlineStr">
        <is>
          <t>SOJC-SM-SC/PC-FC/APC</t>
        </is>
      </c>
      <c r="C708" s="2" t="inlineStr">
        <is>
          <t>8M</t>
        </is>
      </c>
      <c r="D708" s="2" t="inlineStr">
        <is>
          <t>a1</t>
        </is>
      </c>
      <c r="E708" s="2" t="inlineStr">
        <is>
          <t>2.0mm</t>
        </is>
      </c>
      <c r="F708" s="2" t="n">
        <v>1</v>
      </c>
      <c r="G708" s="2" t="n">
        <v>8</v>
      </c>
      <c r="H708" s="2" t="inlineStr">
        <is>
          <t>SC/PC</t>
        </is>
      </c>
      <c r="I708" s="2" t="inlineStr">
        <is>
          <t>FC/APC</t>
        </is>
      </c>
      <c r="J708" s="2" t="n">
        <v>2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>
        <f>SUM(J708:U708)</f>
        <v/>
      </c>
      <c r="W708" s="2" t="n"/>
      <c r="X708" s="2" t="n"/>
      <c r="Y708" s="2" t="n"/>
      <c r="Z708" s="2" t="n"/>
      <c r="AA708" s="2" t="n">
        <v>2</v>
      </c>
      <c r="AB708" s="2" t="n"/>
      <c r="AC708" s="2" t="n"/>
      <c r="AD708" s="2" t="n"/>
      <c r="AE708" s="2" t="n"/>
      <c r="AF708" s="2" t="n"/>
      <c r="AG708" s="2" t="n">
        <v>2</v>
      </c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>
        <f>IF(F708=1,V708*2,IF(F708=2,V708*F708*2,IF(F708&gt;2,F708*2*V708)))</f>
        <v/>
      </c>
      <c r="AW708" s="2">
        <f>SUM(W708:AU708)</f>
        <v/>
      </c>
    </row>
    <row r="709">
      <c r="A709" s="2" t="inlineStr">
        <is>
          <t>14-S-224</t>
        </is>
      </c>
      <c r="B709" s="3" t="inlineStr">
        <is>
          <t>SOJC-SM-SC/PC-FC/PC</t>
        </is>
      </c>
      <c r="C709" s="2" t="inlineStr">
        <is>
          <t>3M</t>
        </is>
      </c>
      <c r="D709" s="2" t="inlineStr">
        <is>
          <t>a1</t>
        </is>
      </c>
      <c r="E709" s="2" t="inlineStr">
        <is>
          <t>2.0mm</t>
        </is>
      </c>
      <c r="F709" s="2" t="n">
        <v>1</v>
      </c>
      <c r="G709" s="2" t="n">
        <v>3</v>
      </c>
      <c r="H709" s="2" t="inlineStr">
        <is>
          <t>SC/PC</t>
        </is>
      </c>
      <c r="I709" s="2" t="inlineStr">
        <is>
          <t>FC/PC</t>
        </is>
      </c>
      <c r="J709" s="2" t="n"/>
      <c r="K709" s="2" t="n"/>
      <c r="L709" s="2" t="n"/>
      <c r="M709" s="2" t="n">
        <v>5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>
        <f>SUM(J709:U709)</f>
        <v/>
      </c>
      <c r="W709" s="2" t="n"/>
      <c r="X709" s="2" t="n"/>
      <c r="Y709" s="2" t="n"/>
      <c r="Z709" s="2" t="n"/>
      <c r="AA709" s="2" t="n">
        <v>5</v>
      </c>
      <c r="AB709" s="2" t="n"/>
      <c r="AC709" s="2" t="n"/>
      <c r="AD709" s="2" t="n"/>
      <c r="AE709" s="2" t="n">
        <v>5</v>
      </c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>
        <f>IF(F709=1,V709*2,IF(F709=2,V709*F709*2,IF(F709&gt;2,F709*2*V709)))</f>
        <v/>
      </c>
      <c r="AW709" s="2">
        <f>SUM(W709:AU709)</f>
        <v/>
      </c>
    </row>
    <row r="710">
      <c r="A710" s="2" t="inlineStr">
        <is>
          <t>14-S-232</t>
        </is>
      </c>
      <c r="B710" s="3" t="inlineStr">
        <is>
          <t>SOJC-SM-SC/PC-SC/APC</t>
        </is>
      </c>
      <c r="C710" s="2" t="inlineStr">
        <is>
          <t>0.5M</t>
        </is>
      </c>
      <c r="D710" s="2" t="inlineStr">
        <is>
          <t>a1</t>
        </is>
      </c>
      <c r="E710" s="2" t="inlineStr">
        <is>
          <t>2.0mm</t>
        </is>
      </c>
      <c r="F710" s="2" t="n">
        <v>1</v>
      </c>
      <c r="G710" s="2" t="n">
        <v>0.5</v>
      </c>
      <c r="H710" s="2" t="inlineStr">
        <is>
          <t>SC/PC</t>
        </is>
      </c>
      <c r="I710" s="2" t="inlineStr">
        <is>
          <t>SC/APC</t>
        </is>
      </c>
      <c r="J710" s="2" t="n"/>
      <c r="K710" s="2" t="n">
        <v>4</v>
      </c>
      <c r="L710" s="2" t="n">
        <v>965</v>
      </c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>
        <f>SUM(J710:U710)</f>
        <v/>
      </c>
      <c r="W710" s="2" t="n"/>
      <c r="X710" s="2" t="n"/>
      <c r="Y710" s="2" t="n"/>
      <c r="Z710" s="2" t="n"/>
      <c r="AA710" s="2" t="n">
        <v>969</v>
      </c>
      <c r="AB710" s="2" t="n"/>
      <c r="AC710" s="2" t="n">
        <v>969</v>
      </c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>
        <f>IF(F710=1,V710*2,IF(F710=2,V710*F710*2,IF(F710&gt;2,F710*2*V710)))</f>
        <v/>
      </c>
      <c r="AW710" s="2">
        <f>SUM(W710:AU710)</f>
        <v/>
      </c>
    </row>
    <row r="711">
      <c r="A711" s="2" t="inlineStr">
        <is>
          <t>14-S-233</t>
        </is>
      </c>
      <c r="B711" s="3" t="inlineStr">
        <is>
          <t>SOJC-SM-SC/PC-SC/APC</t>
        </is>
      </c>
      <c r="C711" s="2" t="inlineStr">
        <is>
          <t>1.5M</t>
        </is>
      </c>
      <c r="D711" s="2" t="inlineStr">
        <is>
          <t>a1</t>
        </is>
      </c>
      <c r="E711" s="2" t="inlineStr">
        <is>
          <t>2.0mm</t>
        </is>
      </c>
      <c r="F711" s="2" t="n">
        <v>1</v>
      </c>
      <c r="G711" s="2" t="n">
        <v>1.5</v>
      </c>
      <c r="H711" s="2" t="inlineStr">
        <is>
          <t>SC/PC</t>
        </is>
      </c>
      <c r="I711" s="2" t="inlineStr">
        <is>
          <t>SC/APC</t>
        </is>
      </c>
      <c r="J711" s="2" t="n"/>
      <c r="K711" s="2" t="n"/>
      <c r="L711" s="2" t="n"/>
      <c r="M711" s="2" t="n"/>
      <c r="N711" s="2" t="n">
        <v>108</v>
      </c>
      <c r="O711" s="2" t="n"/>
      <c r="P711" s="2" t="n"/>
      <c r="Q711" s="2" t="n"/>
      <c r="R711" s="2" t="n"/>
      <c r="S711" s="2" t="n"/>
      <c r="T711" s="2" t="n"/>
      <c r="U711" s="2" t="n"/>
      <c r="V711" s="2">
        <f>SUM(J711:U711)</f>
        <v/>
      </c>
      <c r="W711" s="2" t="n"/>
      <c r="X711" s="2" t="n"/>
      <c r="Y711" s="2" t="n"/>
      <c r="Z711" s="2" t="n"/>
      <c r="AA711" s="2" t="n">
        <v>108</v>
      </c>
      <c r="AB711" s="2" t="n"/>
      <c r="AC711" s="2" t="n">
        <v>108</v>
      </c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>
        <f>IF(F711=1,V711*2,IF(F711=2,V711*F711*2,IF(F711&gt;2,F711*2*V711)))</f>
        <v/>
      </c>
      <c r="AW711" s="2">
        <f>SUM(W711:AU711)</f>
        <v/>
      </c>
    </row>
    <row r="712">
      <c r="A712" s="2" t="inlineStr">
        <is>
          <t>14-S-234</t>
        </is>
      </c>
      <c r="B712" s="3" t="inlineStr">
        <is>
          <t>SOJC-SM-SC/PC-SC/APC</t>
        </is>
      </c>
      <c r="C712" s="2" t="inlineStr">
        <is>
          <t>10M</t>
        </is>
      </c>
      <c r="D712" s="2" t="inlineStr">
        <is>
          <t>a1</t>
        </is>
      </c>
      <c r="E712" s="2" t="inlineStr">
        <is>
          <t>2.0mm</t>
        </is>
      </c>
      <c r="F712" s="2" t="n">
        <v>1</v>
      </c>
      <c r="G712" s="2" t="n">
        <v>10</v>
      </c>
      <c r="H712" s="2" t="inlineStr">
        <is>
          <t>SC/PC</t>
        </is>
      </c>
      <c r="I712" s="2" t="inlineStr">
        <is>
          <t>SC/APC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>
        <v>4</v>
      </c>
      <c r="R712" s="2" t="n"/>
      <c r="S712" s="2" t="n"/>
      <c r="T712" s="2" t="n"/>
      <c r="U712" s="2" t="n"/>
      <c r="V712" s="2">
        <f>SUM(J712:U712)</f>
        <v/>
      </c>
      <c r="W712" s="2" t="n"/>
      <c r="X712" s="2" t="n"/>
      <c r="Y712" s="2" t="n"/>
      <c r="Z712" s="2" t="n"/>
      <c r="AA712" s="2" t="n">
        <v>4</v>
      </c>
      <c r="AB712" s="2" t="n"/>
      <c r="AC712" s="2" t="n">
        <v>4</v>
      </c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>
        <f>IF(F712=1,V712*2,IF(F712=2,V712*F712*2,IF(F712&gt;2,F712*2*V712)))</f>
        <v/>
      </c>
      <c r="AW712" s="2">
        <f>SUM(W712:AU712)</f>
        <v/>
      </c>
    </row>
    <row r="713">
      <c r="A713" s="2" t="inlineStr">
        <is>
          <t>14-S-239</t>
        </is>
      </c>
      <c r="B713" s="3" t="inlineStr">
        <is>
          <t>SOJC-SM-SC/PC-SC/APC</t>
        </is>
      </c>
      <c r="C713" s="2" t="inlineStr">
        <is>
          <t>1M</t>
        </is>
      </c>
      <c r="D713" s="2" t="inlineStr">
        <is>
          <t>a1</t>
        </is>
      </c>
      <c r="E713" s="2" t="inlineStr">
        <is>
          <t>2.0mm</t>
        </is>
      </c>
      <c r="F713" s="2" t="n">
        <v>1</v>
      </c>
      <c r="G713" s="2" t="n">
        <v>1</v>
      </c>
      <c r="H713" s="2" t="inlineStr">
        <is>
          <t>SC/PC</t>
        </is>
      </c>
      <c r="I713" s="2" t="inlineStr">
        <is>
          <t>SC/APC</t>
        </is>
      </c>
      <c r="J713" s="2" t="n"/>
      <c r="K713" s="2" t="n"/>
      <c r="L713" s="2" t="n"/>
      <c r="M713" s="2" t="n"/>
      <c r="N713" s="2" t="n"/>
      <c r="O713" s="2" t="n"/>
      <c r="P713" s="2" t="n">
        <v>30</v>
      </c>
      <c r="Q713" s="2" t="n"/>
      <c r="R713" s="2" t="n"/>
      <c r="S713" s="2" t="n"/>
      <c r="T713" s="2" t="n">
        <v>100</v>
      </c>
      <c r="U713" s="2" t="n"/>
      <c r="V713" s="2">
        <f>SUM(J713:U713)</f>
        <v/>
      </c>
      <c r="W713" s="2" t="n"/>
      <c r="X713" s="2" t="n"/>
      <c r="Y713" s="2" t="n"/>
      <c r="Z713" s="2" t="n"/>
      <c r="AA713" s="2" t="n">
        <v>130</v>
      </c>
      <c r="AB713" s="2" t="n"/>
      <c r="AC713" s="2" t="n">
        <v>130</v>
      </c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>
        <f>IF(F713=1,V713*2,IF(F713=2,V713*F713*2,IF(F713&gt;2,F713*2*V713)))</f>
        <v/>
      </c>
      <c r="AW713" s="2">
        <f>SUM(W713:AU713)</f>
        <v/>
      </c>
    </row>
    <row r="714">
      <c r="A714" s="2" t="inlineStr">
        <is>
          <t>14-S-241</t>
        </is>
      </c>
      <c r="B714" s="3" t="inlineStr">
        <is>
          <t>SOJC-SM-SC/PC-SC/APC</t>
        </is>
      </c>
      <c r="C714" s="2" t="inlineStr">
        <is>
          <t>20M</t>
        </is>
      </c>
      <c r="D714" s="2" t="inlineStr">
        <is>
          <t>a1</t>
        </is>
      </c>
      <c r="E714" s="2" t="inlineStr">
        <is>
          <t>2.0mm</t>
        </is>
      </c>
      <c r="F714" s="2" t="n">
        <v>1</v>
      </c>
      <c r="G714" s="2" t="n">
        <v>20</v>
      </c>
      <c r="H714" s="2" t="inlineStr">
        <is>
          <t>SC/PC</t>
        </is>
      </c>
      <c r="I714" s="2" t="inlineStr">
        <is>
          <t>SC/APC</t>
        </is>
      </c>
      <c r="J714" s="2" t="n"/>
      <c r="K714" s="2" t="n"/>
      <c r="L714" s="2" t="n"/>
      <c r="M714" s="2" t="n"/>
      <c r="N714" s="2" t="n"/>
      <c r="O714" s="2" t="n"/>
      <c r="P714" s="2" t="n">
        <v>80</v>
      </c>
      <c r="Q714" s="2" t="n"/>
      <c r="R714" s="2" t="n"/>
      <c r="S714" s="2" t="n"/>
      <c r="T714" s="2" t="n"/>
      <c r="U714" s="2" t="n"/>
      <c r="V714" s="2">
        <f>SUM(J714:U714)</f>
        <v/>
      </c>
      <c r="W714" s="2" t="n"/>
      <c r="X714" s="2" t="n"/>
      <c r="Y714" s="2" t="n"/>
      <c r="Z714" s="2" t="n"/>
      <c r="AA714" s="2" t="n">
        <v>80</v>
      </c>
      <c r="AB714" s="2" t="n"/>
      <c r="AC714" s="2" t="n">
        <v>80</v>
      </c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>
        <f>IF(F714=1,V714*2,IF(F714=2,V714*F714*2,IF(F714&gt;2,F714*2*V714)))</f>
        <v/>
      </c>
      <c r="AW714" s="2">
        <f>SUM(W714:AU714)</f>
        <v/>
      </c>
    </row>
    <row r="715">
      <c r="A715" s="2" t="inlineStr">
        <is>
          <t>14-S-245</t>
        </is>
      </c>
      <c r="B715" s="3" t="inlineStr">
        <is>
          <t>SOJC-SM-SC/PC-SC/APC</t>
        </is>
      </c>
      <c r="C715" s="2" t="inlineStr">
        <is>
          <t>2M</t>
        </is>
      </c>
      <c r="D715" s="2" t="inlineStr">
        <is>
          <t>a1</t>
        </is>
      </c>
      <c r="E715" s="2" t="inlineStr">
        <is>
          <t>2.0mm</t>
        </is>
      </c>
      <c r="F715" s="2" t="n">
        <v>1</v>
      </c>
      <c r="G715" s="2" t="n">
        <v>2</v>
      </c>
      <c r="H715" s="2" t="inlineStr">
        <is>
          <t>SC/PC</t>
        </is>
      </c>
      <c r="I715" s="2" t="inlineStr">
        <is>
          <t>SC/APC</t>
        </is>
      </c>
      <c r="J715" s="2" t="n"/>
      <c r="K715" s="2" t="n"/>
      <c r="L715" s="2" t="n"/>
      <c r="M715" s="2" t="n"/>
      <c r="N715" s="2" t="n"/>
      <c r="O715" s="2" t="n">
        <v>40</v>
      </c>
      <c r="P715" s="2" t="n">
        <v>100</v>
      </c>
      <c r="Q715" s="2" t="n">
        <v>30</v>
      </c>
      <c r="R715" s="2" t="n">
        <v>50</v>
      </c>
      <c r="S715" s="2" t="n"/>
      <c r="T715" s="2" t="n"/>
      <c r="U715" s="2" t="n"/>
      <c r="V715" s="2">
        <f>SUM(J715:U715)</f>
        <v/>
      </c>
      <c r="W715" s="2" t="n"/>
      <c r="X715" s="2" t="n"/>
      <c r="Y715" s="2" t="n"/>
      <c r="Z715" s="2" t="n"/>
      <c r="AA715" s="2" t="n">
        <v>220</v>
      </c>
      <c r="AB715" s="2" t="n"/>
      <c r="AC715" s="2" t="n">
        <v>220</v>
      </c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>
        <f>IF(F715=1,V715*2,IF(F715=2,V715*F715*2,IF(F715&gt;2,F715*2*V715)))</f>
        <v/>
      </c>
      <c r="AW715" s="2">
        <f>SUM(W715:AU715)</f>
        <v/>
      </c>
    </row>
    <row r="716">
      <c r="A716" s="2" t="inlineStr">
        <is>
          <t>14-S-247</t>
        </is>
      </c>
      <c r="B716" s="3" t="inlineStr">
        <is>
          <t>SOJC-SM-SC/PC-SC/APC</t>
        </is>
      </c>
      <c r="C716" s="2" t="inlineStr">
        <is>
          <t>30M</t>
        </is>
      </c>
      <c r="D716" s="2" t="inlineStr">
        <is>
          <t>a1</t>
        </is>
      </c>
      <c r="E716" s="2" t="inlineStr">
        <is>
          <t>2.0mm</t>
        </is>
      </c>
      <c r="F716" s="2" t="n">
        <v>1</v>
      </c>
      <c r="G716" s="2" t="n">
        <v>30</v>
      </c>
      <c r="H716" s="2" t="inlineStr">
        <is>
          <t>SC/PC</t>
        </is>
      </c>
      <c r="I716" s="2" t="inlineStr">
        <is>
          <t>SC/APC</t>
        </is>
      </c>
      <c r="J716" s="2" t="n"/>
      <c r="K716" s="2" t="n"/>
      <c r="L716" s="2" t="n"/>
      <c r="M716" s="2" t="n"/>
      <c r="N716" s="2" t="n"/>
      <c r="O716" s="2" t="n"/>
      <c r="P716" s="2" t="n"/>
      <c r="Q716" s="2" t="n">
        <v>1</v>
      </c>
      <c r="R716" s="2" t="n"/>
      <c r="S716" s="2" t="n"/>
      <c r="T716" s="2" t="n"/>
      <c r="U716" s="2" t="n"/>
      <c r="V716" s="2">
        <f>SUM(J716:U716)</f>
        <v/>
      </c>
      <c r="W716" s="2" t="n"/>
      <c r="X716" s="2" t="n"/>
      <c r="Y716" s="2" t="n"/>
      <c r="Z716" s="2" t="n"/>
      <c r="AA716" s="2" t="n">
        <v>1</v>
      </c>
      <c r="AB716" s="2" t="n"/>
      <c r="AC716" s="2" t="n">
        <v>1</v>
      </c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>
        <f>IF(F716=1,V716*2,IF(F716=2,V716*F716*2,IF(F716&gt;2,F716*2*V716)))</f>
        <v/>
      </c>
      <c r="AW716" s="2">
        <f>SUM(W716:AU716)</f>
        <v/>
      </c>
    </row>
    <row r="717">
      <c r="A717" s="2" t="inlineStr">
        <is>
          <t>14-S-249</t>
        </is>
      </c>
      <c r="B717" s="3" t="inlineStr">
        <is>
          <t>SOJC-SM-SC/PC-SC/APC</t>
        </is>
      </c>
      <c r="C717" s="2" t="inlineStr">
        <is>
          <t>3M</t>
        </is>
      </c>
      <c r="D717" s="2" t="inlineStr">
        <is>
          <t>a1</t>
        </is>
      </c>
      <c r="E717" s="2" t="inlineStr">
        <is>
          <t>2.0mm</t>
        </is>
      </c>
      <c r="F717" s="2" t="n">
        <v>1</v>
      </c>
      <c r="G717" s="2" t="n">
        <v>3</v>
      </c>
      <c r="H717" s="2" t="inlineStr">
        <is>
          <t>SC/PC</t>
        </is>
      </c>
      <c r="I717" s="2" t="inlineStr">
        <is>
          <t>SC/APC</t>
        </is>
      </c>
      <c r="J717" s="2" t="n">
        <v>50</v>
      </c>
      <c r="K717" s="2" t="n"/>
      <c r="L717" s="2" t="n"/>
      <c r="M717" s="2" t="n"/>
      <c r="N717" s="2" t="n">
        <v>50</v>
      </c>
      <c r="O717" s="2" t="n"/>
      <c r="P717" s="2" t="n"/>
      <c r="Q717" s="2" t="n">
        <v>20</v>
      </c>
      <c r="R717" s="2" t="n"/>
      <c r="S717" s="2" t="n">
        <v>60</v>
      </c>
      <c r="T717" s="2" t="n"/>
      <c r="U717" s="2" t="n">
        <v>200</v>
      </c>
      <c r="V717" s="2">
        <f>SUM(J717:U717)</f>
        <v/>
      </c>
      <c r="W717" s="2" t="n"/>
      <c r="X717" s="2" t="n"/>
      <c r="Y717" s="2" t="n"/>
      <c r="Z717" s="2" t="n"/>
      <c r="AA717" s="2" t="n">
        <v>380</v>
      </c>
      <c r="AB717" s="2" t="n"/>
      <c r="AC717" s="2" t="n">
        <v>380</v>
      </c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>
        <f>IF(F717=1,V717*2,IF(F717=2,V717*F717*2,IF(F717&gt;2,F717*2*V717)))</f>
        <v/>
      </c>
      <c r="AW717" s="2">
        <f>SUM(W717:AU717)</f>
        <v/>
      </c>
    </row>
    <row r="718">
      <c r="A718" s="2" t="inlineStr">
        <is>
          <t>14-S-251</t>
        </is>
      </c>
      <c r="B718" s="3" t="inlineStr">
        <is>
          <t>SOJC-SM-SC/PC-SC/APC</t>
        </is>
      </c>
      <c r="C718" s="2" t="inlineStr">
        <is>
          <t>5M</t>
        </is>
      </c>
      <c r="D718" s="2" t="inlineStr">
        <is>
          <t>a1</t>
        </is>
      </c>
      <c r="E718" s="2" t="inlineStr">
        <is>
          <t>2.0mm</t>
        </is>
      </c>
      <c r="F718" s="2" t="n">
        <v>1</v>
      </c>
      <c r="G718" s="2" t="n">
        <v>5</v>
      </c>
      <c r="H718" s="2" t="inlineStr">
        <is>
          <t>SC/PC</t>
        </is>
      </c>
      <c r="I718" s="2" t="inlineStr">
        <is>
          <t>SC/APC</t>
        </is>
      </c>
      <c r="J718" s="2" t="n"/>
      <c r="K718" s="2" t="n"/>
      <c r="L718" s="2" t="n"/>
      <c r="M718" s="2" t="n"/>
      <c r="N718" s="2" t="n"/>
      <c r="O718" s="2" t="n"/>
      <c r="P718" s="2" t="n"/>
      <c r="Q718" s="2" t="n">
        <v>4</v>
      </c>
      <c r="R718" s="2" t="n">
        <v>320</v>
      </c>
      <c r="S718" s="2" t="n"/>
      <c r="T718" s="2" t="n">
        <v>241</v>
      </c>
      <c r="U718" s="2" t="n">
        <v>100</v>
      </c>
      <c r="V718" s="2">
        <f>SUM(J718:U718)</f>
        <v/>
      </c>
      <c r="W718" s="2" t="n"/>
      <c r="X718" s="2" t="n"/>
      <c r="Y718" s="2" t="n"/>
      <c r="Z718" s="2" t="n"/>
      <c r="AA718" s="2" t="n">
        <v>665</v>
      </c>
      <c r="AB718" s="2" t="n"/>
      <c r="AC718" s="2" t="n">
        <v>665</v>
      </c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>
        <f>IF(F718=1,V718*2,IF(F718=2,V718*F718*2,IF(F718&gt;2,F718*2*V718)))</f>
        <v/>
      </c>
      <c r="AW718" s="2">
        <f>SUM(W718:AU718)</f>
        <v/>
      </c>
    </row>
    <row r="719">
      <c r="A719" s="2" t="inlineStr">
        <is>
          <t>14-S-253</t>
        </is>
      </c>
      <c r="B719" s="3" t="inlineStr">
        <is>
          <t>SOJC-SM-SC/PC-SC/APC</t>
        </is>
      </c>
      <c r="C719" s="2" t="inlineStr">
        <is>
          <t>8M</t>
        </is>
      </c>
      <c r="D719" s="2" t="inlineStr">
        <is>
          <t>a1</t>
        </is>
      </c>
      <c r="E719" s="2" t="inlineStr">
        <is>
          <t>2.0mm</t>
        </is>
      </c>
      <c r="F719" s="2" t="n">
        <v>1</v>
      </c>
      <c r="G719" s="2" t="n">
        <v>8</v>
      </c>
      <c r="H719" s="2" t="inlineStr">
        <is>
          <t>SC/PC</t>
        </is>
      </c>
      <c r="I719" s="2" t="inlineStr">
        <is>
          <t>SC/APC</t>
        </is>
      </c>
      <c r="J719" s="2" t="n">
        <v>46</v>
      </c>
      <c r="K719" s="2" t="n">
        <v>60</v>
      </c>
      <c r="L719" s="2" t="n">
        <v>60</v>
      </c>
      <c r="M719" s="2" t="n"/>
      <c r="N719" s="2" t="n"/>
      <c r="O719" s="2" t="n"/>
      <c r="P719" s="2" t="n"/>
      <c r="Q719" s="2" t="n">
        <v>8</v>
      </c>
      <c r="R719" s="2" t="n"/>
      <c r="S719" s="2" t="n"/>
      <c r="T719" s="2" t="n"/>
      <c r="U719" s="2" t="n"/>
      <c r="V719" s="2">
        <f>SUM(J719:U719)</f>
        <v/>
      </c>
      <c r="W719" s="2" t="n"/>
      <c r="X719" s="2" t="n"/>
      <c r="Y719" s="2" t="n"/>
      <c r="Z719" s="2" t="n"/>
      <c r="AA719" s="2" t="n">
        <v>174</v>
      </c>
      <c r="AB719" s="2" t="n"/>
      <c r="AC719" s="2" t="n">
        <v>174</v>
      </c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>
        <f>IF(F719=1,V719*2,IF(F719=2,V719*F719*2,IF(F719&gt;2,F719*2*V719)))</f>
        <v/>
      </c>
      <c r="AW719" s="2">
        <f>SUM(W719:AU719)</f>
        <v/>
      </c>
    </row>
    <row r="720">
      <c r="A720" s="2" t="inlineStr">
        <is>
          <t>14-S-258</t>
        </is>
      </c>
      <c r="B720" s="3" t="inlineStr">
        <is>
          <t>SOJC-SM-SC/PC-SC/PC</t>
        </is>
      </c>
      <c r="C720" s="2" t="inlineStr">
        <is>
          <t>10M</t>
        </is>
      </c>
      <c r="D720" s="2" t="inlineStr">
        <is>
          <t>a1</t>
        </is>
      </c>
      <c r="E720" s="2" t="inlineStr">
        <is>
          <t>2.0mm</t>
        </is>
      </c>
      <c r="F720" s="2" t="n">
        <v>1</v>
      </c>
      <c r="G720" s="2" t="n">
        <v>10</v>
      </c>
      <c r="H720" s="2" t="inlineStr">
        <is>
          <t>SC/PC</t>
        </is>
      </c>
      <c r="I720" s="2" t="inlineStr">
        <is>
          <t>SC/PC</t>
        </is>
      </c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>
        <v>500</v>
      </c>
      <c r="U720" s="2" t="n"/>
      <c r="V720" s="2">
        <f>SUM(J720:U720)</f>
        <v/>
      </c>
      <c r="W720" s="2" t="n"/>
      <c r="X720" s="2" t="n"/>
      <c r="Y720" s="2" t="n"/>
      <c r="Z720" s="2" t="n"/>
      <c r="AA720" s="2" t="n">
        <v>1000</v>
      </c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>
        <f>IF(F720=1,V720*2,IF(F720=2,V720*F720*2,IF(F720&gt;2,F720*2*V720)))</f>
        <v/>
      </c>
      <c r="AW720" s="2">
        <f>SUM(W720:AU720)</f>
        <v/>
      </c>
    </row>
    <row r="721">
      <c r="A721" s="2" t="inlineStr">
        <is>
          <t>14-S-261</t>
        </is>
      </c>
      <c r="B721" s="3" t="inlineStr">
        <is>
          <t>SOJC-SM-SC/PC-SC/PC</t>
        </is>
      </c>
      <c r="C721" s="2" t="inlineStr">
        <is>
          <t>1M</t>
        </is>
      </c>
      <c r="D721" s="2" t="inlineStr">
        <is>
          <t>a1</t>
        </is>
      </c>
      <c r="E721" s="2" t="inlineStr">
        <is>
          <t>2.0mm</t>
        </is>
      </c>
      <c r="F721" s="2" t="n">
        <v>1</v>
      </c>
      <c r="G721" s="2" t="n">
        <v>1</v>
      </c>
      <c r="H721" s="2" t="inlineStr">
        <is>
          <t>SC/PC</t>
        </is>
      </c>
      <c r="I721" s="2" t="inlineStr">
        <is>
          <t>SC/PC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>
        <v>20</v>
      </c>
      <c r="S721" s="2" t="n"/>
      <c r="T721" s="2" t="n"/>
      <c r="U721" s="2" t="n"/>
      <c r="V721" s="2">
        <f>SUM(J721:U721)</f>
        <v/>
      </c>
      <c r="W721" s="2" t="n"/>
      <c r="X721" s="2" t="n"/>
      <c r="Y721" s="2" t="n"/>
      <c r="Z721" s="2" t="n"/>
      <c r="AA721" s="2" t="n">
        <v>40</v>
      </c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>
        <f>IF(F721=1,V721*2,IF(F721=2,V721*F721*2,IF(F721&gt;2,F721*2*V721)))</f>
        <v/>
      </c>
      <c r="AW721" s="2">
        <f>SUM(W721:AU721)</f>
        <v/>
      </c>
    </row>
    <row r="722">
      <c r="A722" s="2" t="inlineStr">
        <is>
          <t>14-S-263</t>
        </is>
      </c>
      <c r="B722" s="3" t="inlineStr">
        <is>
          <t>SOJC-SM-SC/PC-SC/PC</t>
        </is>
      </c>
      <c r="C722" s="2" t="inlineStr">
        <is>
          <t>20M</t>
        </is>
      </c>
      <c r="D722" s="2" t="inlineStr">
        <is>
          <t>a1</t>
        </is>
      </c>
      <c r="E722" s="2" t="inlineStr">
        <is>
          <t>2.0mm</t>
        </is>
      </c>
      <c r="F722" s="2" t="n">
        <v>1</v>
      </c>
      <c r="G722" s="2" t="n">
        <v>20</v>
      </c>
      <c r="H722" s="2" t="inlineStr">
        <is>
          <t>SC/PC</t>
        </is>
      </c>
      <c r="I722" s="2" t="inlineStr">
        <is>
          <t>SC/PC</t>
        </is>
      </c>
      <c r="J722" s="2" t="n"/>
      <c r="K722" s="2" t="n"/>
      <c r="L722" s="2" t="n"/>
      <c r="M722" s="2" t="n"/>
      <c r="N722" s="2" t="n"/>
      <c r="O722" s="2" t="n">
        <v>100</v>
      </c>
      <c r="P722" s="2" t="n"/>
      <c r="Q722" s="2" t="n"/>
      <c r="R722" s="2" t="n"/>
      <c r="S722" s="2" t="n"/>
      <c r="T722" s="2" t="n"/>
      <c r="U722" s="2" t="n"/>
      <c r="V722" s="2">
        <f>SUM(J722:U722)</f>
        <v/>
      </c>
      <c r="W722" s="2" t="n"/>
      <c r="X722" s="2" t="n"/>
      <c r="Y722" s="2" t="n"/>
      <c r="Z722" s="2" t="n"/>
      <c r="AA722" s="2" t="n">
        <v>200</v>
      </c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>
        <f>IF(F722=1,V722*2,IF(F722=2,V722*F722*2,IF(F722&gt;2,F722*2*V722)))</f>
        <v/>
      </c>
      <c r="AW722" s="2">
        <f>SUM(W722:AU722)</f>
        <v/>
      </c>
    </row>
    <row r="723">
      <c r="A723" s="2" t="inlineStr">
        <is>
          <t>14-S-264</t>
        </is>
      </c>
      <c r="B723" s="3" t="inlineStr">
        <is>
          <t>SOJC-SM-SC/PC-SC/PC</t>
        </is>
      </c>
      <c r="C723" s="2" t="inlineStr">
        <is>
          <t>25M</t>
        </is>
      </c>
      <c r="D723" s="2" t="inlineStr">
        <is>
          <t>a1</t>
        </is>
      </c>
      <c r="E723" s="2" t="inlineStr">
        <is>
          <t>2.0mm</t>
        </is>
      </c>
      <c r="F723" s="2" t="n">
        <v>1</v>
      </c>
      <c r="G723" s="2" t="n">
        <v>25</v>
      </c>
      <c r="H723" s="2" t="inlineStr">
        <is>
          <t>SC/PC</t>
        </is>
      </c>
      <c r="I723" s="2" t="inlineStr">
        <is>
          <t>SC/PC</t>
        </is>
      </c>
      <c r="J723" s="2" t="n"/>
      <c r="K723" s="2" t="n"/>
      <c r="L723" s="2" t="n"/>
      <c r="M723" s="2" t="n"/>
      <c r="N723" s="2" t="n"/>
      <c r="O723" s="2" t="n">
        <v>30</v>
      </c>
      <c r="P723" s="2" t="n"/>
      <c r="Q723" s="2" t="n"/>
      <c r="R723" s="2" t="n"/>
      <c r="S723" s="2" t="n"/>
      <c r="T723" s="2" t="n"/>
      <c r="U723" s="2" t="n"/>
      <c r="V723" s="2">
        <f>SUM(J723:U723)</f>
        <v/>
      </c>
      <c r="W723" s="2" t="n"/>
      <c r="X723" s="2" t="n"/>
      <c r="Y723" s="2" t="n"/>
      <c r="Z723" s="2" t="n"/>
      <c r="AA723" s="2" t="n">
        <v>60</v>
      </c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>
        <f>IF(F723=1,V723*2,IF(F723=2,V723*F723*2,IF(F723&gt;2,F723*2*V723)))</f>
        <v/>
      </c>
      <c r="AW723" s="2">
        <f>SUM(W723:AU723)</f>
        <v/>
      </c>
    </row>
    <row r="724">
      <c r="A724" s="2" t="inlineStr">
        <is>
          <t>14-S-265</t>
        </is>
      </c>
      <c r="B724" s="3" t="inlineStr">
        <is>
          <t>SOJC-SM-SC/PC-SC/PC</t>
        </is>
      </c>
      <c r="C724" s="2" t="inlineStr">
        <is>
          <t>2M</t>
        </is>
      </c>
      <c r="D724" s="2" t="inlineStr">
        <is>
          <t>a1</t>
        </is>
      </c>
      <c r="E724" s="2" t="inlineStr">
        <is>
          <t>2.0mm</t>
        </is>
      </c>
      <c r="F724" s="2" t="n">
        <v>1</v>
      </c>
      <c r="G724" s="2" t="n">
        <v>2</v>
      </c>
      <c r="H724" s="2" t="inlineStr">
        <is>
          <t>SC/PC</t>
        </is>
      </c>
      <c r="I724" s="2" t="inlineStr">
        <is>
          <t>SC/PC</t>
        </is>
      </c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>
        <v>10</v>
      </c>
      <c r="V724" s="2">
        <f>SUM(J724:U724)</f>
        <v/>
      </c>
      <c r="W724" s="2" t="n"/>
      <c r="X724" s="2" t="n"/>
      <c r="Y724" s="2" t="n"/>
      <c r="Z724" s="2" t="n"/>
      <c r="AA724" s="2" t="n">
        <v>20</v>
      </c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>
        <f>IF(F724=1,V724*2,IF(F724=2,V724*F724*2,IF(F724&gt;2,F724*2*V724)))</f>
        <v/>
      </c>
      <c r="AW724" s="2">
        <f>SUM(W724:AU724)</f>
        <v/>
      </c>
    </row>
    <row r="725">
      <c r="A725" s="2" t="inlineStr">
        <is>
          <t>14-S-268</t>
        </is>
      </c>
      <c r="B725" s="3" t="inlineStr">
        <is>
          <t>SOJC-SM-SC/PC-SC/PC</t>
        </is>
      </c>
      <c r="C725" s="2" t="inlineStr">
        <is>
          <t>3M</t>
        </is>
      </c>
      <c r="D725" s="2" t="inlineStr">
        <is>
          <t>a1</t>
        </is>
      </c>
      <c r="E725" s="2" t="inlineStr">
        <is>
          <t>2.0mm</t>
        </is>
      </c>
      <c r="F725" s="2" t="n">
        <v>1</v>
      </c>
      <c r="G725" s="2" t="n">
        <v>3</v>
      </c>
      <c r="H725" s="2" t="inlineStr">
        <is>
          <t>SC/PC</t>
        </is>
      </c>
      <c r="I725" s="2" t="inlineStr">
        <is>
          <t>SC/PC</t>
        </is>
      </c>
      <c r="J725" s="2" t="n"/>
      <c r="K725" s="2" t="n">
        <v>195</v>
      </c>
      <c r="L725" s="2" t="n"/>
      <c r="M725" s="2" t="n">
        <v>360</v>
      </c>
      <c r="N725" s="2" t="n"/>
      <c r="O725" s="2" t="n">
        <v>60</v>
      </c>
      <c r="P725" s="2" t="n">
        <v>1170</v>
      </c>
      <c r="Q725" s="2" t="n">
        <v>250</v>
      </c>
      <c r="R725" s="2" t="n">
        <v>800</v>
      </c>
      <c r="S725" s="2" t="n">
        <v>330</v>
      </c>
      <c r="T725" s="2" t="n"/>
      <c r="U725" s="2" t="n">
        <v>250</v>
      </c>
      <c r="V725" s="2">
        <f>SUM(J725:U725)</f>
        <v/>
      </c>
      <c r="W725" s="2" t="n"/>
      <c r="X725" s="2" t="n"/>
      <c r="Y725" s="2" t="n"/>
      <c r="Z725" s="2" t="n"/>
      <c r="AA725" s="2" t="n">
        <v>6830</v>
      </c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>
        <f>IF(F725=1,V725*2,IF(F725=2,V725*F725*2,IF(F725&gt;2,F725*2*V725)))</f>
        <v/>
      </c>
      <c r="AW725" s="2">
        <f>SUM(W725:AU725)</f>
        <v/>
      </c>
    </row>
    <row r="726">
      <c r="A726" s="2" t="inlineStr">
        <is>
          <t>14-S-271</t>
        </is>
      </c>
      <c r="B726" s="3" t="inlineStr">
        <is>
          <t>SOJC-SM-SC/PC-SC/PC</t>
        </is>
      </c>
      <c r="C726" s="2" t="inlineStr">
        <is>
          <t>4M</t>
        </is>
      </c>
      <c r="D726" s="2" t="inlineStr">
        <is>
          <t>a1</t>
        </is>
      </c>
      <c r="E726" s="2" t="inlineStr">
        <is>
          <t>2.0mm</t>
        </is>
      </c>
      <c r="F726" s="2" t="n">
        <v>1</v>
      </c>
      <c r="G726" s="2" t="n">
        <v>4</v>
      </c>
      <c r="H726" s="2" t="inlineStr">
        <is>
          <t>SC/PC</t>
        </is>
      </c>
      <c r="I726" s="2" t="inlineStr">
        <is>
          <t>SC/PC</t>
        </is>
      </c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>
        <v>20</v>
      </c>
      <c r="S726" s="2" t="n"/>
      <c r="T726" s="2" t="n"/>
      <c r="U726" s="2" t="n"/>
      <c r="V726" s="2">
        <f>SUM(J726:U726)</f>
        <v/>
      </c>
      <c r="W726" s="2" t="n"/>
      <c r="X726" s="2" t="n"/>
      <c r="Y726" s="2" t="n"/>
      <c r="Z726" s="2" t="n"/>
      <c r="AA726" s="2" t="n">
        <v>40</v>
      </c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>
        <f>IF(F726=1,V726*2,IF(F726=2,V726*F726*2,IF(F726&gt;2,F726*2*V726)))</f>
        <v/>
      </c>
      <c r="AW726" s="2">
        <f>SUM(W726:AU726)</f>
        <v/>
      </c>
    </row>
    <row r="727">
      <c r="A727" s="2" t="inlineStr">
        <is>
          <t>14-S-302</t>
        </is>
      </c>
      <c r="B727" s="3" t="inlineStr">
        <is>
          <t>SOJC-SM-LC/APC-SC/APC</t>
        </is>
      </c>
      <c r="C727" s="2" t="inlineStr">
        <is>
          <t>2M</t>
        </is>
      </c>
      <c r="D727" s="2" t="inlineStr">
        <is>
          <t>a1</t>
        </is>
      </c>
      <c r="E727" s="2" t="inlineStr">
        <is>
          <t>2.0mm</t>
        </is>
      </c>
      <c r="F727" s="2" t="n">
        <v>1</v>
      </c>
      <c r="G727" s="2" t="n">
        <v>2</v>
      </c>
      <c r="H727" s="2" t="inlineStr">
        <is>
          <t>LC/APC</t>
        </is>
      </c>
      <c r="I727" s="2" t="inlineStr">
        <is>
          <t>SC/APC</t>
        </is>
      </c>
      <c r="J727" s="2" t="n"/>
      <c r="K727" s="2" t="n"/>
      <c r="L727" s="2" t="n">
        <v>100</v>
      </c>
      <c r="M727" s="2" t="n"/>
      <c r="N727" s="2" t="n">
        <v>10</v>
      </c>
      <c r="O727" s="2" t="n"/>
      <c r="P727" s="2" t="n"/>
      <c r="Q727" s="2" t="n"/>
      <c r="R727" s="2" t="n"/>
      <c r="S727" s="2" t="n">
        <v>50</v>
      </c>
      <c r="T727" s="2" t="n"/>
      <c r="U727" s="2" t="n">
        <v>8</v>
      </c>
      <c r="V727" s="2">
        <f>SUM(J727:U727)</f>
        <v/>
      </c>
      <c r="W727" s="2" t="n"/>
      <c r="X727" s="2" t="n"/>
      <c r="Y727" s="2" t="n">
        <v>168</v>
      </c>
      <c r="Z727" s="2" t="n"/>
      <c r="AA727" s="2" t="n"/>
      <c r="AB727" s="2" t="n"/>
      <c r="AC727" s="2" t="n">
        <v>168</v>
      </c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>
        <f>IF(F727=1,V727*2,IF(F727=2,V727*F727*2,IF(F727&gt;2,F727*2*V727)))</f>
        <v/>
      </c>
      <c r="AW727" s="2">
        <f>SUM(W727:AU727)</f>
        <v/>
      </c>
    </row>
    <row r="728">
      <c r="A728" s="2" t="inlineStr">
        <is>
          <t>14-S-378</t>
        </is>
      </c>
      <c r="B728" s="3" t="inlineStr">
        <is>
          <t>SOJC-SM-LC/APC-SC/APC</t>
        </is>
      </c>
      <c r="C728" s="2" t="inlineStr">
        <is>
          <t>3M</t>
        </is>
      </c>
      <c r="D728" s="2" t="inlineStr">
        <is>
          <t>a1</t>
        </is>
      </c>
      <c r="E728" s="2" t="inlineStr">
        <is>
          <t>2.0mm</t>
        </is>
      </c>
      <c r="F728" s="2" t="n">
        <v>1</v>
      </c>
      <c r="G728" s="2" t="n">
        <v>3</v>
      </c>
      <c r="H728" s="2" t="inlineStr">
        <is>
          <t>LC/APC</t>
        </is>
      </c>
      <c r="I728" s="2" t="inlineStr">
        <is>
          <t>SC/APC</t>
        </is>
      </c>
      <c r="J728" s="2" t="n">
        <v>31</v>
      </c>
      <c r="K728" s="2" t="n"/>
      <c r="L728" s="2" t="n"/>
      <c r="M728" s="2" t="n">
        <v>50</v>
      </c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>
        <f>SUM(J728:U728)</f>
        <v/>
      </c>
      <c r="W728" s="2" t="n"/>
      <c r="X728" s="2" t="n"/>
      <c r="Y728" s="2" t="n">
        <v>81</v>
      </c>
      <c r="Z728" s="2" t="n"/>
      <c r="AA728" s="2" t="n"/>
      <c r="AB728" s="2" t="n"/>
      <c r="AC728" s="2" t="n">
        <v>81</v>
      </c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>
        <f>IF(F728=1,V728*2,IF(F728=2,V728*F728*2,IF(F728&gt;2,F728*2*V728)))</f>
        <v/>
      </c>
      <c r="AW728" s="2">
        <f>SUM(W728:AU728)</f>
        <v/>
      </c>
    </row>
    <row r="729">
      <c r="A729" s="2" t="inlineStr">
        <is>
          <t>14-S-382</t>
        </is>
      </c>
      <c r="B729" s="3" t="inlineStr">
        <is>
          <t>DOJC-MM(OM3)-LC/PC-LC/PC</t>
        </is>
      </c>
      <c r="C729" s="2" t="inlineStr">
        <is>
          <t>55M</t>
        </is>
      </c>
      <c r="D729" s="2" t="inlineStr">
        <is>
          <t>om3</t>
        </is>
      </c>
      <c r="E729" s="2" t="inlineStr">
        <is>
          <t>2.0mm</t>
        </is>
      </c>
      <c r="F729" s="2" t="n">
        <v>2</v>
      </c>
      <c r="G729" s="2" t="n">
        <v>55</v>
      </c>
      <c r="H729" s="2" t="inlineStr">
        <is>
          <t>LC/PC</t>
        </is>
      </c>
      <c r="I729" s="2" t="inlineStr">
        <is>
          <t>LC/PC</t>
        </is>
      </c>
      <c r="J729" s="2" t="n"/>
      <c r="K729" s="2" t="n"/>
      <c r="L729" s="2" t="n"/>
      <c r="M729" s="2" t="n"/>
      <c r="N729" s="2" t="n"/>
      <c r="O729" s="2" t="n">
        <v>1</v>
      </c>
      <c r="P729" s="2" t="n">
        <v>1</v>
      </c>
      <c r="Q729" s="2" t="n"/>
      <c r="R729" s="2" t="n"/>
      <c r="S729" s="2" t="n">
        <v>20</v>
      </c>
      <c r="T729" s="2" t="n"/>
      <c r="U729" s="2" t="n"/>
      <c r="V729" s="2">
        <f>SUM(J729:U729)</f>
        <v/>
      </c>
      <c r="W729" s="2" t="n"/>
      <c r="X729" s="2" t="n">
        <v>44</v>
      </c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>
        <v>44</v>
      </c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>
        <f>IF(F729=1,V729*2,IF(F729=2,V729*F729*2,IF(F729&gt;2,F729*2*V729)))</f>
        <v/>
      </c>
      <c r="AW729" s="2">
        <f>SUM(W729:AU729)</f>
        <v/>
      </c>
    </row>
    <row r="730">
      <c r="A730" s="2" t="inlineStr">
        <is>
          <t>14-S-452</t>
        </is>
      </c>
      <c r="B730" s="3" t="inlineStr">
        <is>
          <t>SOJC-SM-SC/PC-SC/APC</t>
        </is>
      </c>
      <c r="C730" s="2" t="inlineStr">
        <is>
          <t>4M</t>
        </is>
      </c>
      <c r="D730" s="2" t="inlineStr">
        <is>
          <t>a1</t>
        </is>
      </c>
      <c r="E730" s="2" t="inlineStr">
        <is>
          <t>2.0mm</t>
        </is>
      </c>
      <c r="F730" s="2" t="n">
        <v>1</v>
      </c>
      <c r="G730" s="2" t="n">
        <v>4</v>
      </c>
      <c r="H730" s="2" t="inlineStr">
        <is>
          <t>SC/PC</t>
        </is>
      </c>
      <c r="I730" s="2" t="inlineStr">
        <is>
          <t>SC/APC</t>
        </is>
      </c>
      <c r="J730" s="2" t="n"/>
      <c r="K730" s="2" t="n"/>
      <c r="L730" s="2" t="n"/>
      <c r="M730" s="2" t="n"/>
      <c r="N730" s="2" t="n">
        <v>30</v>
      </c>
      <c r="O730" s="2" t="n"/>
      <c r="P730" s="2" t="n"/>
      <c r="Q730" s="2" t="n"/>
      <c r="R730" s="2" t="n"/>
      <c r="S730" s="2" t="n">
        <v>800</v>
      </c>
      <c r="T730" s="2" t="n"/>
      <c r="U730" s="2" t="n"/>
      <c r="V730" s="2">
        <f>SUM(J730:U730)</f>
        <v/>
      </c>
      <c r="W730" s="2" t="n"/>
      <c r="X730" s="2" t="n"/>
      <c r="Y730" s="2" t="n"/>
      <c r="Z730" s="2" t="n"/>
      <c r="AA730" s="2" t="n">
        <v>830</v>
      </c>
      <c r="AB730" s="2" t="n"/>
      <c r="AC730" s="2" t="n">
        <v>830</v>
      </c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>
        <f>IF(F730=1,V730*2,IF(F730=2,V730*F730*2,IF(F730&gt;2,F730*2*V730)))</f>
        <v/>
      </c>
      <c r="AW730" s="2">
        <f>SUM(W730:AU730)</f>
        <v/>
      </c>
    </row>
    <row r="731">
      <c r="A731" s="2" t="inlineStr">
        <is>
          <t>14-S-500</t>
        </is>
      </c>
      <c r="B731" s="3" t="inlineStr">
        <is>
          <t>SOJC-SM-LC/PC-SC/APC</t>
        </is>
      </c>
      <c r="C731" s="2" t="inlineStr">
        <is>
          <t>0.3M</t>
        </is>
      </c>
      <c r="D731" s="2" t="inlineStr">
        <is>
          <t>a1</t>
        </is>
      </c>
      <c r="E731" s="2" t="inlineStr">
        <is>
          <t>2.0mm</t>
        </is>
      </c>
      <c r="F731" s="2" t="n">
        <v>1</v>
      </c>
      <c r="G731" s="2" t="n">
        <v>0.3</v>
      </c>
      <c r="H731" s="2" t="inlineStr">
        <is>
          <t>LC/PC</t>
        </is>
      </c>
      <c r="I731" s="2" t="inlineStr">
        <is>
          <t>SC/APC</t>
        </is>
      </c>
      <c r="J731" s="2" t="n"/>
      <c r="K731" s="2" t="n"/>
      <c r="L731" s="2" t="n"/>
      <c r="M731" s="2" t="n"/>
      <c r="N731" s="2" t="n"/>
      <c r="O731" s="2" t="n"/>
      <c r="P731" s="2" t="n"/>
      <c r="Q731" s="2" t="n">
        <v>10</v>
      </c>
      <c r="R731" s="2" t="n"/>
      <c r="S731" s="2" t="n"/>
      <c r="T731" s="2" t="n"/>
      <c r="U731" s="2" t="n"/>
      <c r="V731" s="2">
        <f>SUM(J731:U731)</f>
        <v/>
      </c>
      <c r="W731" s="2" t="n">
        <v>10</v>
      </c>
      <c r="X731" s="2" t="n"/>
      <c r="Y731" s="2" t="n"/>
      <c r="Z731" s="2" t="n"/>
      <c r="AA731" s="2" t="n"/>
      <c r="AB731" s="2" t="n"/>
      <c r="AC731" s="2" t="n">
        <v>10</v>
      </c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>
        <f>IF(F731=1,V731*2,IF(F731=2,V731*F731*2,IF(F731&gt;2,F731*2*V731)))</f>
        <v/>
      </c>
      <c r="AW731" s="2">
        <f>SUM(W731:AU731)</f>
        <v/>
      </c>
    </row>
    <row r="732">
      <c r="A732" s="2" t="inlineStr">
        <is>
          <t>14-S-665</t>
        </is>
      </c>
      <c r="B732" s="3" t="inlineStr">
        <is>
          <t>SOJC-SM-LC/PC-SC/APC</t>
        </is>
      </c>
      <c r="C732" s="2" t="inlineStr">
        <is>
          <t>16M</t>
        </is>
      </c>
      <c r="D732" s="2" t="inlineStr">
        <is>
          <t>a1</t>
        </is>
      </c>
      <c r="E732" s="2" t="inlineStr">
        <is>
          <t>2.0mm</t>
        </is>
      </c>
      <c r="F732" s="2" t="n">
        <v>1</v>
      </c>
      <c r="G732" s="2" t="n">
        <v>16</v>
      </c>
      <c r="H732" s="2" t="inlineStr">
        <is>
          <t>LC/PC</t>
        </is>
      </c>
      <c r="I732" s="2" t="inlineStr">
        <is>
          <t>SC/APC</t>
        </is>
      </c>
      <c r="J732" s="2" t="n"/>
      <c r="K732" s="2" t="n">
        <v>4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>
        <f>SUM(J732:U732)</f>
        <v/>
      </c>
      <c r="W732" s="2" t="n">
        <v>4</v>
      </c>
      <c r="X732" s="2" t="n"/>
      <c r="Y732" s="2" t="n"/>
      <c r="Z732" s="2" t="n"/>
      <c r="AA732" s="2" t="n"/>
      <c r="AB732" s="2" t="n"/>
      <c r="AC732" s="2" t="n">
        <v>4</v>
      </c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>
        <f>IF(F732=1,V732*2,IF(F732=2,V732*F732*2,IF(F732&gt;2,F732*2*V732)))</f>
        <v/>
      </c>
      <c r="AW732" s="2">
        <f>SUM(W732:AU732)</f>
        <v/>
      </c>
    </row>
    <row r="733">
      <c r="A733" s="2" t="inlineStr">
        <is>
          <t>14-S-777</t>
        </is>
      </c>
      <c r="B733" s="3" t="inlineStr">
        <is>
          <t>DOJC-MM(OM4)-LC/PC-LC/PC</t>
        </is>
      </c>
      <c r="C733" s="2" t="inlineStr">
        <is>
          <t>1M_AQUA</t>
        </is>
      </c>
      <c r="D733" s="2" t="inlineStr">
        <is>
          <t>om1</t>
        </is>
      </c>
      <c r="E733" s="2" t="inlineStr">
        <is>
          <t>2.0mm</t>
        </is>
      </c>
      <c r="F733" s="2" t="n">
        <v>2</v>
      </c>
      <c r="G733" s="2" t="n">
        <v>1</v>
      </c>
      <c r="H733" s="2" t="inlineStr">
        <is>
          <t>LC/PC</t>
        </is>
      </c>
      <c r="I733" s="2" t="inlineStr">
        <is>
          <t>LC/PC</t>
        </is>
      </c>
      <c r="J733" s="2" t="n"/>
      <c r="K733" s="2" t="n"/>
      <c r="L733" s="2" t="n">
        <v>30</v>
      </c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>
        <f>SUM(J733:U733)</f>
        <v/>
      </c>
      <c r="W733" s="2" t="n"/>
      <c r="X733" s="2" t="n">
        <v>60</v>
      </c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>
        <v>60</v>
      </c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>
        <f>IF(F733=1,V733*2,IF(F733=2,V733*F733*2,IF(F733&gt;2,F733*2*V733)))</f>
        <v/>
      </c>
      <c r="AW733" s="2">
        <f>SUM(W733:AU733)</f>
        <v/>
      </c>
    </row>
    <row r="734">
      <c r="A734" s="2" t="inlineStr">
        <is>
          <t>14-S-792</t>
        </is>
      </c>
      <c r="B734" s="3" t="inlineStr">
        <is>
          <t>DOJC-MM(OM4)-LC/PC-LC/PC</t>
        </is>
      </c>
      <c r="C734" s="2" t="inlineStr">
        <is>
          <t>16M_AQUA</t>
        </is>
      </c>
      <c r="D734" s="2" t="inlineStr">
        <is>
          <t>om1</t>
        </is>
      </c>
      <c r="E734" s="2" t="inlineStr">
        <is>
          <t>2.0mm</t>
        </is>
      </c>
      <c r="F734" s="2" t="n">
        <v>2</v>
      </c>
      <c r="G734" s="2" t="n">
        <v>16</v>
      </c>
      <c r="H734" s="2" t="inlineStr">
        <is>
          <t>LC/PC</t>
        </is>
      </c>
      <c r="I734" s="2" t="inlineStr">
        <is>
          <t>LC/PC</t>
        </is>
      </c>
      <c r="J734" s="2" t="n"/>
      <c r="K734" s="2" t="n"/>
      <c r="L734" s="2" t="n"/>
      <c r="M734" s="2" t="n"/>
      <c r="N734" s="2" t="n">
        <v>10</v>
      </c>
      <c r="O734" s="2" t="n"/>
      <c r="P734" s="2" t="n"/>
      <c r="Q734" s="2" t="n"/>
      <c r="R734" s="2" t="n"/>
      <c r="S734" s="2" t="n"/>
      <c r="T734" s="2" t="n"/>
      <c r="U734" s="2" t="n"/>
      <c r="V734" s="2">
        <f>SUM(J734:U734)</f>
        <v/>
      </c>
      <c r="W734" s="2" t="n"/>
      <c r="X734" s="2" t="n">
        <v>20</v>
      </c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>
        <v>20</v>
      </c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>
        <f>IF(F734=1,V734*2,IF(F734=2,V734*F734*2,IF(F734&gt;2,F734*2*V734)))</f>
        <v/>
      </c>
      <c r="AW734" s="2">
        <f>SUM(W734:AU734)</f>
        <v/>
      </c>
    </row>
    <row r="735">
      <c r="A735" s="2" t="inlineStr">
        <is>
          <t>14-S-866</t>
        </is>
      </c>
      <c r="B735" s="3" t="inlineStr">
        <is>
          <t>OJC-A1-SC/LC-SM-7-PC/PC-DP</t>
        </is>
      </c>
      <c r="C735" s="2" t="inlineStr">
        <is>
          <t>청색케이블</t>
        </is>
      </c>
      <c r="D735" s="2" t="inlineStr">
        <is>
          <t>a1-청</t>
        </is>
      </c>
      <c r="E735" s="2" t="inlineStr">
        <is>
          <t>2.0mm</t>
        </is>
      </c>
      <c r="F735" s="2" t="n">
        <v>2</v>
      </c>
      <c r="G735" s="2" t="n">
        <v>7</v>
      </c>
      <c r="H735" s="2" t="inlineStr">
        <is>
          <t>SC/PC</t>
        </is>
      </c>
      <c r="I735" s="2" t="inlineStr">
        <is>
          <t>LC/PC</t>
        </is>
      </c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>
        <v>50</v>
      </c>
      <c r="T735" s="2" t="n"/>
      <c r="U735" s="2" t="n"/>
      <c r="V735" s="2">
        <f>SUM(J735:U735)</f>
        <v/>
      </c>
      <c r="W735" s="2" t="n"/>
      <c r="X735" s="2" t="n">
        <v>100</v>
      </c>
      <c r="Y735" s="2" t="n"/>
      <c r="Z735" s="2" t="n"/>
      <c r="AA735" s="2" t="n">
        <v>100</v>
      </c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>
        <f>IF(F735=1,V735*2,IF(F735=2,V735*F735*2,IF(F735&gt;2,F735*2*V735)))</f>
        <v/>
      </c>
      <c r="AW735" s="2">
        <f>SUM(W735:AU735)</f>
        <v/>
      </c>
    </row>
    <row r="736">
      <c r="A736" s="2" t="inlineStr">
        <is>
          <t>14-S-873</t>
        </is>
      </c>
      <c r="B736" s="3" t="inlineStr">
        <is>
          <t>SOJC-SM-LC/APC-SC/APC</t>
        </is>
      </c>
      <c r="C736" s="2" t="inlineStr">
        <is>
          <t>7M</t>
        </is>
      </c>
      <c r="D736" s="2" t="inlineStr">
        <is>
          <t>a1</t>
        </is>
      </c>
      <c r="E736" s="2" t="inlineStr">
        <is>
          <t>2.0mm</t>
        </is>
      </c>
      <c r="F736" s="2" t="n">
        <v>1</v>
      </c>
      <c r="G736" s="2" t="n">
        <v>7</v>
      </c>
      <c r="H736" s="2" t="inlineStr">
        <is>
          <t>LC/APC</t>
        </is>
      </c>
      <c r="I736" s="2" t="inlineStr">
        <is>
          <t>SC/APC</t>
        </is>
      </c>
      <c r="J736" s="2" t="n"/>
      <c r="K736" s="2" t="n"/>
      <c r="L736" s="2" t="n"/>
      <c r="M736" s="2" t="n"/>
      <c r="N736" s="2" t="n">
        <v>18</v>
      </c>
      <c r="O736" s="2" t="n"/>
      <c r="P736" s="2" t="n"/>
      <c r="Q736" s="2" t="n"/>
      <c r="R736" s="2" t="n"/>
      <c r="S736" s="2" t="n"/>
      <c r="T736" s="2" t="n"/>
      <c r="U736" s="2" t="n"/>
      <c r="V736" s="2">
        <f>SUM(J736:U736)</f>
        <v/>
      </c>
      <c r="W736" s="2" t="n"/>
      <c r="X736" s="2" t="n"/>
      <c r="Y736" s="2" t="n">
        <v>18</v>
      </c>
      <c r="Z736" s="2" t="n"/>
      <c r="AA736" s="2" t="n"/>
      <c r="AB736" s="2" t="n"/>
      <c r="AC736" s="2" t="n">
        <v>18</v>
      </c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>
        <f>IF(F736=1,V736*2,IF(F736=2,V736*F736*2,IF(F736&gt;2,F736*2*V736)))</f>
        <v/>
      </c>
      <c r="AW736" s="2">
        <f>SUM(W736:AU736)</f>
        <v/>
      </c>
    </row>
    <row r="737">
      <c r="A737" s="2" t="inlineStr">
        <is>
          <t>14-S-A346</t>
        </is>
      </c>
      <c r="B737" s="3" t="inlineStr">
        <is>
          <t>SOJC-SM-LC/APC-LC/APC</t>
        </is>
      </c>
      <c r="C737" s="2" t="inlineStr">
        <is>
          <t>16m</t>
        </is>
      </c>
      <c r="D737" s="2" t="inlineStr">
        <is>
          <t>a1</t>
        </is>
      </c>
      <c r="E737" s="2" t="inlineStr">
        <is>
          <t>2.0mm</t>
        </is>
      </c>
      <c r="F737" s="2" t="n">
        <v>1</v>
      </c>
      <c r="G737" s="2" t="n">
        <v>16</v>
      </c>
      <c r="H737" s="2" t="inlineStr">
        <is>
          <t>LC/APC</t>
        </is>
      </c>
      <c r="I737" s="2" t="inlineStr">
        <is>
          <t>LC/APC</t>
        </is>
      </c>
      <c r="J737" s="2" t="n"/>
      <c r="K737" s="2" t="n">
        <v>4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>
        <f>SUM(J737:U737)</f>
        <v/>
      </c>
      <c r="W737" s="2" t="n"/>
      <c r="X737" s="2" t="n"/>
      <c r="Y737" s="2" t="n">
        <v>8</v>
      </c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>
        <f>IF(F737=1,V737*2,IF(F737=2,V737*F737*2,IF(F737&gt;2,F737*2*V737)))</f>
        <v/>
      </c>
      <c r="AW737" s="2">
        <f>SUM(W737:AU737)</f>
        <v/>
      </c>
    </row>
    <row r="738">
      <c r="A738" s="2" t="inlineStr">
        <is>
          <t>14-S-A347</t>
        </is>
      </c>
      <c r="B738" s="3" t="inlineStr">
        <is>
          <t>SOJC-SM-SC/PC-FC/PC</t>
        </is>
      </c>
      <c r="C738" s="2" t="inlineStr">
        <is>
          <t>1.5M</t>
        </is>
      </c>
      <c r="D738" s="2" t="inlineStr">
        <is>
          <t>a1</t>
        </is>
      </c>
      <c r="E738" s="2" t="inlineStr">
        <is>
          <t>2.0mm</t>
        </is>
      </c>
      <c r="F738" s="2" t="n">
        <v>1</v>
      </c>
      <c r="G738" s="2" t="n">
        <v>1.5</v>
      </c>
      <c r="H738" s="2" t="inlineStr">
        <is>
          <t>SC/PC</t>
        </is>
      </c>
      <c r="I738" s="2" t="inlineStr">
        <is>
          <t>FC/PC</t>
        </is>
      </c>
      <c r="J738" s="2" t="n"/>
      <c r="K738" s="2" t="n">
        <v>2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>
        <f>SUM(J738:U738)</f>
        <v/>
      </c>
      <c r="W738" s="2" t="n"/>
      <c r="X738" s="2" t="n"/>
      <c r="Y738" s="2" t="n"/>
      <c r="Z738" s="2" t="n"/>
      <c r="AA738" s="2" t="n">
        <v>2</v>
      </c>
      <c r="AB738" s="2" t="n"/>
      <c r="AC738" s="2" t="n"/>
      <c r="AD738" s="2" t="n"/>
      <c r="AE738" s="2" t="n">
        <v>2</v>
      </c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>
        <f>IF(F738=1,V738*2,IF(F738=2,V738*F738*2,IF(F738&gt;2,F738*2*V738)))</f>
        <v/>
      </c>
      <c r="AW738" s="2">
        <f>SUM(W738:AU738)</f>
        <v/>
      </c>
    </row>
    <row r="739">
      <c r="A739" s="2" t="inlineStr">
        <is>
          <t>14-S-A348</t>
        </is>
      </c>
      <c r="B739" s="3" t="inlineStr">
        <is>
          <t>SOJC-SM-ST/PC-SC/PC</t>
        </is>
      </c>
      <c r="C739" s="2" t="inlineStr">
        <is>
          <t>1.5M</t>
        </is>
      </c>
      <c r="D739" s="2" t="inlineStr">
        <is>
          <t>a1</t>
        </is>
      </c>
      <c r="E739" s="2" t="inlineStr">
        <is>
          <t>2.0mm</t>
        </is>
      </c>
      <c r="F739" s="2" t="n">
        <v>1</v>
      </c>
      <c r="G739" s="2" t="n">
        <v>1.5</v>
      </c>
      <c r="H739" s="2" t="inlineStr">
        <is>
          <t>SC/PC</t>
        </is>
      </c>
      <c r="I739" s="2" t="inlineStr">
        <is>
          <t>SC/PC</t>
        </is>
      </c>
      <c r="J739" s="2" t="n"/>
      <c r="K739" s="2" t="n">
        <v>2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>
        <f>SUM(J739:U739)</f>
        <v/>
      </c>
      <c r="W739" s="2" t="n"/>
      <c r="X739" s="2" t="n"/>
      <c r="Y739" s="2" t="n"/>
      <c r="Z739" s="2" t="n"/>
      <c r="AA739" s="2" t="n">
        <v>4</v>
      </c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>
        <f>IF(F739=1,V739*2,IF(F739=2,V739*F739*2,IF(F739&gt;2,F739*2*V739)))</f>
        <v/>
      </c>
      <c r="AW739" s="2">
        <f>SUM(W739:AU739)</f>
        <v/>
      </c>
    </row>
    <row r="740">
      <c r="A740" s="2" t="inlineStr">
        <is>
          <t>14-S-A352</t>
        </is>
      </c>
      <c r="B740" s="3" t="inlineStr">
        <is>
          <t>SOJC-MM-LC/PC-LC/PC</t>
        </is>
      </c>
      <c r="C740" s="2" t="inlineStr">
        <is>
          <t>40m</t>
        </is>
      </c>
      <c r="D740" s="2" t="inlineStr">
        <is>
          <t>om1</t>
        </is>
      </c>
      <c r="E740" s="2" t="inlineStr">
        <is>
          <t>2.0mm</t>
        </is>
      </c>
      <c r="F740" s="2" t="n">
        <v>1</v>
      </c>
      <c r="G740" s="2" t="n">
        <v>40</v>
      </c>
      <c r="H740" s="2" t="inlineStr">
        <is>
          <t>LC/PC</t>
        </is>
      </c>
      <c r="I740" s="2" t="inlineStr">
        <is>
          <t>LC/PC</t>
        </is>
      </c>
      <c r="J740" s="2" t="n"/>
      <c r="K740" s="2" t="n"/>
      <c r="L740" s="2" t="n"/>
      <c r="M740" s="2" t="n"/>
      <c r="N740" s="2" t="n">
        <v>4</v>
      </c>
      <c r="O740" s="2" t="n"/>
      <c r="P740" s="2" t="n"/>
      <c r="Q740" s="2" t="n"/>
      <c r="R740" s="2" t="n"/>
      <c r="S740" s="2" t="n"/>
      <c r="T740" s="2" t="n"/>
      <c r="U740" s="2" t="n"/>
      <c r="V740" s="2">
        <f>SUM(J740:U740)</f>
        <v/>
      </c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>
        <v>8</v>
      </c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>
        <f>IF(F740=1,V740*2,IF(F740=2,V740*F740*2,IF(F740&gt;2,F740*2*V740)))</f>
        <v/>
      </c>
      <c r="AW740" s="2">
        <f>SUM(W740:AU740)</f>
        <v/>
      </c>
    </row>
    <row r="741">
      <c r="A741" s="2" t="inlineStr">
        <is>
          <t>14-S-A353</t>
        </is>
      </c>
      <c r="B741" s="3" t="inlineStr">
        <is>
          <t>SOJC-SM-SC/APC-FC/PC</t>
        </is>
      </c>
      <c r="C741" s="2" t="inlineStr">
        <is>
          <t>1.5m</t>
        </is>
      </c>
      <c r="D741" s="2" t="inlineStr">
        <is>
          <t>a1</t>
        </is>
      </c>
      <c r="E741" s="2" t="inlineStr">
        <is>
          <t>2.0mm</t>
        </is>
      </c>
      <c r="F741" s="2" t="n">
        <v>1</v>
      </c>
      <c r="G741" s="2" t="n">
        <v>1.5</v>
      </c>
      <c r="H741" s="2" t="inlineStr">
        <is>
          <t>SC/APC</t>
        </is>
      </c>
      <c r="I741" s="2" t="inlineStr">
        <is>
          <t>FC/PC</t>
        </is>
      </c>
      <c r="J741" s="2" t="n"/>
      <c r="K741" s="2" t="n"/>
      <c r="L741" s="2" t="n"/>
      <c r="M741" s="2" t="n"/>
      <c r="N741" s="2" t="n"/>
      <c r="O741" s="2" t="n">
        <v>5</v>
      </c>
      <c r="P741" s="2" t="n"/>
      <c r="Q741" s="2" t="n"/>
      <c r="R741" s="2" t="n"/>
      <c r="S741" s="2" t="n"/>
      <c r="T741" s="2" t="n"/>
      <c r="U741" s="2" t="n"/>
      <c r="V741" s="2">
        <f>SUM(J741:U741)</f>
        <v/>
      </c>
      <c r="W741" s="2" t="n"/>
      <c r="X741" s="2" t="n"/>
      <c r="Y741" s="2" t="n"/>
      <c r="Z741" s="2" t="n"/>
      <c r="AA741" s="2" t="n"/>
      <c r="AB741" s="2" t="n"/>
      <c r="AC741" s="2" t="n">
        <v>5</v>
      </c>
      <c r="AD741" s="2" t="n"/>
      <c r="AE741" s="2" t="n">
        <v>5</v>
      </c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>
        <f>IF(F741=1,V741*2,IF(F741=2,V741*F741*2,IF(F741&gt;2,F741*2*V741)))</f>
        <v/>
      </c>
      <c r="AW741" s="2">
        <f>SUM(W741:AU741)</f>
        <v/>
      </c>
    </row>
    <row r="742">
      <c r="A742" s="2" t="inlineStr">
        <is>
          <t>14-S-A354</t>
        </is>
      </c>
      <c r="B742" s="3" t="inlineStr">
        <is>
          <t>SOJC-SM-SC/PC-SC/PC</t>
        </is>
      </c>
      <c r="C742" s="2" t="inlineStr">
        <is>
          <t>2M_적색</t>
        </is>
      </c>
      <c r="D742" s="2" t="inlineStr">
        <is>
          <t>a1-적</t>
        </is>
      </c>
      <c r="E742" s="2" t="inlineStr">
        <is>
          <t>2.0mm</t>
        </is>
      </c>
      <c r="F742" s="2" t="n">
        <v>1</v>
      </c>
      <c r="G742" s="2" t="n">
        <v>2</v>
      </c>
      <c r="H742" s="2" t="inlineStr">
        <is>
          <t>SC/PC</t>
        </is>
      </c>
      <c r="I742" s="2" t="inlineStr">
        <is>
          <t>SC/PC</t>
        </is>
      </c>
      <c r="J742" s="2" t="n"/>
      <c r="K742" s="2" t="n"/>
      <c r="L742" s="2" t="n"/>
      <c r="M742" s="2" t="n"/>
      <c r="N742" s="2" t="n"/>
      <c r="O742" s="2" t="n"/>
      <c r="P742" s="2" t="n">
        <v>100</v>
      </c>
      <c r="Q742" s="2" t="n"/>
      <c r="R742" s="2" t="n"/>
      <c r="S742" s="2" t="n"/>
      <c r="T742" s="2" t="n"/>
      <c r="U742" s="2" t="n"/>
      <c r="V742" s="2">
        <f>SUM(J742:U742)</f>
        <v/>
      </c>
      <c r="W742" s="2" t="n"/>
      <c r="X742" s="2" t="n"/>
      <c r="Y742" s="2" t="n"/>
      <c r="Z742" s="2" t="n"/>
      <c r="AA742" s="2" t="n">
        <v>200</v>
      </c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>
        <f>IF(F742=1,V742*2,IF(F742=2,V742*F742*2,IF(F742&gt;2,F742*2*V742)))</f>
        <v/>
      </c>
      <c r="AW742" s="2">
        <f>SUM(W742:AU742)</f>
        <v/>
      </c>
    </row>
    <row r="743">
      <c r="A743" s="2" t="inlineStr">
        <is>
          <t>14-S-A355</t>
        </is>
      </c>
      <c r="B743" s="3" t="inlineStr">
        <is>
          <t>SOJC-SM-SC/PC-SC/PC</t>
        </is>
      </c>
      <c r="C743" s="2" t="inlineStr">
        <is>
          <t>0.2M_청색</t>
        </is>
      </c>
      <c r="D743" s="2" t="inlineStr">
        <is>
          <t>a1-청</t>
        </is>
      </c>
      <c r="E743" s="2" t="inlineStr">
        <is>
          <t>2.0mm</t>
        </is>
      </c>
      <c r="F743" s="2" t="n">
        <v>1</v>
      </c>
      <c r="G743" s="2" t="n">
        <v>0.2</v>
      </c>
      <c r="H743" s="2" t="inlineStr">
        <is>
          <t>SC/PC</t>
        </is>
      </c>
      <c r="I743" s="2" t="inlineStr">
        <is>
          <t>SC/PC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>
        <v>50</v>
      </c>
      <c r="T743" s="2" t="n"/>
      <c r="U743" s="2" t="n"/>
      <c r="V743" s="2">
        <f>SUM(J743:U743)</f>
        <v/>
      </c>
      <c r="W743" s="2" t="n"/>
      <c r="X743" s="2" t="n"/>
      <c r="Y743" s="2" t="n"/>
      <c r="Z743" s="2" t="n"/>
      <c r="AA743" s="2" t="n">
        <v>100</v>
      </c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>
        <f>IF(F743=1,V743*2,IF(F743=2,V743*F743*2,IF(F743&gt;2,F743*2*V743)))</f>
        <v/>
      </c>
      <c r="AW743" s="2">
        <f>SUM(W743:AU743)</f>
        <v/>
      </c>
    </row>
    <row r="744">
      <c r="A744" s="2" t="inlineStr">
        <is>
          <t>14-S-A356</t>
        </is>
      </c>
      <c r="B744" s="3" t="inlineStr">
        <is>
          <t>SOJC-SM-LC/PC-LC/PC</t>
        </is>
      </c>
      <c r="C744" s="2" t="inlineStr">
        <is>
          <t>0.5M_청색케이블</t>
        </is>
      </c>
      <c r="D744" s="2" t="inlineStr">
        <is>
          <t>a1-청</t>
        </is>
      </c>
      <c r="E744" s="2" t="inlineStr">
        <is>
          <t>2.0mm</t>
        </is>
      </c>
      <c r="F744" s="2" t="n">
        <v>1</v>
      </c>
      <c r="G744" s="2" t="n">
        <v>0.5</v>
      </c>
      <c r="H744" s="2" t="inlineStr">
        <is>
          <t>LC/PC</t>
        </is>
      </c>
      <c r="I744" s="2" t="inlineStr">
        <is>
          <t>LC/PC</t>
        </is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>
        <v>62</v>
      </c>
      <c r="T744" s="2" t="n"/>
      <c r="U744" s="2" t="n"/>
      <c r="V744" s="2">
        <f>SUM(J744:U744)</f>
        <v/>
      </c>
      <c r="W744" s="2" t="n">
        <v>124</v>
      </c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>
        <f>IF(F744=1,V744*2,IF(F744=2,V744*F744*2,IF(F744&gt;2,F744*2*V744)))</f>
        <v/>
      </c>
      <c r="AW744" s="2">
        <f>SUM(W744:AU744)</f>
        <v/>
      </c>
    </row>
    <row r="745">
      <c r="A745" s="2" t="inlineStr">
        <is>
          <t>14-S-A357</t>
        </is>
      </c>
      <c r="B745" s="3" t="inlineStr">
        <is>
          <t>SOJC-SM-LC/PC-LC/PC</t>
        </is>
      </c>
      <c r="C745" s="2" t="inlineStr">
        <is>
          <t>0.2M_청색케이블</t>
        </is>
      </c>
      <c r="D745" s="2" t="inlineStr">
        <is>
          <t>a1-청</t>
        </is>
      </c>
      <c r="E745" s="2" t="inlineStr">
        <is>
          <t>2.0mm</t>
        </is>
      </c>
      <c r="F745" s="2" t="n">
        <v>1</v>
      </c>
      <c r="G745" s="2" t="n">
        <v>0.2</v>
      </c>
      <c r="H745" s="2" t="inlineStr">
        <is>
          <t>LC/PC</t>
        </is>
      </c>
      <c r="I745" s="2" t="inlineStr">
        <is>
          <t>LC/PC</t>
        </is>
      </c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>
        <v>54</v>
      </c>
      <c r="T745" s="2" t="n"/>
      <c r="U745" s="2" t="n"/>
      <c r="V745" s="2">
        <f>SUM(J745:U745)</f>
        <v/>
      </c>
      <c r="W745" s="2" t="n">
        <v>108</v>
      </c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>
        <f>IF(F745=1,V745*2,IF(F745=2,V745*F745*2,IF(F745&gt;2,F745*2*V745)))</f>
        <v/>
      </c>
      <c r="AW745" s="2">
        <f>SUM(W745:AU745)</f>
        <v/>
      </c>
    </row>
    <row r="746">
      <c r="A746" s="2" t="inlineStr">
        <is>
          <t>14-k-725</t>
        </is>
      </c>
      <c r="B746" s="3" t="inlineStr">
        <is>
          <t>OJC-A1-SC/SC-SM-5-PC/PC-DP</t>
        </is>
      </c>
      <c r="C746" s="2" t="inlineStr">
        <is>
          <t>K9089127_청색</t>
        </is>
      </c>
      <c r="D746" s="2" t="inlineStr">
        <is>
          <t>a1-청</t>
        </is>
      </c>
      <c r="E746" s="2" t="inlineStr">
        <is>
          <t>2.0mm</t>
        </is>
      </c>
      <c r="F746" s="2" t="n">
        <v>2</v>
      </c>
      <c r="G746" s="2" t="n">
        <v>5</v>
      </c>
      <c r="H746" s="2" t="inlineStr">
        <is>
          <t>SC/PC</t>
        </is>
      </c>
      <c r="I746" s="2" t="inlineStr">
        <is>
          <t>SC/PC</t>
        </is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>
        <v>80</v>
      </c>
      <c r="U746" s="2" t="n"/>
      <c r="V746" s="2">
        <f>SUM(J746:U746)</f>
        <v/>
      </c>
      <c r="W746" s="2" t="n"/>
      <c r="X746" s="2" t="n"/>
      <c r="Y746" s="2" t="n"/>
      <c r="Z746" s="2" t="n"/>
      <c r="AA746" s="2" t="n">
        <v>160</v>
      </c>
      <c r="AB746" s="2" t="n">
        <v>160</v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>
        <f>IF(F746=1,V746*2,IF(F746=2,V746*F746*2,IF(F746&gt;2,F746*2*V746)))</f>
        <v/>
      </c>
      <c r="AW746" s="2">
        <f>SUM(W746:AU746)</f>
        <v/>
      </c>
    </row>
    <row r="747">
      <c r="A747" s="2" t="inlineStr">
        <is>
          <t>37-S-006</t>
        </is>
      </c>
      <c r="B747" s="3" t="inlineStr">
        <is>
          <t>SPLITTER (1:2,SC/PC)</t>
        </is>
      </c>
      <c r="C747" s="2" t="inlineStr">
        <is>
          <t>IN 1M, OUT 0.6M</t>
        </is>
      </c>
      <c r="D747" s="2" t="inlineStr">
        <is>
          <t>a1</t>
        </is>
      </c>
      <c r="E747" s="2" t="inlineStr">
        <is>
          <t>2.0mm</t>
        </is>
      </c>
      <c r="F747" s="2" t="n">
        <v>1</v>
      </c>
      <c r="G747" s="2" t="n">
        <v>1</v>
      </c>
      <c r="H747" s="2" t="n"/>
      <c r="I747" s="2" t="n"/>
      <c r="J747" s="2" t="n"/>
      <c r="K747" s="2" t="n">
        <v>1</v>
      </c>
      <c r="L747" s="2" t="n">
        <v>50</v>
      </c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>
        <f>SUM(J747:U747)</f>
        <v/>
      </c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>
        <f>IF(F747=1,V747*2,IF(F747=2,V747*F747*2,IF(F747&gt;2,F747*2*V747)))</f>
        <v/>
      </c>
      <c r="AW747" s="2">
        <f>SUM(W747:AU747)</f>
        <v/>
      </c>
    </row>
    <row r="748">
      <c r="A748" s="2" t="inlineStr">
        <is>
          <t>37-S-006CW</t>
        </is>
      </c>
      <c r="B748" s="3" t="inlineStr">
        <is>
          <t>SPLITTER (1:2,SC/PC)</t>
        </is>
      </c>
      <c r="C748" s="2" t="inlineStr">
        <is>
          <t>IN 1M, OUT 1M, WHITE CABLE</t>
        </is>
      </c>
      <c r="D748" s="2" t="inlineStr">
        <is>
          <t>a1</t>
        </is>
      </c>
      <c r="E748" s="2" t="inlineStr">
        <is>
          <t>2.0mm</t>
        </is>
      </c>
      <c r="F748" s="2" t="n">
        <v>1</v>
      </c>
      <c r="G748" s="2" t="n">
        <v>1</v>
      </c>
      <c r="H748" s="2" t="n"/>
      <c r="I748" s="2" t="n"/>
      <c r="J748" s="2" t="n"/>
      <c r="K748" s="2" t="n"/>
      <c r="L748" s="2" t="n"/>
      <c r="M748" s="2" t="n"/>
      <c r="N748" s="2" t="n">
        <v>124</v>
      </c>
      <c r="O748" s="2" t="n"/>
      <c r="P748" s="2" t="n"/>
      <c r="Q748" s="2" t="n"/>
      <c r="R748" s="2" t="n"/>
      <c r="S748" s="2" t="n"/>
      <c r="T748" s="2" t="n"/>
      <c r="U748" s="2" t="n"/>
      <c r="V748" s="2">
        <f>SUM(J748:U748)</f>
        <v/>
      </c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>
        <f>IF(F748=1,V748*2,IF(F748=2,V748*F748*2,IF(F748&gt;2,F748*2*V748)))</f>
        <v/>
      </c>
      <c r="AW748" s="2">
        <f>SUM(W748:AU748)</f>
        <v/>
      </c>
    </row>
    <row r="749">
      <c r="A749" s="2" t="inlineStr">
        <is>
          <t>37-S-021C</t>
        </is>
      </c>
      <c r="B749" s="3" t="inlineStr">
        <is>
          <t>SPLITTER (1:8,SC/PC)</t>
        </is>
      </c>
      <c r="C749" s="2" t="inlineStr">
        <is>
          <t>IN 1M, OUT 1M</t>
        </is>
      </c>
      <c r="D749" s="2" t="inlineStr">
        <is>
          <t>a1</t>
        </is>
      </c>
      <c r="E749" s="2" t="inlineStr">
        <is>
          <t>2.0mm</t>
        </is>
      </c>
      <c r="F749" s="2" t="n">
        <v>1</v>
      </c>
      <c r="G749" s="2" t="n">
        <v>1</v>
      </c>
      <c r="H749" s="2" t="n"/>
      <c r="I749" s="2" t="n"/>
      <c r="J749" s="2" t="n"/>
      <c r="K749" s="2" t="n"/>
      <c r="L749" s="2" t="n">
        <v>45</v>
      </c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>
        <f>SUM(J749:U749)</f>
        <v/>
      </c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>
        <f>IF(F749=1,V749*2,IF(F749=2,V749*F749*2,IF(F749&gt;2,F749*2*V749)))</f>
        <v/>
      </c>
      <c r="AW749" s="2">
        <f>SUM(W749:AU749)</f>
        <v/>
      </c>
    </row>
    <row r="750">
      <c r="A750" s="2" t="inlineStr">
        <is>
          <t>A14-D-FP/FA-B-N-001</t>
        </is>
      </c>
      <c r="B750" s="3" t="inlineStr">
        <is>
          <t>DOJC-SM-FC/PC-FC/APC</t>
        </is>
      </c>
      <c r="C750" s="2" t="inlineStr">
        <is>
          <t>908040627, 10M, B3, 2.0mm</t>
        </is>
      </c>
      <c r="D750" s="2" t="inlineStr">
        <is>
          <t>b3</t>
        </is>
      </c>
      <c r="E750" s="2" t="inlineStr">
        <is>
          <t>2.0mm</t>
        </is>
      </c>
      <c r="F750" s="2" t="n">
        <v>2</v>
      </c>
      <c r="G750" s="2" t="n">
        <v>10</v>
      </c>
      <c r="H750" s="2" t="inlineStr">
        <is>
          <t>FC/PC</t>
        </is>
      </c>
      <c r="I750" s="2" t="inlineStr">
        <is>
          <t>FC/APC</t>
        </is>
      </c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>
        <v>15</v>
      </c>
      <c r="U750" s="2" t="n"/>
      <c r="V750" s="2">
        <f>SUM(J750:U750)</f>
        <v/>
      </c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>
        <v>30</v>
      </c>
      <c r="AF750" s="2" t="n"/>
      <c r="AG750" s="2" t="n"/>
      <c r="AH750" s="2" t="n">
        <v>30</v>
      </c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>
        <f>IF(F750=1,V750*2,IF(F750=2,V750*F750*2,IF(F750&gt;2,F750*2*V750)))</f>
        <v/>
      </c>
      <c r="AW750" s="2">
        <f>SUM(W750:AU750)</f>
        <v/>
      </c>
    </row>
    <row r="751">
      <c r="A751" s="2" t="inlineStr">
        <is>
          <t>A14-D-FP/FA-B-N-002</t>
        </is>
      </c>
      <c r="B751" s="3" t="inlineStr">
        <is>
          <t>DOJC-SM-FC/PC-FC/APC</t>
        </is>
      </c>
      <c r="C751" s="2" t="inlineStr">
        <is>
          <t>908040632, 15M, B3, 2.0mm</t>
        </is>
      </c>
      <c r="D751" s="2" t="inlineStr">
        <is>
          <t>b3</t>
        </is>
      </c>
      <c r="E751" s="2" t="inlineStr">
        <is>
          <t>2.0mm</t>
        </is>
      </c>
      <c r="F751" s="2" t="n">
        <v>2</v>
      </c>
      <c r="G751" s="2" t="n">
        <v>15</v>
      </c>
      <c r="H751" s="2" t="inlineStr">
        <is>
          <t>FC/PC</t>
        </is>
      </c>
      <c r="I751" s="2" t="inlineStr">
        <is>
          <t>FC/APC</t>
        </is>
      </c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>
        <v>15</v>
      </c>
      <c r="U751" s="2" t="n"/>
      <c r="V751" s="2">
        <f>SUM(J751:U751)</f>
        <v/>
      </c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>
        <v>30</v>
      </c>
      <c r="AF751" s="2" t="n"/>
      <c r="AG751" s="2" t="n"/>
      <c r="AH751" s="2" t="n">
        <v>30</v>
      </c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>
        <f>IF(F751=1,V751*2,IF(F751=2,V751*F751*2,IF(F751&gt;2,F751*2*V751)))</f>
        <v/>
      </c>
      <c r="AW751" s="2">
        <f>SUM(W751:AU751)</f>
        <v/>
      </c>
    </row>
    <row r="752">
      <c r="A752" s="2" t="inlineStr">
        <is>
          <t>A14-D-FP/FP-B-N-004</t>
        </is>
      </c>
      <c r="B752" s="3" t="inlineStr">
        <is>
          <t>DOJC-SM-FC/PC-FC/PC</t>
        </is>
      </c>
      <c r="C752" s="2" t="inlineStr">
        <is>
          <t>908040607, 20M, B3, 2.0mm</t>
        </is>
      </c>
      <c r="D752" s="2" t="inlineStr">
        <is>
          <t>b3</t>
        </is>
      </c>
      <c r="E752" s="2" t="inlineStr">
        <is>
          <t>2.0mm</t>
        </is>
      </c>
      <c r="F752" s="2" t="n">
        <v>2</v>
      </c>
      <c r="G752" s="2" t="n">
        <v>20</v>
      </c>
      <c r="H752" s="2" t="inlineStr">
        <is>
          <t>FC/PC</t>
        </is>
      </c>
      <c r="I752" s="2" t="inlineStr">
        <is>
          <t>FC/PC</t>
        </is>
      </c>
      <c r="J752" s="2" t="n"/>
      <c r="K752" s="2" t="n"/>
      <c r="L752" s="2" t="n"/>
      <c r="M752" s="2" t="n"/>
      <c r="N752" s="2" t="n"/>
      <c r="O752" s="2" t="n"/>
      <c r="P752" s="2" t="n">
        <v>10</v>
      </c>
      <c r="Q752" s="2" t="n"/>
      <c r="R752" s="2" t="n"/>
      <c r="S752" s="2" t="n"/>
      <c r="T752" s="2" t="n"/>
      <c r="U752" s="2" t="n"/>
      <c r="V752" s="2">
        <f>SUM(J752:U752)</f>
        <v/>
      </c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>
        <v>20</v>
      </c>
      <c r="AF752" s="2" t="n">
        <v>20</v>
      </c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>
        <f>IF(F752=1,V752*2,IF(F752=2,V752*F752*2,IF(F752&gt;2,F752*2*V752)))</f>
        <v/>
      </c>
      <c r="AW752" s="2">
        <f>SUM(W752:AU752)</f>
        <v/>
      </c>
    </row>
    <row r="753">
      <c r="A753" s="2" t="inlineStr">
        <is>
          <t>A14-D-FP/FP-B-N-007</t>
        </is>
      </c>
      <c r="B753" s="3" t="inlineStr">
        <is>
          <t>DOJC-SM-FC/PC-FC/PC</t>
        </is>
      </c>
      <c r="C753" s="2" t="inlineStr">
        <is>
          <t>908040617, 30M,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2</v>
      </c>
      <c r="G753" s="2" t="n">
        <v>30</v>
      </c>
      <c r="H753" s="2" t="inlineStr">
        <is>
          <t>FC/PC</t>
        </is>
      </c>
      <c r="I753" s="2" t="inlineStr">
        <is>
          <t>FC/PC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>
        <v>30</v>
      </c>
      <c r="T753" s="2" t="n"/>
      <c r="U753" s="2" t="n"/>
      <c r="V753" s="2">
        <f>SUM(J753:U753)</f>
        <v/>
      </c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>
        <v>60</v>
      </c>
      <c r="AF753" s="2" t="n">
        <v>60</v>
      </c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>
        <f>IF(F753=1,V753*2,IF(F753=2,V753*F753*2,IF(F753&gt;2,F753*2*V753)))</f>
        <v/>
      </c>
      <c r="AW753" s="2">
        <f>SUM(W753:AU753)</f>
        <v/>
      </c>
    </row>
    <row r="754">
      <c r="A754" s="2" t="inlineStr">
        <is>
          <t>A14-D-LP/FA-B-N-015</t>
        </is>
      </c>
      <c r="B754" s="3" t="inlineStr">
        <is>
          <t>DOJC-SM-LC/PC-FC/APC</t>
        </is>
      </c>
      <c r="C754" s="2" t="inlineStr">
        <is>
          <t>908040531, 9M,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2</v>
      </c>
      <c r="G754" s="2" t="n">
        <v>9</v>
      </c>
      <c r="H754" s="2" t="inlineStr">
        <is>
          <t>LC/PC</t>
        </is>
      </c>
      <c r="I754" s="2" t="inlineStr">
        <is>
          <t>FC/APC</t>
        </is>
      </c>
      <c r="J754" s="2" t="n"/>
      <c r="K754" s="2" t="n"/>
      <c r="L754" s="2" t="n">
        <v>10</v>
      </c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>
        <f>SUM(J754:U754)</f>
        <v/>
      </c>
      <c r="W754" s="2" t="n">
        <v>20</v>
      </c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>
        <v>20</v>
      </c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>
        <f>IF(F754=1,V754*2,IF(F754=2,V754*F754*2,IF(F754&gt;2,F754*2*V754)))</f>
        <v/>
      </c>
      <c r="AW754" s="2">
        <f>SUM(W754:AU754)</f>
        <v/>
      </c>
    </row>
    <row r="755">
      <c r="A755" s="2" t="inlineStr">
        <is>
          <t>A14-D-LP/FP-B-N-012</t>
        </is>
      </c>
      <c r="B755" s="3" t="inlineStr">
        <is>
          <t>DOJC-SM-LC/PC-FC/PC</t>
        </is>
      </c>
      <c r="C755" s="2" t="inlineStr">
        <is>
          <t>908040719, 7M,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2</v>
      </c>
      <c r="G755" s="2" t="n">
        <v>7</v>
      </c>
      <c r="H755" s="2" t="inlineStr">
        <is>
          <t>LC/PC</t>
        </is>
      </c>
      <c r="I755" s="2" t="inlineStr">
        <is>
          <t>FC/PC</t>
        </is>
      </c>
      <c r="J755" s="2" t="n"/>
      <c r="K755" s="2" t="n"/>
      <c r="L755" s="2" t="n"/>
      <c r="M755" s="2" t="n">
        <v>25</v>
      </c>
      <c r="N755" s="2" t="n"/>
      <c r="O755" s="2" t="n">
        <v>10</v>
      </c>
      <c r="P755" s="2" t="n"/>
      <c r="Q755" s="2" t="n"/>
      <c r="R755" s="2" t="n"/>
      <c r="S755" s="2" t="n"/>
      <c r="T755" s="2" t="n"/>
      <c r="U755" s="2" t="n"/>
      <c r="V755" s="2">
        <f>SUM(J755:U755)</f>
        <v/>
      </c>
      <c r="W755" s="2" t="n">
        <v>70</v>
      </c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>
        <v>70</v>
      </c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>
        <f>IF(F755=1,V755*2,IF(F755=2,V755*F755*2,IF(F755&gt;2,F755*2*V755)))</f>
        <v/>
      </c>
      <c r="AW755" s="2">
        <f>SUM(W755:AU755)</f>
        <v/>
      </c>
    </row>
    <row r="756">
      <c r="A756" s="2" t="inlineStr">
        <is>
          <t>A14-D-LP/LP-1-N-012</t>
        </is>
      </c>
      <c r="B756" s="3" t="inlineStr">
        <is>
          <t>DOJC-MM-LC/PC-LC/PC</t>
        </is>
      </c>
      <c r="C756" s="2" t="inlineStr">
        <is>
          <t>920000783, 1M</t>
        </is>
      </c>
      <c r="D756" s="2" t="inlineStr">
        <is>
          <t>om1</t>
        </is>
      </c>
      <c r="E756" s="2" t="inlineStr">
        <is>
          <t>2.0mm</t>
        </is>
      </c>
      <c r="F756" s="2" t="n">
        <v>2</v>
      </c>
      <c r="G756" s="2" t="n">
        <v>1</v>
      </c>
      <c r="H756" s="2" t="inlineStr">
        <is>
          <t>LC/PC</t>
        </is>
      </c>
      <c r="I756" s="2" t="inlineStr">
        <is>
          <t>LC/PC</t>
        </is>
      </c>
      <c r="J756" s="2" t="n">
        <v>30</v>
      </c>
      <c r="K756" s="2" t="n"/>
      <c r="L756" s="2" t="n"/>
      <c r="M756" s="2" t="n"/>
      <c r="N756" s="2" t="n"/>
      <c r="O756" s="2" t="n">
        <v>4</v>
      </c>
      <c r="P756" s="2" t="n"/>
      <c r="Q756" s="2" t="n"/>
      <c r="R756" s="2" t="n"/>
      <c r="S756" s="2" t="n"/>
      <c r="T756" s="2" t="n"/>
      <c r="U756" s="2" t="n"/>
      <c r="V756" s="2">
        <f>SUM(J756:U756)</f>
        <v/>
      </c>
      <c r="W756" s="2" t="n"/>
      <c r="X756" s="2" t="n">
        <v>68</v>
      </c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>
        <v>68</v>
      </c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>
        <f>IF(F756=1,V756*2,IF(F756=2,V756*F756*2,IF(F756&gt;2,F756*2*V756)))</f>
        <v/>
      </c>
      <c r="AW756" s="2">
        <f>SUM(W756:AU756)</f>
        <v/>
      </c>
    </row>
    <row r="757">
      <c r="A757" s="2" t="inlineStr">
        <is>
          <t>A14-D-LP/LP-1-N-027</t>
        </is>
      </c>
      <c r="B757" s="3" t="inlineStr">
        <is>
          <t>DOJC-MM-LC/PC-LC/PC</t>
        </is>
      </c>
      <c r="C757" s="2" t="inlineStr">
        <is>
          <t>60M</t>
        </is>
      </c>
      <c r="D757" s="2" t="inlineStr">
        <is>
          <t>om1</t>
        </is>
      </c>
      <c r="E757" s="2" t="inlineStr">
        <is>
          <t>2.0mm</t>
        </is>
      </c>
      <c r="F757" s="2" t="n">
        <v>2</v>
      </c>
      <c r="G757" s="2" t="n">
        <v>60</v>
      </c>
      <c r="H757" s="2" t="inlineStr">
        <is>
          <t>LC/PC</t>
        </is>
      </c>
      <c r="I757" s="2" t="inlineStr">
        <is>
          <t>LC/PC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>
        <v>6</v>
      </c>
      <c r="S757" s="2" t="n"/>
      <c r="T757" s="2" t="n"/>
      <c r="U757" s="2" t="n"/>
      <c r="V757" s="2">
        <f>SUM(J757:U757)</f>
        <v/>
      </c>
      <c r="W757" s="2" t="n"/>
      <c r="X757" s="2" t="n">
        <v>12</v>
      </c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>
        <v>12</v>
      </c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>
        <f>IF(F757=1,V757*2,IF(F757=2,V757*F757*2,IF(F757&gt;2,F757*2*V757)))</f>
        <v/>
      </c>
      <c r="AW757" s="2">
        <f>SUM(W757:AU757)</f>
        <v/>
      </c>
    </row>
    <row r="758">
      <c r="A758" s="2" t="inlineStr">
        <is>
          <t>A14-D-LP/SA-B-N-010</t>
        </is>
      </c>
      <c r="B758" s="3" t="inlineStr">
        <is>
          <t>DOJC-SM-LC/PC-SC/APC</t>
        </is>
      </c>
      <c r="C758" s="2" t="inlineStr">
        <is>
          <t>908040910, 4M, B3, 3.0mm</t>
        </is>
      </c>
      <c r="D758" s="2" t="inlineStr">
        <is>
          <t>b3</t>
        </is>
      </c>
      <c r="E758" s="2" t="inlineStr">
        <is>
          <t>3.0mm</t>
        </is>
      </c>
      <c r="F758" s="2" t="n">
        <v>2</v>
      </c>
      <c r="G758" s="2" t="n">
        <v>4</v>
      </c>
      <c r="H758" s="2" t="inlineStr">
        <is>
          <t>LC/PC</t>
        </is>
      </c>
      <c r="I758" s="2" t="inlineStr">
        <is>
          <t>SC/APC</t>
        </is>
      </c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>
        <v>30</v>
      </c>
      <c r="V758" s="2">
        <f>SUM(J758:U758)</f>
        <v/>
      </c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>
        <v>60</v>
      </c>
      <c r="AK758" s="2" t="n"/>
      <c r="AL758" s="2" t="n"/>
      <c r="AM758" s="2" t="n"/>
      <c r="AN758" s="2" t="n"/>
      <c r="AO758" s="2" t="n"/>
      <c r="AP758" s="2" t="n"/>
      <c r="AQ758" s="2" t="n">
        <v>60</v>
      </c>
      <c r="AR758" s="2" t="n"/>
      <c r="AS758" s="2" t="n"/>
      <c r="AT758" s="2" t="n"/>
      <c r="AU758" s="2" t="n"/>
      <c r="AV758" s="2">
        <f>IF(F758=1,V758*2,IF(F758=2,V758*F758*2,IF(F758&gt;2,F758*2*V758)))</f>
        <v/>
      </c>
      <c r="AW758" s="2">
        <f>SUM(W758:AU758)</f>
        <v/>
      </c>
    </row>
    <row r="759">
      <c r="A759" s="2" t="inlineStr">
        <is>
          <t>A14-D-LP/SA-B-N-014</t>
        </is>
      </c>
      <c r="B759" s="3" t="inlineStr">
        <is>
          <t>DOJC-SM-LC/PC-SC/APC</t>
        </is>
      </c>
      <c r="C759" s="2" t="inlineStr">
        <is>
          <t>908040914, 8M, B3, 2.0mm</t>
        </is>
      </c>
      <c r="D759" s="2" t="inlineStr">
        <is>
          <t>b3</t>
        </is>
      </c>
      <c r="E759" s="2" t="inlineStr">
        <is>
          <t>2.0mm</t>
        </is>
      </c>
      <c r="F759" s="2" t="n">
        <v>2</v>
      </c>
      <c r="G759" s="2" t="n">
        <v>8</v>
      </c>
      <c r="H759" s="2" t="inlineStr">
        <is>
          <t>LC/PC</t>
        </is>
      </c>
      <c r="I759" s="2" t="inlineStr">
        <is>
          <t>SC/APC</t>
        </is>
      </c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>
        <v>50</v>
      </c>
      <c r="V759" s="2">
        <f>SUM(J759:U759)</f>
        <v/>
      </c>
      <c r="W759" s="2" t="n">
        <v>100</v>
      </c>
      <c r="X759" s="2" t="n"/>
      <c r="Y759" s="2" t="n"/>
      <c r="Z759" s="2" t="n"/>
      <c r="AA759" s="2" t="n"/>
      <c r="AB759" s="2" t="n"/>
      <c r="AC759" s="2" t="n"/>
      <c r="AD759" s="2" t="n">
        <v>100</v>
      </c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>
        <f>IF(F759=1,V759*2,IF(F759=2,V759*F759*2,IF(F759&gt;2,F759*2*V759)))</f>
        <v/>
      </c>
      <c r="AW759" s="2">
        <f>SUM(W759:AU759)</f>
        <v/>
      </c>
    </row>
    <row r="760">
      <c r="A760" s="2" t="inlineStr">
        <is>
          <t>A14-D-LP/SP-1-N-013</t>
        </is>
      </c>
      <c r="B760" s="3" t="inlineStr">
        <is>
          <t>DOJC-MM-LC/PC-SC/PC</t>
        </is>
      </c>
      <c r="C760" s="2" t="inlineStr">
        <is>
          <t>908040792, 30M</t>
        </is>
      </c>
      <c r="D760" s="2" t="inlineStr">
        <is>
          <t>om1</t>
        </is>
      </c>
      <c r="E760" s="2" t="inlineStr">
        <is>
          <t>2.0mm</t>
        </is>
      </c>
      <c r="F760" s="2" t="n">
        <v>2</v>
      </c>
      <c r="G760" s="2" t="n">
        <v>30</v>
      </c>
      <c r="H760" s="2" t="inlineStr">
        <is>
          <t>LC/PC</t>
        </is>
      </c>
      <c r="I760" s="2" t="inlineStr">
        <is>
          <t>SC/PC</t>
        </is>
      </c>
      <c r="J760" s="2" t="n"/>
      <c r="K760" s="2" t="n"/>
      <c r="L760" s="2" t="n"/>
      <c r="M760" s="2" t="n"/>
      <c r="N760" s="2" t="n"/>
      <c r="O760" s="2" t="n">
        <v>2</v>
      </c>
      <c r="P760" s="2" t="n"/>
      <c r="Q760" s="2" t="n"/>
      <c r="R760" s="2" t="n"/>
      <c r="S760" s="2" t="n">
        <v>20</v>
      </c>
      <c r="T760" s="2" t="n"/>
      <c r="U760" s="2" t="n"/>
      <c r="V760" s="2">
        <f>SUM(J760:U760)</f>
        <v/>
      </c>
      <c r="W760" s="2" t="n"/>
      <c r="X760" s="2" t="n"/>
      <c r="Y760" s="2" t="n"/>
      <c r="Z760" s="2" t="n"/>
      <c r="AA760" s="2" t="n"/>
      <c r="AB760" s="2" t="n">
        <v>44</v>
      </c>
      <c r="AC760" s="2" t="n"/>
      <c r="AD760" s="2" t="n"/>
      <c r="AE760" s="2" t="n"/>
      <c r="AF760" s="2" t="n"/>
      <c r="AG760" s="2" t="n"/>
      <c r="AH760" s="2" t="n"/>
      <c r="AI760" s="2" t="n">
        <v>44</v>
      </c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>
        <f>IF(F760=1,V760*2,IF(F760=2,V760*F760*2,IF(F760&gt;2,F760*2*V760)))</f>
        <v/>
      </c>
      <c r="AW760" s="2">
        <f>SUM(W760:AU760)</f>
        <v/>
      </c>
    </row>
    <row r="761">
      <c r="A761" s="2" t="inlineStr">
        <is>
          <t>A14-D-LP/SP-1-N-014</t>
        </is>
      </c>
      <c r="B761" s="3" t="inlineStr">
        <is>
          <t>DOJC-MM-LC/PC-SC/PC</t>
        </is>
      </c>
      <c r="C761" s="2" t="inlineStr">
        <is>
          <t>920000723, 35M</t>
        </is>
      </c>
      <c r="D761" s="2" t="inlineStr">
        <is>
          <t>om1</t>
        </is>
      </c>
      <c r="E761" s="2" t="inlineStr">
        <is>
          <t>2.0mm</t>
        </is>
      </c>
      <c r="F761" s="2" t="n">
        <v>2</v>
      </c>
      <c r="G761" s="2" t="n">
        <v>35</v>
      </c>
      <c r="H761" s="2" t="inlineStr">
        <is>
          <t>LC/PC</t>
        </is>
      </c>
      <c r="I761" s="2" t="inlineStr">
        <is>
          <t>SC/PC</t>
        </is>
      </c>
      <c r="J761" s="2" t="n"/>
      <c r="K761" s="2" t="n"/>
      <c r="L761" s="2" t="n"/>
      <c r="M761" s="2" t="n"/>
      <c r="N761" s="2" t="n"/>
      <c r="O761" s="2" t="n">
        <v>2</v>
      </c>
      <c r="P761" s="2" t="n"/>
      <c r="Q761" s="2" t="n"/>
      <c r="R761" s="2" t="n"/>
      <c r="S761" s="2" t="n"/>
      <c r="T761" s="2" t="n"/>
      <c r="U761" s="2" t="n"/>
      <c r="V761" s="2">
        <f>SUM(J761:U761)</f>
        <v/>
      </c>
      <c r="W761" s="2" t="n"/>
      <c r="X761" s="2" t="n"/>
      <c r="Y761" s="2" t="n"/>
      <c r="Z761" s="2" t="n"/>
      <c r="AA761" s="2" t="n"/>
      <c r="AB761" s="2" t="n">
        <v>4</v>
      </c>
      <c r="AC761" s="2" t="n"/>
      <c r="AD761" s="2" t="n"/>
      <c r="AE761" s="2" t="n"/>
      <c r="AF761" s="2" t="n"/>
      <c r="AG761" s="2" t="n"/>
      <c r="AH761" s="2" t="n"/>
      <c r="AI761" s="2" t="n">
        <v>4</v>
      </c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>
        <f>IF(F761=1,V761*2,IF(F761=2,V761*F761*2,IF(F761&gt;2,F761*2*V761)))</f>
        <v/>
      </c>
      <c r="AW761" s="2">
        <f>SUM(W761:AU761)</f>
        <v/>
      </c>
    </row>
    <row r="762">
      <c r="A762" s="2" t="inlineStr">
        <is>
          <t>A14-D-LP/SP-B-N-006</t>
        </is>
      </c>
      <c r="B762" s="3" t="inlineStr">
        <is>
          <t>DOJC-SM-LC/PC-SC/PC</t>
        </is>
      </c>
      <c r="C762" s="2" t="inlineStr">
        <is>
          <t>908040880, 22M,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2</v>
      </c>
      <c r="G762" s="2" t="n">
        <v>22</v>
      </c>
      <c r="H762" s="2" t="inlineStr">
        <is>
          <t>LC/PC</t>
        </is>
      </c>
      <c r="I762" s="2" t="inlineStr">
        <is>
          <t>SC/PC</t>
        </is>
      </c>
      <c r="J762" s="2" t="n"/>
      <c r="K762" s="2" t="n"/>
      <c r="L762" s="2" t="n"/>
      <c r="M762" s="2" t="n"/>
      <c r="N762" s="2" t="n"/>
      <c r="O762" s="2" t="n"/>
      <c r="P762" s="2" t="n"/>
      <c r="Q762" s="2" t="n">
        <v>6</v>
      </c>
      <c r="R762" s="2" t="n"/>
      <c r="S762" s="2" t="n"/>
      <c r="T762" s="2" t="n"/>
      <c r="U762" s="2" t="n"/>
      <c r="V762" s="2">
        <f>SUM(J762:U762)</f>
        <v/>
      </c>
      <c r="W762" s="2" t="n">
        <v>12</v>
      </c>
      <c r="X762" s="2" t="n"/>
      <c r="Y762" s="2" t="n"/>
      <c r="Z762" s="2" t="n"/>
      <c r="AA762" s="2" t="n"/>
      <c r="AB762" s="2" t="n">
        <v>12</v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>
        <f>IF(F762=1,V762*2,IF(F762=2,V762*F762*2,IF(F762&gt;2,F762*2*V762)))</f>
        <v/>
      </c>
      <c r="AW762" s="2">
        <f>SUM(W762:AU762)</f>
        <v/>
      </c>
    </row>
    <row r="763">
      <c r="A763" s="2" t="inlineStr">
        <is>
          <t>A14-D-LP/SP-B-N-019</t>
        </is>
      </c>
      <c r="B763" s="3" t="inlineStr">
        <is>
          <t>DOJC-SM-LC/PC-SC/PC</t>
        </is>
      </c>
      <c r="C763" s="2" t="inlineStr">
        <is>
          <t>45M,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2</v>
      </c>
      <c r="G763" s="2" t="n">
        <v>45</v>
      </c>
      <c r="H763" s="2" t="inlineStr">
        <is>
          <t>LC/PC</t>
        </is>
      </c>
      <c r="I763" s="2" t="inlineStr">
        <is>
          <t>SC/PC</t>
        </is>
      </c>
      <c r="J763" s="2" t="n"/>
      <c r="K763" s="2" t="n">
        <v>10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>
        <f>SUM(J763:U763)</f>
        <v/>
      </c>
      <c r="W763" s="2" t="n">
        <v>20</v>
      </c>
      <c r="X763" s="2" t="n"/>
      <c r="Y763" s="2" t="n"/>
      <c r="Z763" s="2" t="n"/>
      <c r="AA763" s="2" t="n"/>
      <c r="AB763" s="2" t="n">
        <v>20</v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>
        <f>IF(F763=1,V763*2,IF(F763=2,V763*F763*2,IF(F763&gt;2,F763*2*V763)))</f>
        <v/>
      </c>
      <c r="AW763" s="2">
        <f>SUM(W763:AU763)</f>
        <v/>
      </c>
    </row>
    <row r="764">
      <c r="A764" s="2" t="inlineStr">
        <is>
          <t>A14-D-SA/FA-B-N-001</t>
        </is>
      </c>
      <c r="B764" s="3" t="inlineStr">
        <is>
          <t>DOJC-SM-SC/APC-FC/APC</t>
        </is>
      </c>
      <c r="C764" s="2" t="inlineStr">
        <is>
          <t>908040502, 10M, B3, 2.0mm</t>
        </is>
      </c>
      <c r="D764" s="2" t="inlineStr">
        <is>
          <t>b3</t>
        </is>
      </c>
      <c r="E764" s="2" t="inlineStr">
        <is>
          <t>2.0mm</t>
        </is>
      </c>
      <c r="F764" s="2" t="n">
        <v>2</v>
      </c>
      <c r="G764" s="2" t="n">
        <v>10</v>
      </c>
      <c r="H764" s="2" t="inlineStr">
        <is>
          <t>SC/APC</t>
        </is>
      </c>
      <c r="I764" s="2" t="inlineStr">
        <is>
          <t>FC/APC</t>
        </is>
      </c>
      <c r="J764" s="2" t="n">
        <v>20</v>
      </c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>
        <f>SUM(J764:U764)</f>
        <v/>
      </c>
      <c r="W764" s="2" t="n"/>
      <c r="X764" s="2" t="n"/>
      <c r="Y764" s="2" t="n"/>
      <c r="Z764" s="2" t="n"/>
      <c r="AA764" s="2" t="n"/>
      <c r="AB764" s="2" t="n"/>
      <c r="AC764" s="2" t="n">
        <v>40</v>
      </c>
      <c r="AD764" s="2" t="n"/>
      <c r="AE764" s="2" t="n"/>
      <c r="AF764" s="2" t="n"/>
      <c r="AG764" s="2" t="n"/>
      <c r="AH764" s="2" t="n">
        <v>40</v>
      </c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>
        <f>IF(F764=1,V764*2,IF(F764=2,V764*F764*2,IF(F764&gt;2,F764*2*V764)))</f>
        <v/>
      </c>
      <c r="AW764" s="2">
        <f>SUM(W764:AU764)</f>
        <v/>
      </c>
    </row>
    <row r="765">
      <c r="A765" s="2" t="inlineStr">
        <is>
          <t>A14-D-SA/FA-B-N-002</t>
        </is>
      </c>
      <c r="B765" s="3" t="inlineStr">
        <is>
          <t>DOJC-SM-SC/APC-FC/APC</t>
        </is>
      </c>
      <c r="C765" s="2" t="inlineStr">
        <is>
          <t>908040507, 15M,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2</v>
      </c>
      <c r="G765" s="2" t="n">
        <v>15</v>
      </c>
      <c r="H765" s="2" t="inlineStr">
        <is>
          <t>SC/APC</t>
        </is>
      </c>
      <c r="I765" s="2" t="inlineStr">
        <is>
          <t>FC/APC</t>
        </is>
      </c>
      <c r="J765" s="2" t="n">
        <v>20</v>
      </c>
      <c r="K765" s="2" t="n"/>
      <c r="L765" s="2" t="n"/>
      <c r="M765" s="2" t="n"/>
      <c r="N765" s="2" t="n"/>
      <c r="O765" s="2" t="n"/>
      <c r="P765" s="2" t="n"/>
      <c r="Q765" s="2" t="n">
        <v>10</v>
      </c>
      <c r="R765" s="2" t="n"/>
      <c r="S765" s="2" t="n"/>
      <c r="T765" s="2" t="n"/>
      <c r="U765" s="2" t="n"/>
      <c r="V765" s="2">
        <f>SUM(J765:U765)</f>
        <v/>
      </c>
      <c r="W765" s="2" t="n"/>
      <c r="X765" s="2" t="n"/>
      <c r="Y765" s="2" t="n"/>
      <c r="Z765" s="2" t="n"/>
      <c r="AA765" s="2" t="n"/>
      <c r="AB765" s="2" t="n"/>
      <c r="AC765" s="2" t="n">
        <v>60</v>
      </c>
      <c r="AD765" s="2" t="n"/>
      <c r="AE765" s="2" t="n"/>
      <c r="AF765" s="2" t="n"/>
      <c r="AG765" s="2" t="n"/>
      <c r="AH765" s="2" t="n">
        <v>60</v>
      </c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>
        <f>IF(F765=1,V765*2,IF(F765=2,V765*F765*2,IF(F765&gt;2,F765*2*V765)))</f>
        <v/>
      </c>
      <c r="AW765" s="2">
        <f>SUM(W765:AU765)</f>
        <v/>
      </c>
    </row>
    <row r="766">
      <c r="A766" s="2" t="inlineStr">
        <is>
          <t>A14-D-SA/FA-B-N-004</t>
        </is>
      </c>
      <c r="B766" s="3" t="inlineStr">
        <is>
          <t>DOJC-SM-SC/APC-FC/APC</t>
        </is>
      </c>
      <c r="C766" s="2" t="inlineStr">
        <is>
          <t>908040512, 20M,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2</v>
      </c>
      <c r="G766" s="2" t="n">
        <v>20</v>
      </c>
      <c r="H766" s="2" t="inlineStr">
        <is>
          <t>SC/APC</t>
        </is>
      </c>
      <c r="I766" s="2" t="inlineStr">
        <is>
          <t>FC/APC</t>
        </is>
      </c>
      <c r="J766" s="2" t="n"/>
      <c r="K766" s="2" t="n">
        <v>20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>
        <f>SUM(J766:U766)</f>
        <v/>
      </c>
      <c r="W766" s="2" t="n"/>
      <c r="X766" s="2" t="n"/>
      <c r="Y766" s="2" t="n"/>
      <c r="Z766" s="2" t="n"/>
      <c r="AA766" s="2" t="n"/>
      <c r="AB766" s="2" t="n"/>
      <c r="AC766" s="2" t="n">
        <v>40</v>
      </c>
      <c r="AD766" s="2" t="n"/>
      <c r="AE766" s="2" t="n"/>
      <c r="AF766" s="2" t="n"/>
      <c r="AG766" s="2" t="n"/>
      <c r="AH766" s="2" t="n">
        <v>40</v>
      </c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>
        <f>IF(F766=1,V766*2,IF(F766=2,V766*F766*2,IF(F766&gt;2,F766*2*V766)))</f>
        <v/>
      </c>
      <c r="AW766" s="2">
        <f>SUM(W766:AU766)</f>
        <v/>
      </c>
    </row>
    <row r="767">
      <c r="A767" s="2" t="inlineStr">
        <is>
          <t>A14-D-SA/FA-B-N-005</t>
        </is>
      </c>
      <c r="B767" s="3" t="inlineStr">
        <is>
          <t>DOJC-SM-SC/APC-FC/APC</t>
        </is>
      </c>
      <c r="C767" s="2" t="inlineStr">
        <is>
          <t>908040517, 25M,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2</v>
      </c>
      <c r="G767" s="2" t="n">
        <v>25</v>
      </c>
      <c r="H767" s="2" t="inlineStr">
        <is>
          <t>SC/APC</t>
        </is>
      </c>
      <c r="I767" s="2" t="inlineStr">
        <is>
          <t>FC/APC</t>
        </is>
      </c>
      <c r="J767" s="2" t="n"/>
      <c r="K767" s="2" t="n"/>
      <c r="L767" s="2" t="n"/>
      <c r="M767" s="2" t="n"/>
      <c r="N767" s="2" t="n"/>
      <c r="O767" s="2" t="n"/>
      <c r="P767" s="2" t="n"/>
      <c r="Q767" s="2" t="n">
        <v>10</v>
      </c>
      <c r="R767" s="2" t="n"/>
      <c r="S767" s="2" t="n"/>
      <c r="T767" s="2" t="n"/>
      <c r="U767" s="2" t="n"/>
      <c r="V767" s="2">
        <f>SUM(J767:U767)</f>
        <v/>
      </c>
      <c r="W767" s="2" t="n"/>
      <c r="X767" s="2" t="n"/>
      <c r="Y767" s="2" t="n"/>
      <c r="Z767" s="2" t="n"/>
      <c r="AA767" s="2" t="n"/>
      <c r="AB767" s="2" t="n"/>
      <c r="AC767" s="2" t="n">
        <v>20</v>
      </c>
      <c r="AD767" s="2" t="n"/>
      <c r="AE767" s="2" t="n"/>
      <c r="AF767" s="2" t="n"/>
      <c r="AG767" s="2" t="n"/>
      <c r="AH767" s="2" t="n">
        <v>20</v>
      </c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>
        <f>IF(F767=1,V767*2,IF(F767=2,V767*F767*2,IF(F767&gt;2,F767*2*V767)))</f>
        <v/>
      </c>
      <c r="AW767" s="2">
        <f>SUM(W767:AU767)</f>
        <v/>
      </c>
    </row>
    <row r="768">
      <c r="A768" s="2" t="inlineStr">
        <is>
          <t>A14-D-SA/FA-B-N-008</t>
        </is>
      </c>
      <c r="B768" s="3" t="inlineStr">
        <is>
          <t>DOJC-SM-SC/APC-FC/APC</t>
        </is>
      </c>
      <c r="C768" s="2" t="inlineStr">
        <is>
          <t>908040493, 3M, B3, 3.0mm</t>
        </is>
      </c>
      <c r="D768" s="2" t="inlineStr">
        <is>
          <t>b3</t>
        </is>
      </c>
      <c r="E768" s="2" t="inlineStr">
        <is>
          <t>3.0mm</t>
        </is>
      </c>
      <c r="F768" s="2" t="n">
        <v>2</v>
      </c>
      <c r="G768" s="2" t="n">
        <v>3</v>
      </c>
      <c r="H768" s="2" t="inlineStr">
        <is>
          <t>SC/APC</t>
        </is>
      </c>
      <c r="I768" s="2" t="inlineStr">
        <is>
          <t>FC/APC</t>
        </is>
      </c>
      <c r="J768" s="2" t="n"/>
      <c r="K768" s="2" t="n"/>
      <c r="L768" s="2" t="n"/>
      <c r="M768" s="2" t="n"/>
      <c r="N768" s="2" t="n"/>
      <c r="O768" s="2" t="n">
        <v>10</v>
      </c>
      <c r="P768" s="2" t="n"/>
      <c r="Q768" s="2" t="n"/>
      <c r="R768" s="2" t="n"/>
      <c r="S768" s="2" t="n"/>
      <c r="T768" s="2" t="n"/>
      <c r="U768" s="2" t="n"/>
      <c r="V768" s="2">
        <f>SUM(J768:U768)</f>
        <v/>
      </c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>
        <v>20</v>
      </c>
      <c r="AQ768" s="2" t="n"/>
      <c r="AR768" s="2" t="n"/>
      <c r="AS768" s="2" t="n"/>
      <c r="AT768" s="2" t="n"/>
      <c r="AU768" s="2" t="n">
        <v>20</v>
      </c>
      <c r="AV768" s="2">
        <f>IF(F768=1,V768*2,IF(F768=2,V768*F768*2,IF(F768&gt;2,F768*2*V768)))</f>
        <v/>
      </c>
      <c r="AW768" s="2">
        <f>SUM(W768:AU768)</f>
        <v/>
      </c>
    </row>
    <row r="769">
      <c r="A769" s="2" t="inlineStr">
        <is>
          <t>A14-D-SA/SA-B-N-005</t>
        </is>
      </c>
      <c r="B769" s="3" t="inlineStr">
        <is>
          <t>DOJC-SM-SC/APC-SC/APC</t>
        </is>
      </c>
      <c r="C769" s="2" t="inlineStr">
        <is>
          <t>908040582, 25M, B3, 2.0mm</t>
        </is>
      </c>
      <c r="D769" s="2" t="inlineStr">
        <is>
          <t>b3</t>
        </is>
      </c>
      <c r="E769" s="2" t="inlineStr">
        <is>
          <t>2.0mm</t>
        </is>
      </c>
      <c r="F769" s="2" t="n">
        <v>2</v>
      </c>
      <c r="G769" s="2" t="n">
        <v>25</v>
      </c>
      <c r="H769" s="2" t="inlineStr">
        <is>
          <t>SC/APC</t>
        </is>
      </c>
      <c r="I769" s="2" t="inlineStr">
        <is>
          <t>SC/APC</t>
        </is>
      </c>
      <c r="J769" s="2" t="n"/>
      <c r="K769" s="2" t="n"/>
      <c r="L769" s="2" t="n"/>
      <c r="M769" s="2" t="n"/>
      <c r="N769" s="2" t="n">
        <v>1</v>
      </c>
      <c r="O769" s="2" t="n"/>
      <c r="P769" s="2" t="n"/>
      <c r="Q769" s="2" t="n"/>
      <c r="R769" s="2" t="n"/>
      <c r="S769" s="2" t="n">
        <v>10</v>
      </c>
      <c r="T769" s="2" t="n"/>
      <c r="U769" s="2" t="n"/>
      <c r="V769" s="2">
        <f>SUM(J769:U769)</f>
        <v/>
      </c>
      <c r="W769" s="2" t="n"/>
      <c r="X769" s="2" t="n"/>
      <c r="Y769" s="2" t="n"/>
      <c r="Z769" s="2" t="n"/>
      <c r="AA769" s="2" t="n"/>
      <c r="AB769" s="2" t="n"/>
      <c r="AC769" s="2" t="n">
        <v>22</v>
      </c>
      <c r="AD769" s="2" t="n">
        <v>22</v>
      </c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>
        <f>IF(F769=1,V769*2,IF(F769=2,V769*F769*2,IF(F769&gt;2,F769*2*V769)))</f>
        <v/>
      </c>
      <c r="AW769" s="2">
        <f>SUM(W769:AU769)</f>
        <v/>
      </c>
    </row>
    <row r="770">
      <c r="A770" s="2" t="inlineStr">
        <is>
          <t>A14-D-SP/SA-B-N-005</t>
        </is>
      </c>
      <c r="B770" s="3" t="inlineStr">
        <is>
          <t>DOJC-SM-SC/PC-SC/APC</t>
        </is>
      </c>
      <c r="C770" s="2" t="inlineStr">
        <is>
          <t>908040552, 25M,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2</v>
      </c>
      <c r="G770" s="2" t="n">
        <v>25</v>
      </c>
      <c r="H770" s="2" t="inlineStr">
        <is>
          <t>SC/PC</t>
        </is>
      </c>
      <c r="I770" s="2" t="inlineStr">
        <is>
          <t>SC/APC</t>
        </is>
      </c>
      <c r="J770" s="2" t="n"/>
      <c r="K770" s="2" t="n"/>
      <c r="L770" s="2" t="n"/>
      <c r="M770" s="2" t="n">
        <v>8</v>
      </c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>
        <f>SUM(J770:U770)</f>
        <v/>
      </c>
      <c r="W770" s="2" t="n"/>
      <c r="X770" s="2" t="n"/>
      <c r="Y770" s="2" t="n"/>
      <c r="Z770" s="2" t="n"/>
      <c r="AA770" s="2" t="n">
        <v>16</v>
      </c>
      <c r="AB770" s="2" t="n"/>
      <c r="AC770" s="2" t="n"/>
      <c r="AD770" s="2" t="n">
        <v>16</v>
      </c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>
        <f>IF(F770=1,V770*2,IF(F770=2,V770*F770*2,IF(F770&gt;2,F770*2*V770)))</f>
        <v/>
      </c>
      <c r="AW770" s="2">
        <f>SUM(W770:AU770)</f>
        <v/>
      </c>
    </row>
    <row r="771">
      <c r="A771" s="2" t="inlineStr">
        <is>
          <t>A14-D-SP/SA-B-N-008</t>
        </is>
      </c>
      <c r="B771" s="3" t="inlineStr">
        <is>
          <t>DOJC-SM-SC/PC-SC/APC</t>
        </is>
      </c>
      <c r="C771" s="2" t="inlineStr">
        <is>
          <t>908040557, 30M,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2</v>
      </c>
      <c r="G771" s="2" t="n">
        <v>30</v>
      </c>
      <c r="H771" s="2" t="inlineStr">
        <is>
          <t>SC/PC</t>
        </is>
      </c>
      <c r="I771" s="2" t="inlineStr">
        <is>
          <t>SC/APC</t>
        </is>
      </c>
      <c r="J771" s="2" t="n"/>
      <c r="K771" s="2" t="n"/>
      <c r="L771" s="2" t="n"/>
      <c r="M771" s="2" t="n"/>
      <c r="N771" s="2" t="n"/>
      <c r="O771" s="2" t="n">
        <v>15</v>
      </c>
      <c r="P771" s="2" t="n"/>
      <c r="Q771" s="2" t="n"/>
      <c r="R771" s="2" t="n"/>
      <c r="S771" s="2" t="n"/>
      <c r="T771" s="2" t="n"/>
      <c r="U771" s="2" t="n"/>
      <c r="V771" s="2">
        <f>SUM(J771:U771)</f>
        <v/>
      </c>
      <c r="W771" s="2" t="n"/>
      <c r="X771" s="2" t="n"/>
      <c r="Y771" s="2" t="n"/>
      <c r="Z771" s="2" t="n"/>
      <c r="AA771" s="2" t="n">
        <v>30</v>
      </c>
      <c r="AB771" s="2" t="n"/>
      <c r="AC771" s="2" t="n"/>
      <c r="AD771" s="2" t="n">
        <v>30</v>
      </c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>
        <f>IF(F771=1,V771*2,IF(F771=2,V771*F771*2,IF(F771&gt;2,F771*2*V771)))</f>
        <v/>
      </c>
      <c r="AW771" s="2">
        <f>SUM(W771:AU771)</f>
        <v/>
      </c>
    </row>
    <row r="772">
      <c r="A772" s="2" t="inlineStr">
        <is>
          <t>A14-D-SP/SP-B-N-002</t>
        </is>
      </c>
      <c r="B772" s="3" t="inlineStr">
        <is>
          <t>DOJC-SM-SC/PC-SC/PC</t>
        </is>
      </c>
      <c r="C772" s="2" t="inlineStr">
        <is>
          <t>908040232, 12M,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2</v>
      </c>
      <c r="G772" s="2" t="n">
        <v>12</v>
      </c>
      <c r="H772" s="2" t="inlineStr">
        <is>
          <t>SC/PC</t>
        </is>
      </c>
      <c r="I772" s="2" t="inlineStr">
        <is>
          <t>SC/PC</t>
        </is>
      </c>
      <c r="J772" s="2" t="n"/>
      <c r="K772" s="2" t="n"/>
      <c r="L772" s="2" t="n">
        <v>30</v>
      </c>
      <c r="M772" s="2" t="n">
        <v>10</v>
      </c>
      <c r="N772" s="2" t="n"/>
      <c r="O772" s="2" t="n"/>
      <c r="P772" s="2" t="n">
        <v>100</v>
      </c>
      <c r="Q772" s="2" t="n"/>
      <c r="R772" s="2" t="n">
        <v>40</v>
      </c>
      <c r="S772" s="2" t="n"/>
      <c r="T772" s="2" t="n"/>
      <c r="U772" s="2" t="n"/>
      <c r="V772" s="2">
        <f>SUM(J772:U772)</f>
        <v/>
      </c>
      <c r="W772" s="2" t="n"/>
      <c r="X772" s="2" t="n"/>
      <c r="Y772" s="2" t="n"/>
      <c r="Z772" s="2" t="n"/>
      <c r="AA772" s="2" t="n">
        <v>360</v>
      </c>
      <c r="AB772" s="2" t="n">
        <v>360</v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>
        <f>IF(F772=1,V772*2,IF(F772=2,V772*F772*2,IF(F772&gt;2,F772*2*V772)))</f>
        <v/>
      </c>
      <c r="AW772" s="2">
        <f>SUM(W772:AU772)</f>
        <v/>
      </c>
    </row>
    <row r="773">
      <c r="A773" s="2" t="inlineStr">
        <is>
          <t>A14-D-SP/SP-B-N-015</t>
        </is>
      </c>
      <c r="B773" s="3" t="inlineStr">
        <is>
          <t>DOJC-SM-SC/PC-SC/PC</t>
        </is>
      </c>
      <c r="C773" s="2" t="inlineStr">
        <is>
          <t>908040227, 7M,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2</v>
      </c>
      <c r="G773" s="2" t="n">
        <v>7</v>
      </c>
      <c r="H773" s="2" t="inlineStr">
        <is>
          <t>SC/PC</t>
        </is>
      </c>
      <c r="I773" s="2" t="inlineStr">
        <is>
          <t>SC/PC</t>
        </is>
      </c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>
        <v>10</v>
      </c>
      <c r="U773" s="2" t="n"/>
      <c r="V773" s="2">
        <f>SUM(J773:U773)</f>
        <v/>
      </c>
      <c r="W773" s="2" t="n"/>
      <c r="X773" s="2" t="n"/>
      <c r="Y773" s="2" t="n"/>
      <c r="Z773" s="2" t="n"/>
      <c r="AA773" s="2" t="n">
        <v>20</v>
      </c>
      <c r="AB773" s="2" t="n">
        <v>20</v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>
        <f>IF(F773=1,V773*2,IF(F773=2,V773*F773*2,IF(F773&gt;2,F773*2*V773)))</f>
        <v/>
      </c>
      <c r="AW773" s="2">
        <f>SUM(W773:AU773)</f>
        <v/>
      </c>
    </row>
    <row r="774">
      <c r="A774" s="2" t="inlineStr">
        <is>
          <t>A14-D1-N001</t>
        </is>
      </c>
      <c r="B774" s="3" t="inlineStr">
        <is>
          <t>DOJC-MM-LC/PC-LC/PC</t>
        </is>
      </c>
      <c r="C774" s="2" t="inlineStr">
        <is>
          <t>920000784, 2M</t>
        </is>
      </c>
      <c r="D774" s="2" t="inlineStr">
        <is>
          <t>om1</t>
        </is>
      </c>
      <c r="E774" s="2" t="inlineStr">
        <is>
          <t>2.0mm</t>
        </is>
      </c>
      <c r="F774" s="2" t="n">
        <v>2</v>
      </c>
      <c r="G774" s="2" t="n">
        <v>2</v>
      </c>
      <c r="H774" s="2" t="inlineStr">
        <is>
          <t>LC/PC</t>
        </is>
      </c>
      <c r="I774" s="2" t="inlineStr">
        <is>
          <t>LC/PC</t>
        </is>
      </c>
      <c r="J774" s="2" t="n"/>
      <c r="K774" s="2" t="n"/>
      <c r="L774" s="2" t="n">
        <v>16</v>
      </c>
      <c r="M774" s="2" t="n"/>
      <c r="N774" s="2" t="n"/>
      <c r="O774" s="2" t="n">
        <v>22</v>
      </c>
      <c r="P774" s="2" t="n"/>
      <c r="Q774" s="2" t="n"/>
      <c r="R774" s="2" t="n"/>
      <c r="S774" s="2" t="n"/>
      <c r="T774" s="2" t="n"/>
      <c r="U774" s="2" t="n"/>
      <c r="V774" s="2">
        <f>SUM(J774:U774)</f>
        <v/>
      </c>
      <c r="W774" s="2" t="n"/>
      <c r="X774" s="2" t="n">
        <v>76</v>
      </c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>
        <v>76</v>
      </c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>
        <f>IF(F774=1,V774*2,IF(F774=2,V774*F774*2,IF(F774&gt;2,F774*2*V774)))</f>
        <v/>
      </c>
      <c r="AW774" s="2">
        <f>SUM(W774:AU774)</f>
        <v/>
      </c>
    </row>
    <row r="775">
      <c r="A775" s="2" t="inlineStr">
        <is>
          <t>A14-D1-N002</t>
        </is>
      </c>
      <c r="B775" s="3" t="inlineStr">
        <is>
          <t>DOJC-MM-LC/PC-LC/PC</t>
        </is>
      </c>
      <c r="C775" s="2" t="inlineStr">
        <is>
          <t>920000812, 30M</t>
        </is>
      </c>
      <c r="D775" s="2" t="inlineStr">
        <is>
          <t>om1</t>
        </is>
      </c>
      <c r="E775" s="2" t="inlineStr">
        <is>
          <t>2.0mm</t>
        </is>
      </c>
      <c r="F775" s="2" t="n">
        <v>2</v>
      </c>
      <c r="G775" s="2" t="n">
        <v>30</v>
      </c>
      <c r="H775" s="2" t="inlineStr">
        <is>
          <t>LC/PC</t>
        </is>
      </c>
      <c r="I775" s="2" t="inlineStr">
        <is>
          <t>LC/PC</t>
        </is>
      </c>
      <c r="J775" s="2" t="n"/>
      <c r="K775" s="2" t="n"/>
      <c r="L775" s="2" t="n">
        <v>4</v>
      </c>
      <c r="M775" s="2" t="n"/>
      <c r="N775" s="2" t="n"/>
      <c r="O775" s="2" t="n">
        <v>12</v>
      </c>
      <c r="P775" s="2" t="n">
        <v>4</v>
      </c>
      <c r="Q775" s="2" t="n"/>
      <c r="R775" s="2" t="n">
        <v>30</v>
      </c>
      <c r="S775" s="2" t="n"/>
      <c r="T775" s="2" t="n"/>
      <c r="U775" s="2" t="n"/>
      <c r="V775" s="2">
        <f>SUM(J775:U775)</f>
        <v/>
      </c>
      <c r="W775" s="2" t="n"/>
      <c r="X775" s="2" t="n">
        <v>100</v>
      </c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>
        <v>100</v>
      </c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>
        <f>IF(F775=1,V775*2,IF(F775=2,V775*F775*2,IF(F775&gt;2,F775*2*V775)))</f>
        <v/>
      </c>
      <c r="AW775" s="2">
        <f>SUM(W775:AU775)</f>
        <v/>
      </c>
    </row>
    <row r="776">
      <c r="A776" s="2" t="inlineStr">
        <is>
          <t>A14-D1-N003</t>
        </is>
      </c>
      <c r="B776" s="3" t="inlineStr">
        <is>
          <t>DOJC-MM-LC/PC-LC/PC</t>
        </is>
      </c>
      <c r="C776" s="2" t="inlineStr">
        <is>
          <t>920000788, 6M</t>
        </is>
      </c>
      <c r="D776" s="2" t="inlineStr">
        <is>
          <t>om1</t>
        </is>
      </c>
      <c r="E776" s="2" t="inlineStr">
        <is>
          <t>2.0mm</t>
        </is>
      </c>
      <c r="F776" s="2" t="n">
        <v>2</v>
      </c>
      <c r="G776" s="2" t="n">
        <v>6</v>
      </c>
      <c r="H776" s="2" t="inlineStr">
        <is>
          <t>LC/PC</t>
        </is>
      </c>
      <c r="I776" s="2" t="inlineStr">
        <is>
          <t>LC/PC</t>
        </is>
      </c>
      <c r="J776" s="2" t="n"/>
      <c r="K776" s="2" t="n"/>
      <c r="L776" s="2" t="n">
        <v>20</v>
      </c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>
        <f>SUM(J776:U776)</f>
        <v/>
      </c>
      <c r="W776" s="2" t="n"/>
      <c r="X776" s="2" t="n">
        <v>40</v>
      </c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>
        <v>40</v>
      </c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>
        <f>IF(F776=1,V776*2,IF(F776=2,V776*F776*2,IF(F776&gt;2,F776*2*V776)))</f>
        <v/>
      </c>
      <c r="AW776" s="2">
        <f>SUM(W776:AU776)</f>
        <v/>
      </c>
    </row>
    <row r="777">
      <c r="A777" s="2" t="inlineStr">
        <is>
          <t>A14-D1-N004</t>
        </is>
      </c>
      <c r="B777" s="3" t="inlineStr">
        <is>
          <t>DOJC-MM-LC/PC-LC/PC</t>
        </is>
      </c>
      <c r="C777" s="2" t="inlineStr">
        <is>
          <t>920000789, 7M</t>
        </is>
      </c>
      <c r="D777" s="2" t="inlineStr">
        <is>
          <t>om1</t>
        </is>
      </c>
      <c r="E777" s="2" t="inlineStr">
        <is>
          <t>2.0mm</t>
        </is>
      </c>
      <c r="F777" s="2" t="n">
        <v>2</v>
      </c>
      <c r="G777" s="2" t="n">
        <v>7</v>
      </c>
      <c r="H777" s="2" t="inlineStr">
        <is>
          <t>LC/PC</t>
        </is>
      </c>
      <c r="I777" s="2" t="inlineStr">
        <is>
          <t>LC/PC</t>
        </is>
      </c>
      <c r="J777" s="2" t="n">
        <v>30</v>
      </c>
      <c r="K777" s="2" t="n"/>
      <c r="L777" s="2" t="n"/>
      <c r="M777" s="2" t="n"/>
      <c r="N777" s="2" t="n"/>
      <c r="O777" s="2" t="n">
        <v>50</v>
      </c>
      <c r="P777" s="2" t="n">
        <v>20</v>
      </c>
      <c r="Q777" s="2" t="n"/>
      <c r="R777" s="2" t="n"/>
      <c r="S777" s="2" t="n"/>
      <c r="T777" s="2" t="n">
        <v>20</v>
      </c>
      <c r="U777" s="2" t="n">
        <v>10</v>
      </c>
      <c r="V777" s="2">
        <f>SUM(J777:U777)</f>
        <v/>
      </c>
      <c r="W777" s="2" t="n"/>
      <c r="X777" s="2" t="n">
        <v>260</v>
      </c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>
        <v>260</v>
      </c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>
        <f>IF(F777=1,V777*2,IF(F777=2,V777*F777*2,IF(F777&gt;2,F777*2*V777)))</f>
        <v/>
      </c>
      <c r="AW777" s="2">
        <f>SUM(W777:AU777)</f>
        <v/>
      </c>
    </row>
    <row r="778">
      <c r="A778" s="2" t="inlineStr">
        <is>
          <t>A14-D1-N006</t>
        </is>
      </c>
      <c r="B778" s="3" t="inlineStr">
        <is>
          <t>DOJC-MM-LC/PC-SC/PC</t>
        </is>
      </c>
      <c r="C778" s="2" t="inlineStr">
        <is>
          <t>908040777, 15M</t>
        </is>
      </c>
      <c r="D778" s="2" t="inlineStr">
        <is>
          <t>om1</t>
        </is>
      </c>
      <c r="E778" s="2" t="inlineStr">
        <is>
          <t>2.0mm</t>
        </is>
      </c>
      <c r="F778" s="2" t="n">
        <v>2</v>
      </c>
      <c r="G778" s="2" t="n">
        <v>15</v>
      </c>
      <c r="H778" s="2" t="inlineStr">
        <is>
          <t>LC/PC</t>
        </is>
      </c>
      <c r="I778" s="2" t="inlineStr">
        <is>
          <t>SC/PC</t>
        </is>
      </c>
      <c r="J778" s="2" t="n"/>
      <c r="K778" s="2" t="n"/>
      <c r="L778" s="2" t="n">
        <v>22</v>
      </c>
      <c r="M778" s="2" t="n"/>
      <c r="N778" s="2" t="n">
        <v>5</v>
      </c>
      <c r="O778" s="2" t="n">
        <v>50</v>
      </c>
      <c r="P778" s="2" t="n"/>
      <c r="Q778" s="2" t="n"/>
      <c r="R778" s="2" t="n">
        <v>8</v>
      </c>
      <c r="S778" s="2" t="n">
        <v>20</v>
      </c>
      <c r="T778" s="2" t="n"/>
      <c r="U778" s="2" t="n"/>
      <c r="V778" s="2">
        <f>SUM(J778:U778)</f>
        <v/>
      </c>
      <c r="W778" s="2" t="n"/>
      <c r="X778" s="2" t="n"/>
      <c r="Y778" s="2" t="n"/>
      <c r="Z778" s="2" t="n"/>
      <c r="AA778" s="2" t="n"/>
      <c r="AB778" s="2" t="n">
        <v>210</v>
      </c>
      <c r="AC778" s="2" t="n"/>
      <c r="AD778" s="2" t="n"/>
      <c r="AE778" s="2" t="n"/>
      <c r="AF778" s="2" t="n"/>
      <c r="AG778" s="2" t="n"/>
      <c r="AH778" s="2" t="n"/>
      <c r="AI778" s="2" t="n">
        <v>210</v>
      </c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>
        <f>IF(F778=1,V778*2,IF(F778=2,V778*F778*2,IF(F778&gt;2,F778*2*V778)))</f>
        <v/>
      </c>
      <c r="AW778" s="2">
        <f>SUM(W778:AU778)</f>
        <v/>
      </c>
    </row>
    <row r="779">
      <c r="A779" s="2" t="inlineStr">
        <is>
          <t>A14-D1-N007</t>
        </is>
      </c>
      <c r="B779" s="3" t="inlineStr">
        <is>
          <t>DOJC-MM-LC/PC-SC/PC</t>
        </is>
      </c>
      <c r="C779" s="2" t="inlineStr">
        <is>
          <t>908040782, 20M</t>
        </is>
      </c>
      <c r="D779" s="2" t="inlineStr">
        <is>
          <t>om1</t>
        </is>
      </c>
      <c r="E779" s="2" t="inlineStr">
        <is>
          <t>2.0mm</t>
        </is>
      </c>
      <c r="F779" s="2" t="n">
        <v>2</v>
      </c>
      <c r="G779" s="2" t="n">
        <v>20</v>
      </c>
      <c r="H779" s="2" t="inlineStr">
        <is>
          <t>LC/PC</t>
        </is>
      </c>
      <c r="I779" s="2" t="inlineStr">
        <is>
          <t>SC/PC</t>
        </is>
      </c>
      <c r="J779" s="2" t="n"/>
      <c r="K779" s="2" t="n"/>
      <c r="L779" s="2" t="n"/>
      <c r="M779" s="2" t="n"/>
      <c r="N779" s="2" t="n"/>
      <c r="O779" s="2" t="n">
        <v>30</v>
      </c>
      <c r="P779" s="2" t="n">
        <v>9</v>
      </c>
      <c r="Q779" s="2" t="n"/>
      <c r="R779" s="2" t="n"/>
      <c r="S779" s="2" t="n"/>
      <c r="T779" s="2" t="n"/>
      <c r="U779" s="2" t="n"/>
      <c r="V779" s="2">
        <f>SUM(J779:U779)</f>
        <v/>
      </c>
      <c r="W779" s="2" t="n"/>
      <c r="X779" s="2" t="n"/>
      <c r="Y779" s="2" t="n"/>
      <c r="Z779" s="2" t="n"/>
      <c r="AA779" s="2" t="n"/>
      <c r="AB779" s="2" t="n">
        <v>78</v>
      </c>
      <c r="AC779" s="2" t="n"/>
      <c r="AD779" s="2" t="n"/>
      <c r="AE779" s="2" t="n"/>
      <c r="AF779" s="2" t="n"/>
      <c r="AG779" s="2" t="n"/>
      <c r="AH779" s="2" t="n"/>
      <c r="AI779" s="2" t="n">
        <v>78</v>
      </c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>
        <f>IF(F779=1,V779*2,IF(F779=2,V779*F779*2,IF(F779&gt;2,F779*2*V779)))</f>
        <v/>
      </c>
      <c r="AW779" s="2">
        <f>SUM(W779:AU779)</f>
        <v/>
      </c>
    </row>
    <row r="780">
      <c r="A780" s="2" t="inlineStr">
        <is>
          <t>A14-D1-N009</t>
        </is>
      </c>
      <c r="B780" s="3" t="inlineStr">
        <is>
          <t>DOJC-MM-LC/PC-SC/PC</t>
        </is>
      </c>
      <c r="C780" s="2" t="inlineStr">
        <is>
          <t>908040765, 2M</t>
        </is>
      </c>
      <c r="D780" s="2" t="inlineStr">
        <is>
          <t>om1</t>
        </is>
      </c>
      <c r="E780" s="2" t="inlineStr">
        <is>
          <t>2.0mm</t>
        </is>
      </c>
      <c r="F780" s="2" t="n">
        <v>2</v>
      </c>
      <c r="G780" s="2" t="n">
        <v>2</v>
      </c>
      <c r="H780" s="2" t="inlineStr">
        <is>
          <t>LC/PC</t>
        </is>
      </c>
      <c r="I780" s="2" t="inlineStr">
        <is>
          <t>SC/PC</t>
        </is>
      </c>
      <c r="J780" s="2" t="n"/>
      <c r="K780" s="2" t="n"/>
      <c r="L780" s="2" t="n"/>
      <c r="M780" s="2" t="n"/>
      <c r="N780" s="2" t="n"/>
      <c r="O780" s="2" t="n"/>
      <c r="P780" s="2" t="n">
        <v>100</v>
      </c>
      <c r="Q780" s="2" t="n"/>
      <c r="R780" s="2" t="n"/>
      <c r="S780" s="2" t="n"/>
      <c r="T780" s="2" t="n"/>
      <c r="U780" s="2" t="n"/>
      <c r="V780" s="2">
        <f>SUM(J780:U780)</f>
        <v/>
      </c>
      <c r="W780" s="2" t="n"/>
      <c r="X780" s="2" t="n"/>
      <c r="Y780" s="2" t="n"/>
      <c r="Z780" s="2" t="n"/>
      <c r="AA780" s="2" t="n"/>
      <c r="AB780" s="2" t="n">
        <v>200</v>
      </c>
      <c r="AC780" s="2" t="n"/>
      <c r="AD780" s="2" t="n"/>
      <c r="AE780" s="2" t="n"/>
      <c r="AF780" s="2" t="n"/>
      <c r="AG780" s="2" t="n"/>
      <c r="AH780" s="2" t="n"/>
      <c r="AI780" s="2" t="n">
        <v>200</v>
      </c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>
        <f>IF(F780=1,V780*2,IF(F780=2,V780*F780*2,IF(F780&gt;2,F780*2*V780)))</f>
        <v/>
      </c>
      <c r="AW780" s="2">
        <f>SUM(W780:AU780)</f>
        <v/>
      </c>
    </row>
    <row r="781">
      <c r="A781" s="2" t="inlineStr">
        <is>
          <t>A14-D1-N010</t>
        </is>
      </c>
      <c r="B781" s="3" t="inlineStr">
        <is>
          <t>DOJC-MM-LC/PC-SC/PC</t>
        </is>
      </c>
      <c r="C781" s="2" t="inlineStr">
        <is>
          <t>908040763, 3M</t>
        </is>
      </c>
      <c r="D781" s="2" t="inlineStr">
        <is>
          <t>om1</t>
        </is>
      </c>
      <c r="E781" s="2" t="inlineStr">
        <is>
          <t>2.0mm</t>
        </is>
      </c>
      <c r="F781" s="2" t="n">
        <v>2</v>
      </c>
      <c r="G781" s="2" t="n">
        <v>3</v>
      </c>
      <c r="H781" s="2" t="inlineStr">
        <is>
          <t>LC/PC</t>
        </is>
      </c>
      <c r="I781" s="2" t="inlineStr">
        <is>
          <t>SC/PC</t>
        </is>
      </c>
      <c r="J781" s="2" t="n"/>
      <c r="K781" s="2" t="n"/>
      <c r="L781" s="2" t="n">
        <v>1</v>
      </c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>
        <f>SUM(J781:U781)</f>
        <v/>
      </c>
      <c r="W781" s="2" t="n"/>
      <c r="X781" s="2" t="n"/>
      <c r="Y781" s="2" t="n"/>
      <c r="Z781" s="2" t="n"/>
      <c r="AA781" s="2" t="n"/>
      <c r="AB781" s="2" t="n">
        <v>2</v>
      </c>
      <c r="AC781" s="2" t="n"/>
      <c r="AD781" s="2" t="n"/>
      <c r="AE781" s="2" t="n"/>
      <c r="AF781" s="2" t="n"/>
      <c r="AG781" s="2" t="n"/>
      <c r="AH781" s="2" t="n"/>
      <c r="AI781" s="2" t="n">
        <v>2</v>
      </c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>
        <f>IF(F781=1,V781*2,IF(F781=2,V781*F781*2,IF(F781&gt;2,F781*2*V781)))</f>
        <v/>
      </c>
      <c r="AW781" s="2">
        <f>SUM(W781:AU781)</f>
        <v/>
      </c>
    </row>
    <row r="782">
      <c r="A782" s="2" t="inlineStr">
        <is>
          <t>A14-D1-N012</t>
        </is>
      </c>
      <c r="B782" s="3" t="inlineStr">
        <is>
          <t>DOJC-MM-LC/PC-LC/PC</t>
        </is>
      </c>
      <c r="C782" s="2" t="inlineStr">
        <is>
          <t>920000790, 8M</t>
        </is>
      </c>
      <c r="D782" s="2" t="inlineStr">
        <is>
          <t>om1</t>
        </is>
      </c>
      <c r="E782" s="2" t="inlineStr">
        <is>
          <t>2.0mm</t>
        </is>
      </c>
      <c r="F782" s="2" t="n">
        <v>2</v>
      </c>
      <c r="G782" s="2" t="n">
        <v>8</v>
      </c>
      <c r="H782" s="2" t="inlineStr">
        <is>
          <t>LC/PC</t>
        </is>
      </c>
      <c r="I782" s="2" t="inlineStr">
        <is>
          <t>LC/PC</t>
        </is>
      </c>
      <c r="J782" s="2" t="n"/>
      <c r="K782" s="2" t="n"/>
      <c r="L782" s="2" t="n">
        <v>5</v>
      </c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>
        <f>SUM(J782:U782)</f>
        <v/>
      </c>
      <c r="W782" s="2" t="n"/>
      <c r="X782" s="2" t="n">
        <v>10</v>
      </c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>
        <v>10</v>
      </c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>
        <f>IF(F782=1,V782*2,IF(F782=2,V782*F782*2,IF(F782&gt;2,F782*2*V782)))</f>
        <v/>
      </c>
      <c r="AW782" s="2">
        <f>SUM(W782:AU782)</f>
        <v/>
      </c>
    </row>
    <row r="783">
      <c r="A783" s="2" t="inlineStr">
        <is>
          <t>A14-D1-N035</t>
        </is>
      </c>
      <c r="B783" s="3" t="inlineStr">
        <is>
          <t>DOJC-MM-LC/PC-LC/PC</t>
        </is>
      </c>
      <c r="C783" s="2" t="inlineStr">
        <is>
          <t>920000792, 10M</t>
        </is>
      </c>
      <c r="D783" s="2" t="inlineStr">
        <is>
          <t>om1</t>
        </is>
      </c>
      <c r="E783" s="2" t="inlineStr">
        <is>
          <t>2.0mm</t>
        </is>
      </c>
      <c r="F783" s="2" t="n">
        <v>2</v>
      </c>
      <c r="G783" s="2" t="n">
        <v>10</v>
      </c>
      <c r="H783" s="2" t="inlineStr">
        <is>
          <t>LC/PC</t>
        </is>
      </c>
      <c r="I783" s="2" t="inlineStr">
        <is>
          <t>LC/PC</t>
        </is>
      </c>
      <c r="J783" s="2" t="n">
        <v>190</v>
      </c>
      <c r="K783" s="2" t="n">
        <v>30</v>
      </c>
      <c r="L783" s="2" t="n"/>
      <c r="M783" s="2" t="n"/>
      <c r="N783" s="2" t="n">
        <v>10</v>
      </c>
      <c r="O783" s="2" t="n">
        <v>19</v>
      </c>
      <c r="P783" s="2" t="n">
        <v>40</v>
      </c>
      <c r="Q783" s="2" t="n">
        <v>40</v>
      </c>
      <c r="R783" s="2" t="n"/>
      <c r="S783" s="2" t="n"/>
      <c r="T783" s="2" t="n"/>
      <c r="U783" s="2" t="n"/>
      <c r="V783" s="2">
        <f>SUM(J783:U783)</f>
        <v/>
      </c>
      <c r="W783" s="2" t="n"/>
      <c r="X783" s="2" t="n">
        <v>658</v>
      </c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>
        <v>658</v>
      </c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>
        <f>IF(F783=1,V783*2,IF(F783=2,V783*F783*2,IF(F783&gt;2,F783*2*V783)))</f>
        <v/>
      </c>
      <c r="AW783" s="2">
        <f>SUM(W783:AU783)</f>
        <v/>
      </c>
    </row>
    <row r="784">
      <c r="A784" s="2" t="inlineStr">
        <is>
          <t>A14-D1-N035R</t>
        </is>
      </c>
      <c r="B784" s="3" t="inlineStr">
        <is>
          <t>DOJC-MM-LC/PC-LC/PC</t>
        </is>
      </c>
      <c r="C784" s="2" t="inlineStr">
        <is>
          <t>920000792, 10M</t>
        </is>
      </c>
      <c r="D784" s="2" t="inlineStr">
        <is>
          <t>om1</t>
        </is>
      </c>
      <c r="E784" s="2" t="inlineStr">
        <is>
          <t>2.0mm</t>
        </is>
      </c>
      <c r="F784" s="2" t="n">
        <v>2</v>
      </c>
      <c r="G784" s="2" t="n">
        <v>10</v>
      </c>
      <c r="H784" s="2" t="inlineStr">
        <is>
          <t>LC/PC</t>
        </is>
      </c>
      <c r="I784" s="2" t="inlineStr">
        <is>
          <t>LC/PC</t>
        </is>
      </c>
      <c r="J784" s="2" t="n"/>
      <c r="K784" s="2" t="n"/>
      <c r="L784" s="2" t="n"/>
      <c r="M784" s="2" t="n"/>
      <c r="N784" s="2" t="n"/>
      <c r="O784" s="2" t="n"/>
      <c r="P784" s="2" t="n">
        <v>20</v>
      </c>
      <c r="Q784" s="2" t="n"/>
      <c r="R784" s="2" t="n"/>
      <c r="S784" s="2" t="n"/>
      <c r="T784" s="2" t="n"/>
      <c r="U784" s="2" t="n"/>
      <c r="V784" s="2">
        <f>SUM(J784:U784)</f>
        <v/>
      </c>
      <c r="W784" s="2" t="n"/>
      <c r="X784" s="2" t="n">
        <v>40</v>
      </c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>
        <v>40</v>
      </c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>
        <f>IF(F784=1,V784*2,IF(F784=2,V784*F784*2,IF(F784&gt;2,F784*2*V784)))</f>
        <v/>
      </c>
      <c r="AW784" s="2">
        <f>SUM(W784:AU784)</f>
        <v/>
      </c>
    </row>
    <row r="785">
      <c r="A785" s="2" t="inlineStr">
        <is>
          <t>A14-D1-N040</t>
        </is>
      </c>
      <c r="B785" s="3" t="inlineStr">
        <is>
          <t>DOJC-MM-LC/PC-LC/PC</t>
        </is>
      </c>
      <c r="C785" s="2" t="inlineStr">
        <is>
          <t>920000797, 15M</t>
        </is>
      </c>
      <c r="D785" s="2" t="inlineStr">
        <is>
          <t>om1</t>
        </is>
      </c>
      <c r="E785" s="2" t="inlineStr">
        <is>
          <t>2.0mm</t>
        </is>
      </c>
      <c r="F785" s="2" t="n">
        <v>2</v>
      </c>
      <c r="G785" s="2" t="n">
        <v>15</v>
      </c>
      <c r="H785" s="2" t="inlineStr">
        <is>
          <t>LC/PC</t>
        </is>
      </c>
      <c r="I785" s="2" t="inlineStr">
        <is>
          <t>LC/PC</t>
        </is>
      </c>
      <c r="J785" s="2" t="n">
        <v>161</v>
      </c>
      <c r="K785" s="2" t="n">
        <v>10</v>
      </c>
      <c r="L785" s="2" t="n"/>
      <c r="M785" s="2" t="n"/>
      <c r="N785" s="2" t="n"/>
      <c r="O785" s="2" t="n"/>
      <c r="P785" s="2" t="n">
        <v>61</v>
      </c>
      <c r="Q785" s="2" t="n">
        <v>40</v>
      </c>
      <c r="R785" s="2" t="n">
        <v>24</v>
      </c>
      <c r="S785" s="2" t="n">
        <v>38</v>
      </c>
      <c r="T785" s="2" t="n">
        <v>80</v>
      </c>
      <c r="U785" s="2" t="n"/>
      <c r="V785" s="2">
        <f>SUM(J785:U785)</f>
        <v/>
      </c>
      <c r="W785" s="2" t="n"/>
      <c r="X785" s="2" t="n">
        <v>828</v>
      </c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>
        <v>828</v>
      </c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>
        <f>IF(F785=1,V785*2,IF(F785=2,V785*F785*2,IF(F785&gt;2,F785*2*V785)))</f>
        <v/>
      </c>
      <c r="AW785" s="2">
        <f>SUM(W785:AU785)</f>
        <v/>
      </c>
    </row>
    <row r="786">
      <c r="A786" s="2" t="inlineStr">
        <is>
          <t>A14-D1-N044</t>
        </is>
      </c>
      <c r="B786" s="3" t="inlineStr">
        <is>
          <t>DOJC-MM-LC/PC-LC/PC</t>
        </is>
      </c>
      <c r="C786" s="2" t="inlineStr">
        <is>
          <t>920000802, 20M</t>
        </is>
      </c>
      <c r="D786" s="2" t="inlineStr">
        <is>
          <t>om1</t>
        </is>
      </c>
      <c r="E786" s="2" t="inlineStr">
        <is>
          <t>2.0mm</t>
        </is>
      </c>
      <c r="F786" s="2" t="n">
        <v>2</v>
      </c>
      <c r="G786" s="2" t="n">
        <v>20</v>
      </c>
      <c r="H786" s="2" t="inlineStr">
        <is>
          <t>LC/PC</t>
        </is>
      </c>
      <c r="I786" s="2" t="inlineStr">
        <is>
          <t>LC/PC</t>
        </is>
      </c>
      <c r="J786" s="2" t="n"/>
      <c r="K786" s="2" t="n"/>
      <c r="L786" s="2" t="n"/>
      <c r="M786" s="2" t="n"/>
      <c r="N786" s="2" t="n"/>
      <c r="O786" s="2" t="n">
        <v>8</v>
      </c>
      <c r="P786" s="2" t="n">
        <v>50</v>
      </c>
      <c r="Q786" s="2" t="n"/>
      <c r="R786" s="2" t="n"/>
      <c r="S786" s="2" t="n"/>
      <c r="T786" s="2" t="n"/>
      <c r="U786" s="2" t="n"/>
      <c r="V786" s="2">
        <f>SUM(J786:U786)</f>
        <v/>
      </c>
      <c r="W786" s="2" t="n"/>
      <c r="X786" s="2" t="n">
        <v>116</v>
      </c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>
        <v>116</v>
      </c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>
        <f>IF(F786=1,V786*2,IF(F786=2,V786*F786*2,IF(F786&gt;2,F786*2*V786)))</f>
        <v/>
      </c>
      <c r="AW786" s="2">
        <f>SUM(W786:AU786)</f>
        <v/>
      </c>
    </row>
    <row r="787">
      <c r="A787" s="2" t="inlineStr">
        <is>
          <t>A14-D1-N048</t>
        </is>
      </c>
      <c r="B787" s="3" t="inlineStr">
        <is>
          <t>DOJC-MM-LC/PC-LC/PC</t>
        </is>
      </c>
      <c r="C787" s="2" t="inlineStr">
        <is>
          <t>920000807, 25M</t>
        </is>
      </c>
      <c r="D787" s="2" t="inlineStr">
        <is>
          <t>om1</t>
        </is>
      </c>
      <c r="E787" s="2" t="inlineStr">
        <is>
          <t>2.0mm</t>
        </is>
      </c>
      <c r="F787" s="2" t="n">
        <v>2</v>
      </c>
      <c r="G787" s="2" t="n">
        <v>25</v>
      </c>
      <c r="H787" s="2" t="inlineStr">
        <is>
          <t>LC/PC</t>
        </is>
      </c>
      <c r="I787" s="2" t="inlineStr">
        <is>
          <t>LC/PC</t>
        </is>
      </c>
      <c r="J787" s="2" t="n"/>
      <c r="K787" s="2" t="n"/>
      <c r="L787" s="2" t="n"/>
      <c r="M787" s="2" t="n"/>
      <c r="N787" s="2" t="n"/>
      <c r="O787" s="2" t="n">
        <v>5</v>
      </c>
      <c r="P787" s="2" t="n">
        <v>20</v>
      </c>
      <c r="Q787" s="2" t="n">
        <v>20</v>
      </c>
      <c r="R787" s="2" t="n"/>
      <c r="S787" s="2" t="n"/>
      <c r="T787" s="2" t="n"/>
      <c r="U787" s="2" t="n"/>
      <c r="V787" s="2">
        <f>SUM(J787:U787)</f>
        <v/>
      </c>
      <c r="W787" s="2" t="n"/>
      <c r="X787" s="2" t="n">
        <v>90</v>
      </c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>
        <v>90</v>
      </c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>
        <f>IF(F787=1,V787*2,IF(F787=2,V787*F787*2,IF(F787&gt;2,F787*2*V787)))</f>
        <v/>
      </c>
      <c r="AW787" s="2">
        <f>SUM(W787:AU787)</f>
        <v/>
      </c>
    </row>
    <row r="788">
      <c r="A788" s="2" t="inlineStr">
        <is>
          <t>A14-D1-N052</t>
        </is>
      </c>
      <c r="B788" s="3" t="inlineStr">
        <is>
          <t>DOJC-MM-LC/PC-LC/PC</t>
        </is>
      </c>
      <c r="C788" s="2" t="inlineStr">
        <is>
          <t>920000785, 3M</t>
        </is>
      </c>
      <c r="D788" s="2" t="inlineStr">
        <is>
          <t>om1</t>
        </is>
      </c>
      <c r="E788" s="2" t="inlineStr">
        <is>
          <t>2.0mm</t>
        </is>
      </c>
      <c r="F788" s="2" t="n">
        <v>2</v>
      </c>
      <c r="G788" s="2" t="n">
        <v>3</v>
      </c>
      <c r="H788" s="2" t="inlineStr">
        <is>
          <t>LC/PC</t>
        </is>
      </c>
      <c r="I788" s="2" t="inlineStr">
        <is>
          <t>LC/PC</t>
        </is>
      </c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>
        <v>40</v>
      </c>
      <c r="U788" s="2" t="n"/>
      <c r="V788" s="2">
        <f>SUM(J788:U788)</f>
        <v/>
      </c>
      <c r="W788" s="2" t="n"/>
      <c r="X788" s="2" t="n">
        <v>80</v>
      </c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>
        <v>80</v>
      </c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>
        <f>IF(F788=1,V788*2,IF(F788=2,V788*F788*2,IF(F788&gt;2,F788*2*V788)))</f>
        <v/>
      </c>
      <c r="AW788" s="2">
        <f>SUM(W788:AU788)</f>
        <v/>
      </c>
    </row>
    <row r="789">
      <c r="A789" s="2" t="inlineStr">
        <is>
          <t>A14-D1-N057</t>
        </is>
      </c>
      <c r="B789" s="3" t="inlineStr">
        <is>
          <t>DOJC-MM-LC/PC-LC/PC</t>
        </is>
      </c>
      <c r="C789" s="2" t="inlineStr">
        <is>
          <t>920000787, 5M</t>
        </is>
      </c>
      <c r="D789" s="2" t="inlineStr">
        <is>
          <t>om1</t>
        </is>
      </c>
      <c r="E789" s="2" t="inlineStr">
        <is>
          <t>2.0mm</t>
        </is>
      </c>
      <c r="F789" s="2" t="n">
        <v>2</v>
      </c>
      <c r="G789" s="2" t="n">
        <v>5</v>
      </c>
      <c r="H789" s="2" t="inlineStr">
        <is>
          <t>LC/PC</t>
        </is>
      </c>
      <c r="I789" s="2" t="inlineStr">
        <is>
          <t>LC/PC</t>
        </is>
      </c>
      <c r="J789" s="2" t="n"/>
      <c r="K789" s="2" t="n"/>
      <c r="L789" s="2" t="n"/>
      <c r="M789" s="2" t="n"/>
      <c r="N789" s="2" t="n"/>
      <c r="O789" s="2" t="n">
        <v>5</v>
      </c>
      <c r="P789" s="2" t="n">
        <v>30</v>
      </c>
      <c r="Q789" s="2" t="n"/>
      <c r="R789" s="2" t="n">
        <v>12</v>
      </c>
      <c r="S789" s="2" t="n"/>
      <c r="T789" s="2" t="n"/>
      <c r="U789" s="2" t="n"/>
      <c r="V789" s="2">
        <f>SUM(J789:U789)</f>
        <v/>
      </c>
      <c r="W789" s="2" t="n"/>
      <c r="X789" s="2" t="n">
        <v>94</v>
      </c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>
        <v>94</v>
      </c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>
        <f>IF(F789=1,V789*2,IF(F789=2,V789*F789*2,IF(F789&gt;2,F789*2*V789)))</f>
        <v/>
      </c>
      <c r="AW789" s="2">
        <f>SUM(W789:AU789)</f>
        <v/>
      </c>
    </row>
    <row r="790">
      <c r="A790" s="2" t="inlineStr">
        <is>
          <t>A14-D3-N008</t>
        </is>
      </c>
      <c r="B790" s="3" t="inlineStr">
        <is>
          <t>DOJC-MM(OM3)-LC/PC-LC/PC</t>
        </is>
      </c>
      <c r="C790" s="2" t="inlineStr">
        <is>
          <t>10M</t>
        </is>
      </c>
      <c r="D790" s="2" t="inlineStr">
        <is>
          <t>om3</t>
        </is>
      </c>
      <c r="E790" s="2" t="inlineStr">
        <is>
          <t>2.0mm</t>
        </is>
      </c>
      <c r="F790" s="2" t="n">
        <v>2</v>
      </c>
      <c r="G790" s="2" t="n">
        <v>10</v>
      </c>
      <c r="H790" s="2" t="inlineStr">
        <is>
          <t>LC/PC</t>
        </is>
      </c>
      <c r="I790" s="2" t="inlineStr">
        <is>
          <t>LC/PC</t>
        </is>
      </c>
      <c r="J790" s="2" t="n"/>
      <c r="K790" s="2" t="n"/>
      <c r="L790" s="2" t="n">
        <v>30</v>
      </c>
      <c r="M790" s="2" t="n"/>
      <c r="N790" s="2" t="n"/>
      <c r="O790" s="2" t="n">
        <v>8</v>
      </c>
      <c r="P790" s="2" t="n">
        <v>30</v>
      </c>
      <c r="Q790" s="2" t="n"/>
      <c r="R790" s="2" t="n"/>
      <c r="S790" s="2" t="n">
        <v>60</v>
      </c>
      <c r="T790" s="2" t="n"/>
      <c r="U790" s="2" t="n">
        <v>15</v>
      </c>
      <c r="V790" s="2">
        <f>SUM(J790:U790)</f>
        <v/>
      </c>
      <c r="W790" s="2" t="n"/>
      <c r="X790" s="2" t="n">
        <v>286</v>
      </c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>
        <v>286</v>
      </c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>
        <f>IF(F790=1,V790*2,IF(F790=2,V790*F790*2,IF(F790&gt;2,F790*2*V790)))</f>
        <v/>
      </c>
      <c r="AW790" s="2">
        <f>SUM(W790:AU790)</f>
        <v/>
      </c>
    </row>
    <row r="791">
      <c r="A791" s="2" t="inlineStr">
        <is>
          <t>A14-D3-N010</t>
        </is>
      </c>
      <c r="B791" s="3" t="inlineStr">
        <is>
          <t>DOJC-MM(OM3)-LC/PC-LC/PC</t>
        </is>
      </c>
      <c r="C791" s="2" t="inlineStr">
        <is>
          <t>15M</t>
        </is>
      </c>
      <c r="D791" s="2" t="inlineStr">
        <is>
          <t>om3</t>
        </is>
      </c>
      <c r="E791" s="2" t="inlineStr">
        <is>
          <t>2.0mm</t>
        </is>
      </c>
      <c r="F791" s="2" t="n">
        <v>2</v>
      </c>
      <c r="G791" s="2" t="n">
        <v>15</v>
      </c>
      <c r="H791" s="2" t="inlineStr">
        <is>
          <t>LC/PC</t>
        </is>
      </c>
      <c r="I791" s="2" t="inlineStr">
        <is>
          <t>LC/PC</t>
        </is>
      </c>
      <c r="J791" s="2" t="n"/>
      <c r="K791" s="2" t="n">
        <v>12</v>
      </c>
      <c r="L791" s="2" t="n"/>
      <c r="M791" s="2" t="n"/>
      <c r="N791" s="2" t="n"/>
      <c r="O791" s="2" t="n"/>
      <c r="P791" s="2" t="n">
        <v>10</v>
      </c>
      <c r="Q791" s="2" t="n"/>
      <c r="R791" s="2" t="n"/>
      <c r="S791" s="2" t="n">
        <v>50</v>
      </c>
      <c r="T791" s="2" t="n"/>
      <c r="U791" s="2" t="n">
        <v>26</v>
      </c>
      <c r="V791" s="2">
        <f>SUM(J791:U791)</f>
        <v/>
      </c>
      <c r="W791" s="2" t="n"/>
      <c r="X791" s="2" t="n">
        <v>196</v>
      </c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>
        <v>196</v>
      </c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>
        <f>IF(F791=1,V791*2,IF(F791=2,V791*F791*2,IF(F791&gt;2,F791*2*V791)))</f>
        <v/>
      </c>
      <c r="AW791" s="2">
        <f>SUM(W791:AU791)</f>
        <v/>
      </c>
    </row>
    <row r="792">
      <c r="A792" s="2" t="inlineStr">
        <is>
          <t>A14-D3-N011</t>
        </is>
      </c>
      <c r="B792" s="3" t="inlineStr">
        <is>
          <t>DOJC-MM(OM3)-LC/PC-LC/PC</t>
        </is>
      </c>
      <c r="C792" s="2" t="inlineStr">
        <is>
          <t>20M</t>
        </is>
      </c>
      <c r="D792" s="2" t="inlineStr">
        <is>
          <t>om3</t>
        </is>
      </c>
      <c r="E792" s="2" t="inlineStr">
        <is>
          <t>2.0mm</t>
        </is>
      </c>
      <c r="F792" s="2" t="n">
        <v>2</v>
      </c>
      <c r="G792" s="2" t="n">
        <v>20</v>
      </c>
      <c r="H792" s="2" t="inlineStr">
        <is>
          <t>LC/PC</t>
        </is>
      </c>
      <c r="I792" s="2" t="inlineStr">
        <is>
          <t>LC/PC</t>
        </is>
      </c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>
        <v>20</v>
      </c>
      <c r="T792" s="2" t="n">
        <v>4</v>
      </c>
      <c r="U792" s="2" t="n">
        <v>20</v>
      </c>
      <c r="V792" s="2">
        <f>SUM(J792:U792)</f>
        <v/>
      </c>
      <c r="W792" s="2" t="n"/>
      <c r="X792" s="2" t="n">
        <v>88</v>
      </c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>
        <v>88</v>
      </c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>
        <f>IF(F792=1,V792*2,IF(F792=2,V792*F792*2,IF(F792&gt;2,F792*2*V792)))</f>
        <v/>
      </c>
      <c r="AW792" s="2">
        <f>SUM(W792:AU792)</f>
        <v/>
      </c>
    </row>
    <row r="793">
      <c r="A793" s="2" t="inlineStr">
        <is>
          <t>A14-D3-N016</t>
        </is>
      </c>
      <c r="B793" s="3" t="inlineStr">
        <is>
          <t>DOJC-MM(OM3)-LC/PC-LC/PC</t>
        </is>
      </c>
      <c r="C793" s="2" t="inlineStr">
        <is>
          <t>25M</t>
        </is>
      </c>
      <c r="D793" s="2" t="inlineStr">
        <is>
          <t>om3</t>
        </is>
      </c>
      <c r="E793" s="2" t="inlineStr">
        <is>
          <t>2.0mm</t>
        </is>
      </c>
      <c r="F793" s="2" t="n">
        <v>2</v>
      </c>
      <c r="G793" s="2" t="n">
        <v>25</v>
      </c>
      <c r="H793" s="2" t="inlineStr">
        <is>
          <t>LC/PC</t>
        </is>
      </c>
      <c r="I793" s="2" t="inlineStr">
        <is>
          <t>LC/PC</t>
        </is>
      </c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>
        <v>20</v>
      </c>
      <c r="T793" s="2" t="n"/>
      <c r="U793" s="2" t="n">
        <v>3</v>
      </c>
      <c r="V793" s="2">
        <f>SUM(J793:U793)</f>
        <v/>
      </c>
      <c r="W793" s="2" t="n"/>
      <c r="X793" s="2" t="n">
        <v>46</v>
      </c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>
        <v>46</v>
      </c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>
        <f>IF(F793=1,V793*2,IF(F793=2,V793*F793*2,IF(F793&gt;2,F793*2*V793)))</f>
        <v/>
      </c>
      <c r="AW793" s="2">
        <f>SUM(W793:AU793)</f>
        <v/>
      </c>
    </row>
    <row r="794">
      <c r="A794" s="2" t="inlineStr">
        <is>
          <t>A14-D3-N025</t>
        </is>
      </c>
      <c r="B794" s="3" t="inlineStr">
        <is>
          <t>DOJC-MM(OM3)-LC/PC-LC/PC</t>
        </is>
      </c>
      <c r="C794" s="2" t="inlineStr">
        <is>
          <t>5M</t>
        </is>
      </c>
      <c r="D794" s="2" t="inlineStr">
        <is>
          <t>om3</t>
        </is>
      </c>
      <c r="E794" s="2" t="inlineStr">
        <is>
          <t>2.0mm</t>
        </is>
      </c>
      <c r="F794" s="2" t="n">
        <v>2</v>
      </c>
      <c r="G794" s="2" t="n">
        <v>5</v>
      </c>
      <c r="H794" s="2" t="inlineStr">
        <is>
          <t>LC/PC</t>
        </is>
      </c>
      <c r="I794" s="2" t="inlineStr">
        <is>
          <t>LC/PC</t>
        </is>
      </c>
      <c r="J794" s="2" t="n"/>
      <c r="K794" s="2" t="n"/>
      <c r="L794" s="2" t="n">
        <v>20</v>
      </c>
      <c r="M794" s="2" t="n">
        <v>50</v>
      </c>
      <c r="N794" s="2" t="n"/>
      <c r="O794" s="2" t="n"/>
      <c r="P794" s="2" t="n">
        <v>90</v>
      </c>
      <c r="Q794" s="2" t="n"/>
      <c r="R794" s="2" t="n"/>
      <c r="S794" s="2" t="n">
        <v>31</v>
      </c>
      <c r="T794" s="2" t="n"/>
      <c r="U794" s="2" t="n">
        <v>35</v>
      </c>
      <c r="V794" s="2">
        <f>SUM(J794:U794)</f>
        <v/>
      </c>
      <c r="W794" s="2" t="n"/>
      <c r="X794" s="2" t="n">
        <v>452</v>
      </c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>
        <v>452</v>
      </c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>
        <f>IF(F794=1,V794*2,IF(F794=2,V794*F794*2,IF(F794&gt;2,F794*2*V794)))</f>
        <v/>
      </c>
      <c r="AW794" s="2">
        <f>SUM(W794:AU794)</f>
        <v/>
      </c>
    </row>
    <row r="795">
      <c r="A795" s="2" t="inlineStr">
        <is>
          <t>A14-D3-N036</t>
        </is>
      </c>
      <c r="B795" s="3" t="inlineStr">
        <is>
          <t>DOJC-MM(OM3)-LC/PC-LC/PC</t>
        </is>
      </c>
      <c r="C795" s="2" t="inlineStr">
        <is>
          <t>11M</t>
        </is>
      </c>
      <c r="D795" s="2" t="inlineStr">
        <is>
          <t>om3</t>
        </is>
      </c>
      <c r="E795" s="2" t="inlineStr">
        <is>
          <t>2.0mm</t>
        </is>
      </c>
      <c r="F795" s="2" t="n">
        <v>2</v>
      </c>
      <c r="G795" s="2" t="n">
        <v>11</v>
      </c>
      <c r="H795" s="2" t="inlineStr">
        <is>
          <t>LC/PC</t>
        </is>
      </c>
      <c r="I795" s="2" t="inlineStr">
        <is>
          <t>LC/PC</t>
        </is>
      </c>
      <c r="J795" s="2" t="n"/>
      <c r="K795" s="2" t="n"/>
      <c r="L795" s="2" t="n">
        <v>14</v>
      </c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>
        <f>SUM(J795:U795)</f>
        <v/>
      </c>
      <c r="W795" s="2" t="n"/>
      <c r="X795" s="2" t="n">
        <v>28</v>
      </c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>
        <v>28</v>
      </c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>
        <f>IF(F795=1,V795*2,IF(F795=2,V795*F795*2,IF(F795&gt;2,F795*2*V795)))</f>
        <v/>
      </c>
      <c r="AW795" s="2">
        <f>SUM(W795:AU795)</f>
        <v/>
      </c>
    </row>
    <row r="796">
      <c r="A796" s="2" t="inlineStr">
        <is>
          <t>A14-DB-N105</t>
        </is>
      </c>
      <c r="B796" s="3" t="inlineStr">
        <is>
          <t>DOJC-SM-FC/APC-FC/APC</t>
        </is>
      </c>
      <c r="C796" s="2" t="inlineStr">
        <is>
          <t>908040657, 10M,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2</v>
      </c>
      <c r="G796" s="2" t="n">
        <v>10</v>
      </c>
      <c r="H796" s="2" t="inlineStr">
        <is>
          <t>FC/APC</t>
        </is>
      </c>
      <c r="I796" s="2" t="inlineStr">
        <is>
          <t>FC/APC</t>
        </is>
      </c>
      <c r="J796" s="2" t="n"/>
      <c r="K796" s="2" t="n"/>
      <c r="L796" s="2" t="n">
        <v>25</v>
      </c>
      <c r="M796" s="2" t="n">
        <v>10</v>
      </c>
      <c r="N796" s="2" t="n"/>
      <c r="O796" s="2" t="n"/>
      <c r="P796" s="2" t="n"/>
      <c r="Q796" s="2" t="n"/>
      <c r="R796" s="2" t="n"/>
      <c r="S796" s="2" t="n">
        <v>26</v>
      </c>
      <c r="T796" s="2" t="n"/>
      <c r="U796" s="2" t="n"/>
      <c r="V796" s="2">
        <f>SUM(J796:U796)</f>
        <v/>
      </c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>
        <v>122</v>
      </c>
      <c r="AH796" s="2" t="n">
        <v>122</v>
      </c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>
        <f>IF(F796=1,V796*2,IF(F796=2,V796*F796*2,IF(F796&gt;2,F796*2*V796)))</f>
        <v/>
      </c>
      <c r="AW796" s="2">
        <f>SUM(W796:AU796)</f>
        <v/>
      </c>
    </row>
    <row r="797">
      <c r="A797" s="2" t="inlineStr">
        <is>
          <t>A14-DB-N107</t>
        </is>
      </c>
      <c r="B797" s="3" t="inlineStr">
        <is>
          <t>DOJC-SM-FC/APC-FC/APC</t>
        </is>
      </c>
      <c r="C797" s="2" t="inlineStr">
        <is>
          <t>908040662, 15M, B3, 2.0mm</t>
        </is>
      </c>
      <c r="D797" s="2" t="inlineStr">
        <is>
          <t>b3</t>
        </is>
      </c>
      <c r="E797" s="2" t="inlineStr">
        <is>
          <t>2.0mm</t>
        </is>
      </c>
      <c r="F797" s="2" t="n">
        <v>2</v>
      </c>
      <c r="G797" s="2" t="n">
        <v>15</v>
      </c>
      <c r="H797" s="2" t="inlineStr">
        <is>
          <t>FC/APC</t>
        </is>
      </c>
      <c r="I797" s="2" t="inlineStr">
        <is>
          <t>FC/APC</t>
        </is>
      </c>
      <c r="J797" s="2" t="n">
        <v>10</v>
      </c>
      <c r="K797" s="2" t="n"/>
      <c r="L797" s="2" t="n">
        <v>25</v>
      </c>
      <c r="M797" s="2" t="n"/>
      <c r="N797" s="2" t="n"/>
      <c r="O797" s="2" t="n"/>
      <c r="P797" s="2" t="n"/>
      <c r="Q797" s="2" t="n"/>
      <c r="R797" s="2" t="n"/>
      <c r="S797" s="2" t="n">
        <v>20</v>
      </c>
      <c r="T797" s="2" t="n"/>
      <c r="U797" s="2" t="n"/>
      <c r="V797" s="2">
        <f>SUM(J797:U797)</f>
        <v/>
      </c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>
        <v>110</v>
      </c>
      <c r="AH797" s="2" t="n">
        <v>110</v>
      </c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>
        <f>IF(F797=1,V797*2,IF(F797=2,V797*F797*2,IF(F797&gt;2,F797*2*V797)))</f>
        <v/>
      </c>
      <c r="AW797" s="2">
        <f>SUM(W797:AU797)</f>
        <v/>
      </c>
    </row>
    <row r="798">
      <c r="A798" s="2" t="inlineStr">
        <is>
          <t>A14-DB-N110</t>
        </is>
      </c>
      <c r="B798" s="3" t="inlineStr">
        <is>
          <t>DOJC-SM-FC/APC-FC/APC</t>
        </is>
      </c>
      <c r="C798" s="2" t="inlineStr">
        <is>
          <t>908040667, 20M,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2</v>
      </c>
      <c r="G798" s="2" t="n">
        <v>20</v>
      </c>
      <c r="H798" s="2" t="inlineStr">
        <is>
          <t>FC/APC</t>
        </is>
      </c>
      <c r="I798" s="2" t="inlineStr">
        <is>
          <t>FC/APC</t>
        </is>
      </c>
      <c r="J798" s="2" t="n"/>
      <c r="K798" s="2" t="n"/>
      <c r="L798" s="2" t="n">
        <v>25</v>
      </c>
      <c r="M798" s="2" t="n"/>
      <c r="N798" s="2" t="n"/>
      <c r="O798" s="2" t="n">
        <v>20</v>
      </c>
      <c r="P798" s="2" t="n"/>
      <c r="Q798" s="2" t="n"/>
      <c r="R798" s="2" t="n"/>
      <c r="S798" s="2" t="n">
        <v>20</v>
      </c>
      <c r="T798" s="2" t="n"/>
      <c r="U798" s="2" t="n"/>
      <c r="V798" s="2">
        <f>SUM(J798:U798)</f>
        <v/>
      </c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>
        <v>130</v>
      </c>
      <c r="AH798" s="2" t="n">
        <v>130</v>
      </c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>
        <f>IF(F798=1,V798*2,IF(F798=2,V798*F798*2,IF(F798&gt;2,F798*2*V798)))</f>
        <v/>
      </c>
      <c r="AW798" s="2">
        <f>SUM(W798:AU798)</f>
        <v/>
      </c>
    </row>
    <row r="799">
      <c r="A799" s="2" t="inlineStr">
        <is>
          <t>A14-DB-N113</t>
        </is>
      </c>
      <c r="B799" s="3" t="inlineStr">
        <is>
          <t>DOJC-SM-FC/APC-FC/APC</t>
        </is>
      </c>
      <c r="C799" s="2" t="inlineStr">
        <is>
          <t>908040672, 25M, B3, 2.0mm</t>
        </is>
      </c>
      <c r="D799" s="2" t="inlineStr">
        <is>
          <t>b3</t>
        </is>
      </c>
      <c r="E799" s="2" t="inlineStr">
        <is>
          <t>2.0mm</t>
        </is>
      </c>
      <c r="F799" s="2" t="n">
        <v>2</v>
      </c>
      <c r="G799" s="2" t="n">
        <v>25</v>
      </c>
      <c r="H799" s="2" t="inlineStr">
        <is>
          <t>FC/APC</t>
        </is>
      </c>
      <c r="I799" s="2" t="inlineStr">
        <is>
          <t>FC/APC</t>
        </is>
      </c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>
        <v>5</v>
      </c>
      <c r="U799" s="2" t="n"/>
      <c r="V799" s="2">
        <f>SUM(J799:U799)</f>
        <v/>
      </c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>
        <v>10</v>
      </c>
      <c r="AH799" s="2" t="n">
        <v>10</v>
      </c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>
        <f>IF(F799=1,V799*2,IF(F799=2,V799*F799*2,IF(F799&gt;2,F799*2*V799)))</f>
        <v/>
      </c>
      <c r="AW799" s="2">
        <f>SUM(W799:AU799)</f>
        <v/>
      </c>
    </row>
    <row r="800">
      <c r="A800" s="2" t="inlineStr">
        <is>
          <t>A14-DB-N115</t>
        </is>
      </c>
      <c r="B800" s="3" t="inlineStr">
        <is>
          <t>DOJC-SM-FC/APC-FC/APC</t>
        </is>
      </c>
      <c r="C800" s="2" t="inlineStr">
        <is>
          <t>908040677, 30M,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2</v>
      </c>
      <c r="G800" s="2" t="n">
        <v>30</v>
      </c>
      <c r="H800" s="2" t="inlineStr">
        <is>
          <t>FC/APC</t>
        </is>
      </c>
      <c r="I800" s="2" t="inlineStr">
        <is>
          <t>FC/APC</t>
        </is>
      </c>
      <c r="J800" s="2" t="n"/>
      <c r="K800" s="2" t="n">
        <v>4</v>
      </c>
      <c r="L800" s="2" t="n">
        <v>1</v>
      </c>
      <c r="M800" s="2" t="n"/>
      <c r="N800" s="2" t="n"/>
      <c r="O800" s="2" t="n"/>
      <c r="P800" s="2" t="n"/>
      <c r="Q800" s="2" t="n"/>
      <c r="R800" s="2" t="n"/>
      <c r="S800" s="2" t="n"/>
      <c r="T800" s="2" t="n">
        <v>5</v>
      </c>
      <c r="U800" s="2" t="n"/>
      <c r="V800" s="2">
        <f>SUM(J800:U800)</f>
        <v/>
      </c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>
        <v>20</v>
      </c>
      <c r="AH800" s="2" t="n">
        <v>20</v>
      </c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>
        <f>IF(F800=1,V800*2,IF(F800=2,V800*F800*2,IF(F800&gt;2,F800*2*V800)))</f>
        <v/>
      </c>
      <c r="AW800" s="2">
        <f>SUM(W800:AU800)</f>
        <v/>
      </c>
    </row>
    <row r="801">
      <c r="A801" s="2" t="inlineStr">
        <is>
          <t>A14-DB-N140</t>
        </is>
      </c>
      <c r="B801" s="3" t="inlineStr">
        <is>
          <t>DOJC-SM-FC/PC-FC/PC</t>
        </is>
      </c>
      <c r="C801" s="2" t="inlineStr">
        <is>
          <t>908040597, 10M,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2</v>
      </c>
      <c r="G801" s="2" t="n">
        <v>10</v>
      </c>
      <c r="H801" s="2" t="inlineStr">
        <is>
          <t>FC/PC</t>
        </is>
      </c>
      <c r="I801" s="2" t="inlineStr">
        <is>
          <t>FC/PC</t>
        </is>
      </c>
      <c r="J801" s="2" t="n"/>
      <c r="K801" s="2" t="n"/>
      <c r="L801" s="2" t="n"/>
      <c r="M801" s="2" t="n"/>
      <c r="N801" s="2" t="n"/>
      <c r="O801" s="2" t="n"/>
      <c r="P801" s="2" t="n">
        <v>10</v>
      </c>
      <c r="Q801" s="2" t="n"/>
      <c r="R801" s="2" t="n"/>
      <c r="S801" s="2" t="n">
        <v>30</v>
      </c>
      <c r="T801" s="2" t="n">
        <v>20</v>
      </c>
      <c r="U801" s="2" t="n"/>
      <c r="V801" s="2">
        <f>SUM(J801:U801)</f>
        <v/>
      </c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>
        <v>120</v>
      </c>
      <c r="AF801" s="2" t="n">
        <v>120</v>
      </c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>
        <f>IF(F801=1,V801*2,IF(F801=2,V801*F801*2,IF(F801&gt;2,F801*2*V801)))</f>
        <v/>
      </c>
      <c r="AW801" s="2">
        <f>SUM(W801:AU801)</f>
        <v/>
      </c>
    </row>
    <row r="802">
      <c r="A802" s="2" t="inlineStr">
        <is>
          <t>A14-DB-N143</t>
        </is>
      </c>
      <c r="B802" s="3" t="inlineStr">
        <is>
          <t>DOJC-SM-FC/PC-FC/PC</t>
        </is>
      </c>
      <c r="C802" s="2" t="inlineStr">
        <is>
          <t>908040602, 15M, B3, 2.0mm</t>
        </is>
      </c>
      <c r="D802" s="2" t="inlineStr">
        <is>
          <t>b3</t>
        </is>
      </c>
      <c r="E802" s="2" t="inlineStr">
        <is>
          <t>2.0mm</t>
        </is>
      </c>
      <c r="F802" s="2" t="n">
        <v>2</v>
      </c>
      <c r="G802" s="2" t="n">
        <v>15</v>
      </c>
      <c r="H802" s="2" t="inlineStr">
        <is>
          <t>FC/PC</t>
        </is>
      </c>
      <c r="I802" s="2" t="inlineStr">
        <is>
          <t>FC/PC</t>
        </is>
      </c>
      <c r="J802" s="2" t="n"/>
      <c r="K802" s="2" t="n"/>
      <c r="L802" s="2" t="n"/>
      <c r="M802" s="2" t="n"/>
      <c r="N802" s="2" t="n"/>
      <c r="O802" s="2" t="n"/>
      <c r="P802" s="2" t="n">
        <v>40</v>
      </c>
      <c r="Q802" s="2" t="n"/>
      <c r="R802" s="2" t="n"/>
      <c r="S802" s="2" t="n">
        <v>30</v>
      </c>
      <c r="T802" s="2" t="n">
        <v>20</v>
      </c>
      <c r="U802" s="2" t="n"/>
      <c r="V802" s="2">
        <f>SUM(J802:U802)</f>
        <v/>
      </c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>
        <v>180</v>
      </c>
      <c r="AF802" s="2" t="n">
        <v>180</v>
      </c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>
        <f>IF(F802=1,V802*2,IF(F802=2,V802*F802*2,IF(F802&gt;2,F802*2*V802)))</f>
        <v/>
      </c>
      <c r="AW802" s="2">
        <f>SUM(W802:AU802)</f>
        <v/>
      </c>
    </row>
    <row r="803">
      <c r="A803" s="2" t="inlineStr">
        <is>
          <t>A14-DB-N158</t>
        </is>
      </c>
      <c r="B803" s="3" t="inlineStr">
        <is>
          <t>DOJC-SM-LC/PC-FC/APC</t>
        </is>
      </c>
      <c r="C803" s="2" t="inlineStr">
        <is>
          <t>12M,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2</v>
      </c>
      <c r="G803" s="2" t="n">
        <v>12</v>
      </c>
      <c r="H803" s="2" t="inlineStr">
        <is>
          <t>LC/PC</t>
        </is>
      </c>
      <c r="I803" s="2" t="inlineStr">
        <is>
          <t>FC/APC</t>
        </is>
      </c>
      <c r="J803" s="2" t="n"/>
      <c r="K803" s="2" t="n"/>
      <c r="L803" s="2" t="n"/>
      <c r="M803" s="2" t="n"/>
      <c r="N803" s="2" t="n"/>
      <c r="O803" s="2" t="n"/>
      <c r="P803" s="2" t="n"/>
      <c r="Q803" s="2" t="n">
        <v>2</v>
      </c>
      <c r="R803" s="2" t="n"/>
      <c r="S803" s="2" t="n"/>
      <c r="T803" s="2" t="n"/>
      <c r="U803" s="2" t="n"/>
      <c r="V803" s="2">
        <f>SUM(J803:U803)</f>
        <v/>
      </c>
      <c r="W803" s="2" t="n">
        <v>4</v>
      </c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>
        <v>4</v>
      </c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>
        <f>IF(F803=1,V803*2,IF(F803=2,V803*F803*2,IF(F803&gt;2,F803*2*V803)))</f>
        <v/>
      </c>
      <c r="AW803" s="2">
        <f>SUM(W803:AU803)</f>
        <v/>
      </c>
    </row>
    <row r="804">
      <c r="A804" s="2" t="inlineStr">
        <is>
          <t>A14-DB-N161</t>
        </is>
      </c>
      <c r="B804" s="3" t="inlineStr">
        <is>
          <t>DOJC-SM-LC/PC-FC/APC</t>
        </is>
      </c>
      <c r="C804" s="2" t="inlineStr">
        <is>
          <t>908040891, 15M, B3, 2.0mm</t>
        </is>
      </c>
      <c r="D804" s="2" t="inlineStr">
        <is>
          <t>b3</t>
        </is>
      </c>
      <c r="E804" s="2" t="inlineStr">
        <is>
          <t>2.0mm</t>
        </is>
      </c>
      <c r="F804" s="2" t="n">
        <v>2</v>
      </c>
      <c r="G804" s="2" t="n">
        <v>15</v>
      </c>
      <c r="H804" s="2" t="inlineStr">
        <is>
          <t>LC/PC</t>
        </is>
      </c>
      <c r="I804" s="2" t="inlineStr">
        <is>
          <t>FC/APC</t>
        </is>
      </c>
      <c r="J804" s="2" t="n"/>
      <c r="K804" s="2" t="n">
        <v>44</v>
      </c>
      <c r="L804" s="2" t="n">
        <v>79</v>
      </c>
      <c r="M804" s="2" t="n"/>
      <c r="N804" s="2" t="n"/>
      <c r="O804" s="2" t="n"/>
      <c r="P804" s="2" t="n">
        <v>22</v>
      </c>
      <c r="Q804" s="2" t="n">
        <v>2</v>
      </c>
      <c r="R804" s="2" t="n"/>
      <c r="S804" s="2" t="n">
        <v>5</v>
      </c>
      <c r="T804" s="2" t="n"/>
      <c r="U804" s="2" t="n"/>
      <c r="V804" s="2">
        <f>SUM(J804:U804)</f>
        <v/>
      </c>
      <c r="W804" s="2" t="n">
        <v>304</v>
      </c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>
        <v>304</v>
      </c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>
        <f>IF(F804=1,V804*2,IF(F804=2,V804*F804*2,IF(F804&gt;2,F804*2*V804)))</f>
        <v/>
      </c>
      <c r="AW804" s="2">
        <f>SUM(W804:AU804)</f>
        <v/>
      </c>
    </row>
    <row r="805">
      <c r="A805" s="2" t="inlineStr">
        <is>
          <t>A14-DB-N166</t>
        </is>
      </c>
      <c r="B805" s="3" t="inlineStr">
        <is>
          <t>DOJC-SM-LC/PC-FC/APC</t>
        </is>
      </c>
      <c r="C805" s="2" t="inlineStr">
        <is>
          <t>908040896, 20M,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2</v>
      </c>
      <c r="G805" s="2" t="n">
        <v>20</v>
      </c>
      <c r="H805" s="2" t="inlineStr">
        <is>
          <t>LC/PC</t>
        </is>
      </c>
      <c r="I805" s="2" t="inlineStr">
        <is>
          <t>FC/APC</t>
        </is>
      </c>
      <c r="J805" s="2" t="n"/>
      <c r="K805" s="2" t="n"/>
      <c r="L805" s="2" t="n"/>
      <c r="M805" s="2" t="n"/>
      <c r="N805" s="2" t="n"/>
      <c r="O805" s="2" t="n">
        <v>125</v>
      </c>
      <c r="P805" s="2" t="n">
        <v>45</v>
      </c>
      <c r="Q805" s="2" t="n"/>
      <c r="R805" s="2" t="n"/>
      <c r="S805" s="2" t="n"/>
      <c r="T805" s="2" t="n"/>
      <c r="U805" s="2" t="n"/>
      <c r="V805" s="2">
        <f>SUM(J805:U805)</f>
        <v/>
      </c>
      <c r="W805" s="2" t="n">
        <v>340</v>
      </c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>
        <v>340</v>
      </c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>
        <f>IF(F805=1,V805*2,IF(F805=2,V805*F805*2,IF(F805&gt;2,F805*2*V805)))</f>
        <v/>
      </c>
      <c r="AW805" s="2">
        <f>SUM(W805:AU805)</f>
        <v/>
      </c>
    </row>
    <row r="806">
      <c r="A806" s="2" t="inlineStr">
        <is>
          <t>A14-DB-N170</t>
        </is>
      </c>
      <c r="B806" s="3" t="inlineStr">
        <is>
          <t>DOJC-SM-LC/PC-FC/APC</t>
        </is>
      </c>
      <c r="C806" s="2" t="inlineStr">
        <is>
          <t>908040901, 25M,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2</v>
      </c>
      <c r="G806" s="2" t="n">
        <v>25</v>
      </c>
      <c r="H806" s="2" t="inlineStr">
        <is>
          <t>LC/PC</t>
        </is>
      </c>
      <c r="I806" s="2" t="inlineStr">
        <is>
          <t>FC/APC</t>
        </is>
      </c>
      <c r="J806" s="2" t="n">
        <v>18</v>
      </c>
      <c r="K806" s="2" t="n">
        <v>5</v>
      </c>
      <c r="L806" s="2" t="n"/>
      <c r="M806" s="2" t="n">
        <v>39</v>
      </c>
      <c r="N806" s="2" t="n"/>
      <c r="O806" s="2" t="n"/>
      <c r="P806" s="2" t="n"/>
      <c r="Q806" s="2" t="n"/>
      <c r="R806" s="2" t="n"/>
      <c r="S806" s="2" t="n"/>
      <c r="T806" s="2" t="n">
        <v>5</v>
      </c>
      <c r="U806" s="2" t="n"/>
      <c r="V806" s="2">
        <f>SUM(J806:U806)</f>
        <v/>
      </c>
      <c r="W806" s="2" t="n">
        <v>134</v>
      </c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>
        <v>134</v>
      </c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>
        <f>IF(F806=1,V806*2,IF(F806=2,V806*F806*2,IF(F806&gt;2,F806*2*V806)))</f>
        <v/>
      </c>
      <c r="AW806" s="2">
        <f>SUM(W806:AU806)</f>
        <v/>
      </c>
    </row>
    <row r="807">
      <c r="A807" s="2" t="inlineStr">
        <is>
          <t>A14-DB-N173</t>
        </is>
      </c>
      <c r="B807" s="3" t="inlineStr">
        <is>
          <t>DOJC-SM-LC/PC-FC/APC</t>
        </is>
      </c>
      <c r="C807" s="2" t="inlineStr">
        <is>
          <t>908040906, 30M, B3, 2.0mm</t>
        </is>
      </c>
      <c r="D807" s="2" t="inlineStr">
        <is>
          <t>b3</t>
        </is>
      </c>
      <c r="E807" s="2" t="inlineStr">
        <is>
          <t>2.0mm</t>
        </is>
      </c>
      <c r="F807" s="2" t="n">
        <v>2</v>
      </c>
      <c r="G807" s="2" t="n">
        <v>30</v>
      </c>
      <c r="H807" s="2" t="inlineStr">
        <is>
          <t>LC/PC</t>
        </is>
      </c>
      <c r="I807" s="2" t="inlineStr">
        <is>
          <t>FC/APC</t>
        </is>
      </c>
      <c r="J807" s="2" t="n"/>
      <c r="K807" s="2" t="n"/>
      <c r="L807" s="2" t="n"/>
      <c r="M807" s="2" t="n"/>
      <c r="N807" s="2" t="n"/>
      <c r="O807" s="2" t="n">
        <v>34</v>
      </c>
      <c r="P807" s="2" t="n">
        <v>20</v>
      </c>
      <c r="Q807" s="2" t="n"/>
      <c r="R807" s="2" t="n"/>
      <c r="S807" s="2" t="n"/>
      <c r="T807" s="2" t="n"/>
      <c r="U807" s="2" t="n"/>
      <c r="V807" s="2">
        <f>SUM(J807:U807)</f>
        <v/>
      </c>
      <c r="W807" s="2" t="n">
        <v>108</v>
      </c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>
        <v>108</v>
      </c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>
        <f>IF(F807=1,V807*2,IF(F807=2,V807*F807*2,IF(F807&gt;2,F807*2*V807)))</f>
        <v/>
      </c>
      <c r="AW807" s="2">
        <f>SUM(W807:AU807)</f>
        <v/>
      </c>
    </row>
    <row r="808">
      <c r="A808" s="2" t="inlineStr">
        <is>
          <t>A14-DB-N174</t>
        </is>
      </c>
      <c r="B808" s="3" t="inlineStr">
        <is>
          <t>DOJC-SM-LC/PC-FC/APC</t>
        </is>
      </c>
      <c r="C808" s="2" t="inlineStr">
        <is>
          <t>35M, B3, 2.0mm</t>
        </is>
      </c>
      <c r="D808" s="2" t="inlineStr">
        <is>
          <t>b3</t>
        </is>
      </c>
      <c r="E808" s="2" t="inlineStr">
        <is>
          <t>2.0mm</t>
        </is>
      </c>
      <c r="F808" s="2" t="n">
        <v>2</v>
      </c>
      <c r="G808" s="2" t="n">
        <v>35</v>
      </c>
      <c r="H808" s="2" t="inlineStr">
        <is>
          <t>LC/PC</t>
        </is>
      </c>
      <c r="I808" s="2" t="inlineStr">
        <is>
          <t>FC/APC</t>
        </is>
      </c>
      <c r="J808" s="2" t="n">
        <v>6</v>
      </c>
      <c r="K808" s="2" t="n"/>
      <c r="L808" s="2" t="n"/>
      <c r="M808" s="2" t="n">
        <v>4</v>
      </c>
      <c r="N808" s="2" t="n"/>
      <c r="O808" s="2" t="n">
        <v>30</v>
      </c>
      <c r="P808" s="2" t="n"/>
      <c r="Q808" s="2" t="n"/>
      <c r="R808" s="2" t="n">
        <v>10</v>
      </c>
      <c r="S808" s="2" t="n"/>
      <c r="T808" s="2" t="n">
        <v>10</v>
      </c>
      <c r="U808" s="2" t="n"/>
      <c r="V808" s="2">
        <f>SUM(J808:U808)</f>
        <v/>
      </c>
      <c r="W808" s="2" t="n">
        <v>120</v>
      </c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>
        <v>120</v>
      </c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>
        <f>IF(F808=1,V808*2,IF(F808=2,V808*F808*2,IF(F808&gt;2,F808*2*V808)))</f>
        <v/>
      </c>
      <c r="AW808" s="2">
        <f>SUM(W808:AU808)</f>
        <v/>
      </c>
    </row>
    <row r="809">
      <c r="A809" s="2" t="inlineStr">
        <is>
          <t>A14-DB-N176</t>
        </is>
      </c>
      <c r="B809" s="3" t="inlineStr">
        <is>
          <t>DOJC-SM-LC/PC-FC/APC</t>
        </is>
      </c>
      <c r="C809" s="2" t="inlineStr">
        <is>
          <t>40M, B3, 2.0mm</t>
        </is>
      </c>
      <c r="D809" s="2" t="inlineStr">
        <is>
          <t>b3</t>
        </is>
      </c>
      <c r="E809" s="2" t="inlineStr">
        <is>
          <t>2.0mm</t>
        </is>
      </c>
      <c r="F809" s="2" t="n">
        <v>2</v>
      </c>
      <c r="G809" s="2" t="n">
        <v>40</v>
      </c>
      <c r="H809" s="2" t="inlineStr">
        <is>
          <t>LC/PC</t>
        </is>
      </c>
      <c r="I809" s="2" t="inlineStr">
        <is>
          <t>FC/APC</t>
        </is>
      </c>
      <c r="J809" s="2" t="n"/>
      <c r="K809" s="2" t="n">
        <v>6</v>
      </c>
      <c r="L809" s="2" t="n"/>
      <c r="M809" s="2" t="n">
        <v>17</v>
      </c>
      <c r="N809" s="2" t="n">
        <v>10</v>
      </c>
      <c r="O809" s="2" t="n"/>
      <c r="P809" s="2" t="n">
        <v>6</v>
      </c>
      <c r="Q809" s="2" t="n">
        <v>17</v>
      </c>
      <c r="R809" s="2" t="n"/>
      <c r="S809" s="2" t="n">
        <v>10</v>
      </c>
      <c r="T809" s="2" t="n">
        <v>5</v>
      </c>
      <c r="U809" s="2" t="n">
        <v>4</v>
      </c>
      <c r="V809" s="2">
        <f>SUM(J809:U809)</f>
        <v/>
      </c>
      <c r="W809" s="2" t="n">
        <v>150</v>
      </c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>
        <v>150</v>
      </c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>
        <f>IF(F809=1,V809*2,IF(F809=2,V809*F809*2,IF(F809&gt;2,F809*2*V809)))</f>
        <v/>
      </c>
      <c r="AW809" s="2">
        <f>SUM(W809:AU809)</f>
        <v/>
      </c>
    </row>
    <row r="810">
      <c r="A810" s="2" t="inlineStr">
        <is>
          <t>A14-DB-N177</t>
        </is>
      </c>
      <c r="B810" s="3" t="inlineStr">
        <is>
          <t>DOJC-SM-LC/PC-FC/APC</t>
        </is>
      </c>
      <c r="C810" s="2" t="inlineStr">
        <is>
          <t>45M,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2</v>
      </c>
      <c r="G810" s="2" t="n">
        <v>45</v>
      </c>
      <c r="H810" s="2" t="inlineStr">
        <is>
          <t>LC/PC</t>
        </is>
      </c>
      <c r="I810" s="2" t="inlineStr">
        <is>
          <t>FC/APC</t>
        </is>
      </c>
      <c r="J810" s="2" t="n">
        <v>4</v>
      </c>
      <c r="K810" s="2" t="n">
        <v>6</v>
      </c>
      <c r="L810" s="2" t="n"/>
      <c r="M810" s="2" t="n">
        <v>4</v>
      </c>
      <c r="N810" s="2" t="n"/>
      <c r="O810" s="2" t="n"/>
      <c r="P810" s="2" t="n"/>
      <c r="Q810" s="2" t="n">
        <v>5</v>
      </c>
      <c r="R810" s="2" t="n"/>
      <c r="S810" s="2" t="n">
        <v>5</v>
      </c>
      <c r="T810" s="2" t="n"/>
      <c r="U810" s="2" t="n"/>
      <c r="V810" s="2">
        <f>SUM(J810:U810)</f>
        <v/>
      </c>
      <c r="W810" s="2" t="n">
        <v>48</v>
      </c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>
        <v>48</v>
      </c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>
        <f>IF(F810=1,V810*2,IF(F810=2,V810*F810*2,IF(F810&gt;2,F810*2*V810)))</f>
        <v/>
      </c>
      <c r="AW810" s="2">
        <f>SUM(W810:AU810)</f>
        <v/>
      </c>
    </row>
    <row r="811">
      <c r="A811" s="2" t="inlineStr">
        <is>
          <t>A14-DB-N179</t>
        </is>
      </c>
      <c r="B811" s="3" t="inlineStr">
        <is>
          <t>DOJC-SM-LC/PC-FC/APC</t>
        </is>
      </c>
      <c r="C811" s="2" t="inlineStr">
        <is>
          <t>50M,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2</v>
      </c>
      <c r="G811" s="2" t="n">
        <v>50</v>
      </c>
      <c r="H811" s="2" t="inlineStr">
        <is>
          <t>LC/PC</t>
        </is>
      </c>
      <c r="I811" s="2" t="inlineStr">
        <is>
          <t>FC/APC</t>
        </is>
      </c>
      <c r="J811" s="2" t="n"/>
      <c r="K811" s="2" t="n">
        <v>10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>
        <v>5</v>
      </c>
      <c r="U811" s="2" t="n"/>
      <c r="V811" s="2">
        <f>SUM(J811:U811)</f>
        <v/>
      </c>
      <c r="W811" s="2" t="n">
        <v>30</v>
      </c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>
        <v>30</v>
      </c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>
        <f>IF(F811=1,V811*2,IF(F811=2,V811*F811*2,IF(F811&gt;2,F811*2*V811)))</f>
        <v/>
      </c>
      <c r="AW811" s="2">
        <f>SUM(W811:AU811)</f>
        <v/>
      </c>
    </row>
    <row r="812">
      <c r="A812" s="2" t="inlineStr">
        <is>
          <t>A14-DB-N182</t>
        </is>
      </c>
      <c r="B812" s="3" t="inlineStr">
        <is>
          <t>DOJC-SM-LC/PC-FC/APC</t>
        </is>
      </c>
      <c r="C812" s="2" t="inlineStr">
        <is>
          <t>60M,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2</v>
      </c>
      <c r="G812" s="2" t="n">
        <v>60</v>
      </c>
      <c r="H812" s="2" t="inlineStr">
        <is>
          <t>LC/PC</t>
        </is>
      </c>
      <c r="I812" s="2" t="inlineStr">
        <is>
          <t>FC/APC</t>
        </is>
      </c>
      <c r="J812" s="2" t="n"/>
      <c r="K812" s="2" t="n"/>
      <c r="L812" s="2" t="n"/>
      <c r="M812" s="2" t="n">
        <v>2</v>
      </c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>
        <f>SUM(J812:U812)</f>
        <v/>
      </c>
      <c r="W812" s="2" t="n">
        <v>4</v>
      </c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>
        <v>4</v>
      </c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>
        <f>IF(F812=1,V812*2,IF(F812=2,V812*F812*2,IF(F812&gt;2,F812*2*V812)))</f>
        <v/>
      </c>
      <c r="AW812" s="2">
        <f>SUM(W812:AU812)</f>
        <v/>
      </c>
    </row>
    <row r="813">
      <c r="A813" s="2" t="inlineStr">
        <is>
          <t>A14-DB-N185</t>
        </is>
      </c>
      <c r="B813" s="3" t="inlineStr">
        <is>
          <t>DOJC-SM-LC/PC-FC/APC</t>
        </is>
      </c>
      <c r="C813" s="2" t="inlineStr">
        <is>
          <t>70M,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2</v>
      </c>
      <c r="G813" s="2" t="n">
        <v>70</v>
      </c>
      <c r="H813" s="2" t="inlineStr">
        <is>
          <t>LC/PC</t>
        </is>
      </c>
      <c r="I813" s="2" t="inlineStr">
        <is>
          <t>FC/APC</t>
        </is>
      </c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>
        <v>5</v>
      </c>
      <c r="V813" s="2">
        <f>SUM(J813:U813)</f>
        <v/>
      </c>
      <c r="W813" s="2" t="n">
        <v>10</v>
      </c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>
        <v>10</v>
      </c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>
        <f>IF(F813=1,V813*2,IF(F813=2,V813*F813*2,IF(F813&gt;2,F813*2*V813)))</f>
        <v/>
      </c>
      <c r="AW813" s="2">
        <f>SUM(W813:AU813)</f>
        <v/>
      </c>
    </row>
    <row r="814">
      <c r="A814" s="2" t="inlineStr">
        <is>
          <t>A14-DB-N187</t>
        </is>
      </c>
      <c r="B814" s="3" t="inlineStr">
        <is>
          <t>DOJC-SM-LC/PC-FC/APC</t>
        </is>
      </c>
      <c r="C814" s="2" t="inlineStr">
        <is>
          <t>908040529, 7M, B3, 2.0mm</t>
        </is>
      </c>
      <c r="D814" s="2" t="inlineStr">
        <is>
          <t>b3</t>
        </is>
      </c>
      <c r="E814" s="2" t="inlineStr">
        <is>
          <t>2.0mm</t>
        </is>
      </c>
      <c r="F814" s="2" t="n">
        <v>2</v>
      </c>
      <c r="G814" s="2" t="n">
        <v>7</v>
      </c>
      <c r="H814" s="2" t="inlineStr">
        <is>
          <t>LC/PC</t>
        </is>
      </c>
      <c r="I814" s="2" t="inlineStr">
        <is>
          <t>FC/APC</t>
        </is>
      </c>
      <c r="J814" s="2" t="n"/>
      <c r="K814" s="2" t="n"/>
      <c r="L814" s="2" t="n">
        <v>12</v>
      </c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>
        <f>SUM(J814:U814)</f>
        <v/>
      </c>
      <c r="W814" s="2" t="n">
        <v>24</v>
      </c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>
        <v>24</v>
      </c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>
        <f>IF(F814=1,V814*2,IF(F814=2,V814*F814*2,IF(F814&gt;2,F814*2*V814)))</f>
        <v/>
      </c>
      <c r="AW814" s="2">
        <f>SUM(W814:AU814)</f>
        <v/>
      </c>
    </row>
    <row r="815">
      <c r="A815" s="2" t="inlineStr">
        <is>
          <t>A14-DB-N189</t>
        </is>
      </c>
      <c r="B815" s="3" t="inlineStr">
        <is>
          <t>DOJC-SM-LC/PC-FC/APC</t>
        </is>
      </c>
      <c r="C815" s="2" t="inlineStr">
        <is>
          <t>908040530, 8M, B3, 2.0mm</t>
        </is>
      </c>
      <c r="D815" s="2" t="inlineStr">
        <is>
          <t>b3</t>
        </is>
      </c>
      <c r="E815" s="2" t="inlineStr">
        <is>
          <t>2.0mm</t>
        </is>
      </c>
      <c r="F815" s="2" t="n">
        <v>2</v>
      </c>
      <c r="G815" s="2" t="n">
        <v>8</v>
      </c>
      <c r="H815" s="2" t="inlineStr">
        <is>
          <t>LC/PC</t>
        </is>
      </c>
      <c r="I815" s="2" t="inlineStr">
        <is>
          <t>FC/APC</t>
        </is>
      </c>
      <c r="J815" s="2" t="n"/>
      <c r="K815" s="2" t="n"/>
      <c r="L815" s="2" t="n">
        <v>10</v>
      </c>
      <c r="M815" s="2" t="n"/>
      <c r="N815" s="2" t="n"/>
      <c r="O815" s="2" t="n"/>
      <c r="P815" s="2" t="n">
        <v>5</v>
      </c>
      <c r="Q815" s="2" t="n">
        <v>10</v>
      </c>
      <c r="R815" s="2" t="n"/>
      <c r="S815" s="2" t="n"/>
      <c r="T815" s="2" t="n"/>
      <c r="U815" s="2" t="n"/>
      <c r="V815" s="2">
        <f>SUM(J815:U815)</f>
        <v/>
      </c>
      <c r="W815" s="2" t="n">
        <v>50</v>
      </c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>
        <v>50</v>
      </c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>
        <f>IF(F815=1,V815*2,IF(F815=2,V815*F815*2,IF(F815&gt;2,F815*2*V815)))</f>
        <v/>
      </c>
      <c r="AW815" s="2">
        <f>SUM(W815:AU815)</f>
        <v/>
      </c>
    </row>
    <row r="816">
      <c r="A816" s="2" t="inlineStr">
        <is>
          <t>A14-DB-N192</t>
        </is>
      </c>
      <c r="B816" s="3" t="inlineStr">
        <is>
          <t>DOJC-SM-LC/PC-FC/PC</t>
        </is>
      </c>
      <c r="C816" s="2" t="inlineStr">
        <is>
          <t>908040722, 10M,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2</v>
      </c>
      <c r="G816" s="2" t="n">
        <v>10</v>
      </c>
      <c r="H816" s="2" t="inlineStr">
        <is>
          <t>LC/PC</t>
        </is>
      </c>
      <c r="I816" s="2" t="inlineStr">
        <is>
          <t>FC/PC</t>
        </is>
      </c>
      <c r="J816" s="2" t="n"/>
      <c r="K816" s="2" t="n"/>
      <c r="L816" s="2" t="n"/>
      <c r="M816" s="2" t="n"/>
      <c r="N816" s="2" t="n"/>
      <c r="O816" s="2" t="n">
        <v>5</v>
      </c>
      <c r="P816" s="2" t="n">
        <v>10</v>
      </c>
      <c r="Q816" s="2" t="n">
        <v>2</v>
      </c>
      <c r="R816" s="2" t="n"/>
      <c r="S816" s="2" t="n">
        <v>15</v>
      </c>
      <c r="T816" s="2" t="n">
        <v>20</v>
      </c>
      <c r="U816" s="2" t="n"/>
      <c r="V816" s="2">
        <f>SUM(J816:U816)</f>
        <v/>
      </c>
      <c r="W816" s="2" t="n">
        <v>104</v>
      </c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>
        <v>104</v>
      </c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>
        <f>IF(F816=1,V816*2,IF(F816=2,V816*F816*2,IF(F816&gt;2,F816*2*V816)))</f>
        <v/>
      </c>
      <c r="AW816" s="2">
        <f>SUM(W816:AU816)</f>
        <v/>
      </c>
    </row>
    <row r="817">
      <c r="A817" s="2" t="inlineStr">
        <is>
          <t>A14-DB-N194</t>
        </is>
      </c>
      <c r="B817" s="3" t="inlineStr">
        <is>
          <t>DOJC-SM-LC/PC-FC/PC</t>
        </is>
      </c>
      <c r="C817" s="2" t="inlineStr">
        <is>
          <t>12M, B3, 2.0mm</t>
        </is>
      </c>
      <c r="D817" s="2" t="inlineStr">
        <is>
          <t>b3</t>
        </is>
      </c>
      <c r="E817" s="2" t="inlineStr">
        <is>
          <t>2.0mm</t>
        </is>
      </c>
      <c r="F817" s="2" t="n">
        <v>2</v>
      </c>
      <c r="G817" s="2" t="n">
        <v>12</v>
      </c>
      <c r="H817" s="2" t="inlineStr">
        <is>
          <t>LC/PC</t>
        </is>
      </c>
      <c r="I817" s="2" t="inlineStr">
        <is>
          <t>FC/PC</t>
        </is>
      </c>
      <c r="J817" s="2" t="n"/>
      <c r="K817" s="2" t="n"/>
      <c r="L817" s="2" t="n">
        <v>5</v>
      </c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>
        <f>SUM(J817:U817)</f>
        <v/>
      </c>
      <c r="W817" s="2" t="n">
        <v>10</v>
      </c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>
        <v>10</v>
      </c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>
        <f>IF(F817=1,V817*2,IF(F817=2,V817*F817*2,IF(F817&gt;2,F817*2*V817)))</f>
        <v/>
      </c>
      <c r="AW817" s="2">
        <f>SUM(W817:AU817)</f>
        <v/>
      </c>
    </row>
    <row r="818">
      <c r="A818" s="2" t="inlineStr">
        <is>
          <t>A14-DB-N195</t>
        </is>
      </c>
      <c r="B818" s="3" t="inlineStr">
        <is>
          <t>DOJC-SM-LC/PC-FC/PC</t>
        </is>
      </c>
      <c r="C818" s="2" t="inlineStr">
        <is>
          <t>13M,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2</v>
      </c>
      <c r="G818" s="2" t="n">
        <v>13</v>
      </c>
      <c r="H818" s="2" t="inlineStr">
        <is>
          <t>LC/PC</t>
        </is>
      </c>
      <c r="I818" s="2" t="inlineStr">
        <is>
          <t>FC/PC</t>
        </is>
      </c>
      <c r="J818" s="2" t="n"/>
      <c r="K818" s="2" t="n"/>
      <c r="L818" s="2" t="n"/>
      <c r="M818" s="2" t="n">
        <v>10</v>
      </c>
      <c r="N818" s="2" t="n"/>
      <c r="O818" s="2" t="n"/>
      <c r="P818" s="2" t="n"/>
      <c r="Q818" s="2" t="n"/>
      <c r="R818" s="2" t="n"/>
      <c r="S818" s="2" t="n"/>
      <c r="T818" s="2" t="n">
        <v>10</v>
      </c>
      <c r="U818" s="2" t="n"/>
      <c r="V818" s="2">
        <f>SUM(J818:U818)</f>
        <v/>
      </c>
      <c r="W818" s="2" t="n">
        <v>40</v>
      </c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>
        <v>40</v>
      </c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>
        <f>IF(F818=1,V818*2,IF(F818=2,V818*F818*2,IF(F818&gt;2,F818*2*V818)))</f>
        <v/>
      </c>
      <c r="AW818" s="2">
        <f>SUM(W818:AU818)</f>
        <v/>
      </c>
    </row>
    <row r="819">
      <c r="A819" s="2" t="inlineStr">
        <is>
          <t>A14-DB-N196</t>
        </is>
      </c>
      <c r="B819" s="3" t="inlineStr">
        <is>
          <t>DOJC-SM-LC/PC-FC/PC</t>
        </is>
      </c>
      <c r="C819" s="2" t="inlineStr">
        <is>
          <t>908040727, 15M,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2</v>
      </c>
      <c r="G819" s="2" t="n">
        <v>15</v>
      </c>
      <c r="H819" s="2" t="inlineStr">
        <is>
          <t>LC/PC</t>
        </is>
      </c>
      <c r="I819" s="2" t="inlineStr">
        <is>
          <t>FC/PC</t>
        </is>
      </c>
      <c r="J819" s="2" t="n"/>
      <c r="K819" s="2" t="n"/>
      <c r="L819" s="2" t="n"/>
      <c r="M819" s="2" t="n"/>
      <c r="N819" s="2" t="n"/>
      <c r="O819" s="2" t="n">
        <v>171</v>
      </c>
      <c r="P819" s="2" t="n">
        <v>30</v>
      </c>
      <c r="Q819" s="2" t="n">
        <v>11</v>
      </c>
      <c r="R819" s="2" t="n"/>
      <c r="S819" s="2" t="n"/>
      <c r="T819" s="2" t="n">
        <v>85</v>
      </c>
      <c r="U819" s="2" t="n">
        <v>10</v>
      </c>
      <c r="V819" s="2">
        <f>SUM(J819:U819)</f>
        <v/>
      </c>
      <c r="W819" s="2" t="n">
        <v>614</v>
      </c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>
        <v>614</v>
      </c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>
        <f>IF(F819=1,V819*2,IF(F819=2,V819*F819*2,IF(F819&gt;2,F819*2*V819)))</f>
        <v/>
      </c>
      <c r="AW819" s="2">
        <f>SUM(W819:AU819)</f>
        <v/>
      </c>
    </row>
    <row r="820">
      <c r="A820" s="2" t="inlineStr">
        <is>
          <t>A14-DB-N199</t>
        </is>
      </c>
      <c r="B820" s="3" t="inlineStr">
        <is>
          <t>DOJC-SM-LC/PC-FC/PC</t>
        </is>
      </c>
      <c r="C820" s="2" t="inlineStr">
        <is>
          <t>908040732, 20M, B3, 2.0mm</t>
        </is>
      </c>
      <c r="D820" s="2" t="inlineStr">
        <is>
          <t>b3</t>
        </is>
      </c>
      <c r="E820" s="2" t="inlineStr">
        <is>
          <t>2.0mm</t>
        </is>
      </c>
      <c r="F820" s="2" t="n">
        <v>2</v>
      </c>
      <c r="G820" s="2" t="n">
        <v>20</v>
      </c>
      <c r="H820" s="2" t="inlineStr">
        <is>
          <t>LC/PC</t>
        </is>
      </c>
      <c r="I820" s="2" t="inlineStr">
        <is>
          <t>FC/PC</t>
        </is>
      </c>
      <c r="J820" s="2" t="n"/>
      <c r="K820" s="2" t="n"/>
      <c r="L820" s="2" t="n">
        <v>16</v>
      </c>
      <c r="M820" s="2" t="n">
        <v>15</v>
      </c>
      <c r="N820" s="2" t="n"/>
      <c r="O820" s="2" t="n">
        <v>5</v>
      </c>
      <c r="P820" s="2" t="n">
        <v>31</v>
      </c>
      <c r="Q820" s="2" t="n">
        <v>5</v>
      </c>
      <c r="R820" s="2" t="n"/>
      <c r="S820" s="2" t="n"/>
      <c r="T820" s="2" t="n">
        <v>77</v>
      </c>
      <c r="U820" s="2" t="n"/>
      <c r="V820" s="2">
        <f>SUM(J820:U820)</f>
        <v/>
      </c>
      <c r="W820" s="2" t="n">
        <v>298</v>
      </c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>
        <v>298</v>
      </c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>
        <f>IF(F820=1,V820*2,IF(F820=2,V820*F820*2,IF(F820&gt;2,F820*2*V820)))</f>
        <v/>
      </c>
      <c r="AW820" s="2">
        <f>SUM(W820:AU820)</f>
        <v/>
      </c>
    </row>
    <row r="821">
      <c r="A821" s="2" t="inlineStr">
        <is>
          <t>A14-DB-N202</t>
        </is>
      </c>
      <c r="B821" s="3" t="inlineStr">
        <is>
          <t>DOJC-SM-LC/PC-FC/PC</t>
        </is>
      </c>
      <c r="C821" s="2" t="inlineStr">
        <is>
          <t>908040853, 25M, B3, 2.0mm</t>
        </is>
      </c>
      <c r="D821" s="2" t="inlineStr">
        <is>
          <t>b3</t>
        </is>
      </c>
      <c r="E821" s="2" t="inlineStr">
        <is>
          <t>2.0mm</t>
        </is>
      </c>
      <c r="F821" s="2" t="n">
        <v>2</v>
      </c>
      <c r="G821" s="2" t="n">
        <v>25</v>
      </c>
      <c r="H821" s="2" t="inlineStr">
        <is>
          <t>LC/PC</t>
        </is>
      </c>
      <c r="I821" s="2" t="inlineStr">
        <is>
          <t>FC/PC</t>
        </is>
      </c>
      <c r="J821" s="2" t="n"/>
      <c r="K821" s="2" t="n"/>
      <c r="L821" s="2" t="n"/>
      <c r="M821" s="2" t="n"/>
      <c r="N821" s="2" t="n"/>
      <c r="O821" s="2" t="n"/>
      <c r="P821" s="2" t="n">
        <v>3</v>
      </c>
      <c r="Q821" s="2" t="n"/>
      <c r="R821" s="2" t="n"/>
      <c r="S821" s="2" t="n">
        <v>5</v>
      </c>
      <c r="T821" s="2" t="n"/>
      <c r="U821" s="2" t="n"/>
      <c r="V821" s="2">
        <f>SUM(J821:U821)</f>
        <v/>
      </c>
      <c r="W821" s="2" t="n">
        <v>16</v>
      </c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>
        <v>16</v>
      </c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>
        <f>IF(F821=1,V821*2,IF(F821=2,V821*F821*2,IF(F821&gt;2,F821*2*V821)))</f>
        <v/>
      </c>
      <c r="AW821" s="2">
        <f>SUM(W821:AU821)</f>
        <v/>
      </c>
    </row>
    <row r="822">
      <c r="A822" s="2" t="inlineStr">
        <is>
          <t>A14-DB-N205</t>
        </is>
      </c>
      <c r="B822" s="3" t="inlineStr">
        <is>
          <t>DOJC-SM-LC/PC-FC/PC</t>
        </is>
      </c>
      <c r="C822" s="2" t="inlineStr">
        <is>
          <t>908040858, 30M,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2</v>
      </c>
      <c r="G822" s="2" t="n">
        <v>30</v>
      </c>
      <c r="H822" s="2" t="inlineStr">
        <is>
          <t>LC/PC</t>
        </is>
      </c>
      <c r="I822" s="2" t="inlineStr">
        <is>
          <t>FC/PC</t>
        </is>
      </c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>
        <v>10</v>
      </c>
      <c r="T822" s="2" t="n">
        <v>15</v>
      </c>
      <c r="U822" s="2" t="n"/>
      <c r="V822" s="2">
        <f>SUM(J822:U822)</f>
        <v/>
      </c>
      <c r="W822" s="2" t="n">
        <v>50</v>
      </c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>
        <v>50</v>
      </c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>
        <f>IF(F822=1,V822*2,IF(F822=2,V822*F822*2,IF(F822&gt;2,F822*2*V822)))</f>
        <v/>
      </c>
      <c r="AW822" s="2">
        <f>SUM(W822:AU822)</f>
        <v/>
      </c>
    </row>
    <row r="823">
      <c r="A823" s="2" t="inlineStr">
        <is>
          <t>A14-DB-N208</t>
        </is>
      </c>
      <c r="B823" s="3" t="inlineStr">
        <is>
          <t>DOJC-SM-LC/PC-FC/PC</t>
        </is>
      </c>
      <c r="C823" s="2" t="inlineStr">
        <is>
          <t>40M, B3, 2.0mm</t>
        </is>
      </c>
      <c r="D823" s="2" t="inlineStr">
        <is>
          <t>b3</t>
        </is>
      </c>
      <c r="E823" s="2" t="inlineStr">
        <is>
          <t>2.0mm</t>
        </is>
      </c>
      <c r="F823" s="2" t="n">
        <v>2</v>
      </c>
      <c r="G823" s="2" t="n">
        <v>40</v>
      </c>
      <c r="H823" s="2" t="inlineStr">
        <is>
          <t>LC/PC</t>
        </is>
      </c>
      <c r="I823" s="2" t="inlineStr">
        <is>
          <t>FC/PC</t>
        </is>
      </c>
      <c r="J823" s="2" t="n"/>
      <c r="K823" s="2" t="n"/>
      <c r="L823" s="2" t="n"/>
      <c r="M823" s="2" t="n"/>
      <c r="N823" s="2" t="n"/>
      <c r="O823" s="2" t="n">
        <v>2</v>
      </c>
      <c r="P823" s="2" t="n"/>
      <c r="Q823" s="2" t="n"/>
      <c r="R823" s="2" t="n">
        <v>5</v>
      </c>
      <c r="S823" s="2" t="n"/>
      <c r="T823" s="2" t="n"/>
      <c r="U823" s="2" t="n"/>
      <c r="V823" s="2">
        <f>SUM(J823:U823)</f>
        <v/>
      </c>
      <c r="W823" s="2" t="n">
        <v>14</v>
      </c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>
        <v>14</v>
      </c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>
        <f>IF(F823=1,V823*2,IF(F823=2,V823*F823*2,IF(F823&gt;2,F823*2*V823)))</f>
        <v/>
      </c>
      <c r="AW823" s="2">
        <f>SUM(W823:AU823)</f>
        <v/>
      </c>
    </row>
    <row r="824">
      <c r="A824" s="2" t="inlineStr">
        <is>
          <t>A14-DB-N223</t>
        </is>
      </c>
      <c r="B824" s="3" t="inlineStr">
        <is>
          <t>DOJC-SM-LC/PC-LC/PC</t>
        </is>
      </c>
      <c r="C824" s="2" t="inlineStr">
        <is>
          <t>908041006, 10M, B3, 2.0mm</t>
        </is>
      </c>
      <c r="D824" s="2" t="inlineStr">
        <is>
          <t>b3</t>
        </is>
      </c>
      <c r="E824" s="2" t="inlineStr">
        <is>
          <t>2.0mm</t>
        </is>
      </c>
      <c r="F824" s="2" t="n">
        <v>2</v>
      </c>
      <c r="G824" s="2" t="n">
        <v>10</v>
      </c>
      <c r="H824" s="2" t="inlineStr">
        <is>
          <t>LC/PC</t>
        </is>
      </c>
      <c r="I824" s="2" t="inlineStr">
        <is>
          <t>LC/PC</t>
        </is>
      </c>
      <c r="J824" s="2" t="n"/>
      <c r="K824" s="2" t="n">
        <v>20</v>
      </c>
      <c r="L824" s="2" t="n">
        <v>81</v>
      </c>
      <c r="M824" s="2" t="n">
        <v>2699</v>
      </c>
      <c r="N824" s="2" t="n">
        <v>20</v>
      </c>
      <c r="O824" s="2" t="n"/>
      <c r="P824" s="2" t="n"/>
      <c r="Q824" s="2" t="n"/>
      <c r="R824" s="2" t="n">
        <v>37</v>
      </c>
      <c r="S824" s="2" t="n"/>
      <c r="T824" s="2" t="n"/>
      <c r="U824" s="2" t="n"/>
      <c r="V824" s="2">
        <f>SUM(J824:U824)</f>
        <v/>
      </c>
      <c r="W824" s="2" t="n">
        <v>5714</v>
      </c>
      <c r="X824" s="2" t="n">
        <v>5714</v>
      </c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>
        <f>IF(F824=1,V824*2,IF(F824=2,V824*F824*2,IF(F824&gt;2,F824*2*V824)))</f>
        <v/>
      </c>
      <c r="AW824" s="2">
        <f>SUM(W824:AU824)</f>
        <v/>
      </c>
    </row>
    <row r="825">
      <c r="A825" s="2" t="inlineStr">
        <is>
          <t>A14-DB-N225</t>
        </is>
      </c>
      <c r="B825" s="3" t="inlineStr">
        <is>
          <t>DOJC-SM-LC/PC-LC/PC</t>
        </is>
      </c>
      <c r="C825" s="2" t="inlineStr">
        <is>
          <t>908040694, 12M, B3, 2.0mm</t>
        </is>
      </c>
      <c r="D825" s="2" t="inlineStr">
        <is>
          <t>b3</t>
        </is>
      </c>
      <c r="E825" s="2" t="inlineStr">
        <is>
          <t>2.0mm</t>
        </is>
      </c>
      <c r="F825" s="2" t="n">
        <v>2</v>
      </c>
      <c r="G825" s="2" t="n">
        <v>12</v>
      </c>
      <c r="H825" s="2" t="inlineStr">
        <is>
          <t>LC/PC</t>
        </is>
      </c>
      <c r="I825" s="2" t="inlineStr">
        <is>
          <t>LC/PC</t>
        </is>
      </c>
      <c r="J825" s="2" t="n">
        <v>35</v>
      </c>
      <c r="K825" s="2" t="n"/>
      <c r="L825" s="2" t="n">
        <v>25</v>
      </c>
      <c r="M825" s="2" t="n">
        <v>30</v>
      </c>
      <c r="N825" s="2" t="n"/>
      <c r="O825" s="2" t="n"/>
      <c r="P825" s="2" t="n">
        <v>24</v>
      </c>
      <c r="Q825" s="2" t="n">
        <v>15</v>
      </c>
      <c r="R825" s="2" t="n"/>
      <c r="S825" s="2" t="n"/>
      <c r="T825" s="2" t="n"/>
      <c r="U825" s="2" t="n"/>
      <c r="V825" s="2">
        <f>SUM(J825:U825)</f>
        <v/>
      </c>
      <c r="W825" s="2" t="n">
        <v>258</v>
      </c>
      <c r="X825" s="2" t="n">
        <v>258</v>
      </c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>
        <f>IF(F825=1,V825*2,IF(F825=2,V825*F825*2,IF(F825&gt;2,F825*2*V825)))</f>
        <v/>
      </c>
      <c r="AW825" s="2">
        <f>SUM(W825:AU825)</f>
        <v/>
      </c>
    </row>
    <row r="826">
      <c r="A826" s="2" t="inlineStr">
        <is>
          <t>A14-DB-N226</t>
        </is>
      </c>
      <c r="B826" s="3" t="inlineStr">
        <is>
          <t>DOJC-SM-LC/PC-LC/PC</t>
        </is>
      </c>
      <c r="C826" s="2" t="inlineStr">
        <is>
          <t>908040695, 13M, B3, 2.0mm</t>
        </is>
      </c>
      <c r="D826" s="2" t="inlineStr">
        <is>
          <t>b3</t>
        </is>
      </c>
      <c r="E826" s="2" t="inlineStr">
        <is>
          <t>2.0mm</t>
        </is>
      </c>
      <c r="F826" s="2" t="n">
        <v>2</v>
      </c>
      <c r="G826" s="2" t="n">
        <v>13</v>
      </c>
      <c r="H826" s="2" t="inlineStr">
        <is>
          <t>LC/PC</t>
        </is>
      </c>
      <c r="I826" s="2" t="inlineStr">
        <is>
          <t>LC/PC</t>
        </is>
      </c>
      <c r="J826" s="2" t="n">
        <v>20</v>
      </c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>
        <f>SUM(J826:U826)</f>
        <v/>
      </c>
      <c r="W826" s="2" t="n">
        <v>40</v>
      </c>
      <c r="X826" s="2" t="n">
        <v>40</v>
      </c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>
        <f>IF(F826=1,V826*2,IF(F826=2,V826*F826*2,IF(F826&gt;2,F826*2*V826)))</f>
        <v/>
      </c>
      <c r="AW826" s="2">
        <f>SUM(W826:AU826)</f>
        <v/>
      </c>
    </row>
    <row r="827">
      <c r="A827" s="2" t="inlineStr">
        <is>
          <t>A14-DB-N228</t>
        </is>
      </c>
      <c r="B827" s="3" t="inlineStr">
        <is>
          <t>DOJC-SM-LC/PC-LC/PC</t>
        </is>
      </c>
      <c r="C827" s="2" t="inlineStr">
        <is>
          <t>908040697, 15M, B3, 2.0mm</t>
        </is>
      </c>
      <c r="D827" s="2" t="inlineStr">
        <is>
          <t>b3</t>
        </is>
      </c>
      <c r="E827" s="2" t="inlineStr">
        <is>
          <t>2.0mm</t>
        </is>
      </c>
      <c r="F827" s="2" t="n">
        <v>2</v>
      </c>
      <c r="G827" s="2" t="n">
        <v>15</v>
      </c>
      <c r="H827" s="2" t="inlineStr">
        <is>
          <t>LC/PC</t>
        </is>
      </c>
      <c r="I827" s="2" t="inlineStr">
        <is>
          <t>LC/PC</t>
        </is>
      </c>
      <c r="J827" s="2" t="n">
        <v>540</v>
      </c>
      <c r="K827" s="2" t="n">
        <v>220</v>
      </c>
      <c r="L827" s="2" t="n">
        <v>80</v>
      </c>
      <c r="M827" s="2" t="n">
        <v>86</v>
      </c>
      <c r="N827" s="2" t="n"/>
      <c r="O827" s="2" t="n"/>
      <c r="P827" s="2" t="n">
        <v>627</v>
      </c>
      <c r="Q827" s="2" t="n">
        <v>35</v>
      </c>
      <c r="R827" s="2" t="n">
        <v>4</v>
      </c>
      <c r="S827" s="2" t="n"/>
      <c r="T827" s="2" t="n">
        <v>315</v>
      </c>
      <c r="U827" s="2" t="n"/>
      <c r="V827" s="2">
        <f>SUM(J827:U827)</f>
        <v/>
      </c>
      <c r="W827" s="2" t="n">
        <v>3814</v>
      </c>
      <c r="X827" s="2" t="n">
        <v>3814</v>
      </c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>
        <f>IF(F827=1,V827*2,IF(F827=2,V827*F827*2,IF(F827&gt;2,F827*2*V827)))</f>
        <v/>
      </c>
      <c r="AW827" s="2">
        <f>SUM(W827:AU827)</f>
        <v/>
      </c>
    </row>
    <row r="828">
      <c r="A828" s="2" t="inlineStr">
        <is>
          <t>A14-DB-N234</t>
        </is>
      </c>
      <c r="B828" s="3" t="inlineStr">
        <is>
          <t>DOJC-SM-LC/PC-LC/PC</t>
        </is>
      </c>
      <c r="C828" s="2" t="inlineStr">
        <is>
          <t>908040702, 20M, B3, 2.0mm</t>
        </is>
      </c>
      <c r="D828" s="2" t="inlineStr">
        <is>
          <t>b3</t>
        </is>
      </c>
      <c r="E828" s="2" t="inlineStr">
        <is>
          <t>2.0mm</t>
        </is>
      </c>
      <c r="F828" s="2" t="n">
        <v>2</v>
      </c>
      <c r="G828" s="2" t="n">
        <v>20</v>
      </c>
      <c r="H828" s="2" t="inlineStr">
        <is>
          <t>LC/PC</t>
        </is>
      </c>
      <c r="I828" s="2" t="inlineStr">
        <is>
          <t>LC/PC</t>
        </is>
      </c>
      <c r="J828" s="2" t="n">
        <v>227</v>
      </c>
      <c r="K828" s="2" t="n">
        <v>110</v>
      </c>
      <c r="L828" s="2" t="n"/>
      <c r="M828" s="2" t="n">
        <v>1</v>
      </c>
      <c r="N828" s="2" t="n"/>
      <c r="O828" s="2" t="n">
        <v>76</v>
      </c>
      <c r="P828" s="2" t="n">
        <v>51</v>
      </c>
      <c r="Q828" s="2" t="n">
        <v>226</v>
      </c>
      <c r="R828" s="2" t="n">
        <v>190</v>
      </c>
      <c r="S828" s="2" t="n">
        <v>305</v>
      </c>
      <c r="T828" s="2" t="n">
        <v>286</v>
      </c>
      <c r="U828" s="2" t="n"/>
      <c r="V828" s="2">
        <f>SUM(J828:U828)</f>
        <v/>
      </c>
      <c r="W828" s="2" t="n">
        <v>2944</v>
      </c>
      <c r="X828" s="2" t="n">
        <v>2944</v>
      </c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>
        <f>IF(F828=1,V828*2,IF(F828=2,V828*F828*2,IF(F828&gt;2,F828*2*V828)))</f>
        <v/>
      </c>
      <c r="AW828" s="2">
        <f>SUM(W828:AU828)</f>
        <v/>
      </c>
    </row>
    <row r="829">
      <c r="A829" s="2" t="inlineStr">
        <is>
          <t>A14-DB-N237</t>
        </is>
      </c>
      <c r="B829" s="3" t="inlineStr">
        <is>
          <t>DOJC-SM-LC/PC-LC/PC</t>
        </is>
      </c>
      <c r="C829" s="2" t="inlineStr">
        <is>
          <t>908040707, 25M, B3, 2.0mm</t>
        </is>
      </c>
      <c r="D829" s="2" t="inlineStr">
        <is>
          <t>b3</t>
        </is>
      </c>
      <c r="E829" s="2" t="inlineStr">
        <is>
          <t>2.0mm</t>
        </is>
      </c>
      <c r="F829" s="2" t="n">
        <v>2</v>
      </c>
      <c r="G829" s="2" t="n">
        <v>25</v>
      </c>
      <c r="H829" s="2" t="inlineStr">
        <is>
          <t>LC/PC</t>
        </is>
      </c>
      <c r="I829" s="2" t="inlineStr">
        <is>
          <t>LC/PC</t>
        </is>
      </c>
      <c r="J829" s="2" t="n"/>
      <c r="K829" s="2" t="n">
        <v>89</v>
      </c>
      <c r="L829" s="2" t="n">
        <v>190</v>
      </c>
      <c r="M829" s="2" t="n"/>
      <c r="N829" s="2" t="n"/>
      <c r="O829" s="2" t="n">
        <v>83</v>
      </c>
      <c r="P829" s="2" t="n"/>
      <c r="Q829" s="2" t="n">
        <v>70</v>
      </c>
      <c r="R829" s="2" t="n">
        <v>88</v>
      </c>
      <c r="S829" s="2" t="n">
        <v>63</v>
      </c>
      <c r="T829" s="2" t="n">
        <v>10</v>
      </c>
      <c r="U829" s="2" t="n"/>
      <c r="V829" s="2">
        <f>SUM(J829:U829)</f>
        <v/>
      </c>
      <c r="W829" s="2" t="n">
        <v>1186</v>
      </c>
      <c r="X829" s="2" t="n">
        <v>1186</v>
      </c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>
        <f>IF(F829=1,V829*2,IF(F829=2,V829*F829*2,IF(F829&gt;2,F829*2*V829)))</f>
        <v/>
      </c>
      <c r="AW829" s="2">
        <f>SUM(W829:AU829)</f>
        <v/>
      </c>
    </row>
    <row r="830">
      <c r="A830" s="2" t="inlineStr">
        <is>
          <t>A14-DB-N240</t>
        </is>
      </c>
      <c r="B830" s="3" t="inlineStr">
        <is>
          <t>DOJC-SM-LC/PC-LC/PC</t>
        </is>
      </c>
      <c r="C830" s="2" t="inlineStr">
        <is>
          <t>908040999, 2M, B3, 3.0mm</t>
        </is>
      </c>
      <c r="D830" s="2" t="inlineStr">
        <is>
          <t>b3</t>
        </is>
      </c>
      <c r="E830" s="2" t="inlineStr">
        <is>
          <t>3.0mm</t>
        </is>
      </c>
      <c r="F830" s="2" t="n">
        <v>2</v>
      </c>
      <c r="G830" s="2" t="n">
        <v>2</v>
      </c>
      <c r="H830" s="2" t="inlineStr">
        <is>
          <t>LC/PC</t>
        </is>
      </c>
      <c r="I830" s="2" t="inlineStr">
        <is>
          <t>LC/PC</t>
        </is>
      </c>
      <c r="J830" s="2" t="n"/>
      <c r="K830" s="2" t="n"/>
      <c r="L830" s="2" t="n"/>
      <c r="M830" s="2" t="n"/>
      <c r="N830" s="2" t="n">
        <v>11</v>
      </c>
      <c r="O830" s="2" t="n"/>
      <c r="P830" s="2" t="n"/>
      <c r="Q830" s="2" t="n"/>
      <c r="R830" s="2" t="n"/>
      <c r="S830" s="2" t="n"/>
      <c r="T830" s="2" t="n"/>
      <c r="U830" s="2" t="n"/>
      <c r="V830" s="2">
        <f>SUM(J830:U830)</f>
        <v/>
      </c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>
        <v>22</v>
      </c>
      <c r="AK830" s="2" t="n">
        <v>22</v>
      </c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>
        <f>IF(F830=1,V830*2,IF(F830=2,V830*F830*2,IF(F830&gt;2,F830*2*V830)))</f>
        <v/>
      </c>
      <c r="AW830" s="2">
        <f>SUM(W830:AU830)</f>
        <v/>
      </c>
    </row>
    <row r="831">
      <c r="A831" s="2" t="inlineStr">
        <is>
          <t>A14-DB-N241</t>
        </is>
      </c>
      <c r="B831" s="3" t="inlineStr">
        <is>
          <t>DOJC-SM-LC/PC-LC/PC</t>
        </is>
      </c>
      <c r="C831" s="2" t="inlineStr">
        <is>
          <t>908040712, 30M, B3, 2.0mm</t>
        </is>
      </c>
      <c r="D831" s="2" t="inlineStr">
        <is>
          <t>b3</t>
        </is>
      </c>
      <c r="E831" s="2" t="inlineStr">
        <is>
          <t>2.0mm</t>
        </is>
      </c>
      <c r="F831" s="2" t="n">
        <v>2</v>
      </c>
      <c r="G831" s="2" t="n">
        <v>30</v>
      </c>
      <c r="H831" s="2" t="inlineStr">
        <is>
          <t>LC/PC</t>
        </is>
      </c>
      <c r="I831" s="2" t="inlineStr">
        <is>
          <t>LC/PC</t>
        </is>
      </c>
      <c r="J831" s="2" t="n">
        <v>2</v>
      </c>
      <c r="K831" s="2" t="n">
        <v>16</v>
      </c>
      <c r="L831" s="2" t="n">
        <v>58</v>
      </c>
      <c r="M831" s="2" t="n"/>
      <c r="N831" s="2" t="n"/>
      <c r="O831" s="2" t="n"/>
      <c r="P831" s="2" t="n"/>
      <c r="Q831" s="2" t="n">
        <v>30</v>
      </c>
      <c r="R831" s="2" t="n">
        <v>80</v>
      </c>
      <c r="S831" s="2" t="n">
        <v>10</v>
      </c>
      <c r="T831" s="2" t="n"/>
      <c r="U831" s="2" t="n"/>
      <c r="V831" s="2">
        <f>SUM(J831:U831)</f>
        <v/>
      </c>
      <c r="W831" s="2" t="n">
        <v>392</v>
      </c>
      <c r="X831" s="2" t="n">
        <v>392</v>
      </c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>
        <f>IF(F831=1,V831*2,IF(F831=2,V831*F831*2,IF(F831&gt;2,F831*2*V831)))</f>
        <v/>
      </c>
      <c r="AW831" s="2">
        <f>SUM(W831:AU831)</f>
        <v/>
      </c>
    </row>
    <row r="832">
      <c r="A832" s="2" t="inlineStr">
        <is>
          <t>A14-DB-N243</t>
        </is>
      </c>
      <c r="B832" s="3" t="inlineStr">
        <is>
          <t>DOJC-SM-LC/PC-LC/PC</t>
        </is>
      </c>
      <c r="C832" s="2" t="inlineStr">
        <is>
          <t>920000726, 35M, B3, 2.0mm</t>
        </is>
      </c>
      <c r="D832" s="2" t="inlineStr">
        <is>
          <t>b3</t>
        </is>
      </c>
      <c r="E832" s="2" t="inlineStr">
        <is>
          <t>2.0mm</t>
        </is>
      </c>
      <c r="F832" s="2" t="n">
        <v>2</v>
      </c>
      <c r="G832" s="2" t="n">
        <v>35</v>
      </c>
      <c r="H832" s="2" t="inlineStr">
        <is>
          <t>LC/PC</t>
        </is>
      </c>
      <c r="I832" s="2" t="inlineStr">
        <is>
          <t>LC/PC</t>
        </is>
      </c>
      <c r="J832" s="2" t="n"/>
      <c r="K832" s="2" t="n">
        <v>3</v>
      </c>
      <c r="L832" s="2" t="n"/>
      <c r="M832" s="2" t="n"/>
      <c r="N832" s="2" t="n"/>
      <c r="O832" s="2" t="n">
        <v>68</v>
      </c>
      <c r="P832" s="2" t="n">
        <v>17</v>
      </c>
      <c r="Q832" s="2" t="n"/>
      <c r="R832" s="2" t="n"/>
      <c r="S832" s="2" t="n"/>
      <c r="T832" s="2" t="n"/>
      <c r="U832" s="2" t="n">
        <v>23</v>
      </c>
      <c r="V832" s="2">
        <f>SUM(J832:U832)</f>
        <v/>
      </c>
      <c r="W832" s="2" t="n">
        <v>222</v>
      </c>
      <c r="X832" s="2" t="n">
        <v>222</v>
      </c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>
        <f>IF(F832=1,V832*2,IF(F832=2,V832*F832*2,IF(F832&gt;2,F832*2*V832)))</f>
        <v/>
      </c>
      <c r="AW832" s="2">
        <f>SUM(W832:AU832)</f>
        <v/>
      </c>
    </row>
    <row r="833">
      <c r="A833" s="2" t="inlineStr">
        <is>
          <t>A14-DB-N244</t>
        </is>
      </c>
      <c r="B833" s="3" t="inlineStr">
        <is>
          <t>DOJC-SM-LC/PC-LC/PC</t>
        </is>
      </c>
      <c r="C833" s="2" t="inlineStr">
        <is>
          <t>908040997, 3M, B3, 3.0mm</t>
        </is>
      </c>
      <c r="D833" s="2" t="inlineStr">
        <is>
          <t>b3</t>
        </is>
      </c>
      <c r="E833" s="2" t="inlineStr">
        <is>
          <t>3.0mm</t>
        </is>
      </c>
      <c r="F833" s="2" t="n">
        <v>2</v>
      </c>
      <c r="G833" s="2" t="n">
        <v>3</v>
      </c>
      <c r="H833" s="2" t="inlineStr">
        <is>
          <t>LC/PC</t>
        </is>
      </c>
      <c r="I833" s="2" t="inlineStr">
        <is>
          <t>LC/PC</t>
        </is>
      </c>
      <c r="J833" s="2" t="n"/>
      <c r="K833" s="2" t="n"/>
      <c r="L833" s="2" t="n">
        <v>2</v>
      </c>
      <c r="M833" s="2" t="n"/>
      <c r="N833" s="2" t="n"/>
      <c r="O833" s="2" t="n"/>
      <c r="P833" s="2" t="n">
        <v>5</v>
      </c>
      <c r="Q833" s="2" t="n"/>
      <c r="R833" s="2" t="n"/>
      <c r="S833" s="2" t="n"/>
      <c r="T833" s="2" t="n"/>
      <c r="U833" s="2" t="n"/>
      <c r="V833" s="2">
        <f>SUM(J833:U833)</f>
        <v/>
      </c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>
        <v>14</v>
      </c>
      <c r="AK833" s="2" t="n">
        <v>14</v>
      </c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>
        <f>IF(F833=1,V833*2,IF(F833=2,V833*F833*2,IF(F833&gt;2,F833*2*V833)))</f>
        <v/>
      </c>
      <c r="AW833" s="2">
        <f>SUM(W833:AU833)</f>
        <v/>
      </c>
    </row>
    <row r="834">
      <c r="A834" s="2" t="inlineStr">
        <is>
          <t>A14-DB-N246</t>
        </is>
      </c>
      <c r="B834" s="3" t="inlineStr">
        <is>
          <t>DOJC-SM-LC/PC-LC/PC</t>
        </is>
      </c>
      <c r="C834" s="2" t="inlineStr">
        <is>
          <t>920000727, 40M, B3, 2.0mm</t>
        </is>
      </c>
      <c r="D834" s="2" t="inlineStr">
        <is>
          <t>b3</t>
        </is>
      </c>
      <c r="E834" s="2" t="inlineStr">
        <is>
          <t>2.0mm</t>
        </is>
      </c>
      <c r="F834" s="2" t="n">
        <v>2</v>
      </c>
      <c r="G834" s="2" t="n">
        <v>40</v>
      </c>
      <c r="H834" s="2" t="inlineStr">
        <is>
          <t>LC/PC</t>
        </is>
      </c>
      <c r="I834" s="2" t="inlineStr">
        <is>
          <t>LC/PC</t>
        </is>
      </c>
      <c r="J834" s="2" t="n"/>
      <c r="K834" s="2" t="n"/>
      <c r="L834" s="2" t="n"/>
      <c r="M834" s="2" t="n"/>
      <c r="N834" s="2" t="n"/>
      <c r="O834" s="2" t="n">
        <v>32</v>
      </c>
      <c r="P834" s="2" t="n">
        <v>31</v>
      </c>
      <c r="Q834" s="2" t="n"/>
      <c r="R834" s="2" t="n"/>
      <c r="S834" s="2" t="n"/>
      <c r="T834" s="2" t="n"/>
      <c r="U834" s="2" t="n"/>
      <c r="V834" s="2">
        <f>SUM(J834:U834)</f>
        <v/>
      </c>
      <c r="W834" s="2" t="n">
        <v>126</v>
      </c>
      <c r="X834" s="2" t="n">
        <v>126</v>
      </c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>
        <f>IF(F834=1,V834*2,IF(F834=2,V834*F834*2,IF(F834&gt;2,F834*2*V834)))</f>
        <v/>
      </c>
      <c r="AW834" s="2">
        <f>SUM(W834:AU834)</f>
        <v/>
      </c>
    </row>
    <row r="835">
      <c r="A835" s="2" t="inlineStr">
        <is>
          <t>A14-DB-N247</t>
        </is>
      </c>
      <c r="B835" s="3" t="inlineStr">
        <is>
          <t>DOJC-SM-LC/PC-LC/PC</t>
        </is>
      </c>
      <c r="C835" s="2" t="inlineStr">
        <is>
          <t>45M, B3, 2.0mm</t>
        </is>
      </c>
      <c r="D835" s="2" t="inlineStr">
        <is>
          <t>b3</t>
        </is>
      </c>
      <c r="E835" s="2" t="inlineStr">
        <is>
          <t>2.0mm</t>
        </is>
      </c>
      <c r="F835" s="2" t="n">
        <v>2</v>
      </c>
      <c r="G835" s="2" t="n">
        <v>45</v>
      </c>
      <c r="H835" s="2" t="inlineStr">
        <is>
          <t>LC/PC</t>
        </is>
      </c>
      <c r="I835" s="2" t="inlineStr">
        <is>
          <t>LC/PC</t>
        </is>
      </c>
      <c r="J835" s="2" t="n"/>
      <c r="K835" s="2" t="n"/>
      <c r="L835" s="2" t="n">
        <v>10</v>
      </c>
      <c r="M835" s="2" t="n"/>
      <c r="N835" s="2" t="n"/>
      <c r="O835" s="2" t="n">
        <v>10</v>
      </c>
      <c r="P835" s="2" t="n"/>
      <c r="Q835" s="2" t="n">
        <v>15</v>
      </c>
      <c r="R835" s="2" t="n">
        <v>6</v>
      </c>
      <c r="S835" s="2" t="n">
        <v>20</v>
      </c>
      <c r="T835" s="2" t="n">
        <v>4</v>
      </c>
      <c r="U835" s="2" t="n">
        <v>25</v>
      </c>
      <c r="V835" s="2">
        <f>SUM(J835:U835)</f>
        <v/>
      </c>
      <c r="W835" s="2" t="n">
        <v>180</v>
      </c>
      <c r="X835" s="2" t="n">
        <v>180</v>
      </c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>
        <f>IF(F835=1,V835*2,IF(F835=2,V835*F835*2,IF(F835&gt;2,F835*2*V835)))</f>
        <v/>
      </c>
      <c r="AW835" s="2">
        <f>SUM(W835:AU835)</f>
        <v/>
      </c>
    </row>
    <row r="836">
      <c r="A836" s="2" t="inlineStr">
        <is>
          <t>A14-DB-N249</t>
        </is>
      </c>
      <c r="B836" s="3" t="inlineStr">
        <is>
          <t>DOJC-SM-LC/PC-LC/PC</t>
        </is>
      </c>
      <c r="C836" s="2" t="inlineStr">
        <is>
          <t>50M, B3, 2.0mm</t>
        </is>
      </c>
      <c r="D836" s="2" t="inlineStr">
        <is>
          <t>b3</t>
        </is>
      </c>
      <c r="E836" s="2" t="inlineStr">
        <is>
          <t>2.0mm</t>
        </is>
      </c>
      <c r="F836" s="2" t="n">
        <v>2</v>
      </c>
      <c r="G836" s="2" t="n">
        <v>50</v>
      </c>
      <c r="H836" s="2" t="inlineStr">
        <is>
          <t>LC/PC</t>
        </is>
      </c>
      <c r="I836" s="2" t="inlineStr">
        <is>
          <t>LC/PC</t>
        </is>
      </c>
      <c r="J836" s="2" t="n"/>
      <c r="K836" s="2" t="n"/>
      <c r="L836" s="2" t="n"/>
      <c r="M836" s="2" t="n"/>
      <c r="N836" s="2" t="n"/>
      <c r="O836" s="2" t="n"/>
      <c r="P836" s="2" t="n">
        <v>1</v>
      </c>
      <c r="Q836" s="2" t="n"/>
      <c r="R836" s="2" t="n">
        <v>6</v>
      </c>
      <c r="S836" s="2" t="n">
        <v>26</v>
      </c>
      <c r="T836" s="2" t="n">
        <v>7</v>
      </c>
      <c r="U836" s="2" t="n">
        <v>5</v>
      </c>
      <c r="V836" s="2">
        <f>SUM(J836:U836)</f>
        <v/>
      </c>
      <c r="W836" s="2" t="n">
        <v>90</v>
      </c>
      <c r="X836" s="2" t="n">
        <v>90</v>
      </c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>
        <f>IF(F836=1,V836*2,IF(F836=2,V836*F836*2,IF(F836&gt;2,F836*2*V836)))</f>
        <v/>
      </c>
      <c r="AW836" s="2">
        <f>SUM(W836:AU836)</f>
        <v/>
      </c>
    </row>
    <row r="837">
      <c r="A837" s="2" t="inlineStr">
        <is>
          <t>A14-DB-N252</t>
        </is>
      </c>
      <c r="B837" s="3" t="inlineStr">
        <is>
          <t>DOJC-SM-LC/PC-LC/PC</t>
        </is>
      </c>
      <c r="C837" s="2" t="inlineStr">
        <is>
          <t>55M, B3, 2.0mm</t>
        </is>
      </c>
      <c r="D837" s="2" t="inlineStr">
        <is>
          <t>b3</t>
        </is>
      </c>
      <c r="E837" s="2" t="inlineStr">
        <is>
          <t>2.0mm</t>
        </is>
      </c>
      <c r="F837" s="2" t="n">
        <v>2</v>
      </c>
      <c r="G837" s="2" t="n">
        <v>55</v>
      </c>
      <c r="H837" s="2" t="inlineStr">
        <is>
          <t>LC/PC</t>
        </is>
      </c>
      <c r="I837" s="2" t="inlineStr">
        <is>
          <t>LC/PC</t>
        </is>
      </c>
      <c r="J837" s="2" t="n"/>
      <c r="K837" s="2" t="n"/>
      <c r="L837" s="2" t="n"/>
      <c r="M837" s="2" t="n"/>
      <c r="N837" s="2" t="n"/>
      <c r="O837" s="2" t="n">
        <v>1</v>
      </c>
      <c r="P837" s="2" t="n"/>
      <c r="Q837" s="2" t="n"/>
      <c r="R837" s="2" t="n"/>
      <c r="S837" s="2" t="n">
        <v>2</v>
      </c>
      <c r="T837" s="2" t="n"/>
      <c r="U837" s="2" t="n"/>
      <c r="V837" s="2">
        <f>SUM(J837:U837)</f>
        <v/>
      </c>
      <c r="W837" s="2" t="n">
        <v>6</v>
      </c>
      <c r="X837" s="2" t="n">
        <v>6</v>
      </c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>
        <f>IF(F837=1,V837*2,IF(F837=2,V837*F837*2,IF(F837&gt;2,F837*2*V837)))</f>
        <v/>
      </c>
      <c r="AW837" s="2">
        <f>SUM(W837:AU837)</f>
        <v/>
      </c>
    </row>
    <row r="838">
      <c r="A838" s="2" t="inlineStr">
        <is>
          <t>A14-DB-N253</t>
        </is>
      </c>
      <c r="B838" s="3" t="inlineStr">
        <is>
          <t>DOJC-SM-LC/PC-LC/PC</t>
        </is>
      </c>
      <c r="C838" s="2" t="inlineStr">
        <is>
          <t>908041001, 5M, B3, 3.0mm</t>
        </is>
      </c>
      <c r="D838" s="2" t="inlineStr">
        <is>
          <t>b3</t>
        </is>
      </c>
      <c r="E838" s="2" t="inlineStr">
        <is>
          <t>3.0mm</t>
        </is>
      </c>
      <c r="F838" s="2" t="n">
        <v>2</v>
      </c>
      <c r="G838" s="2" t="n">
        <v>5</v>
      </c>
      <c r="H838" s="2" t="inlineStr">
        <is>
          <t>LC/PC</t>
        </is>
      </c>
      <c r="I838" s="2" t="inlineStr">
        <is>
          <t>LC/PC</t>
        </is>
      </c>
      <c r="J838" s="2" t="n"/>
      <c r="K838" s="2" t="n"/>
      <c r="L838" s="2" t="n"/>
      <c r="M838" s="2" t="n"/>
      <c r="N838" s="2" t="n"/>
      <c r="O838" s="2" t="n">
        <v>30</v>
      </c>
      <c r="P838" s="2" t="n"/>
      <c r="Q838" s="2" t="n">
        <v>10</v>
      </c>
      <c r="R838" s="2" t="n"/>
      <c r="S838" s="2" t="n"/>
      <c r="T838" s="2" t="n"/>
      <c r="U838" s="2" t="n"/>
      <c r="V838" s="2">
        <f>SUM(J838:U838)</f>
        <v/>
      </c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>
        <v>80</v>
      </c>
      <c r="AK838" s="2" t="n">
        <v>80</v>
      </c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>
        <f>IF(F838=1,V838*2,IF(F838=2,V838*F838*2,IF(F838&gt;2,F838*2*V838)))</f>
        <v/>
      </c>
      <c r="AW838" s="2">
        <f>SUM(W838:AU838)</f>
        <v/>
      </c>
    </row>
    <row r="839">
      <c r="A839" s="2" t="inlineStr">
        <is>
          <t>A14-DB-N254</t>
        </is>
      </c>
      <c r="B839" s="3" t="inlineStr">
        <is>
          <t>DOJC-SM-LC/PC-LC/PC</t>
        </is>
      </c>
      <c r="C839" s="2" t="inlineStr">
        <is>
          <t>60M,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2</v>
      </c>
      <c r="G839" s="2" t="n">
        <v>60</v>
      </c>
      <c r="H839" s="2" t="inlineStr">
        <is>
          <t>LC/PC</t>
        </is>
      </c>
      <c r="I839" s="2" t="inlineStr">
        <is>
          <t>LC/PC</t>
        </is>
      </c>
      <c r="J839" s="2" t="n"/>
      <c r="K839" s="2" t="n"/>
      <c r="L839" s="2" t="n"/>
      <c r="M839" s="2" t="n">
        <v>3</v>
      </c>
      <c r="N839" s="2" t="n"/>
      <c r="O839" s="2" t="n"/>
      <c r="P839" s="2" t="n"/>
      <c r="Q839" s="2" t="n"/>
      <c r="R839" s="2" t="n"/>
      <c r="S839" s="2" t="n">
        <v>4</v>
      </c>
      <c r="T839" s="2" t="n"/>
      <c r="U839" s="2" t="n"/>
      <c r="V839" s="2">
        <f>SUM(J839:U839)</f>
        <v/>
      </c>
      <c r="W839" s="2" t="n">
        <v>14</v>
      </c>
      <c r="X839" s="2" t="n">
        <v>14</v>
      </c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>
        <f>IF(F839=1,V839*2,IF(F839=2,V839*F839*2,IF(F839&gt;2,F839*2*V839)))</f>
        <v/>
      </c>
      <c r="AW839" s="2">
        <f>SUM(W839:AU839)</f>
        <v/>
      </c>
    </row>
    <row r="840">
      <c r="A840" s="2" t="inlineStr">
        <is>
          <t>A14-DB-N258</t>
        </is>
      </c>
      <c r="B840" s="3" t="inlineStr">
        <is>
          <t>DOJC-SM-LC/PC-LC/PC</t>
        </is>
      </c>
      <c r="C840" s="2" t="inlineStr">
        <is>
          <t>908041003, 7M, B3, 2.0mm</t>
        </is>
      </c>
      <c r="D840" s="2" t="inlineStr">
        <is>
          <t>b3</t>
        </is>
      </c>
      <c r="E840" s="2" t="inlineStr">
        <is>
          <t>2.0mm</t>
        </is>
      </c>
      <c r="F840" s="2" t="n">
        <v>2</v>
      </c>
      <c r="G840" s="2" t="n">
        <v>7</v>
      </c>
      <c r="H840" s="2" t="inlineStr">
        <is>
          <t>LC/PC</t>
        </is>
      </c>
      <c r="I840" s="2" t="inlineStr">
        <is>
          <t>LC/PC</t>
        </is>
      </c>
      <c r="J840" s="2" t="n">
        <v>20</v>
      </c>
      <c r="K840" s="2" t="n">
        <v>40</v>
      </c>
      <c r="L840" s="2" t="n"/>
      <c r="M840" s="2" t="n">
        <v>20</v>
      </c>
      <c r="N840" s="2" t="n">
        <v>20</v>
      </c>
      <c r="O840" s="2" t="n"/>
      <c r="P840" s="2" t="n"/>
      <c r="Q840" s="2" t="n"/>
      <c r="R840" s="2" t="n">
        <v>25</v>
      </c>
      <c r="S840" s="2" t="n"/>
      <c r="T840" s="2" t="n">
        <v>300</v>
      </c>
      <c r="U840" s="2" t="n"/>
      <c r="V840" s="2">
        <f>SUM(J840:U840)</f>
        <v/>
      </c>
      <c r="W840" s="2" t="n">
        <v>850</v>
      </c>
      <c r="X840" s="2" t="n">
        <v>850</v>
      </c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>
        <f>IF(F840=1,V840*2,IF(F840=2,V840*F840*2,IF(F840&gt;2,F840*2*V840)))</f>
        <v/>
      </c>
      <c r="AW840" s="2">
        <f>SUM(W840:AU840)</f>
        <v/>
      </c>
    </row>
    <row r="841">
      <c r="A841" s="2" t="inlineStr">
        <is>
          <t>A14-DB-N260</t>
        </is>
      </c>
      <c r="B841" s="3" t="inlineStr">
        <is>
          <t>DOJC-SM-LC/PC-LC/PC</t>
        </is>
      </c>
      <c r="C841" s="2" t="inlineStr">
        <is>
          <t>908041004, 8M,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2</v>
      </c>
      <c r="G841" s="2" t="n">
        <v>8</v>
      </c>
      <c r="H841" s="2" t="inlineStr">
        <is>
          <t>LC/PC</t>
        </is>
      </c>
      <c r="I841" s="2" t="inlineStr">
        <is>
          <t>LC/PC</t>
        </is>
      </c>
      <c r="J841" s="2" t="n">
        <v>21</v>
      </c>
      <c r="K841" s="2" t="n">
        <v>5</v>
      </c>
      <c r="L841" s="2" t="n"/>
      <c r="M841" s="2" t="n"/>
      <c r="N841" s="2" t="n"/>
      <c r="O841" s="2" t="n"/>
      <c r="P841" s="2" t="n">
        <v>5</v>
      </c>
      <c r="Q841" s="2" t="n"/>
      <c r="R841" s="2" t="n"/>
      <c r="S841" s="2" t="n"/>
      <c r="T841" s="2" t="n"/>
      <c r="U841" s="2" t="n"/>
      <c r="V841" s="2">
        <f>SUM(J841:U841)</f>
        <v/>
      </c>
      <c r="W841" s="2" t="n">
        <v>62</v>
      </c>
      <c r="X841" s="2" t="n">
        <v>62</v>
      </c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>
        <f>IF(F841=1,V841*2,IF(F841=2,V841*F841*2,IF(F841&gt;2,F841*2*V841)))</f>
        <v/>
      </c>
      <c r="AW841" s="2">
        <f>SUM(W841:AU841)</f>
        <v/>
      </c>
    </row>
    <row r="842">
      <c r="A842" s="2" t="inlineStr">
        <is>
          <t>A14-DB-N263</t>
        </is>
      </c>
      <c r="B842" s="3" t="inlineStr">
        <is>
          <t>DOJC-SM-LC/PC-SC/APC</t>
        </is>
      </c>
      <c r="C842" s="2" t="inlineStr">
        <is>
          <t>908040916, 10M, B3, 2.0mm</t>
        </is>
      </c>
      <c r="D842" s="2" t="inlineStr">
        <is>
          <t>b3</t>
        </is>
      </c>
      <c r="E842" s="2" t="inlineStr">
        <is>
          <t>2.0mm</t>
        </is>
      </c>
      <c r="F842" s="2" t="n">
        <v>2</v>
      </c>
      <c r="G842" s="2" t="n">
        <v>10</v>
      </c>
      <c r="H842" s="2" t="inlineStr">
        <is>
          <t>LC/PC</t>
        </is>
      </c>
      <c r="I842" s="2" t="inlineStr">
        <is>
          <t>SC/APC</t>
        </is>
      </c>
      <c r="J842" s="2" t="n"/>
      <c r="K842" s="2" t="n"/>
      <c r="L842" s="2" t="n"/>
      <c r="M842" s="2" t="n"/>
      <c r="N842" s="2" t="n"/>
      <c r="O842" s="2" t="n">
        <v>1</v>
      </c>
      <c r="P842" s="2" t="n"/>
      <c r="Q842" s="2" t="n"/>
      <c r="R842" s="2" t="n"/>
      <c r="S842" s="2" t="n"/>
      <c r="T842" s="2" t="n"/>
      <c r="U842" s="2" t="n"/>
      <c r="V842" s="2">
        <f>SUM(J842:U842)</f>
        <v/>
      </c>
      <c r="W842" s="2" t="n">
        <v>2</v>
      </c>
      <c r="X842" s="2" t="n"/>
      <c r="Y842" s="2" t="n"/>
      <c r="Z842" s="2" t="n"/>
      <c r="AA842" s="2" t="n"/>
      <c r="AB842" s="2" t="n"/>
      <c r="AC842" s="2" t="n"/>
      <c r="AD842" s="2" t="n">
        <v>2</v>
      </c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>
        <f>IF(F842=1,V842*2,IF(F842=2,V842*F842*2,IF(F842&gt;2,F842*2*V842)))</f>
        <v/>
      </c>
      <c r="AW842" s="2">
        <f>SUM(W842:AU842)</f>
        <v/>
      </c>
    </row>
    <row r="843">
      <c r="A843" s="2" t="inlineStr">
        <is>
          <t>A14-DB-N266</t>
        </is>
      </c>
      <c r="B843" s="3" t="inlineStr">
        <is>
          <t>DOJC-SM-LC/PC-SC/APC</t>
        </is>
      </c>
      <c r="C843" s="2" t="inlineStr">
        <is>
          <t>908040921, 15M,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2</v>
      </c>
      <c r="G843" s="2" t="n">
        <v>15</v>
      </c>
      <c r="H843" s="2" t="inlineStr">
        <is>
          <t>LC/PC</t>
        </is>
      </c>
      <c r="I843" s="2" t="inlineStr">
        <is>
          <t>SC/APC</t>
        </is>
      </c>
      <c r="J843" s="2" t="n"/>
      <c r="K843" s="2" t="n"/>
      <c r="L843" s="2" t="n"/>
      <c r="M843" s="2" t="n"/>
      <c r="N843" s="2" t="n"/>
      <c r="O843" s="2" t="n">
        <v>13</v>
      </c>
      <c r="P843" s="2" t="n">
        <v>6</v>
      </c>
      <c r="Q843" s="2" t="n"/>
      <c r="R843" s="2" t="n"/>
      <c r="S843" s="2" t="n"/>
      <c r="T843" s="2" t="n"/>
      <c r="U843" s="2" t="n"/>
      <c r="V843" s="2">
        <f>SUM(J843:U843)</f>
        <v/>
      </c>
      <c r="W843" s="2" t="n">
        <v>38</v>
      </c>
      <c r="X843" s="2" t="n"/>
      <c r="Y843" s="2" t="n"/>
      <c r="Z843" s="2" t="n"/>
      <c r="AA843" s="2" t="n"/>
      <c r="AB843" s="2" t="n"/>
      <c r="AC843" s="2" t="n"/>
      <c r="AD843" s="2" t="n">
        <v>38</v>
      </c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>
        <f>IF(F843=1,V843*2,IF(F843=2,V843*F843*2,IF(F843&gt;2,F843*2*V843)))</f>
        <v/>
      </c>
      <c r="AW843" s="2">
        <f>SUM(W843:AU843)</f>
        <v/>
      </c>
    </row>
    <row r="844">
      <c r="A844" s="2" t="inlineStr">
        <is>
          <t>A14-DB-N267</t>
        </is>
      </c>
      <c r="B844" s="3" t="inlineStr">
        <is>
          <t>DOJC-SM-LC/PC-SC/APC</t>
        </is>
      </c>
      <c r="C844" s="2" t="inlineStr">
        <is>
          <t>908040908, 1M, B3, 3.0mm</t>
        </is>
      </c>
      <c r="D844" s="2" t="inlineStr">
        <is>
          <t>b3</t>
        </is>
      </c>
      <c r="E844" s="2" t="inlineStr">
        <is>
          <t>3.0mm</t>
        </is>
      </c>
      <c r="F844" s="2" t="n">
        <v>2</v>
      </c>
      <c r="G844" s="2" t="n">
        <v>1</v>
      </c>
      <c r="H844" s="2" t="inlineStr">
        <is>
          <t>LC/PC</t>
        </is>
      </c>
      <c r="I844" s="2" t="inlineStr">
        <is>
          <t>SC/APC</t>
        </is>
      </c>
      <c r="J844" s="2" t="n">
        <v>30</v>
      </c>
      <c r="K844" s="2" t="n">
        <v>10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>
        <f>SUM(J844:U844)</f>
        <v/>
      </c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>
        <v>80</v>
      </c>
      <c r="AK844" s="2" t="n"/>
      <c r="AL844" s="2" t="n"/>
      <c r="AM844" s="2" t="n"/>
      <c r="AN844" s="2" t="n"/>
      <c r="AO844" s="2" t="n"/>
      <c r="AP844" s="2" t="n"/>
      <c r="AQ844" s="2" t="n">
        <v>80</v>
      </c>
      <c r="AR844" s="2" t="n"/>
      <c r="AS844" s="2" t="n"/>
      <c r="AT844" s="2" t="n"/>
      <c r="AU844" s="2" t="n"/>
      <c r="AV844" s="2">
        <f>IF(F844=1,V844*2,IF(F844=2,V844*F844*2,IF(F844&gt;2,F844*2*V844)))</f>
        <v/>
      </c>
      <c r="AW844" s="2">
        <f>SUM(W844:AU844)</f>
        <v/>
      </c>
    </row>
    <row r="845">
      <c r="A845" s="2" t="inlineStr">
        <is>
          <t>A14-DB-N268</t>
        </is>
      </c>
      <c r="B845" s="3" t="inlineStr">
        <is>
          <t>DOJC-SM-LC/PC-SC/APC</t>
        </is>
      </c>
      <c r="C845" s="2" t="inlineStr">
        <is>
          <t>908040926, 20M,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2</v>
      </c>
      <c r="G845" s="2" t="n">
        <v>20</v>
      </c>
      <c r="H845" s="2" t="inlineStr">
        <is>
          <t>LC/PC</t>
        </is>
      </c>
      <c r="I845" s="2" t="inlineStr">
        <is>
          <t>SC/APC</t>
        </is>
      </c>
      <c r="J845" s="2" t="n">
        <v>4</v>
      </c>
      <c r="K845" s="2" t="n">
        <v>5</v>
      </c>
      <c r="L845" s="2" t="n">
        <v>10</v>
      </c>
      <c r="M845" s="2" t="n"/>
      <c r="N845" s="2" t="n"/>
      <c r="O845" s="2" t="n">
        <v>10</v>
      </c>
      <c r="P845" s="2" t="n">
        <v>20</v>
      </c>
      <c r="Q845" s="2" t="n">
        <v>10</v>
      </c>
      <c r="R845" s="2" t="n"/>
      <c r="S845" s="2" t="n"/>
      <c r="T845" s="2" t="n"/>
      <c r="U845" s="2" t="n"/>
      <c r="V845" s="2">
        <f>SUM(J845:U845)</f>
        <v/>
      </c>
      <c r="W845" s="2" t="n">
        <v>118</v>
      </c>
      <c r="X845" s="2" t="n"/>
      <c r="Y845" s="2" t="n"/>
      <c r="Z845" s="2" t="n"/>
      <c r="AA845" s="2" t="n"/>
      <c r="AB845" s="2" t="n"/>
      <c r="AC845" s="2" t="n"/>
      <c r="AD845" s="2" t="n">
        <v>118</v>
      </c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>
        <f>IF(F845=1,V845*2,IF(F845=2,V845*F845*2,IF(F845&gt;2,F845*2*V845)))</f>
        <v/>
      </c>
      <c r="AW845" s="2">
        <f>SUM(W845:AU845)</f>
        <v/>
      </c>
    </row>
    <row r="846">
      <c r="A846" s="2" t="inlineStr">
        <is>
          <t>A14-DB-N270</t>
        </is>
      </c>
      <c r="B846" s="3" t="inlineStr">
        <is>
          <t>DOJC-SM-LC/PC-SC/APC</t>
        </is>
      </c>
      <c r="C846" s="2" t="inlineStr">
        <is>
          <t>908040931, 25M, B3, 2.0mm</t>
        </is>
      </c>
      <c r="D846" s="2" t="inlineStr">
        <is>
          <t>b3</t>
        </is>
      </c>
      <c r="E846" s="2" t="inlineStr">
        <is>
          <t>2.0mm</t>
        </is>
      </c>
      <c r="F846" s="2" t="n">
        <v>2</v>
      </c>
      <c r="G846" s="2" t="n">
        <v>25</v>
      </c>
      <c r="H846" s="2" t="inlineStr">
        <is>
          <t>LC/PC</t>
        </is>
      </c>
      <c r="I846" s="2" t="inlineStr">
        <is>
          <t>SC/APC</t>
        </is>
      </c>
      <c r="J846" s="2" t="n"/>
      <c r="K846" s="2" t="n"/>
      <c r="L846" s="2" t="n">
        <v>10</v>
      </c>
      <c r="M846" s="2" t="n"/>
      <c r="N846" s="2" t="n"/>
      <c r="O846" s="2" t="n"/>
      <c r="P846" s="2" t="n"/>
      <c r="Q846" s="2" t="n">
        <v>12</v>
      </c>
      <c r="R846" s="2" t="n"/>
      <c r="S846" s="2" t="n"/>
      <c r="T846" s="2" t="n">
        <v>2</v>
      </c>
      <c r="U846" s="2" t="n"/>
      <c r="V846" s="2">
        <f>SUM(J846:U846)</f>
        <v/>
      </c>
      <c r="W846" s="2" t="n">
        <v>48</v>
      </c>
      <c r="X846" s="2" t="n"/>
      <c r="Y846" s="2" t="n"/>
      <c r="Z846" s="2" t="n"/>
      <c r="AA846" s="2" t="n"/>
      <c r="AB846" s="2" t="n"/>
      <c r="AC846" s="2" t="n"/>
      <c r="AD846" s="2" t="n">
        <v>48</v>
      </c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>
        <f>IF(F846=1,V846*2,IF(F846=2,V846*F846*2,IF(F846&gt;2,F846*2*V846)))</f>
        <v/>
      </c>
      <c r="AW846" s="2">
        <f>SUM(W846:AU846)</f>
        <v/>
      </c>
    </row>
    <row r="847">
      <c r="A847" s="2" t="inlineStr">
        <is>
          <t>A14-DB-N271</t>
        </is>
      </c>
      <c r="B847" s="3" t="inlineStr">
        <is>
          <t>DOJC-SM-LC/PC-SC/APC</t>
        </is>
      </c>
      <c r="C847" s="2" t="inlineStr">
        <is>
          <t>908040909, 2M, B3, 3.0mm</t>
        </is>
      </c>
      <c r="D847" s="2" t="inlineStr">
        <is>
          <t>b3</t>
        </is>
      </c>
      <c r="E847" s="2" t="inlineStr">
        <is>
          <t>3.0mm</t>
        </is>
      </c>
      <c r="F847" s="2" t="n">
        <v>2</v>
      </c>
      <c r="G847" s="2" t="n">
        <v>2</v>
      </c>
      <c r="H847" s="2" t="inlineStr">
        <is>
          <t>LC/PC</t>
        </is>
      </c>
      <c r="I847" s="2" t="inlineStr">
        <is>
          <t>SC/APC</t>
        </is>
      </c>
      <c r="J847" s="2" t="n">
        <v>10</v>
      </c>
      <c r="K847" s="2" t="n"/>
      <c r="L847" s="2" t="n"/>
      <c r="M847" s="2" t="n">
        <v>10</v>
      </c>
      <c r="N847" s="2" t="n">
        <v>40</v>
      </c>
      <c r="O847" s="2" t="n"/>
      <c r="P847" s="2" t="n"/>
      <c r="Q847" s="2" t="n"/>
      <c r="R847" s="2" t="n"/>
      <c r="S847" s="2" t="n"/>
      <c r="T847" s="2" t="n">
        <v>20</v>
      </c>
      <c r="U847" s="2" t="n"/>
      <c r="V847" s="2">
        <f>SUM(J847:U847)</f>
        <v/>
      </c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>
        <v>160</v>
      </c>
      <c r="AK847" s="2" t="n"/>
      <c r="AL847" s="2" t="n"/>
      <c r="AM847" s="2" t="n"/>
      <c r="AN847" s="2" t="n"/>
      <c r="AO847" s="2" t="n"/>
      <c r="AP847" s="2" t="n"/>
      <c r="AQ847" s="2" t="n">
        <v>160</v>
      </c>
      <c r="AR847" s="2" t="n"/>
      <c r="AS847" s="2" t="n"/>
      <c r="AT847" s="2" t="n"/>
      <c r="AU847" s="2" t="n"/>
      <c r="AV847" s="2">
        <f>IF(F847=1,V847*2,IF(F847=2,V847*F847*2,IF(F847&gt;2,F847*2*V847)))</f>
        <v/>
      </c>
      <c r="AW847" s="2">
        <f>SUM(W847:AU847)</f>
        <v/>
      </c>
    </row>
    <row r="848">
      <c r="A848" s="2" t="inlineStr">
        <is>
          <t>A14-DB-N272</t>
        </is>
      </c>
      <c r="B848" s="3" t="inlineStr">
        <is>
          <t>DOJC-SM-LC/PC-SC/APC</t>
        </is>
      </c>
      <c r="C848" s="2" t="inlineStr">
        <is>
          <t>908040936, 30M, B3, 2.0mm</t>
        </is>
      </c>
      <c r="D848" s="2" t="inlineStr">
        <is>
          <t>b3</t>
        </is>
      </c>
      <c r="E848" s="2" t="inlineStr">
        <is>
          <t>2.0mm</t>
        </is>
      </c>
      <c r="F848" s="2" t="n">
        <v>2</v>
      </c>
      <c r="G848" s="2" t="n">
        <v>30</v>
      </c>
      <c r="H848" s="2" t="inlineStr">
        <is>
          <t>LC/PC</t>
        </is>
      </c>
      <c r="I848" s="2" t="inlineStr">
        <is>
          <t>SC/APC</t>
        </is>
      </c>
      <c r="J848" s="2" t="n">
        <v>4</v>
      </c>
      <c r="K848" s="2" t="n"/>
      <c r="L848" s="2" t="n">
        <v>4</v>
      </c>
      <c r="M848" s="2" t="n"/>
      <c r="N848" s="2" t="n"/>
      <c r="O848" s="2" t="n"/>
      <c r="P848" s="2" t="n">
        <v>20</v>
      </c>
      <c r="Q848" s="2" t="n">
        <v>30</v>
      </c>
      <c r="R848" s="2" t="n"/>
      <c r="S848" s="2" t="n"/>
      <c r="T848" s="2" t="n"/>
      <c r="U848" s="2" t="n"/>
      <c r="V848" s="2">
        <f>SUM(J848:U848)</f>
        <v/>
      </c>
      <c r="W848" s="2" t="n">
        <v>116</v>
      </c>
      <c r="X848" s="2" t="n"/>
      <c r="Y848" s="2" t="n"/>
      <c r="Z848" s="2" t="n"/>
      <c r="AA848" s="2" t="n"/>
      <c r="AB848" s="2" t="n"/>
      <c r="AC848" s="2" t="n"/>
      <c r="AD848" s="2" t="n">
        <v>116</v>
      </c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>
        <f>IF(F848=1,V848*2,IF(F848=2,V848*F848*2,IF(F848&gt;2,F848*2*V848)))</f>
        <v/>
      </c>
      <c r="AW848" s="2">
        <f>SUM(W848:AU848)</f>
        <v/>
      </c>
    </row>
    <row r="849">
      <c r="A849" s="2" t="inlineStr">
        <is>
          <t>A14-DB-N273</t>
        </is>
      </c>
      <c r="B849" s="3" t="inlineStr">
        <is>
          <t>DOJC-SM-LC/PC-SC/APC</t>
        </is>
      </c>
      <c r="C849" s="2" t="inlineStr">
        <is>
          <t>35M,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2</v>
      </c>
      <c r="G849" s="2" t="n">
        <v>35</v>
      </c>
      <c r="H849" s="2" t="inlineStr">
        <is>
          <t>LC/PC</t>
        </is>
      </c>
      <c r="I849" s="2" t="inlineStr">
        <is>
          <t>SC/APC</t>
        </is>
      </c>
      <c r="J849" s="2" t="n"/>
      <c r="K849" s="2" t="n"/>
      <c r="L849" s="2" t="n">
        <v>4</v>
      </c>
      <c r="M849" s="2" t="n"/>
      <c r="N849" s="2" t="n"/>
      <c r="O849" s="2" t="n"/>
      <c r="P849" s="2" t="n"/>
      <c r="Q849" s="2" t="n">
        <v>1</v>
      </c>
      <c r="R849" s="2" t="n"/>
      <c r="S849" s="2" t="n"/>
      <c r="T849" s="2" t="n"/>
      <c r="U849" s="2" t="n"/>
      <c r="V849" s="2">
        <f>SUM(J849:U849)</f>
        <v/>
      </c>
      <c r="W849" s="2" t="n">
        <v>10</v>
      </c>
      <c r="X849" s="2" t="n"/>
      <c r="Y849" s="2" t="n"/>
      <c r="Z849" s="2" t="n"/>
      <c r="AA849" s="2" t="n"/>
      <c r="AB849" s="2" t="n"/>
      <c r="AC849" s="2" t="n"/>
      <c r="AD849" s="2" t="n">
        <v>10</v>
      </c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>
        <f>IF(F849=1,V849*2,IF(F849=2,V849*F849*2,IF(F849&gt;2,F849*2*V849)))</f>
        <v/>
      </c>
      <c r="AW849" s="2">
        <f>SUM(W849:AU849)</f>
        <v/>
      </c>
    </row>
    <row r="850">
      <c r="A850" s="2" t="inlineStr">
        <is>
          <t>A14-DB-N274</t>
        </is>
      </c>
      <c r="B850" s="3" t="inlineStr">
        <is>
          <t>DOJC-SM-LC/PC-SC/APC</t>
        </is>
      </c>
      <c r="C850" s="2" t="inlineStr">
        <is>
          <t>908040907, 3M, B3, 3.0mm</t>
        </is>
      </c>
      <c r="D850" s="2" t="inlineStr">
        <is>
          <t>b3</t>
        </is>
      </c>
      <c r="E850" s="2" t="inlineStr">
        <is>
          <t>3.0mm</t>
        </is>
      </c>
      <c r="F850" s="2" t="n">
        <v>2</v>
      </c>
      <c r="G850" s="2" t="n">
        <v>3</v>
      </c>
      <c r="H850" s="2" t="inlineStr">
        <is>
          <t>LC/PC</t>
        </is>
      </c>
      <c r="I850" s="2" t="inlineStr">
        <is>
          <t>SC/APC</t>
        </is>
      </c>
      <c r="J850" s="2" t="n"/>
      <c r="K850" s="2" t="n">
        <v>19</v>
      </c>
      <c r="L850" s="2" t="n"/>
      <c r="M850" s="2" t="n"/>
      <c r="N850" s="2" t="n"/>
      <c r="O850" s="2" t="n">
        <v>30</v>
      </c>
      <c r="P850" s="2" t="n"/>
      <c r="Q850" s="2" t="n"/>
      <c r="R850" s="2" t="n"/>
      <c r="S850" s="2" t="n"/>
      <c r="T850" s="2" t="n"/>
      <c r="U850" s="2" t="n"/>
      <c r="V850" s="2">
        <f>SUM(J850:U850)</f>
        <v/>
      </c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>
        <v>98</v>
      </c>
      <c r="AK850" s="2" t="n"/>
      <c r="AL850" s="2" t="n"/>
      <c r="AM850" s="2" t="n"/>
      <c r="AN850" s="2" t="n"/>
      <c r="AO850" s="2" t="n"/>
      <c r="AP850" s="2" t="n"/>
      <c r="AQ850" s="2" t="n">
        <v>98</v>
      </c>
      <c r="AR850" s="2" t="n"/>
      <c r="AS850" s="2" t="n"/>
      <c r="AT850" s="2" t="n"/>
      <c r="AU850" s="2" t="n"/>
      <c r="AV850" s="2">
        <f>IF(F850=1,V850*2,IF(F850=2,V850*F850*2,IF(F850&gt;2,F850*2*V850)))</f>
        <v/>
      </c>
      <c r="AW850" s="2">
        <f>SUM(W850:AU850)</f>
        <v/>
      </c>
    </row>
    <row r="851">
      <c r="A851" s="2" t="inlineStr">
        <is>
          <t>A14-DB-N279</t>
        </is>
      </c>
      <c r="B851" s="3" t="inlineStr">
        <is>
          <t>DOJC-SM-LC/PC-SC/APC</t>
        </is>
      </c>
      <c r="C851" s="2" t="inlineStr">
        <is>
          <t>908040913, 7M,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2</v>
      </c>
      <c r="G851" s="2" t="n">
        <v>7</v>
      </c>
      <c r="H851" s="2" t="inlineStr">
        <is>
          <t>LC/PC</t>
        </is>
      </c>
      <c r="I851" s="2" t="inlineStr">
        <is>
          <t>SC/APC</t>
        </is>
      </c>
      <c r="J851" s="2" t="n"/>
      <c r="K851" s="2" t="n"/>
      <c r="L851" s="2" t="n"/>
      <c r="M851" s="2" t="n">
        <v>10</v>
      </c>
      <c r="N851" s="2" t="n"/>
      <c r="O851" s="2" t="n"/>
      <c r="P851" s="2" t="n"/>
      <c r="Q851" s="2" t="n"/>
      <c r="R851" s="2" t="n"/>
      <c r="S851" s="2" t="n"/>
      <c r="T851" s="2" t="n"/>
      <c r="U851" s="2" t="n">
        <v>20</v>
      </c>
      <c r="V851" s="2">
        <f>SUM(J851:U851)</f>
        <v/>
      </c>
      <c r="W851" s="2" t="n">
        <v>60</v>
      </c>
      <c r="X851" s="2" t="n"/>
      <c r="Y851" s="2" t="n"/>
      <c r="Z851" s="2" t="n"/>
      <c r="AA851" s="2" t="n"/>
      <c r="AB851" s="2" t="n"/>
      <c r="AC851" s="2" t="n"/>
      <c r="AD851" s="2" t="n">
        <v>60</v>
      </c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>
        <f>IF(F851=1,V851*2,IF(F851=2,V851*F851*2,IF(F851&gt;2,F851*2*V851)))</f>
        <v/>
      </c>
      <c r="AW851" s="2">
        <f>SUM(W851:AU851)</f>
        <v/>
      </c>
    </row>
    <row r="852">
      <c r="A852" s="2" t="inlineStr">
        <is>
          <t>A14-DB-N284</t>
        </is>
      </c>
      <c r="B852" s="3" t="inlineStr">
        <is>
          <t>DOJC-SM-LC/PC-SC/PC</t>
        </is>
      </c>
      <c r="C852" s="2" t="inlineStr">
        <is>
          <t>908040868, 10M, B3, 2.0mm</t>
        </is>
      </c>
      <c r="D852" s="2" t="inlineStr">
        <is>
          <t>b3</t>
        </is>
      </c>
      <c r="E852" s="2" t="inlineStr">
        <is>
          <t>2.0mm</t>
        </is>
      </c>
      <c r="F852" s="2" t="n">
        <v>2</v>
      </c>
      <c r="G852" s="2" t="n">
        <v>10</v>
      </c>
      <c r="H852" s="2" t="inlineStr">
        <is>
          <t>LC/PC</t>
        </is>
      </c>
      <c r="I852" s="2" t="inlineStr">
        <is>
          <t>SC/PC</t>
        </is>
      </c>
      <c r="J852" s="2" t="n">
        <v>340</v>
      </c>
      <c r="K852" s="2" t="n"/>
      <c r="L852" s="2" t="n">
        <v>26</v>
      </c>
      <c r="M852" s="2" t="n">
        <v>203</v>
      </c>
      <c r="N852" s="2" t="n">
        <v>85</v>
      </c>
      <c r="O852" s="2" t="n"/>
      <c r="P852" s="2" t="n"/>
      <c r="Q852" s="2" t="n"/>
      <c r="R852" s="2" t="n">
        <v>26</v>
      </c>
      <c r="S852" s="2" t="n">
        <v>43</v>
      </c>
      <c r="T852" s="2" t="n"/>
      <c r="U852" s="2" t="n"/>
      <c r="V852" s="2">
        <f>SUM(J852:U852)</f>
        <v/>
      </c>
      <c r="W852" s="2" t="n">
        <v>1446</v>
      </c>
      <c r="X852" s="2" t="n"/>
      <c r="Y852" s="2" t="n"/>
      <c r="Z852" s="2" t="n"/>
      <c r="AA852" s="2" t="n"/>
      <c r="AB852" s="2" t="n">
        <v>1446</v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>
        <f>IF(F852=1,V852*2,IF(F852=2,V852*F852*2,IF(F852&gt;2,F852*2*V852)))</f>
        <v/>
      </c>
      <c r="AW852" s="2">
        <f>SUM(W852:AU852)</f>
        <v/>
      </c>
    </row>
    <row r="853">
      <c r="A853" s="2" t="inlineStr">
        <is>
          <t>A14-DB-N286</t>
        </is>
      </c>
      <c r="B853" s="3" t="inlineStr">
        <is>
          <t>DOJC-SM-LC/PC-SC/PC</t>
        </is>
      </c>
      <c r="C853" s="2" t="inlineStr">
        <is>
          <t>908040870, 12M, B3, 2.0mm</t>
        </is>
      </c>
      <c r="D853" s="2" t="inlineStr">
        <is>
          <t>b3</t>
        </is>
      </c>
      <c r="E853" s="2" t="inlineStr">
        <is>
          <t>2.0mm</t>
        </is>
      </c>
      <c r="F853" s="2" t="n">
        <v>2</v>
      </c>
      <c r="G853" s="2" t="n">
        <v>12</v>
      </c>
      <c r="H853" s="2" t="inlineStr">
        <is>
          <t>LC/PC</t>
        </is>
      </c>
      <c r="I853" s="2" t="inlineStr">
        <is>
          <t>SC/PC</t>
        </is>
      </c>
      <c r="J853" s="2" t="n">
        <v>45</v>
      </c>
      <c r="K853" s="2" t="n"/>
      <c r="L853" s="2" t="n">
        <v>20</v>
      </c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>
        <f>SUM(J853:U853)</f>
        <v/>
      </c>
      <c r="W853" s="2" t="n">
        <v>130</v>
      </c>
      <c r="X853" s="2" t="n"/>
      <c r="Y853" s="2" t="n"/>
      <c r="Z853" s="2" t="n"/>
      <c r="AA853" s="2" t="n"/>
      <c r="AB853" s="2" t="n">
        <v>130</v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>
        <f>IF(F853=1,V853*2,IF(F853=2,V853*F853*2,IF(F853&gt;2,F853*2*V853)))</f>
        <v/>
      </c>
      <c r="AW853" s="2">
        <f>SUM(W853:AU853)</f>
        <v/>
      </c>
    </row>
    <row r="854">
      <c r="A854" s="2" t="inlineStr">
        <is>
          <t>A14-DB-N287</t>
        </is>
      </c>
      <c r="B854" s="3" t="inlineStr">
        <is>
          <t>DOJC-SM-LC/PC-SC/PC</t>
        </is>
      </c>
      <c r="C854" s="2" t="inlineStr">
        <is>
          <t>13M, B3, 2.0mm</t>
        </is>
      </c>
      <c r="D854" s="2" t="inlineStr">
        <is>
          <t>b3</t>
        </is>
      </c>
      <c r="E854" s="2" t="inlineStr">
        <is>
          <t>2.0mm</t>
        </is>
      </c>
      <c r="F854" s="2" t="n">
        <v>2</v>
      </c>
      <c r="G854" s="2" t="n">
        <v>13</v>
      </c>
      <c r="H854" s="2" t="inlineStr">
        <is>
          <t>LC/PC</t>
        </is>
      </c>
      <c r="I854" s="2" t="inlineStr">
        <is>
          <t>SC/PC</t>
        </is>
      </c>
      <c r="J854" s="2" t="n"/>
      <c r="K854" s="2" t="n"/>
      <c r="L854" s="2" t="n"/>
      <c r="M854" s="2" t="n"/>
      <c r="N854" s="2" t="n"/>
      <c r="O854" s="2" t="n"/>
      <c r="P854" s="2" t="n"/>
      <c r="Q854" s="2" t="n">
        <v>10</v>
      </c>
      <c r="R854" s="2" t="n"/>
      <c r="S854" s="2" t="n"/>
      <c r="T854" s="2" t="n"/>
      <c r="U854" s="2" t="n"/>
      <c r="V854" s="2">
        <f>SUM(J854:U854)</f>
        <v/>
      </c>
      <c r="W854" s="2" t="n">
        <v>20</v>
      </c>
      <c r="X854" s="2" t="n"/>
      <c r="Y854" s="2" t="n"/>
      <c r="Z854" s="2" t="n"/>
      <c r="AA854" s="2" t="n"/>
      <c r="AB854" s="2" t="n">
        <v>20</v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>
        <f>IF(F854=1,V854*2,IF(F854=2,V854*F854*2,IF(F854&gt;2,F854*2*V854)))</f>
        <v/>
      </c>
      <c r="AW854" s="2">
        <f>SUM(W854:AU854)</f>
        <v/>
      </c>
    </row>
    <row r="855">
      <c r="A855" s="2" t="inlineStr">
        <is>
          <t>A14-DB-N289</t>
        </is>
      </c>
      <c r="B855" s="3" t="inlineStr">
        <is>
          <t>DOJC-SM-LC/PC-SC/PC</t>
        </is>
      </c>
      <c r="C855" s="2" t="inlineStr">
        <is>
          <t>908040873, 15M, B3, 2.0mm</t>
        </is>
      </c>
      <c r="D855" s="2" t="inlineStr">
        <is>
          <t>b3</t>
        </is>
      </c>
      <c r="E855" s="2" t="inlineStr">
        <is>
          <t>2.0mm</t>
        </is>
      </c>
      <c r="F855" s="2" t="n">
        <v>2</v>
      </c>
      <c r="G855" s="2" t="n">
        <v>15</v>
      </c>
      <c r="H855" s="2" t="inlineStr">
        <is>
          <t>LC/PC</t>
        </is>
      </c>
      <c r="I855" s="2" t="inlineStr">
        <is>
          <t>SC/PC</t>
        </is>
      </c>
      <c r="J855" s="2" t="n">
        <v>80</v>
      </c>
      <c r="K855" s="2" t="n">
        <v>130</v>
      </c>
      <c r="L855" s="2" t="n"/>
      <c r="M855" s="2" t="n">
        <v>38</v>
      </c>
      <c r="N855" s="2" t="n"/>
      <c r="O855" s="2" t="n">
        <v>7</v>
      </c>
      <c r="P855" s="2" t="n"/>
      <c r="Q855" s="2" t="n"/>
      <c r="R855" s="2" t="n">
        <v>167</v>
      </c>
      <c r="S855" s="2" t="n">
        <v>158</v>
      </c>
      <c r="T855" s="2" t="n"/>
      <c r="U855" s="2" t="n"/>
      <c r="V855" s="2">
        <f>SUM(J855:U855)</f>
        <v/>
      </c>
      <c r="W855" s="2" t="n">
        <v>1160</v>
      </c>
      <c r="X855" s="2" t="n"/>
      <c r="Y855" s="2" t="n"/>
      <c r="Z855" s="2" t="n"/>
      <c r="AA855" s="2" t="n"/>
      <c r="AB855" s="2" t="n">
        <v>1160</v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>
        <f>IF(F855=1,V855*2,IF(F855=2,V855*F855*2,IF(F855&gt;2,F855*2*V855)))</f>
        <v/>
      </c>
      <c r="AW855" s="2">
        <f>SUM(W855:AU855)</f>
        <v/>
      </c>
    </row>
    <row r="856">
      <c r="A856" s="2" t="inlineStr">
        <is>
          <t>A14-DB-N291</t>
        </is>
      </c>
      <c r="B856" s="3" t="inlineStr">
        <is>
          <t>DOJC-SM-LC/PC-SC/PC</t>
        </is>
      </c>
      <c r="C856" s="2" t="inlineStr">
        <is>
          <t>17M, B3, 2.0mm</t>
        </is>
      </c>
      <c r="D856" s="2" t="inlineStr">
        <is>
          <t>b3</t>
        </is>
      </c>
      <c r="E856" s="2" t="inlineStr">
        <is>
          <t>2.0mm</t>
        </is>
      </c>
      <c r="F856" s="2" t="n">
        <v>2</v>
      </c>
      <c r="G856" s="2" t="n">
        <v>17</v>
      </c>
      <c r="H856" s="2" t="inlineStr">
        <is>
          <t>LC/PC</t>
        </is>
      </c>
      <c r="I856" s="2" t="inlineStr">
        <is>
          <t>SC/PC</t>
        </is>
      </c>
      <c r="J856" s="2" t="n"/>
      <c r="K856" s="2" t="n"/>
      <c r="L856" s="2" t="n"/>
      <c r="M856" s="2" t="n"/>
      <c r="N856" s="2" t="n"/>
      <c r="O856" s="2" t="n"/>
      <c r="P856" s="2" t="n"/>
      <c r="Q856" s="2" t="n">
        <v>8</v>
      </c>
      <c r="R856" s="2" t="n"/>
      <c r="S856" s="2" t="n"/>
      <c r="T856" s="2" t="n"/>
      <c r="U856" s="2" t="n"/>
      <c r="V856" s="2">
        <f>SUM(J856:U856)</f>
        <v/>
      </c>
      <c r="W856" s="2" t="n">
        <v>16</v>
      </c>
      <c r="X856" s="2" t="n"/>
      <c r="Y856" s="2" t="n"/>
      <c r="Z856" s="2" t="n"/>
      <c r="AA856" s="2" t="n"/>
      <c r="AB856" s="2" t="n">
        <v>16</v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>
        <f>IF(F856=1,V856*2,IF(F856=2,V856*F856*2,IF(F856&gt;2,F856*2*V856)))</f>
        <v/>
      </c>
      <c r="AW856" s="2">
        <f>SUM(W856:AU856)</f>
        <v/>
      </c>
    </row>
    <row r="857">
      <c r="A857" s="2" t="inlineStr">
        <is>
          <t>A14-DB-N292</t>
        </is>
      </c>
      <c r="B857" s="3" t="inlineStr">
        <is>
          <t>DOJC-SM-LC/PC-SC/PC</t>
        </is>
      </c>
      <c r="C857" s="2" t="inlineStr">
        <is>
          <t>18M, B3, 2.0mm</t>
        </is>
      </c>
      <c r="D857" s="2" t="inlineStr">
        <is>
          <t>b3</t>
        </is>
      </c>
      <c r="E857" s="2" t="inlineStr">
        <is>
          <t>2.0mm</t>
        </is>
      </c>
      <c r="F857" s="2" t="n">
        <v>2</v>
      </c>
      <c r="G857" s="2" t="n">
        <v>18</v>
      </c>
      <c r="H857" s="2" t="inlineStr">
        <is>
          <t>LC/PC</t>
        </is>
      </c>
      <c r="I857" s="2" t="inlineStr">
        <is>
          <t>SC/PC</t>
        </is>
      </c>
      <c r="J857" s="2" t="n"/>
      <c r="K857" s="2" t="n"/>
      <c r="L857" s="2" t="n">
        <v>19</v>
      </c>
      <c r="M857" s="2" t="n"/>
      <c r="N857" s="2" t="n"/>
      <c r="O857" s="2" t="n">
        <v>20</v>
      </c>
      <c r="P857" s="2" t="n"/>
      <c r="Q857" s="2" t="n"/>
      <c r="R857" s="2" t="n"/>
      <c r="S857" s="2" t="n"/>
      <c r="T857" s="2" t="n"/>
      <c r="U857" s="2" t="n"/>
      <c r="V857" s="2">
        <f>SUM(J857:U857)</f>
        <v/>
      </c>
      <c r="W857" s="2" t="n">
        <v>78</v>
      </c>
      <c r="X857" s="2" t="n"/>
      <c r="Y857" s="2" t="n"/>
      <c r="Z857" s="2" t="n"/>
      <c r="AA857" s="2" t="n"/>
      <c r="AB857" s="2" t="n">
        <v>78</v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>
        <f>IF(F857=1,V857*2,IF(F857=2,V857*F857*2,IF(F857&gt;2,F857*2*V857)))</f>
        <v/>
      </c>
      <c r="AW857" s="2">
        <f>SUM(W857:AU857)</f>
        <v/>
      </c>
    </row>
    <row r="858">
      <c r="A858" s="2" t="inlineStr">
        <is>
          <t>A14-DB-N295</t>
        </is>
      </c>
      <c r="B858" s="3" t="inlineStr">
        <is>
          <t>DOJC-SM-LC/PC-SC/PC</t>
        </is>
      </c>
      <c r="C858" s="2" t="inlineStr">
        <is>
          <t>908040878, 20M, B3, 2.0mm</t>
        </is>
      </c>
      <c r="D858" s="2" t="inlineStr">
        <is>
          <t>b3</t>
        </is>
      </c>
      <c r="E858" s="2" t="inlineStr">
        <is>
          <t>2.0mm</t>
        </is>
      </c>
      <c r="F858" s="2" t="n">
        <v>2</v>
      </c>
      <c r="G858" s="2" t="n">
        <v>20</v>
      </c>
      <c r="H858" s="2" t="inlineStr">
        <is>
          <t>LC/PC</t>
        </is>
      </c>
      <c r="I858" s="2" t="inlineStr">
        <is>
          <t>SC/PC</t>
        </is>
      </c>
      <c r="J858" s="2" t="n">
        <v>300</v>
      </c>
      <c r="K858" s="2" t="n"/>
      <c r="L858" s="2" t="n"/>
      <c r="M858" s="2" t="n"/>
      <c r="N858" s="2" t="n"/>
      <c r="O858" s="2" t="n"/>
      <c r="P858" s="2" t="n"/>
      <c r="Q858" s="2" t="n">
        <v>108</v>
      </c>
      <c r="R858" s="2" t="n">
        <v>120</v>
      </c>
      <c r="S858" s="2" t="n">
        <v>30</v>
      </c>
      <c r="T858" s="2" t="n"/>
      <c r="U858" s="2" t="n"/>
      <c r="V858" s="2">
        <f>SUM(J858:U858)</f>
        <v/>
      </c>
      <c r="W858" s="2" t="n">
        <v>1116</v>
      </c>
      <c r="X858" s="2" t="n"/>
      <c r="Y858" s="2" t="n"/>
      <c r="Z858" s="2" t="n"/>
      <c r="AA858" s="2" t="n"/>
      <c r="AB858" s="2" t="n">
        <v>1116</v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>
        <f>IF(F858=1,V858*2,IF(F858=2,V858*F858*2,IF(F858&gt;2,F858*2*V858)))</f>
        <v/>
      </c>
      <c r="AW858" s="2">
        <f>SUM(W858:AU858)</f>
        <v/>
      </c>
    </row>
    <row r="859">
      <c r="A859" s="2" t="inlineStr">
        <is>
          <t>A14-DB-N300</t>
        </is>
      </c>
      <c r="B859" s="3" t="inlineStr">
        <is>
          <t>DOJC-SM-LC/PC-SC/PC</t>
        </is>
      </c>
      <c r="C859" s="2" t="inlineStr">
        <is>
          <t>908040883, 25M, B3, 2.0mm</t>
        </is>
      </c>
      <c r="D859" s="2" t="inlineStr">
        <is>
          <t>b3</t>
        </is>
      </c>
      <c r="E859" s="2" t="inlineStr">
        <is>
          <t>2.0mm</t>
        </is>
      </c>
      <c r="F859" s="2" t="n">
        <v>2</v>
      </c>
      <c r="G859" s="2" t="n">
        <v>25</v>
      </c>
      <c r="H859" s="2" t="inlineStr">
        <is>
          <t>LC/PC</t>
        </is>
      </c>
      <c r="I859" s="2" t="inlineStr">
        <is>
          <t>SC/PC</t>
        </is>
      </c>
      <c r="J859" s="2" t="n"/>
      <c r="K859" s="2" t="n"/>
      <c r="L859" s="2" t="n">
        <v>71</v>
      </c>
      <c r="M859" s="2" t="n">
        <v>5</v>
      </c>
      <c r="N859" s="2" t="n"/>
      <c r="O859" s="2" t="n"/>
      <c r="P859" s="2" t="n"/>
      <c r="Q859" s="2" t="n"/>
      <c r="R859" s="2" t="n"/>
      <c r="S859" s="2" t="n">
        <v>1</v>
      </c>
      <c r="T859" s="2" t="n"/>
      <c r="U859" s="2" t="n"/>
      <c r="V859" s="2">
        <f>SUM(J859:U859)</f>
        <v/>
      </c>
      <c r="W859" s="2" t="n">
        <v>154</v>
      </c>
      <c r="X859" s="2" t="n"/>
      <c r="Y859" s="2" t="n"/>
      <c r="Z859" s="2" t="n"/>
      <c r="AA859" s="2" t="n"/>
      <c r="AB859" s="2" t="n">
        <v>154</v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>
        <f>IF(F859=1,V859*2,IF(F859=2,V859*F859*2,IF(F859&gt;2,F859*2*V859)))</f>
        <v/>
      </c>
      <c r="AW859" s="2">
        <f>SUM(W859:AU859)</f>
        <v/>
      </c>
    </row>
    <row r="860">
      <c r="A860" s="2" t="inlineStr">
        <is>
          <t>A14-DB-N303</t>
        </is>
      </c>
      <c r="B860" s="3" t="inlineStr">
        <is>
          <t>DOJC-SM-LC/PC-SC/PC</t>
        </is>
      </c>
      <c r="C860" s="2" t="inlineStr">
        <is>
          <t>908040861, 2M, B3, 3.0mm</t>
        </is>
      </c>
      <c r="D860" s="2" t="inlineStr">
        <is>
          <t>b3</t>
        </is>
      </c>
      <c r="E860" s="2" t="inlineStr">
        <is>
          <t>3.0mm</t>
        </is>
      </c>
      <c r="F860" s="2" t="n">
        <v>2</v>
      </c>
      <c r="G860" s="2" t="n">
        <v>2</v>
      </c>
      <c r="H860" s="2" t="inlineStr">
        <is>
          <t>LC/PC</t>
        </is>
      </c>
      <c r="I860" s="2" t="inlineStr">
        <is>
          <t>SC/PC</t>
        </is>
      </c>
      <c r="J860" s="2" t="n"/>
      <c r="K860" s="2" t="n">
        <v>20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>
        <v>10</v>
      </c>
      <c r="U860" s="2" t="n"/>
      <c r="V860" s="2">
        <f>SUM(J860:U860)</f>
        <v/>
      </c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>
        <v>60</v>
      </c>
      <c r="AK860" s="2" t="n"/>
      <c r="AL860" s="2" t="n"/>
      <c r="AM860" s="2" t="n"/>
      <c r="AN860" s="2" t="n"/>
      <c r="AO860" s="2" t="n">
        <v>60</v>
      </c>
      <c r="AP860" s="2" t="n"/>
      <c r="AQ860" s="2" t="n"/>
      <c r="AR860" s="2" t="n"/>
      <c r="AS860" s="2" t="n"/>
      <c r="AT860" s="2" t="n"/>
      <c r="AU860" s="2" t="n"/>
      <c r="AV860" s="2">
        <f>IF(F860=1,V860*2,IF(F860=2,V860*F860*2,IF(F860&gt;2,F860*2*V860)))</f>
        <v/>
      </c>
      <c r="AW860" s="2">
        <f>SUM(W860:AU860)</f>
        <v/>
      </c>
    </row>
    <row r="861">
      <c r="A861" s="2" t="inlineStr">
        <is>
          <t>A14-DB-N304</t>
        </is>
      </c>
      <c r="B861" s="3" t="inlineStr">
        <is>
          <t>DOJC-SM-LC/PC-SC/PC</t>
        </is>
      </c>
      <c r="C861" s="2" t="inlineStr">
        <is>
          <t>908040888, 30M, B3, 2.0mm</t>
        </is>
      </c>
      <c r="D861" s="2" t="inlineStr">
        <is>
          <t>b3</t>
        </is>
      </c>
      <c r="E861" s="2" t="inlineStr">
        <is>
          <t>2.0mm</t>
        </is>
      </c>
      <c r="F861" s="2" t="n">
        <v>2</v>
      </c>
      <c r="G861" s="2" t="n">
        <v>30</v>
      </c>
      <c r="H861" s="2" t="inlineStr">
        <is>
          <t>LC/PC</t>
        </is>
      </c>
      <c r="I861" s="2" t="inlineStr">
        <is>
          <t>SC/PC</t>
        </is>
      </c>
      <c r="J861" s="2" t="n">
        <v>10</v>
      </c>
      <c r="K861" s="2" t="n">
        <v>3</v>
      </c>
      <c r="L861" s="2" t="n">
        <v>30</v>
      </c>
      <c r="M861" s="2" t="n"/>
      <c r="N861" s="2" t="n"/>
      <c r="O861" s="2" t="n">
        <v>16</v>
      </c>
      <c r="P861" s="2" t="n"/>
      <c r="Q861" s="2" t="n"/>
      <c r="R861" s="2" t="n"/>
      <c r="S861" s="2" t="n"/>
      <c r="T861" s="2" t="n"/>
      <c r="U861" s="2" t="n"/>
      <c r="V861" s="2">
        <f>SUM(J861:U861)</f>
        <v/>
      </c>
      <c r="W861" s="2" t="n">
        <v>118</v>
      </c>
      <c r="X861" s="2" t="n"/>
      <c r="Y861" s="2" t="n"/>
      <c r="Z861" s="2" t="n"/>
      <c r="AA861" s="2" t="n"/>
      <c r="AB861" s="2" t="n">
        <v>118</v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>
        <f>IF(F861=1,V861*2,IF(F861=2,V861*F861*2,IF(F861&gt;2,F861*2*V861)))</f>
        <v/>
      </c>
      <c r="AW861" s="2">
        <f>SUM(W861:AU861)</f>
        <v/>
      </c>
    </row>
    <row r="862">
      <c r="A862" s="2" t="inlineStr">
        <is>
          <t>A14-DB-N307</t>
        </is>
      </c>
      <c r="B862" s="3" t="inlineStr">
        <is>
          <t>DOJC-SM-LC/PC-SC/PC</t>
        </is>
      </c>
      <c r="C862" s="2" t="inlineStr">
        <is>
          <t>908040859, 3M, B3, 3.0mm</t>
        </is>
      </c>
      <c r="D862" s="2" t="inlineStr">
        <is>
          <t>b3</t>
        </is>
      </c>
      <c r="E862" s="2" t="inlineStr">
        <is>
          <t>3.0mm</t>
        </is>
      </c>
      <c r="F862" s="2" t="n">
        <v>2</v>
      </c>
      <c r="G862" s="2" t="n">
        <v>3</v>
      </c>
      <c r="H862" s="2" t="inlineStr">
        <is>
          <t>LC/PC</t>
        </is>
      </c>
      <c r="I862" s="2" t="inlineStr">
        <is>
          <t>SC/PC</t>
        </is>
      </c>
      <c r="J862" s="2" t="n"/>
      <c r="K862" s="2" t="n"/>
      <c r="L862" s="2" t="n"/>
      <c r="M862" s="2" t="n"/>
      <c r="N862" s="2" t="n"/>
      <c r="O862" s="2" t="n">
        <v>50</v>
      </c>
      <c r="P862" s="2" t="n"/>
      <c r="Q862" s="2" t="n"/>
      <c r="R862" s="2" t="n"/>
      <c r="S862" s="2" t="n"/>
      <c r="T862" s="2" t="n"/>
      <c r="U862" s="2" t="n"/>
      <c r="V862" s="2">
        <f>SUM(J862:U862)</f>
        <v/>
      </c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>
        <v>100</v>
      </c>
      <c r="AK862" s="2" t="n"/>
      <c r="AL862" s="2" t="n"/>
      <c r="AM862" s="2" t="n"/>
      <c r="AN862" s="2" t="n"/>
      <c r="AO862" s="2" t="n">
        <v>100</v>
      </c>
      <c r="AP862" s="2" t="n"/>
      <c r="AQ862" s="2" t="n"/>
      <c r="AR862" s="2" t="n"/>
      <c r="AS862" s="2" t="n"/>
      <c r="AT862" s="2" t="n"/>
      <c r="AU862" s="2" t="n"/>
      <c r="AV862" s="2">
        <f>IF(F862=1,V862*2,IF(F862=2,V862*F862*2,IF(F862&gt;2,F862*2*V862)))</f>
        <v/>
      </c>
      <c r="AW862" s="2">
        <f>SUM(W862:AU862)</f>
        <v/>
      </c>
    </row>
    <row r="863">
      <c r="A863" s="2" t="inlineStr">
        <is>
          <t>A14-DB-N308</t>
        </is>
      </c>
      <c r="B863" s="3" t="inlineStr">
        <is>
          <t>DOJC-SM-LC/PC-SC/PC</t>
        </is>
      </c>
      <c r="C863" s="2" t="inlineStr">
        <is>
          <t>920000729, 40M, B3, 2.0mm</t>
        </is>
      </c>
      <c r="D863" s="2" t="inlineStr">
        <is>
          <t>b3</t>
        </is>
      </c>
      <c r="E863" s="2" t="inlineStr">
        <is>
          <t>2.0mm</t>
        </is>
      </c>
      <c r="F863" s="2" t="n">
        <v>2</v>
      </c>
      <c r="G863" s="2" t="n">
        <v>40</v>
      </c>
      <c r="H863" s="2" t="inlineStr">
        <is>
          <t>LC/PC</t>
        </is>
      </c>
      <c r="I863" s="2" t="inlineStr">
        <is>
          <t>SC/PC</t>
        </is>
      </c>
      <c r="J863" s="2" t="n"/>
      <c r="K863" s="2" t="n">
        <v>20</v>
      </c>
      <c r="L863" s="2" t="n"/>
      <c r="M863" s="2" t="n"/>
      <c r="N863" s="2" t="n"/>
      <c r="O863" s="2" t="n"/>
      <c r="P863" s="2" t="n"/>
      <c r="Q863" s="2" t="n"/>
      <c r="R863" s="2" t="n">
        <v>10</v>
      </c>
      <c r="S863" s="2" t="n">
        <v>5</v>
      </c>
      <c r="T863" s="2" t="n"/>
      <c r="U863" s="2" t="n"/>
      <c r="V863" s="2">
        <f>SUM(J863:U863)</f>
        <v/>
      </c>
      <c r="W863" s="2" t="n">
        <v>70</v>
      </c>
      <c r="X863" s="2" t="n"/>
      <c r="Y863" s="2" t="n"/>
      <c r="Z863" s="2" t="n"/>
      <c r="AA863" s="2" t="n"/>
      <c r="AB863" s="2" t="n">
        <v>70</v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>
        <f>IF(F863=1,V863*2,IF(F863=2,V863*F863*2,IF(F863&gt;2,F863*2*V863)))</f>
        <v/>
      </c>
      <c r="AW863" s="2">
        <f>SUM(W863:AU863)</f>
        <v/>
      </c>
    </row>
    <row r="864">
      <c r="A864" s="2" t="inlineStr">
        <is>
          <t>A14-DB-N313</t>
        </is>
      </c>
      <c r="B864" s="3" t="inlineStr">
        <is>
          <t>DOJC-SM-LC/PC-SC/PC</t>
        </is>
      </c>
      <c r="C864" s="2" t="inlineStr">
        <is>
          <t>908040863, 5M, B3, 3.0mm</t>
        </is>
      </c>
      <c r="D864" s="2" t="inlineStr">
        <is>
          <t>b3</t>
        </is>
      </c>
      <c r="E864" s="2" t="inlineStr">
        <is>
          <t>3.0mm</t>
        </is>
      </c>
      <c r="F864" s="2" t="n">
        <v>2</v>
      </c>
      <c r="G864" s="2" t="n">
        <v>5</v>
      </c>
      <c r="H864" s="2" t="inlineStr">
        <is>
          <t>LC/PC</t>
        </is>
      </c>
      <c r="I864" s="2" t="inlineStr">
        <is>
          <t>SC/PC</t>
        </is>
      </c>
      <c r="J864" s="2" t="n">
        <v>5</v>
      </c>
      <c r="K864" s="2" t="n"/>
      <c r="L864" s="2" t="n"/>
      <c r="M864" s="2" t="n"/>
      <c r="N864" s="2" t="n"/>
      <c r="O864" s="2" t="n">
        <v>30</v>
      </c>
      <c r="P864" s="2" t="n">
        <v>10</v>
      </c>
      <c r="Q864" s="2" t="n"/>
      <c r="R864" s="2" t="n"/>
      <c r="S864" s="2" t="n"/>
      <c r="T864" s="2" t="n"/>
      <c r="U864" s="2" t="n"/>
      <c r="V864" s="2">
        <f>SUM(J864:U864)</f>
        <v/>
      </c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>
        <v>90</v>
      </c>
      <c r="AK864" s="2" t="n"/>
      <c r="AL864" s="2" t="n"/>
      <c r="AM864" s="2" t="n"/>
      <c r="AN864" s="2" t="n"/>
      <c r="AO864" s="2" t="n">
        <v>90</v>
      </c>
      <c r="AP864" s="2" t="n"/>
      <c r="AQ864" s="2" t="n"/>
      <c r="AR864" s="2" t="n"/>
      <c r="AS864" s="2" t="n"/>
      <c r="AT864" s="2" t="n"/>
      <c r="AU864" s="2" t="n"/>
      <c r="AV864" s="2">
        <f>IF(F864=1,V864*2,IF(F864=2,V864*F864*2,IF(F864&gt;2,F864*2*V864)))</f>
        <v/>
      </c>
      <c r="AW864" s="2">
        <f>SUM(W864:AU864)</f>
        <v/>
      </c>
    </row>
    <row r="865">
      <c r="A865" s="2" t="inlineStr">
        <is>
          <t>A14-DB-N314</t>
        </is>
      </c>
      <c r="B865" s="3" t="inlineStr">
        <is>
          <t>DOJC-SM-LC/PC-SC/PC</t>
        </is>
      </c>
      <c r="C865" s="2" t="inlineStr">
        <is>
          <t>60M, B3, 2.0mm</t>
        </is>
      </c>
      <c r="D865" s="2" t="inlineStr">
        <is>
          <t>b3</t>
        </is>
      </c>
      <c r="E865" s="2" t="inlineStr">
        <is>
          <t>2.0mm</t>
        </is>
      </c>
      <c r="F865" s="2" t="n">
        <v>2</v>
      </c>
      <c r="G865" s="2" t="n">
        <v>60</v>
      </c>
      <c r="H865" s="2" t="inlineStr">
        <is>
          <t>LC/PC</t>
        </is>
      </c>
      <c r="I865" s="2" t="inlineStr">
        <is>
          <t>SC/PC</t>
        </is>
      </c>
      <c r="J865" s="2" t="n"/>
      <c r="K865" s="2" t="n"/>
      <c r="L865" s="2" t="n"/>
      <c r="M865" s="2" t="n">
        <v>4</v>
      </c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>
        <f>SUM(J865:U865)</f>
        <v/>
      </c>
      <c r="W865" s="2" t="n">
        <v>8</v>
      </c>
      <c r="X865" s="2" t="n"/>
      <c r="Y865" s="2" t="n"/>
      <c r="Z865" s="2" t="n"/>
      <c r="AA865" s="2" t="n"/>
      <c r="AB865" s="2" t="n">
        <v>8</v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>
        <f>IF(F865=1,V865*2,IF(F865=2,V865*F865*2,IF(F865&gt;2,F865*2*V865)))</f>
        <v/>
      </c>
      <c r="AW865" s="2">
        <f>SUM(W865:AU865)</f>
        <v/>
      </c>
    </row>
    <row r="866">
      <c r="A866" s="2" t="inlineStr">
        <is>
          <t>A14-DB-N316</t>
        </is>
      </c>
      <c r="B866" s="3" t="inlineStr">
        <is>
          <t>DOJC-SM-LC/PC-SC/PC</t>
        </is>
      </c>
      <c r="C866" s="2" t="inlineStr">
        <is>
          <t>908040864, 6M, B3, 2.0mm</t>
        </is>
      </c>
      <c r="D866" s="2" t="inlineStr">
        <is>
          <t>b3</t>
        </is>
      </c>
      <c r="E866" s="2" t="inlineStr">
        <is>
          <t>2.0mm</t>
        </is>
      </c>
      <c r="F866" s="2" t="n">
        <v>2</v>
      </c>
      <c r="G866" s="2" t="n">
        <v>6</v>
      </c>
      <c r="H866" s="2" t="inlineStr">
        <is>
          <t>LC/PC</t>
        </is>
      </c>
      <c r="I866" s="2" t="inlineStr">
        <is>
          <t>SC/PC</t>
        </is>
      </c>
      <c r="J866" s="2" t="n"/>
      <c r="K866" s="2" t="n"/>
      <c r="L866" s="2" t="n">
        <v>26</v>
      </c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>
        <f>SUM(J866:U866)</f>
        <v/>
      </c>
      <c r="W866" s="2" t="n">
        <v>52</v>
      </c>
      <c r="X866" s="2" t="n"/>
      <c r="Y866" s="2" t="n"/>
      <c r="Z866" s="2" t="n"/>
      <c r="AA866" s="2" t="n"/>
      <c r="AB866" s="2" t="n">
        <v>52</v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>
        <f>IF(F866=1,V866*2,IF(F866=2,V866*F866*2,IF(F866&gt;2,F866*2*V866)))</f>
        <v/>
      </c>
      <c r="AW866" s="2">
        <f>SUM(W866:AU866)</f>
        <v/>
      </c>
    </row>
    <row r="867">
      <c r="A867" s="2" t="inlineStr">
        <is>
          <t>A14-DB-N318</t>
        </is>
      </c>
      <c r="B867" s="3" t="inlineStr">
        <is>
          <t>DOJC-SM-LC/PC-SC/PC</t>
        </is>
      </c>
      <c r="C867" s="2" t="inlineStr">
        <is>
          <t>908040865, 7M, B3, 2.0mm</t>
        </is>
      </c>
      <c r="D867" s="2" t="inlineStr">
        <is>
          <t>b3</t>
        </is>
      </c>
      <c r="E867" s="2" t="inlineStr">
        <is>
          <t>2.0mm</t>
        </is>
      </c>
      <c r="F867" s="2" t="n">
        <v>2</v>
      </c>
      <c r="G867" s="2" t="n">
        <v>7</v>
      </c>
      <c r="H867" s="2" t="inlineStr">
        <is>
          <t>LC/PC</t>
        </is>
      </c>
      <c r="I867" s="2" t="inlineStr">
        <is>
          <t>SC/PC</t>
        </is>
      </c>
      <c r="J867" s="2" t="n"/>
      <c r="K867" s="2" t="n"/>
      <c r="L867" s="2" t="n"/>
      <c r="M867" s="2" t="n"/>
      <c r="N867" s="2" t="n"/>
      <c r="O867" s="2" t="n">
        <v>20</v>
      </c>
      <c r="P867" s="2" t="n"/>
      <c r="Q867" s="2" t="n">
        <v>20</v>
      </c>
      <c r="R867" s="2" t="n"/>
      <c r="S867" s="2" t="n">
        <v>30</v>
      </c>
      <c r="T867" s="2" t="n">
        <v>15</v>
      </c>
      <c r="U867" s="2" t="n"/>
      <c r="V867" s="2">
        <f>SUM(J867:U867)</f>
        <v/>
      </c>
      <c r="W867" s="2" t="n">
        <v>170</v>
      </c>
      <c r="X867" s="2" t="n"/>
      <c r="Y867" s="2" t="n"/>
      <c r="Z867" s="2" t="n"/>
      <c r="AA867" s="2" t="n"/>
      <c r="AB867" s="2" t="n">
        <v>170</v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>
        <f>IF(F867=1,V867*2,IF(F867=2,V867*F867*2,IF(F867&gt;2,F867*2*V867)))</f>
        <v/>
      </c>
      <c r="AW867" s="2">
        <f>SUM(W867:AU867)</f>
        <v/>
      </c>
    </row>
    <row r="868">
      <c r="A868" s="2" t="inlineStr">
        <is>
          <t>A14-DB-N320</t>
        </is>
      </c>
      <c r="B868" s="3" t="inlineStr">
        <is>
          <t>DOJC-SM-LC/PC-SC/PC</t>
        </is>
      </c>
      <c r="C868" s="2" t="inlineStr">
        <is>
          <t>908040866, 8M, B3, 2.0mm</t>
        </is>
      </c>
      <c r="D868" s="2" t="inlineStr">
        <is>
          <t>b3</t>
        </is>
      </c>
      <c r="E868" s="2" t="inlineStr">
        <is>
          <t>2.0mm</t>
        </is>
      </c>
      <c r="F868" s="2" t="n">
        <v>2</v>
      </c>
      <c r="G868" s="2" t="n">
        <v>8</v>
      </c>
      <c r="H868" s="2" t="inlineStr">
        <is>
          <t>LC/PC</t>
        </is>
      </c>
      <c r="I868" s="2" t="inlineStr">
        <is>
          <t>SC/PC</t>
        </is>
      </c>
      <c r="J868" s="2" t="n">
        <v>20</v>
      </c>
      <c r="K868" s="2" t="n"/>
      <c r="L868" s="2" t="n">
        <v>20</v>
      </c>
      <c r="M868" s="2" t="n"/>
      <c r="N868" s="2" t="n"/>
      <c r="O868" s="2" t="n"/>
      <c r="P868" s="2" t="n">
        <v>5</v>
      </c>
      <c r="Q868" s="2" t="n"/>
      <c r="R868" s="2" t="n"/>
      <c r="S868" s="2" t="n">
        <v>30</v>
      </c>
      <c r="T868" s="2" t="n"/>
      <c r="U868" s="2" t="n">
        <v>20</v>
      </c>
      <c r="V868" s="2">
        <f>SUM(J868:U868)</f>
        <v/>
      </c>
      <c r="W868" s="2" t="n">
        <v>190</v>
      </c>
      <c r="X868" s="2" t="n"/>
      <c r="Y868" s="2" t="n"/>
      <c r="Z868" s="2" t="n"/>
      <c r="AA868" s="2" t="n"/>
      <c r="AB868" s="2" t="n">
        <v>190</v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>
        <f>IF(F868=1,V868*2,IF(F868=2,V868*F868*2,IF(F868&gt;2,F868*2*V868)))</f>
        <v/>
      </c>
      <c r="AW868" s="2">
        <f>SUM(W868:AU868)</f>
        <v/>
      </c>
    </row>
    <row r="869">
      <c r="A869" s="2" t="inlineStr">
        <is>
          <t>A14-DB-N379</t>
        </is>
      </c>
      <c r="B869" s="3" t="inlineStr">
        <is>
          <t>DOJC-SM-SC/APC-SC/APC</t>
        </is>
      </c>
      <c r="C869" s="2" t="inlineStr">
        <is>
          <t>908040567, 10M, B3, 2.0mm</t>
        </is>
      </c>
      <c r="D869" s="2" t="inlineStr">
        <is>
          <t>b3</t>
        </is>
      </c>
      <c r="E869" s="2" t="inlineStr">
        <is>
          <t>2.0mm</t>
        </is>
      </c>
      <c r="F869" s="2" t="n">
        <v>2</v>
      </c>
      <c r="G869" s="2" t="n">
        <v>10</v>
      </c>
      <c r="H869" s="2" t="inlineStr">
        <is>
          <t>SC/APC</t>
        </is>
      </c>
      <c r="I869" s="2" t="inlineStr">
        <is>
          <t>SC/APC</t>
        </is>
      </c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>
        <v>5</v>
      </c>
      <c r="T869" s="2" t="n">
        <v>10</v>
      </c>
      <c r="U869" s="2" t="n">
        <v>30</v>
      </c>
      <c r="V869" s="2">
        <f>SUM(J869:U869)</f>
        <v/>
      </c>
      <c r="W869" s="2" t="n"/>
      <c r="X869" s="2" t="n"/>
      <c r="Y869" s="2" t="n"/>
      <c r="Z869" s="2" t="n"/>
      <c r="AA869" s="2" t="n"/>
      <c r="AB869" s="2" t="n"/>
      <c r="AC869" s="2" t="n">
        <v>90</v>
      </c>
      <c r="AD869" s="2" t="n">
        <v>90</v>
      </c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>
        <f>IF(F869=1,V869*2,IF(F869=2,V869*F869*2,IF(F869&gt;2,F869*2*V869)))</f>
        <v/>
      </c>
      <c r="AW869" s="2">
        <f>SUM(W869:AU869)</f>
        <v/>
      </c>
    </row>
    <row r="870">
      <c r="A870" s="2" t="inlineStr">
        <is>
          <t>A14-DB-N381</t>
        </is>
      </c>
      <c r="B870" s="3" t="inlineStr">
        <is>
          <t>DOJC-SM-SC/APC-SC/APC</t>
        </is>
      </c>
      <c r="C870" s="2" t="inlineStr">
        <is>
          <t>908040572, 15M, B3, 2.0mm</t>
        </is>
      </c>
      <c r="D870" s="2" t="inlineStr">
        <is>
          <t>b3</t>
        </is>
      </c>
      <c r="E870" s="2" t="inlineStr">
        <is>
          <t>2.0mm</t>
        </is>
      </c>
      <c r="F870" s="2" t="n">
        <v>2</v>
      </c>
      <c r="G870" s="2" t="n">
        <v>15</v>
      </c>
      <c r="H870" s="2" t="inlineStr">
        <is>
          <t>SC/APC</t>
        </is>
      </c>
      <c r="I870" s="2" t="inlineStr">
        <is>
          <t>SC/APC</t>
        </is>
      </c>
      <c r="J870" s="2" t="n">
        <v>30</v>
      </c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>
        <v>30</v>
      </c>
      <c r="V870" s="2">
        <f>SUM(J870:U870)</f>
        <v/>
      </c>
      <c r="W870" s="2" t="n"/>
      <c r="X870" s="2" t="n"/>
      <c r="Y870" s="2" t="n"/>
      <c r="Z870" s="2" t="n"/>
      <c r="AA870" s="2" t="n"/>
      <c r="AB870" s="2" t="n"/>
      <c r="AC870" s="2" t="n">
        <v>120</v>
      </c>
      <c r="AD870" s="2" t="n">
        <v>120</v>
      </c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>
        <f>IF(F870=1,V870*2,IF(F870=2,V870*F870*2,IF(F870&gt;2,F870*2*V870)))</f>
        <v/>
      </c>
      <c r="AW870" s="2">
        <f>SUM(W870:AU870)</f>
        <v/>
      </c>
    </row>
    <row r="871">
      <c r="A871" s="2" t="inlineStr">
        <is>
          <t>A14-DB-N388</t>
        </is>
      </c>
      <c r="B871" s="3" t="inlineStr">
        <is>
          <t>DOJC-SM-SC/APC-SC/APC</t>
        </is>
      </c>
      <c r="C871" s="2" t="inlineStr">
        <is>
          <t>908040558, 3M, B3, 3.0mm</t>
        </is>
      </c>
      <c r="D871" s="2" t="inlineStr">
        <is>
          <t>b3</t>
        </is>
      </c>
      <c r="E871" s="2" t="inlineStr">
        <is>
          <t>3.0mm</t>
        </is>
      </c>
      <c r="F871" s="2" t="n">
        <v>2</v>
      </c>
      <c r="G871" s="2" t="n">
        <v>3</v>
      </c>
      <c r="H871" s="2" t="inlineStr">
        <is>
          <t>SC/APC</t>
        </is>
      </c>
      <c r="I871" s="2" t="inlineStr">
        <is>
          <t>SC/APC</t>
        </is>
      </c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>
        <v>34</v>
      </c>
      <c r="V871" s="2">
        <f>SUM(J871:U871)</f>
        <v/>
      </c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>
        <v>68</v>
      </c>
      <c r="AQ871" s="2" t="n">
        <v>68</v>
      </c>
      <c r="AR871" s="2" t="n"/>
      <c r="AS871" s="2" t="n"/>
      <c r="AT871" s="2" t="n"/>
      <c r="AU871" s="2" t="n"/>
      <c r="AV871" s="2">
        <f>IF(F871=1,V871*2,IF(F871=2,V871*F871*2,IF(F871&gt;2,F871*2*V871)))</f>
        <v/>
      </c>
      <c r="AW871" s="2">
        <f>SUM(W871:AU871)</f>
        <v/>
      </c>
    </row>
    <row r="872">
      <c r="A872" s="2" t="inlineStr">
        <is>
          <t>A14-DB-N391</t>
        </is>
      </c>
      <c r="B872" s="3" t="inlineStr">
        <is>
          <t>DOJC-SM-SC/APC-SC/APC</t>
        </is>
      </c>
      <c r="C872" s="2" t="inlineStr">
        <is>
          <t>50M, B3, 2.0mm</t>
        </is>
      </c>
      <c r="D872" s="2" t="inlineStr">
        <is>
          <t>b3</t>
        </is>
      </c>
      <c r="E872" s="2" t="inlineStr">
        <is>
          <t>2.0mm</t>
        </is>
      </c>
      <c r="F872" s="2" t="n">
        <v>2</v>
      </c>
      <c r="G872" s="2" t="n">
        <v>50</v>
      </c>
      <c r="H872" s="2" t="inlineStr">
        <is>
          <t>SC/APC</t>
        </is>
      </c>
      <c r="I872" s="2" t="inlineStr">
        <is>
          <t>SC/APC</t>
        </is>
      </c>
      <c r="J872" s="2" t="n"/>
      <c r="K872" s="2" t="n"/>
      <c r="L872" s="2" t="n">
        <v>2</v>
      </c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>
        <f>SUM(J872:U872)</f>
        <v/>
      </c>
      <c r="W872" s="2" t="n"/>
      <c r="X872" s="2" t="n"/>
      <c r="Y872" s="2" t="n"/>
      <c r="Z872" s="2" t="n"/>
      <c r="AA872" s="2" t="n"/>
      <c r="AB872" s="2" t="n"/>
      <c r="AC872" s="2" t="n">
        <v>4</v>
      </c>
      <c r="AD872" s="2" t="n">
        <v>4</v>
      </c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>
        <f>IF(F872=1,V872*2,IF(F872=2,V872*F872*2,IF(F872&gt;2,F872*2*V872)))</f>
        <v/>
      </c>
      <c r="AW872" s="2">
        <f>SUM(W872:AU872)</f>
        <v/>
      </c>
    </row>
    <row r="873">
      <c r="A873" s="2" t="inlineStr">
        <is>
          <t>A14-DB-N392</t>
        </is>
      </c>
      <c r="B873" s="3" t="inlineStr">
        <is>
          <t>DOJC-SM-SC/APC-SC/APC</t>
        </is>
      </c>
      <c r="C873" s="2" t="inlineStr">
        <is>
          <t>908040562, 5M, B3, 3.0mm</t>
        </is>
      </c>
      <c r="D873" s="2" t="inlineStr">
        <is>
          <t>b3</t>
        </is>
      </c>
      <c r="E873" s="2" t="inlineStr">
        <is>
          <t>3.0mm</t>
        </is>
      </c>
      <c r="F873" s="2" t="n">
        <v>2</v>
      </c>
      <c r="G873" s="2" t="n">
        <v>5</v>
      </c>
      <c r="H873" s="2" t="inlineStr">
        <is>
          <t>SC/APC</t>
        </is>
      </c>
      <c r="I873" s="2" t="inlineStr">
        <is>
          <t>SC/APC</t>
        </is>
      </c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>
        <v>2</v>
      </c>
      <c r="U873" s="2" t="n"/>
      <c r="V873" s="2">
        <f>SUM(J873:U873)</f>
        <v/>
      </c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>
        <v>4</v>
      </c>
      <c r="AQ873" s="2" t="n">
        <v>4</v>
      </c>
      <c r="AR873" s="2" t="n"/>
      <c r="AS873" s="2" t="n"/>
      <c r="AT873" s="2" t="n"/>
      <c r="AU873" s="2" t="n"/>
      <c r="AV873" s="2">
        <f>IF(F873=1,V873*2,IF(F873=2,V873*F873*2,IF(F873&gt;2,F873*2*V873)))</f>
        <v/>
      </c>
      <c r="AW873" s="2">
        <f>SUM(W873:AU873)</f>
        <v/>
      </c>
    </row>
    <row r="874">
      <c r="A874" s="2" t="inlineStr">
        <is>
          <t>A14-DB-N396</t>
        </is>
      </c>
      <c r="B874" s="3" t="inlineStr">
        <is>
          <t>DOJC-SM-SC/PC-FC/APC</t>
        </is>
      </c>
      <c r="C874" s="2" t="inlineStr">
        <is>
          <t>908040442, 10M, B3, 2.0mm</t>
        </is>
      </c>
      <c r="D874" s="2" t="inlineStr">
        <is>
          <t>b3</t>
        </is>
      </c>
      <c r="E874" s="2" t="inlineStr">
        <is>
          <t>2.0mm</t>
        </is>
      </c>
      <c r="F874" s="2" t="n">
        <v>2</v>
      </c>
      <c r="G874" s="2" t="n">
        <v>10</v>
      </c>
      <c r="H874" s="2" t="inlineStr">
        <is>
          <t>SC/PC</t>
        </is>
      </c>
      <c r="I874" s="2" t="inlineStr">
        <is>
          <t>FC/APC</t>
        </is>
      </c>
      <c r="J874" s="2" t="n"/>
      <c r="K874" s="2" t="n"/>
      <c r="L874" s="2" t="n"/>
      <c r="M874" s="2" t="n">
        <v>26</v>
      </c>
      <c r="N874" s="2" t="n">
        <v>20</v>
      </c>
      <c r="O874" s="2" t="n"/>
      <c r="P874" s="2" t="n"/>
      <c r="Q874" s="2" t="n"/>
      <c r="R874" s="2" t="n"/>
      <c r="S874" s="2" t="n"/>
      <c r="T874" s="2" t="n"/>
      <c r="U874" s="2" t="n"/>
      <c r="V874" s="2">
        <f>SUM(J874:U874)</f>
        <v/>
      </c>
      <c r="W874" s="2" t="n"/>
      <c r="X874" s="2" t="n"/>
      <c r="Y874" s="2" t="n"/>
      <c r="Z874" s="2" t="n"/>
      <c r="AA874" s="2" t="n">
        <v>92</v>
      </c>
      <c r="AB874" s="2" t="n"/>
      <c r="AC874" s="2" t="n"/>
      <c r="AD874" s="2" t="n"/>
      <c r="AE874" s="2" t="n"/>
      <c r="AF874" s="2" t="n"/>
      <c r="AG874" s="2" t="n"/>
      <c r="AH874" s="2" t="n">
        <v>92</v>
      </c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>
        <f>IF(F874=1,V874*2,IF(F874=2,V874*F874*2,IF(F874&gt;2,F874*2*V874)))</f>
        <v/>
      </c>
      <c r="AW874" s="2">
        <f>SUM(W874:AU874)</f>
        <v/>
      </c>
    </row>
    <row r="875">
      <c r="A875" s="2" t="inlineStr">
        <is>
          <t>A14-DB-N398</t>
        </is>
      </c>
      <c r="B875" s="3" t="inlineStr">
        <is>
          <t>DOJC-SM-SC/PC-FC/APC</t>
        </is>
      </c>
      <c r="C875" s="2" t="inlineStr">
        <is>
          <t>12M, B3, 2.0mm</t>
        </is>
      </c>
      <c r="D875" s="2" t="inlineStr">
        <is>
          <t>b3</t>
        </is>
      </c>
      <c r="E875" s="2" t="inlineStr">
        <is>
          <t>2.0mm</t>
        </is>
      </c>
      <c r="F875" s="2" t="n">
        <v>2</v>
      </c>
      <c r="G875" s="2" t="n">
        <v>12</v>
      </c>
      <c r="H875" s="2" t="inlineStr">
        <is>
          <t>SC/PC</t>
        </is>
      </c>
      <c r="I875" s="2" t="inlineStr">
        <is>
          <t>FC/APC</t>
        </is>
      </c>
      <c r="J875" s="2" t="n"/>
      <c r="K875" s="2" t="n"/>
      <c r="L875" s="2" t="n"/>
      <c r="M875" s="2" t="n"/>
      <c r="N875" s="2" t="n"/>
      <c r="O875" s="2" t="n"/>
      <c r="P875" s="2" t="n"/>
      <c r="Q875" s="2" t="n">
        <v>4</v>
      </c>
      <c r="R875" s="2" t="n"/>
      <c r="S875" s="2" t="n"/>
      <c r="T875" s="2" t="n"/>
      <c r="U875" s="2" t="n"/>
      <c r="V875" s="2">
        <f>SUM(J875:U875)</f>
        <v/>
      </c>
      <c r="W875" s="2" t="n"/>
      <c r="X875" s="2" t="n"/>
      <c r="Y875" s="2" t="n"/>
      <c r="Z875" s="2" t="n"/>
      <c r="AA875" s="2" t="n">
        <v>8</v>
      </c>
      <c r="AB875" s="2" t="n"/>
      <c r="AC875" s="2" t="n"/>
      <c r="AD875" s="2" t="n"/>
      <c r="AE875" s="2" t="n"/>
      <c r="AF875" s="2" t="n"/>
      <c r="AG875" s="2" t="n"/>
      <c r="AH875" s="2" t="n">
        <v>8</v>
      </c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>
        <f>IF(F875=1,V875*2,IF(F875=2,V875*F875*2,IF(F875&gt;2,F875*2*V875)))</f>
        <v/>
      </c>
      <c r="AW875" s="2">
        <f>SUM(W875:AU875)</f>
        <v/>
      </c>
    </row>
    <row r="876">
      <c r="A876" s="2" t="inlineStr">
        <is>
          <t>A14-DB-N400</t>
        </is>
      </c>
      <c r="B876" s="3" t="inlineStr">
        <is>
          <t>DOJC-SM-SC/PC-FC/APC</t>
        </is>
      </c>
      <c r="C876" s="2" t="inlineStr">
        <is>
          <t>908040447, 15M, B3, 2.0mm</t>
        </is>
      </c>
      <c r="D876" s="2" t="inlineStr">
        <is>
          <t>b3</t>
        </is>
      </c>
      <c r="E876" s="2" t="inlineStr">
        <is>
          <t>2.0mm</t>
        </is>
      </c>
      <c r="F876" s="2" t="n">
        <v>2</v>
      </c>
      <c r="G876" s="2" t="n">
        <v>15</v>
      </c>
      <c r="H876" s="2" t="inlineStr">
        <is>
          <t>SC/PC</t>
        </is>
      </c>
      <c r="I876" s="2" t="inlineStr">
        <is>
          <t>FC/APC</t>
        </is>
      </c>
      <c r="J876" s="2" t="n"/>
      <c r="K876" s="2" t="n">
        <v>9</v>
      </c>
      <c r="L876" s="2" t="n">
        <v>13</v>
      </c>
      <c r="M876" s="2" t="n">
        <v>5</v>
      </c>
      <c r="N876" s="2" t="n"/>
      <c r="O876" s="2" t="n"/>
      <c r="P876" s="2" t="n"/>
      <c r="Q876" s="2" t="n">
        <v>6</v>
      </c>
      <c r="R876" s="2" t="n"/>
      <c r="S876" s="2" t="n"/>
      <c r="T876" s="2" t="n"/>
      <c r="U876" s="2" t="n"/>
      <c r="V876" s="2">
        <f>SUM(J876:U876)</f>
        <v/>
      </c>
      <c r="W876" s="2" t="n"/>
      <c r="X876" s="2" t="n"/>
      <c r="Y876" s="2" t="n"/>
      <c r="Z876" s="2" t="n"/>
      <c r="AA876" s="2" t="n">
        <v>66</v>
      </c>
      <c r="AB876" s="2" t="n"/>
      <c r="AC876" s="2" t="n"/>
      <c r="AD876" s="2" t="n"/>
      <c r="AE876" s="2" t="n"/>
      <c r="AF876" s="2" t="n"/>
      <c r="AG876" s="2" t="n"/>
      <c r="AH876" s="2" t="n">
        <v>66</v>
      </c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>
        <f>IF(F876=1,V876*2,IF(F876=2,V876*F876*2,IF(F876&gt;2,F876*2*V876)))</f>
        <v/>
      </c>
      <c r="AW876" s="2">
        <f>SUM(W876:AU876)</f>
        <v/>
      </c>
    </row>
    <row r="877">
      <c r="A877" s="2" t="inlineStr">
        <is>
          <t>A14-DB-N403</t>
        </is>
      </c>
      <c r="B877" s="3" t="inlineStr">
        <is>
          <t>DOJC-SM-SC/PC-FC/APC</t>
        </is>
      </c>
      <c r="C877" s="2" t="inlineStr">
        <is>
          <t>18M, B3, 2.0mm</t>
        </is>
      </c>
      <c r="D877" s="2" t="inlineStr">
        <is>
          <t>b3</t>
        </is>
      </c>
      <c r="E877" s="2" t="inlineStr">
        <is>
          <t>2.0mm</t>
        </is>
      </c>
      <c r="F877" s="2" t="n">
        <v>2</v>
      </c>
      <c r="G877" s="2" t="n">
        <v>18</v>
      </c>
      <c r="H877" s="2" t="inlineStr">
        <is>
          <t>SC/PC</t>
        </is>
      </c>
      <c r="I877" s="2" t="inlineStr">
        <is>
          <t>FC/APC</t>
        </is>
      </c>
      <c r="J877" s="2" t="n"/>
      <c r="K877" s="2" t="n"/>
      <c r="L877" s="2" t="n"/>
      <c r="M877" s="2" t="n"/>
      <c r="N877" s="2" t="n"/>
      <c r="O877" s="2" t="n"/>
      <c r="P877" s="2" t="n">
        <v>30</v>
      </c>
      <c r="Q877" s="2" t="n"/>
      <c r="R877" s="2" t="n"/>
      <c r="S877" s="2" t="n"/>
      <c r="T877" s="2" t="n"/>
      <c r="U877" s="2" t="n"/>
      <c r="V877" s="2">
        <f>SUM(J877:U877)</f>
        <v/>
      </c>
      <c r="W877" s="2" t="n"/>
      <c r="X877" s="2" t="n"/>
      <c r="Y877" s="2" t="n"/>
      <c r="Z877" s="2" t="n"/>
      <c r="AA877" s="2" t="n">
        <v>60</v>
      </c>
      <c r="AB877" s="2" t="n"/>
      <c r="AC877" s="2" t="n"/>
      <c r="AD877" s="2" t="n"/>
      <c r="AE877" s="2" t="n"/>
      <c r="AF877" s="2" t="n"/>
      <c r="AG877" s="2" t="n"/>
      <c r="AH877" s="2" t="n">
        <v>60</v>
      </c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>
        <f>IF(F877=1,V877*2,IF(F877=2,V877*F877*2,IF(F877&gt;2,F877*2*V877)))</f>
        <v/>
      </c>
      <c r="AW877" s="2">
        <f>SUM(W877:AU877)</f>
        <v/>
      </c>
    </row>
    <row r="878">
      <c r="A878" s="2" t="inlineStr">
        <is>
          <t>A14-DB-N404</t>
        </is>
      </c>
      <c r="B878" s="3" t="inlineStr">
        <is>
          <t>DOJC-SM-SC/PC-FC/APC</t>
        </is>
      </c>
      <c r="C878" s="2" t="inlineStr">
        <is>
          <t>908040452, 20M, B3, 2.0mm</t>
        </is>
      </c>
      <c r="D878" s="2" t="inlineStr">
        <is>
          <t>b3</t>
        </is>
      </c>
      <c r="E878" s="2" t="inlineStr">
        <is>
          <t>2.0mm</t>
        </is>
      </c>
      <c r="F878" s="2" t="n">
        <v>2</v>
      </c>
      <c r="G878" s="2" t="n">
        <v>20</v>
      </c>
      <c r="H878" s="2" t="inlineStr">
        <is>
          <t>SC/PC</t>
        </is>
      </c>
      <c r="I878" s="2" t="inlineStr">
        <is>
          <t>FC/APC</t>
        </is>
      </c>
      <c r="J878" s="2" t="n">
        <v>15</v>
      </c>
      <c r="K878" s="2" t="n">
        <v>20</v>
      </c>
      <c r="L878" s="2" t="n"/>
      <c r="M878" s="2" t="n"/>
      <c r="N878" s="2" t="n"/>
      <c r="O878" s="2" t="n">
        <v>25</v>
      </c>
      <c r="P878" s="2" t="n"/>
      <c r="Q878" s="2" t="n"/>
      <c r="R878" s="2" t="n">
        <v>20</v>
      </c>
      <c r="S878" s="2" t="n">
        <v>15</v>
      </c>
      <c r="T878" s="2" t="n"/>
      <c r="U878" s="2" t="n"/>
      <c r="V878" s="2">
        <f>SUM(J878:U878)</f>
        <v/>
      </c>
      <c r="W878" s="2" t="n"/>
      <c r="X878" s="2" t="n"/>
      <c r="Y878" s="2" t="n"/>
      <c r="Z878" s="2" t="n"/>
      <c r="AA878" s="2" t="n">
        <v>190</v>
      </c>
      <c r="AB878" s="2" t="n"/>
      <c r="AC878" s="2" t="n"/>
      <c r="AD878" s="2" t="n"/>
      <c r="AE878" s="2" t="n"/>
      <c r="AF878" s="2" t="n"/>
      <c r="AG878" s="2" t="n"/>
      <c r="AH878" s="2" t="n">
        <v>190</v>
      </c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>
        <f>IF(F878=1,V878*2,IF(F878=2,V878*F878*2,IF(F878&gt;2,F878*2*V878)))</f>
        <v/>
      </c>
      <c r="AW878" s="2">
        <f>SUM(W878:AU878)</f>
        <v/>
      </c>
    </row>
    <row r="879">
      <c r="A879" s="2" t="inlineStr">
        <is>
          <t>A14-DB-N409</t>
        </is>
      </c>
      <c r="B879" s="3" t="inlineStr">
        <is>
          <t>DOJC-SM-SC/PC-FC/APC</t>
        </is>
      </c>
      <c r="C879" s="2" t="inlineStr">
        <is>
          <t>908040462, 30M, B3, 2.0mm</t>
        </is>
      </c>
      <c r="D879" s="2" t="inlineStr">
        <is>
          <t>b3</t>
        </is>
      </c>
      <c r="E879" s="2" t="inlineStr">
        <is>
          <t>2.0mm</t>
        </is>
      </c>
      <c r="F879" s="2" t="n">
        <v>2</v>
      </c>
      <c r="G879" s="2" t="n">
        <v>30</v>
      </c>
      <c r="H879" s="2" t="inlineStr">
        <is>
          <t>SC/PC</t>
        </is>
      </c>
      <c r="I879" s="2" t="inlineStr">
        <is>
          <t>FC/APC</t>
        </is>
      </c>
      <c r="J879" s="2" t="n"/>
      <c r="K879" s="2" t="n"/>
      <c r="L879" s="2" t="n"/>
      <c r="M879" s="2" t="n">
        <v>20</v>
      </c>
      <c r="N879" s="2" t="n"/>
      <c r="O879" s="2" t="n"/>
      <c r="P879" s="2" t="n"/>
      <c r="Q879" s="2" t="n">
        <v>64</v>
      </c>
      <c r="R879" s="2" t="n"/>
      <c r="S879" s="2" t="n"/>
      <c r="T879" s="2" t="n">
        <v>5</v>
      </c>
      <c r="U879" s="2" t="n">
        <v>2</v>
      </c>
      <c r="V879" s="2">
        <f>SUM(J879:U879)</f>
        <v/>
      </c>
      <c r="W879" s="2" t="n"/>
      <c r="X879" s="2" t="n"/>
      <c r="Y879" s="2" t="n"/>
      <c r="Z879" s="2" t="n"/>
      <c r="AA879" s="2" t="n">
        <v>182</v>
      </c>
      <c r="AB879" s="2" t="n"/>
      <c r="AC879" s="2" t="n"/>
      <c r="AD879" s="2" t="n"/>
      <c r="AE879" s="2" t="n"/>
      <c r="AF879" s="2" t="n"/>
      <c r="AG879" s="2" t="n"/>
      <c r="AH879" s="2" t="n">
        <v>182</v>
      </c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>
        <f>IF(F879=1,V879*2,IF(F879=2,V879*F879*2,IF(F879&gt;2,F879*2*V879)))</f>
        <v/>
      </c>
      <c r="AW879" s="2">
        <f>SUM(W879:AU879)</f>
        <v/>
      </c>
    </row>
    <row r="880">
      <c r="A880" s="2" t="inlineStr">
        <is>
          <t>A14-DB-N411</t>
        </is>
      </c>
      <c r="B880" s="3" t="inlineStr">
        <is>
          <t>DOJC-SM-SC/PC-FC/APC</t>
        </is>
      </c>
      <c r="C880" s="2" t="inlineStr">
        <is>
          <t>35M, B3, 2.0mm</t>
        </is>
      </c>
      <c r="D880" s="2" t="inlineStr">
        <is>
          <t>b3</t>
        </is>
      </c>
      <c r="E880" s="2" t="inlineStr">
        <is>
          <t>2.0mm</t>
        </is>
      </c>
      <c r="F880" s="2" t="n">
        <v>2</v>
      </c>
      <c r="G880" s="2" t="n">
        <v>35</v>
      </c>
      <c r="H880" s="2" t="inlineStr">
        <is>
          <t>SC/PC</t>
        </is>
      </c>
      <c r="I880" s="2" t="inlineStr">
        <is>
          <t>FC/APC</t>
        </is>
      </c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>
        <v>5</v>
      </c>
      <c r="U880" s="2" t="n"/>
      <c r="V880" s="2">
        <f>SUM(J880:U880)</f>
        <v/>
      </c>
      <c r="W880" s="2" t="n"/>
      <c r="X880" s="2" t="n"/>
      <c r="Y880" s="2" t="n"/>
      <c r="Z880" s="2" t="n"/>
      <c r="AA880" s="2" t="n">
        <v>10</v>
      </c>
      <c r="AB880" s="2" t="n"/>
      <c r="AC880" s="2" t="n"/>
      <c r="AD880" s="2" t="n"/>
      <c r="AE880" s="2" t="n"/>
      <c r="AF880" s="2" t="n"/>
      <c r="AG880" s="2" t="n"/>
      <c r="AH880" s="2" t="n">
        <v>10</v>
      </c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>
        <f>IF(F880=1,V880*2,IF(F880=2,V880*F880*2,IF(F880&gt;2,F880*2*V880)))</f>
        <v/>
      </c>
      <c r="AW880" s="2">
        <f>SUM(W880:AU880)</f>
        <v/>
      </c>
    </row>
    <row r="881">
      <c r="A881" s="2" t="inlineStr">
        <is>
          <t>A14-DB-N413</t>
        </is>
      </c>
      <c r="B881" s="3" t="inlineStr">
        <is>
          <t>DOJC-SM-SC/PC-FC/APC</t>
        </is>
      </c>
      <c r="C881" s="2" t="inlineStr">
        <is>
          <t>40M, B3, 2.0mm</t>
        </is>
      </c>
      <c r="D881" s="2" t="inlineStr">
        <is>
          <t>b3</t>
        </is>
      </c>
      <c r="E881" s="2" t="inlineStr">
        <is>
          <t>2.0mm</t>
        </is>
      </c>
      <c r="F881" s="2" t="n">
        <v>2</v>
      </c>
      <c r="G881" s="2" t="n">
        <v>40</v>
      </c>
      <c r="H881" s="2" t="inlineStr">
        <is>
          <t>SC/PC</t>
        </is>
      </c>
      <c r="I881" s="2" t="inlineStr">
        <is>
          <t>FC/APC</t>
        </is>
      </c>
      <c r="J881" s="2" t="n"/>
      <c r="K881" s="2" t="n"/>
      <c r="L881" s="2" t="n"/>
      <c r="M881" s="2" t="n"/>
      <c r="N881" s="2" t="n"/>
      <c r="O881" s="2" t="n"/>
      <c r="P881" s="2" t="n"/>
      <c r="Q881" s="2" t="n">
        <v>5</v>
      </c>
      <c r="R881" s="2" t="n"/>
      <c r="S881" s="2" t="n">
        <v>5</v>
      </c>
      <c r="T881" s="2" t="n">
        <v>5</v>
      </c>
      <c r="U881" s="2" t="n"/>
      <c r="V881" s="2">
        <f>SUM(J881:U881)</f>
        <v/>
      </c>
      <c r="W881" s="2" t="n"/>
      <c r="X881" s="2" t="n"/>
      <c r="Y881" s="2" t="n"/>
      <c r="Z881" s="2" t="n"/>
      <c r="AA881" s="2" t="n">
        <v>30</v>
      </c>
      <c r="AB881" s="2" t="n"/>
      <c r="AC881" s="2" t="n"/>
      <c r="AD881" s="2" t="n"/>
      <c r="AE881" s="2" t="n"/>
      <c r="AF881" s="2" t="n"/>
      <c r="AG881" s="2" t="n"/>
      <c r="AH881" s="2" t="n">
        <v>30</v>
      </c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>
        <f>IF(F881=1,V881*2,IF(F881=2,V881*F881*2,IF(F881&gt;2,F881*2*V881)))</f>
        <v/>
      </c>
      <c r="AW881" s="2">
        <f>SUM(W881:AU881)</f>
        <v/>
      </c>
    </row>
    <row r="882">
      <c r="A882" s="2" t="inlineStr">
        <is>
          <t>A14-DB-N416</t>
        </is>
      </c>
      <c r="B882" s="3" t="inlineStr">
        <is>
          <t>DOJC-SM-SC/PC-FC/APC</t>
        </is>
      </c>
      <c r="C882" s="2" t="inlineStr">
        <is>
          <t>50M, B3, 2.0mm</t>
        </is>
      </c>
      <c r="D882" s="2" t="inlineStr">
        <is>
          <t>b3</t>
        </is>
      </c>
      <c r="E882" s="2" t="inlineStr">
        <is>
          <t>2.0mm</t>
        </is>
      </c>
      <c r="F882" s="2" t="n">
        <v>2</v>
      </c>
      <c r="G882" s="2" t="n">
        <v>50</v>
      </c>
      <c r="H882" s="2" t="inlineStr">
        <is>
          <t>SC/PC</t>
        </is>
      </c>
      <c r="I882" s="2" t="inlineStr">
        <is>
          <t>FC/APC</t>
        </is>
      </c>
      <c r="J882" s="2" t="n"/>
      <c r="K882" s="2" t="n">
        <v>10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>
        <f>SUM(J882:U882)</f>
        <v/>
      </c>
      <c r="W882" s="2" t="n"/>
      <c r="X882" s="2" t="n"/>
      <c r="Y882" s="2" t="n"/>
      <c r="Z882" s="2" t="n"/>
      <c r="AA882" s="2" t="n">
        <v>20</v>
      </c>
      <c r="AB882" s="2" t="n"/>
      <c r="AC882" s="2" t="n"/>
      <c r="AD882" s="2" t="n"/>
      <c r="AE882" s="2" t="n"/>
      <c r="AF882" s="2" t="n"/>
      <c r="AG882" s="2" t="n"/>
      <c r="AH882" s="2" t="n">
        <v>20</v>
      </c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>
        <f>IF(F882=1,V882*2,IF(F882=2,V882*F882*2,IF(F882&gt;2,F882*2*V882)))</f>
        <v/>
      </c>
      <c r="AW882" s="2">
        <f>SUM(W882:AU882)</f>
        <v/>
      </c>
    </row>
    <row r="883">
      <c r="A883" s="2" t="inlineStr">
        <is>
          <t>A14-DB-N422</t>
        </is>
      </c>
      <c r="B883" s="3" t="inlineStr">
        <is>
          <t>DOJC-SM-SC/PC-FC/APC</t>
        </is>
      </c>
      <c r="C883" s="2" t="inlineStr">
        <is>
          <t>70M, B3, 2.0mm</t>
        </is>
      </c>
      <c r="D883" s="2" t="inlineStr">
        <is>
          <t>b3</t>
        </is>
      </c>
      <c r="E883" s="2" t="inlineStr">
        <is>
          <t>2.0mm</t>
        </is>
      </c>
      <c r="F883" s="2" t="n">
        <v>2</v>
      </c>
      <c r="G883" s="2" t="n">
        <v>70</v>
      </c>
      <c r="H883" s="2" t="inlineStr">
        <is>
          <t>SC/PC</t>
        </is>
      </c>
      <c r="I883" s="2" t="inlineStr">
        <is>
          <t>FC/APC</t>
        </is>
      </c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>
        <v>5</v>
      </c>
      <c r="V883" s="2">
        <f>SUM(J883:U883)</f>
        <v/>
      </c>
      <c r="W883" s="2" t="n"/>
      <c r="X883" s="2" t="n"/>
      <c r="Y883" s="2" t="n"/>
      <c r="Z883" s="2" t="n"/>
      <c r="AA883" s="2" t="n">
        <v>10</v>
      </c>
      <c r="AB883" s="2" t="n"/>
      <c r="AC883" s="2" t="n"/>
      <c r="AD883" s="2" t="n"/>
      <c r="AE883" s="2" t="n"/>
      <c r="AF883" s="2" t="n"/>
      <c r="AG883" s="2" t="n"/>
      <c r="AH883" s="2" t="n">
        <v>10</v>
      </c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>
        <f>IF(F883=1,V883*2,IF(F883=2,V883*F883*2,IF(F883&gt;2,F883*2*V883)))</f>
        <v/>
      </c>
      <c r="AW883" s="2">
        <f>SUM(W883:AU883)</f>
        <v/>
      </c>
    </row>
    <row r="884">
      <c r="A884" s="2" t="inlineStr">
        <is>
          <t>A14-DB-N424</t>
        </is>
      </c>
      <c r="B884" s="3" t="inlineStr">
        <is>
          <t>DOJC-SM-SC/PC-FC/APC</t>
        </is>
      </c>
      <c r="C884" s="2" t="inlineStr">
        <is>
          <t>908040440, 8M, B3, 2.0mm</t>
        </is>
      </c>
      <c r="D884" s="2" t="inlineStr">
        <is>
          <t>b3</t>
        </is>
      </c>
      <c r="E884" s="2" t="inlineStr">
        <is>
          <t>2.0mm</t>
        </is>
      </c>
      <c r="F884" s="2" t="n">
        <v>2</v>
      </c>
      <c r="G884" s="2" t="n">
        <v>8</v>
      </c>
      <c r="H884" s="2" t="inlineStr">
        <is>
          <t>SC/PC</t>
        </is>
      </c>
      <c r="I884" s="2" t="inlineStr">
        <is>
          <t>FC/APC</t>
        </is>
      </c>
      <c r="J884" s="2" t="n"/>
      <c r="K884" s="2" t="n"/>
      <c r="L884" s="2" t="n"/>
      <c r="M884" s="2" t="n">
        <v>10</v>
      </c>
      <c r="N884" s="2" t="n"/>
      <c r="O884" s="2" t="n"/>
      <c r="P884" s="2" t="n"/>
      <c r="Q884" s="2" t="n">
        <v>10</v>
      </c>
      <c r="R884" s="2" t="n"/>
      <c r="S884" s="2" t="n"/>
      <c r="T884" s="2" t="n"/>
      <c r="U884" s="2" t="n"/>
      <c r="V884" s="2">
        <f>SUM(J884:U884)</f>
        <v/>
      </c>
      <c r="W884" s="2" t="n"/>
      <c r="X884" s="2" t="n"/>
      <c r="Y884" s="2" t="n"/>
      <c r="Z884" s="2" t="n"/>
      <c r="AA884" s="2" t="n">
        <v>40</v>
      </c>
      <c r="AB884" s="2" t="n"/>
      <c r="AC884" s="2" t="n"/>
      <c r="AD884" s="2" t="n"/>
      <c r="AE884" s="2" t="n"/>
      <c r="AF884" s="2" t="n"/>
      <c r="AG884" s="2" t="n"/>
      <c r="AH884" s="2" t="n">
        <v>40</v>
      </c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>
        <f>IF(F884=1,V884*2,IF(F884=2,V884*F884*2,IF(F884&gt;2,F884*2*V884)))</f>
        <v/>
      </c>
      <c r="AW884" s="2">
        <f>SUM(W884:AU884)</f>
        <v/>
      </c>
    </row>
    <row r="885">
      <c r="A885" s="2" t="inlineStr">
        <is>
          <t>A14-DB-N426</t>
        </is>
      </c>
      <c r="B885" s="3" t="inlineStr">
        <is>
          <t>DOJC-SM-SC/PC-FC/PC</t>
        </is>
      </c>
      <c r="C885" s="2" t="inlineStr">
        <is>
          <t>908040687, 10M, B3, 2.0mm</t>
        </is>
      </c>
      <c r="D885" s="2" t="inlineStr">
        <is>
          <t>b3</t>
        </is>
      </c>
      <c r="E885" s="2" t="inlineStr">
        <is>
          <t>2.0mm</t>
        </is>
      </c>
      <c r="F885" s="2" t="n">
        <v>2</v>
      </c>
      <c r="G885" s="2" t="n">
        <v>10</v>
      </c>
      <c r="H885" s="2" t="inlineStr">
        <is>
          <t>SC/PC</t>
        </is>
      </c>
      <c r="I885" s="2" t="inlineStr">
        <is>
          <t>FC/PC</t>
        </is>
      </c>
      <c r="J885" s="2" t="n"/>
      <c r="K885" s="2" t="n"/>
      <c r="L885" s="2" t="n"/>
      <c r="M885" s="2" t="n">
        <v>30</v>
      </c>
      <c r="N885" s="2" t="n"/>
      <c r="O885" s="2" t="n">
        <v>10</v>
      </c>
      <c r="P885" s="2" t="n">
        <v>34</v>
      </c>
      <c r="Q885" s="2" t="n">
        <v>10</v>
      </c>
      <c r="R885" s="2" t="n">
        <v>10</v>
      </c>
      <c r="S885" s="2" t="n"/>
      <c r="T885" s="2" t="n">
        <v>10</v>
      </c>
      <c r="U885" s="2" t="n"/>
      <c r="V885" s="2">
        <f>SUM(J885:U885)</f>
        <v/>
      </c>
      <c r="W885" s="2" t="n"/>
      <c r="X885" s="2" t="n"/>
      <c r="Y885" s="2" t="n"/>
      <c r="Z885" s="2" t="n"/>
      <c r="AA885" s="2" t="n">
        <v>208</v>
      </c>
      <c r="AB885" s="2" t="n"/>
      <c r="AC885" s="2" t="n"/>
      <c r="AD885" s="2" t="n"/>
      <c r="AE885" s="2" t="n"/>
      <c r="AF885" s="2" t="n">
        <v>208</v>
      </c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>
        <f>IF(F885=1,V885*2,IF(F885=2,V885*F885*2,IF(F885&gt;2,F885*2*V885)))</f>
        <v/>
      </c>
      <c r="AW885" s="2">
        <f>SUM(W885:AU885)</f>
        <v/>
      </c>
    </row>
    <row r="886">
      <c r="A886" s="2" t="inlineStr">
        <is>
          <t>A14-DB-N428</t>
        </is>
      </c>
      <c r="B886" s="3" t="inlineStr">
        <is>
          <t>DOJC-SM-SC/PC-FC/PC</t>
        </is>
      </c>
      <c r="C886" s="2" t="inlineStr">
        <is>
          <t>13M, B3, 2.0mm</t>
        </is>
      </c>
      <c r="D886" s="2" t="inlineStr">
        <is>
          <t>b3</t>
        </is>
      </c>
      <c r="E886" s="2" t="inlineStr">
        <is>
          <t>2.0mm</t>
        </is>
      </c>
      <c r="F886" s="2" t="n">
        <v>2</v>
      </c>
      <c r="G886" s="2" t="n">
        <v>13</v>
      </c>
      <c r="H886" s="2" t="inlineStr">
        <is>
          <t>SC/PC</t>
        </is>
      </c>
      <c r="I886" s="2" t="inlineStr">
        <is>
          <t>FC/PC</t>
        </is>
      </c>
      <c r="J886" s="2" t="n"/>
      <c r="K886" s="2" t="n"/>
      <c r="L886" s="2" t="n"/>
      <c r="M886" s="2" t="n">
        <v>10</v>
      </c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>
        <f>SUM(J886:U886)</f>
        <v/>
      </c>
      <c r="W886" s="2" t="n"/>
      <c r="X886" s="2" t="n"/>
      <c r="Y886" s="2" t="n"/>
      <c r="Z886" s="2" t="n"/>
      <c r="AA886" s="2" t="n">
        <v>20</v>
      </c>
      <c r="AB886" s="2" t="n"/>
      <c r="AC886" s="2" t="n"/>
      <c r="AD886" s="2" t="n"/>
      <c r="AE886" s="2" t="n"/>
      <c r="AF886" s="2" t="n">
        <v>20</v>
      </c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>
        <f>IF(F886=1,V886*2,IF(F886=2,V886*F886*2,IF(F886&gt;2,F886*2*V886)))</f>
        <v/>
      </c>
      <c r="AW886" s="2">
        <f>SUM(W886:AU886)</f>
        <v/>
      </c>
    </row>
    <row r="887">
      <c r="A887" s="2" t="inlineStr">
        <is>
          <t>A14-DB-N429</t>
        </is>
      </c>
      <c r="B887" s="3" t="inlineStr">
        <is>
          <t>DOJC-SM-SC/PC-FC/PC</t>
        </is>
      </c>
      <c r="C887" s="2" t="inlineStr">
        <is>
          <t>908040692, 15M, B3, 2.0mm</t>
        </is>
      </c>
      <c r="D887" s="2" t="inlineStr">
        <is>
          <t>b3</t>
        </is>
      </c>
      <c r="E887" s="2" t="inlineStr">
        <is>
          <t>2.0mm</t>
        </is>
      </c>
      <c r="F887" s="2" t="n">
        <v>2</v>
      </c>
      <c r="G887" s="2" t="n">
        <v>15</v>
      </c>
      <c r="H887" s="2" t="inlineStr">
        <is>
          <t>SC/PC</t>
        </is>
      </c>
      <c r="I887" s="2" t="inlineStr">
        <is>
          <t>FC/PC</t>
        </is>
      </c>
      <c r="J887" s="2" t="n"/>
      <c r="K887" s="2" t="n"/>
      <c r="L887" s="2" t="n">
        <v>14</v>
      </c>
      <c r="M887" s="2" t="n">
        <v>30</v>
      </c>
      <c r="N887" s="2" t="n"/>
      <c r="O887" s="2" t="n"/>
      <c r="P887" s="2" t="n"/>
      <c r="Q887" s="2" t="n"/>
      <c r="R887" s="2" t="n"/>
      <c r="S887" s="2" t="n"/>
      <c r="T887" s="2" t="n">
        <v>30</v>
      </c>
      <c r="U887" s="2" t="n"/>
      <c r="V887" s="2">
        <f>SUM(J887:U887)</f>
        <v/>
      </c>
      <c r="W887" s="2" t="n"/>
      <c r="X887" s="2" t="n"/>
      <c r="Y887" s="2" t="n"/>
      <c r="Z887" s="2" t="n"/>
      <c r="AA887" s="2" t="n">
        <v>148</v>
      </c>
      <c r="AB887" s="2" t="n"/>
      <c r="AC887" s="2" t="n"/>
      <c r="AD887" s="2" t="n"/>
      <c r="AE887" s="2" t="n"/>
      <c r="AF887" s="2" t="n">
        <v>148</v>
      </c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>
        <f>IF(F887=1,V887*2,IF(F887=2,V887*F887*2,IF(F887&gt;2,F887*2*V887)))</f>
        <v/>
      </c>
      <c r="AW887" s="2">
        <f>SUM(W887:AU887)</f>
        <v/>
      </c>
    </row>
    <row r="888">
      <c r="A888" s="2" t="inlineStr">
        <is>
          <t>A14-DB-N430</t>
        </is>
      </c>
      <c r="B888" s="3" t="inlineStr">
        <is>
          <t>DOJC-SM-SC/PC-FC/PC</t>
        </is>
      </c>
      <c r="C888" s="2" t="inlineStr">
        <is>
          <t>908040422, 20M, B3, 2.0mm</t>
        </is>
      </c>
      <c r="D888" s="2" t="inlineStr">
        <is>
          <t>b3</t>
        </is>
      </c>
      <c r="E888" s="2" t="inlineStr">
        <is>
          <t>2.0mm</t>
        </is>
      </c>
      <c r="F888" s="2" t="n">
        <v>2</v>
      </c>
      <c r="G888" s="2" t="n">
        <v>20</v>
      </c>
      <c r="H888" s="2" t="inlineStr">
        <is>
          <t>SC/PC</t>
        </is>
      </c>
      <c r="I888" s="2" t="inlineStr">
        <is>
          <t>FC/PC</t>
        </is>
      </c>
      <c r="J888" s="2" t="n"/>
      <c r="K888" s="2" t="n"/>
      <c r="L888" s="2" t="n"/>
      <c r="M888" s="2" t="n">
        <v>5</v>
      </c>
      <c r="N888" s="2" t="n"/>
      <c r="O888" s="2" t="n"/>
      <c r="P888" s="2" t="n">
        <v>5</v>
      </c>
      <c r="Q888" s="2" t="n"/>
      <c r="R888" s="2" t="n"/>
      <c r="S888" s="2" t="n"/>
      <c r="T888" s="2" t="n"/>
      <c r="U888" s="2" t="n"/>
      <c r="V888" s="2">
        <f>SUM(J888:U888)</f>
        <v/>
      </c>
      <c r="W888" s="2" t="n"/>
      <c r="X888" s="2" t="n"/>
      <c r="Y888" s="2" t="n"/>
      <c r="Z888" s="2" t="n"/>
      <c r="AA888" s="2" t="n">
        <v>20</v>
      </c>
      <c r="AB888" s="2" t="n"/>
      <c r="AC888" s="2" t="n"/>
      <c r="AD888" s="2" t="n"/>
      <c r="AE888" s="2" t="n"/>
      <c r="AF888" s="2" t="n">
        <v>20</v>
      </c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>
        <f>IF(F888=1,V888*2,IF(F888=2,V888*F888*2,IF(F888&gt;2,F888*2*V888)))</f>
        <v/>
      </c>
      <c r="AW888" s="2">
        <f>SUM(W888:AU888)</f>
        <v/>
      </c>
    </row>
    <row r="889">
      <c r="A889" s="2" t="inlineStr">
        <is>
          <t>A14-DB-N432</t>
        </is>
      </c>
      <c r="B889" s="3" t="inlineStr">
        <is>
          <t>DOJC-SM-SC/PC-FC/PC</t>
        </is>
      </c>
      <c r="C889" s="2" t="inlineStr">
        <is>
          <t>908040427, 25M, B3, 2.0mm</t>
        </is>
      </c>
      <c r="D889" s="2" t="inlineStr">
        <is>
          <t>b3</t>
        </is>
      </c>
      <c r="E889" s="2" t="inlineStr">
        <is>
          <t>2.0mm</t>
        </is>
      </c>
      <c r="F889" s="2" t="n">
        <v>2</v>
      </c>
      <c r="G889" s="2" t="n">
        <v>25</v>
      </c>
      <c r="H889" s="2" t="inlineStr">
        <is>
          <t>SC/PC</t>
        </is>
      </c>
      <c r="I889" s="2" t="inlineStr">
        <is>
          <t>FC/PC</t>
        </is>
      </c>
      <c r="J889" s="2" t="n">
        <v>10</v>
      </c>
      <c r="K889" s="2" t="n">
        <v>30</v>
      </c>
      <c r="L889" s="2" t="n">
        <v>20</v>
      </c>
      <c r="M889" s="2" t="n"/>
      <c r="N889" s="2" t="n"/>
      <c r="O889" s="2" t="n"/>
      <c r="P889" s="2" t="n"/>
      <c r="Q889" s="2" t="n">
        <v>20</v>
      </c>
      <c r="R889" s="2" t="n"/>
      <c r="S889" s="2" t="n"/>
      <c r="T889" s="2" t="n">
        <v>56</v>
      </c>
      <c r="U889" s="2" t="n"/>
      <c r="V889" s="2">
        <f>SUM(J889:U889)</f>
        <v/>
      </c>
      <c r="W889" s="2" t="n"/>
      <c r="X889" s="2" t="n"/>
      <c r="Y889" s="2" t="n"/>
      <c r="Z889" s="2" t="n"/>
      <c r="AA889" s="2" t="n">
        <v>272</v>
      </c>
      <c r="AB889" s="2" t="n"/>
      <c r="AC889" s="2" t="n"/>
      <c r="AD889" s="2" t="n"/>
      <c r="AE889" s="2" t="n"/>
      <c r="AF889" s="2" t="n">
        <v>272</v>
      </c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>
        <f>IF(F889=1,V889*2,IF(F889=2,V889*F889*2,IF(F889&gt;2,F889*2*V889)))</f>
        <v/>
      </c>
      <c r="AW889" s="2">
        <f>SUM(W889:AU889)</f>
        <v/>
      </c>
    </row>
    <row r="890">
      <c r="A890" s="2" t="inlineStr">
        <is>
          <t>A14-DB-N444</t>
        </is>
      </c>
      <c r="B890" s="3" t="inlineStr">
        <is>
          <t>DOJC-SM-SC/PC-SC/APC</t>
        </is>
      </c>
      <c r="C890" s="2" t="inlineStr">
        <is>
          <t>908040537, 10M, B3, 2.0mm</t>
        </is>
      </c>
      <c r="D890" s="2" t="inlineStr">
        <is>
          <t>b3</t>
        </is>
      </c>
      <c r="E890" s="2" t="inlineStr">
        <is>
          <t>2.0mm</t>
        </is>
      </c>
      <c r="F890" s="2" t="n">
        <v>2</v>
      </c>
      <c r="G890" s="2" t="n">
        <v>10</v>
      </c>
      <c r="H890" s="2" t="inlineStr">
        <is>
          <t>SC/PC</t>
        </is>
      </c>
      <c r="I890" s="2" t="inlineStr">
        <is>
          <t>SC/APC</t>
        </is>
      </c>
      <c r="J890" s="2" t="n"/>
      <c r="K890" s="2" t="n"/>
      <c r="L890" s="2" t="n"/>
      <c r="M890" s="2" t="n"/>
      <c r="N890" s="2" t="n"/>
      <c r="O890" s="2" t="n"/>
      <c r="P890" s="2" t="n"/>
      <c r="Q890" s="2" t="n">
        <v>50</v>
      </c>
      <c r="R890" s="2" t="n">
        <v>10</v>
      </c>
      <c r="S890" s="2" t="n">
        <v>37</v>
      </c>
      <c r="T890" s="2" t="n">
        <v>29</v>
      </c>
      <c r="U890" s="2" t="n">
        <v>2</v>
      </c>
      <c r="V890" s="2">
        <f>SUM(J890:U890)</f>
        <v/>
      </c>
      <c r="W890" s="2" t="n"/>
      <c r="X890" s="2" t="n"/>
      <c r="Y890" s="2" t="n"/>
      <c r="Z890" s="2" t="n"/>
      <c r="AA890" s="2" t="n">
        <v>256</v>
      </c>
      <c r="AB890" s="2" t="n"/>
      <c r="AC890" s="2" t="n"/>
      <c r="AD890" s="2" t="n">
        <v>256</v>
      </c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>
        <f>IF(F890=1,V890*2,IF(F890=2,V890*F890*2,IF(F890&gt;2,F890*2*V890)))</f>
        <v/>
      </c>
      <c r="AW890" s="2">
        <f>SUM(W890:AU890)</f>
        <v/>
      </c>
    </row>
    <row r="891">
      <c r="A891" s="2" t="inlineStr">
        <is>
          <t>A14-DB-N447</t>
        </is>
      </c>
      <c r="B891" s="3" t="inlineStr">
        <is>
          <t>DOJC-SM-SC/PC-SC/APC</t>
        </is>
      </c>
      <c r="C891" s="2" t="inlineStr">
        <is>
          <t>908040542, 15M, B3, 2.0mm</t>
        </is>
      </c>
      <c r="D891" s="2" t="inlineStr">
        <is>
          <t>b3</t>
        </is>
      </c>
      <c r="E891" s="2" t="inlineStr">
        <is>
          <t>2.0mm</t>
        </is>
      </c>
      <c r="F891" s="2" t="n">
        <v>2</v>
      </c>
      <c r="G891" s="2" t="n">
        <v>15</v>
      </c>
      <c r="H891" s="2" t="inlineStr">
        <is>
          <t>SC/PC</t>
        </is>
      </c>
      <c r="I891" s="2" t="inlineStr">
        <is>
          <t>SC/APC</t>
        </is>
      </c>
      <c r="J891" s="2" t="n">
        <v>20</v>
      </c>
      <c r="K891" s="2" t="n"/>
      <c r="L891" s="2" t="n"/>
      <c r="M891" s="2" t="n"/>
      <c r="N891" s="2" t="n">
        <v>5</v>
      </c>
      <c r="O891" s="2" t="n"/>
      <c r="P891" s="2" t="n"/>
      <c r="Q891" s="2" t="n">
        <v>20</v>
      </c>
      <c r="R891" s="2" t="n"/>
      <c r="S891" s="2" t="n">
        <v>12</v>
      </c>
      <c r="T891" s="2" t="n">
        <v>30</v>
      </c>
      <c r="U891" s="2" t="n">
        <v>45</v>
      </c>
      <c r="V891" s="2">
        <f>SUM(J891:U891)</f>
        <v/>
      </c>
      <c r="W891" s="2" t="n"/>
      <c r="X891" s="2" t="n"/>
      <c r="Y891" s="2" t="n"/>
      <c r="Z891" s="2" t="n"/>
      <c r="AA891" s="2" t="n">
        <v>264</v>
      </c>
      <c r="AB891" s="2" t="n"/>
      <c r="AC891" s="2" t="n"/>
      <c r="AD891" s="2" t="n">
        <v>264</v>
      </c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>
        <f>IF(F891=1,V891*2,IF(F891=2,V891*F891*2,IF(F891&gt;2,F891*2*V891)))</f>
        <v/>
      </c>
      <c r="AW891" s="2">
        <f>SUM(W891:AU891)</f>
        <v/>
      </c>
    </row>
    <row r="892">
      <c r="A892" s="2" t="inlineStr">
        <is>
          <t>A14-DB-N449</t>
        </is>
      </c>
      <c r="B892" s="3" t="inlineStr">
        <is>
          <t>DOJC-SM-SC/PC-SC/APC</t>
        </is>
      </c>
      <c r="C892" s="2" t="inlineStr">
        <is>
          <t>908040547, 20M, B3, 2.0mm</t>
        </is>
      </c>
      <c r="D892" s="2" t="inlineStr">
        <is>
          <t>b3</t>
        </is>
      </c>
      <c r="E892" s="2" t="inlineStr">
        <is>
          <t>2.0mm</t>
        </is>
      </c>
      <c r="F892" s="2" t="n">
        <v>2</v>
      </c>
      <c r="G892" s="2" t="n">
        <v>20</v>
      </c>
      <c r="H892" s="2" t="inlineStr">
        <is>
          <t>SC/PC</t>
        </is>
      </c>
      <c r="I892" s="2" t="inlineStr">
        <is>
          <t>SC/APC</t>
        </is>
      </c>
      <c r="J892" s="2" t="n">
        <v>20</v>
      </c>
      <c r="K892" s="2" t="n"/>
      <c r="L892" s="2" t="n">
        <v>10</v>
      </c>
      <c r="M892" s="2" t="n"/>
      <c r="N892" s="2" t="n">
        <v>5</v>
      </c>
      <c r="O892" s="2" t="n">
        <v>10</v>
      </c>
      <c r="P892" s="2" t="n"/>
      <c r="Q892" s="2" t="n"/>
      <c r="R892" s="2" t="n"/>
      <c r="S892" s="2" t="n">
        <v>6</v>
      </c>
      <c r="T892" s="2" t="n">
        <v>10</v>
      </c>
      <c r="U892" s="2" t="n"/>
      <c r="V892" s="2">
        <f>SUM(J892:U892)</f>
        <v/>
      </c>
      <c r="W892" s="2" t="n"/>
      <c r="X892" s="2" t="n"/>
      <c r="Y892" s="2" t="n"/>
      <c r="Z892" s="2" t="n"/>
      <c r="AA892" s="2" t="n">
        <v>122</v>
      </c>
      <c r="AB892" s="2" t="n"/>
      <c r="AC892" s="2" t="n"/>
      <c r="AD892" s="2" t="n">
        <v>122</v>
      </c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>
        <f>IF(F892=1,V892*2,IF(F892=2,V892*F892*2,IF(F892&gt;2,F892*2*V892)))</f>
        <v/>
      </c>
      <c r="AW892" s="2">
        <f>SUM(W892:AU892)</f>
        <v/>
      </c>
    </row>
    <row r="893">
      <c r="A893" s="2" t="inlineStr">
        <is>
          <t>A14-DB-N458</t>
        </is>
      </c>
      <c r="B893" s="3" t="inlineStr">
        <is>
          <t>DOJC-SM-SC/PC-SC/APC</t>
        </is>
      </c>
      <c r="C893" s="2" t="inlineStr">
        <is>
          <t>908040254, 4M, B3, 3.0mm</t>
        </is>
      </c>
      <c r="D893" s="2" t="inlineStr">
        <is>
          <t>b3</t>
        </is>
      </c>
      <c r="E893" s="2" t="inlineStr">
        <is>
          <t>3.0mm</t>
        </is>
      </c>
      <c r="F893" s="2" t="n">
        <v>2</v>
      </c>
      <c r="G893" s="2" t="n">
        <v>4</v>
      </c>
      <c r="H893" s="2" t="inlineStr">
        <is>
          <t>SC/PC</t>
        </is>
      </c>
      <c r="I893" s="2" t="inlineStr">
        <is>
          <t>SC/APC</t>
        </is>
      </c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>
        <v>30</v>
      </c>
      <c r="V893" s="2">
        <f>SUM(J893:U893)</f>
        <v/>
      </c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>
        <v>60</v>
      </c>
      <c r="AO893" s="2" t="n"/>
      <c r="AP893" s="2" t="n"/>
      <c r="AQ893" s="2" t="n">
        <v>60</v>
      </c>
      <c r="AR893" s="2" t="n"/>
      <c r="AS893" s="2" t="n"/>
      <c r="AT893" s="2" t="n"/>
      <c r="AU893" s="2" t="n"/>
      <c r="AV893" s="2">
        <f>IF(F893=1,V893*2,IF(F893=2,V893*F893*2,IF(F893&gt;2,F893*2*V893)))</f>
        <v/>
      </c>
      <c r="AW893" s="2">
        <f>SUM(W893:AU893)</f>
        <v/>
      </c>
    </row>
    <row r="894">
      <c r="A894" s="2" t="inlineStr">
        <is>
          <t>A14-DB-N461</t>
        </is>
      </c>
      <c r="B894" s="3" t="inlineStr">
        <is>
          <t>DOJC-SM-SC/PC-SC/APC</t>
        </is>
      </c>
      <c r="C894" s="2" t="inlineStr">
        <is>
          <t>908040257, 7M, B3, 2.0mm</t>
        </is>
      </c>
      <c r="D894" s="2" t="inlineStr">
        <is>
          <t>b3</t>
        </is>
      </c>
      <c r="E894" s="2" t="inlineStr">
        <is>
          <t>2.0mm</t>
        </is>
      </c>
      <c r="F894" s="2" t="n">
        <v>2</v>
      </c>
      <c r="G894" s="2" t="n">
        <v>7</v>
      </c>
      <c r="H894" s="2" t="inlineStr">
        <is>
          <t>SC/PC</t>
        </is>
      </c>
      <c r="I894" s="2" t="inlineStr">
        <is>
          <t>SC/APC</t>
        </is>
      </c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>
        <v>20</v>
      </c>
      <c r="T894" s="2" t="n"/>
      <c r="U894" s="2" t="n"/>
      <c r="V894" s="2">
        <f>SUM(J894:U894)</f>
        <v/>
      </c>
      <c r="W894" s="2" t="n"/>
      <c r="X894" s="2" t="n"/>
      <c r="Y894" s="2" t="n"/>
      <c r="Z894" s="2" t="n"/>
      <c r="AA894" s="2" t="n">
        <v>40</v>
      </c>
      <c r="AB894" s="2" t="n"/>
      <c r="AC894" s="2" t="n"/>
      <c r="AD894" s="2" t="n">
        <v>40</v>
      </c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>
        <f>IF(F894=1,V894*2,IF(F894=2,V894*F894*2,IF(F894&gt;2,F894*2*V894)))</f>
        <v/>
      </c>
      <c r="AW894" s="2">
        <f>SUM(W894:AU894)</f>
        <v/>
      </c>
    </row>
    <row r="895">
      <c r="A895" s="2" t="inlineStr">
        <is>
          <t>A14-DB-N464</t>
        </is>
      </c>
      <c r="B895" s="3" t="inlineStr">
        <is>
          <t>DOJC-SM-SC/PC-SC/PC</t>
        </is>
      </c>
      <c r="C895" s="2" t="inlineStr">
        <is>
          <t>908040230, 10M, B3, 2.0mm</t>
        </is>
      </c>
      <c r="D895" s="2" t="inlineStr">
        <is>
          <t>b3</t>
        </is>
      </c>
      <c r="E895" s="2" t="inlineStr">
        <is>
          <t>2.0mm</t>
        </is>
      </c>
      <c r="F895" s="2" t="n">
        <v>2</v>
      </c>
      <c r="G895" s="2" t="n">
        <v>10</v>
      </c>
      <c r="H895" s="2" t="inlineStr">
        <is>
          <t>SC/PC</t>
        </is>
      </c>
      <c r="I895" s="2" t="inlineStr">
        <is>
          <t>SC/PC</t>
        </is>
      </c>
      <c r="J895" s="2" t="n"/>
      <c r="K895" s="2" t="n"/>
      <c r="L895" s="2" t="n"/>
      <c r="M895" s="2" t="n"/>
      <c r="N895" s="2" t="n"/>
      <c r="O895" s="2" t="n"/>
      <c r="P895" s="2" t="n">
        <v>2</v>
      </c>
      <c r="Q895" s="2" t="n">
        <v>30</v>
      </c>
      <c r="R895" s="2" t="n">
        <v>30</v>
      </c>
      <c r="S895" s="2" t="n">
        <v>35</v>
      </c>
      <c r="T895" s="2" t="n">
        <v>90</v>
      </c>
      <c r="U895" s="2" t="n">
        <v>20</v>
      </c>
      <c r="V895" s="2">
        <f>SUM(J895:U895)</f>
        <v/>
      </c>
      <c r="W895" s="2" t="n"/>
      <c r="X895" s="2" t="n"/>
      <c r="Y895" s="2" t="n"/>
      <c r="Z895" s="2" t="n"/>
      <c r="AA895" s="2" t="n">
        <v>414</v>
      </c>
      <c r="AB895" s="2" t="n">
        <v>414</v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>
        <f>IF(F895=1,V895*2,IF(F895=2,V895*F895*2,IF(F895&gt;2,F895*2*V895)))</f>
        <v/>
      </c>
      <c r="AW895" s="2">
        <f>SUM(W895:AU895)</f>
        <v/>
      </c>
    </row>
    <row r="896">
      <c r="A896" s="2" t="inlineStr">
        <is>
          <t>A14-DB-N466</t>
        </is>
      </c>
      <c r="B896" s="3" t="inlineStr">
        <is>
          <t>DOJC-SM-SC/PC-SC/PC</t>
        </is>
      </c>
      <c r="C896" s="2" t="inlineStr">
        <is>
          <t>908040235, 15M, B3, 2.0mm</t>
        </is>
      </c>
      <c r="D896" s="2" t="inlineStr">
        <is>
          <t>b3</t>
        </is>
      </c>
      <c r="E896" s="2" t="inlineStr">
        <is>
          <t>2.0mm</t>
        </is>
      </c>
      <c r="F896" s="2" t="n">
        <v>2</v>
      </c>
      <c r="G896" s="2" t="n">
        <v>15</v>
      </c>
      <c r="H896" s="2" t="inlineStr">
        <is>
          <t>SC/PC</t>
        </is>
      </c>
      <c r="I896" s="2" t="inlineStr">
        <is>
          <t>SC/PC</t>
        </is>
      </c>
      <c r="J896" s="2" t="n">
        <v>22</v>
      </c>
      <c r="K896" s="2" t="n">
        <v>30</v>
      </c>
      <c r="L896" s="2" t="n">
        <v>55</v>
      </c>
      <c r="M896" s="2" t="n"/>
      <c r="N896" s="2" t="n">
        <v>20</v>
      </c>
      <c r="O896" s="2" t="n"/>
      <c r="P896" s="2" t="n">
        <v>70</v>
      </c>
      <c r="Q896" s="2" t="n"/>
      <c r="R896" s="2" t="n">
        <v>146</v>
      </c>
      <c r="S896" s="2" t="n">
        <v>30</v>
      </c>
      <c r="T896" s="2" t="n">
        <v>60</v>
      </c>
      <c r="U896" s="2" t="n"/>
      <c r="V896" s="2">
        <f>SUM(J896:U896)</f>
        <v/>
      </c>
      <c r="W896" s="2" t="n"/>
      <c r="X896" s="2" t="n"/>
      <c r="Y896" s="2" t="n"/>
      <c r="Z896" s="2" t="n"/>
      <c r="AA896" s="2" t="n">
        <v>866</v>
      </c>
      <c r="AB896" s="2" t="n">
        <v>866</v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>
        <f>IF(F896=1,V896*2,IF(F896=2,V896*F896*2,IF(F896&gt;2,F896*2*V896)))</f>
        <v/>
      </c>
      <c r="AW896" s="2">
        <f>SUM(W896:AU896)</f>
        <v/>
      </c>
    </row>
    <row r="897">
      <c r="A897" s="2" t="inlineStr">
        <is>
          <t>A14-DB-N467</t>
        </is>
      </c>
      <c r="B897" s="3" t="inlineStr">
        <is>
          <t>DOJC-SM-SC/PC-SC/PC</t>
        </is>
      </c>
      <c r="C897" s="2" t="inlineStr">
        <is>
          <t>908040222, 1M, B3, 3.0mm</t>
        </is>
      </c>
      <c r="D897" s="2" t="inlineStr">
        <is>
          <t>b3</t>
        </is>
      </c>
      <c r="E897" s="2" t="inlineStr">
        <is>
          <t>3.0mm</t>
        </is>
      </c>
      <c r="F897" s="2" t="n">
        <v>2</v>
      </c>
      <c r="G897" s="2" t="n">
        <v>1</v>
      </c>
      <c r="H897" s="2" t="inlineStr">
        <is>
          <t>SC/PC</t>
        </is>
      </c>
      <c r="I897" s="2" t="inlineStr">
        <is>
          <t>SC/PC</t>
        </is>
      </c>
      <c r="J897" s="2" t="n"/>
      <c r="K897" s="2" t="n"/>
      <c r="L897" s="2" t="n"/>
      <c r="M897" s="2" t="n"/>
      <c r="N897" s="2" t="n"/>
      <c r="O897" s="2" t="n"/>
      <c r="P897" s="2" t="n"/>
      <c r="Q897" s="2" t="n">
        <v>5</v>
      </c>
      <c r="R897" s="2" t="n"/>
      <c r="S897" s="2" t="n"/>
      <c r="T897" s="2" t="n"/>
      <c r="U897" s="2" t="n"/>
      <c r="V897" s="2">
        <f>SUM(J897:U897)</f>
        <v/>
      </c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>
        <v>10</v>
      </c>
      <c r="AO897" s="2" t="n">
        <v>10</v>
      </c>
      <c r="AP897" s="2" t="n"/>
      <c r="AQ897" s="2" t="n"/>
      <c r="AR897" s="2" t="n"/>
      <c r="AS897" s="2" t="n"/>
      <c r="AT897" s="2" t="n"/>
      <c r="AU897" s="2" t="n"/>
      <c r="AV897" s="2">
        <f>IF(F897=1,V897*2,IF(F897=2,V897*F897*2,IF(F897&gt;2,F897*2*V897)))</f>
        <v/>
      </c>
      <c r="AW897" s="2">
        <f>SUM(W897:AU897)</f>
        <v/>
      </c>
    </row>
    <row r="898">
      <c r="A898" s="2" t="inlineStr">
        <is>
          <t>A14-DB-N468</t>
        </is>
      </c>
      <c r="B898" s="3" t="inlineStr">
        <is>
          <t>DOJC-SM-SC/PC-SC/PC</t>
        </is>
      </c>
      <c r="C898" s="2" t="inlineStr">
        <is>
          <t>908040240, 20M, B3, 2.0mm</t>
        </is>
      </c>
      <c r="D898" s="2" t="inlineStr">
        <is>
          <t>b3</t>
        </is>
      </c>
      <c r="E898" s="2" t="inlineStr">
        <is>
          <t>2.0mm</t>
        </is>
      </c>
      <c r="F898" s="2" t="n">
        <v>2</v>
      </c>
      <c r="G898" s="2" t="n">
        <v>20</v>
      </c>
      <c r="H898" s="2" t="inlineStr">
        <is>
          <t>SC/PC</t>
        </is>
      </c>
      <c r="I898" s="2" t="inlineStr">
        <is>
          <t>SC/PC</t>
        </is>
      </c>
      <c r="J898" s="2" t="n"/>
      <c r="K898" s="2" t="n">
        <v>15</v>
      </c>
      <c r="L898" s="2" t="n">
        <v>10</v>
      </c>
      <c r="M898" s="2" t="n">
        <v>5</v>
      </c>
      <c r="N898" s="2" t="n"/>
      <c r="O898" s="2" t="n"/>
      <c r="P898" s="2" t="n">
        <v>10</v>
      </c>
      <c r="Q898" s="2" t="n">
        <v>20</v>
      </c>
      <c r="R898" s="2" t="n">
        <v>5</v>
      </c>
      <c r="S898" s="2" t="n"/>
      <c r="T898" s="2" t="n">
        <v>30</v>
      </c>
      <c r="U898" s="2" t="n"/>
      <c r="V898" s="2">
        <f>SUM(J898:U898)</f>
        <v/>
      </c>
      <c r="W898" s="2" t="n"/>
      <c r="X898" s="2" t="n"/>
      <c r="Y898" s="2" t="n"/>
      <c r="Z898" s="2" t="n"/>
      <c r="AA898" s="2" t="n">
        <v>190</v>
      </c>
      <c r="AB898" s="2" t="n">
        <v>190</v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>
        <f>IF(F898=1,V898*2,IF(F898=2,V898*F898*2,IF(F898&gt;2,F898*2*V898)))</f>
        <v/>
      </c>
      <c r="AW898" s="2">
        <f>SUM(W898:AU898)</f>
        <v/>
      </c>
    </row>
    <row r="899">
      <c r="A899" s="2" t="inlineStr">
        <is>
          <t>A14-DB-N470</t>
        </is>
      </c>
      <c r="B899" s="3" t="inlineStr">
        <is>
          <t>DOJC-SM-SC/PC-SC/PC</t>
        </is>
      </c>
      <c r="C899" s="2" t="inlineStr">
        <is>
          <t>908040245, 25M, B3, 2.0mm</t>
        </is>
      </c>
      <c r="D899" s="2" t="inlineStr">
        <is>
          <t>b3</t>
        </is>
      </c>
      <c r="E899" s="2" t="inlineStr">
        <is>
          <t>2.0mm</t>
        </is>
      </c>
      <c r="F899" s="2" t="n">
        <v>2</v>
      </c>
      <c r="G899" s="2" t="n">
        <v>25</v>
      </c>
      <c r="H899" s="2" t="inlineStr">
        <is>
          <t>SC/PC</t>
        </is>
      </c>
      <c r="I899" s="2" t="inlineStr">
        <is>
          <t>SC/PC</t>
        </is>
      </c>
      <c r="J899" s="2" t="n"/>
      <c r="K899" s="2" t="n">
        <v>20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>
        <v>10</v>
      </c>
      <c r="U899" s="2" t="n">
        <v>100</v>
      </c>
      <c r="V899" s="2">
        <f>SUM(J899:U899)</f>
        <v/>
      </c>
      <c r="W899" s="2" t="n"/>
      <c r="X899" s="2" t="n"/>
      <c r="Y899" s="2" t="n"/>
      <c r="Z899" s="2" t="n"/>
      <c r="AA899" s="2" t="n">
        <v>260</v>
      </c>
      <c r="AB899" s="2" t="n">
        <v>260</v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>
        <f>IF(F899=1,V899*2,IF(F899=2,V899*F899*2,IF(F899&gt;2,F899*2*V899)))</f>
        <v/>
      </c>
      <c r="AW899" s="2">
        <f>SUM(W899:AU899)</f>
        <v/>
      </c>
    </row>
    <row r="900">
      <c r="A900" s="2" t="inlineStr">
        <is>
          <t>A14-DB-N472</t>
        </is>
      </c>
      <c r="B900" s="3" t="inlineStr">
        <is>
          <t>DOJC-SM-SC/PC-SC/PC</t>
        </is>
      </c>
      <c r="C900" s="2" t="inlineStr">
        <is>
          <t>908040250, 30M, B3, 2.0mm</t>
        </is>
      </c>
      <c r="D900" s="2" t="inlineStr">
        <is>
          <t>b3</t>
        </is>
      </c>
      <c r="E900" s="2" t="inlineStr">
        <is>
          <t>2.0mm</t>
        </is>
      </c>
      <c r="F900" s="2" t="n">
        <v>2</v>
      </c>
      <c r="G900" s="2" t="n">
        <v>30</v>
      </c>
      <c r="H900" s="2" t="inlineStr">
        <is>
          <t>SC/PC</t>
        </is>
      </c>
      <c r="I900" s="2" t="inlineStr">
        <is>
          <t>SC/PC</t>
        </is>
      </c>
      <c r="J900" s="2" t="n"/>
      <c r="K900" s="2" t="n"/>
      <c r="L900" s="2" t="n"/>
      <c r="M900" s="2" t="n"/>
      <c r="N900" s="2" t="n">
        <v>10</v>
      </c>
      <c r="O900" s="2" t="n"/>
      <c r="P900" s="2" t="n"/>
      <c r="Q900" s="2" t="n">
        <v>20</v>
      </c>
      <c r="R900" s="2" t="n"/>
      <c r="S900" s="2" t="n"/>
      <c r="T900" s="2" t="n"/>
      <c r="U900" s="2" t="n"/>
      <c r="V900" s="2">
        <f>SUM(J900:U900)</f>
        <v/>
      </c>
      <c r="W900" s="2" t="n"/>
      <c r="X900" s="2" t="n"/>
      <c r="Y900" s="2" t="n"/>
      <c r="Z900" s="2" t="n"/>
      <c r="AA900" s="2" t="n">
        <v>60</v>
      </c>
      <c r="AB900" s="2" t="n">
        <v>60</v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>
        <f>IF(F900=1,V900*2,IF(F900=2,V900*F900*2,IF(F900&gt;2,F900*2*V900)))</f>
        <v/>
      </c>
      <c r="AW900" s="2">
        <f>SUM(W900:AU900)</f>
        <v/>
      </c>
    </row>
    <row r="901">
      <c r="A901" s="2" t="inlineStr">
        <is>
          <t>A14-DB-N474</t>
        </is>
      </c>
      <c r="B901" s="3" t="inlineStr">
        <is>
          <t>DOJC-SM-SC/PC-SC/PC</t>
        </is>
      </c>
      <c r="C901" s="2" t="inlineStr">
        <is>
          <t>908040221, 3M, B3, 3.0mm</t>
        </is>
      </c>
      <c r="D901" s="2" t="inlineStr">
        <is>
          <t>b3</t>
        </is>
      </c>
      <c r="E901" s="2" t="inlineStr">
        <is>
          <t>3.0mm</t>
        </is>
      </c>
      <c r="F901" s="2" t="n">
        <v>2</v>
      </c>
      <c r="G901" s="2" t="n">
        <v>3</v>
      </c>
      <c r="H901" s="2" t="inlineStr">
        <is>
          <t>SC/PC</t>
        </is>
      </c>
      <c r="I901" s="2" t="inlineStr">
        <is>
          <t>SC/PC</t>
        </is>
      </c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>
        <v>20</v>
      </c>
      <c r="T901" s="2" t="n"/>
      <c r="U901" s="2" t="n"/>
      <c r="V901" s="2">
        <f>SUM(J901:U901)</f>
        <v/>
      </c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>
        <v>40</v>
      </c>
      <c r="AO901" s="2" t="n">
        <v>40</v>
      </c>
      <c r="AP901" s="2" t="n"/>
      <c r="AQ901" s="2" t="n"/>
      <c r="AR901" s="2" t="n"/>
      <c r="AS901" s="2" t="n"/>
      <c r="AT901" s="2" t="n"/>
      <c r="AU901" s="2" t="n"/>
      <c r="AV901" s="2">
        <f>IF(F901=1,V901*2,IF(F901=2,V901*F901*2,IF(F901&gt;2,F901*2*V901)))</f>
        <v/>
      </c>
      <c r="AW901" s="2">
        <f>SUM(W901:AU901)</f>
        <v/>
      </c>
    </row>
    <row r="902">
      <c r="A902" s="2" t="inlineStr">
        <is>
          <t>A14-DB-N476</t>
        </is>
      </c>
      <c r="B902" s="3" t="inlineStr">
        <is>
          <t>DOJC-SM-SC/PC-SC/PC</t>
        </is>
      </c>
      <c r="C902" s="2" t="inlineStr">
        <is>
          <t>920000731, 40M, B3, 2.0mm</t>
        </is>
      </c>
      <c r="D902" s="2" t="inlineStr">
        <is>
          <t>b3</t>
        </is>
      </c>
      <c r="E902" s="2" t="inlineStr">
        <is>
          <t>2.0mm</t>
        </is>
      </c>
      <c r="F902" s="2" t="n">
        <v>2</v>
      </c>
      <c r="G902" s="2" t="n">
        <v>40</v>
      </c>
      <c r="H902" s="2" t="inlineStr">
        <is>
          <t>SC/PC</t>
        </is>
      </c>
      <c r="I902" s="2" t="inlineStr">
        <is>
          <t>SC/PC</t>
        </is>
      </c>
      <c r="J902" s="2" t="n"/>
      <c r="K902" s="2" t="n"/>
      <c r="L902" s="2" t="n"/>
      <c r="M902" s="2" t="n"/>
      <c r="N902" s="2" t="n">
        <v>10</v>
      </c>
      <c r="O902" s="2" t="n"/>
      <c r="P902" s="2" t="n"/>
      <c r="Q902" s="2" t="n"/>
      <c r="R902" s="2" t="n"/>
      <c r="S902" s="2" t="n">
        <v>4</v>
      </c>
      <c r="T902" s="2" t="n"/>
      <c r="U902" s="2" t="n"/>
      <c r="V902" s="2">
        <f>SUM(J902:U902)</f>
        <v/>
      </c>
      <c r="W902" s="2" t="n"/>
      <c r="X902" s="2" t="n"/>
      <c r="Y902" s="2" t="n"/>
      <c r="Z902" s="2" t="n"/>
      <c r="AA902" s="2" t="n">
        <v>28</v>
      </c>
      <c r="AB902" s="2" t="n">
        <v>28</v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>
        <f>IF(F902=1,V902*2,IF(F902=2,V902*F902*2,IF(F902&gt;2,F902*2*V902)))</f>
        <v/>
      </c>
      <c r="AW902" s="2">
        <f>SUM(W902:AU902)</f>
        <v/>
      </c>
    </row>
    <row r="903">
      <c r="A903" s="2" t="inlineStr">
        <is>
          <t>A14-DB-N481</t>
        </is>
      </c>
      <c r="B903" s="3" t="inlineStr">
        <is>
          <t>DOJC-SM-SC/PC-SC/PC</t>
        </is>
      </c>
      <c r="C903" s="2" t="inlineStr">
        <is>
          <t>908040225, 5M, B3, 3.0mm</t>
        </is>
      </c>
      <c r="D903" s="2" t="inlineStr">
        <is>
          <t>b3</t>
        </is>
      </c>
      <c r="E903" s="2" t="inlineStr">
        <is>
          <t>3.0mm</t>
        </is>
      </c>
      <c r="F903" s="2" t="n">
        <v>2</v>
      </c>
      <c r="G903" s="2" t="n">
        <v>5</v>
      </c>
      <c r="H903" s="2" t="inlineStr">
        <is>
          <t>SC/PC</t>
        </is>
      </c>
      <c r="I903" s="2" t="inlineStr">
        <is>
          <t>SC/PC</t>
        </is>
      </c>
      <c r="J903" s="2" t="n"/>
      <c r="K903" s="2" t="n"/>
      <c r="L903" s="2" t="n"/>
      <c r="M903" s="2" t="n"/>
      <c r="N903" s="2" t="n"/>
      <c r="O903" s="2" t="n">
        <v>50</v>
      </c>
      <c r="P903" s="2" t="n"/>
      <c r="Q903" s="2" t="n"/>
      <c r="R903" s="2" t="n"/>
      <c r="S903" s="2" t="n"/>
      <c r="T903" s="2" t="n"/>
      <c r="U903" s="2" t="n"/>
      <c r="V903" s="2">
        <f>SUM(J903:U903)</f>
        <v/>
      </c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>
        <v>100</v>
      </c>
      <c r="AO903" s="2" t="n">
        <v>100</v>
      </c>
      <c r="AP903" s="2" t="n"/>
      <c r="AQ903" s="2" t="n"/>
      <c r="AR903" s="2" t="n"/>
      <c r="AS903" s="2" t="n"/>
      <c r="AT903" s="2" t="n"/>
      <c r="AU903" s="2" t="n"/>
      <c r="AV903" s="2">
        <f>IF(F903=1,V903*2,IF(F903=2,V903*F903*2,IF(F903&gt;2,F903*2*V903)))</f>
        <v/>
      </c>
      <c r="AW903" s="2">
        <f>SUM(W903:AU903)</f>
        <v/>
      </c>
    </row>
    <row r="904">
      <c r="A904" s="2" t="inlineStr">
        <is>
          <t>A14-DB-N483</t>
        </is>
      </c>
      <c r="B904" s="3" t="inlineStr">
        <is>
          <t>DOJC-SM-SC/PC-SC/PC</t>
        </is>
      </c>
      <c r="C904" s="2" t="inlineStr">
        <is>
          <t>908040226, 6M, B3, 2.0mm</t>
        </is>
      </c>
      <c r="D904" s="2" t="inlineStr">
        <is>
          <t>b3</t>
        </is>
      </c>
      <c r="E904" s="2" t="inlineStr">
        <is>
          <t>2.0mm</t>
        </is>
      </c>
      <c r="F904" s="2" t="n">
        <v>2</v>
      </c>
      <c r="G904" s="2" t="n">
        <v>6</v>
      </c>
      <c r="H904" s="2" t="inlineStr">
        <is>
          <t>SC/PC</t>
        </is>
      </c>
      <c r="I904" s="2" t="inlineStr">
        <is>
          <t>SC/PC</t>
        </is>
      </c>
      <c r="J904" s="2" t="n"/>
      <c r="K904" s="2" t="n"/>
      <c r="L904" s="2" t="n">
        <v>400</v>
      </c>
      <c r="M904" s="2" t="n">
        <v>10</v>
      </c>
      <c r="N904" s="2" t="n"/>
      <c r="O904" s="2" t="n"/>
      <c r="P904" s="2" t="n"/>
      <c r="Q904" s="2" t="n">
        <v>10</v>
      </c>
      <c r="R904" s="2" t="n">
        <v>300</v>
      </c>
      <c r="S904" s="2" t="n"/>
      <c r="T904" s="2" t="n"/>
      <c r="U904" s="2" t="n"/>
      <c r="V904" s="2">
        <f>SUM(J904:U904)</f>
        <v/>
      </c>
      <c r="W904" s="2" t="n"/>
      <c r="X904" s="2" t="n"/>
      <c r="Y904" s="2" t="n"/>
      <c r="Z904" s="2" t="n"/>
      <c r="AA904" s="2" t="n">
        <v>1440</v>
      </c>
      <c r="AB904" s="2" t="n">
        <v>1440</v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>
        <f>IF(F904=1,V904*2,IF(F904=2,V904*F904*2,IF(F904&gt;2,F904*2*V904)))</f>
        <v/>
      </c>
      <c r="AW904" s="2">
        <f>SUM(W904:AU904)</f>
        <v/>
      </c>
    </row>
    <row r="905">
      <c r="A905" s="2" t="inlineStr">
        <is>
          <t>A14-DB-N487</t>
        </is>
      </c>
      <c r="B905" s="3" t="inlineStr">
        <is>
          <t>DOJC-SM-SC/PC-SC/PC</t>
        </is>
      </c>
      <c r="C905" s="2" t="inlineStr">
        <is>
          <t>908040228, 8M, B3, 2.0mm</t>
        </is>
      </c>
      <c r="D905" s="2" t="inlineStr">
        <is>
          <t>b3</t>
        </is>
      </c>
      <c r="E905" s="2" t="inlineStr">
        <is>
          <t>2.0mm</t>
        </is>
      </c>
      <c r="F905" s="2" t="n">
        <v>2</v>
      </c>
      <c r="G905" s="2" t="n">
        <v>8</v>
      </c>
      <c r="H905" s="2" t="inlineStr">
        <is>
          <t>SC/PC</t>
        </is>
      </c>
      <c r="I905" s="2" t="inlineStr">
        <is>
          <t>SC/PC</t>
        </is>
      </c>
      <c r="J905" s="2" t="n"/>
      <c r="K905" s="2" t="n"/>
      <c r="L905" s="2" t="n"/>
      <c r="M905" s="2" t="n">
        <v>10</v>
      </c>
      <c r="N905" s="2" t="n"/>
      <c r="O905" s="2" t="n"/>
      <c r="P905" s="2" t="n"/>
      <c r="Q905" s="2" t="n">
        <v>10</v>
      </c>
      <c r="R905" s="2" t="n"/>
      <c r="S905" s="2" t="n"/>
      <c r="T905" s="2" t="n"/>
      <c r="U905" s="2" t="n"/>
      <c r="V905" s="2">
        <f>SUM(J905:U905)</f>
        <v/>
      </c>
      <c r="W905" s="2" t="n"/>
      <c r="X905" s="2" t="n"/>
      <c r="Y905" s="2" t="n"/>
      <c r="Z905" s="2" t="n"/>
      <c r="AA905" s="2" t="n">
        <v>40</v>
      </c>
      <c r="AB905" s="2" t="n">
        <v>40</v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>
        <f>IF(F905=1,V905*2,IF(F905=2,V905*F905*2,IF(F905&gt;2,F905*2*V905)))</f>
        <v/>
      </c>
      <c r="AW905" s="2">
        <f>SUM(W905:AU905)</f>
        <v/>
      </c>
    </row>
    <row r="906">
      <c r="A906" s="2" t="inlineStr">
        <is>
          <t>A14-DB-N585</t>
        </is>
      </c>
      <c r="B906" s="3" t="inlineStr">
        <is>
          <t>DOJC-SM-LC/PC-LC/PC</t>
        </is>
      </c>
      <c r="C906" s="2" t="inlineStr">
        <is>
          <t>23M, B3, 2.0mm</t>
        </is>
      </c>
      <c r="D906" s="2" t="inlineStr">
        <is>
          <t>b3</t>
        </is>
      </c>
      <c r="E906" s="2" t="inlineStr">
        <is>
          <t>2.0mm</t>
        </is>
      </c>
      <c r="F906" s="2" t="n">
        <v>2</v>
      </c>
      <c r="G906" s="2" t="n">
        <v>23</v>
      </c>
      <c r="H906" s="2" t="inlineStr">
        <is>
          <t>LC/PC</t>
        </is>
      </c>
      <c r="I906" s="2" t="inlineStr">
        <is>
          <t>LC/PC</t>
        </is>
      </c>
      <c r="J906" s="2" t="n"/>
      <c r="K906" s="2" t="n"/>
      <c r="L906" s="2" t="n"/>
      <c r="M906" s="2" t="n"/>
      <c r="N906" s="2" t="n"/>
      <c r="O906" s="2" t="n"/>
      <c r="P906" s="2" t="n">
        <v>6</v>
      </c>
      <c r="Q906" s="2" t="n"/>
      <c r="R906" s="2" t="n"/>
      <c r="S906" s="2" t="n"/>
      <c r="T906" s="2" t="n"/>
      <c r="U906" s="2" t="n"/>
      <c r="V906" s="2">
        <f>SUM(J906:U906)</f>
        <v/>
      </c>
      <c r="W906" s="2" t="n">
        <v>12</v>
      </c>
      <c r="X906" s="2" t="n">
        <v>12</v>
      </c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>
        <f>IF(F906=1,V906*2,IF(F906=2,V906*F906*2,IF(F906&gt;2,F906*2*V906)))</f>
        <v/>
      </c>
      <c r="AW906" s="2">
        <f>SUM(W906:AU906)</f>
        <v/>
      </c>
    </row>
    <row r="907">
      <c r="A907" s="2" t="inlineStr">
        <is>
          <t>A14-DB-N611</t>
        </is>
      </c>
      <c r="B907" s="3" t="inlineStr">
        <is>
          <t>DOJC-SM-LC/PC-LC/APC</t>
        </is>
      </c>
      <c r="C907" s="2" t="inlineStr">
        <is>
          <t>20M, B3, 2.0mm</t>
        </is>
      </c>
      <c r="D907" s="2" t="inlineStr">
        <is>
          <t>b3</t>
        </is>
      </c>
      <c r="E907" s="2" t="inlineStr">
        <is>
          <t>2.0mm</t>
        </is>
      </c>
      <c r="F907" s="2" t="n">
        <v>2</v>
      </c>
      <c r="G907" s="2" t="n">
        <v>20</v>
      </c>
      <c r="H907" s="2" t="inlineStr">
        <is>
          <t>LC/PC</t>
        </is>
      </c>
      <c r="I907" s="2" t="inlineStr">
        <is>
          <t>LC/APC</t>
        </is>
      </c>
      <c r="J907" s="2" t="n"/>
      <c r="K907" s="2" t="n"/>
      <c r="L907" s="2" t="n"/>
      <c r="M907" s="2" t="n">
        <v>10</v>
      </c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>
        <f>SUM(J907:U907)</f>
        <v/>
      </c>
      <c r="W907" s="2" t="n">
        <v>20</v>
      </c>
      <c r="X907" s="2" t="n"/>
      <c r="Y907" s="2" t="n"/>
      <c r="Z907" s="2" t="n">
        <v>20</v>
      </c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>
        <f>IF(F907=1,V907*2,IF(F907=2,V907*F907*2,IF(F907&gt;2,F907*2*V907)))</f>
        <v/>
      </c>
      <c r="AW907" s="2">
        <f>SUM(W907:AU907)</f>
        <v/>
      </c>
    </row>
    <row r="908">
      <c r="A908" s="2" t="inlineStr">
        <is>
          <t>A14-DB-N675</t>
        </is>
      </c>
      <c r="B908" s="3" t="inlineStr">
        <is>
          <t>DOJC-SM-LC/PC-FC/PC</t>
        </is>
      </c>
      <c r="C908" s="2" t="inlineStr">
        <is>
          <t>17M, B3, 2.0mm</t>
        </is>
      </c>
      <c r="D908" s="2" t="inlineStr">
        <is>
          <t>b3</t>
        </is>
      </c>
      <c r="E908" s="2" t="inlineStr">
        <is>
          <t>2.0mm</t>
        </is>
      </c>
      <c r="F908" s="2" t="n">
        <v>2</v>
      </c>
      <c r="G908" s="2" t="n">
        <v>17</v>
      </c>
      <c r="H908" s="2" t="inlineStr">
        <is>
          <t>LC/PC</t>
        </is>
      </c>
      <c r="I908" s="2" t="inlineStr">
        <is>
          <t>FC/PC</t>
        </is>
      </c>
      <c r="J908" s="2" t="n"/>
      <c r="K908" s="2" t="n"/>
      <c r="L908" s="2" t="n"/>
      <c r="M908" s="2" t="n"/>
      <c r="N908" s="2" t="n"/>
      <c r="O908" s="2" t="n"/>
      <c r="P908" s="2" t="n"/>
      <c r="Q908" s="2" t="n">
        <v>3</v>
      </c>
      <c r="R908" s="2" t="n"/>
      <c r="S908" s="2" t="n"/>
      <c r="T908" s="2" t="n"/>
      <c r="U908" s="2" t="n"/>
      <c r="V908" s="2">
        <f>SUM(J908:U908)</f>
        <v/>
      </c>
      <c r="W908" s="2" t="n">
        <v>6</v>
      </c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>
        <v>6</v>
      </c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>
        <f>IF(F908=1,V908*2,IF(F908=2,V908*F908*2,IF(F908&gt;2,F908*2*V908)))</f>
        <v/>
      </c>
      <c r="AW908" s="2">
        <f>SUM(W908:AU908)</f>
        <v/>
      </c>
    </row>
    <row r="909">
      <c r="A909" s="2" t="inlineStr">
        <is>
          <t>A14-DB-N726</t>
        </is>
      </c>
      <c r="B909" s="3" t="inlineStr">
        <is>
          <t>DOJC-SM-SC/PC-SC/PC</t>
        </is>
      </c>
      <c r="C909" s="2" t="inlineStr">
        <is>
          <t>0.5M, B3, 2.0mm</t>
        </is>
      </c>
      <c r="D909" s="2" t="inlineStr">
        <is>
          <t>b3</t>
        </is>
      </c>
      <c r="E909" s="2" t="inlineStr">
        <is>
          <t>2.0mm</t>
        </is>
      </c>
      <c r="F909" s="2" t="n">
        <v>2</v>
      </c>
      <c r="G909" s="2" t="n">
        <v>0.5</v>
      </c>
      <c r="H909" s="2" t="inlineStr">
        <is>
          <t>SC/PC</t>
        </is>
      </c>
      <c r="I909" s="2" t="inlineStr">
        <is>
          <t>SC/PC</t>
        </is>
      </c>
      <c r="J909" s="2" t="n"/>
      <c r="K909" s="2" t="n"/>
      <c r="L909" s="2" t="n"/>
      <c r="M909" s="2" t="n"/>
      <c r="N909" s="2" t="n"/>
      <c r="O909" s="2" t="n"/>
      <c r="P909" s="2" t="n"/>
      <c r="Q909" s="2" t="n">
        <v>100</v>
      </c>
      <c r="R909" s="2" t="n"/>
      <c r="S909" s="2" t="n"/>
      <c r="T909" s="2" t="n"/>
      <c r="U909" s="2" t="n"/>
      <c r="V909" s="2">
        <f>SUM(J909:U909)</f>
        <v/>
      </c>
      <c r="W909" s="2" t="n"/>
      <c r="X909" s="2" t="n"/>
      <c r="Y909" s="2" t="n"/>
      <c r="Z909" s="2" t="n"/>
      <c r="AA909" s="2" t="n">
        <v>200</v>
      </c>
      <c r="AB909" s="2" t="n">
        <v>200</v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>
        <f>IF(F909=1,V909*2,IF(F909=2,V909*F909*2,IF(F909&gt;2,F909*2*V909)))</f>
        <v/>
      </c>
      <c r="AW909" s="2">
        <f>SUM(W909:AU909)</f>
        <v/>
      </c>
    </row>
    <row r="910">
      <c r="A910" s="2" t="inlineStr">
        <is>
          <t>A14-DB-N744</t>
        </is>
      </c>
      <c r="B910" s="3" t="inlineStr">
        <is>
          <t>DOJC-SM-SC/PC-FC/APC</t>
        </is>
      </c>
      <c r="C910" s="2" t="inlineStr">
        <is>
          <t>80M, B3, 2.0mm</t>
        </is>
      </c>
      <c r="D910" s="2" t="inlineStr">
        <is>
          <t>b3</t>
        </is>
      </c>
      <c r="E910" s="2" t="inlineStr">
        <is>
          <t>2.0mm</t>
        </is>
      </c>
      <c r="F910" s="2" t="n">
        <v>2</v>
      </c>
      <c r="G910" s="2" t="n">
        <v>80</v>
      </c>
      <c r="H910" s="2" t="inlineStr">
        <is>
          <t>SC/PC</t>
        </is>
      </c>
      <c r="I910" s="2" t="inlineStr">
        <is>
          <t>FC/APC</t>
        </is>
      </c>
      <c r="J910" s="2" t="n"/>
      <c r="K910" s="2" t="n">
        <v>5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>
        <f>SUM(J910:U910)</f>
        <v/>
      </c>
      <c r="W910" s="2" t="n"/>
      <c r="X910" s="2" t="n"/>
      <c r="Y910" s="2" t="n"/>
      <c r="Z910" s="2" t="n"/>
      <c r="AA910" s="2" t="n">
        <v>10</v>
      </c>
      <c r="AB910" s="2" t="n"/>
      <c r="AC910" s="2" t="n"/>
      <c r="AD910" s="2" t="n"/>
      <c r="AE910" s="2" t="n"/>
      <c r="AF910" s="2" t="n"/>
      <c r="AG910" s="2" t="n"/>
      <c r="AH910" s="2" t="n">
        <v>10</v>
      </c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>
        <f>IF(F910=1,V910*2,IF(F910=2,V910*F910*2,IF(F910&gt;2,F910*2*V910)))</f>
        <v/>
      </c>
      <c r="AW910" s="2">
        <f>SUM(W910:AU910)</f>
        <v/>
      </c>
    </row>
    <row r="911">
      <c r="A911" s="2" t="inlineStr">
        <is>
          <t>A14-DB-N901</t>
        </is>
      </c>
      <c r="B911" s="3" t="inlineStr">
        <is>
          <t>DOJC-SM-LC/PC-LC/APC</t>
        </is>
      </c>
      <c r="C911" s="2" t="inlineStr">
        <is>
          <t>3M, B3, 3.0mm</t>
        </is>
      </c>
      <c r="D911" s="2" t="inlineStr">
        <is>
          <t>b3</t>
        </is>
      </c>
      <c r="E911" s="2" t="inlineStr">
        <is>
          <t>3.0mm</t>
        </is>
      </c>
      <c r="F911" s="2" t="n">
        <v>2</v>
      </c>
      <c r="G911" s="2" t="n">
        <v>3</v>
      </c>
      <c r="H911" s="2" t="inlineStr">
        <is>
          <t>LC/PC</t>
        </is>
      </c>
      <c r="I911" s="2" t="inlineStr">
        <is>
          <t>LC/APC</t>
        </is>
      </c>
      <c r="J911" s="2" t="n"/>
      <c r="K911" s="2" t="n"/>
      <c r="L911" s="2" t="n"/>
      <c r="M911" s="2" t="n">
        <v>5</v>
      </c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>
        <f>SUM(J911:U911)</f>
        <v/>
      </c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>
        <v>10</v>
      </c>
      <c r="AK911" s="2" t="n"/>
      <c r="AL911" s="2" t="n"/>
      <c r="AM911" s="2" t="n">
        <v>10</v>
      </c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>
        <f>IF(F911=1,V911*2,IF(F911=2,V911*F911*2,IF(F911&gt;2,F911*2*V911)))</f>
        <v/>
      </c>
      <c r="AW911" s="2">
        <f>SUM(W911:AU911)</f>
        <v/>
      </c>
    </row>
    <row r="912">
      <c r="A912" s="2" t="inlineStr">
        <is>
          <t>A14-DB-N904</t>
        </is>
      </c>
      <c r="B912" s="3" t="inlineStr">
        <is>
          <t>DOJC-SM-LC/PC-SC/APC</t>
        </is>
      </c>
      <c r="C912" s="2" t="inlineStr">
        <is>
          <t>18M, B3, 2.0mm</t>
        </is>
      </c>
      <c r="D912" s="2" t="inlineStr">
        <is>
          <t>b3</t>
        </is>
      </c>
      <c r="E912" s="2" t="inlineStr">
        <is>
          <t>2.0mm</t>
        </is>
      </c>
      <c r="F912" s="2" t="n">
        <v>2</v>
      </c>
      <c r="G912" s="2" t="n">
        <v>18</v>
      </c>
      <c r="H912" s="2" t="inlineStr">
        <is>
          <t>LC/PC</t>
        </is>
      </c>
      <c r="I912" s="2" t="inlineStr">
        <is>
          <t>SC/APC</t>
        </is>
      </c>
      <c r="J912" s="2" t="n"/>
      <c r="K912" s="2" t="n"/>
      <c r="L912" s="2" t="n"/>
      <c r="M912" s="2" t="n">
        <v>20</v>
      </c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>
        <f>SUM(J912:U912)</f>
        <v/>
      </c>
      <c r="W912" s="2" t="n">
        <v>40</v>
      </c>
      <c r="X912" s="2" t="n"/>
      <c r="Y912" s="2" t="n"/>
      <c r="Z912" s="2" t="n"/>
      <c r="AA912" s="2" t="n"/>
      <c r="AB912" s="2" t="n"/>
      <c r="AC912" s="2" t="n"/>
      <c r="AD912" s="2" t="n">
        <v>40</v>
      </c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>
        <f>IF(F912=1,V912*2,IF(F912=2,V912*F912*2,IF(F912&gt;2,F912*2*V912)))</f>
        <v/>
      </c>
      <c r="AW912" s="2">
        <f>SUM(W912:AU912)</f>
        <v/>
      </c>
    </row>
    <row r="913">
      <c r="A913" s="2" t="inlineStr">
        <is>
          <t>A14-DB-NA142</t>
        </is>
      </c>
      <c r="B913" s="3" t="inlineStr">
        <is>
          <t>DOJC-SM-LC/APC-LC/APC</t>
        </is>
      </c>
      <c r="C913" s="2" t="inlineStr">
        <is>
          <t>7M, B3, 2.0mm</t>
        </is>
      </c>
      <c r="D913" s="2" t="inlineStr">
        <is>
          <t>b3</t>
        </is>
      </c>
      <c r="E913" s="2" t="inlineStr">
        <is>
          <t>2.0mm</t>
        </is>
      </c>
      <c r="F913" s="2" t="n">
        <v>2</v>
      </c>
      <c r="G913" s="2" t="n">
        <v>7</v>
      </c>
      <c r="H913" s="2" t="inlineStr">
        <is>
          <t>LC/APC</t>
        </is>
      </c>
      <c r="I913" s="2" t="inlineStr">
        <is>
          <t>LC/APC</t>
        </is>
      </c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>
        <v>5</v>
      </c>
      <c r="S913" s="2" t="n"/>
      <c r="T913" s="2" t="n"/>
      <c r="U913" s="2" t="n"/>
      <c r="V913" s="2">
        <f>SUM(J913:U913)</f>
        <v/>
      </c>
      <c r="W913" s="2" t="n"/>
      <c r="X913" s="2" t="n"/>
      <c r="Y913" s="2" t="n">
        <v>10</v>
      </c>
      <c r="Z913" s="2" t="n">
        <v>10</v>
      </c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>
        <f>IF(F913=1,V913*2,IF(F913=2,V913*F913*2,IF(F913&gt;2,F913*2*V913)))</f>
        <v/>
      </c>
      <c r="AW913" s="2">
        <f>SUM(W913:AU913)</f>
        <v/>
      </c>
    </row>
    <row r="914">
      <c r="A914" s="2" t="inlineStr">
        <is>
          <t>A14-DB-NA55</t>
        </is>
      </c>
      <c r="B914" s="3" t="inlineStr">
        <is>
          <t>DOJC-SM-LC/APC-FC/PC</t>
        </is>
      </c>
      <c r="C914" s="2" t="inlineStr">
        <is>
          <t>20M, B3, 2.0mm</t>
        </is>
      </c>
      <c r="D914" s="2" t="inlineStr">
        <is>
          <t>b3</t>
        </is>
      </c>
      <c r="E914" s="2" t="inlineStr">
        <is>
          <t>2.0mm</t>
        </is>
      </c>
      <c r="F914" s="2" t="n">
        <v>2</v>
      </c>
      <c r="G914" s="2" t="n">
        <v>20</v>
      </c>
      <c r="H914" s="2" t="inlineStr">
        <is>
          <t>LC/APC</t>
        </is>
      </c>
      <c r="I914" s="2" t="inlineStr">
        <is>
          <t>FC/PC</t>
        </is>
      </c>
      <c r="J914" s="2" t="n"/>
      <c r="K914" s="2" t="n"/>
      <c r="L914" s="2" t="n"/>
      <c r="M914" s="2" t="n">
        <v>10</v>
      </c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>
        <f>SUM(J914:U914)</f>
        <v/>
      </c>
      <c r="W914" s="2" t="n"/>
      <c r="X914" s="2" t="n"/>
      <c r="Y914" s="2" t="n">
        <v>20</v>
      </c>
      <c r="Z914" s="2" t="n"/>
      <c r="AA914" s="2" t="n"/>
      <c r="AB914" s="2" t="n"/>
      <c r="AC914" s="2" t="n"/>
      <c r="AD914" s="2" t="n"/>
      <c r="AE914" s="2" t="n"/>
      <c r="AF914" s="2" t="n">
        <v>20</v>
      </c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>
        <f>IF(F914=1,V914*2,IF(F914=2,V914*F914*2,IF(F914&gt;2,F914*2*V914)))</f>
        <v/>
      </c>
      <c r="AW914" s="2">
        <f>SUM(W914:AU914)</f>
        <v/>
      </c>
    </row>
    <row r="915">
      <c r="A915" s="2" t="inlineStr">
        <is>
          <t>A14-DB-NC14</t>
        </is>
      </c>
      <c r="B915" s="3" t="inlineStr">
        <is>
          <t>DOJC-SM-LC/APC-LC/APC</t>
        </is>
      </c>
      <c r="C915" s="2" t="inlineStr">
        <is>
          <t>930003855, 1M, B3, 3.0mm</t>
        </is>
      </c>
      <c r="D915" s="2" t="inlineStr">
        <is>
          <t>b3</t>
        </is>
      </c>
      <c r="E915" s="2" t="inlineStr">
        <is>
          <t>3.0mm</t>
        </is>
      </c>
      <c r="F915" s="2" t="n">
        <v>2</v>
      </c>
      <c r="G915" s="2" t="n">
        <v>1</v>
      </c>
      <c r="H915" s="2" t="inlineStr">
        <is>
          <t>LC/APC</t>
        </is>
      </c>
      <c r="I915" s="2" t="inlineStr">
        <is>
          <t>LC/APC</t>
        </is>
      </c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>
        <v>20</v>
      </c>
      <c r="T915" s="2" t="n"/>
      <c r="U915" s="2" t="n"/>
      <c r="V915" s="2">
        <f>SUM(J915:U915)</f>
        <v/>
      </c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>
        <v>40</v>
      </c>
      <c r="AM915" s="2" t="n">
        <v>40</v>
      </c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>
        <f>IF(F915=1,V915*2,IF(F915=2,V915*F915*2,IF(F915&gt;2,F915*2*V915)))</f>
        <v/>
      </c>
      <c r="AW915" s="2">
        <f>SUM(W915:AU915)</f>
        <v/>
      </c>
    </row>
    <row r="916">
      <c r="A916" s="2" t="inlineStr">
        <is>
          <t>A14-DB-NC60</t>
        </is>
      </c>
      <c r="B916" s="3" t="inlineStr">
        <is>
          <t>DOJC-SM-LC/APC-FC/PC</t>
        </is>
      </c>
      <c r="C916" s="2" t="inlineStr">
        <is>
          <t>10M, B3, 2.0mm</t>
        </is>
      </c>
      <c r="D916" s="2" t="inlineStr">
        <is>
          <t>b3</t>
        </is>
      </c>
      <c r="E916" s="2" t="inlineStr">
        <is>
          <t>2.0mm</t>
        </is>
      </c>
      <c r="F916" s="2" t="n">
        <v>2</v>
      </c>
      <c r="G916" s="2" t="n">
        <v>10</v>
      </c>
      <c r="H916" s="2" t="inlineStr">
        <is>
          <t>LC/APC</t>
        </is>
      </c>
      <c r="I916" s="2" t="inlineStr">
        <is>
          <t>FC/PC</t>
        </is>
      </c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>
        <v>5</v>
      </c>
      <c r="V916" s="2">
        <f>SUM(J916:U916)</f>
        <v/>
      </c>
      <c r="W916" s="2" t="n"/>
      <c r="X916" s="2" t="n"/>
      <c r="Y916" s="2" t="n">
        <v>10</v>
      </c>
      <c r="Z916" s="2" t="n"/>
      <c r="AA916" s="2" t="n"/>
      <c r="AB916" s="2" t="n"/>
      <c r="AC916" s="2" t="n"/>
      <c r="AD916" s="2" t="n"/>
      <c r="AE916" s="2" t="n"/>
      <c r="AF916" s="2" t="n">
        <v>10</v>
      </c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>
        <f>IF(F916=1,V916*2,IF(F916=2,V916*F916*2,IF(F916&gt;2,F916*2*V916)))</f>
        <v/>
      </c>
      <c r="AW916" s="2">
        <f>SUM(W916:AU916)</f>
        <v/>
      </c>
    </row>
    <row r="917">
      <c r="A917" s="2" t="inlineStr">
        <is>
          <t>A14-DB-NC79</t>
        </is>
      </c>
      <c r="B917" s="3" t="inlineStr">
        <is>
          <t>DOJC-SM-LC/APC-LC/APC</t>
        </is>
      </c>
      <c r="C917" s="2" t="inlineStr">
        <is>
          <t>930003856, 2M, B3, 3.0mm</t>
        </is>
      </c>
      <c r="D917" s="2" t="inlineStr">
        <is>
          <t>b3</t>
        </is>
      </c>
      <c r="E917" s="2" t="inlineStr">
        <is>
          <t>3.0mm</t>
        </is>
      </c>
      <c r="F917" s="2" t="n">
        <v>2</v>
      </c>
      <c r="G917" s="2" t="n">
        <v>2</v>
      </c>
      <c r="H917" s="2" t="inlineStr">
        <is>
          <t>LC/APC</t>
        </is>
      </c>
      <c r="I917" s="2" t="inlineStr">
        <is>
          <t>LC/APC</t>
        </is>
      </c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>
        <v>100</v>
      </c>
      <c r="V917" s="2">
        <f>SUM(J917:U917)</f>
        <v/>
      </c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>
        <v>200</v>
      </c>
      <c r="AM917" s="2" t="n">
        <v>200</v>
      </c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>
        <f>IF(F917=1,V917*2,IF(F917=2,V917*F917*2,IF(F917&gt;2,F917*2*V917)))</f>
        <v/>
      </c>
      <c r="AW917" s="2">
        <f>SUM(W917:AU917)</f>
        <v/>
      </c>
    </row>
    <row r="918">
      <c r="A918" s="2" t="inlineStr">
        <is>
          <t>A14-DB-ND33</t>
        </is>
      </c>
      <c r="B918" s="3" t="inlineStr">
        <is>
          <t>DOJC-SM-LC/PC-LC/APC</t>
        </is>
      </c>
      <c r="C918" s="2" t="inlineStr">
        <is>
          <t>2M</t>
        </is>
      </c>
      <c r="D918" s="2" t="inlineStr">
        <is>
          <t>a1</t>
        </is>
      </c>
      <c r="E918" s="2" t="inlineStr">
        <is>
          <t>2.0mm</t>
        </is>
      </c>
      <c r="F918" s="2" t="n">
        <v>2</v>
      </c>
      <c r="G918" s="2" t="n">
        <v>2</v>
      </c>
      <c r="H918" s="2" t="inlineStr">
        <is>
          <t>LC/PC</t>
        </is>
      </c>
      <c r="I918" s="2" t="inlineStr">
        <is>
          <t>LC/APC</t>
        </is>
      </c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>
        <v>10</v>
      </c>
      <c r="S918" s="2" t="n"/>
      <c r="T918" s="2" t="n"/>
      <c r="U918" s="2" t="n"/>
      <c r="V918" s="2">
        <f>SUM(J918:U918)</f>
        <v/>
      </c>
      <c r="W918" s="2" t="n">
        <v>20</v>
      </c>
      <c r="X918" s="2" t="n"/>
      <c r="Y918" s="2" t="n"/>
      <c r="Z918" s="2" t="n">
        <v>20</v>
      </c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>
        <f>IF(F918=1,V918*2,IF(F918=2,V918*F918*2,IF(F918&gt;2,F918*2*V918)))</f>
        <v/>
      </c>
      <c r="AW918" s="2">
        <f>SUM(W918:AU918)</f>
        <v/>
      </c>
    </row>
    <row r="919">
      <c r="A919" s="2" t="inlineStr">
        <is>
          <t>A14-DB-ND34</t>
        </is>
      </c>
      <c r="B919" s="3" t="inlineStr">
        <is>
          <t>DOJC-SM-LC/APC-SC/PC</t>
        </is>
      </c>
      <c r="C919" s="2" t="inlineStr">
        <is>
          <t>2M</t>
        </is>
      </c>
      <c r="D919" s="2" t="inlineStr">
        <is>
          <t>a1</t>
        </is>
      </c>
      <c r="E919" s="2" t="inlineStr">
        <is>
          <t>2.0mm</t>
        </is>
      </c>
      <c r="F919" s="2" t="n">
        <v>2</v>
      </c>
      <c r="G919" s="2" t="n">
        <v>2</v>
      </c>
      <c r="H919" s="2" t="inlineStr">
        <is>
          <t>LC/APC</t>
        </is>
      </c>
      <c r="I919" s="2" t="inlineStr">
        <is>
          <t>SC/PC</t>
        </is>
      </c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>
        <v>10</v>
      </c>
      <c r="S919" s="2" t="n"/>
      <c r="T919" s="2" t="n"/>
      <c r="U919" s="2" t="n"/>
      <c r="V919" s="2">
        <f>SUM(J919:U919)</f>
        <v/>
      </c>
      <c r="W919" s="2" t="n"/>
      <c r="X919" s="2" t="n"/>
      <c r="Y919" s="2" t="n">
        <v>20</v>
      </c>
      <c r="Z919" s="2" t="n"/>
      <c r="AA919" s="2" t="n"/>
      <c r="AB919" s="2" t="n">
        <v>20</v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>
        <f>IF(F919=1,V919*2,IF(F919=2,V919*F919*2,IF(F919&gt;2,F919*2*V919)))</f>
        <v/>
      </c>
      <c r="AW919" s="2">
        <f>SUM(W919:AU919)</f>
        <v/>
      </c>
    </row>
    <row r="920">
      <c r="A920" s="2" t="inlineStr">
        <is>
          <t>A14-DB-ND43</t>
        </is>
      </c>
      <c r="B920" s="3" t="inlineStr">
        <is>
          <t>DOJC-SM-LC/APC-LC/APC</t>
        </is>
      </c>
      <c r="C920" s="2" t="inlineStr">
        <is>
          <t>1.5M, B3, 3.0mm</t>
        </is>
      </c>
      <c r="D920" s="2" t="inlineStr">
        <is>
          <t>b3</t>
        </is>
      </c>
      <c r="E920" s="2" t="inlineStr">
        <is>
          <t>3.0mm</t>
        </is>
      </c>
      <c r="F920" s="2" t="n">
        <v>2</v>
      </c>
      <c r="G920" s="2" t="n">
        <v>1.5</v>
      </c>
      <c r="H920" s="2" t="inlineStr">
        <is>
          <t>LC/APC</t>
        </is>
      </c>
      <c r="I920" s="2" t="inlineStr">
        <is>
          <t>LC/APC</t>
        </is>
      </c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>
        <v>130</v>
      </c>
      <c r="V920" s="2">
        <f>SUM(J920:U920)</f>
        <v/>
      </c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>
        <v>260</v>
      </c>
      <c r="AM920" s="2" t="n">
        <v>260</v>
      </c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>
        <f>IF(F920=1,V920*2,IF(F920=2,V920*F920*2,IF(F920&gt;2,F920*2*V920)))</f>
        <v/>
      </c>
      <c r="AW920" s="2">
        <f>SUM(W920:AU920)</f>
        <v/>
      </c>
    </row>
    <row r="921">
      <c r="A921" s="2" t="inlineStr">
        <is>
          <t>A14-DB-ND51</t>
        </is>
      </c>
      <c r="B921" s="3" t="inlineStr">
        <is>
          <t>DOJC-SM-LC/APC-SC/APC</t>
        </is>
      </c>
      <c r="C921" s="2" t="inlineStr">
        <is>
          <t>2M</t>
        </is>
      </c>
      <c r="D921" s="2" t="inlineStr">
        <is>
          <t>a1</t>
        </is>
      </c>
      <c r="E921" s="2" t="inlineStr">
        <is>
          <t>2.0mm</t>
        </is>
      </c>
      <c r="F921" s="2" t="n">
        <v>2</v>
      </c>
      <c r="G921" s="2" t="n">
        <v>2</v>
      </c>
      <c r="H921" s="2" t="inlineStr">
        <is>
          <t>LC/APC</t>
        </is>
      </c>
      <c r="I921" s="2" t="inlineStr">
        <is>
          <t>SC/APC</t>
        </is>
      </c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>
        <v>10</v>
      </c>
      <c r="S921" s="2" t="n"/>
      <c r="T921" s="2" t="n"/>
      <c r="U921" s="2" t="n"/>
      <c r="V921" s="2">
        <f>SUM(J921:U921)</f>
        <v/>
      </c>
      <c r="W921" s="2" t="n"/>
      <c r="X921" s="2" t="n"/>
      <c r="Y921" s="2" t="n">
        <v>20</v>
      </c>
      <c r="Z921" s="2" t="n"/>
      <c r="AA921" s="2" t="n"/>
      <c r="AB921" s="2" t="n"/>
      <c r="AC921" s="2" t="n"/>
      <c r="AD921" s="2" t="n">
        <v>20</v>
      </c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>
        <f>IF(F921=1,V921*2,IF(F921=2,V921*F921*2,IF(F921&gt;2,F921*2*V921)))</f>
        <v/>
      </c>
      <c r="AW921" s="2">
        <f>SUM(W921:AU921)</f>
        <v/>
      </c>
    </row>
    <row r="922">
      <c r="A922" s="2" t="inlineStr">
        <is>
          <t>A14-DB-ND84</t>
        </is>
      </c>
      <c r="B922" s="3" t="inlineStr">
        <is>
          <t>DOJC-SM-LC/APC-SC/APC</t>
        </is>
      </c>
      <c r="C922" s="2" t="inlineStr">
        <is>
          <t>5M, B3, 3.0mm</t>
        </is>
      </c>
      <c r="D922" s="2" t="inlineStr">
        <is>
          <t>b3</t>
        </is>
      </c>
      <c r="E922" s="2" t="inlineStr">
        <is>
          <t>3.0mm</t>
        </is>
      </c>
      <c r="F922" s="2" t="n">
        <v>2</v>
      </c>
      <c r="G922" s="2" t="n">
        <v>5</v>
      </c>
      <c r="H922" s="2" t="inlineStr">
        <is>
          <t>LC/APC</t>
        </is>
      </c>
      <c r="I922" s="2" t="inlineStr">
        <is>
          <t>SC/APC</t>
        </is>
      </c>
      <c r="J922" s="2" t="n"/>
      <c r="K922" s="2" t="n"/>
      <c r="L922" s="2" t="n">
        <v>30</v>
      </c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>
        <f>SUM(J922:U922)</f>
        <v/>
      </c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>
        <v>60</v>
      </c>
      <c r="AM922" s="2" t="n"/>
      <c r="AN922" s="2" t="n"/>
      <c r="AO922" s="2" t="n"/>
      <c r="AP922" s="2" t="n"/>
      <c r="AQ922" s="2" t="n">
        <v>60</v>
      </c>
      <c r="AR922" s="2" t="n"/>
      <c r="AS922" s="2" t="n"/>
      <c r="AT922" s="2" t="n"/>
      <c r="AU922" s="2" t="n"/>
      <c r="AV922" s="2">
        <f>IF(F922=1,V922*2,IF(F922=2,V922*F922*2,IF(F922&gt;2,F922*2*V922)))</f>
        <v/>
      </c>
      <c r="AW922" s="2">
        <f>SUM(W922:AU922)</f>
        <v/>
      </c>
    </row>
    <row r="923">
      <c r="A923" s="2" t="inlineStr">
        <is>
          <t>A14-DB-ND96</t>
        </is>
      </c>
      <c r="B923" s="3" t="inlineStr">
        <is>
          <t>DOJC-SM-LC/PC-SC/APC</t>
        </is>
      </c>
      <c r="C923" s="2" t="inlineStr">
        <is>
          <t>60M, B3, 2.0mm</t>
        </is>
      </c>
      <c r="D923" s="2" t="inlineStr">
        <is>
          <t>b3</t>
        </is>
      </c>
      <c r="E923" s="2" t="inlineStr">
        <is>
          <t>2.0mm</t>
        </is>
      </c>
      <c r="F923" s="2" t="n">
        <v>2</v>
      </c>
      <c r="G923" s="2" t="n">
        <v>60</v>
      </c>
      <c r="H923" s="2" t="inlineStr">
        <is>
          <t>LC/PC</t>
        </is>
      </c>
      <c r="I923" s="2" t="inlineStr">
        <is>
          <t>SC/APC</t>
        </is>
      </c>
      <c r="J923" s="2" t="n"/>
      <c r="K923" s="2" t="n"/>
      <c r="L923" s="2" t="n"/>
      <c r="M923" s="2" t="n">
        <v>1</v>
      </c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>
        <f>SUM(J923:U923)</f>
        <v/>
      </c>
      <c r="W923" s="2" t="n">
        <v>2</v>
      </c>
      <c r="X923" s="2" t="n"/>
      <c r="Y923" s="2" t="n"/>
      <c r="Z923" s="2" t="n"/>
      <c r="AA923" s="2" t="n"/>
      <c r="AB923" s="2" t="n"/>
      <c r="AC923" s="2" t="n"/>
      <c r="AD923" s="2" t="n">
        <v>2</v>
      </c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>
        <f>IF(F923=1,V923*2,IF(F923=2,V923*F923*2,IF(F923&gt;2,F923*2*V923)))</f>
        <v/>
      </c>
      <c r="AW923" s="2">
        <f>SUM(W923:AU923)</f>
        <v/>
      </c>
    </row>
    <row r="924">
      <c r="A924" s="2" t="inlineStr">
        <is>
          <t>A14-DB-NF28</t>
        </is>
      </c>
      <c r="B924" s="3" t="inlineStr">
        <is>
          <t>DOJC-SM-LC/APC-SC/APC</t>
        </is>
      </c>
      <c r="C924" s="2" t="inlineStr">
        <is>
          <t>10M, B3, 2.0m</t>
        </is>
      </c>
      <c r="D924" s="2" t="inlineStr">
        <is>
          <t>b3</t>
        </is>
      </c>
      <c r="E924" s="2" t="inlineStr">
        <is>
          <t>2.0mm</t>
        </is>
      </c>
      <c r="F924" s="2" t="n">
        <v>2</v>
      </c>
      <c r="G924" s="2" t="n">
        <v>10</v>
      </c>
      <c r="H924" s="2" t="inlineStr">
        <is>
          <t>LC/APC</t>
        </is>
      </c>
      <c r="I924" s="2" t="inlineStr">
        <is>
          <t>SC/APC</t>
        </is>
      </c>
      <c r="J924" s="2" t="n"/>
      <c r="K924" s="2" t="n"/>
      <c r="L924" s="2" t="n">
        <v>10</v>
      </c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>
        <f>SUM(J924:U924)</f>
        <v/>
      </c>
      <c r="W924" s="2" t="n"/>
      <c r="X924" s="2" t="n"/>
      <c r="Y924" s="2" t="n">
        <v>20</v>
      </c>
      <c r="Z924" s="2" t="n"/>
      <c r="AA924" s="2" t="n"/>
      <c r="AB924" s="2" t="n"/>
      <c r="AC924" s="2" t="n"/>
      <c r="AD924" s="2" t="n">
        <v>20</v>
      </c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>
        <f>IF(F924=1,V924*2,IF(F924=2,V924*F924*2,IF(F924&gt;2,F924*2*V924)))</f>
        <v/>
      </c>
      <c r="AW924" s="2">
        <f>SUM(W924:AU924)</f>
        <v/>
      </c>
    </row>
    <row r="925">
      <c r="A925" s="2" t="inlineStr">
        <is>
          <t>A14-I2-N001</t>
        </is>
      </c>
      <c r="B925" s="3" t="inlineStr">
        <is>
          <t>인입광케이블_20M_SS(강선)</t>
        </is>
      </c>
      <c r="C925" s="2" t="inlineStr">
        <is>
          <t>SC/APC-SC/PC 타입</t>
        </is>
      </c>
      <c r="D925" s="2" t="inlineStr">
        <is>
          <t>a1</t>
        </is>
      </c>
      <c r="E925" s="2" t="inlineStr">
        <is>
          <t>2.0mm</t>
        </is>
      </c>
      <c r="F925" s="2" t="n">
        <v>1</v>
      </c>
      <c r="G925" s="2" t="n"/>
      <c r="H925" s="2" t="n"/>
      <c r="I925" s="2" t="n"/>
      <c r="J925" s="2" t="n"/>
      <c r="K925" s="2" t="n"/>
      <c r="L925" s="2" t="n">
        <v>20</v>
      </c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>
        <f>SUM(J925:U925)</f>
        <v/>
      </c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>
        <f>IF(F925=1,V925*2,IF(F925=2,V925*F925*2,IF(F925&gt;2,F925*2*V925)))</f>
        <v/>
      </c>
      <c r="AW925" s="2">
        <f>SUM(W925:AU925)</f>
        <v/>
      </c>
    </row>
    <row r="926">
      <c r="A926" s="2" t="inlineStr">
        <is>
          <t>A14-I2-N002</t>
        </is>
      </c>
      <c r="B926" s="3" t="inlineStr">
        <is>
          <t>인입광케이블_20M_SS(강선)</t>
        </is>
      </c>
      <c r="C926" s="2" t="inlineStr">
        <is>
          <t>SC/APC-SC/APC 타입</t>
        </is>
      </c>
      <c r="D926" s="2" t="inlineStr">
        <is>
          <t>a1</t>
        </is>
      </c>
      <c r="E926" s="2" t="inlineStr">
        <is>
          <t>2.0mm</t>
        </is>
      </c>
      <c r="F926" s="2" t="n">
        <v>1</v>
      </c>
      <c r="G926" s="2" t="n"/>
      <c r="H926" s="2" t="n"/>
      <c r="I926" s="2" t="n"/>
      <c r="J926" s="2" t="n"/>
      <c r="K926" s="2" t="n"/>
      <c r="L926" s="2" t="n">
        <v>20</v>
      </c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>
        <f>SUM(J926:U926)</f>
        <v/>
      </c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>
        <f>IF(F926=1,V926*2,IF(F926=2,V926*F926*2,IF(F926&gt;2,F926*2*V926)))</f>
        <v/>
      </c>
      <c r="AW926" s="2">
        <f>SUM(W926:AU926)</f>
        <v/>
      </c>
    </row>
    <row r="927">
      <c r="A927" s="2" t="inlineStr">
        <is>
          <t>A14-I2-N003</t>
        </is>
      </c>
      <c r="B927" s="3" t="inlineStr">
        <is>
          <t>인입광케이블_30M_SS(강선)</t>
        </is>
      </c>
      <c r="C927" s="2" t="inlineStr">
        <is>
          <t>SC/APC-SC/APC 타입</t>
        </is>
      </c>
      <c r="D927" s="2" t="inlineStr">
        <is>
          <t>a1</t>
        </is>
      </c>
      <c r="E927" s="2" t="inlineStr">
        <is>
          <t>2.0mm</t>
        </is>
      </c>
      <c r="F927" s="2" t="n">
        <v>1</v>
      </c>
      <c r="G927" s="2" t="n"/>
      <c r="H927" s="2" t="n"/>
      <c r="I927" s="2" t="n"/>
      <c r="J927" s="2" t="n"/>
      <c r="K927" s="2" t="n"/>
      <c r="L927" s="2" t="n">
        <v>20</v>
      </c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>
        <f>SUM(J927:U927)</f>
        <v/>
      </c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>
        <f>IF(F927=1,V927*2,IF(F927=2,V927*F927*2,IF(F927&gt;2,F927*2*V927)))</f>
        <v/>
      </c>
      <c r="AW927" s="2">
        <f>SUM(W927:AU927)</f>
        <v/>
      </c>
    </row>
    <row r="928">
      <c r="A928" s="2" t="inlineStr">
        <is>
          <t>A14-M-SA/LA-B-N-010</t>
        </is>
      </c>
      <c r="B928" s="3" t="inlineStr">
        <is>
          <t>MOJC-SM-6C-SC/APC-LC/APC</t>
        </is>
      </c>
      <c r="C928" s="2" t="inlineStr">
        <is>
          <t>920000455, 3M, B3</t>
        </is>
      </c>
      <c r="D928" s="2" t="inlineStr">
        <is>
          <t>b3-6c</t>
        </is>
      </c>
      <c r="E928" s="2" t="inlineStr">
        <is>
          <t>2.0mm</t>
        </is>
      </c>
      <c r="F928" s="2" t="n">
        <v>6</v>
      </c>
      <c r="G928" s="2" t="n">
        <v>3</v>
      </c>
      <c r="H928" s="2" t="inlineStr">
        <is>
          <t>SC/APC</t>
        </is>
      </c>
      <c r="I928" s="2" t="inlineStr">
        <is>
          <t>LC/APC</t>
        </is>
      </c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>
        <v>2</v>
      </c>
      <c r="T928" s="2" t="n"/>
      <c r="U928" s="2" t="n"/>
      <c r="V928" s="2">
        <f>SUM(J928:U928)</f>
        <v/>
      </c>
      <c r="W928" s="2" t="n"/>
      <c r="X928" s="2" t="n"/>
      <c r="Y928" s="2" t="n">
        <v>12</v>
      </c>
      <c r="Z928" s="2" t="n"/>
      <c r="AA928" s="2" t="n"/>
      <c r="AB928" s="2" t="n"/>
      <c r="AC928" s="2" t="n">
        <v>12</v>
      </c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>
        <f>IF(F928=1,V928*2,IF(F928=2,V928*F928*2,IF(F928&gt;2,F928*2*V928)))</f>
        <v/>
      </c>
      <c r="AW928" s="2">
        <f>SUM(W928:AU928)</f>
        <v/>
      </c>
    </row>
    <row r="929">
      <c r="A929" s="2" t="inlineStr">
        <is>
          <t>A14-M-SP/SP-B-N-008</t>
        </is>
      </c>
      <c r="B929" s="3" t="inlineStr">
        <is>
          <t>MOJC-SM-12C-SC/PC-SC/PC</t>
        </is>
      </c>
      <c r="C929" s="2" t="inlineStr">
        <is>
          <t>908040800, 8M, B3</t>
        </is>
      </c>
      <c r="D929" s="2" t="inlineStr">
        <is>
          <t>b3-12c</t>
        </is>
      </c>
      <c r="E929" s="2" t="inlineStr">
        <is>
          <t>2.0mm</t>
        </is>
      </c>
      <c r="F929" s="2" t="n">
        <v>12</v>
      </c>
      <c r="G929" s="2" t="n">
        <v>8</v>
      </c>
      <c r="H929" s="2" t="inlineStr">
        <is>
          <t>SC/PC</t>
        </is>
      </c>
      <c r="I929" s="2" t="inlineStr">
        <is>
          <t>SC/PC</t>
        </is>
      </c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>
        <v>5</v>
      </c>
      <c r="T929" s="2" t="n"/>
      <c r="U929" s="2" t="n"/>
      <c r="V929" s="2">
        <f>SUM(J929:U929)</f>
        <v/>
      </c>
      <c r="W929" s="2" t="n"/>
      <c r="X929" s="2" t="n"/>
      <c r="Y929" s="2" t="n"/>
      <c r="Z929" s="2" t="n"/>
      <c r="AA929" s="2" t="n">
        <v>120</v>
      </c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>
        <f>IF(F929=1,V929*2,IF(F929=2,V929*F929*2,IF(F929&gt;2,F929*2*V929)))</f>
        <v/>
      </c>
      <c r="AW929" s="2">
        <f>SUM(W929:AU929)</f>
        <v/>
      </c>
    </row>
    <row r="930">
      <c r="A930" s="2" t="inlineStr">
        <is>
          <t>A14-M-SP/SP-B-N-011</t>
        </is>
      </c>
      <c r="B930" s="3" t="inlineStr">
        <is>
          <t>MOJC-SM-12C-SC/PC-SC/PC</t>
        </is>
      </c>
      <c r="C930" s="2" t="inlineStr">
        <is>
          <t>908040804, 12M, B3</t>
        </is>
      </c>
      <c r="D930" s="2" t="inlineStr">
        <is>
          <t>b3-12c</t>
        </is>
      </c>
      <c r="E930" s="2" t="inlineStr">
        <is>
          <t>2.0mm</t>
        </is>
      </c>
      <c r="F930" s="2" t="n">
        <v>12</v>
      </c>
      <c r="G930" s="2" t="n">
        <v>12</v>
      </c>
      <c r="H930" s="2" t="inlineStr">
        <is>
          <t>SC/PC</t>
        </is>
      </c>
      <c r="I930" s="2" t="inlineStr">
        <is>
          <t>SC/PC</t>
        </is>
      </c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>
        <v>10</v>
      </c>
      <c r="T930" s="2" t="n"/>
      <c r="U930" s="2" t="n"/>
      <c r="V930" s="2">
        <f>SUM(J930:U930)</f>
        <v/>
      </c>
      <c r="W930" s="2" t="n"/>
      <c r="X930" s="2" t="n"/>
      <c r="Y930" s="2" t="n"/>
      <c r="Z930" s="2" t="n"/>
      <c r="AA930" s="2" t="n">
        <v>240</v>
      </c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>
        <f>IF(F930=1,V930*2,IF(F930=2,V930*F930*2,IF(F930&gt;2,F930*2*V930)))</f>
        <v/>
      </c>
      <c r="AW930" s="2">
        <f>SUM(W930:AU930)</f>
        <v/>
      </c>
    </row>
    <row r="931">
      <c r="A931" s="2" t="inlineStr">
        <is>
          <t>A14-M-SP/SP-B-N-012</t>
        </is>
      </c>
      <c r="B931" s="3" t="inlineStr">
        <is>
          <t>MOJC-SM-12C-SC/PC-SC/PC</t>
        </is>
      </c>
      <c r="C931" s="2" t="inlineStr">
        <is>
          <t>908040807, 15M, B3</t>
        </is>
      </c>
      <c r="D931" s="2" t="inlineStr">
        <is>
          <t>b3-12c</t>
        </is>
      </c>
      <c r="E931" s="2" t="inlineStr">
        <is>
          <t>2.0mm</t>
        </is>
      </c>
      <c r="F931" s="2" t="n">
        <v>12</v>
      </c>
      <c r="G931" s="2" t="n">
        <v>15</v>
      </c>
      <c r="H931" s="2" t="inlineStr">
        <is>
          <t>SC/PC</t>
        </is>
      </c>
      <c r="I931" s="2" t="inlineStr">
        <is>
          <t>SC/PC</t>
        </is>
      </c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>
        <v>10</v>
      </c>
      <c r="T931" s="2" t="n">
        <v>15</v>
      </c>
      <c r="U931" s="2" t="n"/>
      <c r="V931" s="2">
        <f>SUM(J931:U931)</f>
        <v/>
      </c>
      <c r="W931" s="2" t="n"/>
      <c r="X931" s="2" t="n"/>
      <c r="Y931" s="2" t="n"/>
      <c r="Z931" s="2" t="n"/>
      <c r="AA931" s="2" t="n">
        <v>600</v>
      </c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>
        <f>IF(F931=1,V931*2,IF(F931=2,V931*F931*2,IF(F931&gt;2,F931*2*V931)))</f>
        <v/>
      </c>
      <c r="AW931" s="2">
        <f>SUM(W931:AU931)</f>
        <v/>
      </c>
    </row>
    <row r="932">
      <c r="A932" s="2" t="inlineStr">
        <is>
          <t>A14-M-SP/SP-B-N-016</t>
        </is>
      </c>
      <c r="B932" s="3" t="inlineStr">
        <is>
          <t>MOJC-SM-24C-SC/PC-SC/PC</t>
        </is>
      </c>
      <c r="C932" s="2" t="inlineStr">
        <is>
          <t>920001114, 3M, B3</t>
        </is>
      </c>
      <c r="D932" s="2" t="inlineStr">
        <is>
          <t>b3-24c</t>
        </is>
      </c>
      <c r="E932" s="2" t="inlineStr">
        <is>
          <t>2.0mm</t>
        </is>
      </c>
      <c r="F932" s="2" t="n">
        <v>24</v>
      </c>
      <c r="G932" s="2" t="n">
        <v>3</v>
      </c>
      <c r="H932" s="2" t="inlineStr">
        <is>
          <t>SC/PC</t>
        </is>
      </c>
      <c r="I932" s="2" t="inlineStr">
        <is>
          <t>SC/PC</t>
        </is>
      </c>
      <c r="J932" s="2" t="n"/>
      <c r="K932" s="2" t="n"/>
      <c r="L932" s="2" t="n"/>
      <c r="M932" s="2" t="n"/>
      <c r="N932" s="2" t="n"/>
      <c r="O932" s="2" t="n"/>
      <c r="P932" s="2" t="n"/>
      <c r="Q932" s="2" t="n">
        <v>10</v>
      </c>
      <c r="R932" s="2" t="n"/>
      <c r="S932" s="2" t="n"/>
      <c r="T932" s="2" t="n"/>
      <c r="U932" s="2" t="n"/>
      <c r="V932" s="2">
        <f>SUM(J932:U932)</f>
        <v/>
      </c>
      <c r="W932" s="2" t="n"/>
      <c r="X932" s="2" t="n"/>
      <c r="Y932" s="2" t="n"/>
      <c r="Z932" s="2" t="n"/>
      <c r="AA932" s="2" t="n">
        <v>480</v>
      </c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>
        <f>IF(F932=1,V932*2,IF(F932=2,V932*F932*2,IF(F932&gt;2,F932*2*V932)))</f>
        <v/>
      </c>
      <c r="AW932" s="2">
        <f>SUM(W932:AU932)</f>
        <v/>
      </c>
    </row>
    <row r="933">
      <c r="A933" s="2" t="inlineStr">
        <is>
          <t>A14-M-SP/SP-B-N-026</t>
        </is>
      </c>
      <c r="B933" s="3" t="inlineStr">
        <is>
          <t>MOJC-SM-6C-SC/PC-SC/PC</t>
        </is>
      </c>
      <c r="C933" s="2" t="inlineStr">
        <is>
          <t>920000162, 10M, B3</t>
        </is>
      </c>
      <c r="D933" s="2" t="inlineStr">
        <is>
          <t>b3-6c</t>
        </is>
      </c>
      <c r="E933" s="2" t="inlineStr">
        <is>
          <t>2.0mm</t>
        </is>
      </c>
      <c r="F933" s="2" t="n">
        <v>6</v>
      </c>
      <c r="G933" s="2" t="n">
        <v>10</v>
      </c>
      <c r="H933" s="2" t="inlineStr">
        <is>
          <t>SC/PC</t>
        </is>
      </c>
      <c r="I933" s="2" t="inlineStr">
        <is>
          <t>SC/PC</t>
        </is>
      </c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>
        <v>10</v>
      </c>
      <c r="T933" s="2" t="n"/>
      <c r="U933" s="2" t="n"/>
      <c r="V933" s="2">
        <f>SUM(J933:U933)</f>
        <v/>
      </c>
      <c r="W933" s="2" t="n"/>
      <c r="X933" s="2" t="n"/>
      <c r="Y933" s="2" t="n"/>
      <c r="Z933" s="2" t="n"/>
      <c r="AA933" s="2" t="n">
        <v>120</v>
      </c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>
        <f>IF(F933=1,V933*2,IF(F933=2,V933*F933*2,IF(F933&gt;2,F933*2*V933)))</f>
        <v/>
      </c>
      <c r="AW933" s="2">
        <f>SUM(W933:AU933)</f>
        <v/>
      </c>
    </row>
    <row r="934">
      <c r="A934" s="2" t="inlineStr">
        <is>
          <t>A14-M-SP/SP-B-N-027</t>
        </is>
      </c>
      <c r="B934" s="3" t="inlineStr">
        <is>
          <t>MOJC-SM-6C-SC/PC-SC/PC</t>
        </is>
      </c>
      <c r="C934" s="2" t="inlineStr">
        <is>
          <t>920000167, 15M, B3</t>
        </is>
      </c>
      <c r="D934" s="2" t="inlineStr">
        <is>
          <t>b3-6c</t>
        </is>
      </c>
      <c r="E934" s="2" t="inlineStr">
        <is>
          <t>2.0mm</t>
        </is>
      </c>
      <c r="F934" s="2" t="n">
        <v>6</v>
      </c>
      <c r="G934" s="2" t="n">
        <v>15</v>
      </c>
      <c r="H934" s="2" t="inlineStr">
        <is>
          <t>SC/PC</t>
        </is>
      </c>
      <c r="I934" s="2" t="inlineStr">
        <is>
          <t>SC/PC</t>
        </is>
      </c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>
        <v>15</v>
      </c>
      <c r="U934" s="2" t="n"/>
      <c r="V934" s="2">
        <f>SUM(J934:U934)</f>
        <v/>
      </c>
      <c r="W934" s="2" t="n"/>
      <c r="X934" s="2" t="n"/>
      <c r="Y934" s="2" t="n"/>
      <c r="Z934" s="2" t="n"/>
      <c r="AA934" s="2" t="n">
        <v>180</v>
      </c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>
        <f>IF(F934=1,V934*2,IF(F934=2,V934*F934*2,IF(F934&gt;2,F934*2*V934)))</f>
        <v/>
      </c>
      <c r="AW934" s="2">
        <f>SUM(W934:AU934)</f>
        <v/>
      </c>
    </row>
    <row r="935">
      <c r="A935" s="2" t="inlineStr">
        <is>
          <t>A14-MB-N043</t>
        </is>
      </c>
      <c r="B935" s="3" t="inlineStr">
        <is>
          <t>MOJC-SM-12C-SC/PC-SC/PC</t>
        </is>
      </c>
      <c r="C935" s="2" t="inlineStr">
        <is>
          <t>908040802, 10M, B3</t>
        </is>
      </c>
      <c r="D935" s="2" t="inlineStr">
        <is>
          <t>b3-12c</t>
        </is>
      </c>
      <c r="E935" s="2" t="inlineStr">
        <is>
          <t>2.0mm</t>
        </is>
      </c>
      <c r="F935" s="2" t="n">
        <v>12</v>
      </c>
      <c r="G935" s="2" t="n">
        <v>10</v>
      </c>
      <c r="H935" s="2" t="inlineStr">
        <is>
          <t>SC/PC</t>
        </is>
      </c>
      <c r="I935" s="2" t="inlineStr">
        <is>
          <t>SC/PC</t>
        </is>
      </c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>
        <v>35</v>
      </c>
      <c r="T935" s="2" t="n"/>
      <c r="U935" s="2" t="n"/>
      <c r="V935" s="2">
        <f>SUM(J935:U935)</f>
        <v/>
      </c>
      <c r="W935" s="2" t="n"/>
      <c r="X935" s="2" t="n"/>
      <c r="Y935" s="2" t="n"/>
      <c r="Z935" s="2" t="n"/>
      <c r="AA935" s="2" t="n">
        <v>840</v>
      </c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>
        <f>IF(F935=1,V935*2,IF(F935=2,V935*F935*2,IF(F935&gt;2,F935*2*V935)))</f>
        <v/>
      </c>
      <c r="AW935" s="2">
        <f>SUM(W935:AU935)</f>
        <v/>
      </c>
    </row>
    <row r="936">
      <c r="A936" s="2" t="inlineStr">
        <is>
          <t>A14-S-FA/FA-B-N-009</t>
        </is>
      </c>
      <c r="B936" s="3" t="inlineStr">
        <is>
          <t>SOJC-SM-FC/APC-FC/APC</t>
        </is>
      </c>
      <c r="C936" s="2" t="inlineStr">
        <is>
          <t>908041335, 3M, B3, 3.0mm</t>
        </is>
      </c>
      <c r="D936" s="2" t="inlineStr">
        <is>
          <t>b3</t>
        </is>
      </c>
      <c r="E936" s="2" t="inlineStr">
        <is>
          <t>3.0mm</t>
        </is>
      </c>
      <c r="F936" s="2" t="n">
        <v>1</v>
      </c>
      <c r="G936" s="2" t="n">
        <v>3</v>
      </c>
      <c r="H936" s="2" t="inlineStr">
        <is>
          <t>FC/APC</t>
        </is>
      </c>
      <c r="I936" s="2" t="inlineStr">
        <is>
          <t>FC/APC</t>
        </is>
      </c>
      <c r="J936" s="2" t="n"/>
      <c r="K936" s="2" t="n"/>
      <c r="L936" s="2" t="n">
        <v>3</v>
      </c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>
        <f>SUM(J936:U936)</f>
        <v/>
      </c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>
        <v>6</v>
      </c>
      <c r="AU936" s="2" t="n"/>
      <c r="AV936" s="2">
        <f>IF(F936=1,V936*2,IF(F936=2,V936*F936*2,IF(F936&gt;2,F936*2*V936)))</f>
        <v/>
      </c>
      <c r="AW936" s="2">
        <f>SUM(W936:AU936)</f>
        <v/>
      </c>
    </row>
    <row r="937">
      <c r="A937" s="2" t="inlineStr">
        <is>
          <t>A14-S-FA/FA-B-N-014</t>
        </is>
      </c>
      <c r="B937" s="3" t="inlineStr">
        <is>
          <t>SOJC-SM-FC/APC-FC/APC</t>
        </is>
      </c>
      <c r="C937" s="2" t="inlineStr">
        <is>
          <t>908041343, 8M, B3, 2.0mm</t>
        </is>
      </c>
      <c r="D937" s="2" t="inlineStr">
        <is>
          <t>b3</t>
        </is>
      </c>
      <c r="E937" s="2" t="inlineStr">
        <is>
          <t>2.0mm</t>
        </is>
      </c>
      <c r="F937" s="2" t="n">
        <v>1</v>
      </c>
      <c r="G937" s="2" t="n">
        <v>8</v>
      </c>
      <c r="H937" s="2" t="inlineStr">
        <is>
          <t>FC/APC</t>
        </is>
      </c>
      <c r="I937" s="2" t="inlineStr">
        <is>
          <t>FC/APC</t>
        </is>
      </c>
      <c r="J937" s="2" t="n"/>
      <c r="K937" s="2" t="n"/>
      <c r="L937" s="2" t="n">
        <v>2</v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>
        <f>SUM(J937:U937)</f>
        <v/>
      </c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>
        <v>4</v>
      </c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>
        <f>IF(F937=1,V937*2,IF(F937=2,V937*F937*2,IF(F937&gt;2,F937*2*V937)))</f>
        <v/>
      </c>
      <c r="AW937" s="2">
        <f>SUM(W937:AU937)</f>
        <v/>
      </c>
    </row>
    <row r="938">
      <c r="A938" s="2" t="inlineStr">
        <is>
          <t>A14-S-FP/FP-B-N-001</t>
        </is>
      </c>
      <c r="B938" s="3" t="inlineStr">
        <is>
          <t>SOJC-SM-FC/PC-FC/PC</t>
        </is>
      </c>
      <c r="C938" s="2" t="inlineStr">
        <is>
          <t>908041489, 10M, B3, 2.0mm</t>
        </is>
      </c>
      <c r="D938" s="2" t="inlineStr">
        <is>
          <t>b3</t>
        </is>
      </c>
      <c r="E938" s="2" t="inlineStr">
        <is>
          <t>2.0mm</t>
        </is>
      </c>
      <c r="F938" s="2" t="n">
        <v>1</v>
      </c>
      <c r="G938" s="2" t="n">
        <v>10</v>
      </c>
      <c r="H938" s="2" t="inlineStr">
        <is>
          <t>FC/PC</t>
        </is>
      </c>
      <c r="I938" s="2" t="inlineStr">
        <is>
          <t>FC/PC</t>
        </is>
      </c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>
        <v>2</v>
      </c>
      <c r="U938" s="2" t="n"/>
      <c r="V938" s="2">
        <f>SUM(J938:U938)</f>
        <v/>
      </c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>
        <v>4</v>
      </c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>
        <f>IF(F938=1,V938*2,IF(F938=2,V938*F938*2,IF(F938&gt;2,F938*2*V938)))</f>
        <v/>
      </c>
      <c r="AW938" s="2">
        <f>SUM(W938:AU938)</f>
        <v/>
      </c>
    </row>
    <row r="939">
      <c r="A939" s="2" t="inlineStr">
        <is>
          <t>A14-S-FP/FP-B-N-002</t>
        </is>
      </c>
      <c r="B939" s="3" t="inlineStr">
        <is>
          <t>SOJC-SM-FC/PC-FC/PC</t>
        </is>
      </c>
      <c r="C939" s="2" t="inlineStr">
        <is>
          <t>908041494, 15M, B3, 2.0mm</t>
        </is>
      </c>
      <c r="D939" s="2" t="inlineStr">
        <is>
          <t>b3</t>
        </is>
      </c>
      <c r="E939" s="2" t="inlineStr">
        <is>
          <t>2.0mm</t>
        </is>
      </c>
      <c r="F939" s="2" t="n">
        <v>1</v>
      </c>
      <c r="G939" s="2" t="n">
        <v>15</v>
      </c>
      <c r="H939" s="2" t="inlineStr">
        <is>
          <t>FC/PC</t>
        </is>
      </c>
      <c r="I939" s="2" t="inlineStr">
        <is>
          <t>FC/PC</t>
        </is>
      </c>
      <c r="J939" s="2" t="n"/>
      <c r="K939" s="2" t="n"/>
      <c r="L939" s="2" t="n"/>
      <c r="M939" s="2" t="n"/>
      <c r="N939" s="2" t="n"/>
      <c r="O939" s="2" t="n"/>
      <c r="P939" s="2" t="n">
        <v>50</v>
      </c>
      <c r="Q939" s="2" t="n"/>
      <c r="R939" s="2" t="n"/>
      <c r="S939" s="2" t="n"/>
      <c r="T939" s="2" t="n"/>
      <c r="U939" s="2" t="n"/>
      <c r="V939" s="2">
        <f>SUM(J939:U939)</f>
        <v/>
      </c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>
        <v>100</v>
      </c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>
        <f>IF(F939=1,V939*2,IF(F939=2,V939*F939*2,IF(F939&gt;2,F939*2*V939)))</f>
        <v/>
      </c>
      <c r="AW939" s="2">
        <f>SUM(W939:AU939)</f>
        <v/>
      </c>
    </row>
    <row r="940">
      <c r="A940" s="2" t="inlineStr">
        <is>
          <t>A14-S-LP/FA-B-N-006</t>
        </is>
      </c>
      <c r="B940" s="3" t="inlineStr">
        <is>
          <t>SOJC-SM-LC/PC-FC/APC</t>
        </is>
      </c>
      <c r="C940" s="2" t="inlineStr">
        <is>
          <t>930001517, 30M, B3, 2.0mm</t>
        </is>
      </c>
      <c r="D940" s="2" t="inlineStr">
        <is>
          <t>b3</t>
        </is>
      </c>
      <c r="E940" s="2" t="inlineStr">
        <is>
          <t>2.0mm</t>
        </is>
      </c>
      <c r="F940" s="2" t="n">
        <v>1</v>
      </c>
      <c r="G940" s="2" t="n">
        <v>30</v>
      </c>
      <c r="H940" s="2" t="inlineStr">
        <is>
          <t>LC/PC</t>
        </is>
      </c>
      <c r="I940" s="2" t="inlineStr">
        <is>
          <t>FC/APC</t>
        </is>
      </c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>
        <v>5</v>
      </c>
      <c r="T940" s="2" t="n"/>
      <c r="U940" s="2" t="n"/>
      <c r="V940" s="2">
        <f>SUM(J940:U940)</f>
        <v/>
      </c>
      <c r="W940" s="2" t="n">
        <v>5</v>
      </c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>
        <v>5</v>
      </c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>
        <f>IF(F940=1,V940*2,IF(F940=2,V940*F940*2,IF(F940&gt;2,F940*2*V940)))</f>
        <v/>
      </c>
      <c r="AW940" s="2">
        <f>SUM(W940:AU940)</f>
        <v/>
      </c>
    </row>
    <row r="941">
      <c r="A941" s="2" t="inlineStr">
        <is>
          <t>A14-S-LP/FA-B-N-009</t>
        </is>
      </c>
      <c r="B941" s="3" t="inlineStr">
        <is>
          <t>SOJC-SM-LC/PC-FC/APC</t>
        </is>
      </c>
      <c r="C941" s="2" t="inlineStr">
        <is>
          <t>930001519, 40M, B3, 2.0mm</t>
        </is>
      </c>
      <c r="D941" s="2" t="inlineStr">
        <is>
          <t>b3</t>
        </is>
      </c>
      <c r="E941" s="2" t="inlineStr">
        <is>
          <t>2.0mm</t>
        </is>
      </c>
      <c r="F941" s="2" t="n">
        <v>1</v>
      </c>
      <c r="G941" s="2" t="n">
        <v>40</v>
      </c>
      <c r="H941" s="2" t="inlineStr">
        <is>
          <t>LC/PC</t>
        </is>
      </c>
      <c r="I941" s="2" t="inlineStr">
        <is>
          <t>FC/APC</t>
        </is>
      </c>
      <c r="J941" s="2" t="n"/>
      <c r="K941" s="2" t="n"/>
      <c r="L941" s="2" t="n"/>
      <c r="M941" s="2" t="n"/>
      <c r="N941" s="2" t="n">
        <v>40</v>
      </c>
      <c r="O941" s="2" t="n"/>
      <c r="P941" s="2" t="n"/>
      <c r="Q941" s="2" t="n"/>
      <c r="R941" s="2" t="n"/>
      <c r="S941" s="2" t="n"/>
      <c r="T941" s="2" t="n"/>
      <c r="U941" s="2" t="n"/>
      <c r="V941" s="2">
        <f>SUM(J941:U941)</f>
        <v/>
      </c>
      <c r="W941" s="2" t="n">
        <v>40</v>
      </c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>
        <v>40</v>
      </c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>
        <f>IF(F941=1,V941*2,IF(F941=2,V941*F941*2,IF(F941&gt;2,F941*2*V941)))</f>
        <v/>
      </c>
      <c r="AW941" s="2">
        <f>SUM(W941:AU941)</f>
        <v/>
      </c>
    </row>
    <row r="942">
      <c r="A942" s="2" t="inlineStr">
        <is>
          <t>A14-S-LP/FA-B-N-013</t>
        </is>
      </c>
      <c r="B942" s="3" t="inlineStr">
        <is>
          <t>SOJC-SM-LC/PC-FC/APC</t>
        </is>
      </c>
      <c r="C942" s="2" t="inlineStr">
        <is>
          <t>930001503, 8M, B3, 2.0mm</t>
        </is>
      </c>
      <c r="D942" s="2" t="inlineStr">
        <is>
          <t>b3</t>
        </is>
      </c>
      <c r="E942" s="2" t="inlineStr">
        <is>
          <t>2.0mm</t>
        </is>
      </c>
      <c r="F942" s="2" t="n">
        <v>1</v>
      </c>
      <c r="G942" s="2" t="n">
        <v>8</v>
      </c>
      <c r="H942" s="2" t="inlineStr">
        <is>
          <t>LC/PC</t>
        </is>
      </c>
      <c r="I942" s="2" t="inlineStr">
        <is>
          <t>FC/APC</t>
        </is>
      </c>
      <c r="J942" s="2" t="n"/>
      <c r="K942" s="2" t="n"/>
      <c r="L942" s="2" t="n">
        <v>10</v>
      </c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>
        <f>SUM(J942:U942)</f>
        <v/>
      </c>
      <c r="W942" s="2" t="n">
        <v>10</v>
      </c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>
        <v>10</v>
      </c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>
        <f>IF(F942=1,V942*2,IF(F942=2,V942*F942*2,IF(F942&gt;2,F942*2*V942)))</f>
        <v/>
      </c>
      <c r="AW942" s="2">
        <f>SUM(W942:AU942)</f>
        <v/>
      </c>
    </row>
    <row r="943">
      <c r="A943" s="2" t="inlineStr">
        <is>
          <t>A14-S-LP/FA-B-N-014</t>
        </is>
      </c>
      <c r="B943" s="3" t="inlineStr">
        <is>
          <t>SOJC-SM-LC/PC-FC/APC</t>
        </is>
      </c>
      <c r="C943" s="2" t="inlineStr">
        <is>
          <t>930001504, 9M, B3, 2.0mm</t>
        </is>
      </c>
      <c r="D943" s="2" t="inlineStr">
        <is>
          <t>b3</t>
        </is>
      </c>
      <c r="E943" s="2" t="inlineStr">
        <is>
          <t>2.0mm</t>
        </is>
      </c>
      <c r="F943" s="2" t="n">
        <v>1</v>
      </c>
      <c r="G943" s="2" t="n">
        <v>9</v>
      </c>
      <c r="H943" s="2" t="inlineStr">
        <is>
          <t>LC/PC</t>
        </is>
      </c>
      <c r="I943" s="2" t="inlineStr">
        <is>
          <t>FC/APC</t>
        </is>
      </c>
      <c r="J943" s="2" t="n"/>
      <c r="K943" s="2" t="n"/>
      <c r="L943" s="2" t="n">
        <v>10</v>
      </c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>
        <f>SUM(J943:U943)</f>
        <v/>
      </c>
      <c r="W943" s="2" t="n">
        <v>10</v>
      </c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>
        <v>10</v>
      </c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>
        <f>IF(F943=1,V943*2,IF(F943=2,V943*F943*2,IF(F943&gt;2,F943*2*V943)))</f>
        <v/>
      </c>
      <c r="AW943" s="2">
        <f>SUM(W943:AU943)</f>
        <v/>
      </c>
    </row>
    <row r="944">
      <c r="A944" s="2" t="inlineStr">
        <is>
          <t>A14-S-LP/FP-B-N-007</t>
        </is>
      </c>
      <c r="B944" s="3" t="inlineStr">
        <is>
          <t>SOJC-SM-LC/PC-FC/PC</t>
        </is>
      </c>
      <c r="C944" s="2" t="inlineStr">
        <is>
          <t>908040160, 30M, B3, 2.0mm</t>
        </is>
      </c>
      <c r="D944" s="2" t="inlineStr">
        <is>
          <t>b3</t>
        </is>
      </c>
      <c r="E944" s="2" t="inlineStr">
        <is>
          <t>2.0mm</t>
        </is>
      </c>
      <c r="F944" s="2" t="n">
        <v>1</v>
      </c>
      <c r="G944" s="2" t="n">
        <v>30</v>
      </c>
      <c r="H944" s="2" t="inlineStr">
        <is>
          <t>LC/PC</t>
        </is>
      </c>
      <c r="I944" s="2" t="inlineStr">
        <is>
          <t>FC/PC</t>
        </is>
      </c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>
        <v>20</v>
      </c>
      <c r="T944" s="2" t="n"/>
      <c r="U944" s="2" t="n"/>
      <c r="V944" s="2">
        <f>SUM(J944:U944)</f>
        <v/>
      </c>
      <c r="W944" s="2" t="n">
        <v>20</v>
      </c>
      <c r="X944" s="2" t="n"/>
      <c r="Y944" s="2" t="n"/>
      <c r="Z944" s="2" t="n"/>
      <c r="AA944" s="2" t="n"/>
      <c r="AB944" s="2" t="n"/>
      <c r="AC944" s="2" t="n"/>
      <c r="AD944" s="2" t="n"/>
      <c r="AE944" s="2" t="n">
        <v>20</v>
      </c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>
        <f>IF(F944=1,V944*2,IF(F944=2,V944*F944*2,IF(F944&gt;2,F944*2*V944)))</f>
        <v/>
      </c>
      <c r="AW944" s="2">
        <f>SUM(W944:AU944)</f>
        <v/>
      </c>
    </row>
    <row r="945">
      <c r="A945" s="2" t="inlineStr">
        <is>
          <t>A14-S-LP/FP-B-N-010</t>
        </is>
      </c>
      <c r="B945" s="3" t="inlineStr">
        <is>
          <t>SOJC-SM-LC/PC-FC/PC</t>
        </is>
      </c>
      <c r="C945" s="2" t="inlineStr">
        <is>
          <t>908040294, 5M, B3, 3.0mm</t>
        </is>
      </c>
      <c r="D945" s="2" t="inlineStr">
        <is>
          <t>b3</t>
        </is>
      </c>
      <c r="E945" s="2" t="inlineStr">
        <is>
          <t>3.0mm</t>
        </is>
      </c>
      <c r="F945" s="2" t="n">
        <v>1</v>
      </c>
      <c r="G945" s="2" t="n">
        <v>5</v>
      </c>
      <c r="H945" s="2" t="inlineStr">
        <is>
          <t>LC/PC</t>
        </is>
      </c>
      <c r="I945" s="2" t="inlineStr">
        <is>
          <t>FC/PC</t>
        </is>
      </c>
      <c r="J945" s="2" t="n"/>
      <c r="K945" s="2" t="n"/>
      <c r="L945" s="2" t="n"/>
      <c r="M945" s="2" t="n"/>
      <c r="N945" s="2" t="n"/>
      <c r="O945" s="2" t="n"/>
      <c r="P945" s="2" t="n"/>
      <c r="Q945" s="2" t="n">
        <v>3</v>
      </c>
      <c r="R945" s="2" t="n"/>
      <c r="S945" s="2" t="n"/>
      <c r="T945" s="2" t="n"/>
      <c r="U945" s="2" t="n"/>
      <c r="V945" s="2">
        <f>SUM(J945:U945)</f>
        <v/>
      </c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>
        <v>3</v>
      </c>
      <c r="AK945" s="2" t="n"/>
      <c r="AL945" s="2" t="n"/>
      <c r="AM945" s="2" t="n"/>
      <c r="AN945" s="2" t="n"/>
      <c r="AO945" s="2" t="n"/>
      <c r="AP945" s="2" t="n"/>
      <c r="AQ945" s="2" t="n"/>
      <c r="AR945" s="2" t="n">
        <v>3</v>
      </c>
      <c r="AS945" s="2" t="n"/>
      <c r="AT945" s="2" t="n"/>
      <c r="AU945" s="2" t="n"/>
      <c r="AV945" s="2">
        <f>IF(F945=1,V945*2,IF(F945=2,V945*F945*2,IF(F945&gt;2,F945*2*V945)))</f>
        <v/>
      </c>
      <c r="AW945" s="2">
        <f>SUM(W945:AU945)</f>
        <v/>
      </c>
    </row>
    <row r="946">
      <c r="A946" s="2" t="inlineStr">
        <is>
          <t>A14-S-LP/FP-B-N-012</t>
        </is>
      </c>
      <c r="B946" s="3" t="inlineStr">
        <is>
          <t>SOJC-SM-LC/PC-FC/PC</t>
        </is>
      </c>
      <c r="C946" s="2" t="inlineStr">
        <is>
          <t>908040296, 7M, B3, 2.0mm</t>
        </is>
      </c>
      <c r="D946" s="2" t="inlineStr">
        <is>
          <t>b3</t>
        </is>
      </c>
      <c r="E946" s="2" t="inlineStr">
        <is>
          <t>2.0mm</t>
        </is>
      </c>
      <c r="F946" s="2" t="n">
        <v>1</v>
      </c>
      <c r="G946" s="2" t="n">
        <v>7</v>
      </c>
      <c r="H946" s="2" t="inlineStr">
        <is>
          <t>LC/PC</t>
        </is>
      </c>
      <c r="I946" s="2" t="inlineStr">
        <is>
          <t>FC/PC</t>
        </is>
      </c>
      <c r="J946" s="2" t="n"/>
      <c r="K946" s="2" t="n"/>
      <c r="L946" s="2" t="n"/>
      <c r="M946" s="2" t="n"/>
      <c r="N946" s="2" t="n"/>
      <c r="O946" s="2" t="n"/>
      <c r="P946" s="2" t="n">
        <v>20</v>
      </c>
      <c r="Q946" s="2" t="n"/>
      <c r="R946" s="2" t="n"/>
      <c r="S946" s="2" t="n"/>
      <c r="T946" s="2" t="n"/>
      <c r="U946" s="2" t="n"/>
      <c r="V946" s="2">
        <f>SUM(J946:U946)</f>
        <v/>
      </c>
      <c r="W946" s="2" t="n">
        <v>20</v>
      </c>
      <c r="X946" s="2" t="n"/>
      <c r="Y946" s="2" t="n"/>
      <c r="Z946" s="2" t="n"/>
      <c r="AA946" s="2" t="n"/>
      <c r="AB946" s="2" t="n"/>
      <c r="AC946" s="2" t="n"/>
      <c r="AD946" s="2" t="n"/>
      <c r="AE946" s="2" t="n">
        <v>20</v>
      </c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>
        <f>IF(F946=1,V946*2,IF(F946=2,V946*F946*2,IF(F946&gt;2,F946*2*V946)))</f>
        <v/>
      </c>
      <c r="AW946" s="2">
        <f>SUM(W946:AU946)</f>
        <v/>
      </c>
    </row>
    <row r="947">
      <c r="A947" s="2" t="inlineStr">
        <is>
          <t>A14-S-LP/LP-B-N-005</t>
        </is>
      </c>
      <c r="B947" s="3" t="inlineStr">
        <is>
          <t>SOJC-SM-LC/PC-LC/PC</t>
        </is>
      </c>
      <c r="C947" s="2" t="inlineStr">
        <is>
          <t>908040282, 23M, B3, 2.0mm</t>
        </is>
      </c>
      <c r="D947" s="2" t="inlineStr">
        <is>
          <t>b3</t>
        </is>
      </c>
      <c r="E947" s="2" t="inlineStr">
        <is>
          <t>2.0mm</t>
        </is>
      </c>
      <c r="F947" s="2" t="n">
        <v>1</v>
      </c>
      <c r="G947" s="2" t="n">
        <v>23</v>
      </c>
      <c r="H947" s="2" t="inlineStr">
        <is>
          <t>LC/PC</t>
        </is>
      </c>
      <c r="I947" s="2" t="inlineStr">
        <is>
          <t>LC/PC</t>
        </is>
      </c>
      <c r="J947" s="2" t="n"/>
      <c r="K947" s="2" t="n"/>
      <c r="L947" s="2" t="n"/>
      <c r="M947" s="2" t="n"/>
      <c r="N947" s="2" t="n"/>
      <c r="O947" s="2" t="n"/>
      <c r="P947" s="2" t="n">
        <v>6</v>
      </c>
      <c r="Q947" s="2" t="n">
        <v>24</v>
      </c>
      <c r="R947" s="2" t="n"/>
      <c r="S947" s="2" t="n"/>
      <c r="T947" s="2" t="n"/>
      <c r="U947" s="2" t="n"/>
      <c r="V947" s="2">
        <f>SUM(J947:U947)</f>
        <v/>
      </c>
      <c r="W947" s="2" t="n">
        <v>60</v>
      </c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>
        <f>IF(F947=1,V947*2,IF(F947=2,V947*F947*2,IF(F947&gt;2,F947*2*V947)))</f>
        <v/>
      </c>
      <c r="AW947" s="2">
        <f>SUM(W947:AU947)</f>
        <v/>
      </c>
    </row>
    <row r="948">
      <c r="A948" s="2" t="inlineStr">
        <is>
          <t>A14-S-LP/SP-1-N-005</t>
        </is>
      </c>
      <c r="B948" s="3" t="inlineStr">
        <is>
          <t>SOJC-MM-LC/PC-SC/PC</t>
        </is>
      </c>
      <c r="C948" s="2" t="inlineStr">
        <is>
          <t>908040191, 3M</t>
        </is>
      </c>
      <c r="D948" s="2" t="inlineStr">
        <is>
          <t>om1</t>
        </is>
      </c>
      <c r="E948" s="2" t="inlineStr">
        <is>
          <t>2.0mm</t>
        </is>
      </c>
      <c r="F948" s="2" t="n">
        <v>1</v>
      </c>
      <c r="G948" s="2" t="n">
        <v>3</v>
      </c>
      <c r="H948" s="2" t="inlineStr">
        <is>
          <t>LC/PC</t>
        </is>
      </c>
      <c r="I948" s="2" t="inlineStr">
        <is>
          <t>SC/PC</t>
        </is>
      </c>
      <c r="J948" s="2" t="n"/>
      <c r="K948" s="2" t="n"/>
      <c r="L948" s="2" t="n"/>
      <c r="M948" s="2" t="n"/>
      <c r="N948" s="2" t="n">
        <v>5</v>
      </c>
      <c r="O948" s="2" t="n"/>
      <c r="P948" s="2" t="n"/>
      <c r="Q948" s="2" t="n"/>
      <c r="R948" s="2" t="n"/>
      <c r="S948" s="2" t="n"/>
      <c r="T948" s="2" t="n"/>
      <c r="U948" s="2" t="n"/>
      <c r="V948" s="2">
        <f>SUM(J948:U948)</f>
        <v/>
      </c>
      <c r="W948" s="2" t="n"/>
      <c r="X948" s="2" t="n"/>
      <c r="Y948" s="2" t="n"/>
      <c r="Z948" s="2" t="n"/>
      <c r="AA948" s="2" t="n">
        <v>5</v>
      </c>
      <c r="AB948" s="2" t="n"/>
      <c r="AC948" s="2" t="n"/>
      <c r="AD948" s="2" t="n"/>
      <c r="AE948" s="2" t="n"/>
      <c r="AF948" s="2" t="n"/>
      <c r="AG948" s="2" t="n"/>
      <c r="AH948" s="2" t="n"/>
      <c r="AI948" s="2" t="n">
        <v>5</v>
      </c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>
        <f>IF(F948=1,V948*2,IF(F948=2,V948*F948*2,IF(F948&gt;2,F948*2*V948)))</f>
        <v/>
      </c>
      <c r="AW948" s="2">
        <f>SUM(W948:AU948)</f>
        <v/>
      </c>
    </row>
    <row r="949">
      <c r="A949" s="2" t="inlineStr">
        <is>
          <t>A14-S-SA/FA-B-N-002</t>
        </is>
      </c>
      <c r="B949" s="3" t="inlineStr">
        <is>
          <t>SOJC-SM-SC/APC-FC/APC</t>
        </is>
      </c>
      <c r="C949" s="2" t="inlineStr">
        <is>
          <t>908040381, 12M, B3, 2.0mm</t>
        </is>
      </c>
      <c r="D949" s="2" t="inlineStr">
        <is>
          <t>b3</t>
        </is>
      </c>
      <c r="E949" s="2" t="inlineStr">
        <is>
          <t>2.0mm</t>
        </is>
      </c>
      <c r="F949" s="2" t="n">
        <v>1</v>
      </c>
      <c r="G949" s="2" t="n">
        <v>12</v>
      </c>
      <c r="H949" s="2" t="inlineStr">
        <is>
          <t>SC/APC</t>
        </is>
      </c>
      <c r="I949" s="2" t="inlineStr">
        <is>
          <t>FC/APC</t>
        </is>
      </c>
      <c r="J949" s="2" t="n"/>
      <c r="K949" s="2" t="n"/>
      <c r="L949" s="2" t="n">
        <v>16</v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>
        <f>SUM(J949:U949)</f>
        <v/>
      </c>
      <c r="W949" s="2" t="n"/>
      <c r="X949" s="2" t="n"/>
      <c r="Y949" s="2" t="n"/>
      <c r="Z949" s="2" t="n"/>
      <c r="AA949" s="2" t="n"/>
      <c r="AB949" s="2" t="n"/>
      <c r="AC949" s="2" t="n">
        <v>16</v>
      </c>
      <c r="AD949" s="2" t="n"/>
      <c r="AE949" s="2" t="n"/>
      <c r="AF949" s="2" t="n"/>
      <c r="AG949" s="2" t="n">
        <v>16</v>
      </c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>
        <f>IF(F949=1,V949*2,IF(F949=2,V949*F949*2,IF(F949&gt;2,F949*2*V949)))</f>
        <v/>
      </c>
      <c r="AW949" s="2">
        <f>SUM(W949:AU949)</f>
        <v/>
      </c>
    </row>
    <row r="950">
      <c r="A950" s="2" t="inlineStr">
        <is>
          <t>A14-S-SA/FA-B-N-003</t>
        </is>
      </c>
      <c r="B950" s="3" t="inlineStr">
        <is>
          <t>SOJC-SM-SC/APC-FC/APC</t>
        </is>
      </c>
      <c r="C950" s="2" t="inlineStr">
        <is>
          <t>908040384, 15M, B3, 2.0mm</t>
        </is>
      </c>
      <c r="D950" s="2" t="inlineStr">
        <is>
          <t>b3</t>
        </is>
      </c>
      <c r="E950" s="2" t="inlineStr">
        <is>
          <t>2.0mm</t>
        </is>
      </c>
      <c r="F950" s="2" t="n">
        <v>1</v>
      </c>
      <c r="G950" s="2" t="n">
        <v>15</v>
      </c>
      <c r="H950" s="2" t="inlineStr">
        <is>
          <t>SC/APC</t>
        </is>
      </c>
      <c r="I950" s="2" t="inlineStr">
        <is>
          <t>FC/APC</t>
        </is>
      </c>
      <c r="J950" s="2" t="n"/>
      <c r="K950" s="2" t="n"/>
      <c r="L950" s="2" t="n">
        <v>45</v>
      </c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>
        <f>SUM(J950:U950)</f>
        <v/>
      </c>
      <c r="W950" s="2" t="n"/>
      <c r="X950" s="2" t="n"/>
      <c r="Y950" s="2" t="n"/>
      <c r="Z950" s="2" t="n"/>
      <c r="AA950" s="2" t="n"/>
      <c r="AB950" s="2" t="n"/>
      <c r="AC950" s="2" t="n">
        <v>45</v>
      </c>
      <c r="AD950" s="2" t="n"/>
      <c r="AE950" s="2" t="n"/>
      <c r="AF950" s="2" t="n"/>
      <c r="AG950" s="2" t="n">
        <v>45</v>
      </c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>
        <f>IF(F950=1,V950*2,IF(F950=2,V950*F950*2,IF(F950&gt;2,F950*2*V950)))</f>
        <v/>
      </c>
      <c r="AW950" s="2">
        <f>SUM(W950:AU950)</f>
        <v/>
      </c>
    </row>
    <row r="951">
      <c r="A951" s="2" t="inlineStr">
        <is>
          <t>A14-S-SA/FA-B-N-010</t>
        </is>
      </c>
      <c r="B951" s="3" t="inlineStr">
        <is>
          <t>SOJC-SM-SC/APC-FC/APC</t>
        </is>
      </c>
      <c r="C951" s="2" t="inlineStr">
        <is>
          <t>908040370, 3M, B3, 3.0mm</t>
        </is>
      </c>
      <c r="D951" s="2" t="inlineStr">
        <is>
          <t>b3</t>
        </is>
      </c>
      <c r="E951" s="2" t="inlineStr">
        <is>
          <t>3.0mm</t>
        </is>
      </c>
      <c r="F951" s="2" t="n">
        <v>1</v>
      </c>
      <c r="G951" s="2" t="n">
        <v>3</v>
      </c>
      <c r="H951" s="2" t="inlineStr">
        <is>
          <t>SC/APC</t>
        </is>
      </c>
      <c r="I951" s="2" t="inlineStr">
        <is>
          <t>FC/APC</t>
        </is>
      </c>
      <c r="J951" s="2" t="n"/>
      <c r="K951" s="2" t="n"/>
      <c r="L951" s="2" t="n">
        <v>2</v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>
        <f>SUM(J951:U951)</f>
        <v/>
      </c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>
        <v>2</v>
      </c>
      <c r="AQ951" s="2" t="n"/>
      <c r="AR951" s="2" t="n"/>
      <c r="AS951" s="2" t="n"/>
      <c r="AT951" s="2" t="n">
        <v>2</v>
      </c>
      <c r="AU951" s="2" t="n"/>
      <c r="AV951" s="2">
        <f>IF(F951=1,V951*2,IF(F951=2,V951*F951*2,IF(F951&gt;2,F951*2*V951)))</f>
        <v/>
      </c>
      <c r="AW951" s="2">
        <f>SUM(W951:AU951)</f>
        <v/>
      </c>
    </row>
    <row r="952">
      <c r="A952" s="2" t="inlineStr">
        <is>
          <t>A14-S-SA/FA-B-N-015</t>
        </is>
      </c>
      <c r="B952" s="3" t="inlineStr">
        <is>
          <t>SOJC-SM-SC/APC-FC/APC</t>
        </is>
      </c>
      <c r="C952" s="2" t="inlineStr">
        <is>
          <t>908040377, 8M, B3, 2.0mm</t>
        </is>
      </c>
      <c r="D952" s="2" t="inlineStr">
        <is>
          <t>b3</t>
        </is>
      </c>
      <c r="E952" s="2" t="inlineStr">
        <is>
          <t>2.0mm</t>
        </is>
      </c>
      <c r="F952" s="2" t="n">
        <v>1</v>
      </c>
      <c r="G952" s="2" t="n">
        <v>8</v>
      </c>
      <c r="H952" s="2" t="inlineStr">
        <is>
          <t>SC/APC</t>
        </is>
      </c>
      <c r="I952" s="2" t="inlineStr">
        <is>
          <t>FC/APC</t>
        </is>
      </c>
      <c r="J952" s="2" t="n"/>
      <c r="K952" s="2" t="n"/>
      <c r="L952" s="2" t="n">
        <v>7</v>
      </c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>
        <f>SUM(J952:U952)</f>
        <v/>
      </c>
      <c r="W952" s="2" t="n"/>
      <c r="X952" s="2" t="n"/>
      <c r="Y952" s="2" t="n"/>
      <c r="Z952" s="2" t="n"/>
      <c r="AA952" s="2" t="n"/>
      <c r="AB952" s="2" t="n"/>
      <c r="AC952" s="2" t="n">
        <v>7</v>
      </c>
      <c r="AD952" s="2" t="n"/>
      <c r="AE952" s="2" t="n"/>
      <c r="AF952" s="2" t="n"/>
      <c r="AG952" s="2" t="n">
        <v>7</v>
      </c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>
        <f>IF(F952=1,V952*2,IF(F952=2,V952*F952*2,IF(F952&gt;2,F952*2*V952)))</f>
        <v/>
      </c>
      <c r="AW952" s="2">
        <f>SUM(W952:AU952)</f>
        <v/>
      </c>
    </row>
    <row r="953">
      <c r="A953" s="2" t="inlineStr">
        <is>
          <t>A14-S-SA/SA-B-N-007</t>
        </is>
      </c>
      <c r="B953" s="3" t="inlineStr">
        <is>
          <t>SOJC-SM-SC/APC-SC/APC</t>
        </is>
      </c>
      <c r="C953" s="2" t="inlineStr">
        <is>
          <t>908041479, 30M, B3, 2.0mm</t>
        </is>
      </c>
      <c r="D953" s="2" t="inlineStr">
        <is>
          <t>b3</t>
        </is>
      </c>
      <c r="E953" s="2" t="inlineStr">
        <is>
          <t>2.0mm</t>
        </is>
      </c>
      <c r="F953" s="2" t="n">
        <v>1</v>
      </c>
      <c r="G953" s="2" t="n">
        <v>30</v>
      </c>
      <c r="H953" s="2" t="inlineStr">
        <is>
          <t>SC/APC</t>
        </is>
      </c>
      <c r="I953" s="2" t="inlineStr">
        <is>
          <t>SC/APC</t>
        </is>
      </c>
      <c r="J953" s="2" t="n"/>
      <c r="K953" s="2" t="n"/>
      <c r="L953" s="2" t="n"/>
      <c r="M953" s="2" t="n"/>
      <c r="N953" s="2" t="n">
        <v>10</v>
      </c>
      <c r="O953" s="2" t="n"/>
      <c r="P953" s="2" t="n"/>
      <c r="Q953" s="2" t="n"/>
      <c r="R953" s="2" t="n"/>
      <c r="S953" s="2" t="n"/>
      <c r="T953" s="2" t="n"/>
      <c r="U953" s="2" t="n"/>
      <c r="V953" s="2">
        <f>SUM(J953:U953)</f>
        <v/>
      </c>
      <c r="W953" s="2" t="n"/>
      <c r="X953" s="2" t="n"/>
      <c r="Y953" s="2" t="n"/>
      <c r="Z953" s="2" t="n"/>
      <c r="AA953" s="2" t="n"/>
      <c r="AB953" s="2" t="n"/>
      <c r="AC953" s="2" t="n">
        <v>20</v>
      </c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>
        <f>IF(F953=1,V953*2,IF(F953=2,V953*F953*2,IF(F953&gt;2,F953*2*V953)))</f>
        <v/>
      </c>
      <c r="AW953" s="2">
        <f>SUM(W953:AU953)</f>
        <v/>
      </c>
    </row>
    <row r="954">
      <c r="A954" s="2" t="inlineStr">
        <is>
          <t>A14-S-SA/SA-B-N-009</t>
        </is>
      </c>
      <c r="B954" s="3" t="inlineStr">
        <is>
          <t>SOJC-SM-SC/APC-SC/APC</t>
        </is>
      </c>
      <c r="C954" s="2" t="inlineStr">
        <is>
          <t>908041453, 4M, B3, 3.0mm</t>
        </is>
      </c>
      <c r="D954" s="2" t="inlineStr">
        <is>
          <t>b3</t>
        </is>
      </c>
      <c r="E954" s="2" t="inlineStr">
        <is>
          <t>3.0mm</t>
        </is>
      </c>
      <c r="F954" s="2" t="n">
        <v>1</v>
      </c>
      <c r="G954" s="2" t="n">
        <v>4</v>
      </c>
      <c r="H954" s="2" t="inlineStr">
        <is>
          <t>SC/APC</t>
        </is>
      </c>
      <c r="I954" s="2" t="inlineStr">
        <is>
          <t>SC/APC</t>
        </is>
      </c>
      <c r="J954" s="2" t="n">
        <v>25</v>
      </c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>
        <f>SUM(J954:U954)</f>
        <v/>
      </c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>
        <v>50</v>
      </c>
      <c r="AQ954" s="2" t="n"/>
      <c r="AR954" s="2" t="n"/>
      <c r="AS954" s="2" t="n"/>
      <c r="AT954" s="2" t="n"/>
      <c r="AU954" s="2" t="n"/>
      <c r="AV954" s="2">
        <f>IF(F954=1,V954*2,IF(F954=2,V954*F954*2,IF(F954&gt;2,F954*2*V954)))</f>
        <v/>
      </c>
      <c r="AW954" s="2">
        <f>SUM(W954:AU954)</f>
        <v/>
      </c>
    </row>
    <row r="955">
      <c r="A955" s="2" t="inlineStr">
        <is>
          <t>A14-S-SA/SA-B-N-011</t>
        </is>
      </c>
      <c r="B955" s="3" t="inlineStr">
        <is>
          <t>SOJC-SM-SC/APC-SC/APC</t>
        </is>
      </c>
      <c r="C955" s="2" t="inlineStr">
        <is>
          <t>908041455, 6M, B3, 2.0mm</t>
        </is>
      </c>
      <c r="D955" s="2" t="inlineStr">
        <is>
          <t>b3</t>
        </is>
      </c>
      <c r="E955" s="2" t="inlineStr">
        <is>
          <t>2.0mm</t>
        </is>
      </c>
      <c r="F955" s="2" t="n">
        <v>1</v>
      </c>
      <c r="G955" s="2" t="n">
        <v>6</v>
      </c>
      <c r="H955" s="2" t="inlineStr">
        <is>
          <t>SC/APC</t>
        </is>
      </c>
      <c r="I955" s="2" t="inlineStr">
        <is>
          <t>SC/APC</t>
        </is>
      </c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>
        <v>200</v>
      </c>
      <c r="T955" s="2" t="n"/>
      <c r="U955" s="2" t="n"/>
      <c r="V955" s="2">
        <f>SUM(J955:U955)</f>
        <v/>
      </c>
      <c r="W955" s="2" t="n"/>
      <c r="X955" s="2" t="n"/>
      <c r="Y955" s="2" t="n"/>
      <c r="Z955" s="2" t="n"/>
      <c r="AA955" s="2" t="n"/>
      <c r="AB955" s="2" t="n"/>
      <c r="AC955" s="2" t="n">
        <v>400</v>
      </c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>
        <f>IF(F955=1,V955*2,IF(F955=2,V955*F955*2,IF(F955&gt;2,F955*2*V955)))</f>
        <v/>
      </c>
      <c r="AW955" s="2">
        <f>SUM(W955:AU955)</f>
        <v/>
      </c>
    </row>
    <row r="956">
      <c r="A956" s="2" t="inlineStr">
        <is>
          <t>A14-S-SA/SA-B-N-013</t>
        </is>
      </c>
      <c r="B956" s="3" t="inlineStr">
        <is>
          <t>SOJC-SM-SC/APC-SC/APC</t>
        </is>
      </c>
      <c r="C956" s="2" t="inlineStr">
        <is>
          <t>908041457, 8M, B3, 2.0mm</t>
        </is>
      </c>
      <c r="D956" s="2" t="inlineStr">
        <is>
          <t>b3</t>
        </is>
      </c>
      <c r="E956" s="2" t="inlineStr">
        <is>
          <t>2.0mm</t>
        </is>
      </c>
      <c r="F956" s="2" t="n">
        <v>1</v>
      </c>
      <c r="G956" s="2" t="n">
        <v>8</v>
      </c>
      <c r="H956" s="2" t="inlineStr">
        <is>
          <t>SC/APC</t>
        </is>
      </c>
      <c r="I956" s="2" t="inlineStr">
        <is>
          <t>SC/APC</t>
        </is>
      </c>
      <c r="J956" s="2" t="n"/>
      <c r="K956" s="2" t="n"/>
      <c r="L956" s="2" t="n">
        <v>6</v>
      </c>
      <c r="M956" s="2" t="n"/>
      <c r="N956" s="2" t="n">
        <v>10</v>
      </c>
      <c r="O956" s="2" t="n"/>
      <c r="P956" s="2" t="n"/>
      <c r="Q956" s="2" t="n"/>
      <c r="R956" s="2" t="n"/>
      <c r="S956" s="2" t="n"/>
      <c r="T956" s="2" t="n"/>
      <c r="U956" s="2" t="n"/>
      <c r="V956" s="2">
        <f>SUM(J956:U956)</f>
        <v/>
      </c>
      <c r="W956" s="2" t="n"/>
      <c r="X956" s="2" t="n"/>
      <c r="Y956" s="2" t="n"/>
      <c r="Z956" s="2" t="n"/>
      <c r="AA956" s="2" t="n"/>
      <c r="AB956" s="2" t="n"/>
      <c r="AC956" s="2" t="n">
        <v>32</v>
      </c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>
        <f>IF(F956=1,V956*2,IF(F956=2,V956*F956*2,IF(F956&gt;2,F956*2*V956)))</f>
        <v/>
      </c>
      <c r="AW956" s="2">
        <f>SUM(W956:AU956)</f>
        <v/>
      </c>
    </row>
    <row r="957">
      <c r="A957" s="2" t="inlineStr">
        <is>
          <t>A14-S-SP/FA-B-N-008</t>
        </is>
      </c>
      <c r="B957" s="3" t="inlineStr">
        <is>
          <t>SOJC-SM-SC/PC-FC/APC</t>
        </is>
      </c>
      <c r="C957" s="2" t="inlineStr">
        <is>
          <t>908040339, 30M, B3, 2.0mm</t>
        </is>
      </c>
      <c r="D957" s="2" t="inlineStr">
        <is>
          <t>b3</t>
        </is>
      </c>
      <c r="E957" s="2" t="inlineStr">
        <is>
          <t>2.0mm</t>
        </is>
      </c>
      <c r="F957" s="2" t="n">
        <v>1</v>
      </c>
      <c r="G957" s="2" t="n">
        <v>30</v>
      </c>
      <c r="H957" s="2" t="inlineStr">
        <is>
          <t>SC/PC</t>
        </is>
      </c>
      <c r="I957" s="2" t="inlineStr">
        <is>
          <t>FC/APC</t>
        </is>
      </c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>
        <v>15</v>
      </c>
      <c r="S957" s="2" t="n">
        <v>10</v>
      </c>
      <c r="T957" s="2" t="n"/>
      <c r="U957" s="2" t="n"/>
      <c r="V957" s="2">
        <f>SUM(J957:U957)</f>
        <v/>
      </c>
      <c r="W957" s="2" t="n"/>
      <c r="X957" s="2" t="n"/>
      <c r="Y957" s="2" t="n"/>
      <c r="Z957" s="2" t="n"/>
      <c r="AA957" s="2" t="n">
        <v>25</v>
      </c>
      <c r="AB957" s="2" t="n"/>
      <c r="AC957" s="2" t="n"/>
      <c r="AD957" s="2" t="n"/>
      <c r="AE957" s="2" t="n"/>
      <c r="AF957" s="2" t="n"/>
      <c r="AG957" s="2" t="n">
        <v>25</v>
      </c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>
        <f>IF(F957=1,V957*2,IF(F957=2,V957*F957*2,IF(F957&gt;2,F957*2*V957)))</f>
        <v/>
      </c>
      <c r="AW957" s="2">
        <f>SUM(W957:AU957)</f>
        <v/>
      </c>
    </row>
    <row r="958">
      <c r="A958" s="2" t="inlineStr">
        <is>
          <t>A14-S-SP/FP-B-N-007</t>
        </is>
      </c>
      <c r="B958" s="3" t="inlineStr">
        <is>
          <t>SOJC-SM-SC/PC-FC/PC</t>
        </is>
      </c>
      <c r="C958" s="2" t="inlineStr">
        <is>
          <t>908040309, 30M, B3, 2.0mm</t>
        </is>
      </c>
      <c r="D958" s="2" t="inlineStr">
        <is>
          <t>b3</t>
        </is>
      </c>
      <c r="E958" s="2" t="inlineStr">
        <is>
          <t>2.0mm</t>
        </is>
      </c>
      <c r="F958" s="2" t="n">
        <v>1</v>
      </c>
      <c r="G958" s="2" t="n">
        <v>30</v>
      </c>
      <c r="H958" s="2" t="inlineStr">
        <is>
          <t>SC/PC</t>
        </is>
      </c>
      <c r="I958" s="2" t="inlineStr">
        <is>
          <t>FC/PC</t>
        </is>
      </c>
      <c r="J958" s="2" t="n"/>
      <c r="K958" s="2" t="n"/>
      <c r="L958" s="2" t="n"/>
      <c r="M958" s="2" t="n"/>
      <c r="N958" s="2" t="n">
        <v>10</v>
      </c>
      <c r="O958" s="2" t="n"/>
      <c r="P958" s="2" t="n"/>
      <c r="Q958" s="2" t="n"/>
      <c r="R958" s="2" t="n"/>
      <c r="S958" s="2" t="n"/>
      <c r="T958" s="2" t="n"/>
      <c r="U958" s="2" t="n"/>
      <c r="V958" s="2">
        <f>SUM(J958:U958)</f>
        <v/>
      </c>
      <c r="W958" s="2" t="n"/>
      <c r="X958" s="2" t="n"/>
      <c r="Y958" s="2" t="n"/>
      <c r="Z958" s="2" t="n"/>
      <c r="AA958" s="2" t="n">
        <v>10</v>
      </c>
      <c r="AB958" s="2" t="n"/>
      <c r="AC958" s="2" t="n"/>
      <c r="AD958" s="2" t="n"/>
      <c r="AE958" s="2" t="n">
        <v>10</v>
      </c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>
        <f>IF(F958=1,V958*2,IF(F958=2,V958*F958*2,IF(F958&gt;2,F958*2*V958)))</f>
        <v/>
      </c>
      <c r="AW958" s="2">
        <f>SUM(W958:AU958)</f>
        <v/>
      </c>
    </row>
    <row r="959">
      <c r="A959" s="2" t="inlineStr">
        <is>
          <t>A14-S-SP/FP-B-N-008</t>
        </is>
      </c>
      <c r="B959" s="3" t="inlineStr">
        <is>
          <t>SOJC-SM-SC/PC-FC/PC</t>
        </is>
      </c>
      <c r="C959" s="2" t="inlineStr">
        <is>
          <t>908041371, 3M, B3, 3.0mm</t>
        </is>
      </c>
      <c r="D959" s="2" t="inlineStr">
        <is>
          <t>b3</t>
        </is>
      </c>
      <c r="E959" s="2" t="inlineStr">
        <is>
          <t>3.0mm</t>
        </is>
      </c>
      <c r="F959" s="2" t="n">
        <v>1</v>
      </c>
      <c r="G959" s="2" t="n">
        <v>3</v>
      </c>
      <c r="H959" s="2" t="inlineStr">
        <is>
          <t>SC/PC</t>
        </is>
      </c>
      <c r="I959" s="2" t="inlineStr">
        <is>
          <t>FC/PC</t>
        </is>
      </c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>
        <v>1</v>
      </c>
      <c r="V959" s="2">
        <f>SUM(J959:U959)</f>
        <v/>
      </c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>
        <v>1</v>
      </c>
      <c r="AO959" s="2" t="n"/>
      <c r="AP959" s="2" t="n"/>
      <c r="AQ959" s="2" t="n"/>
      <c r="AR959" s="2" t="n">
        <v>1</v>
      </c>
      <c r="AS959" s="2" t="n"/>
      <c r="AT959" s="2" t="n"/>
      <c r="AU959" s="2" t="n"/>
      <c r="AV959" s="2">
        <f>IF(F959=1,V959*2,IF(F959=2,V959*F959*2,IF(F959&gt;2,F959*2*V959)))</f>
        <v/>
      </c>
      <c r="AW959" s="2">
        <f>SUM(W959:AU959)</f>
        <v/>
      </c>
    </row>
    <row r="960">
      <c r="A960" s="2" t="inlineStr">
        <is>
          <t>A14-S-SP/SA-B-N-006</t>
        </is>
      </c>
      <c r="B960" s="3" t="inlineStr">
        <is>
          <t>SOJC-SM-SC/PC-SC/APC</t>
        </is>
      </c>
      <c r="C960" s="2" t="inlineStr">
        <is>
          <t>908041444, 25M, B3, 2.0mm</t>
        </is>
      </c>
      <c r="D960" s="2" t="inlineStr">
        <is>
          <t>b3</t>
        </is>
      </c>
      <c r="E960" s="2" t="inlineStr">
        <is>
          <t>2.0mm</t>
        </is>
      </c>
      <c r="F960" s="2" t="n">
        <v>1</v>
      </c>
      <c r="G960" s="2" t="n">
        <v>25</v>
      </c>
      <c r="H960" s="2" t="inlineStr">
        <is>
          <t>SC/PC</t>
        </is>
      </c>
      <c r="I960" s="2" t="inlineStr">
        <is>
          <t>SC/APC</t>
        </is>
      </c>
      <c r="J960" s="2" t="n"/>
      <c r="K960" s="2" t="n">
        <v>10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>
        <f>SUM(J960:U960)</f>
        <v/>
      </c>
      <c r="W960" s="2" t="n"/>
      <c r="X960" s="2" t="n"/>
      <c r="Y960" s="2" t="n"/>
      <c r="Z960" s="2" t="n"/>
      <c r="AA960" s="2" t="n">
        <v>10</v>
      </c>
      <c r="AB960" s="2" t="n"/>
      <c r="AC960" s="2" t="n">
        <v>10</v>
      </c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>
        <f>IF(F960=1,V960*2,IF(F960=2,V960*F960*2,IF(F960&gt;2,F960*2*V960)))</f>
        <v/>
      </c>
      <c r="AW960" s="2">
        <f>SUM(W960:AU960)</f>
        <v/>
      </c>
    </row>
    <row r="961">
      <c r="A961" s="2" t="inlineStr">
        <is>
          <t>A14-S-SP/SA-B-N-008</t>
        </is>
      </c>
      <c r="B961" s="3" t="inlineStr">
        <is>
          <t>SOJC-SM-SC/PC-SC/APC</t>
        </is>
      </c>
      <c r="C961" s="2" t="inlineStr">
        <is>
          <t>908041449, 30M, B3, 2.0mm</t>
        </is>
      </c>
      <c r="D961" s="2" t="inlineStr">
        <is>
          <t>b3</t>
        </is>
      </c>
      <c r="E961" s="2" t="inlineStr">
        <is>
          <t>2.0mm</t>
        </is>
      </c>
      <c r="F961" s="2" t="n">
        <v>1</v>
      </c>
      <c r="G961" s="2" t="n">
        <v>30</v>
      </c>
      <c r="H961" s="2" t="inlineStr">
        <is>
          <t>SC/PC</t>
        </is>
      </c>
      <c r="I961" s="2" t="inlineStr">
        <is>
          <t>SC/APC</t>
        </is>
      </c>
      <c r="J961" s="2" t="n"/>
      <c r="K961" s="2" t="n"/>
      <c r="L961" s="2" t="n"/>
      <c r="M961" s="2" t="n"/>
      <c r="N961" s="2" t="n">
        <v>40</v>
      </c>
      <c r="O961" s="2" t="n"/>
      <c r="P961" s="2" t="n"/>
      <c r="Q961" s="2" t="n"/>
      <c r="R961" s="2" t="n"/>
      <c r="S961" s="2" t="n">
        <v>10</v>
      </c>
      <c r="T961" s="2" t="n"/>
      <c r="U961" s="2" t="n"/>
      <c r="V961" s="2">
        <f>SUM(J961:U961)</f>
        <v/>
      </c>
      <c r="W961" s="2" t="n"/>
      <c r="X961" s="2" t="n"/>
      <c r="Y961" s="2" t="n"/>
      <c r="Z961" s="2" t="n"/>
      <c r="AA961" s="2" t="n">
        <v>50</v>
      </c>
      <c r="AB961" s="2" t="n"/>
      <c r="AC961" s="2" t="n">
        <v>50</v>
      </c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>
        <f>IF(F961=1,V961*2,IF(F961=2,V961*F961*2,IF(F961&gt;2,F961*2*V961)))</f>
        <v/>
      </c>
      <c r="AW961" s="2">
        <f>SUM(W961:AU961)</f>
        <v/>
      </c>
    </row>
    <row r="962">
      <c r="A962" s="2" t="inlineStr">
        <is>
          <t>A14-S-SP/SP-1-N-002</t>
        </is>
      </c>
      <c r="B962" s="3" t="inlineStr">
        <is>
          <t>SOJC-MM-SC/PC-SC/PC</t>
        </is>
      </c>
      <c r="C962" s="2" t="inlineStr">
        <is>
          <t>908040112, 1M</t>
        </is>
      </c>
      <c r="D962" s="2" t="inlineStr">
        <is>
          <t>om1</t>
        </is>
      </c>
      <c r="E962" s="2" t="inlineStr">
        <is>
          <t>2.0mm</t>
        </is>
      </c>
      <c r="F962" s="2" t="n">
        <v>1</v>
      </c>
      <c r="G962" s="2" t="n">
        <v>1</v>
      </c>
      <c r="H962" s="2" t="inlineStr">
        <is>
          <t>SC/PC</t>
        </is>
      </c>
      <c r="I962" s="2" t="inlineStr">
        <is>
          <t>SC/PC</t>
        </is>
      </c>
      <c r="J962" s="2" t="n"/>
      <c r="K962" s="2" t="n"/>
      <c r="L962" s="2" t="n"/>
      <c r="M962" s="2" t="n"/>
      <c r="N962" s="2" t="n"/>
      <c r="O962" s="2" t="n">
        <v>40</v>
      </c>
      <c r="P962" s="2" t="n"/>
      <c r="Q962" s="2" t="n"/>
      <c r="R962" s="2" t="n"/>
      <c r="S962" s="2" t="n"/>
      <c r="T962" s="2" t="n"/>
      <c r="U962" s="2" t="n"/>
      <c r="V962" s="2">
        <f>SUM(J962:U962)</f>
        <v/>
      </c>
      <c r="W962" s="2" t="n"/>
      <c r="X962" s="2" t="n"/>
      <c r="Y962" s="2" t="n"/>
      <c r="Z962" s="2" t="n"/>
      <c r="AA962" s="2" t="n">
        <v>80</v>
      </c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>
        <f>IF(F962=1,V962*2,IF(F962=2,V962*F962*2,IF(F962&gt;2,F962*2*V962)))</f>
        <v/>
      </c>
      <c r="AW962" s="2">
        <f>SUM(W962:AU962)</f>
        <v/>
      </c>
    </row>
    <row r="963">
      <c r="A963" s="2" t="inlineStr">
        <is>
          <t>A14-S-SP/SP-B-N-007</t>
        </is>
      </c>
      <c r="B963" s="3" t="inlineStr">
        <is>
          <t>SOJC-SM-SC/PC-SC/PC</t>
        </is>
      </c>
      <c r="C963" s="2" t="inlineStr">
        <is>
          <t>908041419, 30M, B3, 2.0mm</t>
        </is>
      </c>
      <c r="D963" s="2" t="inlineStr">
        <is>
          <t>b3</t>
        </is>
      </c>
      <c r="E963" s="2" t="inlineStr">
        <is>
          <t>2.0mm</t>
        </is>
      </c>
      <c r="F963" s="2" t="n">
        <v>1</v>
      </c>
      <c r="G963" s="2" t="n">
        <v>30</v>
      </c>
      <c r="H963" s="2" t="inlineStr">
        <is>
          <t>SC/PC</t>
        </is>
      </c>
      <c r="I963" s="2" t="inlineStr">
        <is>
          <t>SC/PC</t>
        </is>
      </c>
      <c r="J963" s="2" t="n"/>
      <c r="K963" s="2" t="n"/>
      <c r="L963" s="2" t="n"/>
      <c r="M963" s="2" t="n"/>
      <c r="N963" s="2" t="n"/>
      <c r="O963" s="2" t="n">
        <v>2</v>
      </c>
      <c r="P963" s="2" t="n"/>
      <c r="Q963" s="2" t="n"/>
      <c r="R963" s="2" t="n"/>
      <c r="S963" s="2" t="n"/>
      <c r="T963" s="2" t="n"/>
      <c r="U963" s="2" t="n"/>
      <c r="V963" s="2">
        <f>SUM(J963:U963)</f>
        <v/>
      </c>
      <c r="W963" s="2" t="n"/>
      <c r="X963" s="2" t="n"/>
      <c r="Y963" s="2" t="n"/>
      <c r="Z963" s="2" t="n"/>
      <c r="AA963" s="2" t="n">
        <v>4</v>
      </c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>
        <f>IF(F963=1,V963*2,IF(F963=2,V963*F963*2,IF(F963&gt;2,F963*2*V963)))</f>
        <v/>
      </c>
      <c r="AW963" s="2">
        <f>SUM(W963:AU963)</f>
        <v/>
      </c>
    </row>
    <row r="964">
      <c r="A964" s="2" t="inlineStr">
        <is>
          <t>A14-SA-NF10</t>
        </is>
      </c>
      <c r="B964" s="3" t="inlineStr">
        <is>
          <t>SOJC-SM-LC/PC-FC/APC</t>
        </is>
      </c>
      <c r="C964" s="2" t="inlineStr">
        <is>
          <t>0.5M</t>
        </is>
      </c>
      <c r="D964" s="2" t="inlineStr">
        <is>
          <t>a1</t>
        </is>
      </c>
      <c r="E964" s="2" t="inlineStr">
        <is>
          <t>2.0mm</t>
        </is>
      </c>
      <c r="F964" s="2" t="n">
        <v>1</v>
      </c>
      <c r="G964" s="2" t="n">
        <v>0.5</v>
      </c>
      <c r="H964" s="2" t="inlineStr">
        <is>
          <t>LC/PC</t>
        </is>
      </c>
      <c r="I964" s="2" t="inlineStr">
        <is>
          <t>FC/APC</t>
        </is>
      </c>
      <c r="J964" s="2" t="n">
        <v>50</v>
      </c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>
        <f>SUM(J964:U964)</f>
        <v/>
      </c>
      <c r="W964" s="2" t="n">
        <v>50</v>
      </c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>
        <v>50</v>
      </c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>
        <f>IF(F964=1,V964*2,IF(F964=2,V964*F964*2,IF(F964&gt;2,F964*2*V964)))</f>
        <v/>
      </c>
      <c r="AW964" s="2">
        <f>SUM(W964:AU964)</f>
        <v/>
      </c>
    </row>
    <row r="965">
      <c r="A965" s="2" t="inlineStr">
        <is>
          <t>A14-SB-N022</t>
        </is>
      </c>
      <c r="B965" s="3" t="inlineStr">
        <is>
          <t>SOJC-SM-FC/APC-FC/APC</t>
        </is>
      </c>
      <c r="C965" s="2" t="inlineStr">
        <is>
          <t>908041355, 15M, B3, 2.0mm</t>
        </is>
      </c>
      <c r="D965" s="2" t="inlineStr">
        <is>
          <t>b3</t>
        </is>
      </c>
      <c r="E965" s="2" t="inlineStr">
        <is>
          <t>2.0mm</t>
        </is>
      </c>
      <c r="F965" s="2" t="n">
        <v>1</v>
      </c>
      <c r="G965" s="2" t="n">
        <v>15</v>
      </c>
      <c r="H965" s="2" t="inlineStr">
        <is>
          <t>FC/APC</t>
        </is>
      </c>
      <c r="I965" s="2" t="inlineStr">
        <is>
          <t>FC/APC</t>
        </is>
      </c>
      <c r="J965" s="2" t="n"/>
      <c r="K965" s="2" t="n">
        <v>30</v>
      </c>
      <c r="L965" s="2" t="n">
        <v>29</v>
      </c>
      <c r="M965" s="2" t="n"/>
      <c r="N965" s="2" t="n"/>
      <c r="O965" s="2" t="n"/>
      <c r="P965" s="2" t="n"/>
      <c r="Q965" s="2" t="n">
        <v>12</v>
      </c>
      <c r="R965" s="2" t="n"/>
      <c r="S965" s="2" t="n"/>
      <c r="T965" s="2" t="n"/>
      <c r="U965" s="2" t="n"/>
      <c r="V965" s="2">
        <f>SUM(J965:U965)</f>
        <v/>
      </c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>
        <v>142</v>
      </c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>
        <f>IF(F965=1,V965*2,IF(F965=2,V965*F965*2,IF(F965&gt;2,F965*2*V965)))</f>
        <v/>
      </c>
      <c r="AW965" s="2">
        <f>SUM(W965:AU965)</f>
        <v/>
      </c>
    </row>
    <row r="966">
      <c r="A966" s="2" t="inlineStr">
        <is>
          <t>A14-SB-N048</t>
        </is>
      </c>
      <c r="B966" s="3" t="inlineStr">
        <is>
          <t>SOJC-SM-LC/PC-FC/APC</t>
        </is>
      </c>
      <c r="C966" s="2" t="inlineStr">
        <is>
          <t>930001505, 10M, B3, 2.0mm</t>
        </is>
      </c>
      <c r="D966" s="2" t="inlineStr">
        <is>
          <t>b3</t>
        </is>
      </c>
      <c r="E966" s="2" t="inlineStr">
        <is>
          <t>2.0mm</t>
        </is>
      </c>
      <c r="F966" s="2" t="n">
        <v>1</v>
      </c>
      <c r="G966" s="2" t="n">
        <v>10</v>
      </c>
      <c r="H966" s="2" t="inlineStr">
        <is>
          <t>LC/PC</t>
        </is>
      </c>
      <c r="I966" s="2" t="inlineStr">
        <is>
          <t>FC/APC</t>
        </is>
      </c>
      <c r="J966" s="2" t="n"/>
      <c r="K966" s="2" t="n">
        <v>20</v>
      </c>
      <c r="L966" s="2" t="n">
        <v>9</v>
      </c>
      <c r="M966" s="2" t="n">
        <v>25</v>
      </c>
      <c r="N966" s="2" t="n"/>
      <c r="O966" s="2" t="n"/>
      <c r="P966" s="2" t="n">
        <v>50</v>
      </c>
      <c r="Q966" s="2" t="n"/>
      <c r="R966" s="2" t="n"/>
      <c r="S966" s="2" t="n"/>
      <c r="T966" s="2" t="n"/>
      <c r="U966" s="2" t="n"/>
      <c r="V966" s="2">
        <f>SUM(J966:U966)</f>
        <v/>
      </c>
      <c r="W966" s="2" t="n">
        <v>104</v>
      </c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>
        <v>104</v>
      </c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>
        <f>IF(F966=1,V966*2,IF(F966=2,V966*F966*2,IF(F966&gt;2,F966*2*V966)))</f>
        <v/>
      </c>
      <c r="AW966" s="2">
        <f>SUM(W966:AU966)</f>
        <v/>
      </c>
    </row>
    <row r="967">
      <c r="A967" s="2" t="inlineStr">
        <is>
          <t>A14-SB-N049</t>
        </is>
      </c>
      <c r="B967" s="3" t="inlineStr">
        <is>
          <t>SOJC-SM-LC/PC-FC/APC</t>
        </is>
      </c>
      <c r="C967" s="2" t="inlineStr">
        <is>
          <t>12M, B3, 2.0mm</t>
        </is>
      </c>
      <c r="D967" s="2" t="inlineStr">
        <is>
          <t>b3</t>
        </is>
      </c>
      <c r="E967" s="2" t="inlineStr">
        <is>
          <t>2.0mm</t>
        </is>
      </c>
      <c r="F967" s="2" t="n">
        <v>1</v>
      </c>
      <c r="G967" s="2" t="n">
        <v>12</v>
      </c>
      <c r="H967" s="2" t="inlineStr">
        <is>
          <t>LC/PC</t>
        </is>
      </c>
      <c r="I967" s="2" t="inlineStr">
        <is>
          <t>FC/APC</t>
        </is>
      </c>
      <c r="J967" s="2" t="n"/>
      <c r="K967" s="2" t="n"/>
      <c r="L967" s="2" t="n">
        <v>5</v>
      </c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>
        <f>SUM(J967:U967)</f>
        <v/>
      </c>
      <c r="W967" s="2" t="n">
        <v>5</v>
      </c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>
        <v>5</v>
      </c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>
        <f>IF(F967=1,V967*2,IF(F967=2,V967*F967*2,IF(F967&gt;2,F967*2*V967)))</f>
        <v/>
      </c>
      <c r="AW967" s="2">
        <f>SUM(W967:AU967)</f>
        <v/>
      </c>
    </row>
    <row r="968">
      <c r="A968" s="2" t="inlineStr">
        <is>
          <t>A14-SB-N050</t>
        </is>
      </c>
      <c r="B968" s="3" t="inlineStr">
        <is>
          <t>SOJC-SM-LC/PC-FC/APC</t>
        </is>
      </c>
      <c r="C968" s="2" t="inlineStr">
        <is>
          <t>13M, B3, 2.0mm</t>
        </is>
      </c>
      <c r="D968" s="2" t="inlineStr">
        <is>
          <t>b3</t>
        </is>
      </c>
      <c r="E968" s="2" t="inlineStr">
        <is>
          <t>2.0mm</t>
        </is>
      </c>
      <c r="F968" s="2" t="n">
        <v>1</v>
      </c>
      <c r="G968" s="2" t="n">
        <v>13</v>
      </c>
      <c r="H968" s="2" t="inlineStr">
        <is>
          <t>LC/PC</t>
        </is>
      </c>
      <c r="I968" s="2" t="inlineStr">
        <is>
          <t>FC/APC</t>
        </is>
      </c>
      <c r="J968" s="2" t="n"/>
      <c r="K968" s="2" t="n"/>
      <c r="L968" s="2" t="n">
        <v>10</v>
      </c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>
        <f>SUM(J968:U968)</f>
        <v/>
      </c>
      <c r="W968" s="2" t="n">
        <v>10</v>
      </c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>
        <v>10</v>
      </c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>
        <f>IF(F968=1,V968*2,IF(F968=2,V968*F968*2,IF(F968&gt;2,F968*2*V968)))</f>
        <v/>
      </c>
      <c r="AW968" s="2">
        <f>SUM(W968:AU968)</f>
        <v/>
      </c>
    </row>
    <row r="969">
      <c r="A969" s="2" t="inlineStr">
        <is>
          <t>A14-SB-N052</t>
        </is>
      </c>
      <c r="B969" s="3" t="inlineStr">
        <is>
          <t>SOJC-SM-LC/PC-FC/APC</t>
        </is>
      </c>
      <c r="C969" s="2" t="inlineStr">
        <is>
          <t>930001510, 15M, B3, 2.0mm</t>
        </is>
      </c>
      <c r="D969" s="2" t="inlineStr">
        <is>
          <t>b3</t>
        </is>
      </c>
      <c r="E969" s="2" t="inlineStr">
        <is>
          <t>2.0mm</t>
        </is>
      </c>
      <c r="F969" s="2" t="n">
        <v>1</v>
      </c>
      <c r="G969" s="2" t="n">
        <v>15</v>
      </c>
      <c r="H969" s="2" t="inlineStr">
        <is>
          <t>LC/PC</t>
        </is>
      </c>
      <c r="I969" s="2" t="inlineStr">
        <is>
          <t>FC/APC</t>
        </is>
      </c>
      <c r="J969" s="2" t="n"/>
      <c r="K969" s="2" t="n">
        <v>40</v>
      </c>
      <c r="L969" s="2" t="n">
        <v>140</v>
      </c>
      <c r="M969" s="2" t="n">
        <v>11</v>
      </c>
      <c r="N969" s="2" t="n"/>
      <c r="O969" s="2" t="n">
        <v>5</v>
      </c>
      <c r="P969" s="2" t="n"/>
      <c r="Q969" s="2" t="n"/>
      <c r="R969" s="2" t="n"/>
      <c r="S969" s="2" t="n"/>
      <c r="T969" s="2" t="n"/>
      <c r="U969" s="2" t="n"/>
      <c r="V969" s="2">
        <f>SUM(J969:U969)</f>
        <v/>
      </c>
      <c r="W969" s="2" t="n">
        <v>196</v>
      </c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>
        <v>196</v>
      </c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>
        <f>IF(F969=1,V969*2,IF(F969=2,V969*F969*2,IF(F969&gt;2,F969*2*V969)))</f>
        <v/>
      </c>
      <c r="AW969" s="2">
        <f>SUM(W969:AU969)</f>
        <v/>
      </c>
    </row>
    <row r="970">
      <c r="A970" s="2" t="inlineStr">
        <is>
          <t>A14-SB-N056</t>
        </is>
      </c>
      <c r="B970" s="3" t="inlineStr">
        <is>
          <t>SOJC-SM-LC/PC-FC/APC</t>
        </is>
      </c>
      <c r="C970" s="2" t="inlineStr">
        <is>
          <t>930001515, 20M, B3, 2.0mm</t>
        </is>
      </c>
      <c r="D970" s="2" t="inlineStr">
        <is>
          <t>b3</t>
        </is>
      </c>
      <c r="E970" s="2" t="inlineStr">
        <is>
          <t>2.0mm</t>
        </is>
      </c>
      <c r="F970" s="2" t="n">
        <v>1</v>
      </c>
      <c r="G970" s="2" t="n">
        <v>20</v>
      </c>
      <c r="H970" s="2" t="inlineStr">
        <is>
          <t>LC/PC</t>
        </is>
      </c>
      <c r="I970" s="2" t="inlineStr">
        <is>
          <t>FC/APC</t>
        </is>
      </c>
      <c r="J970" s="2" t="n"/>
      <c r="K970" s="2" t="n"/>
      <c r="L970" s="2" t="n"/>
      <c r="M970" s="2" t="n"/>
      <c r="N970" s="2" t="n"/>
      <c r="O970" s="2" t="n">
        <v>99</v>
      </c>
      <c r="P970" s="2" t="n"/>
      <c r="Q970" s="2" t="n"/>
      <c r="R970" s="2" t="n"/>
      <c r="S970" s="2" t="n"/>
      <c r="T970" s="2" t="n"/>
      <c r="U970" s="2" t="n"/>
      <c r="V970" s="2">
        <f>SUM(J970:U970)</f>
        <v/>
      </c>
      <c r="W970" s="2" t="n">
        <v>99</v>
      </c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>
        <v>99</v>
      </c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>
        <f>IF(F970=1,V970*2,IF(F970=2,V970*F970*2,IF(F970&gt;2,F970*2*V970)))</f>
        <v/>
      </c>
      <c r="AW970" s="2">
        <f>SUM(W970:AU970)</f>
        <v/>
      </c>
    </row>
    <row r="971">
      <c r="A971" s="2" t="inlineStr">
        <is>
          <t>A14-SB-N057</t>
        </is>
      </c>
      <c r="B971" s="3" t="inlineStr">
        <is>
          <t>SOJC-SM-LC/PC-FC/APC</t>
        </is>
      </c>
      <c r="C971" s="2" t="inlineStr">
        <is>
          <t>930001516, 25M, B3, 2.0mm</t>
        </is>
      </c>
      <c r="D971" s="2" t="inlineStr">
        <is>
          <t>b3</t>
        </is>
      </c>
      <c r="E971" s="2" t="inlineStr">
        <is>
          <t>2.0mm</t>
        </is>
      </c>
      <c r="F971" s="2" t="n">
        <v>1</v>
      </c>
      <c r="G971" s="2" t="n">
        <v>25</v>
      </c>
      <c r="H971" s="2" t="inlineStr">
        <is>
          <t>LC/PC</t>
        </is>
      </c>
      <c r="I971" s="2" t="inlineStr">
        <is>
          <t>FC/APC</t>
        </is>
      </c>
      <c r="J971" s="2" t="n"/>
      <c r="K971" s="2" t="n"/>
      <c r="L971" s="2" t="n"/>
      <c r="M971" s="2" t="n">
        <v>28</v>
      </c>
      <c r="N971" s="2" t="n"/>
      <c r="O971" s="2" t="n"/>
      <c r="P971" s="2" t="n"/>
      <c r="Q971" s="2" t="n"/>
      <c r="R971" s="2" t="n"/>
      <c r="S971" s="2" t="n">
        <v>1</v>
      </c>
      <c r="T971" s="2" t="n">
        <v>10</v>
      </c>
      <c r="U971" s="2" t="n"/>
      <c r="V971" s="2">
        <f>SUM(J971:U971)</f>
        <v/>
      </c>
      <c r="W971" s="2" t="n">
        <v>39</v>
      </c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>
        <v>39</v>
      </c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>
        <f>IF(F971=1,V971*2,IF(F971=2,V971*F971*2,IF(F971&gt;2,F971*2*V971)))</f>
        <v/>
      </c>
      <c r="AW971" s="2">
        <f>SUM(W971:AU971)</f>
        <v/>
      </c>
    </row>
    <row r="972">
      <c r="A972" s="2" t="inlineStr">
        <is>
          <t>A14-SB-N064</t>
        </is>
      </c>
      <c r="B972" s="3" t="inlineStr">
        <is>
          <t>SOJC-SM-LC/PC-FC/APC</t>
        </is>
      </c>
      <c r="C972" s="2" t="inlineStr">
        <is>
          <t>930001500, 5M, B3, 3.0mm</t>
        </is>
      </c>
      <c r="D972" s="2" t="inlineStr">
        <is>
          <t>b3</t>
        </is>
      </c>
      <c r="E972" s="2" t="inlineStr">
        <is>
          <t>3.0mm</t>
        </is>
      </c>
      <c r="F972" s="2" t="n">
        <v>1</v>
      </c>
      <c r="G972" s="2" t="n">
        <v>5</v>
      </c>
      <c r="H972" s="2" t="inlineStr">
        <is>
          <t>LC/PC</t>
        </is>
      </c>
      <c r="I972" s="2" t="inlineStr">
        <is>
          <t>FC/APC</t>
        </is>
      </c>
      <c r="J972" s="2" t="n">
        <v>50</v>
      </c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>
        <f>SUM(J972:U972)</f>
        <v/>
      </c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>
        <v>50</v>
      </c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>
        <v>50</v>
      </c>
      <c r="AU972" s="2" t="n"/>
      <c r="AV972" s="2">
        <f>IF(F972=1,V972*2,IF(F972=2,V972*F972*2,IF(F972&gt;2,F972*2*V972)))</f>
        <v/>
      </c>
      <c r="AW972" s="2">
        <f>SUM(W972:AU972)</f>
        <v/>
      </c>
    </row>
    <row r="973">
      <c r="A973" s="2" t="inlineStr">
        <is>
          <t>A14-SB-N066</t>
        </is>
      </c>
      <c r="B973" s="3" t="inlineStr">
        <is>
          <t>SOJC-SM-LC/PC-FC/APC</t>
        </is>
      </c>
      <c r="C973" s="2" t="inlineStr">
        <is>
          <t>930001502, 7M, B3, 2.0mm</t>
        </is>
      </c>
      <c r="D973" s="2" t="inlineStr">
        <is>
          <t>b3</t>
        </is>
      </c>
      <c r="E973" s="2" t="inlineStr">
        <is>
          <t>2.0mm</t>
        </is>
      </c>
      <c r="F973" s="2" t="n">
        <v>1</v>
      </c>
      <c r="G973" s="2" t="n">
        <v>7</v>
      </c>
      <c r="H973" s="2" t="inlineStr">
        <is>
          <t>LC/PC</t>
        </is>
      </c>
      <c r="I973" s="2" t="inlineStr">
        <is>
          <t>FC/APC</t>
        </is>
      </c>
      <c r="J973" s="2" t="n"/>
      <c r="K973" s="2" t="n"/>
      <c r="L973" s="2" t="n">
        <v>5</v>
      </c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>
        <v>30</v>
      </c>
      <c r="V973" s="2">
        <f>SUM(J973:U973)</f>
        <v/>
      </c>
      <c r="W973" s="2" t="n">
        <v>35</v>
      </c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>
        <v>35</v>
      </c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>
        <f>IF(F973=1,V973*2,IF(F973=2,V973*F973*2,IF(F973&gt;2,F973*2*V973)))</f>
        <v/>
      </c>
      <c r="AW973" s="2">
        <f>SUM(W973:AU973)</f>
        <v/>
      </c>
    </row>
    <row r="974">
      <c r="A974" s="2" t="inlineStr">
        <is>
          <t>A14-SB-N068</t>
        </is>
      </c>
      <c r="B974" s="3" t="inlineStr">
        <is>
          <t>SOJC-SM-LC/PC-FC/PC</t>
        </is>
      </c>
      <c r="C974" s="2" t="inlineStr">
        <is>
          <t>908040140, 10M, B3, 2.0mm</t>
        </is>
      </c>
      <c r="D974" s="2" t="inlineStr">
        <is>
          <t>b3</t>
        </is>
      </c>
      <c r="E974" s="2" t="inlineStr">
        <is>
          <t>2.0mm</t>
        </is>
      </c>
      <c r="F974" s="2" t="n">
        <v>1</v>
      </c>
      <c r="G974" s="2" t="n">
        <v>10</v>
      </c>
      <c r="H974" s="2" t="inlineStr">
        <is>
          <t>LC/PC</t>
        </is>
      </c>
      <c r="I974" s="2" t="inlineStr">
        <is>
          <t>FC/PC</t>
        </is>
      </c>
      <c r="J974" s="2" t="n"/>
      <c r="K974" s="2" t="n"/>
      <c r="L974" s="2" t="n">
        <v>30</v>
      </c>
      <c r="M974" s="2" t="n"/>
      <c r="N974" s="2" t="n"/>
      <c r="O974" s="2" t="n">
        <v>20</v>
      </c>
      <c r="P974" s="2" t="n">
        <v>20</v>
      </c>
      <c r="Q974" s="2" t="n"/>
      <c r="R974" s="2" t="n"/>
      <c r="S974" s="2" t="n"/>
      <c r="T974" s="2" t="n">
        <v>50</v>
      </c>
      <c r="U974" s="2" t="n"/>
      <c r="V974" s="2">
        <f>SUM(J974:U974)</f>
        <v/>
      </c>
      <c r="W974" s="2" t="n">
        <v>120</v>
      </c>
      <c r="X974" s="2" t="n"/>
      <c r="Y974" s="2" t="n"/>
      <c r="Z974" s="2" t="n"/>
      <c r="AA974" s="2" t="n"/>
      <c r="AB974" s="2" t="n"/>
      <c r="AC974" s="2" t="n"/>
      <c r="AD974" s="2" t="n"/>
      <c r="AE974" s="2" t="n">
        <v>120</v>
      </c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>
        <f>IF(F974=1,V974*2,IF(F974=2,V974*F974*2,IF(F974&gt;2,F974*2*V974)))</f>
        <v/>
      </c>
      <c r="AW974" s="2">
        <f>SUM(W974:AU974)</f>
        <v/>
      </c>
    </row>
    <row r="975">
      <c r="A975" s="2" t="inlineStr">
        <is>
          <t>A14-SB-N071</t>
        </is>
      </c>
      <c r="B975" s="3" t="inlineStr">
        <is>
          <t>SOJC-SM-LC/PC-FC/PC</t>
        </is>
      </c>
      <c r="C975" s="2" t="inlineStr">
        <is>
          <t>908040150, 20M, B3, 2.0mm</t>
        </is>
      </c>
      <c r="D975" s="2" t="inlineStr">
        <is>
          <t>b3</t>
        </is>
      </c>
      <c r="E975" s="2" t="inlineStr">
        <is>
          <t>2.0mm</t>
        </is>
      </c>
      <c r="F975" s="2" t="n">
        <v>1</v>
      </c>
      <c r="G975" s="2" t="n">
        <v>20</v>
      </c>
      <c r="H975" s="2" t="inlineStr">
        <is>
          <t>LC/PC</t>
        </is>
      </c>
      <c r="I975" s="2" t="inlineStr">
        <is>
          <t>FC/PC</t>
        </is>
      </c>
      <c r="J975" s="2" t="n"/>
      <c r="K975" s="2" t="n"/>
      <c r="L975" s="2" t="n"/>
      <c r="M975" s="2" t="n">
        <v>3</v>
      </c>
      <c r="N975" s="2" t="n">
        <v>12</v>
      </c>
      <c r="O975" s="2" t="n"/>
      <c r="P975" s="2" t="n">
        <v>50</v>
      </c>
      <c r="Q975" s="2" t="n"/>
      <c r="R975" s="2" t="n"/>
      <c r="S975" s="2" t="n">
        <v>5</v>
      </c>
      <c r="T975" s="2" t="n">
        <v>50</v>
      </c>
      <c r="U975" s="2" t="n"/>
      <c r="V975" s="2">
        <f>SUM(J975:U975)</f>
        <v/>
      </c>
      <c r="W975" s="2" t="n">
        <v>120</v>
      </c>
      <c r="X975" s="2" t="n"/>
      <c r="Y975" s="2" t="n"/>
      <c r="Z975" s="2" t="n"/>
      <c r="AA975" s="2" t="n"/>
      <c r="AB975" s="2" t="n"/>
      <c r="AC975" s="2" t="n"/>
      <c r="AD975" s="2" t="n"/>
      <c r="AE975" s="2" t="n">
        <v>120</v>
      </c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>
        <f>IF(F975=1,V975*2,IF(F975=2,V975*F975*2,IF(F975&gt;2,F975*2*V975)))</f>
        <v/>
      </c>
      <c r="AW975" s="2">
        <f>SUM(W975:AU975)</f>
        <v/>
      </c>
    </row>
    <row r="976">
      <c r="A976" s="2" t="inlineStr">
        <is>
          <t>A14-SB-N086</t>
        </is>
      </c>
      <c r="B976" s="3" t="inlineStr">
        <is>
          <t>SOJC-SM-LC/PC-LC/PC</t>
        </is>
      </c>
      <c r="C976" s="2" t="inlineStr">
        <is>
          <t>908040269, 10M, B3, 2.0mm</t>
        </is>
      </c>
      <c r="D976" s="2" t="inlineStr">
        <is>
          <t>b3</t>
        </is>
      </c>
      <c r="E976" s="2" t="inlineStr">
        <is>
          <t>2.0mm</t>
        </is>
      </c>
      <c r="F976" s="2" t="n">
        <v>1</v>
      </c>
      <c r="G976" s="2" t="n">
        <v>10</v>
      </c>
      <c r="H976" s="2" t="inlineStr">
        <is>
          <t>LC/PC</t>
        </is>
      </c>
      <c r="I976" s="2" t="inlineStr">
        <is>
          <t>LC/PC</t>
        </is>
      </c>
      <c r="J976" s="2" t="n"/>
      <c r="K976" s="2" t="n"/>
      <c r="L976" s="2" t="n"/>
      <c r="M976" s="2" t="n">
        <v>190</v>
      </c>
      <c r="N976" s="2" t="n">
        <v>50</v>
      </c>
      <c r="O976" s="2" t="n"/>
      <c r="P976" s="2" t="n"/>
      <c r="Q976" s="2" t="n"/>
      <c r="R976" s="2" t="n"/>
      <c r="S976" s="2" t="n"/>
      <c r="T976" s="2" t="n"/>
      <c r="U976" s="2" t="n"/>
      <c r="V976" s="2">
        <f>SUM(J976:U976)</f>
        <v/>
      </c>
      <c r="W976" s="2" t="n">
        <v>480</v>
      </c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>
        <f>IF(F976=1,V976*2,IF(F976=2,V976*F976*2,IF(F976&gt;2,F976*2*V976)))</f>
        <v/>
      </c>
      <c r="AW976" s="2">
        <f>SUM(W976:AU976)</f>
        <v/>
      </c>
    </row>
    <row r="977">
      <c r="A977" s="2" t="inlineStr">
        <is>
          <t>A14-SB-N087</t>
        </is>
      </c>
      <c r="B977" s="3" t="inlineStr">
        <is>
          <t>SOJC-SM-LC/PC-LC/PC</t>
        </is>
      </c>
      <c r="C977" s="2" t="inlineStr">
        <is>
          <t>12M, B3, 2.0mm</t>
        </is>
      </c>
      <c r="D977" s="2" t="inlineStr">
        <is>
          <t>b3</t>
        </is>
      </c>
      <c r="E977" s="2" t="inlineStr">
        <is>
          <t>2.0mm</t>
        </is>
      </c>
      <c r="F977" s="2" t="n">
        <v>1</v>
      </c>
      <c r="G977" s="2" t="n">
        <v>12</v>
      </c>
      <c r="H977" s="2" t="inlineStr">
        <is>
          <t>LC/PC</t>
        </is>
      </c>
      <c r="I977" s="2" t="inlineStr">
        <is>
          <t>LC/PC</t>
        </is>
      </c>
      <c r="J977" s="2" t="n"/>
      <c r="K977" s="2" t="n"/>
      <c r="L977" s="2" t="n"/>
      <c r="M977" s="2" t="n"/>
      <c r="N977" s="2" t="n">
        <v>3</v>
      </c>
      <c r="O977" s="2" t="n"/>
      <c r="P977" s="2" t="n"/>
      <c r="Q977" s="2" t="n">
        <v>30</v>
      </c>
      <c r="R977" s="2" t="n"/>
      <c r="S977" s="2" t="n"/>
      <c r="T977" s="2" t="n"/>
      <c r="U977" s="2" t="n"/>
      <c r="V977" s="2">
        <f>SUM(J977:U977)</f>
        <v/>
      </c>
      <c r="W977" s="2" t="n">
        <v>66</v>
      </c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>
        <f>IF(F977=1,V977*2,IF(F977=2,V977*F977*2,IF(F977&gt;2,F977*2*V977)))</f>
        <v/>
      </c>
      <c r="AW977" s="2">
        <f>SUM(W977:AU977)</f>
        <v/>
      </c>
    </row>
    <row r="978">
      <c r="A978" s="2" t="inlineStr">
        <is>
          <t>A14-SB-N089</t>
        </is>
      </c>
      <c r="B978" s="3" t="inlineStr">
        <is>
          <t>SOJC-SM-LC/PC-LC/PC</t>
        </is>
      </c>
      <c r="C978" s="2" t="inlineStr">
        <is>
          <t>908040274, 15M, B3, 2.0mm</t>
        </is>
      </c>
      <c r="D978" s="2" t="inlineStr">
        <is>
          <t>b3</t>
        </is>
      </c>
      <c r="E978" s="2" t="inlineStr">
        <is>
          <t>2.0mm</t>
        </is>
      </c>
      <c r="F978" s="2" t="n">
        <v>1</v>
      </c>
      <c r="G978" s="2" t="n">
        <v>15</v>
      </c>
      <c r="H978" s="2" t="inlineStr">
        <is>
          <t>LC/PC</t>
        </is>
      </c>
      <c r="I978" s="2" t="inlineStr">
        <is>
          <t>LC/PC</t>
        </is>
      </c>
      <c r="J978" s="2" t="n"/>
      <c r="K978" s="2" t="n"/>
      <c r="L978" s="2" t="n"/>
      <c r="M978" s="2" t="n"/>
      <c r="N978" s="2" t="n">
        <v>58</v>
      </c>
      <c r="O978" s="2" t="n"/>
      <c r="P978" s="2" t="n"/>
      <c r="Q978" s="2" t="n"/>
      <c r="R978" s="2" t="n">
        <v>205</v>
      </c>
      <c r="S978" s="2" t="n">
        <v>30</v>
      </c>
      <c r="T978" s="2" t="n">
        <v>50</v>
      </c>
      <c r="U978" s="2" t="n">
        <v>150</v>
      </c>
      <c r="V978" s="2">
        <f>SUM(J978:U978)</f>
        <v/>
      </c>
      <c r="W978" s="2" t="n">
        <v>986</v>
      </c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>
        <f>IF(F978=1,V978*2,IF(F978=2,V978*F978*2,IF(F978&gt;2,F978*2*V978)))</f>
        <v/>
      </c>
      <c r="AW978" s="2">
        <f>SUM(W978:AU978)</f>
        <v/>
      </c>
    </row>
    <row r="979">
      <c r="A979" s="2" t="inlineStr">
        <is>
          <t>A14-SB-N090</t>
        </is>
      </c>
      <c r="B979" s="3" t="inlineStr">
        <is>
          <t>SOJC-SM-LC/PC-LC/PC</t>
        </is>
      </c>
      <c r="C979" s="2" t="inlineStr">
        <is>
          <t>16M, B3, 2.0mm</t>
        </is>
      </c>
      <c r="D979" s="2" t="inlineStr">
        <is>
          <t>b3</t>
        </is>
      </c>
      <c r="E979" s="2" t="inlineStr">
        <is>
          <t>2.0mm</t>
        </is>
      </c>
      <c r="F979" s="2" t="n">
        <v>1</v>
      </c>
      <c r="G979" s="2" t="n">
        <v>16</v>
      </c>
      <c r="H979" s="2" t="inlineStr">
        <is>
          <t>LC/PC</t>
        </is>
      </c>
      <c r="I979" s="2" t="inlineStr">
        <is>
          <t>LC/PC</t>
        </is>
      </c>
      <c r="J979" s="2" t="n"/>
      <c r="K979" s="2" t="n"/>
      <c r="L979" s="2" t="n"/>
      <c r="M979" s="2" t="n"/>
      <c r="N979" s="2" t="n"/>
      <c r="O979" s="2" t="n"/>
      <c r="P979" s="2" t="n">
        <v>2</v>
      </c>
      <c r="Q979" s="2" t="n"/>
      <c r="R979" s="2" t="n"/>
      <c r="S979" s="2" t="n"/>
      <c r="T979" s="2" t="n"/>
      <c r="U979" s="2" t="n"/>
      <c r="V979" s="2">
        <f>SUM(J979:U979)</f>
        <v/>
      </c>
      <c r="W979" s="2" t="n">
        <v>4</v>
      </c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>
        <f>IF(F979=1,V979*2,IF(F979=2,V979*F979*2,IF(F979&gt;2,F979*2*V979)))</f>
        <v/>
      </c>
      <c r="AW979" s="2">
        <f>SUM(W979:AU979)</f>
        <v/>
      </c>
    </row>
    <row r="980">
      <c r="A980" s="2" t="inlineStr">
        <is>
          <t>A14-SB-N091</t>
        </is>
      </c>
      <c r="B980" s="3" t="inlineStr">
        <is>
          <t>SOJC-SM-LC/PC-LC/PC</t>
        </is>
      </c>
      <c r="C980" s="2" t="inlineStr">
        <is>
          <t>17M, B3, 2.0mm</t>
        </is>
      </c>
      <c r="D980" s="2" t="inlineStr">
        <is>
          <t>b3</t>
        </is>
      </c>
      <c r="E980" s="2" t="inlineStr">
        <is>
          <t>2.0mm</t>
        </is>
      </c>
      <c r="F980" s="2" t="n">
        <v>1</v>
      </c>
      <c r="G980" s="2" t="n">
        <v>17</v>
      </c>
      <c r="H980" s="2" t="inlineStr">
        <is>
          <t>LC/PC</t>
        </is>
      </c>
      <c r="I980" s="2" t="inlineStr">
        <is>
          <t>LC/PC</t>
        </is>
      </c>
      <c r="J980" s="2" t="n"/>
      <c r="K980" s="2" t="n"/>
      <c r="L980" s="2" t="n"/>
      <c r="M980" s="2" t="n"/>
      <c r="N980" s="2" t="n"/>
      <c r="O980" s="2" t="n"/>
      <c r="P980" s="2" t="n">
        <v>6</v>
      </c>
      <c r="Q980" s="2" t="n"/>
      <c r="R980" s="2" t="n"/>
      <c r="S980" s="2" t="n"/>
      <c r="T980" s="2" t="n"/>
      <c r="U980" s="2" t="n"/>
      <c r="V980" s="2">
        <f>SUM(J980:U980)</f>
        <v/>
      </c>
      <c r="W980" s="2" t="n">
        <v>12</v>
      </c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>
        <f>IF(F980=1,V980*2,IF(F980=2,V980*F980*2,IF(F980&gt;2,F980*2*V980)))</f>
        <v/>
      </c>
      <c r="AW980" s="2">
        <f>SUM(W980:AU980)</f>
        <v/>
      </c>
    </row>
    <row r="981">
      <c r="A981" s="2" t="inlineStr">
        <is>
          <t>A14-SB-N094</t>
        </is>
      </c>
      <c r="B981" s="3" t="inlineStr">
        <is>
          <t>SOJC-SM-LC/PC-LC/PC</t>
        </is>
      </c>
      <c r="C981" s="2" t="inlineStr">
        <is>
          <t>908040279, 20M, B3, 2.0mm</t>
        </is>
      </c>
      <c r="D981" s="2" t="inlineStr">
        <is>
          <t>b3</t>
        </is>
      </c>
      <c r="E981" s="2" t="inlineStr">
        <is>
          <t>2.0mm</t>
        </is>
      </c>
      <c r="F981" s="2" t="n">
        <v>1</v>
      </c>
      <c r="G981" s="2" t="n">
        <v>20</v>
      </c>
      <c r="H981" s="2" t="inlineStr">
        <is>
          <t>LC/PC</t>
        </is>
      </c>
      <c r="I981" s="2" t="inlineStr">
        <is>
          <t>LC/PC</t>
        </is>
      </c>
      <c r="J981" s="2" t="n"/>
      <c r="K981" s="2" t="n"/>
      <c r="L981" s="2" t="n"/>
      <c r="M981" s="2" t="n">
        <v>172</v>
      </c>
      <c r="N981" s="2" t="n"/>
      <c r="O981" s="2" t="n">
        <v>20</v>
      </c>
      <c r="P981" s="2" t="n"/>
      <c r="Q981" s="2" t="n">
        <v>15</v>
      </c>
      <c r="R981" s="2" t="n">
        <v>60</v>
      </c>
      <c r="S981" s="2" t="n">
        <v>180</v>
      </c>
      <c r="T981" s="2" t="n">
        <v>295</v>
      </c>
      <c r="U981" s="2" t="n"/>
      <c r="V981" s="2">
        <f>SUM(J981:U981)</f>
        <v/>
      </c>
      <c r="W981" s="2" t="n">
        <v>1484</v>
      </c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>
        <f>IF(F981=1,V981*2,IF(F981=2,V981*F981*2,IF(F981&gt;2,F981*2*V981)))</f>
        <v/>
      </c>
      <c r="AW981" s="2">
        <f>SUM(W981:AU981)</f>
        <v/>
      </c>
    </row>
    <row r="982">
      <c r="A982" s="2" t="inlineStr">
        <is>
          <t>A14-SB-N095</t>
        </is>
      </c>
      <c r="B982" s="3" t="inlineStr">
        <is>
          <t>SOJC-SM-LC/PC-LC/PC</t>
        </is>
      </c>
      <c r="C982" s="2" t="inlineStr">
        <is>
          <t>21M, B3, 2.0mm</t>
        </is>
      </c>
      <c r="D982" s="2" t="inlineStr">
        <is>
          <t>b3</t>
        </is>
      </c>
      <c r="E982" s="2" t="inlineStr">
        <is>
          <t>2.0mm</t>
        </is>
      </c>
      <c r="F982" s="2" t="n">
        <v>1</v>
      </c>
      <c r="G982" s="2" t="n">
        <v>21</v>
      </c>
      <c r="H982" s="2" t="inlineStr">
        <is>
          <t>LC/PC</t>
        </is>
      </c>
      <c r="I982" s="2" t="inlineStr">
        <is>
          <t>LC/PC</t>
        </is>
      </c>
      <c r="J982" s="2" t="n"/>
      <c r="K982" s="2" t="n"/>
      <c r="L982" s="2" t="n"/>
      <c r="M982" s="2" t="n"/>
      <c r="N982" s="2" t="n"/>
      <c r="O982" s="2" t="n"/>
      <c r="P982" s="2" t="n">
        <v>2</v>
      </c>
      <c r="Q982" s="2" t="n"/>
      <c r="R982" s="2" t="n"/>
      <c r="S982" s="2" t="n"/>
      <c r="T982" s="2" t="n"/>
      <c r="U982" s="2" t="n"/>
      <c r="V982" s="2">
        <f>SUM(J982:U982)</f>
        <v/>
      </c>
      <c r="W982" s="2" t="n">
        <v>4</v>
      </c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>
        <f>IF(F982=1,V982*2,IF(F982=2,V982*F982*2,IF(F982&gt;2,F982*2*V982)))</f>
        <v/>
      </c>
      <c r="AW982" s="2">
        <f>SUM(W982:AU982)</f>
        <v/>
      </c>
    </row>
    <row r="983">
      <c r="A983" s="2" t="inlineStr">
        <is>
          <t>A14-SB-N098</t>
        </is>
      </c>
      <c r="B983" s="3" t="inlineStr">
        <is>
          <t>SOJC-SM-LC/PC-LC/PC</t>
        </is>
      </c>
      <c r="C983" s="2" t="inlineStr">
        <is>
          <t>908040289, 30M, B3, 2.0mm</t>
        </is>
      </c>
      <c r="D983" s="2" t="inlineStr">
        <is>
          <t>b3</t>
        </is>
      </c>
      <c r="E983" s="2" t="inlineStr">
        <is>
          <t>2.0mm</t>
        </is>
      </c>
      <c r="F983" s="2" t="n">
        <v>1</v>
      </c>
      <c r="G983" s="2" t="n">
        <v>30</v>
      </c>
      <c r="H983" s="2" t="inlineStr">
        <is>
          <t>LC/PC</t>
        </is>
      </c>
      <c r="I983" s="2" t="inlineStr">
        <is>
          <t>LC/PC</t>
        </is>
      </c>
      <c r="J983" s="2" t="n"/>
      <c r="K983" s="2" t="n"/>
      <c r="L983" s="2" t="n"/>
      <c r="M983" s="2" t="n">
        <v>50</v>
      </c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>
        <f>SUM(J983:U983)</f>
        <v/>
      </c>
      <c r="W983" s="2" t="n">
        <v>100</v>
      </c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>
        <f>IF(F983=1,V983*2,IF(F983=2,V983*F983*2,IF(F983&gt;2,F983*2*V983)))</f>
        <v/>
      </c>
      <c r="AW983" s="2">
        <f>SUM(W983:AU983)</f>
        <v/>
      </c>
    </row>
    <row r="984">
      <c r="A984" s="2" t="inlineStr">
        <is>
          <t>A14-SB-N099</t>
        </is>
      </c>
      <c r="B984" s="3" t="inlineStr">
        <is>
          <t>SOJC-SM-LC/PC-LC/PC</t>
        </is>
      </c>
      <c r="C984" s="2" t="inlineStr">
        <is>
          <t>908040260, 3M, B3, 3.0mm</t>
        </is>
      </c>
      <c r="D984" s="2" t="inlineStr">
        <is>
          <t>b3</t>
        </is>
      </c>
      <c r="E984" s="2" t="inlineStr">
        <is>
          <t>3.0mm</t>
        </is>
      </c>
      <c r="F984" s="2" t="n">
        <v>1</v>
      </c>
      <c r="G984" s="2" t="n">
        <v>3</v>
      </c>
      <c r="H984" s="2" t="inlineStr">
        <is>
          <t>LC/PC</t>
        </is>
      </c>
      <c r="I984" s="2" t="inlineStr">
        <is>
          <t>LC/PC</t>
        </is>
      </c>
      <c r="J984" s="2" t="n"/>
      <c r="K984" s="2" t="n"/>
      <c r="L984" s="2" t="n"/>
      <c r="M984" s="2" t="n"/>
      <c r="N984" s="2" t="n"/>
      <c r="O984" s="2" t="n">
        <v>50</v>
      </c>
      <c r="P984" s="2" t="n"/>
      <c r="Q984" s="2" t="n"/>
      <c r="R984" s="2" t="n"/>
      <c r="S984" s="2" t="n"/>
      <c r="T984" s="2" t="n"/>
      <c r="U984" s="2" t="n"/>
      <c r="V984" s="2">
        <f>SUM(J984:U984)</f>
        <v/>
      </c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>
        <v>100</v>
      </c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>
        <f>IF(F984=1,V984*2,IF(F984=2,V984*F984*2,IF(F984&gt;2,F984*2*V984)))</f>
        <v/>
      </c>
      <c r="AW984" s="2">
        <f>SUM(W984:AU984)</f>
        <v/>
      </c>
    </row>
    <row r="985">
      <c r="A985" s="2" t="inlineStr">
        <is>
          <t>A14-SB-N104</t>
        </is>
      </c>
      <c r="B985" s="3" t="inlineStr">
        <is>
          <t>SOJC-SM-LC/PC-LC/PC</t>
        </is>
      </c>
      <c r="C985" s="2" t="inlineStr">
        <is>
          <t>908040264, 5M, B3, 3.0mm</t>
        </is>
      </c>
      <c r="D985" s="2" t="inlineStr">
        <is>
          <t>b3</t>
        </is>
      </c>
      <c r="E985" s="2" t="inlineStr">
        <is>
          <t>3.0mm</t>
        </is>
      </c>
      <c r="F985" s="2" t="n">
        <v>1</v>
      </c>
      <c r="G985" s="2" t="n">
        <v>5</v>
      </c>
      <c r="H985" s="2" t="inlineStr">
        <is>
          <t>LC/PC</t>
        </is>
      </c>
      <c r="I985" s="2" t="inlineStr">
        <is>
          <t>LC/PC</t>
        </is>
      </c>
      <c r="J985" s="2" t="n">
        <v>9</v>
      </c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>
        <f>SUM(J985:U985)</f>
        <v/>
      </c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>
        <v>18</v>
      </c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>
        <f>IF(F985=1,V985*2,IF(F985=2,V985*F985*2,IF(F985&gt;2,F985*2*V985)))</f>
        <v/>
      </c>
      <c r="AW985" s="2">
        <f>SUM(W985:AU985)</f>
        <v/>
      </c>
    </row>
    <row r="986">
      <c r="A986" s="2" t="inlineStr">
        <is>
          <t>A14-SB-N105</t>
        </is>
      </c>
      <c r="B986" s="3" t="inlineStr">
        <is>
          <t>SOJC-SM-LC/PC-LC/PC</t>
        </is>
      </c>
      <c r="C986" s="2" t="inlineStr">
        <is>
          <t>908040265, 6M, B3, 2.0mm</t>
        </is>
      </c>
      <c r="D986" s="2" t="inlineStr">
        <is>
          <t>b3</t>
        </is>
      </c>
      <c r="E986" s="2" t="inlineStr">
        <is>
          <t>2.0mm</t>
        </is>
      </c>
      <c r="F986" s="2" t="n">
        <v>1</v>
      </c>
      <c r="G986" s="2" t="n">
        <v>6</v>
      </c>
      <c r="H986" s="2" t="inlineStr">
        <is>
          <t>LC/PC</t>
        </is>
      </c>
      <c r="I986" s="2" t="inlineStr">
        <is>
          <t>LC/PC</t>
        </is>
      </c>
      <c r="J986" s="2" t="n"/>
      <c r="K986" s="2" t="n"/>
      <c r="L986" s="2" t="n"/>
      <c r="M986" s="2" t="n"/>
      <c r="N986" s="2" t="n">
        <v>35</v>
      </c>
      <c r="O986" s="2" t="n"/>
      <c r="P986" s="2" t="n"/>
      <c r="Q986" s="2" t="n"/>
      <c r="R986" s="2" t="n"/>
      <c r="S986" s="2" t="n">
        <v>25</v>
      </c>
      <c r="T986" s="2" t="n"/>
      <c r="U986" s="2" t="n"/>
      <c r="V986" s="2">
        <f>SUM(J986:U986)</f>
        <v/>
      </c>
      <c r="W986" s="2" t="n">
        <v>120</v>
      </c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>
        <f>IF(F986=1,V986*2,IF(F986=2,V986*F986*2,IF(F986&gt;2,F986*2*V986)))</f>
        <v/>
      </c>
      <c r="AW986" s="2">
        <f>SUM(W986:AU986)</f>
        <v/>
      </c>
    </row>
    <row r="987">
      <c r="A987" s="2" t="inlineStr">
        <is>
          <t>A14-SB-N106</t>
        </is>
      </c>
      <c r="B987" s="3" t="inlineStr">
        <is>
          <t>SOJC-SM-LC/PC-LC/PC</t>
        </is>
      </c>
      <c r="C987" s="2" t="inlineStr">
        <is>
          <t>908040266, 7M, B3, 2.0mm</t>
        </is>
      </c>
      <c r="D987" s="2" t="inlineStr">
        <is>
          <t>b3</t>
        </is>
      </c>
      <c r="E987" s="2" t="inlineStr">
        <is>
          <t>2.0mm</t>
        </is>
      </c>
      <c r="F987" s="2" t="n">
        <v>1</v>
      </c>
      <c r="G987" s="2" t="n">
        <v>7</v>
      </c>
      <c r="H987" s="2" t="inlineStr">
        <is>
          <t>LC/PC</t>
        </is>
      </c>
      <c r="I987" s="2" t="inlineStr">
        <is>
          <t>LC/PC</t>
        </is>
      </c>
      <c r="J987" s="2" t="n"/>
      <c r="K987" s="2" t="n">
        <v>10</v>
      </c>
      <c r="L987" s="2" t="n"/>
      <c r="M987" s="2" t="n"/>
      <c r="N987" s="2" t="n">
        <v>20</v>
      </c>
      <c r="O987" s="2" t="n"/>
      <c r="P987" s="2" t="n">
        <v>20</v>
      </c>
      <c r="Q987" s="2" t="n">
        <v>100</v>
      </c>
      <c r="R987" s="2" t="n"/>
      <c r="S987" s="2" t="n">
        <v>10</v>
      </c>
      <c r="T987" s="2" t="n"/>
      <c r="U987" s="2" t="n"/>
      <c r="V987" s="2">
        <f>SUM(J987:U987)</f>
        <v/>
      </c>
      <c r="W987" s="2" t="n">
        <v>320</v>
      </c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>
        <f>IF(F987=1,V987*2,IF(F987=2,V987*F987*2,IF(F987&gt;2,F987*2*V987)))</f>
        <v/>
      </c>
      <c r="AW987" s="2">
        <f>SUM(W987:AU987)</f>
        <v/>
      </c>
    </row>
    <row r="988">
      <c r="A988" s="2" t="inlineStr">
        <is>
          <t>A14-SB-N107</t>
        </is>
      </c>
      <c r="B988" s="3" t="inlineStr">
        <is>
          <t>SOJC-SM-LC/PC-LC/PC</t>
        </is>
      </c>
      <c r="C988" s="2" t="inlineStr">
        <is>
          <t>908040267, 8M, B3, 2.0mm</t>
        </is>
      </c>
      <c r="D988" s="2" t="inlineStr">
        <is>
          <t>b3</t>
        </is>
      </c>
      <c r="E988" s="2" t="inlineStr">
        <is>
          <t>2.0mm</t>
        </is>
      </c>
      <c r="F988" s="2" t="n">
        <v>1</v>
      </c>
      <c r="G988" s="2" t="n">
        <v>8</v>
      </c>
      <c r="H988" s="2" t="inlineStr">
        <is>
          <t>LC/PC</t>
        </is>
      </c>
      <c r="I988" s="2" t="inlineStr">
        <is>
          <t>LC/PC</t>
        </is>
      </c>
      <c r="J988" s="2" t="n"/>
      <c r="K988" s="2" t="n"/>
      <c r="L988" s="2" t="n"/>
      <c r="M988" s="2" t="n">
        <v>50</v>
      </c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>
        <f>SUM(J988:U988)</f>
        <v/>
      </c>
      <c r="W988" s="2" t="n">
        <v>100</v>
      </c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>
        <f>IF(F988=1,V988*2,IF(F988=2,V988*F988*2,IF(F988&gt;2,F988*2*V988)))</f>
        <v/>
      </c>
      <c r="AW988" s="2">
        <f>SUM(W988:AU988)</f>
        <v/>
      </c>
    </row>
    <row r="989">
      <c r="A989" s="2" t="inlineStr">
        <is>
          <t>A14-SB-N111</t>
        </is>
      </c>
      <c r="B989" s="3" t="inlineStr">
        <is>
          <t>SOJC-SM-LC/PC-SC/APC</t>
        </is>
      </c>
      <c r="C989" s="2" t="inlineStr">
        <is>
          <t>920000744, 10M, B3, 2.0mm</t>
        </is>
      </c>
      <c r="D989" s="2" t="inlineStr">
        <is>
          <t>b3</t>
        </is>
      </c>
      <c r="E989" s="2" t="inlineStr">
        <is>
          <t>2.0mm</t>
        </is>
      </c>
      <c r="F989" s="2" t="n">
        <v>1</v>
      </c>
      <c r="G989" s="2" t="n">
        <v>10</v>
      </c>
      <c r="H989" s="2" t="inlineStr">
        <is>
          <t>LC/PC</t>
        </is>
      </c>
      <c r="I989" s="2" t="inlineStr">
        <is>
          <t>SC/APC</t>
        </is>
      </c>
      <c r="J989" s="2" t="n"/>
      <c r="K989" s="2" t="n"/>
      <c r="L989" s="2" t="n"/>
      <c r="M989" s="2" t="n">
        <v>4</v>
      </c>
      <c r="N989" s="2" t="n"/>
      <c r="O989" s="2" t="n">
        <v>45</v>
      </c>
      <c r="P989" s="2" t="n"/>
      <c r="Q989" s="2" t="n"/>
      <c r="R989" s="2" t="n"/>
      <c r="S989" s="2" t="n">
        <v>35</v>
      </c>
      <c r="T989" s="2" t="n"/>
      <c r="U989" s="2" t="n">
        <v>50</v>
      </c>
      <c r="V989" s="2">
        <f>SUM(J989:U989)</f>
        <v/>
      </c>
      <c r="W989" s="2" t="n">
        <v>134</v>
      </c>
      <c r="X989" s="2" t="n"/>
      <c r="Y989" s="2" t="n"/>
      <c r="Z989" s="2" t="n"/>
      <c r="AA989" s="2" t="n"/>
      <c r="AB989" s="2" t="n"/>
      <c r="AC989" s="2" t="n">
        <v>134</v>
      </c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>
        <f>IF(F989=1,V989*2,IF(F989=2,V989*F989*2,IF(F989&gt;2,F989*2*V989)))</f>
        <v/>
      </c>
      <c r="AW989" s="2">
        <f>SUM(W989:AU989)</f>
        <v/>
      </c>
    </row>
    <row r="990">
      <c r="A990" s="2" t="inlineStr">
        <is>
          <t>A14-SB-N114</t>
        </is>
      </c>
      <c r="B990" s="3" t="inlineStr">
        <is>
          <t>SOJC-SM-LC/PC-SC/APC</t>
        </is>
      </c>
      <c r="C990" s="2" t="inlineStr">
        <is>
          <t>920000749, 15M, B3, 2.0mm</t>
        </is>
      </c>
      <c r="D990" s="2" t="inlineStr">
        <is>
          <t>b3</t>
        </is>
      </c>
      <c r="E990" s="2" t="inlineStr">
        <is>
          <t>2.0mm</t>
        </is>
      </c>
      <c r="F990" s="2" t="n">
        <v>1</v>
      </c>
      <c r="G990" s="2" t="n">
        <v>15</v>
      </c>
      <c r="H990" s="2" t="inlineStr">
        <is>
          <t>LC/PC</t>
        </is>
      </c>
      <c r="I990" s="2" t="inlineStr">
        <is>
          <t>SC/APC</t>
        </is>
      </c>
      <c r="J990" s="2" t="n"/>
      <c r="K990" s="2" t="n"/>
      <c r="L990" s="2" t="n">
        <v>178</v>
      </c>
      <c r="M990" s="2" t="n"/>
      <c r="N990" s="2" t="n">
        <v>10</v>
      </c>
      <c r="O990" s="2" t="n"/>
      <c r="P990" s="2" t="n"/>
      <c r="Q990" s="2" t="n"/>
      <c r="R990" s="2" t="n">
        <v>32</v>
      </c>
      <c r="S990" s="2" t="n">
        <v>45</v>
      </c>
      <c r="T990" s="2" t="n"/>
      <c r="U990" s="2" t="n"/>
      <c r="V990" s="2">
        <f>SUM(J990:U990)</f>
        <v/>
      </c>
      <c r="W990" s="2" t="n">
        <v>265</v>
      </c>
      <c r="X990" s="2" t="n"/>
      <c r="Y990" s="2" t="n"/>
      <c r="Z990" s="2" t="n"/>
      <c r="AA990" s="2" t="n"/>
      <c r="AB990" s="2" t="n"/>
      <c r="AC990" s="2" t="n">
        <v>265</v>
      </c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>
        <f>IF(F990=1,V990*2,IF(F990=2,V990*F990*2,IF(F990&gt;2,F990*2*V990)))</f>
        <v/>
      </c>
      <c r="AW990" s="2">
        <f>SUM(W990:AU990)</f>
        <v/>
      </c>
    </row>
    <row r="991">
      <c r="A991" s="2" t="inlineStr">
        <is>
          <t>A14-SB-N117</t>
        </is>
      </c>
      <c r="B991" s="3" t="inlineStr">
        <is>
          <t>SOJC-SM-LC/PC-SC/APC</t>
        </is>
      </c>
      <c r="C991" s="2" t="inlineStr">
        <is>
          <t>920000754, 20M, B3, 2.0mm</t>
        </is>
      </c>
      <c r="D991" s="2" t="inlineStr">
        <is>
          <t>b3</t>
        </is>
      </c>
      <c r="E991" s="2" t="inlineStr">
        <is>
          <t>2.0mm</t>
        </is>
      </c>
      <c r="F991" s="2" t="n">
        <v>1</v>
      </c>
      <c r="G991" s="2" t="n">
        <v>20</v>
      </c>
      <c r="H991" s="2" t="inlineStr">
        <is>
          <t>LC/PC</t>
        </is>
      </c>
      <c r="I991" s="2" t="inlineStr">
        <is>
          <t>SC/APC</t>
        </is>
      </c>
      <c r="J991" s="2" t="n"/>
      <c r="K991" s="2" t="n"/>
      <c r="L991" s="2" t="n"/>
      <c r="M991" s="2" t="n">
        <v>5</v>
      </c>
      <c r="N991" s="2" t="n">
        <v>20</v>
      </c>
      <c r="O991" s="2" t="n"/>
      <c r="P991" s="2" t="n"/>
      <c r="Q991" s="2" t="n"/>
      <c r="R991" s="2" t="n"/>
      <c r="S991" s="2" t="n"/>
      <c r="T991" s="2" t="n"/>
      <c r="U991" s="2" t="n"/>
      <c r="V991" s="2">
        <f>SUM(J991:U991)</f>
        <v/>
      </c>
      <c r="W991" s="2" t="n">
        <v>25</v>
      </c>
      <c r="X991" s="2" t="n"/>
      <c r="Y991" s="2" t="n"/>
      <c r="Z991" s="2" t="n"/>
      <c r="AA991" s="2" t="n"/>
      <c r="AB991" s="2" t="n"/>
      <c r="AC991" s="2" t="n">
        <v>25</v>
      </c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>
        <f>IF(F991=1,V991*2,IF(F991=2,V991*F991*2,IF(F991&gt;2,F991*2*V991)))</f>
        <v/>
      </c>
      <c r="AW991" s="2">
        <f>SUM(W991:AU991)</f>
        <v/>
      </c>
    </row>
    <row r="992">
      <c r="A992" s="2" t="inlineStr">
        <is>
          <t>A14-SB-N118</t>
        </is>
      </c>
      <c r="B992" s="3" t="inlineStr">
        <is>
          <t>SOJC-SM-LC/PC-SC/APC</t>
        </is>
      </c>
      <c r="C992" s="2" t="inlineStr">
        <is>
          <t>920000759, 25M, B3, 2.0mm</t>
        </is>
      </c>
      <c r="D992" s="2" t="inlineStr">
        <is>
          <t>b3</t>
        </is>
      </c>
      <c r="E992" s="2" t="inlineStr">
        <is>
          <t>2.0mm</t>
        </is>
      </c>
      <c r="F992" s="2" t="n">
        <v>1</v>
      </c>
      <c r="G992" s="2" t="n">
        <v>25</v>
      </c>
      <c r="H992" s="2" t="inlineStr">
        <is>
          <t>LC/PC</t>
        </is>
      </c>
      <c r="I992" s="2" t="inlineStr">
        <is>
          <t>SC/APC</t>
        </is>
      </c>
      <c r="J992" s="2" t="n"/>
      <c r="K992" s="2" t="n"/>
      <c r="L992" s="2" t="n"/>
      <c r="M992" s="2" t="n"/>
      <c r="N992" s="2" t="n"/>
      <c r="O992" s="2" t="n">
        <v>45</v>
      </c>
      <c r="P992" s="2" t="n"/>
      <c r="Q992" s="2" t="n"/>
      <c r="R992" s="2" t="n"/>
      <c r="S992" s="2" t="n"/>
      <c r="T992" s="2" t="n"/>
      <c r="U992" s="2" t="n"/>
      <c r="V992" s="2">
        <f>SUM(J992:U992)</f>
        <v/>
      </c>
      <c r="W992" s="2" t="n">
        <v>45</v>
      </c>
      <c r="X992" s="2" t="n"/>
      <c r="Y992" s="2" t="n"/>
      <c r="Z992" s="2" t="n"/>
      <c r="AA992" s="2" t="n"/>
      <c r="AB992" s="2" t="n"/>
      <c r="AC992" s="2" t="n">
        <v>45</v>
      </c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>
        <f>IF(F992=1,V992*2,IF(F992=2,V992*F992*2,IF(F992&gt;2,F992*2*V992)))</f>
        <v/>
      </c>
      <c r="AW992" s="2">
        <f>SUM(W992:AU992)</f>
        <v/>
      </c>
    </row>
    <row r="993">
      <c r="A993" s="2" t="inlineStr">
        <is>
          <t>A14-SB-N120</t>
        </is>
      </c>
      <c r="B993" s="3" t="inlineStr">
        <is>
          <t>SOJC-SM-LC/PC-SC/APC</t>
        </is>
      </c>
      <c r="C993" s="2" t="inlineStr">
        <is>
          <t>920000764, 30M, B3, 2.0mm</t>
        </is>
      </c>
      <c r="D993" s="2" t="inlineStr">
        <is>
          <t>b3</t>
        </is>
      </c>
      <c r="E993" s="2" t="inlineStr">
        <is>
          <t>2.0mm</t>
        </is>
      </c>
      <c r="F993" s="2" t="n">
        <v>1</v>
      </c>
      <c r="G993" s="2" t="n">
        <v>30</v>
      </c>
      <c r="H993" s="2" t="inlineStr">
        <is>
          <t>LC/PC</t>
        </is>
      </c>
      <c r="I993" s="2" t="inlineStr">
        <is>
          <t>SC/APC</t>
        </is>
      </c>
      <c r="J993" s="2" t="n"/>
      <c r="K993" s="2" t="n"/>
      <c r="L993" s="2" t="n"/>
      <c r="M993" s="2" t="n"/>
      <c r="N993" s="2" t="n">
        <v>10</v>
      </c>
      <c r="O993" s="2" t="n">
        <v>4</v>
      </c>
      <c r="P993" s="2" t="n"/>
      <c r="Q993" s="2" t="n"/>
      <c r="R993" s="2" t="n"/>
      <c r="S993" s="2" t="n"/>
      <c r="T993" s="2" t="n">
        <v>3</v>
      </c>
      <c r="U993" s="2" t="n"/>
      <c r="V993" s="2">
        <f>SUM(J993:U993)</f>
        <v/>
      </c>
      <c r="W993" s="2" t="n">
        <v>17</v>
      </c>
      <c r="X993" s="2" t="n"/>
      <c r="Y993" s="2" t="n"/>
      <c r="Z993" s="2" t="n"/>
      <c r="AA993" s="2" t="n"/>
      <c r="AB993" s="2" t="n"/>
      <c r="AC993" s="2" t="n">
        <v>17</v>
      </c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>
        <f>IF(F993=1,V993*2,IF(F993=2,V993*F993*2,IF(F993&gt;2,F993*2*V993)))</f>
        <v/>
      </c>
      <c r="AW993" s="2">
        <f>SUM(W993:AU993)</f>
        <v/>
      </c>
    </row>
    <row r="994">
      <c r="A994" s="2" t="inlineStr">
        <is>
          <t>A14-SB-N130</t>
        </is>
      </c>
      <c r="B994" s="3" t="inlineStr">
        <is>
          <t>SOJC-SM-LC/PC-SC/PC</t>
        </is>
      </c>
      <c r="C994" s="2" t="inlineStr">
        <is>
          <t>908040170, 10M, B3, 2.0mm</t>
        </is>
      </c>
      <c r="D994" s="2" t="inlineStr">
        <is>
          <t>b3</t>
        </is>
      </c>
      <c r="E994" s="2" t="inlineStr">
        <is>
          <t>2.0mm</t>
        </is>
      </c>
      <c r="F994" s="2" t="n">
        <v>1</v>
      </c>
      <c r="G994" s="2" t="n">
        <v>10</v>
      </c>
      <c r="H994" s="2" t="inlineStr">
        <is>
          <t>LC/PC</t>
        </is>
      </c>
      <c r="I994" s="2" t="inlineStr">
        <is>
          <t>SC/PC</t>
        </is>
      </c>
      <c r="J994" s="2" t="n"/>
      <c r="K994" s="2" t="n">
        <v>25</v>
      </c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>
        <v>252</v>
      </c>
      <c r="V994" s="2">
        <f>SUM(J994:U994)</f>
        <v/>
      </c>
      <c r="W994" s="2" t="n">
        <v>277</v>
      </c>
      <c r="X994" s="2" t="n"/>
      <c r="Y994" s="2" t="n"/>
      <c r="Z994" s="2" t="n"/>
      <c r="AA994" s="2" t="n">
        <v>277</v>
      </c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>
        <f>IF(F994=1,V994*2,IF(F994=2,V994*F994*2,IF(F994&gt;2,F994*2*V994)))</f>
        <v/>
      </c>
      <c r="AW994" s="2">
        <f>SUM(W994:AU994)</f>
        <v/>
      </c>
    </row>
    <row r="995">
      <c r="A995" s="2" t="inlineStr">
        <is>
          <t>A14-SB-N132</t>
        </is>
      </c>
      <c r="B995" s="3" t="inlineStr">
        <is>
          <t>SOJC-SM-LC/PC-SC/PC</t>
        </is>
      </c>
      <c r="C995" s="2" t="inlineStr">
        <is>
          <t>12M, B3, 2.0mm</t>
        </is>
      </c>
      <c r="D995" s="2" t="inlineStr">
        <is>
          <t>b3</t>
        </is>
      </c>
      <c r="E995" s="2" t="inlineStr">
        <is>
          <t>2.0mm</t>
        </is>
      </c>
      <c r="F995" s="2" t="n">
        <v>1</v>
      </c>
      <c r="G995" s="2" t="n">
        <v>12</v>
      </c>
      <c r="H995" s="2" t="inlineStr">
        <is>
          <t>LC/PC</t>
        </is>
      </c>
      <c r="I995" s="2" t="inlineStr">
        <is>
          <t>SC/PC</t>
        </is>
      </c>
      <c r="J995" s="2" t="n"/>
      <c r="K995" s="2" t="n"/>
      <c r="L995" s="2" t="n"/>
      <c r="M995" s="2" t="n"/>
      <c r="N995" s="2" t="n">
        <v>30</v>
      </c>
      <c r="O995" s="2" t="n"/>
      <c r="P995" s="2" t="n"/>
      <c r="Q995" s="2" t="n">
        <v>30</v>
      </c>
      <c r="R995" s="2" t="n"/>
      <c r="S995" s="2" t="n"/>
      <c r="T995" s="2" t="n"/>
      <c r="U995" s="2" t="n"/>
      <c r="V995" s="2">
        <f>SUM(J995:U995)</f>
        <v/>
      </c>
      <c r="W995" s="2" t="n">
        <v>60</v>
      </c>
      <c r="X995" s="2" t="n"/>
      <c r="Y995" s="2" t="n"/>
      <c r="Z995" s="2" t="n"/>
      <c r="AA995" s="2" t="n">
        <v>60</v>
      </c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>
        <f>IF(F995=1,V995*2,IF(F995=2,V995*F995*2,IF(F995&gt;2,F995*2*V995)))</f>
        <v/>
      </c>
      <c r="AW995" s="2">
        <f>SUM(W995:AU995)</f>
        <v/>
      </c>
    </row>
    <row r="996">
      <c r="A996" s="2" t="inlineStr">
        <is>
          <t>A14-SB-N134</t>
        </is>
      </c>
      <c r="B996" s="3" t="inlineStr">
        <is>
          <t>SOJC-SM-LC/PC-SC/PC</t>
        </is>
      </c>
      <c r="C996" s="2" t="inlineStr">
        <is>
          <t>15M, B3, 2.0mm</t>
        </is>
      </c>
      <c r="D996" s="2" t="inlineStr">
        <is>
          <t>b3</t>
        </is>
      </c>
      <c r="E996" s="2" t="inlineStr">
        <is>
          <t>2.0mm</t>
        </is>
      </c>
      <c r="F996" s="2" t="n">
        <v>1</v>
      </c>
      <c r="G996" s="2" t="n">
        <v>15</v>
      </c>
      <c r="H996" s="2" t="inlineStr">
        <is>
          <t>LC/PC</t>
        </is>
      </c>
      <c r="I996" s="2" t="inlineStr">
        <is>
          <t>SC/PC</t>
        </is>
      </c>
      <c r="J996" s="2" t="n"/>
      <c r="K996" s="2" t="n">
        <v>89</v>
      </c>
      <c r="L996" s="2" t="n"/>
      <c r="M996" s="2" t="n"/>
      <c r="N996" s="2" t="n">
        <v>50</v>
      </c>
      <c r="O996" s="2" t="n">
        <v>450</v>
      </c>
      <c r="P996" s="2" t="n">
        <v>463</v>
      </c>
      <c r="Q996" s="2" t="n">
        <v>68</v>
      </c>
      <c r="R996" s="2" t="n">
        <v>140</v>
      </c>
      <c r="S996" s="2" t="n">
        <v>55</v>
      </c>
      <c r="T996" s="2" t="n">
        <v>99</v>
      </c>
      <c r="U996" s="2" t="n"/>
      <c r="V996" s="2">
        <f>SUM(J996:U996)</f>
        <v/>
      </c>
      <c r="W996" s="2" t="n">
        <v>1414</v>
      </c>
      <c r="X996" s="2" t="n"/>
      <c r="Y996" s="2" t="n"/>
      <c r="Z996" s="2" t="n"/>
      <c r="AA996" s="2" t="n">
        <v>1414</v>
      </c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>
        <f>IF(F996=1,V996*2,IF(F996=2,V996*F996*2,IF(F996&gt;2,F996*2*V996)))</f>
        <v/>
      </c>
      <c r="AW996" s="2">
        <f>SUM(W996:AU996)</f>
        <v/>
      </c>
    </row>
    <row r="997">
      <c r="A997" s="2" t="inlineStr">
        <is>
          <t>A14-SB-N136</t>
        </is>
      </c>
      <c r="B997" s="3" t="inlineStr">
        <is>
          <t>SOJC-SM-LC/PC-SC/PC</t>
        </is>
      </c>
      <c r="C997" s="2" t="inlineStr">
        <is>
          <t>17M, B3, 2.0mm</t>
        </is>
      </c>
      <c r="D997" s="2" t="inlineStr">
        <is>
          <t>b3</t>
        </is>
      </c>
      <c r="E997" s="2" t="inlineStr">
        <is>
          <t>2.0mm</t>
        </is>
      </c>
      <c r="F997" s="2" t="n">
        <v>1</v>
      </c>
      <c r="G997" s="2" t="n">
        <v>17</v>
      </c>
      <c r="H997" s="2" t="inlineStr">
        <is>
          <t>LC/PC</t>
        </is>
      </c>
      <c r="I997" s="2" t="inlineStr">
        <is>
          <t>SC/PC</t>
        </is>
      </c>
      <c r="J997" s="2" t="n"/>
      <c r="K997" s="2" t="n"/>
      <c r="L997" s="2" t="n"/>
      <c r="M997" s="2" t="n"/>
      <c r="N997" s="2" t="n"/>
      <c r="O997" s="2" t="n"/>
      <c r="P997" s="2" t="n"/>
      <c r="Q997" s="2" t="n">
        <v>8</v>
      </c>
      <c r="R997" s="2" t="n"/>
      <c r="S997" s="2" t="n"/>
      <c r="T997" s="2" t="n"/>
      <c r="U997" s="2" t="n"/>
      <c r="V997" s="2">
        <f>SUM(J997:U997)</f>
        <v/>
      </c>
      <c r="W997" s="2" t="n">
        <v>8</v>
      </c>
      <c r="X997" s="2" t="n"/>
      <c r="Y997" s="2" t="n"/>
      <c r="Z997" s="2" t="n"/>
      <c r="AA997" s="2" t="n">
        <v>8</v>
      </c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>
        <f>IF(F997=1,V997*2,IF(F997=2,V997*F997*2,IF(F997&gt;2,F997*2*V997)))</f>
        <v/>
      </c>
      <c r="AW997" s="2">
        <f>SUM(W997:AU997)</f>
        <v/>
      </c>
    </row>
    <row r="998">
      <c r="A998" s="2" t="inlineStr">
        <is>
          <t>A14-SB-N138</t>
        </is>
      </c>
      <c r="B998" s="3" t="inlineStr">
        <is>
          <t>SOJC-SM-LC/PC-SC/PC</t>
        </is>
      </c>
      <c r="C998" s="2" t="inlineStr">
        <is>
          <t>908040162, 1M, B3, 3.0mm</t>
        </is>
      </c>
      <c r="D998" s="2" t="inlineStr">
        <is>
          <t>b3</t>
        </is>
      </c>
      <c r="E998" s="2" t="inlineStr">
        <is>
          <t>3.0mm</t>
        </is>
      </c>
      <c r="F998" s="2" t="n">
        <v>1</v>
      </c>
      <c r="G998" s="2" t="n">
        <v>1</v>
      </c>
      <c r="H998" s="2" t="inlineStr">
        <is>
          <t>LC/PC</t>
        </is>
      </c>
      <c r="I998" s="2" t="inlineStr">
        <is>
          <t>SC/PC</t>
        </is>
      </c>
      <c r="J998" s="2" t="n"/>
      <c r="K998" s="2" t="n"/>
      <c r="L998" s="2" t="n"/>
      <c r="M998" s="2" t="n"/>
      <c r="N998" s="2" t="n"/>
      <c r="O998" s="2" t="n">
        <v>19</v>
      </c>
      <c r="P998" s="2" t="n"/>
      <c r="Q998" s="2" t="n"/>
      <c r="R998" s="2" t="n"/>
      <c r="S998" s="2" t="n">
        <v>10</v>
      </c>
      <c r="T998" s="2" t="n">
        <v>10</v>
      </c>
      <c r="U998" s="2" t="n"/>
      <c r="V998" s="2">
        <f>SUM(J998:U998)</f>
        <v/>
      </c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>
        <v>39</v>
      </c>
      <c r="AK998" s="2" t="n"/>
      <c r="AL998" s="2" t="n"/>
      <c r="AM998" s="2" t="n"/>
      <c r="AN998" s="2" t="n">
        <v>39</v>
      </c>
      <c r="AO998" s="2" t="n"/>
      <c r="AP998" s="2" t="n"/>
      <c r="AQ998" s="2" t="n"/>
      <c r="AR998" s="2" t="n"/>
      <c r="AS998" s="2" t="n"/>
      <c r="AT998" s="2" t="n"/>
      <c r="AU998" s="2" t="n"/>
      <c r="AV998" s="2">
        <f>IF(F998=1,V998*2,IF(F998=2,V998*F998*2,IF(F998&gt;2,F998*2*V998)))</f>
        <v/>
      </c>
      <c r="AW998" s="2">
        <f>SUM(W998:AU998)</f>
        <v/>
      </c>
    </row>
    <row r="999">
      <c r="A999" s="2" t="inlineStr">
        <is>
          <t>A14-SB-N139</t>
        </is>
      </c>
      <c r="B999" s="3" t="inlineStr">
        <is>
          <t>SOJC-SM-LC/PC-SC/PC</t>
        </is>
      </c>
      <c r="C999" s="2" t="inlineStr">
        <is>
          <t>908040180, 20M, B3, 2.0mm</t>
        </is>
      </c>
      <c r="D999" s="2" t="inlineStr">
        <is>
          <t>b3</t>
        </is>
      </c>
      <c r="E999" s="2" t="inlineStr">
        <is>
          <t>2.0mm</t>
        </is>
      </c>
      <c r="F999" s="2" t="n">
        <v>1</v>
      </c>
      <c r="G999" s="2" t="n">
        <v>20</v>
      </c>
      <c r="H999" s="2" t="inlineStr">
        <is>
          <t>LC/PC</t>
        </is>
      </c>
      <c r="I999" s="2" t="inlineStr">
        <is>
          <t>SC/PC</t>
        </is>
      </c>
      <c r="J999" s="2" t="n">
        <v>15</v>
      </c>
      <c r="K999" s="2" t="n">
        <v>50</v>
      </c>
      <c r="L999" s="2" t="n"/>
      <c r="M999" s="2" t="n"/>
      <c r="N999" s="2" t="n"/>
      <c r="O999" s="2" t="n"/>
      <c r="P999" s="2" t="n">
        <v>104</v>
      </c>
      <c r="Q999" s="2" t="n">
        <v>4</v>
      </c>
      <c r="R999" s="2" t="n">
        <v>16</v>
      </c>
      <c r="S999" s="2" t="n"/>
      <c r="T999" s="2" t="n">
        <v>20</v>
      </c>
      <c r="U999" s="2" t="n"/>
      <c r="V999" s="2">
        <f>SUM(J999:U999)</f>
        <v/>
      </c>
      <c r="W999" s="2" t="n">
        <v>209</v>
      </c>
      <c r="X999" s="2" t="n"/>
      <c r="Y999" s="2" t="n"/>
      <c r="Z999" s="2" t="n"/>
      <c r="AA999" s="2" t="n">
        <v>209</v>
      </c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>
        <f>IF(F999=1,V999*2,IF(F999=2,V999*F999*2,IF(F999&gt;2,F999*2*V999)))</f>
        <v/>
      </c>
      <c r="AW999" s="2">
        <f>SUM(W999:AU999)</f>
        <v/>
      </c>
    </row>
    <row r="1000">
      <c r="A1000" s="2" t="inlineStr">
        <is>
          <t>A14-SB-N141</t>
        </is>
      </c>
      <c r="B1000" s="3" t="inlineStr">
        <is>
          <t>SOJC-SM-LC/PC-SC/PC</t>
        </is>
      </c>
      <c r="C1000" s="2" t="inlineStr">
        <is>
          <t>908040185, 25M, B3, 2.0mm</t>
        </is>
      </c>
      <c r="D1000" s="2" t="inlineStr">
        <is>
          <t>b3</t>
        </is>
      </c>
      <c r="E1000" s="2" t="inlineStr">
        <is>
          <t>2.0mm</t>
        </is>
      </c>
      <c r="F1000" s="2" t="n">
        <v>1</v>
      </c>
      <c r="G1000" s="2" t="n">
        <v>25</v>
      </c>
      <c r="H1000" s="2" t="inlineStr">
        <is>
          <t>LC/PC</t>
        </is>
      </c>
      <c r="I1000" s="2" t="inlineStr">
        <is>
          <t>SC/PC</t>
        </is>
      </c>
      <c r="J1000" s="2" t="n"/>
      <c r="K1000" s="2" t="n"/>
      <c r="L1000" s="2" t="n"/>
      <c r="M1000" s="2" t="n"/>
      <c r="N1000" s="2" t="n"/>
      <c r="O1000" s="2" t="n"/>
      <c r="P1000" s="2" t="n"/>
      <c r="Q1000" s="2" t="n">
        <v>17</v>
      </c>
      <c r="R1000" s="2" t="n">
        <v>40</v>
      </c>
      <c r="S1000" s="2" t="n">
        <v>70</v>
      </c>
      <c r="T1000" s="2" t="n">
        <v>105</v>
      </c>
      <c r="U1000" s="2" t="n"/>
      <c r="V1000" s="2">
        <f>SUM(J1000:U1000)</f>
        <v/>
      </c>
      <c r="W1000" s="2" t="n">
        <v>232</v>
      </c>
      <c r="X1000" s="2" t="n"/>
      <c r="Y1000" s="2" t="n"/>
      <c r="Z1000" s="2" t="n"/>
      <c r="AA1000" s="2" t="n">
        <v>232</v>
      </c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>
        <f>IF(F1000=1,V1000*2,IF(F1000=2,V1000*F1000*2,IF(F1000&gt;2,F1000*2*V1000)))</f>
        <v/>
      </c>
      <c r="AW1000" s="2">
        <f>SUM(W1000:AU1000)</f>
        <v/>
      </c>
    </row>
    <row r="1001">
      <c r="A1001" s="2" t="inlineStr">
        <is>
          <t>A14-SB-N143</t>
        </is>
      </c>
      <c r="B1001" s="3" t="inlineStr">
        <is>
          <t>SOJC-SM-LC/PC-SC/PC</t>
        </is>
      </c>
      <c r="C1001" s="2" t="inlineStr">
        <is>
          <t>908040163, 2M, B3, 3.0mm</t>
        </is>
      </c>
      <c r="D1001" s="2" t="inlineStr">
        <is>
          <t>b3</t>
        </is>
      </c>
      <c r="E1001" s="2" t="inlineStr">
        <is>
          <t>3.0mm</t>
        </is>
      </c>
      <c r="F1001" s="2" t="n">
        <v>1</v>
      </c>
      <c r="G1001" s="2" t="n">
        <v>2</v>
      </c>
      <c r="H1001" s="2" t="inlineStr">
        <is>
          <t>LC/PC</t>
        </is>
      </c>
      <c r="I1001" s="2" t="inlineStr">
        <is>
          <t>SC/PC</t>
        </is>
      </c>
      <c r="J1001" s="2" t="n"/>
      <c r="K1001" s="2" t="n"/>
      <c r="L1001" s="2" t="n"/>
      <c r="M1001" s="2" t="n"/>
      <c r="N1001" s="2" t="n"/>
      <c r="O1001" s="2" t="n">
        <v>35</v>
      </c>
      <c r="P1001" s="2" t="n"/>
      <c r="Q1001" s="2" t="n"/>
      <c r="R1001" s="2" t="n"/>
      <c r="S1001" s="2" t="n"/>
      <c r="T1001" s="2" t="n"/>
      <c r="U1001" s="2" t="n"/>
      <c r="V1001" s="2">
        <f>SUM(J1001:U1001)</f>
        <v/>
      </c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>
        <v>35</v>
      </c>
      <c r="AK1001" s="2" t="n"/>
      <c r="AL1001" s="2" t="n"/>
      <c r="AM1001" s="2" t="n"/>
      <c r="AN1001" s="2" t="n">
        <v>35</v>
      </c>
      <c r="AO1001" s="2" t="n"/>
      <c r="AP1001" s="2" t="n"/>
      <c r="AQ1001" s="2" t="n"/>
      <c r="AR1001" s="2" t="n"/>
      <c r="AS1001" s="2" t="n"/>
      <c r="AT1001" s="2" t="n"/>
      <c r="AU1001" s="2" t="n"/>
      <c r="AV1001" s="2">
        <f>IF(F1001=1,V1001*2,IF(F1001=2,V1001*F1001*2,IF(F1001&gt;2,F1001*2*V1001)))</f>
        <v/>
      </c>
      <c r="AW1001" s="2">
        <f>SUM(W1001:AU1001)</f>
        <v/>
      </c>
    </row>
    <row r="1002">
      <c r="A1002" s="2" t="inlineStr">
        <is>
          <t>A14-SB-N144</t>
        </is>
      </c>
      <c r="B1002" s="3" t="inlineStr">
        <is>
          <t>SOJC-SM-LC/PC-SC/PC</t>
        </is>
      </c>
      <c r="C1002" s="2" t="inlineStr">
        <is>
          <t>908040190, 30M, B3, 2.0mm</t>
        </is>
      </c>
      <c r="D1002" s="2" t="inlineStr">
        <is>
          <t>b3</t>
        </is>
      </c>
      <c r="E1002" s="2" t="inlineStr">
        <is>
          <t>2.0mm</t>
        </is>
      </c>
      <c r="F1002" s="2" t="n">
        <v>1</v>
      </c>
      <c r="G1002" s="2" t="n">
        <v>30</v>
      </c>
      <c r="H1002" s="2" t="inlineStr">
        <is>
          <t>LC/PC</t>
        </is>
      </c>
      <c r="I1002" s="2" t="inlineStr">
        <is>
          <t>SC/PC</t>
        </is>
      </c>
      <c r="J1002" s="2" t="n"/>
      <c r="K1002" s="2" t="n">
        <v>10</v>
      </c>
      <c r="L1002" s="2" t="n"/>
      <c r="M1002" s="2" t="n"/>
      <c r="N1002" s="2" t="n">
        <v>20</v>
      </c>
      <c r="O1002" s="2" t="n"/>
      <c r="P1002" s="2" t="n"/>
      <c r="Q1002" s="2" t="n"/>
      <c r="R1002" s="2" t="n"/>
      <c r="S1002" s="2" t="n"/>
      <c r="T1002" s="2" t="n">
        <v>1</v>
      </c>
      <c r="U1002" s="2" t="n"/>
      <c r="V1002" s="2">
        <f>SUM(J1002:U1002)</f>
        <v/>
      </c>
      <c r="W1002" s="2" t="n">
        <v>31</v>
      </c>
      <c r="X1002" s="2" t="n"/>
      <c r="Y1002" s="2" t="n"/>
      <c r="Z1002" s="2" t="n"/>
      <c r="AA1002" s="2" t="n">
        <v>31</v>
      </c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>
        <f>IF(F1002=1,V1002*2,IF(F1002=2,V1002*F1002*2,IF(F1002&gt;2,F1002*2*V1002)))</f>
        <v/>
      </c>
      <c r="AW1002" s="2">
        <f>SUM(W1002:AU1002)</f>
        <v/>
      </c>
    </row>
    <row r="1003">
      <c r="A1003" s="2" t="inlineStr">
        <is>
          <t>A14-SB-N148</t>
        </is>
      </c>
      <c r="B1003" s="3" t="inlineStr">
        <is>
          <t>SOJC-SM-LC/PC-SC/PC</t>
        </is>
      </c>
      <c r="C1003" s="2" t="inlineStr">
        <is>
          <t>908040165, 5M, B3, 3.0mm</t>
        </is>
      </c>
      <c r="D1003" s="2" t="inlineStr">
        <is>
          <t>b3</t>
        </is>
      </c>
      <c r="E1003" s="2" t="inlineStr">
        <is>
          <t>3.0mm</t>
        </is>
      </c>
      <c r="F1003" s="2" t="n">
        <v>1</v>
      </c>
      <c r="G1003" s="2" t="n">
        <v>5</v>
      </c>
      <c r="H1003" s="2" t="inlineStr">
        <is>
          <t>LC/PC</t>
        </is>
      </c>
      <c r="I1003" s="2" t="inlineStr">
        <is>
          <t>SC/PC</t>
        </is>
      </c>
      <c r="J1003" s="2" t="n"/>
      <c r="K1003" s="2" t="n"/>
      <c r="L1003" s="2" t="n"/>
      <c r="M1003" s="2" t="n"/>
      <c r="N1003" s="2" t="n"/>
      <c r="O1003" s="2" t="n"/>
      <c r="P1003" s="2" t="n"/>
      <c r="Q1003" s="2" t="n">
        <v>4</v>
      </c>
      <c r="R1003" s="2" t="n"/>
      <c r="S1003" s="2" t="n">
        <v>10</v>
      </c>
      <c r="T1003" s="2" t="n"/>
      <c r="U1003" s="2" t="n"/>
      <c r="V1003" s="2">
        <f>SUM(J1003:U1003)</f>
        <v/>
      </c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>
        <v>14</v>
      </c>
      <c r="AK1003" s="2" t="n"/>
      <c r="AL1003" s="2" t="n"/>
      <c r="AM1003" s="2" t="n"/>
      <c r="AN1003" s="2" t="n">
        <v>14</v>
      </c>
      <c r="AO1003" s="2" t="n"/>
      <c r="AP1003" s="2" t="n"/>
      <c r="AQ1003" s="2" t="n"/>
      <c r="AR1003" s="2" t="n"/>
      <c r="AS1003" s="2" t="n"/>
      <c r="AT1003" s="2" t="n"/>
      <c r="AU1003" s="2" t="n"/>
      <c r="AV1003" s="2">
        <f>IF(F1003=1,V1003*2,IF(F1003=2,V1003*F1003*2,IF(F1003&gt;2,F1003*2*V1003)))</f>
        <v/>
      </c>
      <c r="AW1003" s="2">
        <f>SUM(W1003:AU1003)</f>
        <v/>
      </c>
    </row>
    <row r="1004">
      <c r="A1004" s="2" t="inlineStr">
        <is>
          <t>A14-SB-N149</t>
        </is>
      </c>
      <c r="B1004" s="3" t="inlineStr">
        <is>
          <t>SOJC-SM-LC/PC-SC/PC</t>
        </is>
      </c>
      <c r="C1004" s="2" t="inlineStr">
        <is>
          <t>908040166, 6M, B3, 2.0mm</t>
        </is>
      </c>
      <c r="D1004" s="2" t="inlineStr">
        <is>
          <t>b3</t>
        </is>
      </c>
      <c r="E1004" s="2" t="inlineStr">
        <is>
          <t>2.0mm</t>
        </is>
      </c>
      <c r="F1004" s="2" t="n">
        <v>1</v>
      </c>
      <c r="G1004" s="2" t="n">
        <v>6</v>
      </c>
      <c r="H1004" s="2" t="inlineStr">
        <is>
          <t>LC/PC</t>
        </is>
      </c>
      <c r="I1004" s="2" t="inlineStr">
        <is>
          <t>SC/PC</t>
        </is>
      </c>
      <c r="J1004" s="2" t="n"/>
      <c r="K1004" s="2" t="n"/>
      <c r="L1004" s="2" t="n"/>
      <c r="M1004" s="2" t="n"/>
      <c r="N1004" s="2" t="n">
        <v>95</v>
      </c>
      <c r="O1004" s="2" t="n">
        <v>30</v>
      </c>
      <c r="P1004" s="2" t="n"/>
      <c r="Q1004" s="2" t="n"/>
      <c r="R1004" s="2" t="n"/>
      <c r="S1004" s="2" t="n"/>
      <c r="T1004" s="2" t="n"/>
      <c r="U1004" s="2" t="n"/>
      <c r="V1004" s="2">
        <f>SUM(J1004:U1004)</f>
        <v/>
      </c>
      <c r="W1004" s="2" t="n">
        <v>125</v>
      </c>
      <c r="X1004" s="2" t="n"/>
      <c r="Y1004" s="2" t="n"/>
      <c r="Z1004" s="2" t="n"/>
      <c r="AA1004" s="2" t="n">
        <v>125</v>
      </c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>
        <f>IF(F1004=1,V1004*2,IF(F1004=2,V1004*F1004*2,IF(F1004&gt;2,F1004*2*V1004)))</f>
        <v/>
      </c>
      <c r="AW1004" s="2">
        <f>SUM(W1004:AU1004)</f>
        <v/>
      </c>
    </row>
    <row r="1005">
      <c r="A1005" s="2" t="inlineStr">
        <is>
          <t>A14-SB-N151</t>
        </is>
      </c>
      <c r="B1005" s="3" t="inlineStr">
        <is>
          <t>SOJC-SM-LC/PC-SC/PC</t>
        </is>
      </c>
      <c r="C1005" s="2" t="inlineStr">
        <is>
          <t>908040167, 7M, B3, 2.0mm</t>
        </is>
      </c>
      <c r="D1005" s="2" t="inlineStr">
        <is>
          <t>b3</t>
        </is>
      </c>
      <c r="E1005" s="2" t="inlineStr">
        <is>
          <t>2.0mm</t>
        </is>
      </c>
      <c r="F1005" s="2" t="n">
        <v>1</v>
      </c>
      <c r="G1005" s="2" t="n">
        <v>7</v>
      </c>
      <c r="H1005" s="2" t="inlineStr">
        <is>
          <t>LC/PC</t>
        </is>
      </c>
      <c r="I1005" s="2" t="inlineStr">
        <is>
          <t>SC/PC</t>
        </is>
      </c>
      <c r="J1005" s="2" t="n"/>
      <c r="K1005" s="2" t="n"/>
      <c r="L1005" s="2" t="n"/>
      <c r="M1005" s="2" t="n">
        <v>20</v>
      </c>
      <c r="N1005" s="2" t="n"/>
      <c r="O1005" s="2" t="n">
        <v>55</v>
      </c>
      <c r="P1005" s="2" t="n"/>
      <c r="Q1005" s="2" t="n">
        <v>44</v>
      </c>
      <c r="R1005" s="2" t="n"/>
      <c r="S1005" s="2" t="n">
        <v>10</v>
      </c>
      <c r="T1005" s="2" t="n">
        <v>20</v>
      </c>
      <c r="U1005" s="2" t="n"/>
      <c r="V1005" s="2">
        <f>SUM(J1005:U1005)</f>
        <v/>
      </c>
      <c r="W1005" s="2" t="n">
        <v>149</v>
      </c>
      <c r="X1005" s="2" t="n"/>
      <c r="Y1005" s="2" t="n"/>
      <c r="Z1005" s="2" t="n"/>
      <c r="AA1005" s="2" t="n">
        <v>149</v>
      </c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>
        <f>IF(F1005=1,V1005*2,IF(F1005=2,V1005*F1005*2,IF(F1005&gt;2,F1005*2*V1005)))</f>
        <v/>
      </c>
      <c r="AW1005" s="2">
        <f>SUM(W1005:AU1005)</f>
        <v/>
      </c>
    </row>
    <row r="1006">
      <c r="A1006" s="2" t="inlineStr">
        <is>
          <t>A14-SB-N152</t>
        </is>
      </c>
      <c r="B1006" s="3" t="inlineStr">
        <is>
          <t>SOJC-SM-LC/PC-SC/PC</t>
        </is>
      </c>
      <c r="C1006" s="2" t="inlineStr">
        <is>
          <t>908040168, 8M, B3, 2.0mm</t>
        </is>
      </c>
      <c r="D1006" s="2" t="inlineStr">
        <is>
          <t>b3</t>
        </is>
      </c>
      <c r="E1006" s="2" t="inlineStr">
        <is>
          <t>2.0mm</t>
        </is>
      </c>
      <c r="F1006" s="2" t="n">
        <v>1</v>
      </c>
      <c r="G1006" s="2" t="n">
        <v>8</v>
      </c>
      <c r="H1006" s="2" t="inlineStr">
        <is>
          <t>LC/PC</t>
        </is>
      </c>
      <c r="I1006" s="2" t="inlineStr">
        <is>
          <t>SC/PC</t>
        </is>
      </c>
      <c r="J1006" s="2" t="n"/>
      <c r="K1006" s="2" t="n"/>
      <c r="L1006" s="2" t="n"/>
      <c r="M1006" s="2" t="n">
        <v>67</v>
      </c>
      <c r="N1006" s="2" t="n">
        <v>47</v>
      </c>
      <c r="O1006" s="2" t="n"/>
      <c r="P1006" s="2" t="n"/>
      <c r="Q1006" s="2" t="n"/>
      <c r="R1006" s="2" t="n"/>
      <c r="S1006" s="2" t="n"/>
      <c r="T1006" s="2" t="n">
        <v>25</v>
      </c>
      <c r="U1006" s="2" t="n"/>
      <c r="V1006" s="2">
        <f>SUM(J1006:U1006)</f>
        <v/>
      </c>
      <c r="W1006" s="2" t="n">
        <v>139</v>
      </c>
      <c r="X1006" s="2" t="n"/>
      <c r="Y1006" s="2" t="n"/>
      <c r="Z1006" s="2" t="n"/>
      <c r="AA1006" s="2" t="n">
        <v>139</v>
      </c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>
        <f>IF(F1006=1,V1006*2,IF(F1006=2,V1006*F1006*2,IF(F1006&gt;2,F1006*2*V1006)))</f>
        <v/>
      </c>
      <c r="AW1006" s="2">
        <f>SUM(W1006:AU1006)</f>
        <v/>
      </c>
    </row>
    <row r="1007">
      <c r="A1007" s="2" t="inlineStr">
        <is>
          <t>A14-SB-N153</t>
        </is>
      </c>
      <c r="B1007" s="3" t="inlineStr">
        <is>
          <t>SOJC-SM-LC/PC-SC/PC</t>
        </is>
      </c>
      <c r="C1007" s="2" t="inlineStr">
        <is>
          <t>908040169, 9M, B3, 2.0mm</t>
        </is>
      </c>
      <c r="D1007" s="2" t="inlineStr">
        <is>
          <t>b3</t>
        </is>
      </c>
      <c r="E1007" s="2" t="inlineStr">
        <is>
          <t>2.0mm</t>
        </is>
      </c>
      <c r="F1007" s="2" t="n">
        <v>1</v>
      </c>
      <c r="G1007" s="2" t="n">
        <v>9</v>
      </c>
      <c r="H1007" s="2" t="inlineStr">
        <is>
          <t>LC/PC</t>
        </is>
      </c>
      <c r="I1007" s="2" t="inlineStr">
        <is>
          <t>SC/PC</t>
        </is>
      </c>
      <c r="J1007" s="2" t="n"/>
      <c r="K1007" s="2" t="n"/>
      <c r="L1007" s="2" t="n"/>
      <c r="M1007" s="2" t="n"/>
      <c r="N1007" s="2" t="n"/>
      <c r="O1007" s="2" t="n">
        <v>10</v>
      </c>
      <c r="P1007" s="2" t="n"/>
      <c r="Q1007" s="2" t="n"/>
      <c r="R1007" s="2" t="n"/>
      <c r="S1007" s="2" t="n"/>
      <c r="T1007" s="2" t="n"/>
      <c r="U1007" s="2" t="n"/>
      <c r="V1007" s="2">
        <f>SUM(J1007:U1007)</f>
        <v/>
      </c>
      <c r="W1007" s="2" t="n">
        <v>10</v>
      </c>
      <c r="X1007" s="2" t="n"/>
      <c r="Y1007" s="2" t="n"/>
      <c r="Z1007" s="2" t="n"/>
      <c r="AA1007" s="2" t="n">
        <v>10</v>
      </c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>
        <f>IF(F1007=1,V1007*2,IF(F1007=2,V1007*F1007*2,IF(F1007&gt;2,F1007*2*V1007)))</f>
        <v/>
      </c>
      <c r="AW1007" s="2">
        <f>SUM(W1007:AU1007)</f>
        <v/>
      </c>
    </row>
    <row r="1008">
      <c r="A1008" s="2" t="inlineStr">
        <is>
          <t>A14-SB-N177</t>
        </is>
      </c>
      <c r="B1008" s="3" t="inlineStr">
        <is>
          <t>SOJC-SM-SC/APC-SC/APC</t>
        </is>
      </c>
      <c r="C1008" s="2" t="inlineStr">
        <is>
          <t>12M, B3, 2.0mm</t>
        </is>
      </c>
      <c r="D1008" s="2" t="inlineStr">
        <is>
          <t>b3</t>
        </is>
      </c>
      <c r="E1008" s="2" t="inlineStr">
        <is>
          <t>2.0mm</t>
        </is>
      </c>
      <c r="F1008" s="2" t="n">
        <v>1</v>
      </c>
      <c r="G1008" s="2" t="n">
        <v>12</v>
      </c>
      <c r="H1008" s="2" t="inlineStr">
        <is>
          <t>SC/APC</t>
        </is>
      </c>
      <c r="I1008" s="2" t="inlineStr">
        <is>
          <t>SC/APC</t>
        </is>
      </c>
      <c r="J1008" s="2" t="n"/>
      <c r="K1008" s="2" t="n"/>
      <c r="L1008" s="2" t="n">
        <v>7</v>
      </c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>
        <f>SUM(J1008:U1008)</f>
        <v/>
      </c>
      <c r="W1008" s="2" t="n"/>
      <c r="X1008" s="2" t="n"/>
      <c r="Y1008" s="2" t="n"/>
      <c r="Z1008" s="2" t="n"/>
      <c r="AA1008" s="2" t="n"/>
      <c r="AB1008" s="2" t="n"/>
      <c r="AC1008" s="2" t="n">
        <v>14</v>
      </c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>
        <f>IF(F1008=1,V1008*2,IF(F1008=2,V1008*F1008*2,IF(F1008&gt;2,F1008*2*V1008)))</f>
        <v/>
      </c>
      <c r="AW1008" s="2">
        <f>SUM(W1008:AU1008)</f>
        <v/>
      </c>
    </row>
    <row r="1009">
      <c r="A1009" s="2" t="inlineStr">
        <is>
          <t>A14-SB-N179</t>
        </is>
      </c>
      <c r="B1009" s="3" t="inlineStr">
        <is>
          <t>SOJC-SM-SC/APC-SC/APC</t>
        </is>
      </c>
      <c r="C1009" s="2" t="inlineStr">
        <is>
          <t>908041464, 15M, B3, 2.0mm</t>
        </is>
      </c>
      <c r="D1009" s="2" t="inlineStr">
        <is>
          <t>b3</t>
        </is>
      </c>
      <c r="E1009" s="2" t="inlineStr">
        <is>
          <t>2.0mm</t>
        </is>
      </c>
      <c r="F1009" s="2" t="n">
        <v>1</v>
      </c>
      <c r="G1009" s="2" t="n">
        <v>15</v>
      </c>
      <c r="H1009" s="2" t="inlineStr">
        <is>
          <t>SC/APC</t>
        </is>
      </c>
      <c r="I1009" s="2" t="inlineStr">
        <is>
          <t>SC/APC</t>
        </is>
      </c>
      <c r="J1009" s="2" t="n"/>
      <c r="K1009" s="2" t="n"/>
      <c r="L1009" s="2" t="n"/>
      <c r="M1009" s="2" t="n">
        <v>20</v>
      </c>
      <c r="N1009" s="2" t="n">
        <v>5</v>
      </c>
      <c r="O1009" s="2" t="n"/>
      <c r="P1009" s="2" t="n">
        <v>30</v>
      </c>
      <c r="Q1009" s="2" t="n"/>
      <c r="R1009" s="2" t="n"/>
      <c r="S1009" s="2" t="n"/>
      <c r="T1009" s="2" t="n"/>
      <c r="U1009" s="2" t="n"/>
      <c r="V1009" s="2">
        <f>SUM(J1009:U1009)</f>
        <v/>
      </c>
      <c r="W1009" s="2" t="n"/>
      <c r="X1009" s="2" t="n"/>
      <c r="Y1009" s="2" t="n"/>
      <c r="Z1009" s="2" t="n"/>
      <c r="AA1009" s="2" t="n"/>
      <c r="AB1009" s="2" t="n"/>
      <c r="AC1009" s="2" t="n">
        <v>110</v>
      </c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>
        <f>IF(F1009=1,V1009*2,IF(F1009=2,V1009*F1009*2,IF(F1009&gt;2,F1009*2*V1009)))</f>
        <v/>
      </c>
      <c r="AW1009" s="2">
        <f>SUM(W1009:AU1009)</f>
        <v/>
      </c>
    </row>
    <row r="1010">
      <c r="A1010" s="2" t="inlineStr">
        <is>
          <t>A14-SB-N181</t>
        </is>
      </c>
      <c r="B1010" s="3" t="inlineStr">
        <is>
          <t>SOJC-SM-SC/APC-SC/APC</t>
        </is>
      </c>
      <c r="C1010" s="2" t="inlineStr">
        <is>
          <t>908041469, 20M, B3, 2.0mm</t>
        </is>
      </c>
      <c r="D1010" s="2" t="inlineStr">
        <is>
          <t>b3</t>
        </is>
      </c>
      <c r="E1010" s="2" t="inlineStr">
        <is>
          <t>2.0mm</t>
        </is>
      </c>
      <c r="F1010" s="2" t="n">
        <v>1</v>
      </c>
      <c r="G1010" s="2" t="n">
        <v>20</v>
      </c>
      <c r="H1010" s="2" t="inlineStr">
        <is>
          <t>SC/APC</t>
        </is>
      </c>
      <c r="I1010" s="2" t="inlineStr">
        <is>
          <t>SC/APC</t>
        </is>
      </c>
      <c r="J1010" s="2" t="n"/>
      <c r="K1010" s="2" t="n"/>
      <c r="L1010" s="2" t="n"/>
      <c r="M1010" s="2" t="n">
        <v>20</v>
      </c>
      <c r="N1010" s="2" t="n">
        <v>20</v>
      </c>
      <c r="O1010" s="2" t="n"/>
      <c r="P1010" s="2" t="n"/>
      <c r="Q1010" s="2" t="n"/>
      <c r="R1010" s="2" t="n"/>
      <c r="S1010" s="2" t="n"/>
      <c r="T1010" s="2" t="n"/>
      <c r="U1010" s="2" t="n"/>
      <c r="V1010" s="2">
        <f>SUM(J1010:U1010)</f>
        <v/>
      </c>
      <c r="W1010" s="2" t="n"/>
      <c r="X1010" s="2" t="n"/>
      <c r="Y1010" s="2" t="n"/>
      <c r="Z1010" s="2" t="n"/>
      <c r="AA1010" s="2" t="n"/>
      <c r="AB1010" s="2" t="n"/>
      <c r="AC1010" s="2" t="n">
        <v>80</v>
      </c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>
        <f>IF(F1010=1,V1010*2,IF(F1010=2,V1010*F1010*2,IF(F1010&gt;2,F1010*2*V1010)))</f>
        <v/>
      </c>
      <c r="AW1010" s="2">
        <f>SUM(W1010:AU1010)</f>
        <v/>
      </c>
    </row>
    <row r="1011">
      <c r="A1011" s="2" t="inlineStr">
        <is>
          <t>A14-SB-N183</t>
        </is>
      </c>
      <c r="B1011" s="3" t="inlineStr">
        <is>
          <t>SOJC-SM-SC/APC-SC/APC</t>
        </is>
      </c>
      <c r="C1011" s="2" t="inlineStr">
        <is>
          <t>908041452, 2M, B3, 3.0mm</t>
        </is>
      </c>
      <c r="D1011" s="2" t="inlineStr">
        <is>
          <t>b3</t>
        </is>
      </c>
      <c r="E1011" s="2" t="inlineStr">
        <is>
          <t>3.0mm</t>
        </is>
      </c>
      <c r="F1011" s="2" t="n">
        <v>1</v>
      </c>
      <c r="G1011" s="2" t="n">
        <v>2</v>
      </c>
      <c r="H1011" s="2" t="inlineStr">
        <is>
          <t>SC/APC</t>
        </is>
      </c>
      <c r="I1011" s="2" t="inlineStr">
        <is>
          <t>SC/APC</t>
        </is>
      </c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>
        <v>38</v>
      </c>
      <c r="V1011" s="2">
        <f>SUM(J1011:U1011)</f>
        <v/>
      </c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>
        <v>76</v>
      </c>
      <c r="AQ1011" s="2" t="n"/>
      <c r="AR1011" s="2" t="n"/>
      <c r="AS1011" s="2" t="n"/>
      <c r="AT1011" s="2" t="n"/>
      <c r="AU1011" s="2" t="n"/>
      <c r="AV1011" s="2">
        <f>IF(F1011=1,V1011*2,IF(F1011=2,V1011*F1011*2,IF(F1011&gt;2,F1011*2*V1011)))</f>
        <v/>
      </c>
      <c r="AW1011" s="2">
        <f>SUM(W1011:AU1011)</f>
        <v/>
      </c>
    </row>
    <row r="1012">
      <c r="A1012" s="2" t="inlineStr">
        <is>
          <t>A14-SB-N193</t>
        </is>
      </c>
      <c r="B1012" s="3" t="inlineStr">
        <is>
          <t>SOJC-SM-SC/PC-FC/APC</t>
        </is>
      </c>
      <c r="C1012" s="2" t="inlineStr">
        <is>
          <t>908040319, 10M, B3, 2.0mm</t>
        </is>
      </c>
      <c r="D1012" s="2" t="inlineStr">
        <is>
          <t>b3</t>
        </is>
      </c>
      <c r="E1012" s="2" t="inlineStr">
        <is>
          <t>2.0mm</t>
        </is>
      </c>
      <c r="F1012" s="2" t="n">
        <v>1</v>
      </c>
      <c r="G1012" s="2" t="n">
        <v>10</v>
      </c>
      <c r="H1012" s="2" t="inlineStr">
        <is>
          <t>SC/PC</t>
        </is>
      </c>
      <c r="I1012" s="2" t="inlineStr">
        <is>
          <t>FC/APC</t>
        </is>
      </c>
      <c r="J1012" s="2" t="n">
        <v>25</v>
      </c>
      <c r="K1012" s="2" t="n"/>
      <c r="L1012" s="2" t="n"/>
      <c r="M1012" s="2" t="n"/>
      <c r="N1012" s="2" t="n"/>
      <c r="O1012" s="2" t="n">
        <v>40</v>
      </c>
      <c r="P1012" s="2" t="n"/>
      <c r="Q1012" s="2" t="n"/>
      <c r="R1012" s="2" t="n">
        <v>15</v>
      </c>
      <c r="S1012" s="2" t="n">
        <v>50</v>
      </c>
      <c r="T1012" s="2" t="n"/>
      <c r="U1012" s="2" t="n">
        <v>20</v>
      </c>
      <c r="V1012" s="2">
        <f>SUM(J1012:U1012)</f>
        <v/>
      </c>
      <c r="W1012" s="2" t="n"/>
      <c r="X1012" s="2" t="n"/>
      <c r="Y1012" s="2" t="n"/>
      <c r="Z1012" s="2" t="n"/>
      <c r="AA1012" s="2" t="n">
        <v>150</v>
      </c>
      <c r="AB1012" s="2" t="n"/>
      <c r="AC1012" s="2" t="n"/>
      <c r="AD1012" s="2" t="n"/>
      <c r="AE1012" s="2" t="n"/>
      <c r="AF1012" s="2" t="n"/>
      <c r="AG1012" s="2" t="n">
        <v>150</v>
      </c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>
        <f>IF(F1012=1,V1012*2,IF(F1012=2,V1012*F1012*2,IF(F1012&gt;2,F1012*2*V1012)))</f>
        <v/>
      </c>
      <c r="AW1012" s="2">
        <f>SUM(W1012:AU1012)</f>
        <v/>
      </c>
    </row>
    <row r="1013">
      <c r="A1013" s="2" t="inlineStr">
        <is>
          <t>A14-SB-N198</t>
        </is>
      </c>
      <c r="B1013" s="3" t="inlineStr">
        <is>
          <t>SOJC-SM-SC/PC-FC/APC</t>
        </is>
      </c>
      <c r="C1013" s="2" t="inlineStr">
        <is>
          <t>908040324, 15M, B3, 2.0mm</t>
        </is>
      </c>
      <c r="D1013" s="2" t="inlineStr">
        <is>
          <t>b3</t>
        </is>
      </c>
      <c r="E1013" s="2" t="inlineStr">
        <is>
          <t>2.0mm</t>
        </is>
      </c>
      <c r="F1013" s="2" t="n">
        <v>1</v>
      </c>
      <c r="G1013" s="2" t="n">
        <v>15</v>
      </c>
      <c r="H1013" s="2" t="inlineStr">
        <is>
          <t>SC/PC</t>
        </is>
      </c>
      <c r="I1013" s="2" t="inlineStr">
        <is>
          <t>FC/APC</t>
        </is>
      </c>
      <c r="J1013" s="2" t="n"/>
      <c r="K1013" s="2" t="n">
        <v>40</v>
      </c>
      <c r="L1013" s="2" t="n"/>
      <c r="M1013" s="2" t="n"/>
      <c r="N1013" s="2" t="n"/>
      <c r="O1013" s="2" t="n"/>
      <c r="P1013" s="2" t="n"/>
      <c r="Q1013" s="2" t="n"/>
      <c r="R1013" s="2" t="n">
        <v>20</v>
      </c>
      <c r="S1013" s="2" t="n"/>
      <c r="T1013" s="2" t="n"/>
      <c r="U1013" s="2" t="n"/>
      <c r="V1013" s="2">
        <f>SUM(J1013:U1013)</f>
        <v/>
      </c>
      <c r="W1013" s="2" t="n"/>
      <c r="X1013" s="2" t="n"/>
      <c r="Y1013" s="2" t="n"/>
      <c r="Z1013" s="2" t="n"/>
      <c r="AA1013" s="2" t="n">
        <v>60</v>
      </c>
      <c r="AB1013" s="2" t="n"/>
      <c r="AC1013" s="2" t="n"/>
      <c r="AD1013" s="2" t="n"/>
      <c r="AE1013" s="2" t="n"/>
      <c r="AF1013" s="2" t="n"/>
      <c r="AG1013" s="2" t="n">
        <v>60</v>
      </c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>
        <f>IF(F1013=1,V1013*2,IF(F1013=2,V1013*F1013*2,IF(F1013&gt;2,F1013*2*V1013)))</f>
        <v/>
      </c>
      <c r="AW1013" s="2">
        <f>SUM(W1013:AU1013)</f>
        <v/>
      </c>
    </row>
    <row r="1014">
      <c r="A1014" s="2" t="inlineStr">
        <is>
          <t>A14-SB-N200</t>
        </is>
      </c>
      <c r="B1014" s="3" t="inlineStr">
        <is>
          <t>SOJC-SM-SC/PC-FC/APC</t>
        </is>
      </c>
      <c r="C1014" s="2" t="inlineStr">
        <is>
          <t>908040329, 20M, B3, 2.0mm</t>
        </is>
      </c>
      <c r="D1014" s="2" t="inlineStr">
        <is>
          <t>b3</t>
        </is>
      </c>
      <c r="E1014" s="2" t="inlineStr">
        <is>
          <t>2.0mm</t>
        </is>
      </c>
      <c r="F1014" s="2" t="n">
        <v>1</v>
      </c>
      <c r="G1014" s="2" t="n">
        <v>20</v>
      </c>
      <c r="H1014" s="2" t="inlineStr">
        <is>
          <t>SC/PC</t>
        </is>
      </c>
      <c r="I1014" s="2" t="inlineStr">
        <is>
          <t>FC/APC</t>
        </is>
      </c>
      <c r="J1014" s="2" t="n"/>
      <c r="K1014" s="2" t="n"/>
      <c r="L1014" s="2" t="n"/>
      <c r="M1014" s="2" t="n"/>
      <c r="N1014" s="2" t="n">
        <v>20</v>
      </c>
      <c r="O1014" s="2" t="n">
        <v>7</v>
      </c>
      <c r="P1014" s="2" t="n"/>
      <c r="Q1014" s="2" t="n"/>
      <c r="R1014" s="2" t="n">
        <v>20</v>
      </c>
      <c r="S1014" s="2" t="n">
        <v>65</v>
      </c>
      <c r="T1014" s="2" t="n">
        <v>5</v>
      </c>
      <c r="U1014" s="2" t="n">
        <v>5</v>
      </c>
      <c r="V1014" s="2">
        <f>SUM(J1014:U1014)</f>
        <v/>
      </c>
      <c r="W1014" s="2" t="n"/>
      <c r="X1014" s="2" t="n"/>
      <c r="Y1014" s="2" t="n"/>
      <c r="Z1014" s="2" t="n"/>
      <c r="AA1014" s="2" t="n">
        <v>122</v>
      </c>
      <c r="AB1014" s="2" t="n"/>
      <c r="AC1014" s="2" t="n"/>
      <c r="AD1014" s="2" t="n"/>
      <c r="AE1014" s="2" t="n"/>
      <c r="AF1014" s="2" t="n"/>
      <c r="AG1014" s="2" t="n">
        <v>122</v>
      </c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>
        <f>IF(F1014=1,V1014*2,IF(F1014=2,V1014*F1014*2,IF(F1014&gt;2,F1014*2*V1014)))</f>
        <v/>
      </c>
      <c r="AW1014" s="2">
        <f>SUM(W1014:AU1014)</f>
        <v/>
      </c>
    </row>
    <row r="1015">
      <c r="A1015" s="2" t="inlineStr">
        <is>
          <t>A14-SB-N203</t>
        </is>
      </c>
      <c r="B1015" s="3" t="inlineStr">
        <is>
          <t>SOJC-SM-SC/PC-FC/APC</t>
        </is>
      </c>
      <c r="C1015" s="2" t="inlineStr">
        <is>
          <t>908040334, 25M, B3, 2.0mm</t>
        </is>
      </c>
      <c r="D1015" s="2" t="inlineStr">
        <is>
          <t>b3</t>
        </is>
      </c>
      <c r="E1015" s="2" t="inlineStr">
        <is>
          <t>2.0mm</t>
        </is>
      </c>
      <c r="F1015" s="2" t="n">
        <v>1</v>
      </c>
      <c r="G1015" s="2" t="n">
        <v>25</v>
      </c>
      <c r="H1015" s="2" t="inlineStr">
        <is>
          <t>SC/PC</t>
        </is>
      </c>
      <c r="I1015" s="2" t="inlineStr">
        <is>
          <t>FC/APC</t>
        </is>
      </c>
      <c r="J1015" s="2" t="n"/>
      <c r="K1015" s="2" t="n"/>
      <c r="L1015" s="2" t="n"/>
      <c r="M1015" s="2" t="n">
        <v>10</v>
      </c>
      <c r="N1015" s="2" t="n"/>
      <c r="O1015" s="2" t="n">
        <v>13</v>
      </c>
      <c r="P1015" s="2" t="n"/>
      <c r="Q1015" s="2" t="n"/>
      <c r="R1015" s="2" t="n">
        <v>15</v>
      </c>
      <c r="S1015" s="2" t="n"/>
      <c r="T1015" s="2" t="n"/>
      <c r="U1015" s="2" t="n"/>
      <c r="V1015" s="2">
        <f>SUM(J1015:U1015)</f>
        <v/>
      </c>
      <c r="W1015" s="2" t="n"/>
      <c r="X1015" s="2" t="n"/>
      <c r="Y1015" s="2" t="n"/>
      <c r="Z1015" s="2" t="n"/>
      <c r="AA1015" s="2" t="n">
        <v>38</v>
      </c>
      <c r="AB1015" s="2" t="n"/>
      <c r="AC1015" s="2" t="n"/>
      <c r="AD1015" s="2" t="n"/>
      <c r="AE1015" s="2" t="n"/>
      <c r="AF1015" s="2" t="n"/>
      <c r="AG1015" s="2" t="n">
        <v>38</v>
      </c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>
        <f>IF(F1015=1,V1015*2,IF(F1015=2,V1015*F1015*2,IF(F1015&gt;2,F1015*2*V1015)))</f>
        <v/>
      </c>
      <c r="AW1015" s="2">
        <f>SUM(W1015:AU1015)</f>
        <v/>
      </c>
    </row>
    <row r="1016">
      <c r="A1016" s="2" t="inlineStr">
        <is>
          <t>A14-SB-N210</t>
        </is>
      </c>
      <c r="B1016" s="3" t="inlineStr">
        <is>
          <t>SOJC-SM-SC/PC-FC/APC</t>
        </is>
      </c>
      <c r="C1016" s="2" t="inlineStr">
        <is>
          <t>908040314, 5M, B3, 3.0mm</t>
        </is>
      </c>
      <c r="D1016" s="2" t="inlineStr">
        <is>
          <t>b3</t>
        </is>
      </c>
      <c r="E1016" s="2" t="inlineStr">
        <is>
          <t>3.0mm</t>
        </is>
      </c>
      <c r="F1016" s="2" t="n">
        <v>1</v>
      </c>
      <c r="G1016" s="2" t="n">
        <v>5</v>
      </c>
      <c r="H1016" s="2" t="inlineStr">
        <is>
          <t>SC/PC</t>
        </is>
      </c>
      <c r="I1016" s="2" t="inlineStr">
        <is>
          <t>FC/APC</t>
        </is>
      </c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>
        <v>20</v>
      </c>
      <c r="S1016" s="2" t="n"/>
      <c r="T1016" s="2" t="n"/>
      <c r="U1016" s="2" t="n">
        <v>10</v>
      </c>
      <c r="V1016" s="2">
        <f>SUM(J1016:U1016)</f>
        <v/>
      </c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>
        <v>30</v>
      </c>
      <c r="AO1016" s="2" t="n"/>
      <c r="AP1016" s="2" t="n"/>
      <c r="AQ1016" s="2" t="n"/>
      <c r="AR1016" s="2" t="n"/>
      <c r="AS1016" s="2" t="n"/>
      <c r="AT1016" s="2" t="n">
        <v>30</v>
      </c>
      <c r="AU1016" s="2" t="n"/>
      <c r="AV1016" s="2">
        <f>IF(F1016=1,V1016*2,IF(F1016=2,V1016*F1016*2,IF(F1016&gt;2,F1016*2*V1016)))</f>
        <v/>
      </c>
      <c r="AW1016" s="2">
        <f>SUM(W1016:AU1016)</f>
        <v/>
      </c>
    </row>
    <row r="1017">
      <c r="A1017" s="2" t="inlineStr">
        <is>
          <t>A14-SB-N213</t>
        </is>
      </c>
      <c r="B1017" s="3" t="inlineStr">
        <is>
          <t>SOJC-SM-SC/PC-FC/APC</t>
        </is>
      </c>
      <c r="C1017" s="2" t="inlineStr">
        <is>
          <t>908040316, 7M, B3, 2.0mm</t>
        </is>
      </c>
      <c r="D1017" s="2" t="inlineStr">
        <is>
          <t>b3</t>
        </is>
      </c>
      <c r="E1017" s="2" t="inlineStr">
        <is>
          <t>2.0mm</t>
        </is>
      </c>
      <c r="F1017" s="2" t="n">
        <v>1</v>
      </c>
      <c r="G1017" s="2" t="n">
        <v>7</v>
      </c>
      <c r="H1017" s="2" t="inlineStr">
        <is>
          <t>SC/PC</t>
        </is>
      </c>
      <c r="I1017" s="2" t="inlineStr">
        <is>
          <t>FC/APC</t>
        </is>
      </c>
      <c r="J1017" s="2" t="n"/>
      <c r="K1017" s="2" t="n"/>
      <c r="L1017" s="2" t="n"/>
      <c r="M1017" s="2" t="n">
        <v>5</v>
      </c>
      <c r="N1017" s="2" t="n">
        <v>20</v>
      </c>
      <c r="O1017" s="2" t="n"/>
      <c r="P1017" s="2" t="n"/>
      <c r="Q1017" s="2" t="n"/>
      <c r="R1017" s="2" t="n"/>
      <c r="S1017" s="2" t="n"/>
      <c r="T1017" s="2" t="n"/>
      <c r="U1017" s="2" t="n"/>
      <c r="V1017" s="2">
        <f>SUM(J1017:U1017)</f>
        <v/>
      </c>
      <c r="W1017" s="2" t="n"/>
      <c r="X1017" s="2" t="n"/>
      <c r="Y1017" s="2" t="n"/>
      <c r="Z1017" s="2" t="n"/>
      <c r="AA1017" s="2" t="n">
        <v>25</v>
      </c>
      <c r="AB1017" s="2" t="n"/>
      <c r="AC1017" s="2" t="n"/>
      <c r="AD1017" s="2" t="n"/>
      <c r="AE1017" s="2" t="n"/>
      <c r="AF1017" s="2" t="n"/>
      <c r="AG1017" s="2" t="n">
        <v>25</v>
      </c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>
        <f>IF(F1017=1,V1017*2,IF(F1017=2,V1017*F1017*2,IF(F1017&gt;2,F1017*2*V1017)))</f>
        <v/>
      </c>
      <c r="AW1017" s="2">
        <f>SUM(W1017:AU1017)</f>
        <v/>
      </c>
    </row>
    <row r="1018">
      <c r="A1018" s="2" t="inlineStr">
        <is>
          <t>A14-SB-N215</t>
        </is>
      </c>
      <c r="B1018" s="3" t="inlineStr">
        <is>
          <t>SOJC-SM-SC/PC-FC/PC</t>
        </is>
      </c>
      <c r="C1018" s="2" t="inlineStr">
        <is>
          <t>908041380, 10M, B3, 2.0mm</t>
        </is>
      </c>
      <c r="D1018" s="2" t="inlineStr">
        <is>
          <t>b3</t>
        </is>
      </c>
      <c r="E1018" s="2" t="inlineStr">
        <is>
          <t>2.0mm</t>
        </is>
      </c>
      <c r="F1018" s="2" t="n">
        <v>1</v>
      </c>
      <c r="G1018" s="2" t="n">
        <v>10</v>
      </c>
      <c r="H1018" s="2" t="inlineStr">
        <is>
          <t>SC/PC</t>
        </is>
      </c>
      <c r="I1018" s="2" t="inlineStr">
        <is>
          <t>FC/PC</t>
        </is>
      </c>
      <c r="J1018" s="2" t="n"/>
      <c r="K1018" s="2" t="n"/>
      <c r="L1018" s="2" t="n"/>
      <c r="M1018" s="2" t="n"/>
      <c r="N1018" s="2" t="n">
        <v>20</v>
      </c>
      <c r="O1018" s="2" t="n"/>
      <c r="P1018" s="2" t="n"/>
      <c r="Q1018" s="2" t="n">
        <v>10</v>
      </c>
      <c r="R1018" s="2" t="n"/>
      <c r="S1018" s="2" t="n">
        <v>20</v>
      </c>
      <c r="T1018" s="2" t="n"/>
      <c r="U1018" s="2" t="n">
        <v>15</v>
      </c>
      <c r="V1018" s="2">
        <f>SUM(J1018:U1018)</f>
        <v/>
      </c>
      <c r="W1018" s="2" t="n"/>
      <c r="X1018" s="2" t="n"/>
      <c r="Y1018" s="2" t="n"/>
      <c r="Z1018" s="2" t="n"/>
      <c r="AA1018" s="2" t="n">
        <v>65</v>
      </c>
      <c r="AB1018" s="2" t="n"/>
      <c r="AC1018" s="2" t="n"/>
      <c r="AD1018" s="2" t="n"/>
      <c r="AE1018" s="2" t="n">
        <v>65</v>
      </c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>
        <f>IF(F1018=1,V1018*2,IF(F1018=2,V1018*F1018*2,IF(F1018&gt;2,F1018*2*V1018)))</f>
        <v/>
      </c>
      <c r="AW1018" s="2">
        <f>SUM(W1018:AU1018)</f>
        <v/>
      </c>
    </row>
    <row r="1019">
      <c r="A1019" s="2" t="inlineStr">
        <is>
          <t>A14-SB-N217</t>
        </is>
      </c>
      <c r="B1019" s="3" t="inlineStr">
        <is>
          <t>SOJC-SM-SC/PC-FC/PC</t>
        </is>
      </c>
      <c r="C1019" s="2" t="inlineStr">
        <is>
          <t>13M, B3, 2.0mm</t>
        </is>
      </c>
      <c r="D1019" s="2" t="inlineStr">
        <is>
          <t>b3</t>
        </is>
      </c>
      <c r="E1019" s="2" t="inlineStr">
        <is>
          <t>2.0mm</t>
        </is>
      </c>
      <c r="F1019" s="2" t="n">
        <v>1</v>
      </c>
      <c r="G1019" s="2" t="n">
        <v>13</v>
      </c>
      <c r="H1019" s="2" t="inlineStr">
        <is>
          <t>SC/PC</t>
        </is>
      </c>
      <c r="I1019" s="2" t="inlineStr">
        <is>
          <t>FC/PC</t>
        </is>
      </c>
      <c r="J1019" s="2" t="n"/>
      <c r="K1019" s="2" t="n"/>
      <c r="L1019" s="2" t="n"/>
      <c r="M1019" s="2" t="n"/>
      <c r="N1019" s="2" t="n"/>
      <c r="O1019" s="2" t="n"/>
      <c r="P1019" s="2" t="n"/>
      <c r="Q1019" s="2" t="n">
        <v>20</v>
      </c>
      <c r="R1019" s="2" t="n"/>
      <c r="S1019" s="2" t="n"/>
      <c r="T1019" s="2" t="n"/>
      <c r="U1019" s="2" t="n"/>
      <c r="V1019" s="2">
        <f>SUM(J1019:U1019)</f>
        <v/>
      </c>
      <c r="W1019" s="2" t="n"/>
      <c r="X1019" s="2" t="n"/>
      <c r="Y1019" s="2" t="n"/>
      <c r="Z1019" s="2" t="n"/>
      <c r="AA1019" s="2" t="n">
        <v>20</v>
      </c>
      <c r="AB1019" s="2" t="n"/>
      <c r="AC1019" s="2" t="n"/>
      <c r="AD1019" s="2" t="n"/>
      <c r="AE1019" s="2" t="n">
        <v>20</v>
      </c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>
        <f>IF(F1019=1,V1019*2,IF(F1019=2,V1019*F1019*2,IF(F1019&gt;2,F1019*2*V1019)))</f>
        <v/>
      </c>
      <c r="AW1019" s="2">
        <f>SUM(W1019:AU1019)</f>
        <v/>
      </c>
    </row>
    <row r="1020">
      <c r="A1020" s="2" t="inlineStr">
        <is>
          <t>A14-SB-N218</t>
        </is>
      </c>
      <c r="B1020" s="3" t="inlineStr">
        <is>
          <t>SOJC-SM-SC/PC-FC/PC</t>
        </is>
      </c>
      <c r="C1020" s="2" t="inlineStr">
        <is>
          <t>908041385, 15M, B3, 2.0mm</t>
        </is>
      </c>
      <c r="D1020" s="2" t="inlineStr">
        <is>
          <t>b3</t>
        </is>
      </c>
      <c r="E1020" s="2" t="inlineStr">
        <is>
          <t>2.0mm</t>
        </is>
      </c>
      <c r="F1020" s="2" t="n">
        <v>1</v>
      </c>
      <c r="G1020" s="2" t="n">
        <v>15</v>
      </c>
      <c r="H1020" s="2" t="inlineStr">
        <is>
          <t>SC/PC</t>
        </is>
      </c>
      <c r="I1020" s="2" t="inlineStr">
        <is>
          <t>FC/PC</t>
        </is>
      </c>
      <c r="J1020" s="2" t="n"/>
      <c r="K1020" s="2" t="n"/>
      <c r="L1020" s="2" t="n"/>
      <c r="M1020" s="2" t="n"/>
      <c r="N1020" s="2" t="n"/>
      <c r="O1020" s="2" t="n">
        <v>5</v>
      </c>
      <c r="P1020" s="2" t="n"/>
      <c r="Q1020" s="2" t="n">
        <v>30</v>
      </c>
      <c r="R1020" s="2" t="n">
        <v>5</v>
      </c>
      <c r="S1020" s="2" t="n"/>
      <c r="T1020" s="2" t="n">
        <v>6</v>
      </c>
      <c r="U1020" s="2" t="n">
        <v>45</v>
      </c>
      <c r="V1020" s="2">
        <f>SUM(J1020:U1020)</f>
        <v/>
      </c>
      <c r="W1020" s="2" t="n"/>
      <c r="X1020" s="2" t="n"/>
      <c r="Y1020" s="2" t="n"/>
      <c r="Z1020" s="2" t="n"/>
      <c r="AA1020" s="2" t="n">
        <v>91</v>
      </c>
      <c r="AB1020" s="2" t="n"/>
      <c r="AC1020" s="2" t="n"/>
      <c r="AD1020" s="2" t="n"/>
      <c r="AE1020" s="2" t="n">
        <v>91</v>
      </c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>
        <f>IF(F1020=1,V1020*2,IF(F1020=2,V1020*F1020*2,IF(F1020&gt;2,F1020*2*V1020)))</f>
        <v/>
      </c>
      <c r="AW1020" s="2">
        <f>SUM(W1020:AU1020)</f>
        <v/>
      </c>
    </row>
    <row r="1021">
      <c r="A1021" s="2" t="inlineStr">
        <is>
          <t>A14-SB-N220</t>
        </is>
      </c>
      <c r="B1021" s="3" t="inlineStr">
        <is>
          <t>SOJC-SM-SC/PC-FC/PC</t>
        </is>
      </c>
      <c r="C1021" s="2" t="inlineStr">
        <is>
          <t>908040299, 20M, B3, 2.0mm</t>
        </is>
      </c>
      <c r="D1021" s="2" t="inlineStr">
        <is>
          <t>b3</t>
        </is>
      </c>
      <c r="E1021" s="2" t="inlineStr">
        <is>
          <t>2.0mm</t>
        </is>
      </c>
      <c r="F1021" s="2" t="n">
        <v>1</v>
      </c>
      <c r="G1021" s="2" t="n">
        <v>20</v>
      </c>
      <c r="H1021" s="2" t="inlineStr">
        <is>
          <t>SC/PC</t>
        </is>
      </c>
      <c r="I1021" s="2" t="inlineStr">
        <is>
          <t>FC/PC</t>
        </is>
      </c>
      <c r="J1021" s="2" t="n"/>
      <c r="K1021" s="2" t="n"/>
      <c r="L1021" s="2" t="n">
        <v>10</v>
      </c>
      <c r="M1021" s="2" t="n"/>
      <c r="N1021" s="2" t="n">
        <v>40</v>
      </c>
      <c r="O1021" s="2" t="n">
        <v>20</v>
      </c>
      <c r="P1021" s="2" t="n"/>
      <c r="Q1021" s="2" t="n">
        <v>10</v>
      </c>
      <c r="R1021" s="2" t="n"/>
      <c r="S1021" s="2" t="n"/>
      <c r="T1021" s="2" t="n">
        <v>5</v>
      </c>
      <c r="U1021" s="2" t="n">
        <v>20</v>
      </c>
      <c r="V1021" s="2">
        <f>SUM(J1021:U1021)</f>
        <v/>
      </c>
      <c r="W1021" s="2" t="n"/>
      <c r="X1021" s="2" t="n"/>
      <c r="Y1021" s="2" t="n"/>
      <c r="Z1021" s="2" t="n"/>
      <c r="AA1021" s="2" t="n">
        <v>105</v>
      </c>
      <c r="AB1021" s="2" t="n"/>
      <c r="AC1021" s="2" t="n"/>
      <c r="AD1021" s="2" t="n"/>
      <c r="AE1021" s="2" t="n">
        <v>105</v>
      </c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>
        <f>IF(F1021=1,V1021*2,IF(F1021=2,V1021*F1021*2,IF(F1021&gt;2,F1021*2*V1021)))</f>
        <v/>
      </c>
      <c r="AW1021" s="2">
        <f>SUM(W1021:AU1021)</f>
        <v/>
      </c>
    </row>
    <row r="1022">
      <c r="A1022" s="2" t="inlineStr">
        <is>
          <t>A14-SB-N221</t>
        </is>
      </c>
      <c r="B1022" s="3" t="inlineStr">
        <is>
          <t>SOJC-SM-SC/PC-FC/PC</t>
        </is>
      </c>
      <c r="C1022" s="2" t="inlineStr">
        <is>
          <t>908040304, 25M, B3, 2.0mm</t>
        </is>
      </c>
      <c r="D1022" s="2" t="inlineStr">
        <is>
          <t>b3</t>
        </is>
      </c>
      <c r="E1022" s="2" t="inlineStr">
        <is>
          <t>2.0mm</t>
        </is>
      </c>
      <c r="F1022" s="2" t="n">
        <v>1</v>
      </c>
      <c r="G1022" s="2" t="n">
        <v>25</v>
      </c>
      <c r="H1022" s="2" t="inlineStr">
        <is>
          <t>SC/PC</t>
        </is>
      </c>
      <c r="I1022" s="2" t="inlineStr">
        <is>
          <t>FC/PC</t>
        </is>
      </c>
      <c r="J1022" s="2" t="n"/>
      <c r="K1022" s="2" t="n"/>
      <c r="L1022" s="2" t="n"/>
      <c r="M1022" s="2" t="n"/>
      <c r="N1022" s="2" t="n">
        <v>40</v>
      </c>
      <c r="O1022" s="2" t="n">
        <v>30</v>
      </c>
      <c r="P1022" s="2" t="n"/>
      <c r="Q1022" s="2" t="n"/>
      <c r="R1022" s="2" t="n"/>
      <c r="S1022" s="2" t="n"/>
      <c r="T1022" s="2" t="n">
        <v>4</v>
      </c>
      <c r="U1022" s="2" t="n"/>
      <c r="V1022" s="2">
        <f>SUM(J1022:U1022)</f>
        <v/>
      </c>
      <c r="W1022" s="2" t="n"/>
      <c r="X1022" s="2" t="n"/>
      <c r="Y1022" s="2" t="n"/>
      <c r="Z1022" s="2" t="n"/>
      <c r="AA1022" s="2" t="n">
        <v>74</v>
      </c>
      <c r="AB1022" s="2" t="n"/>
      <c r="AC1022" s="2" t="n"/>
      <c r="AD1022" s="2" t="n"/>
      <c r="AE1022" s="2" t="n">
        <v>74</v>
      </c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>
        <f>IF(F1022=1,V1022*2,IF(F1022=2,V1022*F1022*2,IF(F1022&gt;2,F1022*2*V1022)))</f>
        <v/>
      </c>
      <c r="AW1022" s="2">
        <f>SUM(W1022:AU1022)</f>
        <v/>
      </c>
    </row>
    <row r="1023">
      <c r="A1023" s="2" t="inlineStr">
        <is>
          <t>A14-SB-N232</t>
        </is>
      </c>
      <c r="B1023" s="3" t="inlineStr">
        <is>
          <t>SOJC-SM-SC/PC-SC/APC</t>
        </is>
      </c>
      <c r="C1023" s="2" t="inlineStr">
        <is>
          <t>B3, 0.5M, 3.0mm</t>
        </is>
      </c>
      <c r="D1023" s="2" t="inlineStr">
        <is>
          <t>b3</t>
        </is>
      </c>
      <c r="E1023" s="2" t="inlineStr">
        <is>
          <t>3.0mm</t>
        </is>
      </c>
      <c r="F1023" s="2" t="n">
        <v>1</v>
      </c>
      <c r="G1023" s="2" t="n">
        <v>0.5</v>
      </c>
      <c r="H1023" s="2" t="inlineStr">
        <is>
          <t>SC/PC</t>
        </is>
      </c>
      <c r="I1023" s="2" t="inlineStr">
        <is>
          <t>SC/APC</t>
        </is>
      </c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>
        <v>225</v>
      </c>
      <c r="U1023" s="2" t="n">
        <v>1060</v>
      </c>
      <c r="V1023" s="2">
        <f>SUM(J1023:U1023)</f>
        <v/>
      </c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>
        <v>1285</v>
      </c>
      <c r="AO1023" s="2" t="n"/>
      <c r="AP1023" s="2" t="n">
        <v>1285</v>
      </c>
      <c r="AQ1023" s="2" t="n"/>
      <c r="AR1023" s="2" t="n"/>
      <c r="AS1023" s="2" t="n"/>
      <c r="AT1023" s="2" t="n"/>
      <c r="AU1023" s="2" t="n"/>
      <c r="AV1023" s="2">
        <f>IF(F1023=1,V1023*2,IF(F1023=2,V1023*F1023*2,IF(F1023&gt;2,F1023*2*V1023)))</f>
        <v/>
      </c>
      <c r="AW1023" s="2">
        <f>SUM(W1023:AU1023)</f>
        <v/>
      </c>
    </row>
    <row r="1024">
      <c r="A1024" s="2" t="inlineStr">
        <is>
          <t>A14-SB-N233</t>
        </is>
      </c>
      <c r="B1024" s="3" t="inlineStr">
        <is>
          <t>SOJC-SM-SC/PC-SC/APC</t>
        </is>
      </c>
      <c r="C1024" s="2" t="inlineStr">
        <is>
          <t>B3, 1.5M, 3.0mm</t>
        </is>
      </c>
      <c r="D1024" s="2" t="inlineStr">
        <is>
          <t>b3</t>
        </is>
      </c>
      <c r="E1024" s="2" t="inlineStr">
        <is>
          <t>3.0mm</t>
        </is>
      </c>
      <c r="F1024" s="2" t="n">
        <v>1</v>
      </c>
      <c r="G1024" s="2" t="n">
        <v>1.5</v>
      </c>
      <c r="H1024" s="2" t="inlineStr">
        <is>
          <t>SC/PC</t>
        </is>
      </c>
      <c r="I1024" s="2" t="inlineStr">
        <is>
          <t>SC/APC</t>
        </is>
      </c>
      <c r="J1024" s="2" t="n"/>
      <c r="K1024" s="2" t="n"/>
      <c r="L1024" s="2" t="n"/>
      <c r="M1024" s="2" t="n"/>
      <c r="N1024" s="2" t="n"/>
      <c r="O1024" s="2" t="n"/>
      <c r="P1024" s="2" t="n"/>
      <c r="Q1024" s="2" t="n">
        <v>100</v>
      </c>
      <c r="R1024" s="2" t="n"/>
      <c r="S1024" s="2" t="n"/>
      <c r="T1024" s="2" t="n"/>
      <c r="U1024" s="2" t="n"/>
      <c r="V1024" s="2">
        <f>SUM(J1024:U1024)</f>
        <v/>
      </c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>
        <v>100</v>
      </c>
      <c r="AO1024" s="2" t="n"/>
      <c r="AP1024" s="2" t="n">
        <v>100</v>
      </c>
      <c r="AQ1024" s="2" t="n"/>
      <c r="AR1024" s="2" t="n"/>
      <c r="AS1024" s="2" t="n"/>
      <c r="AT1024" s="2" t="n"/>
      <c r="AU1024" s="2" t="n"/>
      <c r="AV1024" s="2">
        <f>IF(F1024=1,V1024*2,IF(F1024=2,V1024*F1024*2,IF(F1024&gt;2,F1024*2*V1024)))</f>
        <v/>
      </c>
      <c r="AW1024" s="2">
        <f>SUM(W1024:AU1024)</f>
        <v/>
      </c>
    </row>
    <row r="1025">
      <c r="A1025" s="2" t="inlineStr">
        <is>
          <t>A14-SB-N234</t>
        </is>
      </c>
      <c r="B1025" s="3" t="inlineStr">
        <is>
          <t>SOJC-SM-SC/PC-SC/APC</t>
        </is>
      </c>
      <c r="C1025" s="2" t="inlineStr">
        <is>
          <t>908041429, 10M, B3, 2.0mm</t>
        </is>
      </c>
      <c r="D1025" s="2" t="inlineStr">
        <is>
          <t>b3</t>
        </is>
      </c>
      <c r="E1025" s="2" t="inlineStr">
        <is>
          <t>2.0mm</t>
        </is>
      </c>
      <c r="F1025" s="2" t="n">
        <v>1</v>
      </c>
      <c r="G1025" s="2" t="n">
        <v>10</v>
      </c>
      <c r="H1025" s="2" t="inlineStr">
        <is>
          <t>SC/PC</t>
        </is>
      </c>
      <c r="I1025" s="2" t="inlineStr">
        <is>
          <t>SC/APC</t>
        </is>
      </c>
      <c r="J1025" s="2" t="n">
        <v>20</v>
      </c>
      <c r="K1025" s="2" t="n">
        <v>160</v>
      </c>
      <c r="L1025" s="2" t="n"/>
      <c r="M1025" s="2" t="n"/>
      <c r="N1025" s="2" t="n"/>
      <c r="O1025" s="2" t="n"/>
      <c r="P1025" s="2" t="n">
        <v>139</v>
      </c>
      <c r="Q1025" s="2" t="n">
        <v>100</v>
      </c>
      <c r="R1025" s="2" t="n">
        <v>10</v>
      </c>
      <c r="S1025" s="2" t="n">
        <v>20</v>
      </c>
      <c r="T1025" s="2" t="n"/>
      <c r="U1025" s="2" t="n"/>
      <c r="V1025" s="2">
        <f>SUM(J1025:U1025)</f>
        <v/>
      </c>
      <c r="W1025" s="2" t="n"/>
      <c r="X1025" s="2" t="n"/>
      <c r="Y1025" s="2" t="n"/>
      <c r="Z1025" s="2" t="n"/>
      <c r="AA1025" s="2" t="n">
        <v>449</v>
      </c>
      <c r="AB1025" s="2" t="n"/>
      <c r="AC1025" s="2" t="n">
        <v>449</v>
      </c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>
        <f>IF(F1025=1,V1025*2,IF(F1025=2,V1025*F1025*2,IF(F1025&gt;2,F1025*2*V1025)))</f>
        <v/>
      </c>
      <c r="AW1025" s="2">
        <f>SUM(W1025:AU1025)</f>
        <v/>
      </c>
    </row>
    <row r="1026">
      <c r="A1026" s="2" t="inlineStr">
        <is>
          <t>A14-SB-N235</t>
        </is>
      </c>
      <c r="B1026" s="3" t="inlineStr">
        <is>
          <t>SOJC-SM-SC/PC-SC/APC</t>
        </is>
      </c>
      <c r="C1026" s="2" t="inlineStr">
        <is>
          <t>12M, B3, 2.0mm</t>
        </is>
      </c>
      <c r="D1026" s="2" t="inlineStr">
        <is>
          <t>b3</t>
        </is>
      </c>
      <c r="E1026" s="2" t="inlineStr">
        <is>
          <t>2.0mm</t>
        </is>
      </c>
      <c r="F1026" s="2" t="n">
        <v>1</v>
      </c>
      <c r="G1026" s="2" t="n">
        <v>12</v>
      </c>
      <c r="H1026" s="2" t="inlineStr">
        <is>
          <t>SC/PC</t>
        </is>
      </c>
      <c r="I1026" s="2" t="inlineStr">
        <is>
          <t>SC/APC</t>
        </is>
      </c>
      <c r="J1026" s="2" t="n"/>
      <c r="K1026" s="2" t="n"/>
      <c r="L1026" s="2" t="n"/>
      <c r="M1026" s="2" t="n">
        <v>40</v>
      </c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>
        <f>SUM(J1026:U1026)</f>
        <v/>
      </c>
      <c r="W1026" s="2" t="n"/>
      <c r="X1026" s="2" t="n"/>
      <c r="Y1026" s="2" t="n"/>
      <c r="Z1026" s="2" t="n"/>
      <c r="AA1026" s="2" t="n">
        <v>40</v>
      </c>
      <c r="AB1026" s="2" t="n"/>
      <c r="AC1026" s="2" t="n">
        <v>40</v>
      </c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>
        <f>IF(F1026=1,V1026*2,IF(F1026=2,V1026*F1026*2,IF(F1026&gt;2,F1026*2*V1026)))</f>
        <v/>
      </c>
      <c r="AW1026" s="2">
        <f>SUM(W1026:AU1026)</f>
        <v/>
      </c>
    </row>
    <row r="1027">
      <c r="A1027" s="2" t="inlineStr">
        <is>
          <t>A14-SB-N237</t>
        </is>
      </c>
      <c r="B1027" s="3" t="inlineStr">
        <is>
          <t>SOJC-SM-SC/PC-SC/APC</t>
        </is>
      </c>
      <c r="C1027" s="2" t="inlineStr">
        <is>
          <t>908041434, 15M, B3, 2.0mm</t>
        </is>
      </c>
      <c r="D1027" s="2" t="inlineStr">
        <is>
          <t>b3</t>
        </is>
      </c>
      <c r="E1027" s="2" t="inlineStr">
        <is>
          <t>2.0mm</t>
        </is>
      </c>
      <c r="F1027" s="2" t="n">
        <v>1</v>
      </c>
      <c r="G1027" s="2" t="n">
        <v>15</v>
      </c>
      <c r="H1027" s="2" t="inlineStr">
        <is>
          <t>SC/PC</t>
        </is>
      </c>
      <c r="I1027" s="2" t="inlineStr">
        <is>
          <t>SC/APC</t>
        </is>
      </c>
      <c r="J1027" s="2" t="n">
        <v>45</v>
      </c>
      <c r="K1027" s="2" t="n">
        <v>75</v>
      </c>
      <c r="L1027" s="2" t="n">
        <v>50</v>
      </c>
      <c r="M1027" s="2" t="n">
        <v>5</v>
      </c>
      <c r="N1027" s="2" t="n">
        <v>400</v>
      </c>
      <c r="O1027" s="2" t="n"/>
      <c r="P1027" s="2" t="n"/>
      <c r="Q1027" s="2" t="n"/>
      <c r="R1027" s="2" t="n"/>
      <c r="S1027" s="2" t="n"/>
      <c r="T1027" s="2" t="n"/>
      <c r="U1027" s="2" t="n"/>
      <c r="V1027" s="2">
        <f>SUM(J1027:U1027)</f>
        <v/>
      </c>
      <c r="W1027" s="2" t="n"/>
      <c r="X1027" s="2" t="n"/>
      <c r="Y1027" s="2" t="n"/>
      <c r="Z1027" s="2" t="n"/>
      <c r="AA1027" s="2" t="n">
        <v>575</v>
      </c>
      <c r="AB1027" s="2" t="n"/>
      <c r="AC1027" s="2" t="n">
        <v>575</v>
      </c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>
        <f>IF(F1027=1,V1027*2,IF(F1027=2,V1027*F1027*2,IF(F1027&gt;2,F1027*2*V1027)))</f>
        <v/>
      </c>
      <c r="AW1027" s="2">
        <f>SUM(W1027:AU1027)</f>
        <v/>
      </c>
    </row>
    <row r="1028">
      <c r="A1028" s="2" t="inlineStr">
        <is>
          <t>A14-SB-N241</t>
        </is>
      </c>
      <c r="B1028" s="3" t="inlineStr">
        <is>
          <t>SOJC-SM-SC/PC-SC/APC</t>
        </is>
      </c>
      <c r="C1028" s="2" t="inlineStr">
        <is>
          <t>908041439, 20M, B3, 2.0mm</t>
        </is>
      </c>
      <c r="D1028" s="2" t="inlineStr">
        <is>
          <t>b3</t>
        </is>
      </c>
      <c r="E1028" s="2" t="inlineStr">
        <is>
          <t>2.0mm</t>
        </is>
      </c>
      <c r="F1028" s="2" t="n">
        <v>1</v>
      </c>
      <c r="G1028" s="2" t="n">
        <v>20</v>
      </c>
      <c r="H1028" s="2" t="inlineStr">
        <is>
          <t>SC/PC</t>
        </is>
      </c>
      <c r="I1028" s="2" t="inlineStr">
        <is>
          <t>SC/APC</t>
        </is>
      </c>
      <c r="J1028" s="2" t="n"/>
      <c r="K1028" s="2" t="n"/>
      <c r="L1028" s="2" t="n"/>
      <c r="M1028" s="2" t="n"/>
      <c r="N1028" s="2" t="n">
        <v>55</v>
      </c>
      <c r="O1028" s="2" t="n">
        <v>5</v>
      </c>
      <c r="P1028" s="2" t="n"/>
      <c r="Q1028" s="2" t="n"/>
      <c r="R1028" s="2" t="n"/>
      <c r="S1028" s="2" t="n">
        <v>10</v>
      </c>
      <c r="T1028" s="2" t="n"/>
      <c r="U1028" s="2" t="n"/>
      <c r="V1028" s="2">
        <f>SUM(J1028:U1028)</f>
        <v/>
      </c>
      <c r="W1028" s="2" t="n"/>
      <c r="X1028" s="2" t="n"/>
      <c r="Y1028" s="2" t="n"/>
      <c r="Z1028" s="2" t="n"/>
      <c r="AA1028" s="2" t="n">
        <v>70</v>
      </c>
      <c r="AB1028" s="2" t="n"/>
      <c r="AC1028" s="2" t="n">
        <v>70</v>
      </c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>
        <f>IF(F1028=1,V1028*2,IF(F1028=2,V1028*F1028*2,IF(F1028&gt;2,F1028*2*V1028)))</f>
        <v/>
      </c>
      <c r="AW1028" s="2">
        <f>SUM(W1028:AU1028)</f>
        <v/>
      </c>
    </row>
    <row r="1029">
      <c r="A1029" s="2" t="inlineStr">
        <is>
          <t>A14-SB-N245</t>
        </is>
      </c>
      <c r="B1029" s="3" t="inlineStr">
        <is>
          <t>SOJC-SM-SC/PC-SC/APC</t>
        </is>
      </c>
      <c r="C1029" s="2" t="inlineStr">
        <is>
          <t>908041422, 2M, B3, 3.0mm</t>
        </is>
      </c>
      <c r="D1029" s="2" t="inlineStr">
        <is>
          <t>b3</t>
        </is>
      </c>
      <c r="E1029" s="2" t="inlineStr">
        <is>
          <t>3.0mm</t>
        </is>
      </c>
      <c r="F1029" s="2" t="n">
        <v>1</v>
      </c>
      <c r="G1029" s="2" t="n">
        <v>2</v>
      </c>
      <c r="H1029" s="2" t="inlineStr">
        <is>
          <t>SC/PC</t>
        </is>
      </c>
      <c r="I1029" s="2" t="inlineStr">
        <is>
          <t>SC/APC</t>
        </is>
      </c>
      <c r="J1029" s="2" t="n"/>
      <c r="K1029" s="2" t="n"/>
      <c r="L1029" s="2" t="n"/>
      <c r="M1029" s="2" t="n"/>
      <c r="N1029" s="2" t="n">
        <v>93</v>
      </c>
      <c r="O1029" s="2" t="n"/>
      <c r="P1029" s="2" t="n"/>
      <c r="Q1029" s="2" t="n"/>
      <c r="R1029" s="2" t="n"/>
      <c r="S1029" s="2" t="n"/>
      <c r="T1029" s="2" t="n"/>
      <c r="U1029" s="2" t="n"/>
      <c r="V1029" s="2">
        <f>SUM(J1029:U1029)</f>
        <v/>
      </c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>
        <v>93</v>
      </c>
      <c r="AO1029" s="2" t="n"/>
      <c r="AP1029" s="2" t="n">
        <v>93</v>
      </c>
      <c r="AQ1029" s="2" t="n"/>
      <c r="AR1029" s="2" t="n"/>
      <c r="AS1029" s="2" t="n"/>
      <c r="AT1029" s="2" t="n"/>
      <c r="AU1029" s="2" t="n"/>
      <c r="AV1029" s="2">
        <f>IF(F1029=1,V1029*2,IF(F1029=2,V1029*F1029*2,IF(F1029&gt;2,F1029*2*V1029)))</f>
        <v/>
      </c>
      <c r="AW1029" s="2">
        <f>SUM(W1029:AU1029)</f>
        <v/>
      </c>
    </row>
    <row r="1030">
      <c r="A1030" s="2" t="inlineStr">
        <is>
          <t>A14-SB-N249</t>
        </is>
      </c>
      <c r="B1030" s="3" t="inlineStr">
        <is>
          <t>SOJC-SM-SC/PC-SC/APC</t>
        </is>
      </c>
      <c r="C1030" s="2" t="inlineStr">
        <is>
          <t>908041420, 3M, B3, 3.0mm</t>
        </is>
      </c>
      <c r="D1030" s="2" t="inlineStr">
        <is>
          <t>b3</t>
        </is>
      </c>
      <c r="E1030" s="2" t="inlineStr">
        <is>
          <t>3.0mm</t>
        </is>
      </c>
      <c r="F1030" s="2" t="n">
        <v>1</v>
      </c>
      <c r="G1030" s="2" t="n">
        <v>3</v>
      </c>
      <c r="H1030" s="2" t="inlineStr">
        <is>
          <t>SC/PC</t>
        </is>
      </c>
      <c r="I1030" s="2" t="inlineStr">
        <is>
          <t>SC/APC</t>
        </is>
      </c>
      <c r="J1030" s="2" t="n">
        <v>30</v>
      </c>
      <c r="K1030" s="2" t="n"/>
      <c r="L1030" s="2" t="n"/>
      <c r="M1030" s="2" t="n"/>
      <c r="N1030" s="2" t="n"/>
      <c r="O1030" s="2" t="n"/>
      <c r="P1030" s="2" t="n"/>
      <c r="Q1030" s="2" t="n"/>
      <c r="R1030" s="2" t="n">
        <v>50</v>
      </c>
      <c r="S1030" s="2" t="n"/>
      <c r="T1030" s="2" t="n"/>
      <c r="U1030" s="2" t="n"/>
      <c r="V1030" s="2">
        <f>SUM(J1030:U1030)</f>
        <v/>
      </c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>
        <v>80</v>
      </c>
      <c r="AO1030" s="2" t="n"/>
      <c r="AP1030" s="2" t="n">
        <v>80</v>
      </c>
      <c r="AQ1030" s="2" t="n"/>
      <c r="AR1030" s="2" t="n"/>
      <c r="AS1030" s="2" t="n"/>
      <c r="AT1030" s="2" t="n"/>
      <c r="AU1030" s="2" t="n"/>
      <c r="AV1030" s="2">
        <f>IF(F1030=1,V1030*2,IF(F1030=2,V1030*F1030*2,IF(F1030&gt;2,F1030*2*V1030)))</f>
        <v/>
      </c>
      <c r="AW1030" s="2">
        <f>SUM(W1030:AU1030)</f>
        <v/>
      </c>
    </row>
    <row r="1031">
      <c r="A1031" s="2" t="inlineStr">
        <is>
          <t>A14-SB-N253</t>
        </is>
      </c>
      <c r="B1031" s="3" t="inlineStr">
        <is>
          <t>SOJC-SM-SC/PC-SC/APC</t>
        </is>
      </c>
      <c r="C1031" s="2" t="inlineStr">
        <is>
          <t>908041427, 8M, B3, 2.0mm</t>
        </is>
      </c>
      <c r="D1031" s="2" t="inlineStr">
        <is>
          <t>b3</t>
        </is>
      </c>
      <c r="E1031" s="2" t="inlineStr">
        <is>
          <t>2.0mm</t>
        </is>
      </c>
      <c r="F1031" s="2" t="n">
        <v>1</v>
      </c>
      <c r="G1031" s="2" t="n">
        <v>8</v>
      </c>
      <c r="H1031" s="2" t="inlineStr">
        <is>
          <t>SC/PC</t>
        </is>
      </c>
      <c r="I1031" s="2" t="inlineStr">
        <is>
          <t>SC/APC</t>
        </is>
      </c>
      <c r="J1031" s="2" t="n"/>
      <c r="K1031" s="2" t="n"/>
      <c r="L1031" s="2" t="n"/>
      <c r="M1031" s="2" t="n"/>
      <c r="N1031" s="2" t="n">
        <v>110</v>
      </c>
      <c r="O1031" s="2" t="n">
        <v>40</v>
      </c>
      <c r="P1031" s="2" t="n"/>
      <c r="Q1031" s="2" t="n"/>
      <c r="R1031" s="2" t="n"/>
      <c r="S1031" s="2" t="n"/>
      <c r="T1031" s="2" t="n"/>
      <c r="U1031" s="2" t="n"/>
      <c r="V1031" s="2">
        <f>SUM(J1031:U1031)</f>
        <v/>
      </c>
      <c r="W1031" s="2" t="n"/>
      <c r="X1031" s="2" t="n"/>
      <c r="Y1031" s="2" t="n"/>
      <c r="Z1031" s="2" t="n"/>
      <c r="AA1031" s="2" t="n">
        <v>150</v>
      </c>
      <c r="AB1031" s="2" t="n"/>
      <c r="AC1031" s="2" t="n">
        <v>150</v>
      </c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>
        <f>IF(F1031=1,V1031*2,IF(F1031=2,V1031*F1031*2,IF(F1031&gt;2,F1031*2*V1031)))</f>
        <v/>
      </c>
      <c r="AW1031" s="2">
        <f>SUM(W1031:AU1031)</f>
        <v/>
      </c>
    </row>
    <row r="1032">
      <c r="A1032" s="2" t="inlineStr">
        <is>
          <t>A14-SB-N258</t>
        </is>
      </c>
      <c r="B1032" s="3" t="inlineStr">
        <is>
          <t>SOJC-SM-SC/PC-SC/PC</t>
        </is>
      </c>
      <c r="C1032" s="2" t="inlineStr">
        <is>
          <t>908041399, 10M, B3, 2.0mm</t>
        </is>
      </c>
      <c r="D1032" s="2" t="inlineStr">
        <is>
          <t>b3</t>
        </is>
      </c>
      <c r="E1032" s="2" t="inlineStr">
        <is>
          <t>2.0mm</t>
        </is>
      </c>
      <c r="F1032" s="2" t="n">
        <v>1</v>
      </c>
      <c r="G1032" s="2" t="n">
        <v>10</v>
      </c>
      <c r="H1032" s="2" t="inlineStr">
        <is>
          <t>SC/PC</t>
        </is>
      </c>
      <c r="I1032" s="2" t="inlineStr">
        <is>
          <t>SC/PC</t>
        </is>
      </c>
      <c r="J1032" s="2" t="n">
        <v>202</v>
      </c>
      <c r="K1032" s="2" t="n">
        <v>160</v>
      </c>
      <c r="L1032" s="2" t="n"/>
      <c r="M1032" s="2" t="n"/>
      <c r="N1032" s="2" t="n">
        <v>100</v>
      </c>
      <c r="O1032" s="2" t="n">
        <v>20</v>
      </c>
      <c r="P1032" s="2" t="n">
        <v>243</v>
      </c>
      <c r="Q1032" s="2" t="n"/>
      <c r="R1032" s="2" t="n">
        <v>460</v>
      </c>
      <c r="S1032" s="2" t="n">
        <v>260</v>
      </c>
      <c r="T1032" s="2" t="n">
        <v>210</v>
      </c>
      <c r="U1032" s="2" t="n"/>
      <c r="V1032" s="2">
        <f>SUM(J1032:U1032)</f>
        <v/>
      </c>
      <c r="W1032" s="2" t="n"/>
      <c r="X1032" s="2" t="n"/>
      <c r="Y1032" s="2" t="n"/>
      <c r="Z1032" s="2" t="n"/>
      <c r="AA1032" s="2" t="n">
        <v>3310</v>
      </c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>
        <f>IF(F1032=1,V1032*2,IF(F1032=2,V1032*F1032*2,IF(F1032&gt;2,F1032*2*V1032)))</f>
        <v/>
      </c>
      <c r="AW1032" s="2">
        <f>SUM(W1032:AU1032)</f>
        <v/>
      </c>
    </row>
    <row r="1033">
      <c r="A1033" s="2" t="inlineStr">
        <is>
          <t>A14-SB-N259</t>
        </is>
      </c>
      <c r="B1033" s="3" t="inlineStr">
        <is>
          <t>SOJC-SM-SC/PC-SC/PC</t>
        </is>
      </c>
      <c r="C1033" s="2" t="inlineStr">
        <is>
          <t>12M, B3, 2.0mm</t>
        </is>
      </c>
      <c r="D1033" s="2" t="inlineStr">
        <is>
          <t>b3</t>
        </is>
      </c>
      <c r="E1033" s="2" t="inlineStr">
        <is>
          <t>2.0mm</t>
        </is>
      </c>
      <c r="F1033" s="2" t="n">
        <v>1</v>
      </c>
      <c r="G1033" s="2" t="n">
        <v>12</v>
      </c>
      <c r="H1033" s="2" t="inlineStr">
        <is>
          <t>SC/PC</t>
        </is>
      </c>
      <c r="I1033" s="2" t="inlineStr">
        <is>
          <t>SC/PC</t>
        </is>
      </c>
      <c r="J1033" s="2" t="n">
        <v>5</v>
      </c>
      <c r="K1033" s="2" t="n"/>
      <c r="L1033" s="2" t="n">
        <v>30</v>
      </c>
      <c r="M1033" s="2" t="n"/>
      <c r="N1033" s="2" t="n">
        <v>100</v>
      </c>
      <c r="O1033" s="2" t="n"/>
      <c r="P1033" s="2" t="n"/>
      <c r="Q1033" s="2" t="n"/>
      <c r="R1033" s="2" t="n"/>
      <c r="S1033" s="2" t="n"/>
      <c r="T1033" s="2" t="n"/>
      <c r="U1033" s="2" t="n"/>
      <c r="V1033" s="2">
        <f>SUM(J1033:U1033)</f>
        <v/>
      </c>
      <c r="W1033" s="2" t="n"/>
      <c r="X1033" s="2" t="n"/>
      <c r="Y1033" s="2" t="n"/>
      <c r="Z1033" s="2" t="n"/>
      <c r="AA1033" s="2" t="n">
        <v>270</v>
      </c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>
        <f>IF(F1033=1,V1033*2,IF(F1033=2,V1033*F1033*2,IF(F1033&gt;2,F1033*2*V1033)))</f>
        <v/>
      </c>
      <c r="AW1033" s="2">
        <f>SUM(W1033:AU1033)</f>
        <v/>
      </c>
    </row>
    <row r="1034">
      <c r="A1034" s="2" t="inlineStr">
        <is>
          <t>A14-SB-N260</t>
        </is>
      </c>
      <c r="B1034" s="3" t="inlineStr">
        <is>
          <t>SOJC-SM-SC/PC-SC/PC</t>
        </is>
      </c>
      <c r="C1034" s="2" t="inlineStr">
        <is>
          <t>908041404, 15M, B3, 2.0mm</t>
        </is>
      </c>
      <c r="D1034" s="2" t="inlineStr">
        <is>
          <t>b3</t>
        </is>
      </c>
      <c r="E1034" s="2" t="inlineStr">
        <is>
          <t>2.0mm</t>
        </is>
      </c>
      <c r="F1034" s="2" t="n">
        <v>1</v>
      </c>
      <c r="G1034" s="2" t="n">
        <v>15</v>
      </c>
      <c r="H1034" s="2" t="inlineStr">
        <is>
          <t>SC/PC</t>
        </is>
      </c>
      <c r="I1034" s="2" t="inlineStr">
        <is>
          <t>SC/PC</t>
        </is>
      </c>
      <c r="J1034" s="2" t="n">
        <v>65</v>
      </c>
      <c r="K1034" s="2" t="n">
        <v>5</v>
      </c>
      <c r="L1034" s="2" t="n"/>
      <c r="M1034" s="2" t="n"/>
      <c r="N1034" s="2" t="n">
        <v>140</v>
      </c>
      <c r="O1034" s="2" t="n">
        <v>20</v>
      </c>
      <c r="P1034" s="2" t="n">
        <v>18</v>
      </c>
      <c r="Q1034" s="2" t="n">
        <v>500</v>
      </c>
      <c r="R1034" s="2" t="n">
        <v>55</v>
      </c>
      <c r="S1034" s="2" t="n">
        <v>30</v>
      </c>
      <c r="T1034" s="2" t="n"/>
      <c r="U1034" s="2" t="n"/>
      <c r="V1034" s="2">
        <f>SUM(J1034:U1034)</f>
        <v/>
      </c>
      <c r="W1034" s="2" t="n"/>
      <c r="X1034" s="2" t="n"/>
      <c r="Y1034" s="2" t="n"/>
      <c r="Z1034" s="2" t="n"/>
      <c r="AA1034" s="2" t="n">
        <v>1666</v>
      </c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>
        <f>IF(F1034=1,V1034*2,IF(F1034=2,V1034*F1034*2,IF(F1034&gt;2,F1034*2*V1034)))</f>
        <v/>
      </c>
      <c r="AW1034" s="2">
        <f>SUM(W1034:AU1034)</f>
        <v/>
      </c>
    </row>
    <row r="1035">
      <c r="A1035" s="2" t="inlineStr">
        <is>
          <t>A14-SB-N263</t>
        </is>
      </c>
      <c r="B1035" s="3" t="inlineStr">
        <is>
          <t>SOJC-SM-SC/PC-SC/PC</t>
        </is>
      </c>
      <c r="C1035" s="2" t="inlineStr">
        <is>
          <t>908041409, 20M, B3, 2.0mm</t>
        </is>
      </c>
      <c r="D1035" s="2" t="inlineStr">
        <is>
          <t>b3</t>
        </is>
      </c>
      <c r="E1035" s="2" t="inlineStr">
        <is>
          <t>2.0mm</t>
        </is>
      </c>
      <c r="F1035" s="2" t="n">
        <v>1</v>
      </c>
      <c r="G1035" s="2" t="n">
        <v>20</v>
      </c>
      <c r="H1035" s="2" t="inlineStr">
        <is>
          <t>SC/PC</t>
        </is>
      </c>
      <c r="I1035" s="2" t="inlineStr">
        <is>
          <t>SC/PC</t>
        </is>
      </c>
      <c r="J1035" s="2" t="n"/>
      <c r="K1035" s="2" t="n">
        <v>48</v>
      </c>
      <c r="L1035" s="2" t="n"/>
      <c r="M1035" s="2" t="n"/>
      <c r="N1035" s="2" t="n">
        <v>15</v>
      </c>
      <c r="O1035" s="2" t="n"/>
      <c r="P1035" s="2" t="n">
        <v>35</v>
      </c>
      <c r="Q1035" s="2" t="n">
        <v>10</v>
      </c>
      <c r="R1035" s="2" t="n"/>
      <c r="S1035" s="2" t="n">
        <v>20</v>
      </c>
      <c r="T1035" s="2" t="n">
        <v>10</v>
      </c>
      <c r="U1035" s="2" t="n"/>
      <c r="V1035" s="2">
        <f>SUM(J1035:U1035)</f>
        <v/>
      </c>
      <c r="W1035" s="2" t="n"/>
      <c r="X1035" s="2" t="n"/>
      <c r="Y1035" s="2" t="n"/>
      <c r="Z1035" s="2" t="n"/>
      <c r="AA1035" s="2" t="n">
        <v>276</v>
      </c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>
        <f>IF(F1035=1,V1035*2,IF(F1035=2,V1035*F1035*2,IF(F1035&gt;2,F1035*2*V1035)))</f>
        <v/>
      </c>
      <c r="AW1035" s="2">
        <f>SUM(W1035:AU1035)</f>
        <v/>
      </c>
    </row>
    <row r="1036">
      <c r="A1036" s="2" t="inlineStr">
        <is>
          <t>A14-SB-N264</t>
        </is>
      </c>
      <c r="B1036" s="3" t="inlineStr">
        <is>
          <t>SOJC-SM-SC/PC-SC/PC</t>
        </is>
      </c>
      <c r="C1036" s="2" t="inlineStr">
        <is>
          <t>908041414, 25M, B3, 2.0mm</t>
        </is>
      </c>
      <c r="D1036" s="2" t="inlineStr">
        <is>
          <t>b3</t>
        </is>
      </c>
      <c r="E1036" s="2" t="inlineStr">
        <is>
          <t>2.0mm</t>
        </is>
      </c>
      <c r="F1036" s="2" t="n">
        <v>1</v>
      </c>
      <c r="G1036" s="2" t="n">
        <v>25</v>
      </c>
      <c r="H1036" s="2" t="inlineStr">
        <is>
          <t>SC/PC</t>
        </is>
      </c>
      <c r="I1036" s="2" t="inlineStr">
        <is>
          <t>SC/PC</t>
        </is>
      </c>
      <c r="J1036" s="2" t="n"/>
      <c r="K1036" s="2" t="n">
        <v>8</v>
      </c>
      <c r="L1036" s="2" t="n"/>
      <c r="M1036" s="2" t="n"/>
      <c r="N1036" s="2" t="n"/>
      <c r="O1036" s="2" t="n"/>
      <c r="P1036" s="2" t="n">
        <v>20</v>
      </c>
      <c r="Q1036" s="2" t="n">
        <v>10</v>
      </c>
      <c r="R1036" s="2" t="n"/>
      <c r="S1036" s="2" t="n"/>
      <c r="T1036" s="2" t="n"/>
      <c r="U1036" s="2" t="n"/>
      <c r="V1036" s="2">
        <f>SUM(J1036:U1036)</f>
        <v/>
      </c>
      <c r="W1036" s="2" t="n"/>
      <c r="X1036" s="2" t="n"/>
      <c r="Y1036" s="2" t="n"/>
      <c r="Z1036" s="2" t="n"/>
      <c r="AA1036" s="2" t="n">
        <v>76</v>
      </c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>
        <f>IF(F1036=1,V1036*2,IF(F1036=2,V1036*F1036*2,IF(F1036&gt;2,F1036*2*V1036)))</f>
        <v/>
      </c>
      <c r="AW1036" s="2">
        <f>SUM(W1036:AU1036)</f>
        <v/>
      </c>
    </row>
    <row r="1037">
      <c r="A1037" s="2" t="inlineStr">
        <is>
          <t>A14-SB-N271</t>
        </is>
      </c>
      <c r="B1037" s="3" t="inlineStr">
        <is>
          <t>SOJC-SM-SC/PC-SC/PC</t>
        </is>
      </c>
      <c r="C1037" s="2" t="inlineStr">
        <is>
          <t>908041393, 4M, B3, 3.0mm</t>
        </is>
      </c>
      <c r="D1037" s="2" t="inlineStr">
        <is>
          <t>b3</t>
        </is>
      </c>
      <c r="E1037" s="2" t="inlineStr">
        <is>
          <t>3.0mm</t>
        </is>
      </c>
      <c r="F1037" s="2" t="n">
        <v>1</v>
      </c>
      <c r="G1037" s="2" t="n">
        <v>4</v>
      </c>
      <c r="H1037" s="2" t="inlineStr">
        <is>
          <t>SC/PC</t>
        </is>
      </c>
      <c r="I1037" s="2" t="inlineStr">
        <is>
          <t>SC/PC</t>
        </is>
      </c>
      <c r="J1037" s="2" t="n"/>
      <c r="K1037" s="2" t="n"/>
      <c r="L1037" s="2" t="n">
        <v>6</v>
      </c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>
        <f>SUM(J1037:U1037)</f>
        <v/>
      </c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>
        <v>12</v>
      </c>
      <c r="AO1037" s="2" t="n"/>
      <c r="AP1037" s="2" t="n"/>
      <c r="AQ1037" s="2" t="n"/>
      <c r="AR1037" s="2" t="n"/>
      <c r="AS1037" s="2" t="n"/>
      <c r="AT1037" s="2" t="n"/>
      <c r="AU1037" s="2" t="n"/>
      <c r="AV1037" s="2">
        <f>IF(F1037=1,V1037*2,IF(F1037=2,V1037*F1037*2,IF(F1037&gt;2,F1037*2*V1037)))</f>
        <v/>
      </c>
      <c r="AW1037" s="2">
        <f>SUM(W1037:AU1037)</f>
        <v/>
      </c>
    </row>
    <row r="1038">
      <c r="A1038" s="2" t="inlineStr">
        <is>
          <t>A14-SB-N273</t>
        </is>
      </c>
      <c r="B1038" s="3" t="inlineStr">
        <is>
          <t>SOJC-SM-SC/PC-SC/PC</t>
        </is>
      </c>
      <c r="C1038" s="2" t="inlineStr">
        <is>
          <t>908041396, 7M, B3, 2.0mm</t>
        </is>
      </c>
      <c r="D1038" s="2" t="inlineStr">
        <is>
          <t>b3</t>
        </is>
      </c>
      <c r="E1038" s="2" t="inlineStr">
        <is>
          <t>2.0mm</t>
        </is>
      </c>
      <c r="F1038" s="2" t="n">
        <v>1</v>
      </c>
      <c r="G1038" s="2" t="n">
        <v>7</v>
      </c>
      <c r="H1038" s="2" t="inlineStr">
        <is>
          <t>SC/PC</t>
        </is>
      </c>
      <c r="I1038" s="2" t="inlineStr">
        <is>
          <t>SC/PC</t>
        </is>
      </c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>
        <v>22</v>
      </c>
      <c r="S1038" s="2" t="n">
        <v>80</v>
      </c>
      <c r="T1038" s="2" t="n">
        <v>140</v>
      </c>
      <c r="U1038" s="2" t="n"/>
      <c r="V1038" s="2">
        <f>SUM(J1038:U1038)</f>
        <v/>
      </c>
      <c r="W1038" s="2" t="n"/>
      <c r="X1038" s="2" t="n"/>
      <c r="Y1038" s="2" t="n"/>
      <c r="Z1038" s="2" t="n"/>
      <c r="AA1038" s="2" t="n">
        <v>484</v>
      </c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>
        <f>IF(F1038=1,V1038*2,IF(F1038=2,V1038*F1038*2,IF(F1038&gt;2,F1038*2*V1038)))</f>
        <v/>
      </c>
      <c r="AW1038" s="2">
        <f>SUM(W1038:AU1038)</f>
        <v/>
      </c>
    </row>
    <row r="1039">
      <c r="A1039" s="2" t="inlineStr">
        <is>
          <t>A14-SB-N274</t>
        </is>
      </c>
      <c r="B1039" s="3" t="inlineStr">
        <is>
          <t>SOJC-SM-SC/PC-SC/PC</t>
        </is>
      </c>
      <c r="C1039" s="2" t="inlineStr">
        <is>
          <t>908041397, 8M, B3, 2.0mm</t>
        </is>
      </c>
      <c r="D1039" s="2" t="inlineStr">
        <is>
          <t>b3</t>
        </is>
      </c>
      <c r="E1039" s="2" t="inlineStr">
        <is>
          <t>2.0mm</t>
        </is>
      </c>
      <c r="F1039" s="2" t="n">
        <v>1</v>
      </c>
      <c r="G1039" s="2" t="n">
        <v>8</v>
      </c>
      <c r="H1039" s="2" t="inlineStr">
        <is>
          <t>SC/PC</t>
        </is>
      </c>
      <c r="I1039" s="2" t="inlineStr">
        <is>
          <t>SC/PC</t>
        </is>
      </c>
      <c r="J1039" s="2" t="n"/>
      <c r="K1039" s="2" t="n"/>
      <c r="L1039" s="2" t="n"/>
      <c r="M1039" s="2" t="n"/>
      <c r="N1039" s="2" t="n">
        <v>100</v>
      </c>
      <c r="O1039" s="2" t="n"/>
      <c r="P1039" s="2" t="n"/>
      <c r="Q1039" s="2" t="n"/>
      <c r="R1039" s="2" t="n"/>
      <c r="S1039" s="2" t="n">
        <v>240</v>
      </c>
      <c r="T1039" s="2" t="n"/>
      <c r="U1039" s="2" t="n"/>
      <c r="V1039" s="2">
        <f>SUM(J1039:U1039)</f>
        <v/>
      </c>
      <c r="W1039" s="2" t="n"/>
      <c r="X1039" s="2" t="n"/>
      <c r="Y1039" s="2" t="n"/>
      <c r="Z1039" s="2" t="n"/>
      <c r="AA1039" s="2" t="n">
        <v>680</v>
      </c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>
        <f>IF(F1039=1,V1039*2,IF(F1039=2,V1039*F1039*2,IF(F1039&gt;2,F1039*2*V1039)))</f>
        <v/>
      </c>
      <c r="AW1039" s="2">
        <f>SUM(W1039:AU1039)</f>
        <v/>
      </c>
    </row>
    <row r="1040">
      <c r="A1040" s="2" t="inlineStr">
        <is>
          <t>A14-SB-N275</t>
        </is>
      </c>
      <c r="B1040" s="3" t="inlineStr">
        <is>
          <t>SOJC-SM-SC/PC-SC/PC</t>
        </is>
      </c>
      <c r="C1040" s="2" t="inlineStr">
        <is>
          <t>908041398, 9M, B3, 2.0mm</t>
        </is>
      </c>
      <c r="D1040" s="2" t="inlineStr">
        <is>
          <t>b3</t>
        </is>
      </c>
      <c r="E1040" s="2" t="inlineStr">
        <is>
          <t>2.0mm</t>
        </is>
      </c>
      <c r="F1040" s="2" t="n">
        <v>1</v>
      </c>
      <c r="G1040" s="2" t="n">
        <v>9</v>
      </c>
      <c r="H1040" s="2" t="inlineStr">
        <is>
          <t>SC/PC</t>
        </is>
      </c>
      <c r="I1040" s="2" t="inlineStr">
        <is>
          <t>SC/PC</t>
        </is>
      </c>
      <c r="J1040" s="2" t="n">
        <v>10</v>
      </c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>
        <f>SUM(J1040:U1040)</f>
        <v/>
      </c>
      <c r="W1040" s="2" t="n"/>
      <c r="X1040" s="2" t="n"/>
      <c r="Y1040" s="2" t="n"/>
      <c r="Z1040" s="2" t="n"/>
      <c r="AA1040" s="2" t="n">
        <v>20</v>
      </c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>
        <f>IF(F1040=1,V1040*2,IF(F1040=2,V1040*F1040*2,IF(F1040&gt;2,F1040*2*V1040)))</f>
        <v/>
      </c>
      <c r="AW1040" s="2">
        <f>SUM(W1040:AU1040)</f>
        <v/>
      </c>
    </row>
    <row r="1041">
      <c r="A1041" s="2" t="inlineStr">
        <is>
          <t>A14-SB-N285</t>
        </is>
      </c>
      <c r="B1041" s="3" t="inlineStr">
        <is>
          <t>SOJC-SM-SC/PC-SC/PC</t>
        </is>
      </c>
      <c r="C1041" s="2" t="inlineStr">
        <is>
          <t>908041395, 6M, B3, 2.0mm</t>
        </is>
      </c>
      <c r="D1041" s="2" t="inlineStr">
        <is>
          <t>b3</t>
        </is>
      </c>
      <c r="E1041" s="2" t="inlineStr">
        <is>
          <t>2.0mm</t>
        </is>
      </c>
      <c r="F1041" s="2" t="n">
        <v>1</v>
      </c>
      <c r="G1041" s="2" t="n">
        <v>6</v>
      </c>
      <c r="H1041" s="2" t="inlineStr">
        <is>
          <t>SC/PC</t>
        </is>
      </c>
      <c r="I1041" s="2" t="inlineStr">
        <is>
          <t>SC/PC</t>
        </is>
      </c>
      <c r="J1041" s="2" t="n"/>
      <c r="K1041" s="2" t="n"/>
      <c r="L1041" s="2" t="n">
        <v>16</v>
      </c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>
        <f>SUM(J1041:U1041)</f>
        <v/>
      </c>
      <c r="W1041" s="2" t="n"/>
      <c r="X1041" s="2" t="n"/>
      <c r="Y1041" s="2" t="n"/>
      <c r="Z1041" s="2" t="n"/>
      <c r="AA1041" s="2" t="n">
        <v>32</v>
      </c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>
        <f>IF(F1041=1,V1041*2,IF(F1041=2,V1041*F1041*2,IF(F1041&gt;2,F1041*2*V1041)))</f>
        <v/>
      </c>
      <c r="AW1041" s="2">
        <f>SUM(W1041:AU1041)</f>
        <v/>
      </c>
    </row>
    <row r="1042">
      <c r="A1042" s="2" t="inlineStr">
        <is>
          <t>A14-SB-N343</t>
        </is>
      </c>
      <c r="B1042" s="3" t="inlineStr">
        <is>
          <t>SOJC-SM-FC/APC-FC/APC</t>
        </is>
      </c>
      <c r="C1042" s="2" t="inlineStr">
        <is>
          <t>12M, B3, 2.0mm</t>
        </is>
      </c>
      <c r="D1042" s="2" t="inlineStr">
        <is>
          <t>b3</t>
        </is>
      </c>
      <c r="E1042" s="2" t="inlineStr">
        <is>
          <t>2.0mm</t>
        </is>
      </c>
      <c r="F1042" s="2" t="n">
        <v>1</v>
      </c>
      <c r="G1042" s="2" t="n">
        <v>12</v>
      </c>
      <c r="H1042" s="2" t="inlineStr">
        <is>
          <t>FC/APC</t>
        </is>
      </c>
      <c r="I1042" s="2" t="inlineStr">
        <is>
          <t>FC/APC</t>
        </is>
      </c>
      <c r="J1042" s="2" t="n"/>
      <c r="K1042" s="2" t="n"/>
      <c r="L1042" s="2" t="n">
        <v>4</v>
      </c>
      <c r="M1042" s="2" t="n"/>
      <c r="N1042" s="2" t="n"/>
      <c r="O1042" s="2" t="n"/>
      <c r="P1042" s="2" t="n"/>
      <c r="Q1042" s="2" t="n"/>
      <c r="R1042" s="2" t="n"/>
      <c r="S1042" s="2" t="n"/>
      <c r="T1042" s="2" t="n"/>
      <c r="U1042" s="2" t="n"/>
      <c r="V1042" s="2">
        <f>SUM(J1042:U1042)</f>
        <v/>
      </c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>
        <v>8</v>
      </c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>
        <f>IF(F1042=1,V1042*2,IF(F1042=2,V1042*F1042*2,IF(F1042&gt;2,F1042*2*V1042)))</f>
        <v/>
      </c>
      <c r="AW1042" s="2">
        <f>SUM(W1042:AU1042)</f>
        <v/>
      </c>
    </row>
    <row r="1043">
      <c r="A1043" s="2" t="inlineStr">
        <is>
          <t>A14-SB-N354</t>
        </is>
      </c>
      <c r="B1043" s="3" t="inlineStr">
        <is>
          <t>SOJC-SM-LC/PC-SC/PC</t>
        </is>
      </c>
      <c r="C1043" s="2" t="inlineStr">
        <is>
          <t>23M, B3, 2.0mm</t>
        </is>
      </c>
      <c r="D1043" s="2" t="inlineStr">
        <is>
          <t>b3</t>
        </is>
      </c>
      <c r="E1043" s="2" t="inlineStr">
        <is>
          <t>2.0mm</t>
        </is>
      </c>
      <c r="F1043" s="2" t="n">
        <v>1</v>
      </c>
      <c r="G1043" s="2" t="n">
        <v>23</v>
      </c>
      <c r="H1043" s="2" t="inlineStr">
        <is>
          <t>LC/PC</t>
        </is>
      </c>
      <c r="I1043" s="2" t="inlineStr">
        <is>
          <t>SC/PC</t>
        </is>
      </c>
      <c r="J1043" s="2" t="n"/>
      <c r="K1043" s="2" t="n"/>
      <c r="L1043" s="2" t="n"/>
      <c r="M1043" s="2" t="n"/>
      <c r="N1043" s="2" t="n"/>
      <c r="O1043" s="2" t="n"/>
      <c r="P1043" s="2" t="n"/>
      <c r="Q1043" s="2" t="n">
        <v>65</v>
      </c>
      <c r="R1043" s="2" t="n"/>
      <c r="S1043" s="2" t="n"/>
      <c r="T1043" s="2" t="n"/>
      <c r="U1043" s="2" t="n"/>
      <c r="V1043" s="2">
        <f>SUM(J1043:U1043)</f>
        <v/>
      </c>
      <c r="W1043" s="2" t="n">
        <v>65</v>
      </c>
      <c r="X1043" s="2" t="n"/>
      <c r="Y1043" s="2" t="n"/>
      <c r="Z1043" s="2" t="n"/>
      <c r="AA1043" s="2" t="n">
        <v>65</v>
      </c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>
        <f>IF(F1043=1,V1043*2,IF(F1043=2,V1043*F1043*2,IF(F1043&gt;2,F1043*2*V1043)))</f>
        <v/>
      </c>
      <c r="AW1043" s="2">
        <f>SUM(W1043:AU1043)</f>
        <v/>
      </c>
    </row>
    <row r="1044">
      <c r="A1044" s="2" t="inlineStr">
        <is>
          <t>A14-SB-N359</t>
        </is>
      </c>
      <c r="B1044" s="3" t="inlineStr">
        <is>
          <t>SOJC-SM-LC/APC-SC/APC</t>
        </is>
      </c>
      <c r="C1044" s="2" t="inlineStr">
        <is>
          <t>10M, B3, 2.0mm</t>
        </is>
      </c>
      <c r="D1044" s="2" t="inlineStr">
        <is>
          <t>b3</t>
        </is>
      </c>
      <c r="E1044" s="2" t="inlineStr">
        <is>
          <t>2.0mm</t>
        </is>
      </c>
      <c r="F1044" s="2" t="n">
        <v>1</v>
      </c>
      <c r="G1044" s="2" t="n">
        <v>10</v>
      </c>
      <c r="H1044" s="2" t="inlineStr">
        <is>
          <t>LC/APC</t>
        </is>
      </c>
      <c r="I1044" s="2" t="inlineStr">
        <is>
          <t>SC/APC</t>
        </is>
      </c>
      <c r="J1044" s="2" t="n"/>
      <c r="K1044" s="2" t="n"/>
      <c r="L1044" s="2" t="n"/>
      <c r="M1044" s="2" t="n">
        <v>150</v>
      </c>
      <c r="N1044" s="2" t="n"/>
      <c r="O1044" s="2" t="n">
        <v>29</v>
      </c>
      <c r="P1044" s="2" t="n">
        <v>20</v>
      </c>
      <c r="Q1044" s="2" t="n"/>
      <c r="R1044" s="2" t="n"/>
      <c r="S1044" s="2" t="n"/>
      <c r="T1044" s="2" t="n"/>
      <c r="U1044" s="2" t="n"/>
      <c r="V1044" s="2">
        <f>SUM(J1044:U1044)</f>
        <v/>
      </c>
      <c r="W1044" s="2" t="n"/>
      <c r="X1044" s="2" t="n"/>
      <c r="Y1044" s="2" t="n">
        <v>199</v>
      </c>
      <c r="Z1044" s="2" t="n"/>
      <c r="AA1044" s="2" t="n"/>
      <c r="AB1044" s="2" t="n"/>
      <c r="AC1044" s="2" t="n">
        <v>199</v>
      </c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>
        <f>IF(F1044=1,V1044*2,IF(F1044=2,V1044*F1044*2,IF(F1044&gt;2,F1044*2*V1044)))</f>
        <v/>
      </c>
      <c r="AW1044" s="2">
        <f>SUM(W1044:AU1044)</f>
        <v/>
      </c>
    </row>
    <row r="1045">
      <c r="A1045" s="2" t="inlineStr">
        <is>
          <t>A14-SB-N360</t>
        </is>
      </c>
      <c r="B1045" s="3" t="inlineStr">
        <is>
          <t>SOJC-SM-LC/APC-LC/APC</t>
        </is>
      </c>
      <c r="C1045" s="2" t="inlineStr">
        <is>
          <t>10M, B3, 2.0mm</t>
        </is>
      </c>
      <c r="D1045" s="2" t="inlineStr">
        <is>
          <t>b3</t>
        </is>
      </c>
      <c r="E1045" s="2" t="inlineStr">
        <is>
          <t>2.0mm</t>
        </is>
      </c>
      <c r="F1045" s="2" t="n">
        <v>1</v>
      </c>
      <c r="G1045" s="2" t="n">
        <v>10</v>
      </c>
      <c r="H1045" s="2" t="inlineStr">
        <is>
          <t>LC/APC</t>
        </is>
      </c>
      <c r="I1045" s="2" t="inlineStr">
        <is>
          <t>LC/APC</t>
        </is>
      </c>
      <c r="J1045" s="2" t="n"/>
      <c r="K1045" s="2" t="n"/>
      <c r="L1045" s="2" t="n"/>
      <c r="M1045" s="2" t="n"/>
      <c r="N1045" s="2" t="n"/>
      <c r="O1045" s="2" t="n">
        <v>1</v>
      </c>
      <c r="P1045" s="2" t="n"/>
      <c r="Q1045" s="2" t="n"/>
      <c r="R1045" s="2" t="n"/>
      <c r="S1045" s="2" t="n"/>
      <c r="T1045" s="2" t="n"/>
      <c r="U1045" s="2" t="n"/>
      <c r="V1045" s="2">
        <f>SUM(J1045:U1045)</f>
        <v/>
      </c>
      <c r="W1045" s="2" t="n"/>
      <c r="X1045" s="2" t="n"/>
      <c r="Y1045" s="2" t="n">
        <v>2</v>
      </c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>
        <f>IF(F1045=1,V1045*2,IF(F1045=2,V1045*F1045*2,IF(F1045&gt;2,F1045*2*V1045)))</f>
        <v/>
      </c>
      <c r="AW1045" s="2">
        <f>SUM(W1045:AU1045)</f>
        <v/>
      </c>
    </row>
    <row r="1046">
      <c r="A1046" s="2" t="inlineStr">
        <is>
          <t>A14-SB-N361</t>
        </is>
      </c>
      <c r="B1046" s="3" t="inlineStr">
        <is>
          <t>SOJC-SM-LC/APC-FC/APC</t>
        </is>
      </c>
      <c r="C1046" s="2" t="inlineStr">
        <is>
          <t>10M, B3, 2.0mm</t>
        </is>
      </c>
      <c r="D1046" s="2" t="inlineStr">
        <is>
          <t>b3</t>
        </is>
      </c>
      <c r="E1046" s="2" t="inlineStr">
        <is>
          <t>2.0mm</t>
        </is>
      </c>
      <c r="F1046" s="2" t="n">
        <v>1</v>
      </c>
      <c r="G1046" s="2" t="n">
        <v>10</v>
      </c>
      <c r="H1046" s="2" t="inlineStr">
        <is>
          <t>LC/APC</t>
        </is>
      </c>
      <c r="I1046" s="2" t="inlineStr">
        <is>
          <t>FC/APC</t>
        </is>
      </c>
      <c r="J1046" s="2" t="n"/>
      <c r="K1046" s="2" t="n"/>
      <c r="L1046" s="2" t="n"/>
      <c r="M1046" s="2" t="n"/>
      <c r="N1046" s="2" t="n">
        <v>110</v>
      </c>
      <c r="O1046" s="2" t="n"/>
      <c r="P1046" s="2" t="n">
        <v>10</v>
      </c>
      <c r="Q1046" s="2" t="n"/>
      <c r="R1046" s="2" t="n"/>
      <c r="S1046" s="2" t="n"/>
      <c r="T1046" s="2" t="n"/>
      <c r="U1046" s="2" t="n"/>
      <c r="V1046" s="2">
        <f>SUM(J1046:U1046)</f>
        <v/>
      </c>
      <c r="W1046" s="2" t="n"/>
      <c r="X1046" s="2" t="n"/>
      <c r="Y1046" s="2" t="n">
        <v>120</v>
      </c>
      <c r="Z1046" s="2" t="n"/>
      <c r="AA1046" s="2" t="n"/>
      <c r="AB1046" s="2" t="n"/>
      <c r="AC1046" s="2" t="n"/>
      <c r="AD1046" s="2" t="n"/>
      <c r="AE1046" s="2" t="n"/>
      <c r="AF1046" s="2" t="n"/>
      <c r="AG1046" s="2" t="n">
        <v>120</v>
      </c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>
        <f>IF(F1046=1,V1046*2,IF(F1046=2,V1046*F1046*2,IF(F1046&gt;2,F1046*2*V1046)))</f>
        <v/>
      </c>
      <c r="AW1046" s="2">
        <f>SUM(W1046:AU1046)</f>
        <v/>
      </c>
    </row>
    <row r="1047">
      <c r="A1047" s="2" t="inlineStr">
        <is>
          <t>A14-SB-N378</t>
        </is>
      </c>
      <c r="B1047" s="3" t="inlineStr">
        <is>
          <t>SOJC-SM-LC/APC-SC/APC</t>
        </is>
      </c>
      <c r="C1047" s="2" t="inlineStr">
        <is>
          <t>3M, B3, 3.0mm</t>
        </is>
      </c>
      <c r="D1047" s="2" t="inlineStr">
        <is>
          <t>b3</t>
        </is>
      </c>
      <c r="E1047" s="2" t="inlineStr">
        <is>
          <t>3.0mm</t>
        </is>
      </c>
      <c r="F1047" s="2" t="n">
        <v>1</v>
      </c>
      <c r="G1047" s="2" t="n">
        <v>3</v>
      </c>
      <c r="H1047" s="2" t="inlineStr">
        <is>
          <t>LC/APC</t>
        </is>
      </c>
      <c r="I1047" s="2" t="inlineStr">
        <is>
          <t>SC/APC</t>
        </is>
      </c>
      <c r="J1047" s="2" t="n">
        <v>15</v>
      </c>
      <c r="K1047" s="2" t="n">
        <v>20</v>
      </c>
      <c r="L1047" s="2" t="n"/>
      <c r="M1047" s="2" t="n"/>
      <c r="N1047" s="2" t="n"/>
      <c r="O1047" s="2" t="n"/>
      <c r="P1047" s="2" t="n"/>
      <c r="Q1047" s="2" t="n"/>
      <c r="R1047" s="2" t="n"/>
      <c r="S1047" s="2" t="n"/>
      <c r="T1047" s="2" t="n"/>
      <c r="U1047" s="2" t="n"/>
      <c r="V1047" s="2">
        <f>SUM(J1047:U1047)</f>
        <v/>
      </c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>
        <v>35</v>
      </c>
      <c r="AM1047" s="2" t="n"/>
      <c r="AN1047" s="2" t="n"/>
      <c r="AO1047" s="2" t="n"/>
      <c r="AP1047" s="2" t="n">
        <v>35</v>
      </c>
      <c r="AQ1047" s="2" t="n"/>
      <c r="AR1047" s="2" t="n"/>
      <c r="AS1047" s="2" t="n"/>
      <c r="AT1047" s="2" t="n"/>
      <c r="AU1047" s="2" t="n"/>
      <c r="AV1047" s="2">
        <f>IF(F1047=1,V1047*2,IF(F1047=2,V1047*F1047*2,IF(F1047&gt;2,F1047*2*V1047)))</f>
        <v/>
      </c>
      <c r="AW1047" s="2">
        <f>SUM(W1047:AU1047)</f>
        <v/>
      </c>
    </row>
    <row r="1048">
      <c r="A1048" s="2" t="inlineStr">
        <is>
          <t>A14-SB-N415</t>
        </is>
      </c>
      <c r="B1048" s="3" t="inlineStr">
        <is>
          <t>SOJC-SM-LC/PC-SC/PC</t>
        </is>
      </c>
      <c r="C1048" s="2" t="inlineStr">
        <is>
          <t>19M, B3, 2.0mm</t>
        </is>
      </c>
      <c r="D1048" s="2" t="inlineStr">
        <is>
          <t>b3</t>
        </is>
      </c>
      <c r="E1048" s="2" t="inlineStr">
        <is>
          <t>2.0mm</t>
        </is>
      </c>
      <c r="F1048" s="2" t="n">
        <v>1</v>
      </c>
      <c r="G1048" s="2" t="n">
        <v>19</v>
      </c>
      <c r="H1048" s="2" t="inlineStr">
        <is>
          <t>LC/PC</t>
        </is>
      </c>
      <c r="I1048" s="2" t="inlineStr">
        <is>
          <t>SC/PC</t>
        </is>
      </c>
      <c r="J1048" s="2" t="n"/>
      <c r="K1048" s="2" t="n"/>
      <c r="L1048" s="2" t="n"/>
      <c r="M1048" s="2" t="n"/>
      <c r="N1048" s="2" t="n"/>
      <c r="O1048" s="2" t="n"/>
      <c r="P1048" s="2" t="n"/>
      <c r="Q1048" s="2" t="n">
        <v>16</v>
      </c>
      <c r="R1048" s="2" t="n"/>
      <c r="S1048" s="2" t="n"/>
      <c r="T1048" s="2" t="n"/>
      <c r="U1048" s="2" t="n"/>
      <c r="V1048" s="2">
        <f>SUM(J1048:U1048)</f>
        <v/>
      </c>
      <c r="W1048" s="2" t="n">
        <v>16</v>
      </c>
      <c r="X1048" s="2" t="n"/>
      <c r="Y1048" s="2" t="n"/>
      <c r="Z1048" s="2" t="n"/>
      <c r="AA1048" s="2" t="n">
        <v>16</v>
      </c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>
        <f>IF(F1048=1,V1048*2,IF(F1048=2,V1048*F1048*2,IF(F1048&gt;2,F1048*2*V1048)))</f>
        <v/>
      </c>
      <c r="AW1048" s="2">
        <f>SUM(W1048:AU1048)</f>
        <v/>
      </c>
    </row>
    <row r="1049">
      <c r="A1049" s="2" t="inlineStr">
        <is>
          <t>A14-SB-N486</t>
        </is>
      </c>
      <c r="B1049" s="3" t="inlineStr">
        <is>
          <t>SOJC-SM-LC/PC-LC/PC</t>
        </is>
      </c>
      <c r="C1049" s="2" t="inlineStr">
        <is>
          <t>11M, B3, 2.0mm</t>
        </is>
      </c>
      <c r="D1049" s="2" t="inlineStr">
        <is>
          <t>b3</t>
        </is>
      </c>
      <c r="E1049" s="2" t="inlineStr">
        <is>
          <t>2.0mm</t>
        </is>
      </c>
      <c r="F1049" s="2" t="n">
        <v>1</v>
      </c>
      <c r="G1049" s="2" t="n">
        <v>11</v>
      </c>
      <c r="H1049" s="2" t="inlineStr">
        <is>
          <t>LC/PC</t>
        </is>
      </c>
      <c r="I1049" s="2" t="inlineStr">
        <is>
          <t>LC/PC</t>
        </is>
      </c>
      <c r="J1049" s="2" t="n"/>
      <c r="K1049" s="2" t="n"/>
      <c r="L1049" s="2" t="n"/>
      <c r="M1049" s="2" t="n"/>
      <c r="N1049" s="2" t="n">
        <v>30</v>
      </c>
      <c r="O1049" s="2" t="n"/>
      <c r="P1049" s="2" t="n"/>
      <c r="Q1049" s="2" t="n"/>
      <c r="R1049" s="2" t="n"/>
      <c r="S1049" s="2" t="n"/>
      <c r="T1049" s="2" t="n"/>
      <c r="U1049" s="2" t="n"/>
      <c r="V1049" s="2">
        <f>SUM(J1049:U1049)</f>
        <v/>
      </c>
      <c r="W1049" s="2" t="n">
        <v>60</v>
      </c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>
        <f>IF(F1049=1,V1049*2,IF(F1049=2,V1049*F1049*2,IF(F1049&gt;2,F1049*2*V1049)))</f>
        <v/>
      </c>
      <c r="AW1049" s="2">
        <f>SUM(W1049:AU1049)</f>
        <v/>
      </c>
    </row>
    <row r="1050">
      <c r="A1050" s="2" t="inlineStr">
        <is>
          <t>A14-SB-N487</t>
        </is>
      </c>
      <c r="B1050" s="3" t="inlineStr">
        <is>
          <t>SOJC-SM-LC/PC-LC/PC</t>
        </is>
      </c>
      <c r="C1050" s="2" t="inlineStr">
        <is>
          <t>14M, B3, 2.0mm</t>
        </is>
      </c>
      <c r="D1050" s="2" t="inlineStr">
        <is>
          <t>b3</t>
        </is>
      </c>
      <c r="E1050" s="2" t="inlineStr">
        <is>
          <t>2.0mm</t>
        </is>
      </c>
      <c r="F1050" s="2" t="n">
        <v>1</v>
      </c>
      <c r="G1050" s="2" t="n">
        <v>14</v>
      </c>
      <c r="H1050" s="2" t="inlineStr">
        <is>
          <t>LC/PC</t>
        </is>
      </c>
      <c r="I1050" s="2" t="inlineStr">
        <is>
          <t>LC/PC</t>
        </is>
      </c>
      <c r="J1050" s="2" t="n"/>
      <c r="K1050" s="2" t="n"/>
      <c r="L1050" s="2" t="n"/>
      <c r="M1050" s="2" t="n"/>
      <c r="N1050" s="2" t="n">
        <v>2</v>
      </c>
      <c r="O1050" s="2" t="n"/>
      <c r="P1050" s="2" t="n"/>
      <c r="Q1050" s="2" t="n"/>
      <c r="R1050" s="2" t="n"/>
      <c r="S1050" s="2" t="n"/>
      <c r="T1050" s="2" t="n"/>
      <c r="U1050" s="2" t="n"/>
      <c r="V1050" s="2">
        <f>SUM(J1050:U1050)</f>
        <v/>
      </c>
      <c r="W1050" s="2" t="n">
        <v>4</v>
      </c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>
        <f>IF(F1050=1,V1050*2,IF(F1050=2,V1050*F1050*2,IF(F1050&gt;2,F1050*2*V1050)))</f>
        <v/>
      </c>
      <c r="AW1050" s="2">
        <f>SUM(W1050:AU1050)</f>
        <v/>
      </c>
    </row>
    <row r="1051">
      <c r="A1051" s="2" t="inlineStr">
        <is>
          <t>A14-SB-N488</t>
        </is>
      </c>
      <c r="B1051" s="3" t="inlineStr">
        <is>
          <t>SOJC-SM-LC/PC-LC/PC</t>
        </is>
      </c>
      <c r="C1051" s="2" t="inlineStr">
        <is>
          <t>22M, B3, 2.0mm</t>
        </is>
      </c>
      <c r="D1051" s="2" t="inlineStr">
        <is>
          <t>b3</t>
        </is>
      </c>
      <c r="E1051" s="2" t="inlineStr">
        <is>
          <t>2.0mm</t>
        </is>
      </c>
      <c r="F1051" s="2" t="n">
        <v>1</v>
      </c>
      <c r="G1051" s="2" t="n">
        <v>22</v>
      </c>
      <c r="H1051" s="2" t="inlineStr">
        <is>
          <t>LC/PC</t>
        </is>
      </c>
      <c r="I1051" s="2" t="inlineStr">
        <is>
          <t>LC/PC</t>
        </is>
      </c>
      <c r="J1051" s="2" t="n"/>
      <c r="K1051" s="2" t="n"/>
      <c r="L1051" s="2" t="n"/>
      <c r="M1051" s="2" t="n"/>
      <c r="N1051" s="2" t="n"/>
      <c r="O1051" s="2" t="n"/>
      <c r="P1051" s="2" t="n">
        <v>2</v>
      </c>
      <c r="Q1051" s="2" t="n"/>
      <c r="R1051" s="2" t="n"/>
      <c r="S1051" s="2" t="n"/>
      <c r="T1051" s="2" t="n"/>
      <c r="U1051" s="2" t="n"/>
      <c r="V1051" s="2">
        <f>SUM(J1051:U1051)</f>
        <v/>
      </c>
      <c r="W1051" s="2" t="n">
        <v>4</v>
      </c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>
        <f>IF(F1051=1,V1051*2,IF(F1051=2,V1051*F1051*2,IF(F1051&gt;2,F1051*2*V1051)))</f>
        <v/>
      </c>
      <c r="AW1051" s="2">
        <f>SUM(W1051:AU1051)</f>
        <v/>
      </c>
    </row>
    <row r="1052">
      <c r="A1052" s="2" t="inlineStr">
        <is>
          <t>A14-SB-N645</t>
        </is>
      </c>
      <c r="B1052" s="3" t="inlineStr">
        <is>
          <t>SOJC-SM-LC/PC-FC/PC</t>
        </is>
      </c>
      <c r="C1052" s="2" t="inlineStr">
        <is>
          <t>13M, B3, 2.0mm</t>
        </is>
      </c>
      <c r="D1052" s="2" t="inlineStr">
        <is>
          <t>b3</t>
        </is>
      </c>
      <c r="E1052" s="2" t="inlineStr">
        <is>
          <t>2.0mm</t>
        </is>
      </c>
      <c r="F1052" s="2" t="n">
        <v>1</v>
      </c>
      <c r="G1052" s="2" t="n">
        <v>13</v>
      </c>
      <c r="H1052" s="2" t="inlineStr">
        <is>
          <t>LC/PC</t>
        </is>
      </c>
      <c r="I1052" s="2" t="inlineStr">
        <is>
          <t>FC/PC</t>
        </is>
      </c>
      <c r="J1052" s="2" t="n"/>
      <c r="K1052" s="2" t="n"/>
      <c r="L1052" s="2" t="n"/>
      <c r="M1052" s="2" t="n"/>
      <c r="N1052" s="2" t="n"/>
      <c r="O1052" s="2" t="n"/>
      <c r="P1052" s="2" t="n">
        <v>20</v>
      </c>
      <c r="Q1052" s="2" t="n"/>
      <c r="R1052" s="2" t="n"/>
      <c r="S1052" s="2" t="n"/>
      <c r="T1052" s="2" t="n"/>
      <c r="U1052" s="2" t="n"/>
      <c r="V1052" s="2">
        <f>SUM(J1052:U1052)</f>
        <v/>
      </c>
      <c r="W1052" s="2" t="n">
        <v>20</v>
      </c>
      <c r="X1052" s="2" t="n"/>
      <c r="Y1052" s="2" t="n"/>
      <c r="Z1052" s="2" t="n"/>
      <c r="AA1052" s="2" t="n"/>
      <c r="AB1052" s="2" t="n"/>
      <c r="AC1052" s="2" t="n"/>
      <c r="AD1052" s="2" t="n"/>
      <c r="AE1052" s="2" t="n">
        <v>20</v>
      </c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>
        <f>IF(F1052=1,V1052*2,IF(F1052=2,V1052*F1052*2,IF(F1052&gt;2,F1052*2*V1052)))</f>
        <v/>
      </c>
      <c r="AW1052" s="2">
        <f>SUM(W1052:AU1052)</f>
        <v/>
      </c>
    </row>
    <row r="1053">
      <c r="A1053" s="2" t="inlineStr">
        <is>
          <t>A14-SB-N647</t>
        </is>
      </c>
      <c r="B1053" s="3" t="inlineStr">
        <is>
          <t>SOJC-SM-LC/PC-FC/PC</t>
        </is>
      </c>
      <c r="C1053" s="2" t="inlineStr">
        <is>
          <t>16M, B3, 2.0mm</t>
        </is>
      </c>
      <c r="D1053" s="2" t="inlineStr">
        <is>
          <t>b3</t>
        </is>
      </c>
      <c r="E1053" s="2" t="inlineStr">
        <is>
          <t>2.0mm</t>
        </is>
      </c>
      <c r="F1053" s="2" t="n">
        <v>1</v>
      </c>
      <c r="G1053" s="2" t="n">
        <v>16</v>
      </c>
      <c r="H1053" s="2" t="inlineStr">
        <is>
          <t>LC/PC</t>
        </is>
      </c>
      <c r="I1053" s="2" t="inlineStr">
        <is>
          <t>FC/PC</t>
        </is>
      </c>
      <c r="J1053" s="2" t="n"/>
      <c r="K1053" s="2" t="n"/>
      <c r="L1053" s="2" t="n"/>
      <c r="M1053" s="2" t="n"/>
      <c r="N1053" s="2" t="n"/>
      <c r="O1053" s="2" t="n"/>
      <c r="P1053" s="2" t="n">
        <v>2</v>
      </c>
      <c r="Q1053" s="2" t="n"/>
      <c r="R1053" s="2" t="n"/>
      <c r="S1053" s="2" t="n"/>
      <c r="T1053" s="2" t="n"/>
      <c r="U1053" s="2" t="n"/>
      <c r="V1053" s="2">
        <f>SUM(J1053:U1053)</f>
        <v/>
      </c>
      <c r="W1053" s="2" t="n">
        <v>2</v>
      </c>
      <c r="X1053" s="2" t="n"/>
      <c r="Y1053" s="2" t="n"/>
      <c r="Z1053" s="2" t="n"/>
      <c r="AA1053" s="2" t="n"/>
      <c r="AB1053" s="2" t="n"/>
      <c r="AC1053" s="2" t="n"/>
      <c r="AD1053" s="2" t="n"/>
      <c r="AE1053" s="2" t="n">
        <v>2</v>
      </c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>
        <f>IF(F1053=1,V1053*2,IF(F1053=2,V1053*F1053*2,IF(F1053&gt;2,F1053*2*V1053)))</f>
        <v/>
      </c>
      <c r="AW1053" s="2">
        <f>SUM(W1053:AU1053)</f>
        <v/>
      </c>
    </row>
    <row r="1054">
      <c r="A1054" s="2" t="inlineStr">
        <is>
          <t>A14-SB-N658</t>
        </is>
      </c>
      <c r="B1054" s="3" t="inlineStr">
        <is>
          <t>SOJC-SM-LC/PC-LC/PC</t>
        </is>
      </c>
      <c r="C1054" s="2" t="inlineStr">
        <is>
          <t>19M, B3, 2.0mm</t>
        </is>
      </c>
      <c r="D1054" s="2" t="inlineStr">
        <is>
          <t>b3</t>
        </is>
      </c>
      <c r="E1054" s="2" t="inlineStr">
        <is>
          <t>2.0mm</t>
        </is>
      </c>
      <c r="F1054" s="2" t="n">
        <v>1</v>
      </c>
      <c r="G1054" s="2" t="n">
        <v>19</v>
      </c>
      <c r="H1054" s="2" t="inlineStr">
        <is>
          <t>LC/PC</t>
        </is>
      </c>
      <c r="I1054" s="2" t="inlineStr">
        <is>
          <t>LC/PC</t>
        </is>
      </c>
      <c r="J1054" s="2" t="n"/>
      <c r="K1054" s="2" t="n"/>
      <c r="L1054" s="2" t="n"/>
      <c r="M1054" s="2" t="n"/>
      <c r="N1054" s="2" t="n"/>
      <c r="O1054" s="2" t="n"/>
      <c r="P1054" s="2" t="n">
        <v>25</v>
      </c>
      <c r="Q1054" s="2" t="n"/>
      <c r="R1054" s="2" t="n"/>
      <c r="S1054" s="2" t="n"/>
      <c r="T1054" s="2" t="n"/>
      <c r="U1054" s="2" t="n"/>
      <c r="V1054" s="2">
        <f>SUM(J1054:U1054)</f>
        <v/>
      </c>
      <c r="W1054" s="2" t="n">
        <v>50</v>
      </c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>
        <f>IF(F1054=1,V1054*2,IF(F1054=2,V1054*F1054*2,IF(F1054&gt;2,F1054*2*V1054)))</f>
        <v/>
      </c>
      <c r="AW1054" s="2">
        <f>SUM(W1054:AU1054)</f>
        <v/>
      </c>
    </row>
    <row r="1055">
      <c r="A1055" s="2" t="inlineStr">
        <is>
          <t>A14-SB-N659</t>
        </is>
      </c>
      <c r="B1055" s="3" t="inlineStr">
        <is>
          <t>SOJC-SM-LC/PC-LC/PC</t>
        </is>
      </c>
      <c r="C1055" s="2" t="inlineStr">
        <is>
          <t>24M, B3, 2.0mm</t>
        </is>
      </c>
      <c r="D1055" s="2" t="inlineStr">
        <is>
          <t>b3</t>
        </is>
      </c>
      <c r="E1055" s="2" t="inlineStr">
        <is>
          <t>2.0mm</t>
        </is>
      </c>
      <c r="F1055" s="2" t="n">
        <v>1</v>
      </c>
      <c r="G1055" s="2" t="n">
        <v>24</v>
      </c>
      <c r="H1055" s="2" t="inlineStr">
        <is>
          <t>LC/PC</t>
        </is>
      </c>
      <c r="I1055" s="2" t="inlineStr">
        <is>
          <t>LC/PC</t>
        </is>
      </c>
      <c r="J1055" s="2" t="n"/>
      <c r="K1055" s="2" t="n"/>
      <c r="L1055" s="2" t="n"/>
      <c r="M1055" s="2" t="n"/>
      <c r="N1055" s="2" t="n"/>
      <c r="O1055" s="2" t="n"/>
      <c r="P1055" s="2" t="n">
        <v>6</v>
      </c>
      <c r="Q1055" s="2" t="n"/>
      <c r="R1055" s="2" t="n"/>
      <c r="S1055" s="2" t="n"/>
      <c r="T1055" s="2" t="n"/>
      <c r="U1055" s="2" t="n"/>
      <c r="V1055" s="2">
        <f>SUM(J1055:U1055)</f>
        <v/>
      </c>
      <c r="W1055" s="2" t="n">
        <v>12</v>
      </c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>
        <f>IF(F1055=1,V1055*2,IF(F1055=2,V1055*F1055*2,IF(F1055&gt;2,F1055*2*V1055)))</f>
        <v/>
      </c>
      <c r="AW1055" s="2">
        <f>SUM(W1055:AU1055)</f>
        <v/>
      </c>
    </row>
    <row r="1056">
      <c r="A1056" s="2" t="inlineStr">
        <is>
          <t>A14-SB-N761</t>
        </is>
      </c>
      <c r="B1056" s="3" t="inlineStr">
        <is>
          <t>SOJC-SM-SC/PC-SC/PC</t>
        </is>
      </c>
      <c r="C1056" s="2" t="inlineStr">
        <is>
          <t>18M, B3, 2.0mm</t>
        </is>
      </c>
      <c r="D1056" s="2" t="inlineStr">
        <is>
          <t>b3</t>
        </is>
      </c>
      <c r="E1056" s="2" t="inlineStr">
        <is>
          <t>2.0mm</t>
        </is>
      </c>
      <c r="F1056" s="2" t="n">
        <v>1</v>
      </c>
      <c r="G1056" s="2" t="n">
        <v>18</v>
      </c>
      <c r="H1056" s="2" t="inlineStr">
        <is>
          <t>SC/PC</t>
        </is>
      </c>
      <c r="I1056" s="2" t="inlineStr">
        <is>
          <t>SC/PC</t>
        </is>
      </c>
      <c r="J1056" s="2" t="n">
        <v>5</v>
      </c>
      <c r="K1056" s="2" t="n"/>
      <c r="L1056" s="2" t="n"/>
      <c r="M1056" s="2" t="n"/>
      <c r="N1056" s="2" t="n"/>
      <c r="O1056" s="2" t="n"/>
      <c r="P1056" s="2" t="n"/>
      <c r="Q1056" s="2" t="n"/>
      <c r="R1056" s="2" t="n"/>
      <c r="S1056" s="2" t="n"/>
      <c r="T1056" s="2" t="n"/>
      <c r="U1056" s="2" t="n"/>
      <c r="V1056" s="2">
        <f>SUM(J1056:U1056)</f>
        <v/>
      </c>
      <c r="W1056" s="2" t="n"/>
      <c r="X1056" s="2" t="n"/>
      <c r="Y1056" s="2" t="n"/>
      <c r="Z1056" s="2" t="n"/>
      <c r="AA1056" s="2" t="n">
        <v>10</v>
      </c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>
        <f>IF(F1056=1,V1056*2,IF(F1056=2,V1056*F1056*2,IF(F1056&gt;2,F1056*2*V1056)))</f>
        <v/>
      </c>
      <c r="AW1056" s="2">
        <f>SUM(W1056:AU1056)</f>
        <v/>
      </c>
    </row>
    <row r="1057">
      <c r="A1057" s="2" t="inlineStr">
        <is>
          <t>A14-SB-N814</t>
        </is>
      </c>
      <c r="B1057" s="3" t="inlineStr">
        <is>
          <t>SOJC-SM-SC/PC-SC/APC</t>
        </is>
      </c>
      <c r="C1057" s="2" t="inlineStr">
        <is>
          <t>0.5M, B3, 2.0mm</t>
        </is>
      </c>
      <c r="D1057" s="2" t="inlineStr">
        <is>
          <t>b3</t>
        </is>
      </c>
      <c r="E1057" s="2" t="inlineStr">
        <is>
          <t>2.0mm</t>
        </is>
      </c>
      <c r="F1057" s="2" t="n">
        <v>1</v>
      </c>
      <c r="G1057" s="2" t="n">
        <v>0.5</v>
      </c>
      <c r="H1057" s="2" t="inlineStr">
        <is>
          <t>SC/PC</t>
        </is>
      </c>
      <c r="I1057" s="2" t="inlineStr">
        <is>
          <t>SC/APC</t>
        </is>
      </c>
      <c r="J1057" s="2" t="n"/>
      <c r="K1057" s="2" t="n"/>
      <c r="L1057" s="2" t="n"/>
      <c r="M1057" s="2" t="n"/>
      <c r="N1057" s="2" t="n"/>
      <c r="O1057" s="2" t="n">
        <v>650</v>
      </c>
      <c r="P1057" s="2" t="n"/>
      <c r="Q1057" s="2" t="n"/>
      <c r="R1057" s="2" t="n"/>
      <c r="S1057" s="2" t="n"/>
      <c r="T1057" s="2" t="n"/>
      <c r="U1057" s="2" t="n"/>
      <c r="V1057" s="2">
        <f>SUM(J1057:U1057)</f>
        <v/>
      </c>
      <c r="W1057" s="2" t="n"/>
      <c r="X1057" s="2" t="n"/>
      <c r="Y1057" s="2" t="n"/>
      <c r="Z1057" s="2" t="n"/>
      <c r="AA1057" s="2" t="n">
        <v>650</v>
      </c>
      <c r="AB1057" s="2" t="n"/>
      <c r="AC1057" s="2" t="n">
        <v>650</v>
      </c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>
        <f>IF(F1057=1,V1057*2,IF(F1057=2,V1057*F1057*2,IF(F1057&gt;2,F1057*2*V1057)))</f>
        <v/>
      </c>
      <c r="AW1057" s="2">
        <f>SUM(W1057:AU1057)</f>
        <v/>
      </c>
    </row>
    <row r="1058">
      <c r="A1058" s="2" t="inlineStr">
        <is>
          <t>A14-SB-N834</t>
        </is>
      </c>
      <c r="B1058" s="3" t="inlineStr">
        <is>
          <t>SOJC-SM-LC/APC-FC/APC</t>
        </is>
      </c>
      <c r="C1058" s="2" t="inlineStr">
        <is>
          <t>15M, B3, 2.0mm</t>
        </is>
      </c>
      <c r="D1058" s="2" t="inlineStr">
        <is>
          <t>b3</t>
        </is>
      </c>
      <c r="E1058" s="2" t="inlineStr">
        <is>
          <t>2.0mm</t>
        </is>
      </c>
      <c r="F1058" s="2" t="n">
        <v>1</v>
      </c>
      <c r="G1058" s="2" t="n">
        <v>15</v>
      </c>
      <c r="H1058" s="2" t="inlineStr">
        <is>
          <t>LC/APC</t>
        </is>
      </c>
      <c r="I1058" s="2" t="inlineStr">
        <is>
          <t>FC/APC</t>
        </is>
      </c>
      <c r="J1058" s="2" t="n"/>
      <c r="K1058" s="2" t="n"/>
      <c r="L1058" s="2" t="n"/>
      <c r="M1058" s="2" t="n"/>
      <c r="N1058" s="2" t="n">
        <v>60</v>
      </c>
      <c r="O1058" s="2" t="n"/>
      <c r="P1058" s="2" t="n"/>
      <c r="Q1058" s="2" t="n"/>
      <c r="R1058" s="2" t="n"/>
      <c r="S1058" s="2" t="n"/>
      <c r="T1058" s="2" t="n"/>
      <c r="U1058" s="2" t="n"/>
      <c r="V1058" s="2">
        <f>SUM(J1058:U1058)</f>
        <v/>
      </c>
      <c r="W1058" s="2" t="n"/>
      <c r="X1058" s="2" t="n"/>
      <c r="Y1058" s="2" t="n">
        <v>60</v>
      </c>
      <c r="Z1058" s="2" t="n"/>
      <c r="AA1058" s="2" t="n"/>
      <c r="AB1058" s="2" t="n"/>
      <c r="AC1058" s="2" t="n"/>
      <c r="AD1058" s="2" t="n"/>
      <c r="AE1058" s="2" t="n"/>
      <c r="AF1058" s="2" t="n"/>
      <c r="AG1058" s="2" t="n">
        <v>60</v>
      </c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>
        <f>IF(F1058=1,V1058*2,IF(F1058=2,V1058*F1058*2,IF(F1058&gt;2,F1058*2*V1058)))</f>
        <v/>
      </c>
      <c r="AW1058" s="2">
        <f>SUM(W1058:AU1058)</f>
        <v/>
      </c>
    </row>
    <row r="1059">
      <c r="A1059" s="2" t="inlineStr">
        <is>
          <t>A14-SB-N835</t>
        </is>
      </c>
      <c r="B1059" s="3" t="inlineStr">
        <is>
          <t>SOJC-SM-LC/APC-FC/PC</t>
        </is>
      </c>
      <c r="C1059" s="2" t="inlineStr">
        <is>
          <t>15M, B3, 2.0mm</t>
        </is>
      </c>
      <c r="D1059" s="2" t="inlineStr">
        <is>
          <t>b3</t>
        </is>
      </c>
      <c r="E1059" s="2" t="inlineStr">
        <is>
          <t>2.0mm</t>
        </is>
      </c>
      <c r="F1059" s="2" t="n">
        <v>1</v>
      </c>
      <c r="G1059" s="2" t="n">
        <v>15</v>
      </c>
      <c r="H1059" s="2" t="inlineStr">
        <is>
          <t>LC/APC</t>
        </is>
      </c>
      <c r="I1059" s="2" t="inlineStr">
        <is>
          <t>FC/PC</t>
        </is>
      </c>
      <c r="J1059" s="2" t="n"/>
      <c r="K1059" s="2" t="n"/>
      <c r="L1059" s="2" t="n"/>
      <c r="M1059" s="2" t="n">
        <v>15</v>
      </c>
      <c r="N1059" s="2" t="n"/>
      <c r="O1059" s="2" t="n"/>
      <c r="P1059" s="2" t="n"/>
      <c r="Q1059" s="2" t="n"/>
      <c r="R1059" s="2" t="n"/>
      <c r="S1059" s="2" t="n"/>
      <c r="T1059" s="2" t="n"/>
      <c r="U1059" s="2" t="n"/>
      <c r="V1059" s="2">
        <f>SUM(J1059:U1059)</f>
        <v/>
      </c>
      <c r="W1059" s="2" t="n"/>
      <c r="X1059" s="2" t="n"/>
      <c r="Y1059" s="2" t="n">
        <v>15</v>
      </c>
      <c r="Z1059" s="2" t="n"/>
      <c r="AA1059" s="2" t="n"/>
      <c r="AB1059" s="2" t="n"/>
      <c r="AC1059" s="2" t="n"/>
      <c r="AD1059" s="2" t="n"/>
      <c r="AE1059" s="2" t="n">
        <v>15</v>
      </c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>
        <f>IF(F1059=1,V1059*2,IF(F1059=2,V1059*F1059*2,IF(F1059&gt;2,F1059*2*V1059)))</f>
        <v/>
      </c>
      <c r="AW1059" s="2">
        <f>SUM(W1059:AU1059)</f>
        <v/>
      </c>
    </row>
    <row r="1060">
      <c r="A1060" s="2" t="inlineStr">
        <is>
          <t>A14-SB-N836</t>
        </is>
      </c>
      <c r="B1060" s="3" t="inlineStr">
        <is>
          <t>SOJC-SM-LC/APC-FC/PC</t>
        </is>
      </c>
      <c r="C1060" s="2" t="inlineStr">
        <is>
          <t>20M, B3, 2.0mm</t>
        </is>
      </c>
      <c r="D1060" s="2" t="inlineStr">
        <is>
          <t>b3</t>
        </is>
      </c>
      <c r="E1060" s="2" t="inlineStr">
        <is>
          <t>2.0mm</t>
        </is>
      </c>
      <c r="F1060" s="2" t="n">
        <v>1</v>
      </c>
      <c r="G1060" s="2" t="n">
        <v>20</v>
      </c>
      <c r="H1060" s="2" t="inlineStr">
        <is>
          <t>LC/APC</t>
        </is>
      </c>
      <c r="I1060" s="2" t="inlineStr">
        <is>
          <t>FC/PC</t>
        </is>
      </c>
      <c r="J1060" s="2" t="n"/>
      <c r="K1060" s="2" t="n"/>
      <c r="L1060" s="2" t="n"/>
      <c r="M1060" s="2" t="n">
        <v>5</v>
      </c>
      <c r="N1060" s="2" t="n"/>
      <c r="O1060" s="2" t="n"/>
      <c r="P1060" s="2" t="n"/>
      <c r="Q1060" s="2" t="n"/>
      <c r="R1060" s="2" t="n"/>
      <c r="S1060" s="2" t="n"/>
      <c r="T1060" s="2" t="n"/>
      <c r="U1060" s="2" t="n"/>
      <c r="V1060" s="2">
        <f>SUM(J1060:U1060)</f>
        <v/>
      </c>
      <c r="W1060" s="2" t="n"/>
      <c r="X1060" s="2" t="n"/>
      <c r="Y1060" s="2" t="n">
        <v>5</v>
      </c>
      <c r="Z1060" s="2" t="n"/>
      <c r="AA1060" s="2" t="n"/>
      <c r="AB1060" s="2" t="n"/>
      <c r="AC1060" s="2" t="n"/>
      <c r="AD1060" s="2" t="n"/>
      <c r="AE1060" s="2" t="n">
        <v>5</v>
      </c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>
        <f>IF(F1060=1,V1060*2,IF(F1060=2,V1060*F1060*2,IF(F1060&gt;2,F1060*2*V1060)))</f>
        <v/>
      </c>
      <c r="AW1060" s="2">
        <f>SUM(W1060:AU1060)</f>
        <v/>
      </c>
    </row>
    <row r="1061">
      <c r="A1061" s="2" t="inlineStr">
        <is>
          <t>A14-SB-N843</t>
        </is>
      </c>
      <c r="B1061" s="3" t="inlineStr">
        <is>
          <t>SOJC-SM-LC/APC-LC/APC</t>
        </is>
      </c>
      <c r="C1061" s="2" t="inlineStr">
        <is>
          <t>15M, B3, 2.0mm</t>
        </is>
      </c>
      <c r="D1061" s="2" t="inlineStr">
        <is>
          <t>b3</t>
        </is>
      </c>
      <c r="E1061" s="2" t="inlineStr">
        <is>
          <t>2.0mm</t>
        </is>
      </c>
      <c r="F1061" s="2" t="n">
        <v>1</v>
      </c>
      <c r="G1061" s="2" t="n">
        <v>15</v>
      </c>
      <c r="H1061" s="2" t="inlineStr">
        <is>
          <t>LC/APC</t>
        </is>
      </c>
      <c r="I1061" s="2" t="inlineStr">
        <is>
          <t>LC/APC</t>
        </is>
      </c>
      <c r="J1061" s="2" t="n"/>
      <c r="K1061" s="2" t="n"/>
      <c r="L1061" s="2" t="n"/>
      <c r="M1061" s="2" t="n">
        <v>100</v>
      </c>
      <c r="N1061" s="2" t="n"/>
      <c r="O1061" s="2" t="n"/>
      <c r="P1061" s="2" t="n"/>
      <c r="Q1061" s="2" t="n"/>
      <c r="R1061" s="2" t="n"/>
      <c r="S1061" s="2" t="n"/>
      <c r="T1061" s="2" t="n"/>
      <c r="U1061" s="2" t="n"/>
      <c r="V1061" s="2">
        <f>SUM(J1061:U1061)</f>
        <v/>
      </c>
      <c r="W1061" s="2" t="n"/>
      <c r="X1061" s="2" t="n"/>
      <c r="Y1061" s="2" t="n">
        <v>200</v>
      </c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>
        <f>IF(F1061=1,V1061*2,IF(F1061=2,V1061*F1061*2,IF(F1061&gt;2,F1061*2*V1061)))</f>
        <v/>
      </c>
      <c r="AW1061" s="2">
        <f>SUM(W1061:AU1061)</f>
        <v/>
      </c>
    </row>
    <row r="1062">
      <c r="A1062" s="2" t="inlineStr">
        <is>
          <t>A14-SB-ND49</t>
        </is>
      </c>
      <c r="B1062" s="3" t="inlineStr">
        <is>
          <t>SOJC-SM-LC/PC-FC/APC</t>
        </is>
      </c>
      <c r="C1062" s="2" t="inlineStr">
        <is>
          <t>21M, B3, 2.0mm</t>
        </is>
      </c>
      <c r="D1062" s="2" t="inlineStr">
        <is>
          <t>b3</t>
        </is>
      </c>
      <c r="E1062" s="2" t="inlineStr">
        <is>
          <t>2.0mm</t>
        </is>
      </c>
      <c r="F1062" s="2" t="n">
        <v>1</v>
      </c>
      <c r="G1062" s="2" t="n">
        <v>21</v>
      </c>
      <c r="H1062" s="2" t="inlineStr">
        <is>
          <t>LC/PC</t>
        </is>
      </c>
      <c r="I1062" s="2" t="inlineStr">
        <is>
          <t>FC/APC</t>
        </is>
      </c>
      <c r="J1062" s="2" t="n"/>
      <c r="K1062" s="2" t="n"/>
      <c r="L1062" s="2" t="n">
        <v>15</v>
      </c>
      <c r="M1062" s="2" t="n"/>
      <c r="N1062" s="2" t="n"/>
      <c r="O1062" s="2" t="n"/>
      <c r="P1062" s="2" t="n"/>
      <c r="Q1062" s="2" t="n"/>
      <c r="R1062" s="2" t="n"/>
      <c r="S1062" s="2" t="n"/>
      <c r="T1062" s="2" t="n"/>
      <c r="U1062" s="2" t="n"/>
      <c r="V1062" s="2">
        <f>SUM(J1062:U1062)</f>
        <v/>
      </c>
      <c r="W1062" s="2" t="n">
        <v>15</v>
      </c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>
        <v>15</v>
      </c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>
        <f>IF(F1062=1,V1062*2,IF(F1062=2,V1062*F1062*2,IF(F1062&gt;2,F1062*2*V1062)))</f>
        <v/>
      </c>
      <c r="AW1062" s="2">
        <f>SUM(W1062:AU1062)</f>
        <v/>
      </c>
    </row>
    <row r="1063">
      <c r="A1063" s="2" t="inlineStr">
        <is>
          <t>A14-SB-ND50</t>
        </is>
      </c>
      <c r="B1063" s="3" t="inlineStr">
        <is>
          <t>SOJC-SM-LC/APC-LC/APC</t>
        </is>
      </c>
      <c r="C1063" s="2" t="inlineStr">
        <is>
          <t>13M, B3, 2.0mm</t>
        </is>
      </c>
      <c r="D1063" s="2" t="inlineStr">
        <is>
          <t>b3</t>
        </is>
      </c>
      <c r="E1063" s="2" t="inlineStr">
        <is>
          <t>2.0mm</t>
        </is>
      </c>
      <c r="F1063" s="2" t="n">
        <v>1</v>
      </c>
      <c r="G1063" s="2" t="n">
        <v>13</v>
      </c>
      <c r="H1063" s="2" t="inlineStr">
        <is>
          <t>LC/APC</t>
        </is>
      </c>
      <c r="I1063" s="2" t="inlineStr">
        <is>
          <t>LC/APC</t>
        </is>
      </c>
      <c r="J1063" s="2" t="n"/>
      <c r="K1063" s="2" t="n"/>
      <c r="L1063" s="2" t="n"/>
      <c r="M1063" s="2" t="n">
        <v>100</v>
      </c>
      <c r="N1063" s="2" t="n"/>
      <c r="O1063" s="2" t="n"/>
      <c r="P1063" s="2" t="n"/>
      <c r="Q1063" s="2" t="n"/>
      <c r="R1063" s="2" t="n"/>
      <c r="S1063" s="2" t="n"/>
      <c r="T1063" s="2" t="n"/>
      <c r="U1063" s="2" t="n"/>
      <c r="V1063" s="2">
        <f>SUM(J1063:U1063)</f>
        <v/>
      </c>
      <c r="W1063" s="2" t="n"/>
      <c r="X1063" s="2" t="n"/>
      <c r="Y1063" s="2" t="n">
        <v>200</v>
      </c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>
        <f>IF(F1063=1,V1063*2,IF(F1063=2,V1063*F1063*2,IF(F1063&gt;2,F1063*2*V1063)))</f>
        <v/>
      </c>
      <c r="AW1063" s="2">
        <f>SUM(W1063:AU1063)</f>
        <v/>
      </c>
    </row>
    <row r="1064">
      <c r="A1064" s="2" t="inlineStr">
        <is>
          <t>A14-SB-ND51</t>
        </is>
      </c>
      <c r="B1064" s="3" t="inlineStr">
        <is>
          <t>SOJC-SM-LC/APC-SC/PC</t>
        </is>
      </c>
      <c r="C1064" s="2" t="inlineStr">
        <is>
          <t>6M, B3, 2.0mm</t>
        </is>
      </c>
      <c r="D1064" s="2" t="inlineStr">
        <is>
          <t>b3</t>
        </is>
      </c>
      <c r="E1064" s="2" t="inlineStr">
        <is>
          <t>2.0mm</t>
        </is>
      </c>
      <c r="F1064" s="2" t="n">
        <v>1</v>
      </c>
      <c r="G1064" s="2" t="n">
        <v>6</v>
      </c>
      <c r="H1064" s="2" t="inlineStr">
        <is>
          <t>LC/APC</t>
        </is>
      </c>
      <c r="I1064" s="2" t="inlineStr">
        <is>
          <t>SC/PC</t>
        </is>
      </c>
      <c r="J1064" s="2" t="n"/>
      <c r="K1064" s="2" t="n"/>
      <c r="L1064" s="2" t="n"/>
      <c r="M1064" s="2" t="n"/>
      <c r="N1064" s="2" t="n">
        <v>12</v>
      </c>
      <c r="O1064" s="2" t="n"/>
      <c r="P1064" s="2" t="n"/>
      <c r="Q1064" s="2" t="n"/>
      <c r="R1064" s="2" t="n"/>
      <c r="S1064" s="2" t="n"/>
      <c r="T1064" s="2" t="n"/>
      <c r="U1064" s="2" t="n"/>
      <c r="V1064" s="2">
        <f>SUM(J1064:U1064)</f>
        <v/>
      </c>
      <c r="W1064" s="2" t="n"/>
      <c r="X1064" s="2" t="n"/>
      <c r="Y1064" s="2" t="n">
        <v>12</v>
      </c>
      <c r="Z1064" s="2" t="n"/>
      <c r="AA1064" s="2" t="n">
        <v>12</v>
      </c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>
        <f>IF(F1064=1,V1064*2,IF(F1064=2,V1064*F1064*2,IF(F1064&gt;2,F1064*2*V1064)))</f>
        <v/>
      </c>
      <c r="AW1064" s="2">
        <f>SUM(W1064:AU1064)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20" customWidth="1" min="24" max="24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24년01월</t>
        </is>
      </c>
      <c r="K1" s="1" t="inlineStr">
        <is>
          <t>24년02월</t>
        </is>
      </c>
      <c r="L1" s="1" t="inlineStr">
        <is>
          <t>24년03월</t>
        </is>
      </c>
      <c r="M1" s="1" t="inlineStr">
        <is>
          <t>24년04월</t>
        </is>
      </c>
      <c r="N1" s="1" t="inlineStr">
        <is>
          <t>24년05월</t>
        </is>
      </c>
      <c r="O1" s="1" t="inlineStr">
        <is>
          <t>24년06월</t>
        </is>
      </c>
      <c r="P1" s="1" t="inlineStr">
        <is>
          <t>24년07월</t>
        </is>
      </c>
      <c r="Q1" s="1" t="inlineStr">
        <is>
          <t>24년08월</t>
        </is>
      </c>
      <c r="R1" s="1" t="inlineStr">
        <is>
          <t>24년09월</t>
        </is>
      </c>
      <c r="S1" s="1" t="inlineStr">
        <is>
          <t>24년10월</t>
        </is>
      </c>
      <c r="T1" s="1" t="inlineStr">
        <is>
          <t>24년11월</t>
        </is>
      </c>
      <c r="U1" s="1" t="inlineStr">
        <is>
          <t>24년12월</t>
        </is>
      </c>
      <c r="V1" s="1" t="inlineStr">
        <is>
          <t>케이블 사용량</t>
        </is>
      </c>
      <c r="W1" s="1" t="inlineStr">
        <is>
          <t>최고제작량</t>
        </is>
      </c>
      <c r="X1" s="1" t="inlineStr">
        <is>
          <t>최고판매 케이블 소요량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/>
      <c r="K2" s="2" t="n">
        <v>20</v>
      </c>
      <c r="L2" s="2" t="n">
        <v>30</v>
      </c>
      <c r="M2" s="2" t="n"/>
      <c r="N2" s="2" t="n">
        <v>30</v>
      </c>
      <c r="O2" s="2" t="n">
        <v>80</v>
      </c>
      <c r="P2" s="2" t="n"/>
      <c r="Q2" s="2" t="n">
        <v>150</v>
      </c>
      <c r="R2" s="2" t="n"/>
      <c r="S2" s="2" t="n"/>
      <c r="T2" s="2" t="n"/>
      <c r="U2" s="2" t="n">
        <v>20</v>
      </c>
      <c r="V2" s="2">
        <f>SUM(J2:U2)*G2</f>
        <v/>
      </c>
      <c r="W2" s="2">
        <f>MAX(J2:U2)</f>
        <v/>
      </c>
      <c r="X2" s="2">
        <f>W2*G2</f>
        <v/>
      </c>
    </row>
    <row r="3">
      <c r="A3" s="2" t="inlineStr">
        <is>
          <t>14-C-003</t>
        </is>
      </c>
      <c r="B3" s="3" t="inlineStr">
        <is>
          <t>DROP-CABLE(LC/PC)</t>
        </is>
      </c>
      <c r="C3" s="2" t="inlineStr">
        <is>
          <t>20M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20</v>
      </c>
      <c r="H3" s="2" t="inlineStr">
        <is>
          <t>LC/PC</t>
        </is>
      </c>
      <c r="I3" s="2" t="inlineStr">
        <is>
          <t>LC/PC</t>
        </is>
      </c>
      <c r="J3" s="2" t="n"/>
      <c r="K3" s="2" t="n"/>
      <c r="L3" s="2" t="n"/>
      <c r="M3" s="2" t="n"/>
      <c r="N3" s="2" t="n">
        <v>100</v>
      </c>
      <c r="O3" s="2" t="n">
        <v>100</v>
      </c>
      <c r="P3" s="2" t="n"/>
      <c r="Q3" s="2" t="n"/>
      <c r="R3" s="2" t="n"/>
      <c r="S3" s="2" t="n"/>
      <c r="T3" s="2" t="n">
        <v>30</v>
      </c>
      <c r="U3" s="2" t="n"/>
      <c r="V3" s="2">
        <f>SUM(J3:U3)*G3</f>
        <v/>
      </c>
      <c r="W3" s="2">
        <f>MAX(J3:U3)</f>
        <v/>
      </c>
      <c r="X3" s="2">
        <f>W3*G3</f>
        <v/>
      </c>
    </row>
    <row r="4">
      <c r="A4" s="2" t="inlineStr">
        <is>
          <t>14-C-005</t>
        </is>
      </c>
      <c r="B4" s="3" t="inlineStr">
        <is>
          <t>DROP-CABLE(LC/PC)</t>
        </is>
      </c>
      <c r="C4" s="2" t="inlineStr">
        <is>
          <t>3M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3</v>
      </c>
      <c r="H4" s="2" t="inlineStr">
        <is>
          <t>LC/PC</t>
        </is>
      </c>
      <c r="I4" s="2" t="inlineStr">
        <is>
          <t>LC/PC</t>
        </is>
      </c>
      <c r="J4" s="2" t="n">
        <v>50</v>
      </c>
      <c r="K4" s="2" t="n">
        <v>30</v>
      </c>
      <c r="L4" s="2" t="n">
        <v>200</v>
      </c>
      <c r="M4" s="2" t="n"/>
      <c r="N4" s="2" t="n">
        <v>470</v>
      </c>
      <c r="O4" s="2" t="n"/>
      <c r="P4" s="2" t="n"/>
      <c r="Q4" s="2" t="n"/>
      <c r="R4" s="2" t="n">
        <v>50</v>
      </c>
      <c r="S4" s="2" t="n">
        <v>50</v>
      </c>
      <c r="T4" s="2" t="n">
        <v>30</v>
      </c>
      <c r="U4" s="2" t="n"/>
      <c r="V4" s="2">
        <f>SUM(J4:U4)*G4</f>
        <v/>
      </c>
      <c r="W4" s="2">
        <f>MAX(J4:U4)</f>
        <v/>
      </c>
      <c r="X4" s="2">
        <f>W4*G4</f>
        <v/>
      </c>
    </row>
    <row r="5">
      <c r="A5" s="2" t="inlineStr">
        <is>
          <t>14-C-006</t>
        </is>
      </c>
      <c r="B5" s="3" t="inlineStr">
        <is>
          <t>DROP-CABLE(LC/PC)</t>
        </is>
      </c>
      <c r="C5" s="2" t="inlineStr">
        <is>
          <t>5M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5</v>
      </c>
      <c r="H5" s="2" t="inlineStr">
        <is>
          <t>LC/PC</t>
        </is>
      </c>
      <c r="I5" s="2" t="inlineStr">
        <is>
          <t>LC/PC</t>
        </is>
      </c>
      <c r="J5" s="2" t="n">
        <v>30</v>
      </c>
      <c r="K5" s="2" t="n">
        <v>50</v>
      </c>
      <c r="L5" s="2" t="n">
        <v>200</v>
      </c>
      <c r="M5" s="2" t="n"/>
      <c r="N5" s="2" t="n"/>
      <c r="O5" s="2" t="n"/>
      <c r="P5" s="2" t="n"/>
      <c r="Q5" s="2" t="n">
        <v>50</v>
      </c>
      <c r="R5" s="2" t="n">
        <v>30</v>
      </c>
      <c r="S5" s="2" t="n">
        <v>110</v>
      </c>
      <c r="T5" s="2" t="n">
        <v>10</v>
      </c>
      <c r="U5" s="2" t="n"/>
      <c r="V5" s="2">
        <f>SUM(J5:U5)*G5</f>
        <v/>
      </c>
      <c r="W5" s="2">
        <f>MAX(J5:U5)</f>
        <v/>
      </c>
      <c r="X5" s="2">
        <f>W5*G5</f>
        <v/>
      </c>
    </row>
    <row r="6">
      <c r="A6" s="2" t="inlineStr">
        <is>
          <t>14-C-009</t>
        </is>
      </c>
      <c r="B6" s="3" t="inlineStr">
        <is>
          <t>DROP-CABLE(LC/PC-SC/APC)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>
        <v>30</v>
      </c>
      <c r="O6" s="2" t="n"/>
      <c r="P6" s="2" t="n">
        <v>100</v>
      </c>
      <c r="Q6" s="2" t="n"/>
      <c r="R6" s="2" t="n"/>
      <c r="S6" s="2" t="n"/>
      <c r="T6" s="2" t="n"/>
      <c r="U6" s="2" t="n"/>
      <c r="V6" s="2">
        <f>SUM(J6:U6)*G6</f>
        <v/>
      </c>
      <c r="W6" s="2">
        <f>MAX(J6:U6)</f>
        <v/>
      </c>
      <c r="X6" s="2">
        <f>W6*G6</f>
        <v/>
      </c>
    </row>
    <row r="7">
      <c r="A7" s="2" t="inlineStr">
        <is>
          <t>14-C-010</t>
        </is>
      </c>
      <c r="B7" s="3" t="inlineStr">
        <is>
          <t>DROP-CABLE(LC/PC-SC/APC)</t>
        </is>
      </c>
      <c r="C7" s="2" t="inlineStr">
        <is>
          <t>20M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20</v>
      </c>
      <c r="H7" s="2" t="inlineStr">
        <is>
          <t>LC/PC</t>
        </is>
      </c>
      <c r="I7" s="2" t="inlineStr">
        <is>
          <t>SC/APC</t>
        </is>
      </c>
      <c r="J7" s="2" t="n"/>
      <c r="K7" s="2" t="n"/>
      <c r="L7" s="2" t="n"/>
      <c r="M7" s="2" t="n">
        <v>30</v>
      </c>
      <c r="N7" s="2" t="n"/>
      <c r="O7" s="2" t="n"/>
      <c r="P7" s="2" t="n"/>
      <c r="Q7" s="2" t="n"/>
      <c r="R7" s="2" t="n"/>
      <c r="S7" s="2" t="n"/>
      <c r="T7" s="2" t="n"/>
      <c r="U7" s="2" t="n"/>
      <c r="V7" s="2">
        <f>SUM(J7:U7)*G7</f>
        <v/>
      </c>
      <c r="W7" s="2">
        <f>MAX(J7:U7)</f>
        <v/>
      </c>
      <c r="X7" s="2">
        <f>W7*G7</f>
        <v/>
      </c>
    </row>
    <row r="8">
      <c r="A8" s="2" t="inlineStr">
        <is>
          <t>14-C-013</t>
        </is>
      </c>
      <c r="B8" s="3" t="inlineStr">
        <is>
          <t>DROP-CABLE(SC/APC)</t>
        </is>
      </c>
      <c r="C8" s="2" t="inlineStr">
        <is>
          <t>10M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10</v>
      </c>
      <c r="H8" s="2" t="inlineStr">
        <is>
          <t>SC/APC</t>
        </is>
      </c>
      <c r="I8" s="2" t="inlineStr">
        <is>
          <t>SC/APC</t>
        </is>
      </c>
      <c r="J8" s="2" t="n"/>
      <c r="K8" s="2" t="n"/>
      <c r="L8" s="2" t="n"/>
      <c r="M8" s="2" t="n"/>
      <c r="N8" s="2" t="n"/>
      <c r="O8" s="2" t="n"/>
      <c r="P8" s="2" t="n"/>
      <c r="Q8" s="2" t="n">
        <v>50</v>
      </c>
      <c r="R8" s="2" t="n"/>
      <c r="S8" s="2" t="n">
        <v>15</v>
      </c>
      <c r="T8" s="2" t="n"/>
      <c r="U8" s="2" t="n">
        <v>20</v>
      </c>
      <c r="V8" s="2">
        <f>SUM(J8:U8)*G8</f>
        <v/>
      </c>
      <c r="W8" s="2">
        <f>MAX(J8:U8)</f>
        <v/>
      </c>
      <c r="X8" s="2">
        <f>W8*G8</f>
        <v/>
      </c>
    </row>
    <row r="9">
      <c r="A9" s="2" t="inlineStr">
        <is>
          <t>14-C-015</t>
        </is>
      </c>
      <c r="B9" s="3" t="inlineStr">
        <is>
          <t>DROP-CABLE(SC/APC)</t>
        </is>
      </c>
      <c r="C9" s="2" t="inlineStr">
        <is>
          <t>15M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15</v>
      </c>
      <c r="H9" s="2" t="inlineStr">
        <is>
          <t>SC/APC</t>
        </is>
      </c>
      <c r="I9" s="2" t="inlineStr">
        <is>
          <t>SC/APC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>
        <v>20</v>
      </c>
      <c r="V9" s="2">
        <f>SUM(J9:U9)*G9</f>
        <v/>
      </c>
      <c r="W9" s="2">
        <f>MAX(J9:U9)</f>
        <v/>
      </c>
      <c r="X9" s="2">
        <f>W9*G9</f>
        <v/>
      </c>
    </row>
    <row r="10">
      <c r="A10" s="2" t="inlineStr">
        <is>
          <t>14-C-018</t>
        </is>
      </c>
      <c r="B10" s="3" t="inlineStr">
        <is>
          <t>DROP-CABLE(SC/APC)</t>
        </is>
      </c>
      <c r="C10" s="2" t="inlineStr">
        <is>
          <t>25M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25</v>
      </c>
      <c r="H10" s="2" t="inlineStr">
        <is>
          <t>SC/APC</t>
        </is>
      </c>
      <c r="I10" s="2" t="inlineStr">
        <is>
          <t>SC/APC</t>
        </is>
      </c>
      <c r="J10" s="2" t="n"/>
      <c r="K10" s="2" t="n"/>
      <c r="L10" s="2" t="n"/>
      <c r="M10" s="2" t="n"/>
      <c r="N10" s="2" t="n"/>
      <c r="O10" s="2" t="n">
        <v>5</v>
      </c>
      <c r="P10" s="2" t="n"/>
      <c r="Q10" s="2" t="n"/>
      <c r="R10" s="2" t="n"/>
      <c r="S10" s="2" t="n"/>
      <c r="T10" s="2" t="n"/>
      <c r="U10" s="2" t="n"/>
      <c r="V10" s="2">
        <f>SUM(J10:U10)*G10</f>
        <v/>
      </c>
      <c r="W10" s="2">
        <f>MAX(J10:U10)</f>
        <v/>
      </c>
      <c r="X10" s="2">
        <f>W10*G10</f>
        <v/>
      </c>
    </row>
    <row r="11">
      <c r="A11" s="2" t="inlineStr">
        <is>
          <t>14-C-024</t>
        </is>
      </c>
      <c r="B11" s="3" t="inlineStr">
        <is>
          <t>DROP-CABLE(SC/APC)</t>
        </is>
      </c>
      <c r="C11" s="2" t="inlineStr">
        <is>
          <t>50M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50</v>
      </c>
      <c r="H11" s="2" t="inlineStr">
        <is>
          <t>SC/APC</t>
        </is>
      </c>
      <c r="I11" s="2" t="inlineStr">
        <is>
          <t>SC/APC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>
        <v>10</v>
      </c>
      <c r="V11" s="2">
        <f>SUM(J11:U11)*G11</f>
        <v/>
      </c>
      <c r="W11" s="2">
        <f>MAX(J11:U11)</f>
        <v/>
      </c>
      <c r="X11" s="2">
        <f>W11*G11</f>
        <v/>
      </c>
    </row>
    <row r="12">
      <c r="A12" s="2" t="inlineStr">
        <is>
          <t>14-C-026</t>
        </is>
      </c>
      <c r="B12" s="3" t="inlineStr">
        <is>
          <t>DROP-CABLE(SC/APC)</t>
        </is>
      </c>
      <c r="C12" s="2" t="inlineStr">
        <is>
          <t>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5</v>
      </c>
      <c r="H12" s="2" t="inlineStr">
        <is>
          <t>SC/APC</t>
        </is>
      </c>
      <c r="I12" s="2" t="inlineStr">
        <is>
          <t>SC/APC</t>
        </is>
      </c>
      <c r="J12" s="2" t="n">
        <v>10</v>
      </c>
      <c r="K12" s="2" t="n">
        <v>121</v>
      </c>
      <c r="L12" s="2" t="n"/>
      <c r="M12" s="2" t="n"/>
      <c r="N12" s="2" t="n">
        <v>200</v>
      </c>
      <c r="O12" s="2" t="n"/>
      <c r="P12" s="2" t="n">
        <v>10</v>
      </c>
      <c r="Q12" s="2" t="n">
        <v>50</v>
      </c>
      <c r="R12" s="2" t="n"/>
      <c r="S12" s="2" t="n"/>
      <c r="T12" s="2" t="n"/>
      <c r="U12" s="2" t="n">
        <v>10</v>
      </c>
      <c r="V12" s="2">
        <f>SUM(J12:U12)*G12</f>
        <v/>
      </c>
      <c r="W12" s="2">
        <f>MAX(J12:U12)</f>
        <v/>
      </c>
      <c r="X12" s="2">
        <f>W12*G12</f>
        <v/>
      </c>
    </row>
    <row r="13">
      <c r="A13" s="2" t="inlineStr">
        <is>
          <t>14-C-029</t>
        </is>
      </c>
      <c r="B13" s="3" t="inlineStr">
        <is>
          <t>DROP-CABLE(SC/APC)</t>
        </is>
      </c>
      <c r="C13" s="2" t="inlineStr">
        <is>
          <t>70M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70</v>
      </c>
      <c r="H13" s="2" t="inlineStr">
        <is>
          <t>SC/APC</t>
        </is>
      </c>
      <c r="I13" s="2" t="inlineStr">
        <is>
          <t>SC/APC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>
        <v>6</v>
      </c>
      <c r="T13" s="2" t="n"/>
      <c r="U13" s="2" t="n">
        <v>1</v>
      </c>
      <c r="V13" s="2">
        <f>SUM(J13:U13)*G13</f>
        <v/>
      </c>
      <c r="W13" s="2">
        <f>MAX(J13:U13)</f>
        <v/>
      </c>
      <c r="X13" s="2">
        <f>W13*G13</f>
        <v/>
      </c>
    </row>
    <row r="14">
      <c r="A14" s="2" t="inlineStr">
        <is>
          <t>14-C-040</t>
        </is>
      </c>
      <c r="B14" s="3" t="inlineStr">
        <is>
          <t>DROP-CABLE(SC/PC)</t>
        </is>
      </c>
      <c r="C14" s="2" t="inlineStr">
        <is>
          <t>120M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120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/>
      <c r="O14" s="2" t="n"/>
      <c r="P14" s="2" t="n"/>
      <c r="Q14" s="2" t="n">
        <v>10</v>
      </c>
      <c r="R14" s="2" t="n"/>
      <c r="S14" s="2" t="n"/>
      <c r="T14" s="2" t="n"/>
      <c r="U14" s="2" t="n"/>
      <c r="V14" s="2">
        <f>SUM(J14:U14)*G14</f>
        <v/>
      </c>
      <c r="W14" s="2">
        <f>MAX(J14:U14)</f>
        <v/>
      </c>
      <c r="X14" s="2">
        <f>W14*G14</f>
        <v/>
      </c>
    </row>
    <row r="15">
      <c r="A15" s="2" t="inlineStr">
        <is>
          <t>14-C-048</t>
        </is>
      </c>
      <c r="B15" s="3" t="inlineStr">
        <is>
          <t>DROP-CABLE(SC/PC)</t>
        </is>
      </c>
      <c r="C15" s="2" t="inlineStr">
        <is>
          <t>1M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1</v>
      </c>
      <c r="H15" s="2" t="inlineStr">
        <is>
          <t>SC/PC</t>
        </is>
      </c>
      <c r="I15" s="2" t="inlineStr">
        <is>
          <t>SC/PC</t>
        </is>
      </c>
      <c r="J15" s="2" t="n">
        <v>30</v>
      </c>
      <c r="K15" s="2" t="n">
        <v>60</v>
      </c>
      <c r="L15" s="2" t="n"/>
      <c r="M15" s="2" t="n"/>
      <c r="N15" s="2" t="n">
        <v>110</v>
      </c>
      <c r="O15" s="2" t="n">
        <v>10</v>
      </c>
      <c r="P15" s="2" t="n">
        <v>30</v>
      </c>
      <c r="Q15" s="2" t="n">
        <v>10</v>
      </c>
      <c r="R15" s="2" t="n">
        <v>30</v>
      </c>
      <c r="S15" s="2" t="n">
        <v>230</v>
      </c>
      <c r="T15" s="2" t="n"/>
      <c r="U15" s="2" t="n"/>
      <c r="V15" s="2">
        <f>SUM(J15:U15)*G15</f>
        <v/>
      </c>
      <c r="W15" s="2">
        <f>MAX(J15:U15)</f>
        <v/>
      </c>
      <c r="X15" s="2">
        <f>W15*G15</f>
        <v/>
      </c>
    </row>
    <row r="16">
      <c r="A16" s="2" t="inlineStr">
        <is>
          <t>14-C-053</t>
        </is>
      </c>
      <c r="B16" s="3" t="inlineStr">
        <is>
          <t>DROP-CABLE(SC/PC)</t>
        </is>
      </c>
      <c r="C16" s="2" t="inlineStr">
        <is>
          <t>30M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30</v>
      </c>
      <c r="H16" s="2" t="inlineStr">
        <is>
          <t>SC/PC</t>
        </is>
      </c>
      <c r="I16" s="2" t="inlineStr">
        <is>
          <t>SC/PC</t>
        </is>
      </c>
      <c r="J16" s="2" t="n"/>
      <c r="K16" s="2" t="n"/>
      <c r="L16" s="2" t="n"/>
      <c r="M16" s="2" t="n"/>
      <c r="N16" s="2" t="n"/>
      <c r="O16" s="2" t="n"/>
      <c r="P16" s="2" t="n">
        <v>2</v>
      </c>
      <c r="Q16" s="2" t="n"/>
      <c r="R16" s="2" t="n"/>
      <c r="S16" s="2" t="n"/>
      <c r="T16" s="2" t="n"/>
      <c r="U16" s="2" t="n"/>
      <c r="V16" s="2">
        <f>SUM(J16:U16)*G16</f>
        <v/>
      </c>
      <c r="W16" s="2">
        <f>MAX(J16:U16)</f>
        <v/>
      </c>
      <c r="X16" s="2">
        <f>W16*G16</f>
        <v/>
      </c>
    </row>
    <row r="17">
      <c r="A17" s="2" t="inlineStr">
        <is>
          <t>14-C-055</t>
        </is>
      </c>
      <c r="B17" s="3" t="inlineStr">
        <is>
          <t>DROP-CABLE(SC/PC)</t>
        </is>
      </c>
      <c r="C17" s="2" t="inlineStr">
        <is>
          <t>3M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</v>
      </c>
      <c r="H17" s="2" t="inlineStr">
        <is>
          <t>SC/PC</t>
        </is>
      </c>
      <c r="I17" s="2" t="inlineStr">
        <is>
          <t>SC/PC</t>
        </is>
      </c>
      <c r="J17" s="2" t="n">
        <v>10</v>
      </c>
      <c r="K17" s="2" t="n"/>
      <c r="L17" s="2" t="n">
        <v>10</v>
      </c>
      <c r="M17" s="2" t="n"/>
      <c r="N17" s="2" t="n"/>
      <c r="O17" s="2" t="n"/>
      <c r="P17" s="2" t="n"/>
      <c r="Q17" s="2" t="n"/>
      <c r="R17" s="2" t="n">
        <v>10</v>
      </c>
      <c r="S17" s="2" t="n"/>
      <c r="T17" s="2" t="n"/>
      <c r="U17" s="2" t="n"/>
      <c r="V17" s="2">
        <f>SUM(J17:U17)*G17</f>
        <v/>
      </c>
      <c r="W17" s="2">
        <f>MAX(J17:U17)</f>
        <v/>
      </c>
      <c r="X17" s="2">
        <f>W17*G17</f>
        <v/>
      </c>
    </row>
    <row r="18">
      <c r="A18" s="2" t="inlineStr">
        <is>
          <t>14-C-059</t>
        </is>
      </c>
      <c r="B18" s="3" t="inlineStr">
        <is>
          <t>DROP-CABLE(SC/PC)</t>
        </is>
      </c>
      <c r="C18" s="2" t="inlineStr">
        <is>
          <t>50M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50</v>
      </c>
      <c r="H18" s="2" t="inlineStr">
        <is>
          <t>SC/PC</t>
        </is>
      </c>
      <c r="I18" s="2" t="inlineStr">
        <is>
          <t>SC/PC</t>
        </is>
      </c>
      <c r="J18" s="2" t="n"/>
      <c r="K18" s="2" t="n"/>
      <c r="L18" s="2" t="n"/>
      <c r="M18" s="2" t="n"/>
      <c r="N18" s="2" t="n">
        <v>1</v>
      </c>
      <c r="O18" s="2" t="n"/>
      <c r="P18" s="2" t="n"/>
      <c r="Q18" s="2" t="n">
        <v>20</v>
      </c>
      <c r="R18" s="2" t="n"/>
      <c r="S18" s="2" t="n"/>
      <c r="T18" s="2" t="n"/>
      <c r="U18" s="2" t="n"/>
      <c r="V18" s="2">
        <f>SUM(J18:U18)*G18</f>
        <v/>
      </c>
      <c r="W18" s="2">
        <f>MAX(J18:U18)</f>
        <v/>
      </c>
      <c r="X18" s="2">
        <f>W18*G18</f>
        <v/>
      </c>
    </row>
    <row r="19">
      <c r="A19" s="2" t="inlineStr">
        <is>
          <t>14-C-062</t>
        </is>
      </c>
      <c r="B19" s="3" t="inlineStr">
        <is>
          <t>DROP-CABLE(SC/PC)</t>
        </is>
      </c>
      <c r="C19" s="2" t="inlineStr">
        <is>
          <t>60M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60</v>
      </c>
      <c r="H19" s="2" t="inlineStr">
        <is>
          <t>SC/PC</t>
        </is>
      </c>
      <c r="I19" s="2" t="inlineStr">
        <is>
          <t>SC/PC</t>
        </is>
      </c>
      <c r="J19" s="2" t="n"/>
      <c r="K19" s="2" t="n"/>
      <c r="L19" s="2" t="n"/>
      <c r="M19" s="2" t="n"/>
      <c r="N19" s="2" t="n"/>
      <c r="O19" s="2" t="n"/>
      <c r="P19" s="2" t="n"/>
      <c r="Q19" s="2" t="n">
        <v>20</v>
      </c>
      <c r="R19" s="2" t="n"/>
      <c r="S19" s="2" t="n"/>
      <c r="T19" s="2" t="n"/>
      <c r="U19" s="2" t="n"/>
      <c r="V19" s="2">
        <f>SUM(J19:U19)*G19</f>
        <v/>
      </c>
      <c r="W19" s="2">
        <f>MAX(J19:U19)</f>
        <v/>
      </c>
      <c r="X19" s="2">
        <f>W19*G19</f>
        <v/>
      </c>
    </row>
    <row r="20">
      <c r="A20" s="2" t="inlineStr">
        <is>
          <t>14-C-065</t>
        </is>
      </c>
      <c r="B20" s="3" t="inlineStr">
        <is>
          <t>DROP-CABLE(SC/PC)</t>
        </is>
      </c>
      <c r="C20" s="2" t="inlineStr">
        <is>
          <t>70M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70</v>
      </c>
      <c r="H20" s="2" t="inlineStr">
        <is>
          <t>SC/PC</t>
        </is>
      </c>
      <c r="I20" s="2" t="inlineStr">
        <is>
          <t>SC/PC</t>
        </is>
      </c>
      <c r="J20" s="2" t="n"/>
      <c r="K20" s="2" t="n"/>
      <c r="L20" s="2" t="n">
        <v>10</v>
      </c>
      <c r="M20" s="2" t="n"/>
      <c r="N20" s="2" t="n"/>
      <c r="O20" s="2" t="n"/>
      <c r="P20" s="2" t="n"/>
      <c r="Q20" s="2" t="n">
        <v>20</v>
      </c>
      <c r="R20" s="2" t="n"/>
      <c r="S20" s="2" t="n"/>
      <c r="T20" s="2" t="n"/>
      <c r="U20" s="2" t="n"/>
      <c r="V20" s="2">
        <f>SUM(J20:U20)*G20</f>
        <v/>
      </c>
      <c r="W20" s="2">
        <f>MAX(J20:U20)</f>
        <v/>
      </c>
      <c r="X20" s="2">
        <f>W20*G20</f>
        <v/>
      </c>
    </row>
    <row r="21">
      <c r="A21" s="2" t="inlineStr">
        <is>
          <t>14-C-067</t>
        </is>
      </c>
      <c r="B21" s="3" t="inlineStr">
        <is>
          <t>DROP-CABLE(SC/PC)</t>
        </is>
      </c>
      <c r="C21" s="2" t="inlineStr">
        <is>
          <t>7M</t>
        </is>
      </c>
      <c r="D21" s="2" t="inlineStr">
        <is>
          <t>drop</t>
        </is>
      </c>
      <c r="E21" s="2" t="inlineStr">
        <is>
          <t>3.0mm</t>
        </is>
      </c>
      <c r="F21" s="2" t="n">
        <v>1</v>
      </c>
      <c r="G21" s="2" t="n">
        <v>7</v>
      </c>
      <c r="H21" s="2" t="inlineStr">
        <is>
          <t>SC/PC</t>
        </is>
      </c>
      <c r="I21" s="2" t="inlineStr">
        <is>
          <t>SC/PC</t>
        </is>
      </c>
      <c r="J21" s="2" t="n"/>
      <c r="K21" s="2" t="n"/>
      <c r="L21" s="2" t="n">
        <v>50</v>
      </c>
      <c r="M21" s="2" t="n">
        <v>50</v>
      </c>
      <c r="N21" s="2" t="n"/>
      <c r="O21" s="2" t="n">
        <v>50</v>
      </c>
      <c r="P21" s="2" t="n">
        <v>100</v>
      </c>
      <c r="Q21" s="2" t="n">
        <v>200</v>
      </c>
      <c r="R21" s="2" t="n">
        <v>50</v>
      </c>
      <c r="S21" s="2" t="n"/>
      <c r="T21" s="2" t="n"/>
      <c r="U21" s="2" t="n"/>
      <c r="V21" s="2">
        <f>SUM(J21:U21)*G21</f>
        <v/>
      </c>
      <c r="W21" s="2">
        <f>MAX(J21:U21)</f>
        <v/>
      </c>
      <c r="X21" s="2">
        <f>W21*G21</f>
        <v/>
      </c>
    </row>
    <row r="22">
      <c r="A22" s="2" t="inlineStr">
        <is>
          <t>14-C-068</t>
        </is>
      </c>
      <c r="B22" s="3" t="inlineStr">
        <is>
          <t>DROP-CABLE(SC/PC)</t>
        </is>
      </c>
      <c r="C22" s="2" t="inlineStr">
        <is>
          <t>80M</t>
        </is>
      </c>
      <c r="D22" s="2" t="inlineStr">
        <is>
          <t>drop</t>
        </is>
      </c>
      <c r="E22" s="2" t="inlineStr">
        <is>
          <t>3.0mm</t>
        </is>
      </c>
      <c r="F22" s="2" t="n">
        <v>1</v>
      </c>
      <c r="G22" s="2" t="n">
        <v>80</v>
      </c>
      <c r="H22" s="2" t="inlineStr">
        <is>
          <t>SC/PC</t>
        </is>
      </c>
      <c r="I22" s="2" t="inlineStr">
        <is>
          <t>SC/PC</t>
        </is>
      </c>
      <c r="J22" s="2" t="n"/>
      <c r="K22" s="2" t="n"/>
      <c r="L22" s="2" t="n">
        <v>10</v>
      </c>
      <c r="M22" s="2" t="n"/>
      <c r="N22" s="2" t="n"/>
      <c r="O22" s="2" t="n"/>
      <c r="P22" s="2" t="n"/>
      <c r="Q22" s="2" t="n">
        <v>10</v>
      </c>
      <c r="R22" s="2" t="n"/>
      <c r="S22" s="2" t="n"/>
      <c r="T22" s="2" t="n"/>
      <c r="U22" s="2" t="n"/>
      <c r="V22" s="2">
        <f>SUM(J22:U22)*G22</f>
        <v/>
      </c>
      <c r="W22" s="2">
        <f>MAX(J22:U22)</f>
        <v/>
      </c>
      <c r="X22" s="2">
        <f>W22*G22</f>
        <v/>
      </c>
    </row>
    <row r="23">
      <c r="A23" s="2" t="inlineStr">
        <is>
          <t>14-C-072</t>
        </is>
      </c>
      <c r="B23" s="3" t="inlineStr">
        <is>
          <t>DROP-CABLE(SC/PC)</t>
        </is>
      </c>
      <c r="C23" s="2" t="inlineStr">
        <is>
          <t>90M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90</v>
      </c>
      <c r="H23" s="2" t="inlineStr">
        <is>
          <t>SC/PC</t>
        </is>
      </c>
      <c r="I23" s="2" t="inlineStr">
        <is>
          <t>SC/PC</t>
        </is>
      </c>
      <c r="J23" s="2" t="n"/>
      <c r="K23" s="2" t="n"/>
      <c r="L23" s="2" t="n">
        <v>10</v>
      </c>
      <c r="M23" s="2" t="n"/>
      <c r="N23" s="2" t="n"/>
      <c r="O23" s="2" t="n"/>
      <c r="P23" s="2" t="n"/>
      <c r="Q23" s="2" t="n">
        <v>10</v>
      </c>
      <c r="R23" s="2" t="n"/>
      <c r="S23" s="2" t="n"/>
      <c r="T23" s="2" t="n"/>
      <c r="U23" s="2" t="n"/>
      <c r="V23" s="2">
        <f>SUM(J23:U23)*G23</f>
        <v/>
      </c>
      <c r="W23" s="2">
        <f>MAX(J23:U23)</f>
        <v/>
      </c>
      <c r="X23" s="2">
        <f>W23*G23</f>
        <v/>
      </c>
    </row>
    <row r="24">
      <c r="A24" s="2" t="inlineStr">
        <is>
          <t>14-C-079</t>
        </is>
      </c>
      <c r="B24" s="3" t="inlineStr">
        <is>
          <t>DROP-CABLE(SC/PC-SC/APC)</t>
        </is>
      </c>
      <c r="C24" s="2" t="inlineStr">
        <is>
          <t>40M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40</v>
      </c>
      <c r="H24" s="2" t="inlineStr">
        <is>
          <t>SC/PC</t>
        </is>
      </c>
      <c r="I24" s="2" t="inlineStr">
        <is>
          <t>SC/APC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>
        <v>4</v>
      </c>
      <c r="T24" s="2" t="n"/>
      <c r="U24" s="2" t="n"/>
      <c r="V24" s="2">
        <f>SUM(J24:U24)*G24</f>
        <v/>
      </c>
      <c r="W24" s="2">
        <f>MAX(J24:U24)</f>
        <v/>
      </c>
      <c r="X24" s="2">
        <f>W24*G24</f>
        <v/>
      </c>
    </row>
    <row r="25">
      <c r="A25" s="2" t="inlineStr">
        <is>
          <t>14-C-087</t>
        </is>
      </c>
      <c r="B25" s="3" t="inlineStr">
        <is>
          <t>DROP-CABLE(SC/APC)</t>
        </is>
      </c>
      <c r="C25" s="2" t="inlineStr">
        <is>
          <t>3M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3</v>
      </c>
      <c r="H25" s="2" t="inlineStr">
        <is>
          <t>SC/APC</t>
        </is>
      </c>
      <c r="I25" s="2" t="inlineStr">
        <is>
          <t>SC/APC</t>
        </is>
      </c>
      <c r="J25" s="2" t="n">
        <v>40</v>
      </c>
      <c r="K25" s="2" t="n"/>
      <c r="L25" s="2" t="n"/>
      <c r="M25" s="2" t="n"/>
      <c r="N25" s="2" t="n">
        <v>200</v>
      </c>
      <c r="O25" s="2" t="n"/>
      <c r="P25" s="2" t="n">
        <v>200</v>
      </c>
      <c r="Q25" s="2" t="n"/>
      <c r="R25" s="2" t="n"/>
      <c r="S25" s="2" t="n"/>
      <c r="T25" s="2" t="n"/>
      <c r="U25" s="2" t="n"/>
      <c r="V25" s="2">
        <f>SUM(J25:U25)*G25</f>
        <v/>
      </c>
      <c r="W25" s="2">
        <f>MAX(J25:U25)</f>
        <v/>
      </c>
      <c r="X25" s="2">
        <f>W25*G25</f>
        <v/>
      </c>
    </row>
    <row r="26">
      <c r="A26" s="2" t="inlineStr">
        <is>
          <t>14-C-089</t>
        </is>
      </c>
      <c r="B26" s="3" t="inlineStr">
        <is>
          <t>DROP-CABLE(SC/APC)</t>
        </is>
      </c>
      <c r="C26" s="2" t="inlineStr">
        <is>
          <t>7M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7</v>
      </c>
      <c r="H26" s="2" t="inlineStr">
        <is>
          <t>SC/APC</t>
        </is>
      </c>
      <c r="I26" s="2" t="inlineStr">
        <is>
          <t>SC/APC</t>
        </is>
      </c>
      <c r="J26" s="2" t="n">
        <v>10</v>
      </c>
      <c r="K26" s="2" t="n"/>
      <c r="L26" s="2" t="n"/>
      <c r="M26" s="2" t="n"/>
      <c r="N26" s="2" t="n"/>
      <c r="O26" s="2" t="n"/>
      <c r="P26" s="2" t="n"/>
      <c r="Q26" s="2" t="n">
        <v>70</v>
      </c>
      <c r="R26" s="2" t="n"/>
      <c r="S26" s="2" t="n"/>
      <c r="T26" s="2" t="n"/>
      <c r="U26" s="2" t="n">
        <v>20</v>
      </c>
      <c r="V26" s="2">
        <f>SUM(J26:U26)*G26</f>
        <v/>
      </c>
      <c r="W26" s="2">
        <f>MAX(J26:U26)</f>
        <v/>
      </c>
      <c r="X26" s="2">
        <f>W26*G26</f>
        <v/>
      </c>
    </row>
    <row r="27">
      <c r="A27" s="2" t="inlineStr">
        <is>
          <t>14-C-091</t>
        </is>
      </c>
      <c r="B27" s="3" t="inlineStr">
        <is>
          <t>DROP-CABLE(SC/APC)</t>
        </is>
      </c>
      <c r="C27" s="2" t="inlineStr">
        <is>
          <t>12M</t>
        </is>
      </c>
      <c r="D27" s="2" t="inlineStr">
        <is>
          <t>drop</t>
        </is>
      </c>
      <c r="E27" s="2" t="inlineStr">
        <is>
          <t>3.0mm</t>
        </is>
      </c>
      <c r="F27" s="2" t="n">
        <v>1</v>
      </c>
      <c r="G27" s="2" t="n">
        <v>12</v>
      </c>
      <c r="H27" s="2" t="inlineStr">
        <is>
          <t>SC/APC</t>
        </is>
      </c>
      <c r="I27" s="2" t="inlineStr">
        <is>
          <t>SC/APC</t>
        </is>
      </c>
      <c r="J27" s="2" t="n">
        <v>10</v>
      </c>
      <c r="K27" s="2" t="n"/>
      <c r="L27" s="2" t="n"/>
      <c r="M27" s="2" t="n">
        <v>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SUM(J27:U27)*G27</f>
        <v/>
      </c>
      <c r="W27" s="2">
        <f>MAX(J27:U27)</f>
        <v/>
      </c>
      <c r="X27" s="2">
        <f>W27*G27</f>
        <v/>
      </c>
    </row>
    <row r="28">
      <c r="A28" s="2" t="inlineStr">
        <is>
          <t>14-C-121</t>
        </is>
      </c>
      <c r="B28" s="3" t="inlineStr">
        <is>
          <t>DROP-CABLE(LC/PC)-2C</t>
        </is>
      </c>
      <c r="C28" s="2" t="inlineStr">
        <is>
          <t>3M</t>
        </is>
      </c>
      <c r="D28" s="2" t="inlineStr">
        <is>
          <t>drop</t>
        </is>
      </c>
      <c r="E28" s="2" t="inlineStr">
        <is>
          <t>3.0mm</t>
        </is>
      </c>
      <c r="F28" s="2" t="n">
        <v>2</v>
      </c>
      <c r="G28" s="2" t="n">
        <v>3</v>
      </c>
      <c r="H28" s="2" t="inlineStr">
        <is>
          <t>LC/PC</t>
        </is>
      </c>
      <c r="I28" s="2" t="inlineStr">
        <is>
          <t>LC/PC</t>
        </is>
      </c>
      <c r="J28" s="2" t="n"/>
      <c r="K28" s="2" t="n"/>
      <c r="L28" s="2" t="n"/>
      <c r="M28" s="2" t="n"/>
      <c r="N28" s="2" t="n">
        <v>30</v>
      </c>
      <c r="O28" s="2" t="n"/>
      <c r="P28" s="2" t="n"/>
      <c r="Q28" s="2" t="n"/>
      <c r="R28" s="2" t="n"/>
      <c r="S28" s="2" t="n"/>
      <c r="T28" s="2" t="n"/>
      <c r="U28" s="2" t="n"/>
      <c r="V28" s="2">
        <f>SUM(J28:U28)*G28</f>
        <v/>
      </c>
      <c r="W28" s="2">
        <f>MAX(J28:U28)</f>
        <v/>
      </c>
      <c r="X28" s="2">
        <f>W28*G28</f>
        <v/>
      </c>
    </row>
    <row r="29">
      <c r="A29" s="2" t="inlineStr">
        <is>
          <t>14-C-126</t>
        </is>
      </c>
      <c r="B29" s="3" t="inlineStr">
        <is>
          <t>DROP-CABLE(LC/PC)-2C</t>
        </is>
      </c>
      <c r="C29" s="2" t="inlineStr">
        <is>
          <t>6M</t>
        </is>
      </c>
      <c r="D29" s="2" t="inlineStr">
        <is>
          <t>drop</t>
        </is>
      </c>
      <c r="E29" s="2" t="inlineStr">
        <is>
          <t>3.0mm</t>
        </is>
      </c>
      <c r="F29" s="2" t="n">
        <v>2</v>
      </c>
      <c r="G29" s="2" t="n">
        <v>6</v>
      </c>
      <c r="H29" s="2" t="inlineStr">
        <is>
          <t>LC/PC</t>
        </is>
      </c>
      <c r="I29" s="2" t="inlineStr">
        <is>
          <t>LC/PC</t>
        </is>
      </c>
      <c r="J29" s="2" t="n"/>
      <c r="K29" s="2" t="n"/>
      <c r="L29" s="2" t="n"/>
      <c r="M29" s="2" t="n"/>
      <c r="N29" s="2" t="n">
        <v>30</v>
      </c>
      <c r="O29" s="2" t="n"/>
      <c r="P29" s="2" t="n"/>
      <c r="Q29" s="2" t="n"/>
      <c r="R29" s="2" t="n"/>
      <c r="S29" s="2" t="n"/>
      <c r="T29" s="2" t="n"/>
      <c r="U29" s="2" t="n"/>
      <c r="V29" s="2">
        <f>SUM(J29:U29)*G29</f>
        <v/>
      </c>
      <c r="W29" s="2">
        <f>MAX(J29:U29)</f>
        <v/>
      </c>
      <c r="X29" s="2">
        <f>W29*G29</f>
        <v/>
      </c>
    </row>
    <row r="30">
      <c r="A30" s="2" t="inlineStr">
        <is>
          <t>14-C-127</t>
        </is>
      </c>
      <c r="B30" s="3" t="inlineStr">
        <is>
          <t>DROP-CABLE(LC/PC)</t>
        </is>
      </c>
      <c r="C30" s="2" t="inlineStr">
        <is>
          <t>1M</t>
        </is>
      </c>
      <c r="D30" s="2" t="inlineStr">
        <is>
          <t>drop</t>
        </is>
      </c>
      <c r="E30" s="2" t="inlineStr">
        <is>
          <t>3.0mm</t>
        </is>
      </c>
      <c r="F30" s="2" t="n">
        <v>1</v>
      </c>
      <c r="G30" s="2" t="n">
        <v>1</v>
      </c>
      <c r="H30" s="2" t="inlineStr">
        <is>
          <t>LC/PC</t>
        </is>
      </c>
      <c r="I30" s="2" t="inlineStr">
        <is>
          <t>LC/PC</t>
        </is>
      </c>
      <c r="J30" s="2" t="n"/>
      <c r="K30" s="2" t="n">
        <v>100</v>
      </c>
      <c r="L30" s="2" t="n"/>
      <c r="M30" s="2" t="n"/>
      <c r="N30" s="2" t="n">
        <v>100</v>
      </c>
      <c r="O30" s="2" t="n"/>
      <c r="P30" s="2" t="n"/>
      <c r="Q30" s="2" t="n"/>
      <c r="R30" s="2" t="n">
        <v>200</v>
      </c>
      <c r="S30" s="2" t="n">
        <v>50</v>
      </c>
      <c r="T30" s="2" t="n"/>
      <c r="U30" s="2" t="n"/>
      <c r="V30" s="2">
        <f>SUM(J30:U30)*G30</f>
        <v/>
      </c>
      <c r="W30" s="2">
        <f>MAX(J30:U30)</f>
        <v/>
      </c>
      <c r="X30" s="2">
        <f>W30*G30</f>
        <v/>
      </c>
    </row>
    <row r="31">
      <c r="A31" s="2" t="inlineStr">
        <is>
          <t>14-C-128</t>
        </is>
      </c>
      <c r="B31" s="3" t="inlineStr">
        <is>
          <t>DROP-CABLE(SC/APC)</t>
        </is>
      </c>
      <c r="C31" s="2" t="inlineStr">
        <is>
          <t>8M</t>
        </is>
      </c>
      <c r="D31" s="2" t="inlineStr">
        <is>
          <t>drop</t>
        </is>
      </c>
      <c r="E31" s="2" t="inlineStr">
        <is>
          <t>3.0mm</t>
        </is>
      </c>
      <c r="F31" s="2" t="n">
        <v>1</v>
      </c>
      <c r="G31" s="2" t="n">
        <v>8</v>
      </c>
      <c r="H31" s="2" t="inlineStr">
        <is>
          <t>SC/APC</t>
        </is>
      </c>
      <c r="I31" s="2" t="inlineStr">
        <is>
          <t>SC/APC</t>
        </is>
      </c>
      <c r="J31" s="2" t="n"/>
      <c r="K31" s="2" t="n"/>
      <c r="L31" s="2" t="n"/>
      <c r="M31" s="2" t="n">
        <v>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SUM(J31:U31)*G31</f>
        <v/>
      </c>
      <c r="W31" s="2">
        <f>MAX(J31:U31)</f>
        <v/>
      </c>
      <c r="X31" s="2">
        <f>W31*G31</f>
        <v/>
      </c>
    </row>
    <row r="32">
      <c r="A32" s="2" t="inlineStr">
        <is>
          <t>14-C-130</t>
        </is>
      </c>
      <c r="B32" s="3" t="inlineStr">
        <is>
          <t>DROP-CABLE(LC/PC-SC/APC)</t>
        </is>
      </c>
      <c r="C32" s="2" t="inlineStr">
        <is>
          <t>15M</t>
        </is>
      </c>
      <c r="D32" s="2" t="inlineStr">
        <is>
          <t>drop</t>
        </is>
      </c>
      <c r="E32" s="2" t="inlineStr">
        <is>
          <t>3.0mm</t>
        </is>
      </c>
      <c r="F32" s="2" t="n">
        <v>1</v>
      </c>
      <c r="G32" s="2" t="n">
        <v>15</v>
      </c>
      <c r="H32" s="2" t="inlineStr">
        <is>
          <t>LC/PC</t>
        </is>
      </c>
      <c r="I32" s="2" t="inlineStr">
        <is>
          <t>SC/APC</t>
        </is>
      </c>
      <c r="J32" s="2" t="n"/>
      <c r="K32" s="2" t="n"/>
      <c r="L32" s="2" t="n"/>
      <c r="M32" s="2" t="n"/>
      <c r="N32" s="2" t="n"/>
      <c r="O32" s="2" t="n"/>
      <c r="P32" s="2" t="n"/>
      <c r="Q32" s="2" t="n">
        <v>5</v>
      </c>
      <c r="R32" s="2" t="n"/>
      <c r="S32" s="2" t="n"/>
      <c r="T32" s="2" t="n">
        <v>5</v>
      </c>
      <c r="U32" s="2" t="n"/>
      <c r="V32" s="2">
        <f>SUM(J32:U32)*G32</f>
        <v/>
      </c>
      <c r="W32" s="2">
        <f>MAX(J32:U32)</f>
        <v/>
      </c>
      <c r="X32" s="2">
        <f>W32*G32</f>
        <v/>
      </c>
    </row>
    <row r="33">
      <c r="A33" s="2" t="inlineStr">
        <is>
          <t>14-C-134</t>
        </is>
      </c>
      <c r="B33" s="3" t="inlineStr">
        <is>
          <t>DROP-CABLE(LC/PC)</t>
        </is>
      </c>
      <c r="C33" s="2" t="inlineStr">
        <is>
          <t>15M</t>
        </is>
      </c>
      <c r="D33" s="2" t="inlineStr">
        <is>
          <t>drop</t>
        </is>
      </c>
      <c r="E33" s="2" t="inlineStr">
        <is>
          <t>3.0mm</t>
        </is>
      </c>
      <c r="F33" s="2" t="n">
        <v>1</v>
      </c>
      <c r="G33" s="2" t="n">
        <v>15</v>
      </c>
      <c r="H33" s="2" t="inlineStr">
        <is>
          <t>LC/PC</t>
        </is>
      </c>
      <c r="I33" s="2" t="inlineStr">
        <is>
          <t>LC/PC</t>
        </is>
      </c>
      <c r="J33" s="2" t="n"/>
      <c r="K33" s="2" t="n"/>
      <c r="L33" s="2" t="n">
        <v>30</v>
      </c>
      <c r="M33" s="2" t="n"/>
      <c r="N33" s="2" t="n">
        <v>50</v>
      </c>
      <c r="O33" s="2" t="n"/>
      <c r="P33" s="2" t="n"/>
      <c r="Q33" s="2" t="n"/>
      <c r="R33" s="2" t="n"/>
      <c r="S33" s="2" t="n"/>
      <c r="T33" s="2" t="n">
        <v>180</v>
      </c>
      <c r="U33" s="2" t="n"/>
      <c r="V33" s="2">
        <f>SUM(J33:U33)*G33</f>
        <v/>
      </c>
      <c r="W33" s="2">
        <f>MAX(J33:U33)</f>
        <v/>
      </c>
      <c r="X33" s="2">
        <f>W33*G33</f>
        <v/>
      </c>
    </row>
    <row r="34">
      <c r="A34" s="2" t="inlineStr">
        <is>
          <t>14-C-135</t>
        </is>
      </c>
      <c r="B34" s="3" t="inlineStr">
        <is>
          <t>DROP-CABLE(LC/PC-SC/PC)</t>
        </is>
      </c>
      <c r="C34" s="2" t="inlineStr">
        <is>
          <t>5M</t>
        </is>
      </c>
      <c r="D34" s="2" t="inlineStr">
        <is>
          <t>drop</t>
        </is>
      </c>
      <c r="E34" s="2" t="inlineStr">
        <is>
          <t>3.0mm</t>
        </is>
      </c>
      <c r="F34" s="2" t="n">
        <v>1</v>
      </c>
      <c r="G34" s="2" t="n">
        <v>5</v>
      </c>
      <c r="H34" s="2" t="inlineStr">
        <is>
          <t>LC/PC</t>
        </is>
      </c>
      <c r="I34" s="2" t="inlineStr">
        <is>
          <t>SC/PC</t>
        </is>
      </c>
      <c r="J34" s="2" t="n"/>
      <c r="K34" s="2" t="n"/>
      <c r="L34" s="2" t="n"/>
      <c r="M34" s="2" t="n"/>
      <c r="N34" s="2" t="n"/>
      <c r="O34" s="2" t="n">
        <v>10</v>
      </c>
      <c r="P34" s="2" t="n"/>
      <c r="Q34" s="2" t="n"/>
      <c r="R34" s="2" t="n"/>
      <c r="S34" s="2" t="n"/>
      <c r="T34" s="2" t="n"/>
      <c r="U34" s="2" t="n"/>
      <c r="V34" s="2">
        <f>SUM(J34:U34)*G34</f>
        <v/>
      </c>
      <c r="W34" s="2">
        <f>MAX(J34:U34)</f>
        <v/>
      </c>
      <c r="X34" s="2">
        <f>W34*G34</f>
        <v/>
      </c>
    </row>
    <row r="35">
      <c r="A35" s="2" t="inlineStr">
        <is>
          <t>14-C-138</t>
        </is>
      </c>
      <c r="B35" s="3" t="inlineStr">
        <is>
          <t>DROP-CABLE(LC/PC-SC/PC)</t>
        </is>
      </c>
      <c r="C35" s="2" t="inlineStr">
        <is>
          <t>30M</t>
        </is>
      </c>
      <c r="D35" s="2" t="inlineStr">
        <is>
          <t>drop</t>
        </is>
      </c>
      <c r="E35" s="2" t="inlineStr">
        <is>
          <t>3.0mm</t>
        </is>
      </c>
      <c r="F35" s="2" t="n">
        <v>1</v>
      </c>
      <c r="G35" s="2" t="n">
        <v>30</v>
      </c>
      <c r="H35" s="2" t="inlineStr">
        <is>
          <t>LC/PC</t>
        </is>
      </c>
      <c r="I35" s="2" t="inlineStr">
        <is>
          <t>SC/PC</t>
        </is>
      </c>
      <c r="J35" s="2" t="n"/>
      <c r="K35" s="2" t="n"/>
      <c r="L35" s="2" t="n"/>
      <c r="M35" s="2" t="n">
        <v>4</v>
      </c>
      <c r="N35" s="2" t="n"/>
      <c r="O35" s="2" t="n"/>
      <c r="P35" s="2" t="n"/>
      <c r="Q35" s="2" t="n"/>
      <c r="R35" s="2" t="n"/>
      <c r="S35" s="2" t="n">
        <v>2</v>
      </c>
      <c r="T35" s="2" t="n"/>
      <c r="U35" s="2" t="n">
        <v>2</v>
      </c>
      <c r="V35" s="2">
        <f>SUM(J35:U35)*G35</f>
        <v/>
      </c>
      <c r="W35" s="2">
        <f>MAX(J35:U35)</f>
        <v/>
      </c>
      <c r="X35" s="2">
        <f>W35*G35</f>
        <v/>
      </c>
    </row>
    <row r="36">
      <c r="A36" s="2" t="inlineStr">
        <is>
          <t>14-C-361</t>
        </is>
      </c>
      <c r="B36" s="3" t="inlineStr">
        <is>
          <t>DROP-CABLE(LC/PC-SC/APC)</t>
        </is>
      </c>
      <c r="C36" s="2" t="inlineStr">
        <is>
          <t>5M</t>
        </is>
      </c>
      <c r="D36" s="2" t="inlineStr">
        <is>
          <t>drop</t>
        </is>
      </c>
      <c r="E36" s="2" t="inlineStr">
        <is>
          <t>3.0mm</t>
        </is>
      </c>
      <c r="F36" s="2" t="n">
        <v>1</v>
      </c>
      <c r="G36" s="2" t="n">
        <v>5</v>
      </c>
      <c r="H36" s="2" t="inlineStr">
        <is>
          <t>LC/PC</t>
        </is>
      </c>
      <c r="I36" s="2" t="inlineStr">
        <is>
          <t>SC/APC</t>
        </is>
      </c>
      <c r="J36" s="2" t="n"/>
      <c r="K36" s="2" t="n"/>
      <c r="L36" s="2" t="n">
        <v>5</v>
      </c>
      <c r="M36" s="2" t="n"/>
      <c r="N36" s="2" t="n"/>
      <c r="O36" s="2" t="n"/>
      <c r="P36" s="2" t="n">
        <v>70</v>
      </c>
      <c r="Q36" s="2" t="n"/>
      <c r="R36" s="2" t="n"/>
      <c r="S36" s="2" t="n"/>
      <c r="T36" s="2" t="n"/>
      <c r="U36" s="2" t="n"/>
      <c r="V36" s="2">
        <f>SUM(J36:U36)*G36</f>
        <v/>
      </c>
      <c r="W36" s="2">
        <f>MAX(J36:U36)</f>
        <v/>
      </c>
      <c r="X36" s="2">
        <f>W36*G36</f>
        <v/>
      </c>
    </row>
    <row r="37">
      <c r="A37" s="2" t="inlineStr">
        <is>
          <t>14-C-363</t>
        </is>
      </c>
      <c r="B37" s="3" t="inlineStr">
        <is>
          <t>DROP-CABLE(LC/PC)</t>
        </is>
      </c>
      <c r="C37" s="2" t="inlineStr">
        <is>
          <t>30M</t>
        </is>
      </c>
      <c r="D37" s="2" t="inlineStr">
        <is>
          <t>drop</t>
        </is>
      </c>
      <c r="E37" s="2" t="inlineStr">
        <is>
          <t>3.0mm</t>
        </is>
      </c>
      <c r="F37" s="2" t="n">
        <v>1</v>
      </c>
      <c r="G37" s="2" t="n">
        <v>30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20</v>
      </c>
      <c r="U37" s="2" t="n"/>
      <c r="V37" s="2">
        <f>SUM(J37:U37)*G37</f>
        <v/>
      </c>
      <c r="W37" s="2">
        <f>MAX(J37:U37)</f>
        <v/>
      </c>
      <c r="X37" s="2">
        <f>W37*G37</f>
        <v/>
      </c>
    </row>
    <row r="38">
      <c r="A38" s="2" t="inlineStr">
        <is>
          <t>14-C-389</t>
        </is>
      </c>
      <c r="B38" s="3" t="inlineStr">
        <is>
          <t>DROP-CABLE(LC/PC-SC/PC)</t>
        </is>
      </c>
      <c r="C38" s="2" t="inlineStr">
        <is>
          <t>20M</t>
        </is>
      </c>
      <c r="D38" s="2" t="inlineStr">
        <is>
          <t>drop</t>
        </is>
      </c>
      <c r="E38" s="2" t="inlineStr">
        <is>
          <t>3.0mm</t>
        </is>
      </c>
      <c r="F38" s="2" t="n">
        <v>1</v>
      </c>
      <c r="G38" s="2" t="n">
        <v>20</v>
      </c>
      <c r="H38" s="2" t="inlineStr">
        <is>
          <t>LC/PC</t>
        </is>
      </c>
      <c r="I38" s="2" t="inlineStr">
        <is>
          <t>SC/PC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>
        <v>1</v>
      </c>
      <c r="T38" s="2" t="n"/>
      <c r="U38" s="2" t="n">
        <v>1</v>
      </c>
      <c r="V38" s="2">
        <f>SUM(J38:U38)*G38</f>
        <v/>
      </c>
      <c r="W38" s="2">
        <f>MAX(J38:U38)</f>
        <v/>
      </c>
      <c r="X38" s="2">
        <f>W38*G38</f>
        <v/>
      </c>
    </row>
    <row r="39">
      <c r="A39" s="2" t="inlineStr">
        <is>
          <t>14-C-402</t>
        </is>
      </c>
      <c r="B39" s="3" t="inlineStr">
        <is>
          <t>DROP-CABLE(LC/PC)-2C</t>
        </is>
      </c>
      <c r="C39" s="2" t="inlineStr">
        <is>
          <t>30M</t>
        </is>
      </c>
      <c r="D39" s="2" t="inlineStr">
        <is>
          <t>drop</t>
        </is>
      </c>
      <c r="E39" s="2" t="inlineStr">
        <is>
          <t>3.0mm</t>
        </is>
      </c>
      <c r="F39" s="2" t="n">
        <v>2</v>
      </c>
      <c r="G39" s="2" t="n">
        <v>30</v>
      </c>
      <c r="H39" s="2" t="inlineStr">
        <is>
          <t>LC/PC</t>
        </is>
      </c>
      <c r="I39" s="2" t="inlineStr">
        <is>
          <t>LC/PC</t>
        </is>
      </c>
      <c r="J39" s="2" t="n"/>
      <c r="K39" s="2" t="n"/>
      <c r="L39" s="2" t="n">
        <v>6</v>
      </c>
      <c r="M39" s="2" t="n"/>
      <c r="N39" s="2" t="n"/>
      <c r="O39" s="2" t="n"/>
      <c r="P39" s="2" t="n">
        <v>40</v>
      </c>
      <c r="Q39" s="2" t="n"/>
      <c r="R39" s="2" t="n"/>
      <c r="S39" s="2" t="n">
        <v>2</v>
      </c>
      <c r="T39" s="2" t="n">
        <v>20</v>
      </c>
      <c r="U39" s="2" t="n"/>
      <c r="V39" s="2">
        <f>SUM(J39:U39)*G39</f>
        <v/>
      </c>
      <c r="W39" s="2">
        <f>MAX(J39:U39)</f>
        <v/>
      </c>
      <c r="X39" s="2">
        <f>W39*G39</f>
        <v/>
      </c>
    </row>
    <row r="40">
      <c r="A40" s="2" t="inlineStr">
        <is>
          <t>14-C-403</t>
        </is>
      </c>
      <c r="B40" s="3" t="inlineStr">
        <is>
          <t>DROP-CABLE(LC/PC)-2C</t>
        </is>
      </c>
      <c r="C40" s="2" t="inlineStr">
        <is>
          <t>40M</t>
        </is>
      </c>
      <c r="D40" s="2" t="inlineStr">
        <is>
          <t>drop</t>
        </is>
      </c>
      <c r="E40" s="2" t="inlineStr">
        <is>
          <t>3.0mm</t>
        </is>
      </c>
      <c r="F40" s="2" t="n">
        <v>2</v>
      </c>
      <c r="G40" s="2" t="n">
        <v>40</v>
      </c>
      <c r="H40" s="2" t="inlineStr">
        <is>
          <t>LC/PC</t>
        </is>
      </c>
      <c r="I40" s="2" t="inlineStr">
        <is>
          <t>LC/PC</t>
        </is>
      </c>
      <c r="J40" s="2" t="n"/>
      <c r="K40" s="2" t="n"/>
      <c r="L40" s="2" t="n"/>
      <c r="M40" s="2" t="n"/>
      <c r="N40" s="2" t="n"/>
      <c r="O40" s="2" t="n"/>
      <c r="P40" s="2" t="n">
        <v>10</v>
      </c>
      <c r="Q40" s="2" t="n"/>
      <c r="R40" s="2" t="n"/>
      <c r="S40" s="2" t="n">
        <v>20</v>
      </c>
      <c r="T40" s="2" t="n"/>
      <c r="U40" s="2" t="n"/>
      <c r="V40" s="2">
        <f>SUM(J40:U40)*G40</f>
        <v/>
      </c>
      <c r="W40" s="2">
        <f>MAX(J40:U40)</f>
        <v/>
      </c>
      <c r="X40" s="2">
        <f>W40*G40</f>
        <v/>
      </c>
    </row>
    <row r="41">
      <c r="A41" s="2" t="inlineStr">
        <is>
          <t>14-C-404</t>
        </is>
      </c>
      <c r="B41" s="3" t="inlineStr">
        <is>
          <t>Optical Cable Parts,LC/PC-LC/PC-Single mode-10m-2Core</t>
        </is>
      </c>
      <c r="C41" s="2" t="inlineStr">
        <is>
          <t>657A2 , LSZH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10</v>
      </c>
      <c r="H41" s="2" t="inlineStr">
        <is>
          <t>LC/PC</t>
        </is>
      </c>
      <c r="I41" s="2" t="inlineStr">
        <is>
          <t>LC/PC</t>
        </is>
      </c>
      <c r="J41" s="2" t="n"/>
      <c r="K41" s="2" t="n"/>
      <c r="L41" s="2" t="n"/>
      <c r="M41" s="2" t="n"/>
      <c r="N41" s="2" t="n"/>
      <c r="O41" s="2" t="n"/>
      <c r="P41" s="2" t="n"/>
      <c r="Q41" s="2" t="n">
        <v>200</v>
      </c>
      <c r="R41" s="2" t="n"/>
      <c r="S41" s="2" t="n"/>
      <c r="T41" s="2" t="n"/>
      <c r="U41" s="2" t="n"/>
      <c r="V41" s="2">
        <f>SUM(J41:U41)*G41</f>
        <v/>
      </c>
      <c r="W41" s="2">
        <f>MAX(J41:U41)</f>
        <v/>
      </c>
      <c r="X41" s="2">
        <f>W41*G41</f>
        <v/>
      </c>
    </row>
    <row r="42">
      <c r="A42" s="2" t="inlineStr">
        <is>
          <t>14-C-425</t>
        </is>
      </c>
      <c r="B42" s="3" t="inlineStr">
        <is>
          <t>DROP-CABLE(LC/PC-SC/APC)</t>
        </is>
      </c>
      <c r="C42" s="2" t="inlineStr">
        <is>
          <t>7M</t>
        </is>
      </c>
      <c r="D42" s="2" t="inlineStr">
        <is>
          <t>drop</t>
        </is>
      </c>
      <c r="E42" s="2" t="inlineStr">
        <is>
          <t>3.0mm</t>
        </is>
      </c>
      <c r="F42" s="2" t="n">
        <v>1</v>
      </c>
      <c r="G42" s="2" t="n">
        <v>7</v>
      </c>
      <c r="H42" s="2" t="inlineStr">
        <is>
          <t>LC/PC</t>
        </is>
      </c>
      <c r="I42" s="2" t="inlineStr">
        <is>
          <t>SC/APC</t>
        </is>
      </c>
      <c r="J42" s="2" t="n"/>
      <c r="K42" s="2" t="n"/>
      <c r="L42" s="2" t="n"/>
      <c r="M42" s="2" t="n"/>
      <c r="N42" s="2" t="n"/>
      <c r="O42" s="2" t="n"/>
      <c r="P42" s="2" t="n">
        <v>70</v>
      </c>
      <c r="Q42" s="2" t="n"/>
      <c r="R42" s="2" t="n"/>
      <c r="S42" s="2" t="n"/>
      <c r="T42" s="2" t="n"/>
      <c r="U42" s="2" t="n"/>
      <c r="V42" s="2">
        <f>SUM(J42:U42)*G42</f>
        <v/>
      </c>
      <c r="W42" s="2">
        <f>MAX(J42:U42)</f>
        <v/>
      </c>
      <c r="X42" s="2">
        <f>W42*G42</f>
        <v/>
      </c>
    </row>
    <row r="43">
      <c r="A43" s="2" t="inlineStr">
        <is>
          <t>14-C-426</t>
        </is>
      </c>
      <c r="B43" s="3" t="inlineStr">
        <is>
          <t>DROP-CABLE(LC/PC-SC/PC)</t>
        </is>
      </c>
      <c r="C43" s="2" t="inlineStr">
        <is>
          <t>40M</t>
        </is>
      </c>
      <c r="D43" s="2" t="inlineStr">
        <is>
          <t>drop</t>
        </is>
      </c>
      <c r="E43" s="2" t="inlineStr">
        <is>
          <t>3.0mm</t>
        </is>
      </c>
      <c r="F43" s="2" t="n">
        <v>1</v>
      </c>
      <c r="G43" s="2" t="n">
        <v>40</v>
      </c>
      <c r="H43" s="2" t="inlineStr">
        <is>
          <t>LC/PC</t>
        </is>
      </c>
      <c r="I43" s="2" t="inlineStr">
        <is>
          <t>SC/PC</t>
        </is>
      </c>
      <c r="J43" s="2" t="n"/>
      <c r="K43" s="2" t="n"/>
      <c r="L43" s="2" t="n"/>
      <c r="M43" s="2" t="n">
        <v>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>
        <f>SUM(J43:U43)*G43</f>
        <v/>
      </c>
      <c r="W43" s="2">
        <f>MAX(J43:U43)</f>
        <v/>
      </c>
      <c r="X43" s="2">
        <f>W43*G43</f>
        <v/>
      </c>
    </row>
    <row r="44">
      <c r="A44" s="2" t="inlineStr">
        <is>
          <t>14-C-427</t>
        </is>
      </c>
      <c r="B44" s="3" t="inlineStr">
        <is>
          <t>DROP-CABLE(LC/PC)-2C</t>
        </is>
      </c>
      <c r="C44" s="2" t="inlineStr">
        <is>
          <t>60M</t>
        </is>
      </c>
      <c r="D44" s="2" t="inlineStr">
        <is>
          <t>drop</t>
        </is>
      </c>
      <c r="E44" s="2" t="inlineStr">
        <is>
          <t>3.0mm</t>
        </is>
      </c>
      <c r="F44" s="2" t="n">
        <v>2</v>
      </c>
      <c r="G44" s="2" t="n">
        <v>60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10</v>
      </c>
      <c r="T44" s="2" t="n"/>
      <c r="U44" s="2" t="n"/>
      <c r="V44" s="2">
        <f>SUM(J44:U44)*G44</f>
        <v/>
      </c>
      <c r="W44" s="2">
        <f>MAX(J44:U44)</f>
        <v/>
      </c>
      <c r="X44" s="2">
        <f>W44*G44</f>
        <v/>
      </c>
    </row>
    <row r="45">
      <c r="A45" s="2" t="inlineStr">
        <is>
          <t>14-C-439</t>
        </is>
      </c>
      <c r="B45" s="3" t="inlineStr">
        <is>
          <t>Optical Cable Parts,LC/PC-LC/PC-Single mode-3m-2Core</t>
        </is>
      </c>
      <c r="C45" s="2" t="inlineStr">
        <is>
          <t>657A2 , LSZH , LC DUPLEX KIT(CLIP), 95MM/ 500MM</t>
        </is>
      </c>
      <c r="D45" s="2" t="inlineStr">
        <is>
          <t>a2</t>
        </is>
      </c>
      <c r="E45" s="2" t="inlineStr">
        <is>
          <t>2.0mm</t>
        </is>
      </c>
      <c r="F45" s="2" t="n">
        <v>2</v>
      </c>
      <c r="G45" s="2" t="n">
        <v>3</v>
      </c>
      <c r="H45" s="2" t="inlineStr">
        <is>
          <t>LC/PC</t>
        </is>
      </c>
      <c r="I45" s="2" t="inlineStr">
        <is>
          <t>LC/PC</t>
        </is>
      </c>
      <c r="J45" s="2" t="n"/>
      <c r="K45" s="2" t="n"/>
      <c r="L45" s="2" t="n"/>
      <c r="M45" s="2" t="n"/>
      <c r="N45" s="2" t="n"/>
      <c r="O45" s="2" t="n"/>
      <c r="P45" s="2" t="n">
        <v>100</v>
      </c>
      <c r="Q45" s="2" t="n"/>
      <c r="R45" s="2" t="n"/>
      <c r="S45" s="2" t="n"/>
      <c r="T45" s="2" t="n"/>
      <c r="U45" s="2" t="n"/>
      <c r="V45" s="2">
        <f>SUM(J45:U45)*G45</f>
        <v/>
      </c>
      <c r="W45" s="2">
        <f>MAX(J45:U45)</f>
        <v/>
      </c>
      <c r="X45" s="2">
        <f>W45*G45</f>
        <v/>
      </c>
    </row>
    <row r="46">
      <c r="A46" s="2" t="inlineStr">
        <is>
          <t>14-C-440</t>
        </is>
      </c>
      <c r="B46" s="3" t="inlineStr">
        <is>
          <t>Optical Cable Parts,LC/PC-LC/PC-Single mode-10m-2Core</t>
        </is>
      </c>
      <c r="C46" s="2" t="inlineStr">
        <is>
          <t>657A2 , LSZH , LC DUPLEX KIT(CLIP), 95MM/ 500MM</t>
        </is>
      </c>
      <c r="D46" s="2" t="inlineStr">
        <is>
          <t>a2</t>
        </is>
      </c>
      <c r="E46" s="2" t="inlineStr">
        <is>
          <t>2.0mm</t>
        </is>
      </c>
      <c r="F46" s="2" t="n">
        <v>2</v>
      </c>
      <c r="G46" s="2" t="n">
        <v>10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>
        <v>30</v>
      </c>
      <c r="M46" s="2" t="n"/>
      <c r="N46" s="2" t="n"/>
      <c r="O46" s="2" t="n">
        <v>1</v>
      </c>
      <c r="P46" s="2" t="n"/>
      <c r="Q46" s="2" t="n"/>
      <c r="R46" s="2" t="n">
        <v>30</v>
      </c>
      <c r="S46" s="2" t="n">
        <v>20</v>
      </c>
      <c r="T46" s="2" t="n"/>
      <c r="U46" s="2" t="n"/>
      <c r="V46" s="2">
        <f>SUM(J46:U46)*G46</f>
        <v/>
      </c>
      <c r="W46" s="2">
        <f>MAX(J46:U46)</f>
        <v/>
      </c>
      <c r="X46" s="2">
        <f>W46*G46</f>
        <v/>
      </c>
    </row>
    <row r="47">
      <c r="A47" s="2" t="inlineStr">
        <is>
          <t>14-C-441</t>
        </is>
      </c>
      <c r="B47" s="3" t="inlineStr">
        <is>
          <t>Optical Cable Parts,LC/PC-LC/PC-Single mode-15m-2Core</t>
        </is>
      </c>
      <c r="C47" s="2" t="inlineStr">
        <is>
          <t>657A2 , LSZH , LC DUPLEX KIT(CLIP), 95MM/ 500MM</t>
        </is>
      </c>
      <c r="D47" s="2" t="inlineStr">
        <is>
          <t>a2</t>
        </is>
      </c>
      <c r="E47" s="2" t="inlineStr">
        <is>
          <t>2.0mm</t>
        </is>
      </c>
      <c r="F47" s="2" t="n">
        <v>2</v>
      </c>
      <c r="G47" s="2" t="n">
        <v>15</v>
      </c>
      <c r="H47" s="2" t="inlineStr">
        <is>
          <t>LC/PC</t>
        </is>
      </c>
      <c r="I47" s="2" t="inlineStr">
        <is>
          <t>LC/PC</t>
        </is>
      </c>
      <c r="J47" s="2" t="n"/>
      <c r="K47" s="2" t="n"/>
      <c r="L47" s="2" t="n"/>
      <c r="M47" s="2" t="n"/>
      <c r="N47" s="2" t="n">
        <v>30</v>
      </c>
      <c r="O47" s="2" t="n"/>
      <c r="P47" s="2" t="n"/>
      <c r="Q47" s="2" t="n"/>
      <c r="R47" s="2" t="n"/>
      <c r="S47" s="2" t="n"/>
      <c r="T47" s="2" t="n"/>
      <c r="U47" s="2" t="n"/>
      <c r="V47" s="2">
        <f>SUM(J47:U47)*G47</f>
        <v/>
      </c>
      <c r="W47" s="2">
        <f>MAX(J47:U47)</f>
        <v/>
      </c>
      <c r="X47" s="2">
        <f>W47*G47</f>
        <v/>
      </c>
    </row>
    <row r="48">
      <c r="A48" s="2" t="inlineStr">
        <is>
          <t>14-C-462</t>
        </is>
      </c>
      <c r="B48" s="3" t="inlineStr">
        <is>
          <t>Optical Cable Parts,LC/PC-LC/PC-Single mode-4m-2Core</t>
        </is>
      </c>
      <c r="C48" s="2" t="inlineStr">
        <is>
          <t>657A2 , LSZH , LC DUPLEX KIT(CLIP)</t>
        </is>
      </c>
      <c r="D48" s="2" t="inlineStr">
        <is>
          <t>a2</t>
        </is>
      </c>
      <c r="E48" s="2" t="inlineStr">
        <is>
          <t>2.0mm</t>
        </is>
      </c>
      <c r="F48" s="2" t="n">
        <v>2</v>
      </c>
      <c r="G48" s="2" t="n">
        <v>4</v>
      </c>
      <c r="H48" s="2" t="inlineStr">
        <is>
          <t>LC/PC</t>
        </is>
      </c>
      <c r="I48" s="2" t="inlineStr">
        <is>
          <t>LC/PC</t>
        </is>
      </c>
      <c r="J48" s="2" t="n"/>
      <c r="K48" s="2" t="n"/>
      <c r="L48" s="2" t="n"/>
      <c r="M48" s="2" t="n"/>
      <c r="N48" s="2" t="n">
        <v>20</v>
      </c>
      <c r="O48" s="2" t="n"/>
      <c r="P48" s="2" t="n"/>
      <c r="Q48" s="2" t="n"/>
      <c r="R48" s="2" t="n"/>
      <c r="S48" s="2" t="n"/>
      <c r="T48" s="2" t="n"/>
      <c r="U48" s="2" t="n"/>
      <c r="V48" s="2">
        <f>SUM(J48:U48)*G48</f>
        <v/>
      </c>
      <c r="W48" s="2">
        <f>MAX(J48:U48)</f>
        <v/>
      </c>
      <c r="X48" s="2">
        <f>W48*G48</f>
        <v/>
      </c>
    </row>
    <row r="49">
      <c r="A49" s="2" t="inlineStr">
        <is>
          <t>14-C-466</t>
        </is>
      </c>
      <c r="B49" s="3" t="inlineStr">
        <is>
          <t>Optical Cable Parts,LC/PC-LC/PC-Single mode-5m-2Core</t>
        </is>
      </c>
      <c r="C49" s="2" t="inlineStr">
        <is>
          <t>657A2 , LSZH , LC DUPLEX KIT(CLIP), 95MM/ 500MM</t>
        </is>
      </c>
      <c r="D49" s="2" t="inlineStr">
        <is>
          <t>a2</t>
        </is>
      </c>
      <c r="E49" s="2" t="inlineStr">
        <is>
          <t>2.0mm</t>
        </is>
      </c>
      <c r="F49" s="2" t="n">
        <v>2</v>
      </c>
      <c r="G49" s="2" t="n">
        <v>5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>
        <v>30</v>
      </c>
      <c r="M49" s="2" t="n"/>
      <c r="N49" s="2" t="n"/>
      <c r="O49" s="2" t="n"/>
      <c r="P49" s="2" t="n"/>
      <c r="Q49" s="2" t="n"/>
      <c r="R49" s="2" t="n">
        <v>50</v>
      </c>
      <c r="S49" s="2" t="n"/>
      <c r="T49" s="2" t="n"/>
      <c r="U49" s="2" t="n"/>
      <c r="V49" s="2">
        <f>SUM(J49:U49)*G49</f>
        <v/>
      </c>
      <c r="W49" s="2">
        <f>MAX(J49:U49)</f>
        <v/>
      </c>
      <c r="X49" s="2">
        <f>W49*G49</f>
        <v/>
      </c>
    </row>
    <row r="50">
      <c r="A50" s="2" t="inlineStr">
        <is>
          <t>14-C-486</t>
        </is>
      </c>
      <c r="B50" s="3" t="inlineStr">
        <is>
          <t>DROP-CABLE(LC/APC)-2C</t>
        </is>
      </c>
      <c r="C50" s="2" t="inlineStr">
        <is>
          <t>5M</t>
        </is>
      </c>
      <c r="D50" s="2" t="inlineStr">
        <is>
          <t>drop</t>
        </is>
      </c>
      <c r="E50" s="2" t="inlineStr">
        <is>
          <t>3.0mm</t>
        </is>
      </c>
      <c r="F50" s="2" t="n">
        <v>2</v>
      </c>
      <c r="G50" s="2" t="n">
        <v>5</v>
      </c>
      <c r="H50" s="2" t="inlineStr">
        <is>
          <t>LC/APC</t>
        </is>
      </c>
      <c r="I50" s="2" t="inlineStr">
        <is>
          <t>LC/APC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40</v>
      </c>
      <c r="U50" s="2" t="n"/>
      <c r="V50" s="2">
        <f>SUM(J50:U50)*G50</f>
        <v/>
      </c>
      <c r="W50" s="2">
        <f>MAX(J50:U50)</f>
        <v/>
      </c>
      <c r="X50" s="2">
        <f>W50*G50</f>
        <v/>
      </c>
    </row>
    <row r="51">
      <c r="A51" s="2" t="inlineStr">
        <is>
          <t>14-C-486</t>
        </is>
      </c>
      <c r="B51" s="3" t="inlineStr">
        <is>
          <t>DROP-CABLE(LC/APC)-2C</t>
        </is>
      </c>
      <c r="C51" s="2" t="inlineStr">
        <is>
          <t>5M / 분기부:30cm</t>
        </is>
      </c>
      <c r="D51" s="2" t="inlineStr">
        <is>
          <t>drop</t>
        </is>
      </c>
      <c r="E51" s="2" t="inlineStr">
        <is>
          <t>3.0mm</t>
        </is>
      </c>
      <c r="F51" s="2" t="n">
        <v>2</v>
      </c>
      <c r="G51" s="2" t="n">
        <v>5</v>
      </c>
      <c r="H51" s="2" t="inlineStr">
        <is>
          <t>LC/APC</t>
        </is>
      </c>
      <c r="I51" s="2" t="inlineStr">
        <is>
          <t>LC/APC</t>
        </is>
      </c>
      <c r="J51" s="2" t="n"/>
      <c r="K51" s="2" t="n">
        <v>35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>
        <f>SUM(J51:U51)*G51</f>
        <v/>
      </c>
      <c r="W51" s="2">
        <f>MAX(J51:U51)</f>
        <v/>
      </c>
      <c r="X51" s="2">
        <f>W51*G51</f>
        <v/>
      </c>
    </row>
    <row r="52">
      <c r="A52" s="2" t="inlineStr">
        <is>
          <t>14-C-488</t>
        </is>
      </c>
      <c r="B52" s="3" t="inlineStr">
        <is>
          <t>DROP-CABLE(LC/APC)-2C</t>
        </is>
      </c>
      <c r="C52" s="2" t="inlineStr">
        <is>
          <t>7M</t>
        </is>
      </c>
      <c r="D52" s="2" t="inlineStr">
        <is>
          <t>drop</t>
        </is>
      </c>
      <c r="E52" s="2" t="inlineStr">
        <is>
          <t>3.0mm</t>
        </is>
      </c>
      <c r="F52" s="2" t="n">
        <v>2</v>
      </c>
      <c r="G52" s="2" t="n">
        <v>7</v>
      </c>
      <c r="H52" s="2" t="inlineStr">
        <is>
          <t>LC/APC</t>
        </is>
      </c>
      <c r="I52" s="2" t="inlineStr">
        <is>
          <t>LC/APC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30</v>
      </c>
      <c r="U52" s="2" t="n"/>
      <c r="V52" s="2">
        <f>SUM(J52:U52)*G52</f>
        <v/>
      </c>
      <c r="W52" s="2">
        <f>MAX(J52:U52)</f>
        <v/>
      </c>
      <c r="X52" s="2">
        <f>W52*G52</f>
        <v/>
      </c>
    </row>
    <row r="53">
      <c r="A53" s="2" t="inlineStr">
        <is>
          <t>14-C-488</t>
        </is>
      </c>
      <c r="B53" s="3" t="inlineStr">
        <is>
          <t>DROP-CABLE(LC/APC)-2C</t>
        </is>
      </c>
      <c r="C53" s="2" t="inlineStr">
        <is>
          <t>7M / 분기부:30cm</t>
        </is>
      </c>
      <c r="D53" s="2" t="inlineStr">
        <is>
          <t>drop</t>
        </is>
      </c>
      <c r="E53" s="2" t="inlineStr">
        <is>
          <t>3.0mm</t>
        </is>
      </c>
      <c r="F53" s="2" t="n">
        <v>2</v>
      </c>
      <c r="G53" s="2" t="n">
        <v>7</v>
      </c>
      <c r="H53" s="2" t="inlineStr">
        <is>
          <t>LC/APC</t>
        </is>
      </c>
      <c r="I53" s="2" t="inlineStr">
        <is>
          <t>LC/APC</t>
        </is>
      </c>
      <c r="J53" s="2" t="n"/>
      <c r="K53" s="2" t="n"/>
      <c r="L53" s="2" t="n"/>
      <c r="M53" s="2" t="n">
        <v>30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>
        <f>SUM(J53:U53)*G53</f>
        <v/>
      </c>
      <c r="W53" s="2">
        <f>MAX(J53:U53)</f>
        <v/>
      </c>
      <c r="X53" s="2">
        <f>W53*G53</f>
        <v/>
      </c>
    </row>
    <row r="54">
      <c r="A54" s="2" t="inlineStr">
        <is>
          <t>14-C-490</t>
        </is>
      </c>
      <c r="B54" s="3" t="inlineStr">
        <is>
          <t>Optical Cable Parts,LC/PC-LC/PC-Single mode-30m-2Core</t>
        </is>
      </c>
      <c r="C54" s="2" t="inlineStr">
        <is>
          <t>657A2 , LSZH , LC DUPLEX KIT(CLIP),95MM/ 500MM</t>
        </is>
      </c>
      <c r="D54" s="2" t="inlineStr">
        <is>
          <t>a2</t>
        </is>
      </c>
      <c r="E54" s="2" t="inlineStr">
        <is>
          <t>2.0mm</t>
        </is>
      </c>
      <c r="F54" s="2" t="n">
        <v>2</v>
      </c>
      <c r="G54" s="2" t="n">
        <v>30</v>
      </c>
      <c r="H54" s="2" t="inlineStr">
        <is>
          <t>LC/PC</t>
        </is>
      </c>
      <c r="I54" s="2" t="inlineStr">
        <is>
          <t>LC/PC</t>
        </is>
      </c>
      <c r="J54" s="2" t="n">
        <v>2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SUM(J54:U54)*G54</f>
        <v/>
      </c>
      <c r="W54" s="2">
        <f>MAX(J54:U54)</f>
        <v/>
      </c>
      <c r="X54" s="2">
        <f>W54*G54</f>
        <v/>
      </c>
    </row>
    <row r="55">
      <c r="A55" s="2" t="inlineStr">
        <is>
          <t>14-C-491</t>
        </is>
      </c>
      <c r="B55" s="3" t="inlineStr">
        <is>
          <t>Optical Cable Parts,LC/PC-LC/PC-Single mode-40m-2Core</t>
        </is>
      </c>
      <c r="C55" s="2" t="inlineStr">
        <is>
          <t>657A2 , LSZH , LC DUPLEX KIT(CLIP),95MM/ 500MM</t>
        </is>
      </c>
      <c r="D55" s="2" t="inlineStr">
        <is>
          <t>a2</t>
        </is>
      </c>
      <c r="E55" s="2" t="inlineStr">
        <is>
          <t>2.0mm</t>
        </is>
      </c>
      <c r="F55" s="2" t="n">
        <v>2</v>
      </c>
      <c r="G55" s="2" t="n">
        <v>40</v>
      </c>
      <c r="H55" s="2" t="inlineStr">
        <is>
          <t>LC/PC</t>
        </is>
      </c>
      <c r="I55" s="2" t="inlineStr">
        <is>
          <t>LC/PC</t>
        </is>
      </c>
      <c r="J55" s="2" t="n">
        <v>50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>
        <v>20</v>
      </c>
      <c r="U55" s="2" t="n"/>
      <c r="V55" s="2">
        <f>SUM(J55:U55)*G55</f>
        <v/>
      </c>
      <c r="W55" s="2">
        <f>MAX(J55:U55)</f>
        <v/>
      </c>
      <c r="X55" s="2">
        <f>W55*G55</f>
        <v/>
      </c>
    </row>
    <row r="56">
      <c r="A56" s="2" t="inlineStr">
        <is>
          <t>14-C-492</t>
        </is>
      </c>
      <c r="B56" s="3" t="inlineStr">
        <is>
          <t>Optical Cable Parts,LC/PC-LC/PC-Single mode-50m-2Core</t>
        </is>
      </c>
      <c r="C56" s="2" t="inlineStr">
        <is>
          <t>657A2 , LSZH , LC DUPLEX KIT(CLIP),95MM/ 500MM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50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10</v>
      </c>
      <c r="U56" s="2" t="n"/>
      <c r="V56" s="2">
        <f>SUM(J56:U56)*G56</f>
        <v/>
      </c>
      <c r="W56" s="2">
        <f>MAX(J56:U56)</f>
        <v/>
      </c>
      <c r="X56" s="2">
        <f>W56*G56</f>
        <v/>
      </c>
    </row>
    <row r="57">
      <c r="A57" s="2" t="inlineStr">
        <is>
          <t>14-C-493</t>
        </is>
      </c>
      <c r="B57" s="3" t="inlineStr">
        <is>
          <t>Optical Cable Parts,LC/PC-LC/PC-Single mode-60m-2Core</t>
        </is>
      </c>
      <c r="C57" s="2" t="inlineStr">
        <is>
          <t>657A2 , LSZH , LC DUPLEX KIT(CLIP),95MM/ 500MM</t>
        </is>
      </c>
      <c r="D57" s="2" t="inlineStr">
        <is>
          <t>a2</t>
        </is>
      </c>
      <c r="E57" s="2" t="inlineStr">
        <is>
          <t>2.0mm</t>
        </is>
      </c>
      <c r="F57" s="2" t="n">
        <v>2</v>
      </c>
      <c r="G57" s="2" t="n">
        <v>60</v>
      </c>
      <c r="H57" s="2" t="inlineStr">
        <is>
          <t>LC/PC</t>
        </is>
      </c>
      <c r="I57" s="2" t="inlineStr">
        <is>
          <t>LC/PC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4</v>
      </c>
      <c r="U57" s="2" t="n"/>
      <c r="V57" s="2">
        <f>SUM(J57:U57)*G57</f>
        <v/>
      </c>
      <c r="W57" s="2">
        <f>MAX(J57:U57)</f>
        <v/>
      </c>
      <c r="X57" s="2">
        <f>W57*G57</f>
        <v/>
      </c>
    </row>
    <row r="58">
      <c r="A58" s="2" t="inlineStr">
        <is>
          <t>14-C-496</t>
        </is>
      </c>
      <c r="B58" s="3" t="inlineStr">
        <is>
          <t>DROP-CABLE(LC/PC)-2C</t>
        </is>
      </c>
      <c r="C58" s="2" t="inlineStr">
        <is>
          <t>10M</t>
        </is>
      </c>
      <c r="D58" s="2" t="inlineStr">
        <is>
          <t>drop</t>
        </is>
      </c>
      <c r="E58" s="2" t="inlineStr">
        <is>
          <t>3.0mm</t>
        </is>
      </c>
      <c r="F58" s="2" t="n">
        <v>2</v>
      </c>
      <c r="G58" s="2" t="n">
        <v>10</v>
      </c>
      <c r="H58" s="2" t="inlineStr">
        <is>
          <t>LC/PC</t>
        </is>
      </c>
      <c r="I58" s="2" t="inlineStr">
        <is>
          <t>LC/PC</t>
        </is>
      </c>
      <c r="J58" s="2" t="n"/>
      <c r="K58" s="2" t="n">
        <v>10</v>
      </c>
      <c r="L58" s="2" t="n"/>
      <c r="M58" s="2" t="n"/>
      <c r="N58" s="2" t="n"/>
      <c r="O58" s="2" t="n">
        <v>80</v>
      </c>
      <c r="P58" s="2" t="n">
        <v>20</v>
      </c>
      <c r="Q58" s="2" t="n">
        <v>30</v>
      </c>
      <c r="R58" s="2" t="n"/>
      <c r="S58" s="2" t="n"/>
      <c r="T58" s="2" t="n"/>
      <c r="U58" s="2" t="n">
        <v>21</v>
      </c>
      <c r="V58" s="2">
        <f>SUM(J58:U58)*G58</f>
        <v/>
      </c>
      <c r="W58" s="2">
        <f>MAX(J58:U58)</f>
        <v/>
      </c>
      <c r="X58" s="2">
        <f>W58*G58</f>
        <v/>
      </c>
    </row>
    <row r="59">
      <c r="A59" s="2" t="inlineStr">
        <is>
          <t>14-C-497</t>
        </is>
      </c>
      <c r="B59" s="3" t="inlineStr">
        <is>
          <t>DROP-CABLE(LC/PC)-2C</t>
        </is>
      </c>
      <c r="C59" s="2" t="inlineStr">
        <is>
          <t>4M</t>
        </is>
      </c>
      <c r="D59" s="2" t="inlineStr">
        <is>
          <t>drop</t>
        </is>
      </c>
      <c r="E59" s="2" t="inlineStr">
        <is>
          <t>3.0mm</t>
        </is>
      </c>
      <c r="F59" s="2" t="n">
        <v>2</v>
      </c>
      <c r="G59" s="2" t="n">
        <v>4</v>
      </c>
      <c r="H59" s="2" t="inlineStr">
        <is>
          <t>LC/PC</t>
        </is>
      </c>
      <c r="I59" s="2" t="inlineStr">
        <is>
          <t>LC/PC</t>
        </is>
      </c>
      <c r="J59" s="2" t="n">
        <v>100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>
        <v>30</v>
      </c>
      <c r="T59" s="2" t="n">
        <v>100</v>
      </c>
      <c r="U59" s="2" t="n">
        <v>20</v>
      </c>
      <c r="V59" s="2">
        <f>SUM(J59:U59)*G59</f>
        <v/>
      </c>
      <c r="W59" s="2">
        <f>MAX(J59:U59)</f>
        <v/>
      </c>
      <c r="X59" s="2">
        <f>W59*G59</f>
        <v/>
      </c>
    </row>
    <row r="60">
      <c r="A60" s="2" t="inlineStr">
        <is>
          <t>14-C-506</t>
        </is>
      </c>
      <c r="B60" s="3" t="inlineStr">
        <is>
          <t>Optical Cable Parts,SC/PC-LC/PC-Single mode-5m-2Core</t>
        </is>
      </c>
      <c r="C60" s="2" t="inlineStr">
        <is>
          <t>657A2 , LSZH , LC DUPLEX KIT(CLIP),95MM/ 500MM</t>
        </is>
      </c>
      <c r="D60" s="2" t="inlineStr">
        <is>
          <t>a2</t>
        </is>
      </c>
      <c r="E60" s="2" t="inlineStr">
        <is>
          <t>2.0mm</t>
        </is>
      </c>
      <c r="F60" s="2" t="n">
        <v>2</v>
      </c>
      <c r="G60" s="2" t="n">
        <v>5</v>
      </c>
      <c r="H60" s="2" t="inlineStr">
        <is>
          <t>SC/PC</t>
        </is>
      </c>
      <c r="I60" s="2" t="inlineStr">
        <is>
          <t>LC/PC</t>
        </is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18</v>
      </c>
      <c r="U60" s="2" t="n"/>
      <c r="V60" s="2">
        <f>SUM(J60:U60)*G60</f>
        <v/>
      </c>
      <c r="W60" s="2">
        <f>MAX(J60:U60)</f>
        <v/>
      </c>
      <c r="X60" s="2">
        <f>W60*G60</f>
        <v/>
      </c>
    </row>
    <row r="61">
      <c r="A61" s="2" t="inlineStr">
        <is>
          <t>14-C-534</t>
        </is>
      </c>
      <c r="B61" s="3" t="inlineStr">
        <is>
          <t>DROP-CABLE(LC/PC-SC/APC)</t>
        </is>
      </c>
      <c r="C61" s="2" t="inlineStr">
        <is>
          <t>25M</t>
        </is>
      </c>
      <c r="D61" s="2" t="inlineStr">
        <is>
          <t>drop</t>
        </is>
      </c>
      <c r="E61" s="2" t="inlineStr">
        <is>
          <t>3.0mm</t>
        </is>
      </c>
      <c r="F61" s="2" t="n">
        <v>1</v>
      </c>
      <c r="G61" s="2" t="n">
        <v>25</v>
      </c>
      <c r="H61" s="2" t="inlineStr">
        <is>
          <t>LC/PC</t>
        </is>
      </c>
      <c r="I61" s="2" t="inlineStr">
        <is>
          <t>SC/APC</t>
        </is>
      </c>
      <c r="J61" s="2" t="n"/>
      <c r="K61" s="2" t="n"/>
      <c r="L61" s="2" t="n"/>
      <c r="M61" s="2" t="n"/>
      <c r="N61" s="2" t="n"/>
      <c r="O61" s="2" t="n">
        <v>5</v>
      </c>
      <c r="P61" s="2" t="n"/>
      <c r="Q61" s="2" t="n"/>
      <c r="R61" s="2" t="n"/>
      <c r="S61" s="2" t="n"/>
      <c r="T61" s="2" t="n"/>
      <c r="U61" s="2" t="n"/>
      <c r="V61" s="2">
        <f>SUM(J61:U61)*G61</f>
        <v/>
      </c>
      <c r="W61" s="2">
        <f>MAX(J61:U61)</f>
        <v/>
      </c>
      <c r="X61" s="2">
        <f>W61*G61</f>
        <v/>
      </c>
    </row>
    <row r="62">
      <c r="A62" s="2" t="inlineStr">
        <is>
          <t>14-C-535</t>
        </is>
      </c>
      <c r="B62" s="3" t="inlineStr">
        <is>
          <t>Optical Cable Parts,LC/PC-LC/PC-Single mode-15m-2Core</t>
        </is>
      </c>
      <c r="C62" s="2" t="inlineStr">
        <is>
          <t>657A2 , LSZH , LC DUPLEX KIT(CLIP), 300MM/ 300MM</t>
        </is>
      </c>
      <c r="D62" s="2" t="inlineStr">
        <is>
          <t>a2</t>
        </is>
      </c>
      <c r="E62" s="2" t="inlineStr">
        <is>
          <t>2.0mm</t>
        </is>
      </c>
      <c r="F62" s="2" t="n">
        <v>2</v>
      </c>
      <c r="G62" s="2" t="n">
        <v>15</v>
      </c>
      <c r="H62" s="2" t="inlineStr">
        <is>
          <t>LC/PC</t>
        </is>
      </c>
      <c r="I62" s="2" t="inlineStr">
        <is>
          <t>LC/PC</t>
        </is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>
        <v>50</v>
      </c>
      <c r="S62" s="2" t="n"/>
      <c r="T62" s="2" t="n">
        <v>50</v>
      </c>
      <c r="U62" s="2" t="n">
        <v>50</v>
      </c>
      <c r="V62" s="2">
        <f>SUM(J62:U62)*G62</f>
        <v/>
      </c>
      <c r="W62" s="2">
        <f>MAX(J62:U62)</f>
        <v/>
      </c>
      <c r="X62" s="2">
        <f>W62*G62</f>
        <v/>
      </c>
    </row>
    <row r="63">
      <c r="A63" s="2" t="inlineStr">
        <is>
          <t>14-C-552</t>
        </is>
      </c>
      <c r="B63" s="3" t="inlineStr">
        <is>
          <t>Optical Cable Parts,LC/PC-LC/PC-Single mode-10m-2Core</t>
        </is>
      </c>
      <c r="C63" s="2" t="inlineStr">
        <is>
          <t>657A2 , LSZH , LC DUPLEX KIT(CLIP), 0MM/ 300MM</t>
        </is>
      </c>
      <c r="D63" s="2" t="inlineStr">
        <is>
          <t>a2</t>
        </is>
      </c>
      <c r="E63" s="2" t="inlineStr">
        <is>
          <t>2.0mm</t>
        </is>
      </c>
      <c r="F63" s="2" t="n">
        <v>2</v>
      </c>
      <c r="G63" s="2" t="n">
        <v>10</v>
      </c>
      <c r="H63" s="2" t="inlineStr">
        <is>
          <t>LC/PC</t>
        </is>
      </c>
      <c r="I63" s="2" t="inlineStr">
        <is>
          <t>LC/PC</t>
        </is>
      </c>
      <c r="J63" s="2" t="n"/>
      <c r="K63" s="2" t="n"/>
      <c r="L63" s="2" t="n"/>
      <c r="M63" s="2" t="n"/>
      <c r="N63" s="2" t="n"/>
      <c r="O63" s="2" t="n">
        <v>50</v>
      </c>
      <c r="P63" s="2" t="n"/>
      <c r="Q63" s="2" t="n"/>
      <c r="R63" s="2" t="n"/>
      <c r="S63" s="2" t="n"/>
      <c r="T63" s="2" t="n"/>
      <c r="U63" s="2" t="n"/>
      <c r="V63" s="2">
        <f>SUM(J63:U63)*G63</f>
        <v/>
      </c>
      <c r="W63" s="2">
        <f>MAX(J63:U63)</f>
        <v/>
      </c>
      <c r="X63" s="2">
        <f>W63*G63</f>
        <v/>
      </c>
    </row>
    <row r="64">
      <c r="A64" s="2" t="inlineStr">
        <is>
          <t>14-C-553</t>
        </is>
      </c>
      <c r="B64" s="3" t="inlineStr">
        <is>
          <t>Optical Cable Parts,LC/PC-LC/PC-Single mode-15m-2Core</t>
        </is>
      </c>
      <c r="C64" s="2" t="inlineStr">
        <is>
          <t>657A2 , LSZH , LC DUPLEX KIT(CLIP), 0MM/ 300MM</t>
        </is>
      </c>
      <c r="D64" s="2" t="inlineStr">
        <is>
          <t>a2</t>
        </is>
      </c>
      <c r="E64" s="2" t="inlineStr">
        <is>
          <t>2.0mm</t>
        </is>
      </c>
      <c r="F64" s="2" t="n">
        <v>2</v>
      </c>
      <c r="G64" s="2" t="n">
        <v>15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>
        <v>50</v>
      </c>
      <c r="S64" s="2" t="n"/>
      <c r="T64" s="2" t="n"/>
      <c r="U64" s="2" t="n"/>
      <c r="V64" s="2">
        <f>SUM(J64:U64)*G64</f>
        <v/>
      </c>
      <c r="W64" s="2">
        <f>MAX(J64:U64)</f>
        <v/>
      </c>
      <c r="X64" s="2">
        <f>W64*G64</f>
        <v/>
      </c>
    </row>
    <row r="65">
      <c r="A65" s="2" t="inlineStr">
        <is>
          <t>14-C-555</t>
        </is>
      </c>
      <c r="B65" s="3" t="inlineStr">
        <is>
          <t>Optical Cable Parts,LC/PC-LC/PC-Single mode-25m-2Core</t>
        </is>
      </c>
      <c r="C65" s="2" t="inlineStr">
        <is>
          <t>657A2 , LSZH , LC DUPLEX KIT(CLIP), 0MM/ 300MM</t>
        </is>
      </c>
      <c r="D65" s="2" t="inlineStr">
        <is>
          <t>a2</t>
        </is>
      </c>
      <c r="E65" s="2" t="inlineStr">
        <is>
          <t>2.0mm</t>
        </is>
      </c>
      <c r="F65" s="2" t="n">
        <v>2</v>
      </c>
      <c r="G65" s="2" t="n">
        <v>25</v>
      </c>
      <c r="H65" s="2" t="inlineStr">
        <is>
          <t>LC/PC</t>
        </is>
      </c>
      <c r="I65" s="2" t="inlineStr">
        <is>
          <t>LC/PC</t>
        </is>
      </c>
      <c r="J65" s="2" t="n">
        <v>100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SUM(J65:U65)*G65</f>
        <v/>
      </c>
      <c r="W65" s="2">
        <f>MAX(J65:U65)</f>
        <v/>
      </c>
      <c r="X65" s="2">
        <f>W65*G65</f>
        <v/>
      </c>
    </row>
    <row r="66">
      <c r="A66" s="2" t="inlineStr">
        <is>
          <t>14-C-560</t>
        </is>
      </c>
      <c r="B66" s="3" t="inlineStr">
        <is>
          <t>DROP-CABLE(LC/PC)-2C</t>
        </is>
      </c>
      <c r="C66" s="2" t="inlineStr">
        <is>
          <t>5M</t>
        </is>
      </c>
      <c r="D66" s="2" t="inlineStr">
        <is>
          <t>drop</t>
        </is>
      </c>
      <c r="E66" s="2" t="inlineStr">
        <is>
          <t>3.0mm</t>
        </is>
      </c>
      <c r="F66" s="2" t="n">
        <v>2</v>
      </c>
      <c r="G66" s="2" t="n">
        <v>5</v>
      </c>
      <c r="H66" s="2" t="inlineStr">
        <is>
          <t>LC/PC</t>
        </is>
      </c>
      <c r="I66" s="2" t="inlineStr">
        <is>
          <t>LC/PC</t>
        </is>
      </c>
      <c r="J66" s="2" t="n"/>
      <c r="K66" s="2" t="n"/>
      <c r="L66" s="2" t="n">
        <v>20</v>
      </c>
      <c r="M66" s="2" t="n"/>
      <c r="N66" s="2" t="n"/>
      <c r="O66" s="2" t="n">
        <v>20</v>
      </c>
      <c r="P66" s="2" t="n">
        <v>20</v>
      </c>
      <c r="Q66" s="2" t="n">
        <v>50</v>
      </c>
      <c r="R66" s="2" t="n"/>
      <c r="S66" s="2" t="n"/>
      <c r="T66" s="2" t="n"/>
      <c r="U66" s="2" t="n"/>
      <c r="V66" s="2">
        <f>SUM(J66:U66)*G66</f>
        <v/>
      </c>
      <c r="W66" s="2">
        <f>MAX(J66:U66)</f>
        <v/>
      </c>
      <c r="X66" s="2">
        <f>W66*G66</f>
        <v/>
      </c>
    </row>
    <row r="67">
      <c r="A67" s="2" t="inlineStr">
        <is>
          <t>14-C-562</t>
        </is>
      </c>
      <c r="B67" s="3" t="inlineStr">
        <is>
          <t>DROP-CABLE(SC/APC)</t>
        </is>
      </c>
      <c r="C67" s="2" t="inlineStr">
        <is>
          <t>2M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2</v>
      </c>
      <c r="H67" s="2" t="inlineStr">
        <is>
          <t>SC/APC</t>
        </is>
      </c>
      <c r="I67" s="2" t="inlineStr">
        <is>
          <t>SC/APC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>
        <v>30</v>
      </c>
      <c r="T67" s="2" t="n"/>
      <c r="U67" s="2" t="n"/>
      <c r="V67" s="2">
        <f>SUM(J67:U67)*G67</f>
        <v/>
      </c>
      <c r="W67" s="2">
        <f>MAX(J67:U67)</f>
        <v/>
      </c>
      <c r="X67" s="2">
        <f>W67*G67</f>
        <v/>
      </c>
    </row>
    <row r="68">
      <c r="A68" s="2" t="inlineStr">
        <is>
          <t>14-C-565</t>
        </is>
      </c>
      <c r="B68" s="3" t="inlineStr">
        <is>
          <t>DROP-CABLE(LC/PC-FC/PC)</t>
        </is>
      </c>
      <c r="C68" s="2" t="inlineStr">
        <is>
          <t>15M</t>
        </is>
      </c>
      <c r="D68" s="2" t="inlineStr">
        <is>
          <t>drop</t>
        </is>
      </c>
      <c r="E68" s="2" t="inlineStr">
        <is>
          <t>3.0mm</t>
        </is>
      </c>
      <c r="F68" s="2" t="n">
        <v>1</v>
      </c>
      <c r="G68" s="2" t="n">
        <v>15</v>
      </c>
      <c r="H68" s="2" t="inlineStr">
        <is>
          <t>LC/PC</t>
        </is>
      </c>
      <c r="I68" s="2" t="inlineStr">
        <is>
          <t>FC/PC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>
        <v>10</v>
      </c>
      <c r="S68" s="2" t="n"/>
      <c r="T68" s="2" t="n"/>
      <c r="U68" s="2" t="n"/>
      <c r="V68" s="2">
        <f>SUM(J68:U68)*G68</f>
        <v/>
      </c>
      <c r="W68" s="2">
        <f>MAX(J68:U68)</f>
        <v/>
      </c>
      <c r="X68" s="2">
        <f>W68*G68</f>
        <v/>
      </c>
    </row>
    <row r="69">
      <c r="A69" s="2" t="inlineStr">
        <is>
          <t>14-C-568</t>
        </is>
      </c>
      <c r="B69" s="3" t="inlineStr">
        <is>
          <t>DROP-CABLE(SC/PC)-2C</t>
        </is>
      </c>
      <c r="C69" s="2" t="inlineStr">
        <is>
          <t>20M</t>
        </is>
      </c>
      <c r="D69" s="2" t="inlineStr">
        <is>
          <t>drop</t>
        </is>
      </c>
      <c r="E69" s="2" t="inlineStr">
        <is>
          <t>3.0mm</t>
        </is>
      </c>
      <c r="F69" s="2" t="n">
        <v>2</v>
      </c>
      <c r="G69" s="2" t="n">
        <v>20</v>
      </c>
      <c r="H69" s="2" t="inlineStr">
        <is>
          <t>SC/PC</t>
        </is>
      </c>
      <c r="I69" s="2" t="inlineStr">
        <is>
          <t>SC/PC</t>
        </is>
      </c>
      <c r="J69" s="2" t="n"/>
      <c r="K69" s="2" t="n"/>
      <c r="L69" s="2" t="n"/>
      <c r="M69" s="2" t="n"/>
      <c r="N69" s="2" t="n">
        <v>2</v>
      </c>
      <c r="O69" s="2" t="n"/>
      <c r="P69" s="2" t="n"/>
      <c r="Q69" s="2" t="n">
        <v>20</v>
      </c>
      <c r="R69" s="2" t="n"/>
      <c r="S69" s="2" t="n"/>
      <c r="T69" s="2" t="n"/>
      <c r="U69" s="2" t="n"/>
      <c r="V69" s="2">
        <f>SUM(J69:U69)*G69</f>
        <v/>
      </c>
      <c r="W69" s="2">
        <f>MAX(J69:U69)</f>
        <v/>
      </c>
      <c r="X69" s="2">
        <f>W69*G69</f>
        <v/>
      </c>
    </row>
    <row r="70">
      <c r="A70" s="2" t="inlineStr">
        <is>
          <t>14-C-583</t>
        </is>
      </c>
      <c r="B70" s="3" t="inlineStr">
        <is>
          <t>DROP-CABLE(LC/PC)-2C</t>
        </is>
      </c>
      <c r="C70" s="2" t="inlineStr">
        <is>
          <t>15m</t>
        </is>
      </c>
      <c r="D70" s="2" t="inlineStr">
        <is>
          <t>drop</t>
        </is>
      </c>
      <c r="E70" s="2" t="inlineStr">
        <is>
          <t>3.0mm</t>
        </is>
      </c>
      <c r="F70" s="2" t="n">
        <v>2</v>
      </c>
      <c r="G70" s="2" t="n">
        <v>15</v>
      </c>
      <c r="H70" s="2" t="inlineStr">
        <is>
          <t>LC/PC</t>
        </is>
      </c>
      <c r="I70" s="2" t="inlineStr">
        <is>
          <t>LC/PC</t>
        </is>
      </c>
      <c r="J70" s="2" t="n"/>
      <c r="K70" s="2" t="n"/>
      <c r="L70" s="2" t="n"/>
      <c r="M70" s="2" t="n"/>
      <c r="N70" s="2" t="n"/>
      <c r="O70" s="2" t="n">
        <v>30</v>
      </c>
      <c r="P70" s="2" t="n">
        <v>20</v>
      </c>
      <c r="Q70" s="2" t="n"/>
      <c r="R70" s="2" t="n">
        <v>20</v>
      </c>
      <c r="S70" s="2" t="n"/>
      <c r="T70" s="2" t="n"/>
      <c r="U70" s="2" t="n"/>
      <c r="V70" s="2">
        <f>SUM(J70:U70)*G70</f>
        <v/>
      </c>
      <c r="W70" s="2">
        <f>MAX(J70:U70)</f>
        <v/>
      </c>
      <c r="X70" s="2">
        <f>W70*G70</f>
        <v/>
      </c>
    </row>
    <row r="71">
      <c r="A71" s="2" t="inlineStr">
        <is>
          <t>14-C-600</t>
        </is>
      </c>
      <c r="B71" s="3" t="inlineStr">
        <is>
          <t>DROP-CABLE(LC/PC)-2C</t>
        </is>
      </c>
      <c r="C71" s="2" t="inlineStr">
        <is>
          <t>20M</t>
        </is>
      </c>
      <c r="D71" s="2" t="inlineStr">
        <is>
          <t>drop</t>
        </is>
      </c>
      <c r="E71" s="2" t="inlineStr">
        <is>
          <t>3.0mm</t>
        </is>
      </c>
      <c r="F71" s="2" t="n">
        <v>2</v>
      </c>
      <c r="G71" s="2" t="n">
        <v>20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/>
      <c r="M71" s="2" t="n"/>
      <c r="N71" s="2" t="n"/>
      <c r="O71" s="2" t="n"/>
      <c r="P71" s="2" t="n">
        <v>20</v>
      </c>
      <c r="Q71" s="2" t="n"/>
      <c r="R71" s="2" t="n"/>
      <c r="S71" s="2" t="n">
        <v>25</v>
      </c>
      <c r="T71" s="2" t="n">
        <v>30</v>
      </c>
      <c r="U71" s="2" t="n"/>
      <c r="V71" s="2">
        <f>SUM(J71:U71)*G71</f>
        <v/>
      </c>
      <c r="W71" s="2">
        <f>MAX(J71:U71)</f>
        <v/>
      </c>
      <c r="X71" s="2">
        <f>W71*G71</f>
        <v/>
      </c>
    </row>
    <row r="72">
      <c r="A72" s="2" t="inlineStr">
        <is>
          <t>14-C-614</t>
        </is>
      </c>
      <c r="B72" s="3" t="inlineStr">
        <is>
          <t>Optical Cable Parts,LC/PC-LC/PC-Single mode-10m-2Core</t>
        </is>
      </c>
      <c r="C72" s="2" t="inlineStr">
        <is>
          <t>657A2 , LSZH , LC DUPLEX KIT(CLIP), 1,000MM/1,000MM</t>
        </is>
      </c>
      <c r="D72" s="2" t="inlineStr">
        <is>
          <t>a2</t>
        </is>
      </c>
      <c r="E72" s="2" t="inlineStr">
        <is>
          <t>2.0mm</t>
        </is>
      </c>
      <c r="F72" s="2" t="n">
        <v>2</v>
      </c>
      <c r="G72" s="2" t="n">
        <v>10</v>
      </c>
      <c r="H72" s="2" t="inlineStr">
        <is>
          <t>LC/PC</t>
        </is>
      </c>
      <c r="I72" s="2" t="inlineStr">
        <is>
          <t>LC/PC</t>
        </is>
      </c>
      <c r="J72" s="2" t="n"/>
      <c r="K72" s="2" t="n"/>
      <c r="L72" s="2" t="n">
        <v>50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>
        <f>SUM(J72:U72)*G72</f>
        <v/>
      </c>
      <c r="W72" s="2">
        <f>MAX(J72:U72)</f>
        <v/>
      </c>
      <c r="X72" s="2">
        <f>W72*G72</f>
        <v/>
      </c>
    </row>
    <row r="73">
      <c r="A73" s="2" t="inlineStr">
        <is>
          <t>14-C-615</t>
        </is>
      </c>
      <c r="B73" s="3" t="inlineStr">
        <is>
          <t>Optical Cable Parts,LC/PC-LC/PC-Single mode-15m-2Core</t>
        </is>
      </c>
      <c r="C73" s="2" t="inlineStr">
        <is>
          <t>657A2 , LSZH , LC DUPLEX KIT(CLIP), 1,000MM/1,000MM</t>
        </is>
      </c>
      <c r="D73" s="2" t="inlineStr">
        <is>
          <t>a2</t>
        </is>
      </c>
      <c r="E73" s="2" t="inlineStr">
        <is>
          <t>2.0mm</t>
        </is>
      </c>
      <c r="F73" s="2" t="n">
        <v>2</v>
      </c>
      <c r="G73" s="2" t="n">
        <v>15</v>
      </c>
      <c r="H73" s="2" t="inlineStr">
        <is>
          <t>LC/PC</t>
        </is>
      </c>
      <c r="I73" s="2" t="inlineStr">
        <is>
          <t>LC/PC</t>
        </is>
      </c>
      <c r="J73" s="2" t="n"/>
      <c r="K73" s="2" t="n"/>
      <c r="L73" s="2" t="n">
        <v>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>
        <f>SUM(J73:U73)*G73</f>
        <v/>
      </c>
      <c r="W73" s="2">
        <f>MAX(J73:U73)</f>
        <v/>
      </c>
      <c r="X73" s="2">
        <f>W73*G73</f>
        <v/>
      </c>
    </row>
    <row r="74">
      <c r="A74" s="2" t="inlineStr">
        <is>
          <t>14-C-628</t>
        </is>
      </c>
      <c r="B74" s="3" t="inlineStr">
        <is>
          <t>DROP-CABLE(LC/PC-SC/PC)-2C</t>
        </is>
      </c>
      <c r="C74" s="2" t="inlineStr">
        <is>
          <t>70M</t>
        </is>
      </c>
      <c r="D74" s="2" t="inlineStr">
        <is>
          <t>drop</t>
        </is>
      </c>
      <c r="E74" s="2" t="inlineStr">
        <is>
          <t>3.0mm</t>
        </is>
      </c>
      <c r="F74" s="2" t="n">
        <v>2</v>
      </c>
      <c r="G74" s="2" t="n">
        <v>70</v>
      </c>
      <c r="H74" s="2" t="inlineStr">
        <is>
          <t>LC/PC</t>
        </is>
      </c>
      <c r="I74" s="2" t="inlineStr">
        <is>
          <t>SC/PC</t>
        </is>
      </c>
      <c r="J74" s="2" t="n"/>
      <c r="K74" s="2" t="n">
        <v>1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>
        <f>SUM(J74:U74)*G74</f>
        <v/>
      </c>
      <c r="W74" s="2">
        <f>MAX(J74:U74)</f>
        <v/>
      </c>
      <c r="X74" s="2">
        <f>W74*G74</f>
        <v/>
      </c>
    </row>
    <row r="75">
      <c r="A75" s="2" t="inlineStr">
        <is>
          <t>14-C-630</t>
        </is>
      </c>
      <c r="B75" s="3" t="inlineStr">
        <is>
          <t>DROP-CABLE(LC/PC-LC/APC)-2C</t>
        </is>
      </c>
      <c r="C75" s="2" t="inlineStr">
        <is>
          <t>30M</t>
        </is>
      </c>
      <c r="D75" s="2" t="inlineStr">
        <is>
          <t>drop</t>
        </is>
      </c>
      <c r="E75" s="2" t="inlineStr">
        <is>
          <t>3.0mm</t>
        </is>
      </c>
      <c r="F75" s="2" t="n">
        <v>2</v>
      </c>
      <c r="G75" s="2" t="n">
        <v>30</v>
      </c>
      <c r="H75" s="2" t="inlineStr">
        <is>
          <t>LC/PC</t>
        </is>
      </c>
      <c r="I75" s="2" t="inlineStr">
        <is>
          <t>LC/APC</t>
        </is>
      </c>
      <c r="J75" s="2" t="n"/>
      <c r="K75" s="2" t="n">
        <v>5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>
        <f>SUM(J75:U75)*G75</f>
        <v/>
      </c>
      <c r="W75" s="2">
        <f>MAX(J75:U75)</f>
        <v/>
      </c>
      <c r="X75" s="2">
        <f>W75*G75</f>
        <v/>
      </c>
    </row>
    <row r="76">
      <c r="A76" s="2" t="inlineStr">
        <is>
          <t>14-C-631</t>
        </is>
      </c>
      <c r="B76" s="3" t="inlineStr">
        <is>
          <t>Optical Cable Parts,LC/PC-LC/PC-Single mode-5m-2Core</t>
        </is>
      </c>
      <c r="C76" s="2" t="inlineStr">
        <is>
          <t>657A2 , LSZH , LC DUPLEX KIT(CLIP), 300MM/ 300MM</t>
        </is>
      </c>
      <c r="D76" s="2" t="inlineStr">
        <is>
          <t>a2</t>
        </is>
      </c>
      <c r="E76" s="2" t="inlineStr">
        <is>
          <t>2.0mm</t>
        </is>
      </c>
      <c r="F76" s="2" t="n">
        <v>2</v>
      </c>
      <c r="G76" s="2" t="n">
        <v>5</v>
      </c>
      <c r="H76" s="2" t="inlineStr">
        <is>
          <t>LC/PC</t>
        </is>
      </c>
      <c r="I76" s="2" t="inlineStr">
        <is>
          <t>LC/PC</t>
        </is>
      </c>
      <c r="J76" s="2" t="n"/>
      <c r="K76" s="2" t="n"/>
      <c r="L76" s="2" t="n">
        <v>100</v>
      </c>
      <c r="M76" s="2" t="n"/>
      <c r="N76" s="2" t="n"/>
      <c r="O76" s="2" t="n">
        <v>50</v>
      </c>
      <c r="P76" s="2" t="n"/>
      <c r="Q76" s="2" t="n"/>
      <c r="R76" s="2" t="n"/>
      <c r="S76" s="2" t="n"/>
      <c r="T76" s="2" t="n">
        <v>50</v>
      </c>
      <c r="U76" s="2" t="n">
        <v>100</v>
      </c>
      <c r="V76" s="2">
        <f>SUM(J76:U76)*G76</f>
        <v/>
      </c>
      <c r="W76" s="2">
        <f>MAX(J76:U76)</f>
        <v/>
      </c>
      <c r="X76" s="2">
        <f>W76*G76</f>
        <v/>
      </c>
    </row>
    <row r="77">
      <c r="A77" s="2" t="inlineStr">
        <is>
          <t>14-C-642</t>
        </is>
      </c>
      <c r="B77" s="3" t="inlineStr">
        <is>
          <t>DROP-CABLE(SC/PC)-2C</t>
        </is>
      </c>
      <c r="C77" s="2" t="inlineStr">
        <is>
          <t>3M</t>
        </is>
      </c>
      <c r="D77" s="2" t="inlineStr">
        <is>
          <t>drop</t>
        </is>
      </c>
      <c r="E77" s="2" t="inlineStr">
        <is>
          <t>3.0mm</t>
        </is>
      </c>
      <c r="F77" s="2" t="n">
        <v>2</v>
      </c>
      <c r="G77" s="2" t="n">
        <v>3</v>
      </c>
      <c r="H77" s="2" t="inlineStr">
        <is>
          <t>SC/PC</t>
        </is>
      </c>
      <c r="I77" s="2" t="inlineStr">
        <is>
          <t>SC/PC</t>
        </is>
      </c>
      <c r="J77" s="2" t="n"/>
      <c r="K77" s="2" t="n"/>
      <c r="L77" s="2" t="n"/>
      <c r="M77" s="2" t="n"/>
      <c r="N77" s="2" t="n">
        <v>4</v>
      </c>
      <c r="O77" s="2" t="n"/>
      <c r="P77" s="2" t="n"/>
      <c r="Q77" s="2" t="n"/>
      <c r="R77" s="2" t="n"/>
      <c r="S77" s="2" t="n"/>
      <c r="T77" s="2" t="n"/>
      <c r="U77" s="2" t="n"/>
      <c r="V77" s="2">
        <f>SUM(J77:U77)*G77</f>
        <v/>
      </c>
      <c r="W77" s="2">
        <f>MAX(J77:U77)</f>
        <v/>
      </c>
      <c r="X77" s="2">
        <f>W77*G77</f>
        <v/>
      </c>
    </row>
    <row r="78">
      <c r="A78" s="2" t="inlineStr">
        <is>
          <t>14-C-643</t>
        </is>
      </c>
      <c r="B78" s="3" t="inlineStr">
        <is>
          <t>DROP-CABLE(LC/APC)-2C</t>
        </is>
      </c>
      <c r="C78" s="2" t="inlineStr">
        <is>
          <t>6M</t>
        </is>
      </c>
      <c r="D78" s="2" t="inlineStr">
        <is>
          <t>drop</t>
        </is>
      </c>
      <c r="E78" s="2" t="inlineStr">
        <is>
          <t>3.0mm</t>
        </is>
      </c>
      <c r="F78" s="2" t="n">
        <v>2</v>
      </c>
      <c r="G78" s="2" t="n">
        <v>6</v>
      </c>
      <c r="H78" s="2" t="inlineStr">
        <is>
          <t>LC/APC</t>
        </is>
      </c>
      <c r="I78" s="2" t="inlineStr">
        <is>
          <t>LC/APC</t>
        </is>
      </c>
      <c r="J78" s="2" t="n"/>
      <c r="K78" s="2" t="n"/>
      <c r="L78" s="2" t="n"/>
      <c r="M78" s="2" t="n"/>
      <c r="N78" s="2" t="n">
        <v>30</v>
      </c>
      <c r="O78" s="2" t="n"/>
      <c r="P78" s="2" t="n"/>
      <c r="Q78" s="2" t="n"/>
      <c r="R78" s="2" t="n"/>
      <c r="S78" s="2" t="n"/>
      <c r="T78" s="2" t="n"/>
      <c r="U78" s="2" t="n"/>
      <c r="V78" s="2">
        <f>SUM(J78:U78)*G78</f>
        <v/>
      </c>
      <c r="W78" s="2">
        <f>MAX(J78:U78)</f>
        <v/>
      </c>
      <c r="X78" s="2">
        <f>W78*G78</f>
        <v/>
      </c>
    </row>
    <row r="79">
      <c r="A79" s="2" t="inlineStr">
        <is>
          <t>14-C-644</t>
        </is>
      </c>
      <c r="B79" s="3" t="inlineStr">
        <is>
          <t>DROP-CABLE(SC/PC)-2C</t>
        </is>
      </c>
      <c r="C79" s="2" t="inlineStr">
        <is>
          <t>100M</t>
        </is>
      </c>
      <c r="D79" s="2" t="inlineStr">
        <is>
          <t>drop</t>
        </is>
      </c>
      <c r="E79" s="2" t="inlineStr">
        <is>
          <t>3.0mm</t>
        </is>
      </c>
      <c r="F79" s="2" t="n">
        <v>2</v>
      </c>
      <c r="G79" s="2" t="n">
        <v>100</v>
      </c>
      <c r="H79" s="2" t="inlineStr">
        <is>
          <t>SC/PC</t>
        </is>
      </c>
      <c r="I79" s="2" t="inlineStr">
        <is>
          <t>SC/PC</t>
        </is>
      </c>
      <c r="J79" s="2" t="n"/>
      <c r="K79" s="2" t="n"/>
      <c r="L79" s="2" t="n"/>
      <c r="M79" s="2" t="n"/>
      <c r="N79" s="2" t="n">
        <v>1</v>
      </c>
      <c r="O79" s="2" t="n"/>
      <c r="P79" s="2" t="n"/>
      <c r="Q79" s="2" t="n"/>
      <c r="R79" s="2" t="n"/>
      <c r="S79" s="2" t="n"/>
      <c r="T79" s="2" t="n"/>
      <c r="U79" s="2" t="n"/>
      <c r="V79" s="2">
        <f>SUM(J79:U79)*G79</f>
        <v/>
      </c>
      <c r="W79" s="2">
        <f>MAX(J79:U79)</f>
        <v/>
      </c>
      <c r="X79" s="2">
        <f>W79*G79</f>
        <v/>
      </c>
    </row>
    <row r="80">
      <c r="A80" s="2" t="inlineStr">
        <is>
          <t>14-C-655</t>
        </is>
      </c>
      <c r="B80" s="3" t="inlineStr">
        <is>
          <t>DROP-CABLE(LC/PC-SC/PC)-2C</t>
        </is>
      </c>
      <c r="C80" s="2" t="inlineStr">
        <is>
          <t>5M</t>
        </is>
      </c>
      <c r="D80" s="2" t="inlineStr">
        <is>
          <t>drop</t>
        </is>
      </c>
      <c r="E80" s="2" t="inlineStr">
        <is>
          <t>3.0mm</t>
        </is>
      </c>
      <c r="F80" s="2" t="n">
        <v>2</v>
      </c>
      <c r="G80" s="2" t="n">
        <v>5</v>
      </c>
      <c r="H80" s="2" t="inlineStr">
        <is>
          <t>LC/PC</t>
        </is>
      </c>
      <c r="I80" s="2" t="inlineStr">
        <is>
          <t>SC/PC</t>
        </is>
      </c>
      <c r="J80" s="2" t="n"/>
      <c r="K80" s="2" t="n"/>
      <c r="L80" s="2" t="n"/>
      <c r="M80" s="2" t="n"/>
      <c r="N80" s="2" t="n"/>
      <c r="O80" s="2" t="n">
        <v>20</v>
      </c>
      <c r="P80" s="2" t="n"/>
      <c r="Q80" s="2" t="n"/>
      <c r="R80" s="2" t="n"/>
      <c r="S80" s="2" t="n"/>
      <c r="T80" s="2" t="n"/>
      <c r="U80" s="2" t="n"/>
      <c r="V80" s="2">
        <f>SUM(J80:U80)*G80</f>
        <v/>
      </c>
      <c r="W80" s="2">
        <f>MAX(J80:U80)</f>
        <v/>
      </c>
      <c r="X80" s="2">
        <f>W80*G80</f>
        <v/>
      </c>
    </row>
    <row r="81">
      <c r="A81" s="2" t="inlineStr">
        <is>
          <t>14-C-656</t>
        </is>
      </c>
      <c r="B81" s="3" t="inlineStr">
        <is>
          <t>DROP-CABLE(LC/PC-SC/PC)-2C</t>
        </is>
      </c>
      <c r="C81" s="2" t="inlineStr">
        <is>
          <t>10M</t>
        </is>
      </c>
      <c r="D81" s="2" t="inlineStr">
        <is>
          <t>drop</t>
        </is>
      </c>
      <c r="E81" s="2" t="inlineStr">
        <is>
          <t>3.0mm</t>
        </is>
      </c>
      <c r="F81" s="2" t="n">
        <v>2</v>
      </c>
      <c r="G81" s="2" t="n">
        <v>10</v>
      </c>
      <c r="H81" s="2" t="inlineStr">
        <is>
          <t>LC/PC</t>
        </is>
      </c>
      <c r="I81" s="2" t="inlineStr">
        <is>
          <t>SC/PC</t>
        </is>
      </c>
      <c r="J81" s="2" t="n"/>
      <c r="K81" s="2" t="n"/>
      <c r="L81" s="2" t="n"/>
      <c r="M81" s="2" t="n"/>
      <c r="N81" s="2" t="n"/>
      <c r="O81" s="2" t="n">
        <v>10</v>
      </c>
      <c r="P81" s="2" t="n"/>
      <c r="Q81" s="2" t="n"/>
      <c r="R81" s="2" t="n"/>
      <c r="S81" s="2" t="n"/>
      <c r="T81" s="2" t="n"/>
      <c r="U81" s="2" t="n"/>
      <c r="V81" s="2">
        <f>SUM(J81:U81)*G81</f>
        <v/>
      </c>
      <c r="W81" s="2">
        <f>MAX(J81:U81)</f>
        <v/>
      </c>
      <c r="X81" s="2">
        <f>W81*G81</f>
        <v/>
      </c>
    </row>
    <row r="82">
      <c r="A82" s="2" t="inlineStr">
        <is>
          <t>14-C-657</t>
        </is>
      </c>
      <c r="B82" s="3" t="inlineStr">
        <is>
          <t>DROP-CABLE(LC/PC-SC/PC)-2C</t>
        </is>
      </c>
      <c r="C82" s="2" t="inlineStr">
        <is>
          <t>15M</t>
        </is>
      </c>
      <c r="D82" s="2" t="inlineStr">
        <is>
          <t>drop</t>
        </is>
      </c>
      <c r="E82" s="2" t="inlineStr">
        <is>
          <t>3.0mm</t>
        </is>
      </c>
      <c r="F82" s="2" t="n">
        <v>2</v>
      </c>
      <c r="G82" s="2" t="n">
        <v>15</v>
      </c>
      <c r="H82" s="2" t="inlineStr">
        <is>
          <t>LC/PC</t>
        </is>
      </c>
      <c r="I82" s="2" t="inlineStr">
        <is>
          <t>SC/PC</t>
        </is>
      </c>
      <c r="J82" s="2" t="n"/>
      <c r="K82" s="2" t="n"/>
      <c r="L82" s="2" t="n"/>
      <c r="M82" s="2" t="n"/>
      <c r="N82" s="2" t="n"/>
      <c r="O82" s="2" t="n">
        <v>10</v>
      </c>
      <c r="P82" s="2" t="n"/>
      <c r="Q82" s="2" t="n">
        <v>1</v>
      </c>
      <c r="R82" s="2" t="n"/>
      <c r="S82" s="2" t="n"/>
      <c r="T82" s="2" t="n"/>
      <c r="U82" s="2" t="n"/>
      <c r="V82" s="2">
        <f>SUM(J82:U82)*G82</f>
        <v/>
      </c>
      <c r="W82" s="2">
        <f>MAX(J82:U82)</f>
        <v/>
      </c>
      <c r="X82" s="2">
        <f>W82*G82</f>
        <v/>
      </c>
    </row>
    <row r="83">
      <c r="A83" s="2" t="inlineStr">
        <is>
          <t>14-C-658</t>
        </is>
      </c>
      <c r="B83" s="3" t="inlineStr">
        <is>
          <t>Optical Cable Parts,LC/PC-LC/PC-Single mode-5m-2Core</t>
        </is>
      </c>
      <c r="C83" s="2" t="inlineStr">
        <is>
          <t>657A2 , LSZH , LC DUPLEX KIT(CLIP), 0MM/ 300MM</t>
        </is>
      </c>
      <c r="D83" s="2" t="inlineStr">
        <is>
          <t>a2</t>
        </is>
      </c>
      <c r="E83" s="2" t="inlineStr">
        <is>
          <t>2.0mm</t>
        </is>
      </c>
      <c r="F83" s="2" t="n">
        <v>2</v>
      </c>
      <c r="G83" s="2" t="n">
        <v>5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>
        <v>50</v>
      </c>
      <c r="P83" s="2" t="n"/>
      <c r="Q83" s="2" t="n"/>
      <c r="R83" s="2" t="n"/>
      <c r="S83" s="2" t="n"/>
      <c r="T83" s="2" t="n"/>
      <c r="U83" s="2" t="n"/>
      <c r="V83" s="2">
        <f>SUM(J83:U83)*G83</f>
        <v/>
      </c>
      <c r="W83" s="2">
        <f>MAX(J83:U83)</f>
        <v/>
      </c>
      <c r="X83" s="2">
        <f>W83*G83</f>
        <v/>
      </c>
    </row>
    <row r="84">
      <c r="A84" s="2" t="inlineStr">
        <is>
          <t>14-C-659</t>
        </is>
      </c>
      <c r="B84" s="3" t="inlineStr">
        <is>
          <t>DROP-CABLE(LC/PC)-2C</t>
        </is>
      </c>
      <c r="C84" s="2" t="inlineStr">
        <is>
          <t>25M</t>
        </is>
      </c>
      <c r="D84" s="2" t="inlineStr">
        <is>
          <t>drop</t>
        </is>
      </c>
      <c r="E84" s="2" t="inlineStr">
        <is>
          <t>3.0mm</t>
        </is>
      </c>
      <c r="F84" s="2" t="n">
        <v>2</v>
      </c>
      <c r="G84" s="2" t="n">
        <v>25</v>
      </c>
      <c r="H84" s="2" t="inlineStr">
        <is>
          <t>LC/PC</t>
        </is>
      </c>
      <c r="I84" s="2" t="inlineStr">
        <is>
          <t>LC/PC</t>
        </is>
      </c>
      <c r="J84" s="2" t="n"/>
      <c r="K84" s="2" t="n"/>
      <c r="L84" s="2" t="n"/>
      <c r="M84" s="2" t="n"/>
      <c r="N84" s="2" t="n"/>
      <c r="O84" s="2" t="n"/>
      <c r="P84" s="2" t="n">
        <v>20</v>
      </c>
      <c r="Q84" s="2" t="n"/>
      <c r="R84" s="2" t="n"/>
      <c r="S84" s="2" t="n"/>
      <c r="T84" s="2" t="n"/>
      <c r="U84" s="2" t="n"/>
      <c r="V84" s="2">
        <f>SUM(J84:U84)*G84</f>
        <v/>
      </c>
      <c r="W84" s="2">
        <f>MAX(J84:U84)</f>
        <v/>
      </c>
      <c r="X84" s="2">
        <f>W84*G84</f>
        <v/>
      </c>
    </row>
    <row r="85">
      <c r="A85" s="2" t="inlineStr">
        <is>
          <t>14-C-660</t>
        </is>
      </c>
      <c r="B85" s="3" t="inlineStr">
        <is>
          <t>DROP-CABLE(LC/PC)-2C</t>
        </is>
      </c>
      <c r="C85" s="2" t="inlineStr">
        <is>
          <t>50M</t>
        </is>
      </c>
      <c r="D85" s="2" t="inlineStr">
        <is>
          <t>drop</t>
        </is>
      </c>
      <c r="E85" s="2" t="inlineStr">
        <is>
          <t>3.0mm</t>
        </is>
      </c>
      <c r="F85" s="2" t="n">
        <v>2</v>
      </c>
      <c r="G85" s="2" t="n">
        <v>50</v>
      </c>
      <c r="H85" s="2" t="inlineStr">
        <is>
          <t>LC/PC</t>
        </is>
      </c>
      <c r="I85" s="2" t="inlineStr">
        <is>
          <t>LC/PC</t>
        </is>
      </c>
      <c r="J85" s="2" t="n"/>
      <c r="K85" s="2" t="n"/>
      <c r="L85" s="2" t="n"/>
      <c r="M85" s="2" t="n"/>
      <c r="N85" s="2" t="n"/>
      <c r="O85" s="2" t="n"/>
      <c r="P85" s="2" t="n">
        <v>10</v>
      </c>
      <c r="Q85" s="2" t="n"/>
      <c r="R85" s="2" t="n"/>
      <c r="S85" s="2" t="n"/>
      <c r="T85" s="2" t="n"/>
      <c r="U85" s="2" t="n"/>
      <c r="V85" s="2">
        <f>SUM(J85:U85)*G85</f>
        <v/>
      </c>
      <c r="W85" s="2">
        <f>MAX(J85:U85)</f>
        <v/>
      </c>
      <c r="X85" s="2">
        <f>W85*G85</f>
        <v/>
      </c>
    </row>
    <row r="86">
      <c r="A86" s="2" t="inlineStr">
        <is>
          <t>14-C-661</t>
        </is>
      </c>
      <c r="B86" s="3" t="inlineStr">
        <is>
          <t>DROP-CABLE(LC/PC)-2C</t>
        </is>
      </c>
      <c r="C86" s="2" t="inlineStr">
        <is>
          <t>10M</t>
        </is>
      </c>
      <c r="D86" s="2" t="inlineStr">
        <is>
          <t>drop</t>
        </is>
      </c>
      <c r="E86" s="2" t="inlineStr">
        <is>
          <t>3.0mm</t>
        </is>
      </c>
      <c r="F86" s="2" t="n">
        <v>2</v>
      </c>
      <c r="G86" s="2" t="n">
        <v>10</v>
      </c>
      <c r="H86" s="2" t="inlineStr">
        <is>
          <t>LC/PC</t>
        </is>
      </c>
      <c r="I86" s="2" t="inlineStr">
        <is>
          <t>LC/PC</t>
        </is>
      </c>
      <c r="J86" s="2" t="n"/>
      <c r="K86" s="2" t="n"/>
      <c r="L86" s="2" t="n"/>
      <c r="M86" s="2" t="n"/>
      <c r="N86" s="2" t="n"/>
      <c r="O86" s="2" t="n"/>
      <c r="P86" s="2" t="n"/>
      <c r="Q86" s="2" t="n">
        <v>50</v>
      </c>
      <c r="R86" s="2" t="n"/>
      <c r="S86" s="2" t="n"/>
      <c r="T86" s="2" t="n"/>
      <c r="U86" s="2" t="n"/>
      <c r="V86" s="2">
        <f>SUM(J86:U86)*G86</f>
        <v/>
      </c>
      <c r="W86" s="2">
        <f>MAX(J86:U86)</f>
        <v/>
      </c>
      <c r="X86" s="2">
        <f>W86*G86</f>
        <v/>
      </c>
    </row>
    <row r="87">
      <c r="A87" s="2" t="inlineStr">
        <is>
          <t>14-C-661</t>
        </is>
      </c>
      <c r="B87" s="3" t="inlineStr">
        <is>
          <t>DROP-CABLE(SC/PC)-2C</t>
        </is>
      </c>
      <c r="C87" s="2" t="inlineStr">
        <is>
          <t>10M</t>
        </is>
      </c>
      <c r="D87" s="2" t="inlineStr">
        <is>
          <t>drop</t>
        </is>
      </c>
      <c r="E87" s="2" t="inlineStr">
        <is>
          <t>3.0mm</t>
        </is>
      </c>
      <c r="F87" s="2" t="n">
        <v>2</v>
      </c>
      <c r="G87" s="2" t="n">
        <v>10</v>
      </c>
      <c r="H87" s="2" t="inlineStr">
        <is>
          <t>SC/PC</t>
        </is>
      </c>
      <c r="I87" s="2" t="inlineStr">
        <is>
          <t>SC/PC</t>
        </is>
      </c>
      <c r="J87" s="2" t="n"/>
      <c r="K87" s="2" t="n"/>
      <c r="L87" s="2" t="n"/>
      <c r="M87" s="2" t="n"/>
      <c r="N87" s="2" t="n"/>
      <c r="O87" s="2" t="n"/>
      <c r="P87" s="2" t="n"/>
      <c r="Q87" s="2" t="n">
        <v>50</v>
      </c>
      <c r="R87" s="2" t="n">
        <v>50</v>
      </c>
      <c r="S87" s="2" t="n"/>
      <c r="T87" s="2" t="n"/>
      <c r="U87" s="2" t="n"/>
      <c r="V87" s="2">
        <f>SUM(J87:U87)*G87</f>
        <v/>
      </c>
      <c r="W87" s="2">
        <f>MAX(J87:U87)</f>
        <v/>
      </c>
      <c r="X87" s="2">
        <f>W87*G87</f>
        <v/>
      </c>
    </row>
    <row r="88">
      <c r="A88" s="2" t="inlineStr">
        <is>
          <t>14-C-662</t>
        </is>
      </c>
      <c r="B88" s="3" t="inlineStr">
        <is>
          <t>DROP-CABLE(LC/APC)-2C</t>
        </is>
      </c>
      <c r="C88" s="2" t="inlineStr">
        <is>
          <t>110M</t>
        </is>
      </c>
      <c r="D88" s="2" t="inlineStr">
        <is>
          <t>drop</t>
        </is>
      </c>
      <c r="E88" s="2" t="inlineStr">
        <is>
          <t>3.0mm</t>
        </is>
      </c>
      <c r="F88" s="2" t="n">
        <v>2</v>
      </c>
      <c r="G88" s="2" t="n">
        <v>110</v>
      </c>
      <c r="H88" s="2" t="inlineStr">
        <is>
          <t>LC/APC</t>
        </is>
      </c>
      <c r="I88" s="2" t="inlineStr">
        <is>
          <t>LC/APC</t>
        </is>
      </c>
      <c r="J88" s="2" t="n"/>
      <c r="K88" s="2" t="n"/>
      <c r="L88" s="2" t="n"/>
      <c r="M88" s="2" t="n"/>
      <c r="N88" s="2" t="n"/>
      <c r="O88" s="2" t="n"/>
      <c r="P88" s="2" t="n"/>
      <c r="Q88" s="2" t="n">
        <v>1</v>
      </c>
      <c r="R88" s="2" t="n"/>
      <c r="S88" s="2" t="n"/>
      <c r="T88" s="2" t="n"/>
      <c r="U88" s="2" t="n"/>
      <c r="V88" s="2">
        <f>SUM(J88:U88)*G88</f>
        <v/>
      </c>
      <c r="W88" s="2">
        <f>MAX(J88:U88)</f>
        <v/>
      </c>
      <c r="X88" s="2">
        <f>W88*G88</f>
        <v/>
      </c>
    </row>
    <row r="89">
      <c r="A89" s="2" t="inlineStr">
        <is>
          <t>14-C-663</t>
        </is>
      </c>
      <c r="B89" s="3" t="inlineStr">
        <is>
          <t>DROP-CABLE(SC/PC)-2C</t>
        </is>
      </c>
      <c r="C89" s="2" t="inlineStr">
        <is>
          <t>15M</t>
        </is>
      </c>
      <c r="D89" s="2" t="inlineStr">
        <is>
          <t>drop</t>
        </is>
      </c>
      <c r="E89" s="2" t="inlineStr">
        <is>
          <t>3.0mm</t>
        </is>
      </c>
      <c r="F89" s="2" t="n">
        <v>2</v>
      </c>
      <c r="G89" s="2" t="n">
        <v>15</v>
      </c>
      <c r="H89" s="2" t="inlineStr">
        <is>
          <t>SC/PC</t>
        </is>
      </c>
      <c r="I89" s="2" t="inlineStr">
        <is>
          <t>SC/PC</t>
        </is>
      </c>
      <c r="J89" s="2" t="n"/>
      <c r="K89" s="2" t="n"/>
      <c r="L89" s="2" t="n"/>
      <c r="M89" s="2" t="n"/>
      <c r="N89" s="2" t="n"/>
      <c r="O89" s="2" t="n"/>
      <c r="P89" s="2" t="n"/>
      <c r="Q89" s="2" t="n">
        <v>20</v>
      </c>
      <c r="R89" s="2" t="n"/>
      <c r="S89" s="2" t="n">
        <v>50</v>
      </c>
      <c r="T89" s="2" t="n"/>
      <c r="U89" s="2" t="n"/>
      <c r="V89" s="2">
        <f>SUM(J89:U89)*G89</f>
        <v/>
      </c>
      <c r="W89" s="2">
        <f>MAX(J89:U89)</f>
        <v/>
      </c>
      <c r="X89" s="2">
        <f>W89*G89</f>
        <v/>
      </c>
    </row>
    <row r="90">
      <c r="A90" s="2" t="inlineStr">
        <is>
          <t>14-C-672</t>
        </is>
      </c>
      <c r="B90" s="3" t="inlineStr">
        <is>
          <t>DROP-CABLE(LC/APC)-2C</t>
        </is>
      </c>
      <c r="C90" s="2" t="inlineStr">
        <is>
          <t>2M</t>
        </is>
      </c>
      <c r="D90" s="2" t="inlineStr">
        <is>
          <t>drop</t>
        </is>
      </c>
      <c r="E90" s="2" t="inlineStr">
        <is>
          <t>3.0mm</t>
        </is>
      </c>
      <c r="F90" s="2" t="n">
        <v>2</v>
      </c>
      <c r="G90" s="2" t="n">
        <v>2</v>
      </c>
      <c r="H90" s="2" t="inlineStr">
        <is>
          <t>LC/APC</t>
        </is>
      </c>
      <c r="I90" s="2" t="inlineStr">
        <is>
          <t>LC/APC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>
        <v>65</v>
      </c>
      <c r="T90" s="2" t="n"/>
      <c r="U90" s="2" t="n"/>
      <c r="V90" s="2">
        <f>SUM(J90:U90)*G90</f>
        <v/>
      </c>
      <c r="W90" s="2">
        <f>MAX(J90:U90)</f>
        <v/>
      </c>
      <c r="X90" s="2">
        <f>W90*G90</f>
        <v/>
      </c>
    </row>
    <row r="91">
      <c r="A91" s="2" t="inlineStr">
        <is>
          <t>14-C-673</t>
        </is>
      </c>
      <c r="B91" s="3" t="inlineStr">
        <is>
          <t>DROP-CABLE(SC/PC)-2C</t>
        </is>
      </c>
      <c r="C91" s="2" t="inlineStr">
        <is>
          <t>7M</t>
        </is>
      </c>
      <c r="D91" s="2" t="inlineStr">
        <is>
          <t>drop</t>
        </is>
      </c>
      <c r="E91" s="2" t="inlineStr">
        <is>
          <t>3.0mm</t>
        </is>
      </c>
      <c r="F91" s="2" t="n">
        <v>2</v>
      </c>
      <c r="G91" s="2" t="n">
        <v>7</v>
      </c>
      <c r="H91" s="2" t="inlineStr">
        <is>
          <t>SC/PC</t>
        </is>
      </c>
      <c r="I91" s="2" t="inlineStr">
        <is>
          <t>SC/PC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>
        <v>50</v>
      </c>
      <c r="T91" s="2" t="n"/>
      <c r="U91" s="2" t="n"/>
      <c r="V91" s="2">
        <f>SUM(J91:U91)*G91</f>
        <v/>
      </c>
      <c r="W91" s="2">
        <f>MAX(J91:U91)</f>
        <v/>
      </c>
      <c r="X91" s="2">
        <f>W91*G91</f>
        <v/>
      </c>
    </row>
    <row r="92">
      <c r="A92" s="2" t="inlineStr">
        <is>
          <t>14-C-674</t>
        </is>
      </c>
      <c r="B92" s="3" t="inlineStr">
        <is>
          <t>DROP-CABLE(LC/PC)-2C</t>
        </is>
      </c>
      <c r="C92" s="2" t="inlineStr">
        <is>
          <t>220M</t>
        </is>
      </c>
      <c r="D92" s="2" t="inlineStr">
        <is>
          <t>drop</t>
        </is>
      </c>
      <c r="E92" s="2" t="inlineStr">
        <is>
          <t>3.0mm</t>
        </is>
      </c>
      <c r="F92" s="2" t="n">
        <v>2</v>
      </c>
      <c r="G92" s="2" t="n">
        <v>220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>
        <v>1</v>
      </c>
      <c r="T92" s="2" t="n"/>
      <c r="U92" s="2" t="n"/>
      <c r="V92" s="2">
        <f>SUM(J92:U92)*G92</f>
        <v/>
      </c>
      <c r="W92" s="2">
        <f>MAX(J92:U92)</f>
        <v/>
      </c>
      <c r="X92" s="2">
        <f>W92*G92</f>
        <v/>
      </c>
    </row>
    <row r="93">
      <c r="A93" s="2" t="inlineStr">
        <is>
          <t>14-C-676</t>
        </is>
      </c>
      <c r="B93" s="3" t="inlineStr">
        <is>
          <t>Optical Cable Parts,LC/PC-LC/PC-Single mode-10m-2Core</t>
        </is>
      </c>
      <c r="C93" s="2" t="inlineStr">
        <is>
          <t>657A2 , LSZH , LC DUPLEX KIT(CLIP), 300MM/ 300MM</t>
        </is>
      </c>
      <c r="D93" s="2" t="inlineStr">
        <is>
          <t>a2</t>
        </is>
      </c>
      <c r="E93" s="2" t="inlineStr">
        <is>
          <t>2.0mm</t>
        </is>
      </c>
      <c r="F93" s="2" t="n">
        <v>2</v>
      </c>
      <c r="G93" s="2" t="n">
        <v>10</v>
      </c>
      <c r="H93" s="2" t="inlineStr">
        <is>
          <t>LC/PC</t>
        </is>
      </c>
      <c r="I93" s="2" t="inlineStr">
        <is>
          <t>LC/PC</t>
        </is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>
        <v>50</v>
      </c>
      <c r="U93" s="2" t="n">
        <v>50</v>
      </c>
      <c r="V93" s="2">
        <f>SUM(J93:U93)*G93</f>
        <v/>
      </c>
      <c r="W93" s="2">
        <f>MAX(J93:U93)</f>
        <v/>
      </c>
      <c r="X93" s="2">
        <f>W93*G93</f>
        <v/>
      </c>
    </row>
    <row r="94">
      <c r="A94" s="2" t="inlineStr">
        <is>
          <t>14-C-677</t>
        </is>
      </c>
      <c r="B94" s="3" t="inlineStr">
        <is>
          <t>DROP-CABLE(LC/APC)-2C</t>
        </is>
      </c>
      <c r="C94" s="2" t="inlineStr">
        <is>
          <t>3M</t>
        </is>
      </c>
      <c r="D94" s="2" t="inlineStr">
        <is>
          <t>drop</t>
        </is>
      </c>
      <c r="E94" s="2" t="inlineStr">
        <is>
          <t>3.0mm</t>
        </is>
      </c>
      <c r="F94" s="2" t="n">
        <v>2</v>
      </c>
      <c r="G94" s="2" t="n">
        <v>3</v>
      </c>
      <c r="H94" s="2" t="inlineStr">
        <is>
          <t>LC/APC</t>
        </is>
      </c>
      <c r="I94" s="2" t="inlineStr">
        <is>
          <t>LC/APC</t>
        </is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>
        <v>10</v>
      </c>
      <c r="V94" s="2">
        <f>SUM(J94:U94)*G94</f>
        <v/>
      </c>
      <c r="W94" s="2">
        <f>MAX(J94:U94)</f>
        <v/>
      </c>
      <c r="X94" s="2">
        <f>W94*G94</f>
        <v/>
      </c>
    </row>
    <row r="95">
      <c r="A95" s="2" t="inlineStr">
        <is>
          <t>14-D-009</t>
        </is>
      </c>
      <c r="B95" s="3" t="inlineStr">
        <is>
          <t>DOJC-MM(OM3)-LC/PC-LC/PC</t>
        </is>
      </c>
      <c r="C95" s="2" t="inlineStr">
        <is>
          <t>12M</t>
        </is>
      </c>
      <c r="D95" s="2" t="inlineStr">
        <is>
          <t>om3</t>
        </is>
      </c>
      <c r="E95" s="2" t="inlineStr">
        <is>
          <t>2.0mm</t>
        </is>
      </c>
      <c r="F95" s="2" t="n">
        <v>2</v>
      </c>
      <c r="G95" s="2" t="n">
        <v>12</v>
      </c>
      <c r="H95" s="2" t="inlineStr">
        <is>
          <t>LC/PC</t>
        </is>
      </c>
      <c r="I95" s="2" t="inlineStr">
        <is>
          <t>LC/PC</t>
        </is>
      </c>
      <c r="J95" s="2" t="n"/>
      <c r="K95" s="2" t="n"/>
      <c r="L95" s="2" t="n"/>
      <c r="M95" s="2" t="n"/>
      <c r="N95" s="2" t="n"/>
      <c r="O95" s="2" t="n">
        <v>16</v>
      </c>
      <c r="P95" s="2" t="n"/>
      <c r="Q95" s="2" t="n"/>
      <c r="R95" s="2" t="n"/>
      <c r="S95" s="2" t="n"/>
      <c r="T95" s="2" t="n"/>
      <c r="U95" s="2" t="n"/>
      <c r="V95" s="2">
        <f>SUM(J95:U95)*G95</f>
        <v/>
      </c>
      <c r="W95" s="2">
        <f>MAX(J95:U95)</f>
        <v/>
      </c>
      <c r="X95" s="2">
        <f>W95*G95</f>
        <v/>
      </c>
    </row>
    <row r="96">
      <c r="A96" s="2" t="inlineStr">
        <is>
          <t>14-D-019</t>
        </is>
      </c>
      <c r="B96" s="3" t="inlineStr">
        <is>
          <t>DOJC-MM(OM3)-LC/PC-LC/PC</t>
        </is>
      </c>
      <c r="C96" s="2" t="inlineStr">
        <is>
          <t>30M</t>
        </is>
      </c>
      <c r="D96" s="2" t="inlineStr">
        <is>
          <t>om3</t>
        </is>
      </c>
      <c r="E96" s="2" t="inlineStr">
        <is>
          <t>2.0mm</t>
        </is>
      </c>
      <c r="F96" s="2" t="n">
        <v>2</v>
      </c>
      <c r="G96" s="2" t="n">
        <v>30</v>
      </c>
      <c r="H96" s="2" t="inlineStr">
        <is>
          <t>LC/PC</t>
        </is>
      </c>
      <c r="I96" s="2" t="inlineStr">
        <is>
          <t>LC/PC</t>
        </is>
      </c>
      <c r="J96" s="2" t="n">
        <v>4</v>
      </c>
      <c r="K96" s="2" t="n">
        <v>1</v>
      </c>
      <c r="L96" s="2" t="n"/>
      <c r="M96" s="2" t="n"/>
      <c r="N96" s="2" t="n"/>
      <c r="O96" s="2" t="n"/>
      <c r="P96" s="2" t="n"/>
      <c r="Q96" s="2" t="n"/>
      <c r="R96" s="2" t="n">
        <v>10</v>
      </c>
      <c r="S96" s="2" t="n">
        <v>3</v>
      </c>
      <c r="T96" s="2" t="n"/>
      <c r="U96" s="2" t="n">
        <v>10</v>
      </c>
      <c r="V96" s="2">
        <f>SUM(J96:U96)*G96</f>
        <v/>
      </c>
      <c r="W96" s="2">
        <f>MAX(J96:U96)</f>
        <v/>
      </c>
      <c r="X96" s="2">
        <f>W96*G96</f>
        <v/>
      </c>
    </row>
    <row r="97">
      <c r="A97" s="2" t="inlineStr">
        <is>
          <t>14-D-021</t>
        </is>
      </c>
      <c r="B97" s="3" t="inlineStr">
        <is>
          <t>DOJC-MM(OM3)-LC/PC-LC/PC</t>
        </is>
      </c>
      <c r="C97" s="2" t="inlineStr">
        <is>
          <t>3M</t>
        </is>
      </c>
      <c r="D97" s="2" t="inlineStr">
        <is>
          <t>om3</t>
        </is>
      </c>
      <c r="E97" s="2" t="inlineStr">
        <is>
          <t>2.0mm</t>
        </is>
      </c>
      <c r="F97" s="2" t="n">
        <v>2</v>
      </c>
      <c r="G97" s="2" t="n">
        <v>3</v>
      </c>
      <c r="H97" s="2" t="inlineStr">
        <is>
          <t>LC/PC</t>
        </is>
      </c>
      <c r="I97" s="2" t="inlineStr">
        <is>
          <t>LC/PC</t>
        </is>
      </c>
      <c r="J97" s="2" t="n">
        <v>17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>
        <f>SUM(J97:U97)*G97</f>
        <v/>
      </c>
      <c r="W97" s="2">
        <f>MAX(J97:U97)</f>
        <v/>
      </c>
      <c r="X97" s="2">
        <f>W97*G97</f>
        <v/>
      </c>
    </row>
    <row r="98">
      <c r="A98" s="2" t="inlineStr">
        <is>
          <t>14-D-022</t>
        </is>
      </c>
      <c r="B98" s="3" t="inlineStr">
        <is>
          <t>DOJC-MM(OM3)-LC/PC-LC/PC</t>
        </is>
      </c>
      <c r="C98" s="2" t="inlineStr">
        <is>
          <t>40M</t>
        </is>
      </c>
      <c r="D98" s="2" t="inlineStr">
        <is>
          <t>om3</t>
        </is>
      </c>
      <c r="E98" s="2" t="inlineStr">
        <is>
          <t>2.0mm</t>
        </is>
      </c>
      <c r="F98" s="2" t="n">
        <v>2</v>
      </c>
      <c r="G98" s="2" t="n">
        <v>40</v>
      </c>
      <c r="H98" s="2" t="inlineStr">
        <is>
          <t>LC/PC</t>
        </is>
      </c>
      <c r="I98" s="2" t="inlineStr">
        <is>
          <t>LC/PC</t>
        </is>
      </c>
      <c r="J98" s="2" t="n"/>
      <c r="K98" s="2" t="n">
        <v>2</v>
      </c>
      <c r="L98" s="2" t="n">
        <v>5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>
        <v>10</v>
      </c>
      <c r="V98" s="2">
        <f>SUM(J98:U98)*G98</f>
        <v/>
      </c>
      <c r="W98" s="2">
        <f>MAX(J98:U98)</f>
        <v/>
      </c>
      <c r="X98" s="2">
        <f>W98*G98</f>
        <v/>
      </c>
    </row>
    <row r="99">
      <c r="A99" s="2" t="inlineStr">
        <is>
          <t>14-D-024</t>
        </is>
      </c>
      <c r="B99" s="3" t="inlineStr">
        <is>
          <t>DOJC-MM(OM3)-LC/PC-LC/PC</t>
        </is>
      </c>
      <c r="C99" s="2" t="inlineStr">
        <is>
          <t>50M</t>
        </is>
      </c>
      <c r="D99" s="2" t="inlineStr">
        <is>
          <t>om3</t>
        </is>
      </c>
      <c r="E99" s="2" t="inlineStr">
        <is>
          <t>2.0mm</t>
        </is>
      </c>
      <c r="F99" s="2" t="n">
        <v>2</v>
      </c>
      <c r="G99" s="2" t="n">
        <v>50</v>
      </c>
      <c r="H99" s="2" t="inlineStr">
        <is>
          <t>LC/PC</t>
        </is>
      </c>
      <c r="I99" s="2" t="inlineStr">
        <is>
          <t>LC/PC</t>
        </is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>
        <v>2</v>
      </c>
      <c r="T99" s="2" t="n"/>
      <c r="U99" s="2" t="n"/>
      <c r="V99" s="2">
        <f>SUM(J99:U99)*G99</f>
        <v/>
      </c>
      <c r="W99" s="2">
        <f>MAX(J99:U99)</f>
        <v/>
      </c>
      <c r="X99" s="2">
        <f>W99*G99</f>
        <v/>
      </c>
    </row>
    <row r="100">
      <c r="A100" s="2" t="inlineStr">
        <is>
          <t>14-D-027</t>
        </is>
      </c>
      <c r="B100" s="3" t="inlineStr">
        <is>
          <t>DOJC-MM(OM3)-LC/PC-LC/PC</t>
        </is>
      </c>
      <c r="C100" s="2" t="inlineStr">
        <is>
          <t>7M</t>
        </is>
      </c>
      <c r="D100" s="2" t="inlineStr">
        <is>
          <t>om3</t>
        </is>
      </c>
      <c r="E100" s="2" t="inlineStr">
        <is>
          <t>2.0mm</t>
        </is>
      </c>
      <c r="F100" s="2" t="n">
        <v>2</v>
      </c>
      <c r="G100" s="2" t="n">
        <v>7</v>
      </c>
      <c r="H100" s="2" t="inlineStr">
        <is>
          <t>LC/PC</t>
        </is>
      </c>
      <c r="I100" s="2" t="inlineStr">
        <is>
          <t>LC/PC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>
        <v>10</v>
      </c>
      <c r="S100" s="2" t="n"/>
      <c r="T100" s="2" t="n">
        <v>30</v>
      </c>
      <c r="U100" s="2" t="n"/>
      <c r="V100" s="2">
        <f>SUM(J100:U100)*G100</f>
        <v/>
      </c>
      <c r="W100" s="2">
        <f>MAX(J100:U100)</f>
        <v/>
      </c>
      <c r="X100" s="2">
        <f>W100*G100</f>
        <v/>
      </c>
    </row>
    <row r="101">
      <c r="A101" s="2" t="inlineStr">
        <is>
          <t>14-D-029</t>
        </is>
      </c>
      <c r="B101" s="3" t="inlineStr">
        <is>
          <t>DOJC-MM(OM3)-LC/PC-SC/PC</t>
        </is>
      </c>
      <c r="C101" s="2" t="inlineStr">
        <is>
          <t>10M</t>
        </is>
      </c>
      <c r="D101" s="2" t="inlineStr">
        <is>
          <t>om3</t>
        </is>
      </c>
      <c r="E101" s="2" t="inlineStr">
        <is>
          <t>2.0mm</t>
        </is>
      </c>
      <c r="F101" s="2" t="n">
        <v>2</v>
      </c>
      <c r="G101" s="2" t="n">
        <v>10</v>
      </c>
      <c r="H101" s="2" t="inlineStr">
        <is>
          <t>LC/PC</t>
        </is>
      </c>
      <c r="I101" s="2" t="inlineStr">
        <is>
          <t>SC/PC</t>
        </is>
      </c>
      <c r="J101" s="2" t="n">
        <v>2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SUM(J101:U101)*G101</f>
        <v/>
      </c>
      <c r="W101" s="2">
        <f>MAX(J101:U101)</f>
        <v/>
      </c>
      <c r="X101" s="2">
        <f>W101*G101</f>
        <v/>
      </c>
    </row>
    <row r="102">
      <c r="A102" s="2" t="inlineStr">
        <is>
          <t>14-D-037</t>
        </is>
      </c>
      <c r="B102" s="3" t="inlineStr">
        <is>
          <t>DOJC-MM-LC/PC-LC/PC</t>
        </is>
      </c>
      <c r="C102" s="2" t="inlineStr">
        <is>
          <t>12M</t>
        </is>
      </c>
      <c r="D102" s="2" t="inlineStr">
        <is>
          <t>om1</t>
        </is>
      </c>
      <c r="E102" s="2" t="inlineStr">
        <is>
          <t>2.0mm</t>
        </is>
      </c>
      <c r="F102" s="2" t="n">
        <v>2</v>
      </c>
      <c r="G102" s="2" t="n">
        <v>12</v>
      </c>
      <c r="H102" s="2" t="inlineStr">
        <is>
          <t>LC/PC</t>
        </is>
      </c>
      <c r="I102" s="2" t="inlineStr">
        <is>
          <t>LC/PC</t>
        </is>
      </c>
      <c r="J102" s="2" t="n"/>
      <c r="K102" s="2" t="n"/>
      <c r="L102" s="2" t="n"/>
      <c r="M102" s="2" t="n"/>
      <c r="N102" s="2" t="n"/>
      <c r="O102" s="2" t="n">
        <v>6</v>
      </c>
      <c r="P102" s="2" t="n"/>
      <c r="Q102" s="2" t="n"/>
      <c r="R102" s="2" t="n">
        <v>10</v>
      </c>
      <c r="S102" s="2" t="n"/>
      <c r="T102" s="2" t="n"/>
      <c r="U102" s="2" t="n">
        <v>3</v>
      </c>
      <c r="V102" s="2">
        <f>SUM(J102:U102)*G102</f>
        <v/>
      </c>
      <c r="W102" s="2">
        <f>MAX(J102:U102)</f>
        <v/>
      </c>
      <c r="X102" s="2">
        <f>W102*G102</f>
        <v/>
      </c>
    </row>
    <row r="103">
      <c r="A103" s="2" t="inlineStr">
        <is>
          <t>14-D-038</t>
        </is>
      </c>
      <c r="B103" s="3" t="inlineStr">
        <is>
          <t>DOJC-MM-LC/PC-LC/PC</t>
        </is>
      </c>
      <c r="C103" s="2" t="inlineStr">
        <is>
          <t>13M</t>
        </is>
      </c>
      <c r="D103" s="2" t="inlineStr">
        <is>
          <t>om1</t>
        </is>
      </c>
      <c r="E103" s="2" t="inlineStr">
        <is>
          <t>2.0mm</t>
        </is>
      </c>
      <c r="F103" s="2" t="n">
        <v>2</v>
      </c>
      <c r="G103" s="2" t="n">
        <v>13</v>
      </c>
      <c r="H103" s="2" t="inlineStr">
        <is>
          <t>LC/PC</t>
        </is>
      </c>
      <c r="I103" s="2" t="inlineStr">
        <is>
          <t>LC/PC</t>
        </is>
      </c>
      <c r="J103" s="2" t="n"/>
      <c r="K103" s="2" t="n"/>
      <c r="L103" s="2" t="n"/>
      <c r="M103" s="2" t="n">
        <v>4</v>
      </c>
      <c r="N103" s="2" t="n"/>
      <c r="O103" s="2" t="n"/>
      <c r="P103" s="2" t="n"/>
      <c r="Q103" s="2" t="n">
        <v>6</v>
      </c>
      <c r="R103" s="2" t="n"/>
      <c r="S103" s="2" t="n"/>
      <c r="T103" s="2" t="n"/>
      <c r="U103" s="2" t="n"/>
      <c r="V103" s="2">
        <f>SUM(J103:U103)*G103</f>
        <v/>
      </c>
      <c r="W103" s="2">
        <f>MAX(J103:U103)</f>
        <v/>
      </c>
      <c r="X103" s="2">
        <f>W103*G103</f>
        <v/>
      </c>
    </row>
    <row r="104">
      <c r="A104" s="2" t="inlineStr">
        <is>
          <t>14-D-041</t>
        </is>
      </c>
      <c r="B104" s="3" t="inlineStr">
        <is>
          <t>DOJC-MM-LC/PC-LC/PC</t>
        </is>
      </c>
      <c r="C104" s="2" t="inlineStr">
        <is>
          <t>17M</t>
        </is>
      </c>
      <c r="D104" s="2" t="inlineStr">
        <is>
          <t>om1</t>
        </is>
      </c>
      <c r="E104" s="2" t="inlineStr">
        <is>
          <t>2.0mm</t>
        </is>
      </c>
      <c r="F104" s="2" t="n">
        <v>2</v>
      </c>
      <c r="G104" s="2" t="n">
        <v>17</v>
      </c>
      <c r="H104" s="2" t="inlineStr">
        <is>
          <t>LC/PC</t>
        </is>
      </c>
      <c r="I104" s="2" t="inlineStr">
        <is>
          <t>LC/PC</t>
        </is>
      </c>
      <c r="J104" s="2" t="n"/>
      <c r="K104" s="2" t="n"/>
      <c r="L104" s="2" t="n">
        <v>84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SUM(J104:U104)*G104</f>
        <v/>
      </c>
      <c r="W104" s="2">
        <f>MAX(J104:U104)</f>
        <v/>
      </c>
      <c r="X104" s="2">
        <f>W104*G104</f>
        <v/>
      </c>
    </row>
    <row r="105">
      <c r="A105" s="2" t="inlineStr">
        <is>
          <t>14-D-051</t>
        </is>
      </c>
      <c r="B105" s="3" t="inlineStr">
        <is>
          <t>DOJC-MM-LC/PC-LC/PC</t>
        </is>
      </c>
      <c r="C105" s="2" t="inlineStr">
        <is>
          <t>35M</t>
        </is>
      </c>
      <c r="D105" s="2" t="inlineStr">
        <is>
          <t>om1</t>
        </is>
      </c>
      <c r="E105" s="2" t="inlineStr">
        <is>
          <t>2.0mm</t>
        </is>
      </c>
      <c r="F105" s="2" t="n">
        <v>2</v>
      </c>
      <c r="G105" s="2" t="n">
        <v>35</v>
      </c>
      <c r="H105" s="2" t="inlineStr">
        <is>
          <t>LC/PC</t>
        </is>
      </c>
      <c r="I105" s="2" t="inlineStr">
        <is>
          <t>LC/PC</t>
        </is>
      </c>
      <c r="J105" s="2" t="n"/>
      <c r="K105" s="2" t="n"/>
      <c r="L105" s="2" t="n">
        <v>2</v>
      </c>
      <c r="M105" s="2" t="n"/>
      <c r="N105" s="2" t="n"/>
      <c r="O105" s="2" t="n">
        <v>10</v>
      </c>
      <c r="P105" s="2" t="n"/>
      <c r="Q105" s="2" t="n"/>
      <c r="R105" s="2" t="n"/>
      <c r="S105" s="2" t="n"/>
      <c r="T105" s="2" t="n"/>
      <c r="U105" s="2" t="n"/>
      <c r="V105" s="2">
        <f>SUM(J105:U105)*G105</f>
        <v/>
      </c>
      <c r="W105" s="2">
        <f>MAX(J105:U105)</f>
        <v/>
      </c>
      <c r="X105" s="2">
        <f>W105*G105</f>
        <v/>
      </c>
    </row>
    <row r="106">
      <c r="A106" s="2" t="inlineStr">
        <is>
          <t>14-D-054</t>
        </is>
      </c>
      <c r="B106" s="3" t="inlineStr">
        <is>
          <t>DOJC-MM-LC/PC-LC/PC</t>
        </is>
      </c>
      <c r="C106" s="2" t="inlineStr">
        <is>
          <t>45M</t>
        </is>
      </c>
      <c r="D106" s="2" t="inlineStr">
        <is>
          <t>om1</t>
        </is>
      </c>
      <c r="E106" s="2" t="inlineStr">
        <is>
          <t>2.0mm</t>
        </is>
      </c>
      <c r="F106" s="2" t="n">
        <v>2</v>
      </c>
      <c r="G106" s="2" t="n">
        <v>45</v>
      </c>
      <c r="H106" s="2" t="inlineStr">
        <is>
          <t>LC/PC</t>
        </is>
      </c>
      <c r="I106" s="2" t="inlineStr">
        <is>
          <t>LC/PC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>
        <v>1</v>
      </c>
      <c r="R106" s="2" t="n"/>
      <c r="S106" s="2" t="n"/>
      <c r="T106" s="2" t="n"/>
      <c r="U106" s="2" t="n"/>
      <c r="V106" s="2">
        <f>SUM(J106:U106)*G106</f>
        <v/>
      </c>
      <c r="W106" s="2">
        <f>MAX(J106:U106)</f>
        <v/>
      </c>
      <c r="X106" s="2">
        <f>W106*G106</f>
        <v/>
      </c>
    </row>
    <row r="107">
      <c r="A107" s="2" t="inlineStr">
        <is>
          <t>14-D-055</t>
        </is>
      </c>
      <c r="B107" s="3" t="inlineStr">
        <is>
          <t>DOJC-MM-LC/PC-LC/PC</t>
        </is>
      </c>
      <c r="C107" s="2" t="inlineStr">
        <is>
          <t>50M</t>
        </is>
      </c>
      <c r="D107" s="2" t="inlineStr">
        <is>
          <t>om1</t>
        </is>
      </c>
      <c r="E107" s="2" t="inlineStr">
        <is>
          <t>2.0mm</t>
        </is>
      </c>
      <c r="F107" s="2" t="n">
        <v>2</v>
      </c>
      <c r="G107" s="2" t="n">
        <v>50</v>
      </c>
      <c r="H107" s="2" t="inlineStr">
        <is>
          <t>LC/PC</t>
        </is>
      </c>
      <c r="I107" s="2" t="inlineStr">
        <is>
          <t>LC/PC</t>
        </is>
      </c>
      <c r="J107" s="2" t="n"/>
      <c r="K107" s="2" t="n"/>
      <c r="L107" s="2" t="n">
        <v>4</v>
      </c>
      <c r="M107" s="2" t="n"/>
      <c r="N107" s="2" t="n"/>
      <c r="O107" s="2" t="n"/>
      <c r="P107" s="2" t="n"/>
      <c r="Q107" s="2" t="n"/>
      <c r="R107" s="2" t="n"/>
      <c r="S107" s="2" t="n">
        <v>12</v>
      </c>
      <c r="T107" s="2" t="n"/>
      <c r="U107" s="2" t="n"/>
      <c r="V107" s="2">
        <f>SUM(J107:U107)*G107</f>
        <v/>
      </c>
      <c r="W107" s="2">
        <f>MAX(J107:U107)</f>
        <v/>
      </c>
      <c r="X107" s="2">
        <f>W107*G107</f>
        <v/>
      </c>
    </row>
    <row r="108">
      <c r="A108" s="2" t="inlineStr">
        <is>
          <t>14-D-058</t>
        </is>
      </c>
      <c r="B108" s="3" t="inlineStr">
        <is>
          <t>DOJC-MM-LC/PC-LC/PC</t>
        </is>
      </c>
      <c r="C108" s="2" t="inlineStr">
        <is>
          <t>60M</t>
        </is>
      </c>
      <c r="D108" s="2" t="inlineStr">
        <is>
          <t>om1</t>
        </is>
      </c>
      <c r="E108" s="2" t="inlineStr">
        <is>
          <t>2.0mm</t>
        </is>
      </c>
      <c r="F108" s="2" t="n">
        <v>2</v>
      </c>
      <c r="G108" s="2" t="n">
        <v>60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>
        <v>1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>
        <f>SUM(J108:U108)*G108</f>
        <v/>
      </c>
      <c r="W108" s="2">
        <f>MAX(J108:U108)</f>
        <v/>
      </c>
      <c r="X108" s="2">
        <f>W108*G108</f>
        <v/>
      </c>
    </row>
    <row r="109">
      <c r="A109" s="2" t="inlineStr">
        <is>
          <t>14-D-067</t>
        </is>
      </c>
      <c r="B109" s="3" t="inlineStr">
        <is>
          <t>DOJC-MM-LC/PC-SC/PC</t>
        </is>
      </c>
      <c r="C109" s="2" t="inlineStr">
        <is>
          <t>12M</t>
        </is>
      </c>
      <c r="D109" s="2" t="inlineStr">
        <is>
          <t>om1</t>
        </is>
      </c>
      <c r="E109" s="2" t="inlineStr">
        <is>
          <t>2.0mm</t>
        </is>
      </c>
      <c r="F109" s="2" t="n">
        <v>2</v>
      </c>
      <c r="G109" s="2" t="n">
        <v>12</v>
      </c>
      <c r="H109" s="2" t="inlineStr">
        <is>
          <t>LC/PC</t>
        </is>
      </c>
      <c r="I109" s="2" t="inlineStr">
        <is>
          <t>SC/PC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>
        <v>3</v>
      </c>
      <c r="R109" s="2" t="n"/>
      <c r="S109" s="2" t="n"/>
      <c r="T109" s="2" t="n"/>
      <c r="U109" s="2" t="n"/>
      <c r="V109" s="2">
        <f>SUM(J109:U109)*G109</f>
        <v/>
      </c>
      <c r="W109" s="2">
        <f>MAX(J109:U109)</f>
        <v/>
      </c>
      <c r="X109" s="2">
        <f>W109*G109</f>
        <v/>
      </c>
    </row>
    <row r="110">
      <c r="A110" s="2" t="inlineStr">
        <is>
          <t>14-D-092</t>
        </is>
      </c>
      <c r="B110" s="3" t="inlineStr">
        <is>
          <t>DOJC-MM-SC/PC-SC/PC</t>
        </is>
      </c>
      <c r="C110" s="2" t="inlineStr">
        <is>
          <t>10M</t>
        </is>
      </c>
      <c r="D110" s="2" t="inlineStr">
        <is>
          <t>om1</t>
        </is>
      </c>
      <c r="E110" s="2" t="inlineStr">
        <is>
          <t>2.0mm</t>
        </is>
      </c>
      <c r="F110" s="2" t="n">
        <v>2</v>
      </c>
      <c r="G110" s="2" t="n">
        <v>10</v>
      </c>
      <c r="H110" s="2" t="inlineStr">
        <is>
          <t>SC/PC</t>
        </is>
      </c>
      <c r="I110" s="2" t="inlineStr">
        <is>
          <t>SC/PC</t>
        </is>
      </c>
      <c r="J110" s="2" t="n"/>
      <c r="K110" s="2" t="n"/>
      <c r="L110" s="2" t="n"/>
      <c r="M110" s="2" t="n"/>
      <c r="N110" s="2" t="n"/>
      <c r="O110" s="2" t="n">
        <v>2</v>
      </c>
      <c r="P110" s="2" t="n"/>
      <c r="Q110" s="2" t="n"/>
      <c r="R110" s="2" t="n"/>
      <c r="S110" s="2" t="n"/>
      <c r="T110" s="2" t="n"/>
      <c r="U110" s="2" t="n"/>
      <c r="V110" s="2">
        <f>SUM(J110:U110)*G110</f>
        <v/>
      </c>
      <c r="W110" s="2">
        <f>MAX(J110:U110)</f>
        <v/>
      </c>
      <c r="X110" s="2">
        <f>W110*G110</f>
        <v/>
      </c>
    </row>
    <row r="111">
      <c r="A111" s="2" t="inlineStr">
        <is>
          <t>14-D-097</t>
        </is>
      </c>
      <c r="B111" s="3" t="inlineStr">
        <is>
          <t>DOJC-MM-SC/PC-SC/PC</t>
        </is>
      </c>
      <c r="C111" s="2" t="inlineStr">
        <is>
          <t>2M</t>
        </is>
      </c>
      <c r="D111" s="2" t="inlineStr">
        <is>
          <t>om1</t>
        </is>
      </c>
      <c r="E111" s="2" t="inlineStr">
        <is>
          <t>2.0mm</t>
        </is>
      </c>
      <c r="F111" s="2" t="n">
        <v>2</v>
      </c>
      <c r="G111" s="2" t="n">
        <v>2</v>
      </c>
      <c r="H111" s="2" t="inlineStr">
        <is>
          <t>SC/PC</t>
        </is>
      </c>
      <c r="I111" s="2" t="inlineStr">
        <is>
          <t>SC/PC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>
        <v>4</v>
      </c>
      <c r="R111" s="2" t="n"/>
      <c r="S111" s="2" t="n"/>
      <c r="T111" s="2" t="n"/>
      <c r="U111" s="2" t="n"/>
      <c r="V111" s="2">
        <f>SUM(J111:U111)*G111</f>
        <v/>
      </c>
      <c r="W111" s="2">
        <f>MAX(J111:U111)</f>
        <v/>
      </c>
      <c r="X111" s="2">
        <f>W111*G111</f>
        <v/>
      </c>
    </row>
    <row r="112">
      <c r="A112" s="2" t="inlineStr">
        <is>
          <t>14-D-1022</t>
        </is>
      </c>
      <c r="B112" s="3" t="inlineStr">
        <is>
          <t>DOJC-SM-LC/PC-LC/PC</t>
        </is>
      </c>
      <c r="C112" s="2" t="inlineStr">
        <is>
          <t>2.5M</t>
        </is>
      </c>
      <c r="D112" s="2" t="inlineStr">
        <is>
          <t>a1</t>
        </is>
      </c>
      <c r="E112" s="2" t="inlineStr">
        <is>
          <t>2.0mm</t>
        </is>
      </c>
      <c r="F112" s="2" t="n">
        <v>2</v>
      </c>
      <c r="G112" s="2" t="n">
        <v>2.5</v>
      </c>
      <c r="H112" s="2" t="inlineStr">
        <is>
          <t>LC/PC</t>
        </is>
      </c>
      <c r="I112" s="2" t="inlineStr">
        <is>
          <t>LC/PC</t>
        </is>
      </c>
      <c r="J112" s="2" t="n"/>
      <c r="K112" s="2" t="n"/>
      <c r="L112" s="2" t="n">
        <v>100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>
        <f>SUM(J112:U112)*G112</f>
        <v/>
      </c>
      <c r="W112" s="2">
        <f>MAX(J112:U112)</f>
        <v/>
      </c>
      <c r="X112" s="2">
        <f>W112*G112</f>
        <v/>
      </c>
    </row>
    <row r="113">
      <c r="A113" s="2" t="inlineStr">
        <is>
          <t>14-D-157</t>
        </is>
      </c>
      <c r="B113" s="3" t="inlineStr">
        <is>
          <t>DOJC-SM-LC/PC-FC/APC</t>
        </is>
      </c>
      <c r="C113" s="2" t="inlineStr">
        <is>
          <t>10M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10</v>
      </c>
      <c r="H113" s="2" t="inlineStr">
        <is>
          <t>LC/PC</t>
        </is>
      </c>
      <c r="I113" s="2" t="inlineStr">
        <is>
          <t>FC/APC</t>
        </is>
      </c>
      <c r="J113" s="2" t="n"/>
      <c r="K113" s="2" t="n"/>
      <c r="L113" s="2" t="n"/>
      <c r="M113" s="2" t="n"/>
      <c r="N113" s="2" t="n"/>
      <c r="O113" s="2" t="n"/>
      <c r="P113" s="2" t="n">
        <v>20</v>
      </c>
      <c r="Q113" s="2" t="n"/>
      <c r="R113" s="2" t="n"/>
      <c r="S113" s="2" t="n"/>
      <c r="T113" s="2" t="n"/>
      <c r="U113" s="2" t="n"/>
      <c r="V113" s="2">
        <f>SUM(J113:U113)*G113</f>
        <v/>
      </c>
      <c r="W113" s="2">
        <f>MAX(J113:U113)</f>
        <v/>
      </c>
      <c r="X113" s="2">
        <f>W113*G113</f>
        <v/>
      </c>
    </row>
    <row r="114">
      <c r="A114" s="2" t="inlineStr">
        <is>
          <t>14-D-161</t>
        </is>
      </c>
      <c r="B114" s="3" t="inlineStr">
        <is>
          <t>DOJC-SM-LC/PC-FC/APC</t>
        </is>
      </c>
      <c r="C114" s="2" t="inlineStr">
        <is>
          <t>15M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15</v>
      </c>
      <c r="H114" s="2" t="inlineStr">
        <is>
          <t>LC/PC</t>
        </is>
      </c>
      <c r="I114" s="2" t="inlineStr">
        <is>
          <t>FC/APC</t>
        </is>
      </c>
      <c r="J114" s="2" t="n"/>
      <c r="K114" s="2" t="n"/>
      <c r="L114" s="2" t="n"/>
      <c r="M114" s="2" t="n"/>
      <c r="N114" s="2" t="n"/>
      <c r="O114" s="2" t="n"/>
      <c r="P114" s="2" t="n">
        <v>20</v>
      </c>
      <c r="Q114" s="2" t="n"/>
      <c r="R114" s="2" t="n"/>
      <c r="S114" s="2" t="n"/>
      <c r="T114" s="2" t="n"/>
      <c r="U114" s="2" t="n"/>
      <c r="V114" s="2">
        <f>SUM(J114:U114)*G114</f>
        <v/>
      </c>
      <c r="W114" s="2">
        <f>MAX(J114:U114)</f>
        <v/>
      </c>
      <c r="X114" s="2">
        <f>W114*G114</f>
        <v/>
      </c>
    </row>
    <row r="115">
      <c r="A115" s="2" t="inlineStr">
        <is>
          <t>14-D-182</t>
        </is>
      </c>
      <c r="B115" s="3" t="inlineStr">
        <is>
          <t>DOJC-SM-LC/PC-FC/APC</t>
        </is>
      </c>
      <c r="C115" s="2" t="inlineStr">
        <is>
          <t>60M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60</v>
      </c>
      <c r="H115" s="2" t="inlineStr">
        <is>
          <t>LC/PC</t>
        </is>
      </c>
      <c r="I115" s="2" t="inlineStr">
        <is>
          <t>FC/APC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>
        <v>1</v>
      </c>
      <c r="U115" s="2" t="n"/>
      <c r="V115" s="2">
        <f>SUM(J115:U115)*G115</f>
        <v/>
      </c>
      <c r="W115" s="2">
        <f>MAX(J115:U115)</f>
        <v/>
      </c>
      <c r="X115" s="2">
        <f>W115*G115</f>
        <v/>
      </c>
    </row>
    <row r="116">
      <c r="A116" s="2" t="inlineStr">
        <is>
          <t>14-D-223</t>
        </is>
      </c>
      <c r="B116" s="3" t="inlineStr">
        <is>
          <t>DOJC-SM-LC/PC-LC/PC</t>
        </is>
      </c>
      <c r="C116" s="2" t="inlineStr">
        <is>
          <t>10M</t>
        </is>
      </c>
      <c r="D116" s="2" t="inlineStr">
        <is>
          <t>a1</t>
        </is>
      </c>
      <c r="E116" s="2" t="inlineStr">
        <is>
          <t>2.0mm</t>
        </is>
      </c>
      <c r="F116" s="2" t="n">
        <v>2</v>
      </c>
      <c r="G116" s="2" t="n">
        <v>10</v>
      </c>
      <c r="H116" s="2" t="inlineStr">
        <is>
          <t>LC/PC</t>
        </is>
      </c>
      <c r="I116" s="2" t="inlineStr">
        <is>
          <t>LC/PC</t>
        </is>
      </c>
      <c r="J116" s="2" t="n"/>
      <c r="K116" s="2" t="n"/>
      <c r="L116" s="2" t="n"/>
      <c r="M116" s="2" t="n">
        <v>50</v>
      </c>
      <c r="N116" s="2" t="n"/>
      <c r="O116" s="2" t="n">
        <v>50</v>
      </c>
      <c r="P116" s="2" t="n">
        <v>70</v>
      </c>
      <c r="Q116" s="2" t="n"/>
      <c r="R116" s="2" t="n"/>
      <c r="S116" s="2" t="n"/>
      <c r="T116" s="2" t="n"/>
      <c r="U116" s="2" t="n"/>
      <c r="V116" s="2">
        <f>SUM(J116:U116)*G116</f>
        <v/>
      </c>
      <c r="W116" s="2">
        <f>MAX(J116:U116)</f>
        <v/>
      </c>
      <c r="X116" s="2">
        <f>W116*G116</f>
        <v/>
      </c>
    </row>
    <row r="117">
      <c r="A117" s="2" t="inlineStr">
        <is>
          <t>14-D-228</t>
        </is>
      </c>
      <c r="B117" s="3" t="inlineStr">
        <is>
          <t>DOJC-SM-LC/PC-LC/PC</t>
        </is>
      </c>
      <c r="C117" s="2" t="inlineStr">
        <is>
          <t>15M</t>
        </is>
      </c>
      <c r="D117" s="2" t="inlineStr">
        <is>
          <t>a1</t>
        </is>
      </c>
      <c r="E117" s="2" t="inlineStr">
        <is>
          <t>2.0mm</t>
        </is>
      </c>
      <c r="F117" s="2" t="n">
        <v>2</v>
      </c>
      <c r="G117" s="2" t="n">
        <v>15</v>
      </c>
      <c r="H117" s="2" t="inlineStr">
        <is>
          <t>LC/PC</t>
        </is>
      </c>
      <c r="I117" s="2" t="inlineStr">
        <is>
          <t>LC/PC</t>
        </is>
      </c>
      <c r="J117" s="2" t="n">
        <v>30</v>
      </c>
      <c r="K117" s="2" t="n"/>
      <c r="L117" s="2" t="n"/>
      <c r="M117" s="2" t="n"/>
      <c r="N117" s="2" t="n"/>
      <c r="O117" s="2" t="n">
        <v>10</v>
      </c>
      <c r="P117" s="2" t="n">
        <v>10</v>
      </c>
      <c r="Q117" s="2" t="n"/>
      <c r="R117" s="2" t="n"/>
      <c r="S117" s="2" t="n"/>
      <c r="T117" s="2" t="n"/>
      <c r="U117" s="2" t="n"/>
      <c r="V117" s="2">
        <f>SUM(J117:U117)*G117</f>
        <v/>
      </c>
      <c r="W117" s="2">
        <f>MAX(J117:U117)</f>
        <v/>
      </c>
      <c r="X117" s="2">
        <f>W117*G117</f>
        <v/>
      </c>
    </row>
    <row r="118">
      <c r="A118" s="2" t="inlineStr">
        <is>
          <t>14-D-228R</t>
        </is>
      </c>
      <c r="B118" s="3" t="inlineStr">
        <is>
          <t>DOJC-SM-LC/PC-LC/PC</t>
        </is>
      </c>
      <c r="C118" s="2" t="inlineStr">
        <is>
          <t>15M_적색케이블</t>
        </is>
      </c>
      <c r="D118" s="2" t="inlineStr">
        <is>
          <t>a1-적</t>
        </is>
      </c>
      <c r="E118" s="2" t="inlineStr">
        <is>
          <t>2.0mm</t>
        </is>
      </c>
      <c r="F118" s="2" t="n">
        <v>2</v>
      </c>
      <c r="G118" s="2" t="n">
        <v>15</v>
      </c>
      <c r="H118" s="2" t="inlineStr">
        <is>
          <t>LC/PC</t>
        </is>
      </c>
      <c r="I118" s="2" t="inlineStr">
        <is>
          <t>LC/PC</t>
        </is>
      </c>
      <c r="J118" s="2" t="n"/>
      <c r="K118" s="2" t="n">
        <v>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>
        <f>SUM(J118:U118)*G118</f>
        <v/>
      </c>
      <c r="W118" s="2">
        <f>MAX(J118:U118)</f>
        <v/>
      </c>
      <c r="X118" s="2">
        <f>W118*G118</f>
        <v/>
      </c>
    </row>
    <row r="119">
      <c r="A119" s="2" t="inlineStr">
        <is>
          <t>14-D-233</t>
        </is>
      </c>
      <c r="B119" s="3" t="inlineStr">
        <is>
          <t>DOJC-SM-LC/PC-LC/PC</t>
        </is>
      </c>
      <c r="C119" s="2" t="inlineStr">
        <is>
          <t>1M</t>
        </is>
      </c>
      <c r="D119" s="2" t="inlineStr">
        <is>
          <t>a1</t>
        </is>
      </c>
      <c r="E119" s="2" t="inlineStr">
        <is>
          <t>2.0mm</t>
        </is>
      </c>
      <c r="F119" s="2" t="n">
        <v>2</v>
      </c>
      <c r="G119" s="2" t="n">
        <v>1</v>
      </c>
      <c r="H119" s="2" t="inlineStr">
        <is>
          <t>LC/PC</t>
        </is>
      </c>
      <c r="I119" s="2" t="inlineStr">
        <is>
          <t>LC/PC</t>
        </is>
      </c>
      <c r="J119" s="2" t="n"/>
      <c r="K119" s="2" t="n"/>
      <c r="L119" s="2" t="n">
        <v>95</v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>
        <f>SUM(J119:U119)*G119</f>
        <v/>
      </c>
      <c r="W119" s="2">
        <f>MAX(J119:U119)</f>
        <v/>
      </c>
      <c r="X119" s="2">
        <f>W119*G119</f>
        <v/>
      </c>
    </row>
    <row r="120">
      <c r="A120" s="2" t="inlineStr">
        <is>
          <t>14-D-234</t>
        </is>
      </c>
      <c r="B120" s="3" t="inlineStr">
        <is>
          <t>DOJC-SM-LC/PC-LC/PC</t>
        </is>
      </c>
      <c r="C120" s="2" t="inlineStr">
        <is>
          <t>20M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20</v>
      </c>
      <c r="H120" s="2" t="inlineStr">
        <is>
          <t>LC/PC</t>
        </is>
      </c>
      <c r="I120" s="2" t="inlineStr">
        <is>
          <t>LC/PC</t>
        </is>
      </c>
      <c r="J120" s="2" t="n">
        <v>100</v>
      </c>
      <c r="K120" s="2" t="n"/>
      <c r="L120" s="2" t="n"/>
      <c r="M120" s="2" t="n">
        <v>50</v>
      </c>
      <c r="N120" s="2" t="n"/>
      <c r="O120" s="2" t="n"/>
      <c r="P120" s="2" t="n">
        <v>50</v>
      </c>
      <c r="Q120" s="2" t="n"/>
      <c r="R120" s="2" t="n"/>
      <c r="S120" s="2" t="n"/>
      <c r="T120" s="2" t="n"/>
      <c r="U120" s="2" t="n"/>
      <c r="V120" s="2">
        <f>SUM(J120:U120)*G120</f>
        <v/>
      </c>
      <c r="W120" s="2">
        <f>MAX(J120:U120)</f>
        <v/>
      </c>
      <c r="X120" s="2">
        <f>W120*G120</f>
        <v/>
      </c>
    </row>
    <row r="121">
      <c r="A121" s="2" t="inlineStr">
        <is>
          <t>14-D-234R</t>
        </is>
      </c>
      <c r="B121" s="3" t="inlineStr">
        <is>
          <t>DOJC-SM-LC/PC-LC/PC</t>
        </is>
      </c>
      <c r="C121" s="2" t="inlineStr">
        <is>
          <t>20M_적색케이블</t>
        </is>
      </c>
      <c r="D121" s="2" t="inlineStr">
        <is>
          <t>a1-적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LC/PC</t>
        </is>
      </c>
      <c r="I121" s="2" t="inlineStr">
        <is>
          <t>LC/PC</t>
        </is>
      </c>
      <c r="J121" s="2" t="n"/>
      <c r="K121" s="2" t="n">
        <v>5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>
        <f>SUM(J121:U121)*G121</f>
        <v/>
      </c>
      <c r="W121" s="2">
        <f>MAX(J121:U121)</f>
        <v/>
      </c>
      <c r="X121" s="2">
        <f>W121*G121</f>
        <v/>
      </c>
    </row>
    <row r="122">
      <c r="A122" s="2" t="inlineStr">
        <is>
          <t>14-D-237</t>
        </is>
      </c>
      <c r="B122" s="3" t="inlineStr">
        <is>
          <t>DOJC-SM-LC/PC-LC/PC</t>
        </is>
      </c>
      <c r="C122" s="2" t="inlineStr">
        <is>
          <t>25M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25</v>
      </c>
      <c r="H122" s="2" t="inlineStr">
        <is>
          <t>LC/PC</t>
        </is>
      </c>
      <c r="I122" s="2" t="inlineStr">
        <is>
          <t>LC/PC</t>
        </is>
      </c>
      <c r="J122" s="2" t="n">
        <v>50</v>
      </c>
      <c r="K122" s="2" t="n"/>
      <c r="L122" s="2" t="n"/>
      <c r="M122" s="2" t="n">
        <v>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>
        <f>SUM(J122:U122)*G122</f>
        <v/>
      </c>
      <c r="W122" s="2">
        <f>MAX(J122:U122)</f>
        <v/>
      </c>
      <c r="X122" s="2">
        <f>W122*G122</f>
        <v/>
      </c>
    </row>
    <row r="123">
      <c r="A123" s="2" t="inlineStr">
        <is>
          <t>14-D-240</t>
        </is>
      </c>
      <c r="B123" s="3" t="inlineStr">
        <is>
          <t>DOJC-SM-LC/PC-LC/PC</t>
        </is>
      </c>
      <c r="C123" s="2" t="inlineStr">
        <is>
          <t>2M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2</v>
      </c>
      <c r="H123" s="2" t="inlineStr">
        <is>
          <t>LC/PC</t>
        </is>
      </c>
      <c r="I123" s="2" t="inlineStr">
        <is>
          <t>LC/PC</t>
        </is>
      </c>
      <c r="J123" s="2" t="n"/>
      <c r="K123" s="2" t="n"/>
      <c r="L123" s="2" t="n"/>
      <c r="M123" s="2" t="n">
        <v>30</v>
      </c>
      <c r="N123" s="2" t="n"/>
      <c r="O123" s="2" t="n"/>
      <c r="P123" s="2" t="n"/>
      <c r="Q123" s="2" t="n"/>
      <c r="R123" s="2" t="n"/>
      <c r="S123" s="2" t="n"/>
      <c r="T123" s="2" t="n">
        <v>10</v>
      </c>
      <c r="U123" s="2" t="n"/>
      <c r="V123" s="2">
        <f>SUM(J123:U123)*G123</f>
        <v/>
      </c>
      <c r="W123" s="2">
        <f>MAX(J123:U123)</f>
        <v/>
      </c>
      <c r="X123" s="2">
        <f>W123*G123</f>
        <v/>
      </c>
    </row>
    <row r="124">
      <c r="A124" s="2" t="inlineStr">
        <is>
          <t>14-D-241</t>
        </is>
      </c>
      <c r="B124" s="3" t="inlineStr">
        <is>
          <t>DOJC-SM-LC/PC-LC/PC</t>
        </is>
      </c>
      <c r="C124" s="2" t="inlineStr">
        <is>
          <t>30M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30</v>
      </c>
      <c r="H124" s="2" t="inlineStr">
        <is>
          <t>LC/PC</t>
        </is>
      </c>
      <c r="I124" s="2" t="inlineStr">
        <is>
          <t>LC/PC</t>
        </is>
      </c>
      <c r="J124" s="2" t="n">
        <v>70</v>
      </c>
      <c r="K124" s="2" t="n"/>
      <c r="L124" s="2" t="n"/>
      <c r="M124" s="2" t="n">
        <v>20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>
        <f>SUM(J124:U124)*G124</f>
        <v/>
      </c>
      <c r="W124" s="2">
        <f>MAX(J124:U124)</f>
        <v/>
      </c>
      <c r="X124" s="2">
        <f>W124*G124</f>
        <v/>
      </c>
    </row>
    <row r="125">
      <c r="A125" s="2" t="inlineStr">
        <is>
          <t>14-D-243</t>
        </is>
      </c>
      <c r="B125" s="3" t="inlineStr">
        <is>
          <t>DOJC-SM-LC/PC-LC/PC</t>
        </is>
      </c>
      <c r="C125" s="2" t="inlineStr">
        <is>
          <t>35M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35</v>
      </c>
      <c r="H125" s="2" t="inlineStr">
        <is>
          <t>LC/PC</t>
        </is>
      </c>
      <c r="I125" s="2" t="inlineStr">
        <is>
          <t>LC/PC</t>
        </is>
      </c>
      <c r="J125" s="2" t="n">
        <v>50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>
        <f>SUM(J125:U125)*G125</f>
        <v/>
      </c>
      <c r="W125" s="2">
        <f>MAX(J125:U125)</f>
        <v/>
      </c>
      <c r="X125" s="2">
        <f>W125*G125</f>
        <v/>
      </c>
    </row>
    <row r="126">
      <c r="A126" s="2" t="inlineStr">
        <is>
          <t>14-D-244</t>
        </is>
      </c>
      <c r="B126" s="3" t="inlineStr">
        <is>
          <t>DOJC-SM-LC/PC-LC/PC</t>
        </is>
      </c>
      <c r="C126" s="2" t="inlineStr">
        <is>
          <t>3M</t>
        </is>
      </c>
      <c r="D126" s="2" t="inlineStr">
        <is>
          <t>a1</t>
        </is>
      </c>
      <c r="E126" s="2" t="inlineStr">
        <is>
          <t>2.0mm</t>
        </is>
      </c>
      <c r="F126" s="2" t="n">
        <v>2</v>
      </c>
      <c r="G126" s="2" t="n">
        <v>3</v>
      </c>
      <c r="H126" s="2" t="inlineStr">
        <is>
          <t>LC/PC</t>
        </is>
      </c>
      <c r="I126" s="2" t="inlineStr">
        <is>
          <t>LC/PC</t>
        </is>
      </c>
      <c r="J126" s="2" t="n">
        <v>10</v>
      </c>
      <c r="K126" s="2" t="n"/>
      <c r="L126" s="2" t="n">
        <v>100</v>
      </c>
      <c r="M126" s="2" t="n">
        <v>75</v>
      </c>
      <c r="N126" s="2" t="n">
        <v>100</v>
      </c>
      <c r="O126" s="2" t="n">
        <v>120</v>
      </c>
      <c r="P126" s="2" t="n">
        <v>30</v>
      </c>
      <c r="Q126" s="2" t="n"/>
      <c r="R126" s="2" t="n"/>
      <c r="S126" s="2" t="n">
        <v>80</v>
      </c>
      <c r="T126" s="2" t="n"/>
      <c r="U126" s="2" t="n"/>
      <c r="V126" s="2">
        <f>SUM(J126:U126)*G126</f>
        <v/>
      </c>
      <c r="W126" s="2">
        <f>MAX(J126:U126)</f>
        <v/>
      </c>
      <c r="X126" s="2">
        <f>W126*G126</f>
        <v/>
      </c>
    </row>
    <row r="127">
      <c r="A127" s="2" t="inlineStr">
        <is>
          <t>14-D-246</t>
        </is>
      </c>
      <c r="B127" s="3" t="inlineStr">
        <is>
          <t>DOJC-SM-LC/PC-LC/PC</t>
        </is>
      </c>
      <c r="C127" s="2" t="inlineStr">
        <is>
          <t>40M</t>
        </is>
      </c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40</v>
      </c>
      <c r="H127" s="2" t="inlineStr">
        <is>
          <t>LC/PC</t>
        </is>
      </c>
      <c r="I127" s="2" t="inlineStr">
        <is>
          <t>LC/PC</t>
        </is>
      </c>
      <c r="J127" s="2" t="n"/>
      <c r="K127" s="2" t="n"/>
      <c r="L127" s="2" t="n"/>
      <c r="M127" s="2" t="n">
        <v>10</v>
      </c>
      <c r="N127" s="2" t="n"/>
      <c r="O127" s="2" t="n">
        <v>10</v>
      </c>
      <c r="P127" s="2" t="n"/>
      <c r="Q127" s="2" t="n"/>
      <c r="R127" s="2" t="n"/>
      <c r="S127" s="2" t="n"/>
      <c r="T127" s="2" t="n"/>
      <c r="U127" s="2" t="n"/>
      <c r="V127" s="2">
        <f>SUM(J127:U127)*G127</f>
        <v/>
      </c>
      <c r="W127" s="2">
        <f>MAX(J127:U127)</f>
        <v/>
      </c>
      <c r="X127" s="2">
        <f>W127*G127</f>
        <v/>
      </c>
    </row>
    <row r="128">
      <c r="A128" s="2" t="inlineStr">
        <is>
          <t>14-D-247</t>
        </is>
      </c>
      <c r="B128" s="3" t="inlineStr">
        <is>
          <t>DOJC-SM-LC/PC-LC/PC</t>
        </is>
      </c>
      <c r="C128" s="2" t="inlineStr">
        <is>
          <t>45M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45</v>
      </c>
      <c r="H128" s="2" t="inlineStr">
        <is>
          <t>LC/PC</t>
        </is>
      </c>
      <c r="I128" s="2" t="inlineStr">
        <is>
          <t>LC/PC</t>
        </is>
      </c>
      <c r="J128" s="2" t="n"/>
      <c r="K128" s="2" t="n"/>
      <c r="L128" s="2" t="n"/>
      <c r="M128" s="2" t="n">
        <v>10</v>
      </c>
      <c r="N128" s="2" t="n"/>
      <c r="O128" s="2" t="n">
        <v>10</v>
      </c>
      <c r="P128" s="2" t="n"/>
      <c r="Q128" s="2" t="n"/>
      <c r="R128" s="2" t="n"/>
      <c r="S128" s="2" t="n"/>
      <c r="T128" s="2" t="n"/>
      <c r="U128" s="2" t="n"/>
      <c r="V128" s="2">
        <f>SUM(J128:U128)*G128</f>
        <v/>
      </c>
      <c r="W128" s="2">
        <f>MAX(J128:U128)</f>
        <v/>
      </c>
      <c r="X128" s="2">
        <f>W128*G128</f>
        <v/>
      </c>
    </row>
    <row r="129">
      <c r="A129" s="2" t="inlineStr">
        <is>
          <t>14-D-249</t>
        </is>
      </c>
      <c r="B129" s="3" t="inlineStr">
        <is>
          <t>DOJC-SM-LC/PC-LC/PC</t>
        </is>
      </c>
      <c r="C129" s="2" t="inlineStr">
        <is>
          <t>50M</t>
        </is>
      </c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>
        <v>50</v>
      </c>
      <c r="H129" s="2" t="inlineStr">
        <is>
          <t>LC/PC</t>
        </is>
      </c>
      <c r="I129" s="2" t="inlineStr">
        <is>
          <t>LC/PC</t>
        </is>
      </c>
      <c r="J129" s="2" t="n"/>
      <c r="K129" s="2" t="n"/>
      <c r="L129" s="2" t="n"/>
      <c r="M129" s="2" t="n">
        <v>10</v>
      </c>
      <c r="N129" s="2" t="n"/>
      <c r="O129" s="2" t="n">
        <v>6</v>
      </c>
      <c r="P129" s="2" t="n"/>
      <c r="Q129" s="2" t="n"/>
      <c r="R129" s="2" t="n"/>
      <c r="S129" s="2" t="n"/>
      <c r="T129" s="2" t="n"/>
      <c r="U129" s="2" t="n"/>
      <c r="V129" s="2">
        <f>SUM(J129:U129)*G129</f>
        <v/>
      </c>
      <c r="W129" s="2">
        <f>MAX(J129:U129)</f>
        <v/>
      </c>
      <c r="X129" s="2">
        <f>W129*G129</f>
        <v/>
      </c>
    </row>
    <row r="130">
      <c r="A130" s="2" t="inlineStr">
        <is>
          <t>14-D-252</t>
        </is>
      </c>
      <c r="B130" s="3" t="inlineStr">
        <is>
          <t>DOJC-SM-LC/PC-LC/PC</t>
        </is>
      </c>
      <c r="C130" s="2" t="inlineStr">
        <is>
          <t>55M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55</v>
      </c>
      <c r="H130" s="2" t="inlineStr">
        <is>
          <t>LC/PC</t>
        </is>
      </c>
      <c r="I130" s="2" t="inlineStr">
        <is>
          <t>LC/PC</t>
        </is>
      </c>
      <c r="J130" s="2" t="n"/>
      <c r="K130" s="2" t="n"/>
      <c r="L130" s="2" t="n"/>
      <c r="M130" s="2" t="n">
        <v>20</v>
      </c>
      <c r="N130" s="2" t="n"/>
      <c r="O130" s="2" t="n">
        <v>10</v>
      </c>
      <c r="P130" s="2" t="n"/>
      <c r="Q130" s="2" t="n"/>
      <c r="R130" s="2" t="n"/>
      <c r="S130" s="2" t="n"/>
      <c r="T130" s="2" t="n"/>
      <c r="U130" s="2" t="n"/>
      <c r="V130" s="2">
        <f>SUM(J130:U130)*G130</f>
        <v/>
      </c>
      <c r="W130" s="2">
        <f>MAX(J130:U130)</f>
        <v/>
      </c>
      <c r="X130" s="2">
        <f>W130*G130</f>
        <v/>
      </c>
    </row>
    <row r="131">
      <c r="A131" s="2" t="inlineStr">
        <is>
          <t>14-D-253</t>
        </is>
      </c>
      <c r="B131" s="3" t="inlineStr">
        <is>
          <t>DOJC-SM-LC/PC-LC/PC</t>
        </is>
      </c>
      <c r="C131" s="2" t="inlineStr">
        <is>
          <t>5M</t>
        </is>
      </c>
      <c r="D131" s="2" t="inlineStr">
        <is>
          <t>a1</t>
        </is>
      </c>
      <c r="E131" s="2" t="inlineStr">
        <is>
          <t>2.0mm</t>
        </is>
      </c>
      <c r="F131" s="2" t="n">
        <v>2</v>
      </c>
      <c r="G131" s="2" t="n">
        <v>5</v>
      </c>
      <c r="H131" s="2" t="inlineStr">
        <is>
          <t>LC/PC</t>
        </is>
      </c>
      <c r="I131" s="2" t="inlineStr">
        <is>
          <t>LC/PC</t>
        </is>
      </c>
      <c r="J131" s="2" t="n"/>
      <c r="K131" s="2" t="n"/>
      <c r="L131" s="2" t="n">
        <v>80</v>
      </c>
      <c r="M131" s="2" t="n">
        <v>50</v>
      </c>
      <c r="N131" s="2" t="n"/>
      <c r="O131" s="2" t="n">
        <v>40</v>
      </c>
      <c r="P131" s="2" t="n">
        <v>10</v>
      </c>
      <c r="Q131" s="2" t="n">
        <v>50</v>
      </c>
      <c r="R131" s="2" t="n"/>
      <c r="S131" s="2" t="n"/>
      <c r="T131" s="2" t="n"/>
      <c r="U131" s="2" t="n"/>
      <c r="V131" s="2">
        <f>SUM(J131:U131)*G131</f>
        <v/>
      </c>
      <c r="W131" s="2">
        <f>MAX(J131:U131)</f>
        <v/>
      </c>
      <c r="X131" s="2">
        <f>W131*G131</f>
        <v/>
      </c>
    </row>
    <row r="132">
      <c r="A132" s="2" t="inlineStr">
        <is>
          <t>14-D-254</t>
        </is>
      </c>
      <c r="B132" s="3" t="inlineStr">
        <is>
          <t>DOJC-SM-LC/PC-LC/PC</t>
        </is>
      </c>
      <c r="C132" s="2" t="inlineStr">
        <is>
          <t>60M</t>
        </is>
      </c>
      <c r="D132" s="2" t="inlineStr">
        <is>
          <t>a1</t>
        </is>
      </c>
      <c r="E132" s="2" t="inlineStr">
        <is>
          <t>2.0mm</t>
        </is>
      </c>
      <c r="F132" s="2" t="n">
        <v>2</v>
      </c>
      <c r="G132" s="2" t="n">
        <v>60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>
        <v>27</v>
      </c>
      <c r="U132" s="2" t="n"/>
      <c r="V132" s="2">
        <f>SUM(J132:U132)*G132</f>
        <v/>
      </c>
      <c r="W132" s="2">
        <f>MAX(J132:U132)</f>
        <v/>
      </c>
      <c r="X132" s="2">
        <f>W132*G132</f>
        <v/>
      </c>
    </row>
    <row r="133">
      <c r="A133" s="2" t="inlineStr">
        <is>
          <t>14-D-256</t>
        </is>
      </c>
      <c r="B133" s="3" t="inlineStr">
        <is>
          <t>DOJC-SM-LC/PC-LC/PC</t>
        </is>
      </c>
      <c r="C133" s="2" t="inlineStr">
        <is>
          <t>6M</t>
        </is>
      </c>
      <c r="D133" s="2" t="inlineStr">
        <is>
          <t>a1</t>
        </is>
      </c>
      <c r="E133" s="2" t="inlineStr">
        <is>
          <t>2.0mm</t>
        </is>
      </c>
      <c r="F133" s="2" t="n">
        <v>2</v>
      </c>
      <c r="G133" s="2" t="n">
        <v>6</v>
      </c>
      <c r="H133" s="2" t="inlineStr">
        <is>
          <t>LC/PC</t>
        </is>
      </c>
      <c r="I133" s="2" t="inlineStr">
        <is>
          <t>LC/PC</t>
        </is>
      </c>
      <c r="J133" s="2" t="n">
        <v>100</v>
      </c>
      <c r="K133" s="2" t="n">
        <v>150</v>
      </c>
      <c r="L133" s="2" t="n"/>
      <c r="M133" s="2" t="n">
        <v>100</v>
      </c>
      <c r="N133" s="2" t="n"/>
      <c r="O133" s="2" t="n">
        <v>50</v>
      </c>
      <c r="P133" s="2" t="n">
        <v>150</v>
      </c>
      <c r="Q133" s="2" t="n"/>
      <c r="R133" s="2" t="n"/>
      <c r="S133" s="2" t="n">
        <v>150</v>
      </c>
      <c r="T133" s="2" t="n"/>
      <c r="U133" s="2" t="n">
        <v>250</v>
      </c>
      <c r="V133" s="2">
        <f>SUM(J133:U133)*G133</f>
        <v/>
      </c>
      <c r="W133" s="2">
        <f>MAX(J133:U133)</f>
        <v/>
      </c>
      <c r="X133" s="2">
        <f>W133*G133</f>
        <v/>
      </c>
    </row>
    <row r="134">
      <c r="A134" s="2" t="inlineStr">
        <is>
          <t>14-D-271</t>
        </is>
      </c>
      <c r="B134" s="3" t="inlineStr">
        <is>
          <t>DOJC-SM-LC/PC-SC/APC</t>
        </is>
      </c>
      <c r="C134" s="2" t="inlineStr">
        <is>
          <t>2M</t>
        </is>
      </c>
      <c r="D134" s="2" t="inlineStr">
        <is>
          <t>a1</t>
        </is>
      </c>
      <c r="E134" s="2" t="inlineStr">
        <is>
          <t>2.0mm</t>
        </is>
      </c>
      <c r="F134" s="2" t="n">
        <v>2</v>
      </c>
      <c r="G134" s="2" t="n">
        <v>2</v>
      </c>
      <c r="H134" s="2" t="inlineStr">
        <is>
          <t>LC/PC</t>
        </is>
      </c>
      <c r="I134" s="2" t="inlineStr">
        <is>
          <t>SC/APC</t>
        </is>
      </c>
      <c r="J134" s="2" t="n"/>
      <c r="K134" s="2" t="n">
        <v>10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SUM(J134:U134)*G134</f>
        <v/>
      </c>
      <c r="W134" s="2">
        <f>MAX(J134:U134)</f>
        <v/>
      </c>
      <c r="X134" s="2">
        <f>W134*G134</f>
        <v/>
      </c>
    </row>
    <row r="135">
      <c r="A135" s="2" t="inlineStr">
        <is>
          <t>14-D-272</t>
        </is>
      </c>
      <c r="B135" s="3" t="inlineStr">
        <is>
          <t>DOJC-SM-LC/PC-SC/APC</t>
        </is>
      </c>
      <c r="C135" s="2" t="inlineStr">
        <is>
          <t>30M</t>
        </is>
      </c>
      <c r="D135" s="2" t="inlineStr">
        <is>
          <t>a1</t>
        </is>
      </c>
      <c r="E135" s="2" t="inlineStr">
        <is>
          <t>2.0mm</t>
        </is>
      </c>
      <c r="F135" s="2" t="n">
        <v>2</v>
      </c>
      <c r="G135" s="2" t="n">
        <v>30</v>
      </c>
      <c r="H135" s="2" t="inlineStr">
        <is>
          <t>LC/PC</t>
        </is>
      </c>
      <c r="I135" s="2" t="inlineStr">
        <is>
          <t>SC/APC</t>
        </is>
      </c>
      <c r="J135" s="2" t="n"/>
      <c r="K135" s="2" t="n"/>
      <c r="L135" s="2" t="n"/>
      <c r="M135" s="2" t="n"/>
      <c r="N135" s="2" t="n"/>
      <c r="O135" s="2" t="n">
        <v>10</v>
      </c>
      <c r="P135" s="2" t="n"/>
      <c r="Q135" s="2" t="n"/>
      <c r="R135" s="2" t="n"/>
      <c r="S135" s="2" t="n"/>
      <c r="T135" s="2" t="n"/>
      <c r="U135" s="2" t="n"/>
      <c r="V135" s="2">
        <f>SUM(J135:U135)*G135</f>
        <v/>
      </c>
      <c r="W135" s="2">
        <f>MAX(J135:U135)</f>
        <v/>
      </c>
      <c r="X135" s="2">
        <f>W135*G135</f>
        <v/>
      </c>
    </row>
    <row r="136">
      <c r="A136" s="2" t="inlineStr">
        <is>
          <t>14-D-274</t>
        </is>
      </c>
      <c r="B136" s="3" t="inlineStr">
        <is>
          <t>DOJC-SM-LC/PC-SC/APC</t>
        </is>
      </c>
      <c r="C136" s="2" t="inlineStr">
        <is>
          <t>3M</t>
        </is>
      </c>
      <c r="D136" s="2" t="inlineStr">
        <is>
          <t>a1</t>
        </is>
      </c>
      <c r="E136" s="2" t="inlineStr">
        <is>
          <t>2.0mm</t>
        </is>
      </c>
      <c r="F136" s="2" t="n">
        <v>2</v>
      </c>
      <c r="G136" s="2" t="n">
        <v>3</v>
      </c>
      <c r="H136" s="2" t="inlineStr">
        <is>
          <t>LC/PC</t>
        </is>
      </c>
      <c r="I136" s="2" t="inlineStr">
        <is>
          <t>SC/APC</t>
        </is>
      </c>
      <c r="J136" s="2" t="n"/>
      <c r="K136" s="2" t="n"/>
      <c r="L136" s="2" t="n">
        <v>100</v>
      </c>
      <c r="M136" s="2" t="n"/>
      <c r="N136" s="2" t="n"/>
      <c r="O136" s="2" t="n"/>
      <c r="P136" s="2" t="n">
        <v>30</v>
      </c>
      <c r="Q136" s="2" t="n">
        <v>30</v>
      </c>
      <c r="R136" s="2" t="n"/>
      <c r="S136" s="2" t="n"/>
      <c r="T136" s="2" t="n">
        <v>30</v>
      </c>
      <c r="U136" s="2" t="n"/>
      <c r="V136" s="2">
        <f>SUM(J136:U136)*G136</f>
        <v/>
      </c>
      <c r="W136" s="2">
        <f>MAX(J136:U136)</f>
        <v/>
      </c>
      <c r="X136" s="2">
        <f>W136*G136</f>
        <v/>
      </c>
    </row>
    <row r="137">
      <c r="A137" s="2" t="inlineStr">
        <is>
          <t>14-D-275</t>
        </is>
      </c>
      <c r="B137" s="3" t="inlineStr">
        <is>
          <t>DOJC-SM-LC/PC-SC/APC</t>
        </is>
      </c>
      <c r="C137" s="2" t="inlineStr">
        <is>
          <t>40M</t>
        </is>
      </c>
      <c r="D137" s="2" t="inlineStr">
        <is>
          <t>a1</t>
        </is>
      </c>
      <c r="E137" s="2" t="inlineStr">
        <is>
          <t>2.0mm</t>
        </is>
      </c>
      <c r="F137" s="2" t="n">
        <v>2</v>
      </c>
      <c r="G137" s="2" t="n">
        <v>40</v>
      </c>
      <c r="H137" s="2" t="inlineStr">
        <is>
          <t>LC/PC</t>
        </is>
      </c>
      <c r="I137" s="2" t="inlineStr">
        <is>
          <t>SC/APC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n">
        <v>2</v>
      </c>
      <c r="R137" s="2" t="n"/>
      <c r="S137" s="2" t="n"/>
      <c r="T137" s="2" t="n"/>
      <c r="U137" s="2" t="n"/>
      <c r="V137" s="2">
        <f>SUM(J137:U137)*G137</f>
        <v/>
      </c>
      <c r="W137" s="2">
        <f>MAX(J137:U137)</f>
        <v/>
      </c>
      <c r="X137" s="2">
        <f>W137*G137</f>
        <v/>
      </c>
    </row>
    <row r="138">
      <c r="A138" s="2" t="inlineStr">
        <is>
          <t>14-D-294</t>
        </is>
      </c>
      <c r="B138" s="3" t="inlineStr">
        <is>
          <t>DOJC-SM-LC/PC-SC/PC</t>
        </is>
      </c>
      <c r="C138" s="2" t="inlineStr">
        <is>
          <t>1M</t>
        </is>
      </c>
      <c r="D138" s="2" t="inlineStr">
        <is>
          <t>a1</t>
        </is>
      </c>
      <c r="E138" s="2" t="inlineStr">
        <is>
          <t>2.0mm</t>
        </is>
      </c>
      <c r="F138" s="2" t="n">
        <v>2</v>
      </c>
      <c r="G138" s="2" t="n">
        <v>1</v>
      </c>
      <c r="H138" s="2" t="inlineStr">
        <is>
          <t>LC/PC</t>
        </is>
      </c>
      <c r="I138" s="2" t="inlineStr">
        <is>
          <t>SC/PC</t>
        </is>
      </c>
      <c r="J138" s="2" t="n"/>
      <c r="K138" s="2" t="n"/>
      <c r="L138" s="2" t="n"/>
      <c r="M138" s="2" t="n"/>
      <c r="N138" s="2" t="n">
        <v>20</v>
      </c>
      <c r="O138" s="2" t="n"/>
      <c r="P138" s="2" t="n"/>
      <c r="Q138" s="2" t="n"/>
      <c r="R138" s="2" t="n"/>
      <c r="S138" s="2" t="n"/>
      <c r="T138" s="2" t="n"/>
      <c r="U138" s="2" t="n"/>
      <c r="V138" s="2">
        <f>SUM(J138:U138)*G138</f>
        <v/>
      </c>
      <c r="W138" s="2">
        <f>MAX(J138:U138)</f>
        <v/>
      </c>
      <c r="X138" s="2">
        <f>W138*G138</f>
        <v/>
      </c>
    </row>
    <row r="139">
      <c r="A139" s="2" t="inlineStr">
        <is>
          <t>14-D-295</t>
        </is>
      </c>
      <c r="B139" s="3" t="inlineStr">
        <is>
          <t>DOJC-SM-LC/PC-SC/PC</t>
        </is>
      </c>
      <c r="C139" s="2" t="inlineStr">
        <is>
          <t>20M</t>
        </is>
      </c>
      <c r="D139" s="2" t="inlineStr">
        <is>
          <t>a1</t>
        </is>
      </c>
      <c r="E139" s="2" t="inlineStr">
        <is>
          <t>2.0mm</t>
        </is>
      </c>
      <c r="F139" s="2" t="n">
        <v>2</v>
      </c>
      <c r="G139" s="2" t="n">
        <v>20</v>
      </c>
      <c r="H139" s="2" t="inlineStr">
        <is>
          <t>LC/PC</t>
        </is>
      </c>
      <c r="I139" s="2" t="inlineStr">
        <is>
          <t>SC/PC</t>
        </is>
      </c>
      <c r="J139" s="2" t="n"/>
      <c r="K139" s="2" t="n"/>
      <c r="L139" s="2" t="n"/>
      <c r="M139" s="2" t="n"/>
      <c r="N139" s="2" t="n"/>
      <c r="O139" s="2" t="n"/>
      <c r="P139" s="2" t="n">
        <v>10</v>
      </c>
      <c r="Q139" s="2" t="n"/>
      <c r="R139" s="2" t="n"/>
      <c r="S139" s="2" t="n"/>
      <c r="T139" s="2" t="n"/>
      <c r="U139" s="2" t="n"/>
      <c r="V139" s="2">
        <f>SUM(J139:U139)*G139</f>
        <v/>
      </c>
      <c r="W139" s="2">
        <f>MAX(J139:U139)</f>
        <v/>
      </c>
      <c r="X139" s="2">
        <f>W139*G139</f>
        <v/>
      </c>
    </row>
    <row r="140">
      <c r="A140" s="2" t="inlineStr">
        <is>
          <t>14-D-303</t>
        </is>
      </c>
      <c r="B140" s="3" t="inlineStr">
        <is>
          <t>DOJC-SM-LC/PC-SC/PC</t>
        </is>
      </c>
      <c r="C140" s="2" t="inlineStr">
        <is>
          <t>2M</t>
        </is>
      </c>
      <c r="D140" s="2" t="inlineStr">
        <is>
          <t>a1</t>
        </is>
      </c>
      <c r="E140" s="2" t="inlineStr">
        <is>
          <t>2.0mm</t>
        </is>
      </c>
      <c r="F140" s="2" t="n">
        <v>2</v>
      </c>
      <c r="G140" s="2" t="n">
        <v>2</v>
      </c>
      <c r="H140" s="2" t="inlineStr">
        <is>
          <t>LC/PC</t>
        </is>
      </c>
      <c r="I140" s="2" t="inlineStr">
        <is>
          <t>SC/PC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>
        <v>26</v>
      </c>
      <c r="V140" s="2">
        <f>SUM(J140:U140)*G140</f>
        <v/>
      </c>
      <c r="W140" s="2">
        <f>MAX(J140:U140)</f>
        <v/>
      </c>
      <c r="X140" s="2">
        <f>W140*G140</f>
        <v/>
      </c>
    </row>
    <row r="141">
      <c r="A141" s="2" t="inlineStr">
        <is>
          <t>14-D-304</t>
        </is>
      </c>
      <c r="B141" s="3" t="inlineStr">
        <is>
          <t>DOJC-SM-LC/PC-SC/PC</t>
        </is>
      </c>
      <c r="C141" s="2" t="inlineStr">
        <is>
          <t>30M</t>
        </is>
      </c>
      <c r="D141" s="2" t="inlineStr">
        <is>
          <t>a1</t>
        </is>
      </c>
      <c r="E141" s="2" t="inlineStr">
        <is>
          <t>2.0mm</t>
        </is>
      </c>
      <c r="F141" s="2" t="n">
        <v>2</v>
      </c>
      <c r="G141" s="2" t="n">
        <v>30</v>
      </c>
      <c r="H141" s="2" t="inlineStr">
        <is>
          <t>LC/PC</t>
        </is>
      </c>
      <c r="I141" s="2" t="inlineStr">
        <is>
          <t>SC/PC</t>
        </is>
      </c>
      <c r="J141" s="2" t="n"/>
      <c r="K141" s="2" t="n"/>
      <c r="L141" s="2" t="n"/>
      <c r="M141" s="2" t="n"/>
      <c r="N141" s="2" t="n"/>
      <c r="O141" s="2" t="n"/>
      <c r="P141" s="2" t="n">
        <v>10</v>
      </c>
      <c r="Q141" s="2" t="n"/>
      <c r="R141" s="2" t="n"/>
      <c r="S141" s="2" t="n"/>
      <c r="T141" s="2" t="n"/>
      <c r="U141" s="2" t="n"/>
      <c r="V141" s="2">
        <f>SUM(J141:U141)*G141</f>
        <v/>
      </c>
      <c r="W141" s="2">
        <f>MAX(J141:U141)</f>
        <v/>
      </c>
      <c r="X141" s="2">
        <f>W141*G141</f>
        <v/>
      </c>
    </row>
    <row r="142">
      <c r="A142" s="2" t="inlineStr">
        <is>
          <t>14-D-307</t>
        </is>
      </c>
      <c r="B142" s="3" t="inlineStr">
        <is>
          <t>DOJC-SM-LC/PC-SC/PC</t>
        </is>
      </c>
      <c r="C142" s="2" t="inlineStr">
        <is>
          <t>3M</t>
        </is>
      </c>
      <c r="D142" s="2" t="inlineStr">
        <is>
          <t>a1</t>
        </is>
      </c>
      <c r="E142" s="2" t="inlineStr">
        <is>
          <t>2.0mm</t>
        </is>
      </c>
      <c r="F142" s="2" t="n">
        <v>2</v>
      </c>
      <c r="G142" s="2" t="n">
        <v>3</v>
      </c>
      <c r="H142" s="2" t="inlineStr">
        <is>
          <t>LC/PC</t>
        </is>
      </c>
      <c r="I142" s="2" t="inlineStr">
        <is>
          <t>SC/PC</t>
        </is>
      </c>
      <c r="J142" s="2" t="n"/>
      <c r="K142" s="2" t="n"/>
      <c r="L142" s="2" t="n"/>
      <c r="M142" s="2" t="n"/>
      <c r="N142" s="2" t="n"/>
      <c r="O142" s="2" t="n">
        <v>40</v>
      </c>
      <c r="P142" s="2" t="n">
        <v>30</v>
      </c>
      <c r="Q142" s="2" t="n">
        <v>30</v>
      </c>
      <c r="R142" s="2" t="n"/>
      <c r="S142" s="2" t="n"/>
      <c r="T142" s="2" t="n">
        <v>30</v>
      </c>
      <c r="U142" s="2" t="n"/>
      <c r="V142" s="2">
        <f>SUM(J142:U142)*G142</f>
        <v/>
      </c>
      <c r="W142" s="2">
        <f>MAX(J142:U142)</f>
        <v/>
      </c>
      <c r="X142" s="2">
        <f>W142*G142</f>
        <v/>
      </c>
    </row>
    <row r="143">
      <c r="A143" s="2" t="inlineStr">
        <is>
          <t>14-D-313</t>
        </is>
      </c>
      <c r="B143" s="3" t="inlineStr">
        <is>
          <t>DOJC-SM-LC/PC-SC/PC</t>
        </is>
      </c>
      <c r="C143" s="2" t="inlineStr">
        <is>
          <t>5M</t>
        </is>
      </c>
      <c r="D143" s="2" t="inlineStr">
        <is>
          <t>a1</t>
        </is>
      </c>
      <c r="E143" s="2" t="inlineStr">
        <is>
          <t>2.0mm</t>
        </is>
      </c>
      <c r="F143" s="2" t="n">
        <v>2</v>
      </c>
      <c r="G143" s="2" t="n">
        <v>5</v>
      </c>
      <c r="H143" s="2" t="inlineStr">
        <is>
          <t>LC/PC</t>
        </is>
      </c>
      <c r="I143" s="2" t="inlineStr">
        <is>
          <t>SC/PC</t>
        </is>
      </c>
      <c r="J143" s="2" t="n"/>
      <c r="K143" s="2" t="n"/>
      <c r="L143" s="2" t="n"/>
      <c r="M143" s="2" t="n">
        <v>10</v>
      </c>
      <c r="N143" s="2" t="n"/>
      <c r="O143" s="2" t="n">
        <v>20</v>
      </c>
      <c r="P143" s="2" t="n"/>
      <c r="Q143" s="2" t="n"/>
      <c r="R143" s="2" t="n"/>
      <c r="S143" s="2" t="n"/>
      <c r="T143" s="2" t="n"/>
      <c r="U143" s="2" t="n"/>
      <c r="V143" s="2">
        <f>SUM(J143:U143)*G143</f>
        <v/>
      </c>
      <c r="W143" s="2">
        <f>MAX(J143:U143)</f>
        <v/>
      </c>
      <c r="X143" s="2">
        <f>W143*G143</f>
        <v/>
      </c>
    </row>
    <row r="144">
      <c r="A144" s="2" t="inlineStr">
        <is>
          <t>14-D-314</t>
        </is>
      </c>
      <c r="B144" s="3" t="inlineStr">
        <is>
          <t>DOJC-SM-LC/PC-SC/PC</t>
        </is>
      </c>
      <c r="C144" s="2" t="inlineStr">
        <is>
          <t>60M</t>
        </is>
      </c>
      <c r="D144" s="2" t="inlineStr">
        <is>
          <t>a1</t>
        </is>
      </c>
      <c r="E144" s="2" t="inlineStr">
        <is>
          <t>2.0mm</t>
        </is>
      </c>
      <c r="F144" s="2" t="n">
        <v>2</v>
      </c>
      <c r="G144" s="2" t="n">
        <v>60</v>
      </c>
      <c r="H144" s="2" t="inlineStr">
        <is>
          <t>LC/PC</t>
        </is>
      </c>
      <c r="I144" s="2" t="inlineStr">
        <is>
          <t>SC/PC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>
        <v>71</v>
      </c>
      <c r="U144" s="2" t="n"/>
      <c r="V144" s="2">
        <f>SUM(J144:U144)*G144</f>
        <v/>
      </c>
      <c r="W144" s="2">
        <f>MAX(J144:U144)</f>
        <v/>
      </c>
      <c r="X144" s="2">
        <f>W144*G144</f>
        <v/>
      </c>
    </row>
    <row r="145">
      <c r="A145" s="2" t="inlineStr">
        <is>
          <t>14-D-388</t>
        </is>
      </c>
      <c r="B145" s="3" t="inlineStr">
        <is>
          <t>DOJC-SM-SC/APC-SC/APC</t>
        </is>
      </c>
      <c r="C145" s="2" t="inlineStr">
        <is>
          <t>3M</t>
        </is>
      </c>
      <c r="D145" s="2" t="inlineStr">
        <is>
          <t>a1</t>
        </is>
      </c>
      <c r="E145" s="2" t="inlineStr">
        <is>
          <t>2.0mm</t>
        </is>
      </c>
      <c r="F145" s="2" t="n">
        <v>2</v>
      </c>
      <c r="G145" s="2" t="n">
        <v>3</v>
      </c>
      <c r="H145" s="2" t="inlineStr">
        <is>
          <t>SC/APC</t>
        </is>
      </c>
      <c r="I145" s="2" t="inlineStr">
        <is>
          <t>SC/APC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>
        <v>4</v>
      </c>
      <c r="S145" s="2" t="n"/>
      <c r="T145" s="2" t="n"/>
      <c r="U145" s="2" t="n"/>
      <c r="V145" s="2">
        <f>SUM(J145:U145)*G145</f>
        <v/>
      </c>
      <c r="W145" s="2">
        <f>MAX(J145:U145)</f>
        <v/>
      </c>
      <c r="X145" s="2">
        <f>W145*G145</f>
        <v/>
      </c>
    </row>
    <row r="146">
      <c r="A146" s="2" t="inlineStr">
        <is>
          <t>14-D-437</t>
        </is>
      </c>
      <c r="B146" s="3" t="inlineStr">
        <is>
          <t>DOJC-SM-SC/PC-FC/PC</t>
        </is>
      </c>
      <c r="C146" s="2" t="inlineStr">
        <is>
          <t>40M</t>
        </is>
      </c>
      <c r="D146" s="2" t="inlineStr">
        <is>
          <t>a1</t>
        </is>
      </c>
      <c r="E146" s="2" t="inlineStr">
        <is>
          <t>2.0mm</t>
        </is>
      </c>
      <c r="F146" s="2" t="n">
        <v>2</v>
      </c>
      <c r="G146" s="2" t="n">
        <v>40</v>
      </c>
      <c r="H146" s="2" t="inlineStr">
        <is>
          <t>SC/PC</t>
        </is>
      </c>
      <c r="I146" s="2" t="inlineStr">
        <is>
          <t>FC/PC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>
        <v>5</v>
      </c>
      <c r="V146" s="2">
        <f>SUM(J146:U146)*G146</f>
        <v/>
      </c>
      <c r="W146" s="2">
        <f>MAX(J146:U146)</f>
        <v/>
      </c>
      <c r="X146" s="2">
        <f>W146*G146</f>
        <v/>
      </c>
    </row>
    <row r="147">
      <c r="A147" s="2" t="inlineStr">
        <is>
          <t>14-D-449</t>
        </is>
      </c>
      <c r="B147" s="3" t="inlineStr">
        <is>
          <t>DOJC-SM-SC/PC-SC/APC</t>
        </is>
      </c>
      <c r="C147" s="2" t="inlineStr">
        <is>
          <t>20M</t>
        </is>
      </c>
      <c r="D147" s="2" t="inlineStr">
        <is>
          <t>a1</t>
        </is>
      </c>
      <c r="E147" s="2" t="inlineStr">
        <is>
          <t>2.0mm</t>
        </is>
      </c>
      <c r="F147" s="2" t="n">
        <v>2</v>
      </c>
      <c r="G147" s="2" t="n">
        <v>20</v>
      </c>
      <c r="H147" s="2" t="inlineStr">
        <is>
          <t>SC/PC</t>
        </is>
      </c>
      <c r="I147" s="2" t="inlineStr">
        <is>
          <t>SC/APC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>
        <v>6</v>
      </c>
      <c r="V147" s="2">
        <f>SUM(J147:U147)*G147</f>
        <v/>
      </c>
      <c r="W147" s="2">
        <f>MAX(J147:U147)</f>
        <v/>
      </c>
      <c r="X147" s="2">
        <f>W147*G147</f>
        <v/>
      </c>
    </row>
    <row r="148">
      <c r="A148" s="2" t="inlineStr">
        <is>
          <t>14-D-455</t>
        </is>
      </c>
      <c r="B148" s="3" t="inlineStr">
        <is>
          <t>DOJC-SM-SC/PC-SC/APC</t>
        </is>
      </c>
      <c r="C148" s="2" t="inlineStr">
        <is>
          <t>3M</t>
        </is>
      </c>
      <c r="D148" s="2" t="inlineStr">
        <is>
          <t>a1</t>
        </is>
      </c>
      <c r="E148" s="2" t="inlineStr">
        <is>
          <t>2.0mm</t>
        </is>
      </c>
      <c r="F148" s="2" t="n">
        <v>2</v>
      </c>
      <c r="G148" s="2" t="n">
        <v>3</v>
      </c>
      <c r="H148" s="2" t="inlineStr">
        <is>
          <t>SC/PC</t>
        </is>
      </c>
      <c r="I148" s="2" t="inlineStr">
        <is>
          <t>SC/APC</t>
        </is>
      </c>
      <c r="J148" s="2" t="n">
        <v>40</v>
      </c>
      <c r="K148" s="2" t="n">
        <v>50</v>
      </c>
      <c r="L148" s="2" t="n"/>
      <c r="M148" s="2" t="n"/>
      <c r="N148" s="2" t="n">
        <v>20</v>
      </c>
      <c r="O148" s="2" t="n"/>
      <c r="P148" s="2" t="n"/>
      <c r="Q148" s="2" t="n">
        <v>30</v>
      </c>
      <c r="R148" s="2" t="n"/>
      <c r="S148" s="2" t="n"/>
      <c r="T148" s="2" t="n">
        <v>140</v>
      </c>
      <c r="U148" s="2" t="n">
        <v>10</v>
      </c>
      <c r="V148" s="2">
        <f>SUM(J148:U148)*G148</f>
        <v/>
      </c>
      <c r="W148" s="2">
        <f>MAX(J148:U148)</f>
        <v/>
      </c>
      <c r="X148" s="2">
        <f>W148*G148</f>
        <v/>
      </c>
    </row>
    <row r="149">
      <c r="A149" s="2" t="inlineStr">
        <is>
          <t>14-D-458</t>
        </is>
      </c>
      <c r="B149" s="3" t="inlineStr">
        <is>
          <t>DOJC-SM-SC/PC-SC/APC</t>
        </is>
      </c>
      <c r="C149" s="2" t="inlineStr">
        <is>
          <t>4M</t>
        </is>
      </c>
      <c r="D149" s="2" t="inlineStr">
        <is>
          <t>a1</t>
        </is>
      </c>
      <c r="E149" s="2" t="inlineStr">
        <is>
          <t>2.0mm</t>
        </is>
      </c>
      <c r="F149" s="2" t="n">
        <v>2</v>
      </c>
      <c r="G149" s="2" t="n">
        <v>4</v>
      </c>
      <c r="H149" s="2" t="inlineStr">
        <is>
          <t>SC/PC</t>
        </is>
      </c>
      <c r="I149" s="2" t="inlineStr">
        <is>
          <t>SC/APC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>
        <v>400</v>
      </c>
      <c r="U149" s="2" t="n"/>
      <c r="V149" s="2">
        <f>SUM(J149:U149)*G149</f>
        <v/>
      </c>
      <c r="W149" s="2">
        <f>MAX(J149:U149)</f>
        <v/>
      </c>
      <c r="X149" s="2">
        <f>W149*G149</f>
        <v/>
      </c>
    </row>
    <row r="150">
      <c r="A150" s="2" t="inlineStr">
        <is>
          <t>14-D-466</t>
        </is>
      </c>
      <c r="B150" s="3" t="inlineStr">
        <is>
          <t>DOJC-SM-SC/PC-SC/PC</t>
        </is>
      </c>
      <c r="C150" s="2" t="inlineStr">
        <is>
          <t>15M</t>
        </is>
      </c>
      <c r="D150" s="2" t="inlineStr">
        <is>
          <t>a1</t>
        </is>
      </c>
      <c r="E150" s="2" t="inlineStr">
        <is>
          <t>2.0mm</t>
        </is>
      </c>
      <c r="F150" s="2" t="n">
        <v>2</v>
      </c>
      <c r="G150" s="2" t="n">
        <v>15</v>
      </c>
      <c r="H150" s="2" t="inlineStr">
        <is>
          <t>SC/PC</t>
        </is>
      </c>
      <c r="I150" s="2" t="inlineStr">
        <is>
          <t>SC/PC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>
        <v>17</v>
      </c>
      <c r="V150" s="2">
        <f>SUM(J150:U150)*G150</f>
        <v/>
      </c>
      <c r="W150" s="2">
        <f>MAX(J150:U150)</f>
        <v/>
      </c>
      <c r="X150" s="2">
        <f>W150*G150</f>
        <v/>
      </c>
    </row>
    <row r="151">
      <c r="A151" s="2" t="inlineStr">
        <is>
          <t>14-D-471</t>
        </is>
      </c>
      <c r="B151" s="3" t="inlineStr">
        <is>
          <t>DOJC-SM-SC/PC-SC/PC</t>
        </is>
      </c>
      <c r="C151" s="2" t="inlineStr">
        <is>
          <t>2M</t>
        </is>
      </c>
      <c r="D151" s="2" t="inlineStr">
        <is>
          <t>a1</t>
        </is>
      </c>
      <c r="E151" s="2" t="inlineStr">
        <is>
          <t>2.0mm</t>
        </is>
      </c>
      <c r="F151" s="2" t="n">
        <v>2</v>
      </c>
      <c r="G151" s="2" t="n">
        <v>2</v>
      </c>
      <c r="H151" s="2" t="inlineStr">
        <is>
          <t>SC/PC</t>
        </is>
      </c>
      <c r="I151" s="2" t="inlineStr">
        <is>
          <t>SC/PC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>
        <v>50</v>
      </c>
      <c r="U151" s="2" t="n"/>
      <c r="V151" s="2">
        <f>SUM(J151:U151)*G151</f>
        <v/>
      </c>
      <c r="W151" s="2">
        <f>MAX(J151:U151)</f>
        <v/>
      </c>
      <c r="X151" s="2">
        <f>W151*G151</f>
        <v/>
      </c>
    </row>
    <row r="152">
      <c r="A152" s="2" t="inlineStr">
        <is>
          <t>14-D-474</t>
        </is>
      </c>
      <c r="B152" s="3" t="inlineStr">
        <is>
          <t>DOJC-SM-SC/PC-SC/PC</t>
        </is>
      </c>
      <c r="C152" s="2" t="inlineStr">
        <is>
          <t>3M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3</v>
      </c>
      <c r="H152" s="2" t="inlineStr">
        <is>
          <t>SC/PC</t>
        </is>
      </c>
      <c r="I152" s="2" t="inlineStr">
        <is>
          <t>SC/PC</t>
        </is>
      </c>
      <c r="J152" s="2" t="n"/>
      <c r="K152" s="2" t="n"/>
      <c r="L152" s="2" t="n"/>
      <c r="M152" s="2" t="n"/>
      <c r="N152" s="2" t="n">
        <v>50</v>
      </c>
      <c r="O152" s="2" t="n">
        <v>100</v>
      </c>
      <c r="P152" s="2" t="n"/>
      <c r="Q152" s="2" t="n">
        <v>30</v>
      </c>
      <c r="R152" s="2" t="n"/>
      <c r="S152" s="2" t="n"/>
      <c r="T152" s="2" t="n"/>
      <c r="U152" s="2" t="n"/>
      <c r="V152" s="2">
        <f>SUM(J152:U152)*G152</f>
        <v/>
      </c>
      <c r="W152" s="2">
        <f>MAX(J152:U152)</f>
        <v/>
      </c>
      <c r="X152" s="2">
        <f>W152*G152</f>
        <v/>
      </c>
    </row>
    <row r="153">
      <c r="A153" s="2" t="inlineStr">
        <is>
          <t>14-D-481</t>
        </is>
      </c>
      <c r="B153" s="3" t="inlineStr">
        <is>
          <t>DOJC-SM-SC/PC-SC/PC</t>
        </is>
      </c>
      <c r="C153" s="2" t="inlineStr">
        <is>
          <t>5M</t>
        </is>
      </c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5</v>
      </c>
      <c r="H153" s="2" t="inlineStr">
        <is>
          <t>SC/PC</t>
        </is>
      </c>
      <c r="I153" s="2" t="inlineStr">
        <is>
          <t>SC/PC</t>
        </is>
      </c>
      <c r="J153" s="2" t="n">
        <v>20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>
        <f>SUM(J153:U153)*G153</f>
        <v/>
      </c>
      <c r="W153" s="2">
        <f>MAX(J153:U153)</f>
        <v/>
      </c>
      <c r="X153" s="2">
        <f>W153*G153</f>
        <v/>
      </c>
    </row>
    <row r="154">
      <c r="A154" s="2" t="inlineStr">
        <is>
          <t>14-D-484</t>
        </is>
      </c>
      <c r="B154" s="3" t="inlineStr">
        <is>
          <t>DOJC-SM-SC/PC-SC/PC</t>
        </is>
      </c>
      <c r="C154" s="2" t="inlineStr">
        <is>
          <t>70M</t>
        </is>
      </c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70</v>
      </c>
      <c r="H154" s="2" t="inlineStr">
        <is>
          <t>SC/PC</t>
        </is>
      </c>
      <c r="I154" s="2" t="inlineStr">
        <is>
          <t>SC/PC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>
        <v>1</v>
      </c>
      <c r="T154" s="2" t="n"/>
      <c r="U154" s="2" t="n"/>
      <c r="V154" s="2">
        <f>SUM(J154:U154)*G154</f>
        <v/>
      </c>
      <c r="W154" s="2">
        <f>MAX(J154:U154)</f>
        <v/>
      </c>
      <c r="X154" s="2">
        <f>W154*G154</f>
        <v/>
      </c>
    </row>
    <row r="155">
      <c r="A155" s="2" t="inlineStr">
        <is>
          <t>14-D-575</t>
        </is>
      </c>
      <c r="B155" s="3" t="inlineStr">
        <is>
          <t>DOJC-MM(OM3)-LC/PC-LC/PC</t>
        </is>
      </c>
      <c r="C155" s="2" t="inlineStr">
        <is>
          <t>2M</t>
        </is>
      </c>
      <c r="D155" s="2" t="inlineStr">
        <is>
          <t>om3</t>
        </is>
      </c>
      <c r="E155" s="2" t="inlineStr">
        <is>
          <t>2.0mm</t>
        </is>
      </c>
      <c r="F155" s="2" t="n">
        <v>2</v>
      </c>
      <c r="G155" s="2" t="n">
        <v>2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2</v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>
        <f>SUM(J155:U155)*G155</f>
        <v/>
      </c>
      <c r="W155" s="2">
        <f>MAX(J155:U155)</f>
        <v/>
      </c>
      <c r="X155" s="2">
        <f>W155*G155</f>
        <v/>
      </c>
    </row>
    <row r="156">
      <c r="A156" s="2" t="inlineStr">
        <is>
          <t>14-D-579</t>
        </is>
      </c>
      <c r="B156" s="3" t="inlineStr">
        <is>
          <t>DOJC-MM(OM3)-LC/PC-SC/PC</t>
        </is>
      </c>
      <c r="C156" s="2" t="inlineStr">
        <is>
          <t>25M</t>
        </is>
      </c>
      <c r="D156" s="2" t="inlineStr">
        <is>
          <t>om3</t>
        </is>
      </c>
      <c r="E156" s="2" t="inlineStr">
        <is>
          <t>2.0mm</t>
        </is>
      </c>
      <c r="F156" s="2" t="n">
        <v>2</v>
      </c>
      <c r="G156" s="2" t="n">
        <v>25</v>
      </c>
      <c r="H156" s="2" t="inlineStr">
        <is>
          <t>LC/PC</t>
        </is>
      </c>
      <c r="I156" s="2" t="inlineStr">
        <is>
          <t>SC/PC</t>
        </is>
      </c>
      <c r="J156" s="2" t="n"/>
      <c r="K156" s="2" t="n"/>
      <c r="L156" s="2" t="n">
        <v>4</v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SUM(J156:U156)*G156</f>
        <v/>
      </c>
      <c r="W156" s="2">
        <f>MAX(J156:U156)</f>
        <v/>
      </c>
      <c r="X156" s="2">
        <f>W156*G156</f>
        <v/>
      </c>
    </row>
    <row r="157">
      <c r="A157" s="2" t="inlineStr">
        <is>
          <t>14-D-601</t>
        </is>
      </c>
      <c r="B157" s="3" t="inlineStr">
        <is>
          <t>DOJC-SM-LC/PC-SC/PC</t>
        </is>
      </c>
      <c r="C157" s="2" t="inlineStr">
        <is>
          <t>0.3M</t>
        </is>
      </c>
      <c r="D157" s="2" t="inlineStr">
        <is>
          <t>a1</t>
        </is>
      </c>
      <c r="E157" s="2" t="inlineStr">
        <is>
          <t>2.0mm</t>
        </is>
      </c>
      <c r="F157" s="2" t="n">
        <v>2</v>
      </c>
      <c r="G157" s="2" t="n">
        <v>0.3</v>
      </c>
      <c r="H157" s="2" t="inlineStr">
        <is>
          <t>LC/PC</t>
        </is>
      </c>
      <c r="I157" s="2" t="inlineStr">
        <is>
          <t>SC/PC</t>
        </is>
      </c>
      <c r="J157" s="2" t="n">
        <v>5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>
        <f>SUM(J157:U157)*G157</f>
        <v/>
      </c>
      <c r="W157" s="2">
        <f>MAX(J157:U157)</f>
        <v/>
      </c>
      <c r="X157" s="2">
        <f>W157*G157</f>
        <v/>
      </c>
    </row>
    <row r="158">
      <c r="A158" s="2" t="inlineStr">
        <is>
          <t>14-D-603</t>
        </is>
      </c>
      <c r="B158" s="3" t="inlineStr">
        <is>
          <t>DOJC-MM(OM3)-LC/PC-LC/PC</t>
        </is>
      </c>
      <c r="C158" s="2" t="inlineStr">
        <is>
          <t>8M</t>
        </is>
      </c>
      <c r="D158" s="2" t="inlineStr">
        <is>
          <t>om3</t>
        </is>
      </c>
      <c r="E158" s="2" t="inlineStr">
        <is>
          <t>2.0mm</t>
        </is>
      </c>
      <c r="F158" s="2" t="n">
        <v>2</v>
      </c>
      <c r="G158" s="2" t="n">
        <v>8</v>
      </c>
      <c r="H158" s="2" t="inlineStr">
        <is>
          <t>LC/PC</t>
        </is>
      </c>
      <c r="I158" s="2" t="inlineStr">
        <is>
          <t>LC/PC</t>
        </is>
      </c>
      <c r="J158" s="2" t="n">
        <v>4</v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>
        <f>SUM(J158:U158)*G158</f>
        <v/>
      </c>
      <c r="W158" s="2">
        <f>MAX(J158:U158)</f>
        <v/>
      </c>
      <c r="X158" s="2">
        <f>W158*G158</f>
        <v/>
      </c>
    </row>
    <row r="159">
      <c r="A159" s="2" t="inlineStr">
        <is>
          <t>14-D-644</t>
        </is>
      </c>
      <c r="B159" s="3" t="inlineStr">
        <is>
          <t>DOJC-MM-LC/PC-LC/PC</t>
        </is>
      </c>
      <c r="C159" s="2" t="inlineStr">
        <is>
          <t>22M</t>
        </is>
      </c>
      <c r="D159" s="2" t="inlineStr">
        <is>
          <t>om1</t>
        </is>
      </c>
      <c r="E159" s="2" t="inlineStr">
        <is>
          <t>2.0mm</t>
        </is>
      </c>
      <c r="F159" s="2" t="n">
        <v>2</v>
      </c>
      <c r="G159" s="2" t="n">
        <v>22</v>
      </c>
      <c r="H159" s="2" t="inlineStr">
        <is>
          <t>LC/PC</t>
        </is>
      </c>
      <c r="I159" s="2" t="inlineStr">
        <is>
          <t>LC/PC</t>
        </is>
      </c>
      <c r="J159" s="2" t="n"/>
      <c r="K159" s="2" t="n"/>
      <c r="L159" s="2" t="n">
        <v>18</v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>
        <f>SUM(J159:U159)*G159</f>
        <v/>
      </c>
      <c r="W159" s="2">
        <f>MAX(J159:U159)</f>
        <v/>
      </c>
      <c r="X159" s="2">
        <f>W159*G159</f>
        <v/>
      </c>
    </row>
    <row r="160">
      <c r="A160" s="2" t="inlineStr">
        <is>
          <t>14-D-651</t>
        </is>
      </c>
      <c r="B160" s="3" t="inlineStr">
        <is>
          <t>DOJC-SM-ST/PC-SC/PC</t>
        </is>
      </c>
      <c r="C160" s="2" t="inlineStr">
        <is>
          <t>2M</t>
        </is>
      </c>
      <c r="D160" s="2" t="inlineStr">
        <is>
          <t>a1</t>
        </is>
      </c>
      <c r="E160" s="2" t="inlineStr">
        <is>
          <t>2.0mm</t>
        </is>
      </c>
      <c r="F160" s="2" t="n">
        <v>2</v>
      </c>
      <c r="G160" s="2" t="n">
        <v>2</v>
      </c>
      <c r="H160" s="2" t="inlineStr">
        <is>
          <t>SC/PC</t>
        </is>
      </c>
      <c r="I160" s="2" t="inlineStr">
        <is>
          <t>SC/PC</t>
        </is>
      </c>
      <c r="J160" s="2" t="n"/>
      <c r="K160" s="2" t="n"/>
      <c r="L160" s="2" t="n"/>
      <c r="M160" s="2" t="n"/>
      <c r="N160" s="2" t="n"/>
      <c r="O160" s="2" t="n">
        <v>30</v>
      </c>
      <c r="P160" s="2" t="n"/>
      <c r="Q160" s="2" t="n"/>
      <c r="R160" s="2" t="n"/>
      <c r="S160" s="2" t="n"/>
      <c r="T160" s="2" t="n"/>
      <c r="U160" s="2" t="n"/>
      <c r="V160" s="2">
        <f>SUM(J160:U160)*G160</f>
        <v/>
      </c>
      <c r="W160" s="2">
        <f>MAX(J160:U160)</f>
        <v/>
      </c>
      <c r="X160" s="2">
        <f>W160*G160</f>
        <v/>
      </c>
    </row>
    <row r="161">
      <c r="A161" s="2" t="inlineStr">
        <is>
          <t>14-D-659</t>
        </is>
      </c>
      <c r="B161" s="3" t="inlineStr">
        <is>
          <t>DOJC-SM-LC/PC-SC/PC</t>
        </is>
      </c>
      <c r="C161" s="2" t="inlineStr">
        <is>
          <t>15M_적색케이블</t>
        </is>
      </c>
      <c r="D161" s="2" t="inlineStr">
        <is>
          <t>a1-적</t>
        </is>
      </c>
      <c r="E161" s="2" t="inlineStr">
        <is>
          <t>2.0mm</t>
        </is>
      </c>
      <c r="F161" s="2" t="n">
        <v>2</v>
      </c>
      <c r="G161" s="2" t="n">
        <v>15</v>
      </c>
      <c r="H161" s="2" t="inlineStr">
        <is>
          <t>LC/PC</t>
        </is>
      </c>
      <c r="I161" s="2" t="inlineStr">
        <is>
          <t>SC/PC</t>
        </is>
      </c>
      <c r="J161" s="2" t="n"/>
      <c r="K161" s="2" t="n">
        <v>20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>
        <f>SUM(J161:U161)*G161</f>
        <v/>
      </c>
      <c r="W161" s="2">
        <f>MAX(J161:U161)</f>
        <v/>
      </c>
      <c r="X161" s="2">
        <f>W161*G161</f>
        <v/>
      </c>
    </row>
    <row r="162">
      <c r="A162" s="2" t="inlineStr">
        <is>
          <t>14-D-660</t>
        </is>
      </c>
      <c r="B162" s="3" t="inlineStr">
        <is>
          <t>DOJC-SM-LC/PC-SC/PC</t>
        </is>
      </c>
      <c r="C162" s="2" t="inlineStr">
        <is>
          <t>20M_적색케이블</t>
        </is>
      </c>
      <c r="D162" s="2" t="inlineStr">
        <is>
          <t>a1-적</t>
        </is>
      </c>
      <c r="E162" s="2" t="inlineStr">
        <is>
          <t>2.0mm</t>
        </is>
      </c>
      <c r="F162" s="2" t="n">
        <v>2</v>
      </c>
      <c r="G162" s="2" t="n">
        <v>20</v>
      </c>
      <c r="H162" s="2" t="inlineStr">
        <is>
          <t>LC/PC</t>
        </is>
      </c>
      <c r="I162" s="2" t="inlineStr">
        <is>
          <t>SC/PC</t>
        </is>
      </c>
      <c r="J162" s="2" t="n"/>
      <c r="K162" s="2" t="n">
        <v>20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>
        <f>SUM(J162:U162)*G162</f>
        <v/>
      </c>
      <c r="W162" s="2">
        <f>MAX(J162:U162)</f>
        <v/>
      </c>
      <c r="X162" s="2">
        <f>W162*G162</f>
        <v/>
      </c>
    </row>
    <row r="163">
      <c r="A163" s="2" t="inlineStr">
        <is>
          <t>14-D-661</t>
        </is>
      </c>
      <c r="B163" s="3" t="inlineStr">
        <is>
          <t>DOJC-SM-LC/PC-SC/PC</t>
        </is>
      </c>
      <c r="C163" s="2" t="inlineStr">
        <is>
          <t>30M_적색케이블</t>
        </is>
      </c>
      <c r="D163" s="2" t="inlineStr">
        <is>
          <t>a1-적</t>
        </is>
      </c>
      <c r="E163" s="2" t="inlineStr">
        <is>
          <t>2.0mm</t>
        </is>
      </c>
      <c r="F163" s="2" t="n">
        <v>2</v>
      </c>
      <c r="G163" s="2" t="n">
        <v>30</v>
      </c>
      <c r="H163" s="2" t="inlineStr">
        <is>
          <t>LC/PC</t>
        </is>
      </c>
      <c r="I163" s="2" t="inlineStr">
        <is>
          <t>SC/PC</t>
        </is>
      </c>
      <c r="J163" s="2" t="n"/>
      <c r="K163" s="2" t="n">
        <v>10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>
        <f>SUM(J163:U163)*G163</f>
        <v/>
      </c>
      <c r="W163" s="2">
        <f>MAX(J163:U163)</f>
        <v/>
      </c>
      <c r="X163" s="2">
        <f>W163*G163</f>
        <v/>
      </c>
    </row>
    <row r="164">
      <c r="A164" s="2" t="inlineStr">
        <is>
          <t>14-D-662</t>
        </is>
      </c>
      <c r="B164" s="3" t="inlineStr">
        <is>
          <t>DOJC-SM-LC/PC-LC/PC</t>
        </is>
      </c>
      <c r="C164" s="2" t="inlineStr">
        <is>
          <t>20M_적색케이블</t>
        </is>
      </c>
      <c r="D164" s="2" t="inlineStr">
        <is>
          <t>a1-적</t>
        </is>
      </c>
      <c r="E164" s="2" t="inlineStr">
        <is>
          <t>2.0mm</t>
        </is>
      </c>
      <c r="F164" s="2" t="n">
        <v>2</v>
      </c>
      <c r="G164" s="2" t="n">
        <v>20</v>
      </c>
      <c r="H164" s="2" t="inlineStr">
        <is>
          <t>LC/PC</t>
        </is>
      </c>
      <c r="I164" s="2" t="inlineStr">
        <is>
          <t>LC/PC</t>
        </is>
      </c>
      <c r="J164" s="2" t="n"/>
      <c r="K164" s="2" t="n">
        <v>20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SUM(J164:U164)*G164</f>
        <v/>
      </c>
      <c r="W164" s="2">
        <f>MAX(J164:U164)</f>
        <v/>
      </c>
      <c r="X164" s="2">
        <f>W164*G164</f>
        <v/>
      </c>
    </row>
    <row r="165">
      <c r="A165" s="2" t="inlineStr">
        <is>
          <t>14-D-678</t>
        </is>
      </c>
      <c r="B165" s="3" t="inlineStr">
        <is>
          <t>DOJC-SM-ST/PC-SC/PC</t>
        </is>
      </c>
      <c r="C165" s="2" t="inlineStr">
        <is>
          <t>30M</t>
        </is>
      </c>
      <c r="D165" s="2" t="inlineStr">
        <is>
          <t>a1</t>
        </is>
      </c>
      <c r="E165" s="2" t="inlineStr">
        <is>
          <t>2.0mm</t>
        </is>
      </c>
      <c r="F165" s="2" t="n">
        <v>2</v>
      </c>
      <c r="G165" s="2" t="n">
        <v>30</v>
      </c>
      <c r="H165" s="2" t="inlineStr">
        <is>
          <t>SC/PC</t>
        </is>
      </c>
      <c r="I165" s="2" t="inlineStr">
        <is>
          <t>SC/PC</t>
        </is>
      </c>
      <c r="J165" s="2" t="n"/>
      <c r="K165" s="2" t="n"/>
      <c r="L165" s="2" t="n"/>
      <c r="M165" s="2" t="n">
        <v>2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>
        <f>SUM(J165:U165)*G165</f>
        <v/>
      </c>
      <c r="W165" s="2">
        <f>MAX(J165:U165)</f>
        <v/>
      </c>
      <c r="X165" s="2">
        <f>W165*G165</f>
        <v/>
      </c>
    </row>
    <row r="166">
      <c r="A166" s="2" t="inlineStr">
        <is>
          <t>14-D-696</t>
        </is>
      </c>
      <c r="B166" s="3" t="inlineStr">
        <is>
          <t>DOJC-MM(OM3)-LC/PC-LC/PC</t>
        </is>
      </c>
      <c r="C166" s="2" t="inlineStr">
        <is>
          <t>1M</t>
        </is>
      </c>
      <c r="D166" s="2" t="inlineStr">
        <is>
          <t>om3</t>
        </is>
      </c>
      <c r="E166" s="2" t="inlineStr">
        <is>
          <t>2.0mm</t>
        </is>
      </c>
      <c r="F166" s="2" t="n">
        <v>2</v>
      </c>
      <c r="G166" s="2" t="n">
        <v>1</v>
      </c>
      <c r="H166" s="2" t="inlineStr">
        <is>
          <t>LC/PC</t>
        </is>
      </c>
      <c r="I166" s="2" t="inlineStr">
        <is>
          <t>LC/PC</t>
        </is>
      </c>
      <c r="J166" s="2" t="n"/>
      <c r="K166" s="2" t="n"/>
      <c r="L166" s="2" t="n">
        <v>10</v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>
        <f>SUM(J166:U166)*G166</f>
        <v/>
      </c>
      <c r="W166" s="2">
        <f>MAX(J166:U166)</f>
        <v/>
      </c>
      <c r="X166" s="2">
        <f>W166*G166</f>
        <v/>
      </c>
    </row>
    <row r="167">
      <c r="A167" s="2" t="inlineStr">
        <is>
          <t>14-D-707</t>
        </is>
      </c>
      <c r="B167" s="3" t="inlineStr">
        <is>
          <t>DOJC-MM(OM3)-LC/PC-SC/PC</t>
        </is>
      </c>
      <c r="C167" s="2" t="inlineStr">
        <is>
          <t>3M</t>
        </is>
      </c>
      <c r="D167" s="2" t="inlineStr">
        <is>
          <t>om3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SC/PC</t>
        </is>
      </c>
      <c r="J167" s="2" t="n"/>
      <c r="K167" s="2" t="n">
        <v>124</v>
      </c>
      <c r="L167" s="2" t="n">
        <v>200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>
        <f>SUM(J167:U167)*G167</f>
        <v/>
      </c>
      <c r="W167" s="2">
        <f>MAX(J167:U167)</f>
        <v/>
      </c>
      <c r="X167" s="2">
        <f>W167*G167</f>
        <v/>
      </c>
    </row>
    <row r="168">
      <c r="A168" s="2" t="inlineStr">
        <is>
          <t>14-D-710</t>
        </is>
      </c>
      <c r="B168" s="3" t="inlineStr">
        <is>
          <t>DOJC-SM-LC/PC-FC/APC</t>
        </is>
      </c>
      <c r="C168" s="2" t="inlineStr">
        <is>
          <t>20M_적색케이블</t>
        </is>
      </c>
      <c r="D168" s="2" t="inlineStr">
        <is>
          <t>a1-적</t>
        </is>
      </c>
      <c r="E168" s="2" t="inlineStr">
        <is>
          <t>2.0mm</t>
        </is>
      </c>
      <c r="F168" s="2" t="n">
        <v>2</v>
      </c>
      <c r="G168" s="2" t="n">
        <v>20</v>
      </c>
      <c r="H168" s="2" t="inlineStr">
        <is>
          <t>LC/PC</t>
        </is>
      </c>
      <c r="I168" s="2" t="inlineStr">
        <is>
          <t>FC/APC</t>
        </is>
      </c>
      <c r="J168" s="2" t="n"/>
      <c r="K168" s="2" t="n">
        <v>10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>
        <f>SUM(J168:U168)*G168</f>
        <v/>
      </c>
      <c r="W168" s="2">
        <f>MAX(J168:U168)</f>
        <v/>
      </c>
      <c r="X168" s="2">
        <f>W168*G168</f>
        <v/>
      </c>
    </row>
    <row r="169">
      <c r="A169" s="2" t="inlineStr">
        <is>
          <t>14-D-725</t>
        </is>
      </c>
      <c r="B169" s="3" t="inlineStr">
        <is>
          <t>DOJC-SM-SC/PC-SC/PC</t>
        </is>
      </c>
      <c r="C169" s="2" t="inlineStr">
        <is>
          <t>10M_녹색케이블</t>
        </is>
      </c>
      <c r="D169" s="2" t="inlineStr">
        <is>
          <t>a1-녹</t>
        </is>
      </c>
      <c r="E169" s="2" t="inlineStr">
        <is>
          <t>2.0mm</t>
        </is>
      </c>
      <c r="F169" s="2" t="n">
        <v>2</v>
      </c>
      <c r="G169" s="2" t="n">
        <v>10</v>
      </c>
      <c r="H169" s="2" t="inlineStr">
        <is>
          <t>SC/PC</t>
        </is>
      </c>
      <c r="I169" s="2" t="inlineStr">
        <is>
          <t>SC/PC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>
        <v>12</v>
      </c>
      <c r="V169" s="2">
        <f>SUM(J169:U169)*G169</f>
        <v/>
      </c>
      <c r="W169" s="2">
        <f>MAX(J169:U169)</f>
        <v/>
      </c>
      <c r="X169" s="2">
        <f>W169*G169</f>
        <v/>
      </c>
    </row>
    <row r="170">
      <c r="A170" s="2" t="inlineStr">
        <is>
          <t>14-D-732</t>
        </is>
      </c>
      <c r="B170" s="3" t="inlineStr">
        <is>
          <t>DOJC-SM-LC/PC-LC/PC</t>
        </is>
      </c>
      <c r="C170" s="2" t="inlineStr">
        <is>
          <t>15M_청색케이블</t>
        </is>
      </c>
      <c r="D170" s="2" t="inlineStr">
        <is>
          <t>a1-청</t>
        </is>
      </c>
      <c r="E170" s="2" t="inlineStr">
        <is>
          <t>2.0mm</t>
        </is>
      </c>
      <c r="F170" s="2" t="n">
        <v>2</v>
      </c>
      <c r="G170" s="2" t="n">
        <v>15</v>
      </c>
      <c r="H170" s="2" t="inlineStr">
        <is>
          <t>LC/PC</t>
        </is>
      </c>
      <c r="I170" s="2" t="inlineStr">
        <is>
          <t>LC/PC</t>
        </is>
      </c>
      <c r="J170" s="2" t="n"/>
      <c r="K170" s="2" t="n">
        <v>60</v>
      </c>
      <c r="L170" s="2" t="n"/>
      <c r="M170" s="2" t="n"/>
      <c r="N170" s="2" t="n"/>
      <c r="O170" s="2" t="n"/>
      <c r="P170" s="2" t="n">
        <v>30</v>
      </c>
      <c r="Q170" s="2" t="n"/>
      <c r="R170" s="2" t="n"/>
      <c r="S170" s="2" t="n"/>
      <c r="T170" s="2" t="n"/>
      <c r="U170" s="2" t="n"/>
      <c r="V170" s="2">
        <f>SUM(J170:U170)*G170</f>
        <v/>
      </c>
      <c r="W170" s="2">
        <f>MAX(J170:U170)</f>
        <v/>
      </c>
      <c r="X170" s="2">
        <f>W170*G170</f>
        <v/>
      </c>
    </row>
    <row r="171">
      <c r="A171" s="2" t="inlineStr">
        <is>
          <t>14-D-733</t>
        </is>
      </c>
      <c r="B171" s="3" t="inlineStr">
        <is>
          <t>DOJC-SM-LC/PC-LC/PC</t>
        </is>
      </c>
      <c r="C171" s="2" t="inlineStr">
        <is>
          <t>20M_청색케이블</t>
        </is>
      </c>
      <c r="D171" s="2" t="inlineStr">
        <is>
          <t>a1-청</t>
        </is>
      </c>
      <c r="E171" s="2" t="inlineStr">
        <is>
          <t>2.0mm</t>
        </is>
      </c>
      <c r="F171" s="2" t="n">
        <v>2</v>
      </c>
      <c r="G171" s="2" t="n">
        <v>20</v>
      </c>
      <c r="H171" s="2" t="inlineStr">
        <is>
          <t>LC/PC</t>
        </is>
      </c>
      <c r="I171" s="2" t="inlineStr">
        <is>
          <t>LC/PC</t>
        </is>
      </c>
      <c r="J171" s="2" t="n">
        <v>30</v>
      </c>
      <c r="K171" s="2" t="n">
        <v>60</v>
      </c>
      <c r="L171" s="2" t="n"/>
      <c r="M171" s="2" t="n"/>
      <c r="N171" s="2" t="n"/>
      <c r="O171" s="2" t="n"/>
      <c r="P171" s="2" t="n">
        <v>30</v>
      </c>
      <c r="Q171" s="2" t="n"/>
      <c r="R171" s="2" t="n"/>
      <c r="S171" s="2" t="n"/>
      <c r="T171" s="2" t="n"/>
      <c r="U171" s="2" t="n"/>
      <c r="V171" s="2">
        <f>SUM(J171:U171)*G171</f>
        <v/>
      </c>
      <c r="W171" s="2">
        <f>MAX(J171:U171)</f>
        <v/>
      </c>
      <c r="X171" s="2">
        <f>W171*G171</f>
        <v/>
      </c>
    </row>
    <row r="172">
      <c r="A172" s="2" t="inlineStr">
        <is>
          <t>14-D-734</t>
        </is>
      </c>
      <c r="B172" s="3" t="inlineStr">
        <is>
          <t>DOJC-SM-LC/PC-LC/PC</t>
        </is>
      </c>
      <c r="C172" s="2" t="inlineStr">
        <is>
          <t>25M_청색케이블</t>
        </is>
      </c>
      <c r="D172" s="2" t="inlineStr">
        <is>
          <t>a1-청</t>
        </is>
      </c>
      <c r="E172" s="2" t="inlineStr">
        <is>
          <t>2.0mm</t>
        </is>
      </c>
      <c r="F172" s="2" t="n">
        <v>2</v>
      </c>
      <c r="G172" s="2" t="n">
        <v>25</v>
      </c>
      <c r="H172" s="2" t="inlineStr">
        <is>
          <t>LC/PC</t>
        </is>
      </c>
      <c r="I172" s="2" t="inlineStr">
        <is>
          <t>LC/PC</t>
        </is>
      </c>
      <c r="J172" s="2" t="n">
        <v>30</v>
      </c>
      <c r="K172" s="2" t="n"/>
      <c r="L172" s="2" t="n"/>
      <c r="M172" s="2" t="n"/>
      <c r="N172" s="2" t="n"/>
      <c r="O172" s="2" t="n"/>
      <c r="P172" s="2" t="n">
        <v>30</v>
      </c>
      <c r="Q172" s="2" t="n"/>
      <c r="R172" s="2" t="n"/>
      <c r="S172" s="2" t="n"/>
      <c r="T172" s="2" t="n"/>
      <c r="U172" s="2" t="n"/>
      <c r="V172" s="2">
        <f>SUM(J172:U172)*G172</f>
        <v/>
      </c>
      <c r="W172" s="2">
        <f>MAX(J172:U172)</f>
        <v/>
      </c>
      <c r="X172" s="2">
        <f>W172*G172</f>
        <v/>
      </c>
    </row>
    <row r="173">
      <c r="A173" s="2" t="inlineStr">
        <is>
          <t>14-D-735</t>
        </is>
      </c>
      <c r="B173" s="3" t="inlineStr">
        <is>
          <t>DOJC-SM-LC/PC-LC/PC</t>
        </is>
      </c>
      <c r="C173" s="2" t="inlineStr">
        <is>
          <t>35M_청색케이블</t>
        </is>
      </c>
      <c r="D173" s="2" t="inlineStr">
        <is>
          <t>a1-청</t>
        </is>
      </c>
      <c r="E173" s="2" t="inlineStr">
        <is>
          <t>2.0mm</t>
        </is>
      </c>
      <c r="F173" s="2" t="n">
        <v>2</v>
      </c>
      <c r="G173" s="2" t="n">
        <v>35</v>
      </c>
      <c r="H173" s="2" t="inlineStr">
        <is>
          <t>LC/PC</t>
        </is>
      </c>
      <c r="I173" s="2" t="inlineStr">
        <is>
          <t>LC/PC</t>
        </is>
      </c>
      <c r="J173" s="2" t="n">
        <v>10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SUM(J173:U173)*G173</f>
        <v/>
      </c>
      <c r="W173" s="2">
        <f>MAX(J173:U173)</f>
        <v/>
      </c>
      <c r="X173" s="2">
        <f>W173*G173</f>
        <v/>
      </c>
    </row>
    <row r="174">
      <c r="A174" s="2" t="inlineStr">
        <is>
          <t>14-D-768</t>
        </is>
      </c>
      <c r="B174" s="3" t="inlineStr">
        <is>
          <t>DOJC-SM-LC/PC-LC/PC</t>
        </is>
      </c>
      <c r="C174" s="2" t="inlineStr">
        <is>
          <t>30M_청색케이블</t>
        </is>
      </c>
      <c r="D174" s="2" t="inlineStr">
        <is>
          <t>a1-청</t>
        </is>
      </c>
      <c r="E174" s="2" t="inlineStr">
        <is>
          <t>2.0mm</t>
        </is>
      </c>
      <c r="F174" s="2" t="n">
        <v>2</v>
      </c>
      <c r="G174" s="2" t="n">
        <v>30</v>
      </c>
      <c r="H174" s="2" t="inlineStr">
        <is>
          <t>LC/PC</t>
        </is>
      </c>
      <c r="I174" s="2" t="inlineStr">
        <is>
          <t>LC/PC</t>
        </is>
      </c>
      <c r="J174" s="2" t="n"/>
      <c r="K174" s="2" t="n">
        <v>10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>
        <f>SUM(J174:U174)*G174</f>
        <v/>
      </c>
      <c r="W174" s="2">
        <f>MAX(J174:U174)</f>
        <v/>
      </c>
      <c r="X174" s="2">
        <f>W174*G174</f>
        <v/>
      </c>
    </row>
    <row r="175">
      <c r="A175" s="2" t="inlineStr">
        <is>
          <t>14-D-891</t>
        </is>
      </c>
      <c r="B175" s="3" t="inlineStr">
        <is>
          <t>DOJC-SM-LC/APC-LC/APC</t>
        </is>
      </c>
      <c r="C175" s="2" t="inlineStr">
        <is>
          <t>3M</t>
        </is>
      </c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3</v>
      </c>
      <c r="H175" s="2" t="inlineStr">
        <is>
          <t>LC/APC</t>
        </is>
      </c>
      <c r="I175" s="2" t="inlineStr">
        <is>
          <t>LC/APC</t>
        </is>
      </c>
      <c r="J175" s="2" t="n"/>
      <c r="K175" s="2" t="n"/>
      <c r="L175" s="2" t="n">
        <v>70</v>
      </c>
      <c r="M175" s="2" t="n"/>
      <c r="N175" s="2" t="n"/>
      <c r="O175" s="2" t="n"/>
      <c r="P175" s="2" t="n">
        <v>30</v>
      </c>
      <c r="Q175" s="2" t="n"/>
      <c r="R175" s="2" t="n"/>
      <c r="S175" s="2" t="n"/>
      <c r="T175" s="2" t="n"/>
      <c r="U175" s="2" t="n"/>
      <c r="V175" s="2">
        <f>SUM(J175:U175)*G175</f>
        <v/>
      </c>
      <c r="W175" s="2">
        <f>MAX(J175:U175)</f>
        <v/>
      </c>
      <c r="X175" s="2">
        <f>W175*G175</f>
        <v/>
      </c>
    </row>
    <row r="176">
      <c r="A176" s="2" t="inlineStr">
        <is>
          <t>14-D-A10</t>
        </is>
      </c>
      <c r="B176" s="3" t="inlineStr">
        <is>
          <t>DOJC-SM-LC/PC-LC/PC</t>
        </is>
      </c>
      <c r="C176" s="2" t="inlineStr">
        <is>
          <t>10M_청색케이블</t>
        </is>
      </c>
      <c r="D176" s="2" t="inlineStr">
        <is>
          <t>a1-청</t>
        </is>
      </c>
      <c r="E176" s="2" t="inlineStr">
        <is>
          <t>2.0mm</t>
        </is>
      </c>
      <c r="F176" s="2" t="n">
        <v>2</v>
      </c>
      <c r="G176" s="2" t="n">
        <v>10</v>
      </c>
      <c r="H176" s="2" t="inlineStr">
        <is>
          <t>LC/PC</t>
        </is>
      </c>
      <c r="I176" s="2" t="inlineStr">
        <is>
          <t>LC/PC</t>
        </is>
      </c>
      <c r="J176" s="2" t="n"/>
      <c r="K176" s="2" t="n">
        <v>20</v>
      </c>
      <c r="L176" s="2" t="n"/>
      <c r="M176" s="2" t="n"/>
      <c r="N176" s="2" t="n"/>
      <c r="O176" s="2" t="n"/>
      <c r="P176" s="2" t="n">
        <v>30</v>
      </c>
      <c r="Q176" s="2" t="n"/>
      <c r="R176" s="2" t="n"/>
      <c r="S176" s="2" t="n"/>
      <c r="T176" s="2" t="n"/>
      <c r="U176" s="2" t="n"/>
      <c r="V176" s="2">
        <f>SUM(J176:U176)*G176</f>
        <v/>
      </c>
      <c r="W176" s="2">
        <f>MAX(J176:U176)</f>
        <v/>
      </c>
      <c r="X176" s="2">
        <f>W176*G176</f>
        <v/>
      </c>
    </row>
    <row r="177">
      <c r="A177" s="2" t="inlineStr">
        <is>
          <t>14-D-A100</t>
        </is>
      </c>
      <c r="B177" s="3" t="inlineStr">
        <is>
          <t>OJC-A1-SC/LC-SM-20-PC/PC-DP</t>
        </is>
      </c>
      <c r="C177" s="2" t="inlineStr">
        <is>
          <t>K9089164_녹색</t>
        </is>
      </c>
      <c r="D177" s="2" t="inlineStr">
        <is>
          <t>a1-녹</t>
        </is>
      </c>
      <c r="E177" s="2" t="inlineStr">
        <is>
          <t>2.0mm</t>
        </is>
      </c>
      <c r="F177" s="2" t="n">
        <v>2</v>
      </c>
      <c r="G177" s="2" t="n">
        <v>20</v>
      </c>
      <c r="H177" s="2" t="inlineStr">
        <is>
          <t>SC/PC</t>
        </is>
      </c>
      <c r="I177" s="2" t="inlineStr">
        <is>
          <t>LC/PC</t>
        </is>
      </c>
      <c r="J177" s="2" t="n"/>
      <c r="K177" s="2" t="n"/>
      <c r="L177" s="2" t="n"/>
      <c r="M177" s="2" t="n">
        <v>35</v>
      </c>
      <c r="N177" s="2" t="n"/>
      <c r="O177" s="2" t="n"/>
      <c r="P177" s="2" t="n">
        <v>12</v>
      </c>
      <c r="Q177" s="2" t="n"/>
      <c r="R177" s="2" t="n"/>
      <c r="S177" s="2" t="n">
        <v>4</v>
      </c>
      <c r="T177" s="2" t="n">
        <v>4</v>
      </c>
      <c r="U177" s="2" t="n">
        <v>120</v>
      </c>
      <c r="V177" s="2">
        <f>SUM(J177:U177)*G177</f>
        <v/>
      </c>
      <c r="W177" s="2">
        <f>MAX(J177:U177)</f>
        <v/>
      </c>
      <c r="X177" s="2">
        <f>W177*G177</f>
        <v/>
      </c>
    </row>
    <row r="178">
      <c r="A178" s="2" t="inlineStr">
        <is>
          <t>14-D-A102</t>
        </is>
      </c>
      <c r="B178" s="3" t="inlineStr">
        <is>
          <t>OJC-A1-LC/LC-SM-20-PC/PC-DP</t>
        </is>
      </c>
      <c r="C178" s="2" t="inlineStr">
        <is>
          <t>K9089178_녹색</t>
        </is>
      </c>
      <c r="D178" s="2" t="inlineStr">
        <is>
          <t>a1-녹</t>
        </is>
      </c>
      <c r="E178" s="2" t="inlineStr">
        <is>
          <t>2.0mm</t>
        </is>
      </c>
      <c r="F178" s="2" t="n">
        <v>2</v>
      </c>
      <c r="G178" s="2" t="n">
        <v>20</v>
      </c>
      <c r="H178" s="2" t="inlineStr">
        <is>
          <t>LC/PC</t>
        </is>
      </c>
      <c r="I178" s="2" t="inlineStr">
        <is>
          <t>LC/PC</t>
        </is>
      </c>
      <c r="J178" s="2" t="n"/>
      <c r="K178" s="2" t="n"/>
      <c r="L178" s="2" t="n"/>
      <c r="M178" s="2" t="n">
        <v>5</v>
      </c>
      <c r="N178" s="2" t="n"/>
      <c r="O178" s="2" t="n">
        <v>41</v>
      </c>
      <c r="P178" s="2" t="n"/>
      <c r="Q178" s="2" t="n"/>
      <c r="R178" s="2" t="n"/>
      <c r="S178" s="2" t="n"/>
      <c r="T178" s="2" t="n">
        <v>26</v>
      </c>
      <c r="U178" s="2" t="n">
        <v>6</v>
      </c>
      <c r="V178" s="2">
        <f>SUM(J178:U178)*G178</f>
        <v/>
      </c>
      <c r="W178" s="2">
        <f>MAX(J178:U178)</f>
        <v/>
      </c>
      <c r="X178" s="2">
        <f>W178*G178</f>
        <v/>
      </c>
    </row>
    <row r="179">
      <c r="A179" s="2" t="inlineStr">
        <is>
          <t>14-D-A104</t>
        </is>
      </c>
      <c r="B179" s="3" t="inlineStr">
        <is>
          <t>OJC-A1-SC/LC-SM-25-PC/PC-DP</t>
        </is>
      </c>
      <c r="C179" s="2" t="inlineStr">
        <is>
          <t>K9089165_녹색</t>
        </is>
      </c>
      <c r="D179" s="2" t="inlineStr">
        <is>
          <t>a1-녹</t>
        </is>
      </c>
      <c r="E179" s="2" t="inlineStr">
        <is>
          <t>2.0mm</t>
        </is>
      </c>
      <c r="F179" s="2" t="n">
        <v>2</v>
      </c>
      <c r="G179" s="2" t="n">
        <v>25</v>
      </c>
      <c r="H179" s="2" t="inlineStr">
        <is>
          <t>SC/PC</t>
        </is>
      </c>
      <c r="I179" s="2" t="inlineStr">
        <is>
          <t>LC/PC</t>
        </is>
      </c>
      <c r="J179" s="2" t="n"/>
      <c r="K179" s="2" t="n"/>
      <c r="L179" s="2" t="n"/>
      <c r="M179" s="2" t="n">
        <v>5</v>
      </c>
      <c r="N179" s="2" t="n"/>
      <c r="O179" s="2" t="n"/>
      <c r="P179" s="2" t="n">
        <v>12</v>
      </c>
      <c r="Q179" s="2" t="n"/>
      <c r="R179" s="2" t="n"/>
      <c r="S179" s="2" t="n">
        <v>4</v>
      </c>
      <c r="T179" s="2" t="n">
        <v>3</v>
      </c>
      <c r="U179" s="2" t="n"/>
      <c r="V179" s="2">
        <f>SUM(J179:U179)*G179</f>
        <v/>
      </c>
      <c r="W179" s="2">
        <f>MAX(J179:U179)</f>
        <v/>
      </c>
      <c r="X179" s="2">
        <f>W179*G179</f>
        <v/>
      </c>
    </row>
    <row r="180">
      <c r="A180" s="2" t="inlineStr">
        <is>
          <t>14-D-A105</t>
        </is>
      </c>
      <c r="B180" s="3" t="inlineStr">
        <is>
          <t>DOJC-SM-LC/PC-LC/PC</t>
        </is>
      </c>
      <c r="C180" s="2" t="inlineStr">
        <is>
          <t>7M_청색</t>
        </is>
      </c>
      <c r="D180" s="2" t="inlineStr">
        <is>
          <t>a1-청</t>
        </is>
      </c>
      <c r="E180" s="2" t="inlineStr">
        <is>
          <t>2.0mm</t>
        </is>
      </c>
      <c r="F180" s="2" t="n">
        <v>2</v>
      </c>
      <c r="G180" s="2" t="n">
        <v>7</v>
      </c>
      <c r="H180" s="2" t="inlineStr">
        <is>
          <t>LC/PC</t>
        </is>
      </c>
      <c r="I180" s="2" t="inlineStr">
        <is>
          <t>LC/PC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>
        <v>10</v>
      </c>
      <c r="V180" s="2">
        <f>SUM(J180:U180)*G180</f>
        <v/>
      </c>
      <c r="W180" s="2">
        <f>MAX(J180:U180)</f>
        <v/>
      </c>
      <c r="X180" s="2">
        <f>W180*G180</f>
        <v/>
      </c>
    </row>
    <row r="181">
      <c r="A181" s="2" t="inlineStr">
        <is>
          <t>14-D-A109</t>
        </is>
      </c>
      <c r="B181" s="3" t="inlineStr">
        <is>
          <t>DOJC-SM-LC/APC-LC/APC</t>
        </is>
      </c>
      <c r="C181" s="2" t="inlineStr">
        <is>
          <t>5M</t>
        </is>
      </c>
      <c r="D181" s="2" t="inlineStr">
        <is>
          <t>a1</t>
        </is>
      </c>
      <c r="E181" s="2" t="inlineStr">
        <is>
          <t>2.0mm</t>
        </is>
      </c>
      <c r="F181" s="2" t="n">
        <v>2</v>
      </c>
      <c r="G181" s="2" t="n">
        <v>5</v>
      </c>
      <c r="H181" s="2" t="inlineStr">
        <is>
          <t>LC/APC</t>
        </is>
      </c>
      <c r="I181" s="2" t="inlineStr">
        <is>
          <t>LC/APC</t>
        </is>
      </c>
      <c r="J181" s="2" t="n"/>
      <c r="K181" s="2" t="n"/>
      <c r="L181" s="2" t="n"/>
      <c r="M181" s="2" t="n"/>
      <c r="N181" s="2" t="n"/>
      <c r="O181" s="2" t="n"/>
      <c r="P181" s="2" t="n">
        <v>20</v>
      </c>
      <c r="Q181" s="2" t="n"/>
      <c r="R181" s="2" t="n"/>
      <c r="S181" s="2" t="n"/>
      <c r="T181" s="2" t="n"/>
      <c r="U181" s="2" t="n"/>
      <c r="V181" s="2">
        <f>SUM(J181:U181)*G181</f>
        <v/>
      </c>
      <c r="W181" s="2">
        <f>MAX(J181:U181)</f>
        <v/>
      </c>
      <c r="X181" s="2">
        <f>W181*G181</f>
        <v/>
      </c>
    </row>
    <row r="182">
      <c r="A182" s="2" t="inlineStr">
        <is>
          <t>14-D-A126</t>
        </is>
      </c>
      <c r="B182" s="3" t="inlineStr">
        <is>
          <t>OJC-A1-SC/LC-SM-10-PC/PC-DP</t>
        </is>
      </c>
      <c r="C182" s="2" t="inlineStr">
        <is>
          <t>K9089162_녹색</t>
        </is>
      </c>
      <c r="D182" s="2" t="inlineStr">
        <is>
          <t>a1-녹</t>
        </is>
      </c>
      <c r="E182" s="2" t="inlineStr">
        <is>
          <t>2.0mm</t>
        </is>
      </c>
      <c r="F182" s="2" t="n">
        <v>2</v>
      </c>
      <c r="G182" s="2" t="n">
        <v>10</v>
      </c>
      <c r="H182" s="2" t="inlineStr">
        <is>
          <t>SC/PC</t>
        </is>
      </c>
      <c r="I182" s="2" t="inlineStr">
        <is>
          <t>LC/PC</t>
        </is>
      </c>
      <c r="J182" s="2" t="n"/>
      <c r="K182" s="2" t="n"/>
      <c r="L182" s="2" t="n"/>
      <c r="M182" s="2" t="n">
        <v>5</v>
      </c>
      <c r="N182" s="2" t="n"/>
      <c r="O182" s="2" t="n"/>
      <c r="P182" s="2" t="n"/>
      <c r="Q182" s="2" t="n"/>
      <c r="R182" s="2" t="n"/>
      <c r="S182" s="2" t="n"/>
      <c r="T182" s="2" t="n"/>
      <c r="U182" s="2" t="n">
        <v>1</v>
      </c>
      <c r="V182" s="2">
        <f>SUM(J182:U182)*G182</f>
        <v/>
      </c>
      <c r="W182" s="2">
        <f>MAX(J182:U182)</f>
        <v/>
      </c>
      <c r="X182" s="2">
        <f>W182*G182</f>
        <v/>
      </c>
    </row>
    <row r="183">
      <c r="A183" s="2" t="inlineStr">
        <is>
          <t>14-D-A127</t>
        </is>
      </c>
      <c r="B183" s="3" t="inlineStr">
        <is>
          <t>OJC-A1-SC/LC-SM-15-PC/PC-DP</t>
        </is>
      </c>
      <c r="C183" s="2" t="inlineStr">
        <is>
          <t>K9089163_녹색</t>
        </is>
      </c>
      <c r="D183" s="2" t="inlineStr">
        <is>
          <t>a1-녹</t>
        </is>
      </c>
      <c r="E183" s="2" t="inlineStr">
        <is>
          <t>2.0mm</t>
        </is>
      </c>
      <c r="F183" s="2" t="n">
        <v>2</v>
      </c>
      <c r="G183" s="2" t="n">
        <v>15</v>
      </c>
      <c r="H183" s="2" t="inlineStr">
        <is>
          <t>SC/PC</t>
        </is>
      </c>
      <c r="I183" s="2" t="inlineStr">
        <is>
          <t>LC/PC</t>
        </is>
      </c>
      <c r="J183" s="2" t="n"/>
      <c r="K183" s="2" t="n"/>
      <c r="L183" s="2" t="n"/>
      <c r="M183" s="2" t="n">
        <v>20</v>
      </c>
      <c r="N183" s="2" t="n"/>
      <c r="O183" s="2" t="n"/>
      <c r="P183" s="2" t="n"/>
      <c r="Q183" s="2" t="n"/>
      <c r="R183" s="2" t="n"/>
      <c r="S183" s="2" t="n"/>
      <c r="T183" s="2" t="n">
        <v>20</v>
      </c>
      <c r="U183" s="2" t="n">
        <v>300</v>
      </c>
      <c r="V183" s="2">
        <f>SUM(J183:U183)*G183</f>
        <v/>
      </c>
      <c r="W183" s="2">
        <f>MAX(J183:U183)</f>
        <v/>
      </c>
      <c r="X183" s="2">
        <f>W183*G183</f>
        <v/>
      </c>
    </row>
    <row r="184">
      <c r="A184" s="2" t="inlineStr">
        <is>
          <t>14-D-A138</t>
        </is>
      </c>
      <c r="B184" s="3" t="inlineStr">
        <is>
          <t>OJC-A1-LC/LC-SM-16.5-PC/PC-DP</t>
        </is>
      </c>
      <c r="C184" s="2" t="inlineStr">
        <is>
          <t>16.5M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16.5</v>
      </c>
      <c r="H184" s="2" t="inlineStr">
        <is>
          <t>LC/PC</t>
        </is>
      </c>
      <c r="I184" s="2" t="inlineStr">
        <is>
          <t>LC/PC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>
        <v>1</v>
      </c>
      <c r="T184" s="2" t="n"/>
      <c r="U184" s="2" t="n"/>
      <c r="V184" s="2">
        <f>SUM(J184:U184)*G184</f>
        <v/>
      </c>
      <c r="W184" s="2">
        <f>MAX(J184:U184)</f>
        <v/>
      </c>
      <c r="X184" s="2">
        <f>W184*G184</f>
        <v/>
      </c>
    </row>
    <row r="185">
      <c r="A185" s="2" t="inlineStr">
        <is>
          <t>14-D-A139</t>
        </is>
      </c>
      <c r="B185" s="3" t="inlineStr">
        <is>
          <t>OJC-A1-LC/LC-SM-20.5-PC/PC-DP</t>
        </is>
      </c>
      <c r="C185" s="2" t="inlineStr">
        <is>
          <t>20.5M</t>
        </is>
      </c>
      <c r="D185" s="2" t="inlineStr">
        <is>
          <t>a1</t>
        </is>
      </c>
      <c r="E185" s="2" t="inlineStr">
        <is>
          <t>2.0mm</t>
        </is>
      </c>
      <c r="F185" s="2" t="n">
        <v>2</v>
      </c>
      <c r="G185" s="2" t="n">
        <v>20.5</v>
      </c>
      <c r="H185" s="2" t="inlineStr">
        <is>
          <t>LC/PC</t>
        </is>
      </c>
      <c r="I185" s="2" t="inlineStr">
        <is>
          <t>LC/PC</t>
        </is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>
        <v>1</v>
      </c>
      <c r="T185" s="2" t="n"/>
      <c r="U185" s="2" t="n"/>
      <c r="V185" s="2">
        <f>SUM(J185:U185)*G185</f>
        <v/>
      </c>
      <c r="W185" s="2">
        <f>MAX(J185:U185)</f>
        <v/>
      </c>
      <c r="X185" s="2">
        <f>W185*G185</f>
        <v/>
      </c>
    </row>
    <row r="186">
      <c r="A186" s="2" t="inlineStr">
        <is>
          <t>14-D-A140</t>
        </is>
      </c>
      <c r="B186" s="3" t="inlineStr">
        <is>
          <t>OJC-A1-LC/LC-SM-11.5-PC/PC-DP</t>
        </is>
      </c>
      <c r="C186" s="2" t="inlineStr">
        <is>
          <t>11.5M</t>
        </is>
      </c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11.5</v>
      </c>
      <c r="H186" s="2" t="inlineStr">
        <is>
          <t>LC/PC</t>
        </is>
      </c>
      <c r="I186" s="2" t="inlineStr">
        <is>
          <t>LC/PC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>
        <v>1</v>
      </c>
      <c r="T186" s="2" t="n"/>
      <c r="U186" s="2" t="n"/>
      <c r="V186" s="2">
        <f>SUM(J186:U186)*G186</f>
        <v/>
      </c>
      <c r="W186" s="2">
        <f>MAX(J186:U186)</f>
        <v/>
      </c>
      <c r="X186" s="2">
        <f>W186*G186</f>
        <v/>
      </c>
    </row>
    <row r="187">
      <c r="A187" s="2" t="inlineStr">
        <is>
          <t>14-D-A177</t>
        </is>
      </c>
      <c r="B187" s="3" t="inlineStr">
        <is>
          <t>DOJC-SM-LC/PC-LC/PC</t>
        </is>
      </c>
      <c r="C187" s="2" t="inlineStr">
        <is>
          <t>3M_적색케이블</t>
        </is>
      </c>
      <c r="D187" s="2" t="inlineStr">
        <is>
          <t>a1-적</t>
        </is>
      </c>
      <c r="E187" s="2" t="inlineStr">
        <is>
          <t>2.0mm</t>
        </is>
      </c>
      <c r="F187" s="2" t="n">
        <v>2</v>
      </c>
      <c r="G187" s="2" t="n">
        <v>3</v>
      </c>
      <c r="H187" s="2" t="inlineStr">
        <is>
          <t>LC/PC</t>
        </is>
      </c>
      <c r="I187" s="2" t="inlineStr">
        <is>
          <t>LC/PC</t>
        </is>
      </c>
      <c r="J187" s="2" t="n"/>
      <c r="K187" s="2" t="n">
        <v>20</v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>
        <f>SUM(J187:U187)*G187</f>
        <v/>
      </c>
      <c r="W187" s="2">
        <f>MAX(J187:U187)</f>
        <v/>
      </c>
      <c r="X187" s="2">
        <f>W187*G187</f>
        <v/>
      </c>
    </row>
    <row r="188">
      <c r="A188" s="2" t="inlineStr">
        <is>
          <t>14-D-A185</t>
        </is>
      </c>
      <c r="B188" s="3" t="inlineStr">
        <is>
          <t>DOJC-MM(OM3)-LC/PC-LC/PC</t>
        </is>
      </c>
      <c r="C188" s="2" t="inlineStr">
        <is>
          <t>13M</t>
        </is>
      </c>
      <c r="D188" s="2" t="inlineStr">
        <is>
          <t>om3</t>
        </is>
      </c>
      <c r="E188" s="2" t="inlineStr">
        <is>
          <t>2.0mm</t>
        </is>
      </c>
      <c r="F188" s="2" t="n">
        <v>2</v>
      </c>
      <c r="G188" s="2" t="n">
        <v>13</v>
      </c>
      <c r="H188" s="2" t="inlineStr">
        <is>
          <t>LC/PC</t>
        </is>
      </c>
      <c r="I188" s="2" t="inlineStr">
        <is>
          <t>LC/PC</t>
        </is>
      </c>
      <c r="J188" s="2" t="n">
        <v>10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>
        <f>SUM(J188:U188)*G188</f>
        <v/>
      </c>
      <c r="W188" s="2">
        <f>MAX(J188:U188)</f>
        <v/>
      </c>
      <c r="X188" s="2">
        <f>W188*G188</f>
        <v/>
      </c>
    </row>
    <row r="189">
      <c r="A189" s="2" t="inlineStr">
        <is>
          <t>14-D-A195</t>
        </is>
      </c>
      <c r="B189" s="3" t="inlineStr">
        <is>
          <t>DOJC-SM-SC/PC-SC/PC</t>
        </is>
      </c>
      <c r="C189" s="2" t="inlineStr">
        <is>
          <t>15M_적색케이블</t>
        </is>
      </c>
      <c r="D189" s="2" t="inlineStr">
        <is>
          <t>a1-적</t>
        </is>
      </c>
      <c r="E189" s="2" t="inlineStr">
        <is>
          <t>2.0mm</t>
        </is>
      </c>
      <c r="F189" s="2" t="n">
        <v>2</v>
      </c>
      <c r="G189" s="2" t="n">
        <v>15</v>
      </c>
      <c r="H189" s="2" t="inlineStr">
        <is>
          <t>SC/PC</t>
        </is>
      </c>
      <c r="I189" s="2" t="inlineStr">
        <is>
          <t>SC/PC</t>
        </is>
      </c>
      <c r="J189" s="2" t="n"/>
      <c r="K189" s="2" t="n"/>
      <c r="L189" s="2" t="n"/>
      <c r="M189" s="2" t="n"/>
      <c r="N189" s="2" t="n"/>
      <c r="O189" s="2" t="n"/>
      <c r="P189" s="2" t="n">
        <v>20</v>
      </c>
      <c r="Q189" s="2" t="n"/>
      <c r="R189" s="2" t="n"/>
      <c r="S189" s="2" t="n"/>
      <c r="T189" s="2" t="n"/>
      <c r="U189" s="2" t="n"/>
      <c r="V189" s="2">
        <f>SUM(J189:U189)*G189</f>
        <v/>
      </c>
      <c r="W189" s="2">
        <f>MAX(J189:U189)</f>
        <v/>
      </c>
      <c r="X189" s="2">
        <f>W189*G189</f>
        <v/>
      </c>
    </row>
    <row r="190">
      <c r="A190" s="2" t="inlineStr">
        <is>
          <t>14-D-A196</t>
        </is>
      </c>
      <c r="B190" s="3" t="inlineStr">
        <is>
          <t>DOJC-SM-SC/PC-SC/PC</t>
        </is>
      </c>
      <c r="C190" s="2" t="inlineStr">
        <is>
          <t>10M_적색케이블</t>
        </is>
      </c>
      <c r="D190" s="2" t="inlineStr">
        <is>
          <t>a1-적</t>
        </is>
      </c>
      <c r="E190" s="2" t="inlineStr">
        <is>
          <t>2.0mm</t>
        </is>
      </c>
      <c r="F190" s="2" t="n">
        <v>2</v>
      </c>
      <c r="G190" s="2" t="n">
        <v>10</v>
      </c>
      <c r="H190" s="2" t="inlineStr">
        <is>
          <t>SC/PC</t>
        </is>
      </c>
      <c r="I190" s="2" t="inlineStr">
        <is>
          <t>SC/PC</t>
        </is>
      </c>
      <c r="J190" s="2" t="n"/>
      <c r="K190" s="2" t="n"/>
      <c r="L190" s="2" t="n"/>
      <c r="M190" s="2" t="n"/>
      <c r="N190" s="2" t="n"/>
      <c r="O190" s="2" t="n"/>
      <c r="P190" s="2" t="n">
        <v>20</v>
      </c>
      <c r="Q190" s="2" t="n"/>
      <c r="R190" s="2" t="n"/>
      <c r="S190" s="2" t="n"/>
      <c r="T190" s="2" t="n"/>
      <c r="U190" s="2" t="n"/>
      <c r="V190" s="2">
        <f>SUM(J190:U190)*G190</f>
        <v/>
      </c>
      <c r="W190" s="2">
        <f>MAX(J190:U190)</f>
        <v/>
      </c>
      <c r="X190" s="2">
        <f>W190*G190</f>
        <v/>
      </c>
    </row>
    <row r="191">
      <c r="A191" s="2" t="inlineStr">
        <is>
          <t>14-D-A198</t>
        </is>
      </c>
      <c r="B191" s="3" t="inlineStr">
        <is>
          <t>DOJC-SM-LC/PC-LC/PC</t>
        </is>
      </c>
      <c r="C191" s="2" t="inlineStr">
        <is>
          <t>1.5M_청색케이블</t>
        </is>
      </c>
      <c r="D191" s="2" t="inlineStr">
        <is>
          <t>a1-청</t>
        </is>
      </c>
      <c r="E191" s="2" t="inlineStr">
        <is>
          <t>2.0mm</t>
        </is>
      </c>
      <c r="F191" s="2" t="n">
        <v>2</v>
      </c>
      <c r="G191" s="2" t="n">
        <v>1.5</v>
      </c>
      <c r="H191" s="2" t="inlineStr">
        <is>
          <t>LC/PC</t>
        </is>
      </c>
      <c r="I191" s="2" t="inlineStr">
        <is>
          <t>LC/PC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>
        <v>60</v>
      </c>
      <c r="V191" s="2">
        <f>SUM(J191:U191)*G191</f>
        <v/>
      </c>
      <c r="W191" s="2">
        <f>MAX(J191:U191)</f>
        <v/>
      </c>
      <c r="X191" s="2">
        <f>W191*G191</f>
        <v/>
      </c>
    </row>
    <row r="192">
      <c r="A192" s="2" t="inlineStr">
        <is>
          <t>14-D-A199</t>
        </is>
      </c>
      <c r="B192" s="3" t="inlineStr">
        <is>
          <t>DOJC-SM-LC/PC-LC/PC</t>
        </is>
      </c>
      <c r="C192" s="2" t="inlineStr">
        <is>
          <t>3M_청색케이블</t>
        </is>
      </c>
      <c r="D192" s="2" t="inlineStr">
        <is>
          <t>a1-청</t>
        </is>
      </c>
      <c r="E192" s="2" t="inlineStr">
        <is>
          <t>2.0mm</t>
        </is>
      </c>
      <c r="F192" s="2" t="n">
        <v>2</v>
      </c>
      <c r="G192" s="2" t="n">
        <v>3</v>
      </c>
      <c r="H192" s="2" t="inlineStr">
        <is>
          <t>LC/PC</t>
        </is>
      </c>
      <c r="I192" s="2" t="inlineStr">
        <is>
          <t>LC/PC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>
        <v>10</v>
      </c>
      <c r="V192" s="2">
        <f>SUM(J192:U192)*G192</f>
        <v/>
      </c>
      <c r="W192" s="2">
        <f>MAX(J192:U192)</f>
        <v/>
      </c>
      <c r="X192" s="2">
        <f>W192*G192</f>
        <v/>
      </c>
    </row>
    <row r="193">
      <c r="A193" s="2" t="inlineStr">
        <is>
          <t>14-D-A207</t>
        </is>
      </c>
      <c r="B193" s="3" t="inlineStr">
        <is>
          <t>DOJC-SM-SC/PC-SC/PC</t>
        </is>
      </c>
      <c r="C193" s="2" t="inlineStr">
        <is>
          <t>3M_녹색케이블</t>
        </is>
      </c>
      <c r="D193" s="2" t="inlineStr">
        <is>
          <t>a1-녹</t>
        </is>
      </c>
      <c r="E193" s="2" t="inlineStr">
        <is>
          <t>2.0mm</t>
        </is>
      </c>
      <c r="F193" s="2" t="n">
        <v>2</v>
      </c>
      <c r="G193" s="2" t="n">
        <v>3</v>
      </c>
      <c r="H193" s="2" t="inlineStr">
        <is>
          <t>SC/PC</t>
        </is>
      </c>
      <c r="I193" s="2" t="inlineStr">
        <is>
          <t>SC/PC</t>
        </is>
      </c>
      <c r="J193" s="2" t="n"/>
      <c r="K193" s="2" t="n"/>
      <c r="L193" s="2" t="n"/>
      <c r="M193" s="2" t="n"/>
      <c r="N193" s="2" t="n">
        <v>8</v>
      </c>
      <c r="O193" s="2" t="n"/>
      <c r="P193" s="2" t="n"/>
      <c r="Q193" s="2" t="n"/>
      <c r="R193" s="2" t="n"/>
      <c r="S193" s="2" t="n"/>
      <c r="T193" s="2" t="n"/>
      <c r="U193" s="2" t="n">
        <v>179</v>
      </c>
      <c r="V193" s="2">
        <f>SUM(J193:U193)*G193</f>
        <v/>
      </c>
      <c r="W193" s="2">
        <f>MAX(J193:U193)</f>
        <v/>
      </c>
      <c r="X193" s="2">
        <f>W193*G193</f>
        <v/>
      </c>
    </row>
    <row r="194">
      <c r="A194" s="2" t="inlineStr">
        <is>
          <t>14-D-A208</t>
        </is>
      </c>
      <c r="B194" s="3" t="inlineStr">
        <is>
          <t>DOJC-SM-SC/PC-SC/PC</t>
        </is>
      </c>
      <c r="C194" s="2" t="inlineStr">
        <is>
          <t>5M_녹색케이블</t>
        </is>
      </c>
      <c r="D194" s="2" t="inlineStr">
        <is>
          <t>a1-녹</t>
        </is>
      </c>
      <c r="E194" s="2" t="inlineStr">
        <is>
          <t>2.0mm</t>
        </is>
      </c>
      <c r="F194" s="2" t="n">
        <v>2</v>
      </c>
      <c r="G194" s="2" t="n">
        <v>5</v>
      </c>
      <c r="H194" s="2" t="inlineStr">
        <is>
          <t>SC/PC</t>
        </is>
      </c>
      <c r="I194" s="2" t="inlineStr">
        <is>
          <t>SC/PC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>
        <v>5</v>
      </c>
      <c r="V194" s="2">
        <f>SUM(J194:U194)*G194</f>
        <v/>
      </c>
      <c r="W194" s="2">
        <f>MAX(J194:U194)</f>
        <v/>
      </c>
      <c r="X194" s="2">
        <f>W194*G194</f>
        <v/>
      </c>
    </row>
    <row r="195">
      <c r="A195" s="2" t="inlineStr">
        <is>
          <t>14-D-A232</t>
        </is>
      </c>
      <c r="B195" s="3" t="inlineStr">
        <is>
          <t>DOJC-MM(OM3)-LC/PC-LC/PC</t>
        </is>
      </c>
      <c r="C195" s="2" t="inlineStr">
        <is>
          <t>6M</t>
        </is>
      </c>
      <c r="D195" s="2" t="inlineStr">
        <is>
          <t>om3</t>
        </is>
      </c>
      <c r="E195" s="2" t="inlineStr">
        <is>
          <t>2.0mm</t>
        </is>
      </c>
      <c r="F195" s="2" t="n">
        <v>2</v>
      </c>
      <c r="G195" s="2" t="n">
        <v>6</v>
      </c>
      <c r="H195" s="2" t="inlineStr">
        <is>
          <t>LC/PC</t>
        </is>
      </c>
      <c r="I195" s="2" t="inlineStr">
        <is>
          <t>LC/PC</t>
        </is>
      </c>
      <c r="J195" s="2" t="n"/>
      <c r="K195" s="2" t="n"/>
      <c r="L195" s="2" t="n"/>
      <c r="M195" s="2" t="n">
        <v>20</v>
      </c>
      <c r="N195" s="2" t="n"/>
      <c r="O195" s="2" t="n"/>
      <c r="P195" s="2" t="n"/>
      <c r="Q195" s="2" t="n"/>
      <c r="R195" s="2" t="n"/>
      <c r="S195" s="2" t="n"/>
      <c r="T195" s="2" t="n"/>
      <c r="U195" s="2" t="n">
        <v>50</v>
      </c>
      <c r="V195" s="2">
        <f>SUM(J195:U195)*G195</f>
        <v/>
      </c>
      <c r="W195" s="2">
        <f>MAX(J195:U195)</f>
        <v/>
      </c>
      <c r="X195" s="2">
        <f>W195*G195</f>
        <v/>
      </c>
    </row>
    <row r="196">
      <c r="A196" s="2" t="inlineStr">
        <is>
          <t>14-D-A235</t>
        </is>
      </c>
      <c r="B196" s="3" t="inlineStr">
        <is>
          <t>OJC-A1-LC/LC-SM-1-PC/APC-DP</t>
        </is>
      </c>
      <c r="C196" s="2" t="inlineStr"/>
      <c r="D196" s="2" t="inlineStr">
        <is>
          <t>a1</t>
        </is>
      </c>
      <c r="E196" s="2" t="inlineStr">
        <is>
          <t>2.0mm</t>
        </is>
      </c>
      <c r="F196" s="2" t="n">
        <v>2</v>
      </c>
      <c r="G196" s="2" t="n">
        <v>1</v>
      </c>
      <c r="H196" s="2" t="inlineStr">
        <is>
          <t>LC/PC</t>
        </is>
      </c>
      <c r="I196" s="2" t="inlineStr">
        <is>
          <t>LC/APC</t>
        </is>
      </c>
      <c r="J196" s="2" t="n"/>
      <c r="K196" s="2" t="n"/>
      <c r="L196" s="2" t="n">
        <v>30</v>
      </c>
      <c r="M196" s="2" t="n"/>
      <c r="N196" s="2" t="n"/>
      <c r="O196" s="2" t="n"/>
      <c r="P196" s="2" t="n"/>
      <c r="Q196" s="2" t="n"/>
      <c r="R196" s="2" t="n">
        <v>71</v>
      </c>
      <c r="S196" s="2" t="n"/>
      <c r="T196" s="2" t="n"/>
      <c r="U196" s="2" t="n"/>
      <c r="V196" s="2">
        <f>SUM(J196:U196)*G196</f>
        <v/>
      </c>
      <c r="W196" s="2">
        <f>MAX(J196:U196)</f>
        <v/>
      </c>
      <c r="X196" s="2">
        <f>W196*G196</f>
        <v/>
      </c>
    </row>
    <row r="197">
      <c r="A197" s="2" t="inlineStr">
        <is>
          <t>14-D-A24</t>
        </is>
      </c>
      <c r="B197" s="3" t="inlineStr">
        <is>
          <t>DOJC-MM(OM3)-LC/PC-LC/PC</t>
        </is>
      </c>
      <c r="C197" s="2" t="inlineStr">
        <is>
          <t>130M</t>
        </is>
      </c>
      <c r="D197" s="2" t="inlineStr">
        <is>
          <t>om3</t>
        </is>
      </c>
      <c r="E197" s="2" t="inlineStr">
        <is>
          <t>2.0mm</t>
        </is>
      </c>
      <c r="F197" s="2" t="n">
        <v>2</v>
      </c>
      <c r="G197" s="2" t="n">
        <v>130</v>
      </c>
      <c r="H197" s="2" t="inlineStr">
        <is>
          <t>LC/PC</t>
        </is>
      </c>
      <c r="I197" s="2" t="inlineStr">
        <is>
          <t>LC/PC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>
        <v>1</v>
      </c>
      <c r="V197" s="2">
        <f>SUM(J197:U197)*G197</f>
        <v/>
      </c>
      <c r="W197" s="2">
        <f>MAX(J197:U197)</f>
        <v/>
      </c>
      <c r="X197" s="2">
        <f>W197*G197</f>
        <v/>
      </c>
    </row>
    <row r="198">
      <c r="A198" s="2" t="inlineStr">
        <is>
          <t>14-D-A25</t>
        </is>
      </c>
      <c r="B198" s="3" t="inlineStr">
        <is>
          <t>DOJC-MM(OM3)-LC/PC-LC/PC</t>
        </is>
      </c>
      <c r="C198" s="2" t="inlineStr">
        <is>
          <t>150M</t>
        </is>
      </c>
      <c r="D198" s="2" t="inlineStr">
        <is>
          <t>om3</t>
        </is>
      </c>
      <c r="E198" s="2" t="inlineStr">
        <is>
          <t>2.0mm</t>
        </is>
      </c>
      <c r="F198" s="2" t="n">
        <v>2</v>
      </c>
      <c r="G198" s="2" t="n">
        <v>150</v>
      </c>
      <c r="H198" s="2" t="inlineStr">
        <is>
          <t>LC/PC</t>
        </is>
      </c>
      <c r="I198" s="2" t="inlineStr">
        <is>
          <t>LC/PC</t>
        </is>
      </c>
      <c r="J198" s="2" t="n">
        <v>2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>
        <f>SUM(J198:U198)*G198</f>
        <v/>
      </c>
      <c r="W198" s="2">
        <f>MAX(J198:U198)</f>
        <v/>
      </c>
      <c r="X198" s="2">
        <f>W198*G198</f>
        <v/>
      </c>
    </row>
    <row r="199">
      <c r="A199" s="2" t="inlineStr">
        <is>
          <t>14-D-A303</t>
        </is>
      </c>
      <c r="B199" s="3" t="inlineStr">
        <is>
          <t>DOJC-SM-SC/PC-SC/PC</t>
        </is>
      </c>
      <c r="C199" s="2" t="inlineStr">
        <is>
          <t>5M_적색케이블</t>
        </is>
      </c>
      <c r="D199" s="2" t="inlineStr">
        <is>
          <t>a1-적</t>
        </is>
      </c>
      <c r="E199" s="2" t="inlineStr">
        <is>
          <t>2.0mm</t>
        </is>
      </c>
      <c r="F199" s="2" t="n">
        <v>2</v>
      </c>
      <c r="G199" s="2" t="n">
        <v>5</v>
      </c>
      <c r="H199" s="2" t="inlineStr">
        <is>
          <t>SC/PC</t>
        </is>
      </c>
      <c r="I199" s="2" t="inlineStr">
        <is>
          <t>SC/PC</t>
        </is>
      </c>
      <c r="J199" s="2" t="n"/>
      <c r="K199" s="2" t="n"/>
      <c r="L199" s="2" t="n"/>
      <c r="M199" s="2" t="n"/>
      <c r="N199" s="2" t="n"/>
      <c r="O199" s="2" t="n"/>
      <c r="P199" s="2" t="n">
        <v>20</v>
      </c>
      <c r="Q199" s="2" t="n"/>
      <c r="R199" s="2" t="n"/>
      <c r="S199" s="2" t="n"/>
      <c r="T199" s="2" t="n"/>
      <c r="U199" s="2" t="n"/>
      <c r="V199" s="2">
        <f>SUM(J199:U199)*G199</f>
        <v/>
      </c>
      <c r="W199" s="2">
        <f>MAX(J199:U199)</f>
        <v/>
      </c>
      <c r="X199" s="2">
        <f>W199*G199</f>
        <v/>
      </c>
    </row>
    <row r="200">
      <c r="A200" s="2" t="inlineStr">
        <is>
          <t>14-D-A311</t>
        </is>
      </c>
      <c r="B200" s="3" t="inlineStr">
        <is>
          <t>OJC-A1-SC/LC-SM-12-PC/PC-DP</t>
        </is>
      </c>
      <c r="C200" s="2" t="inlineStr">
        <is>
          <t>자색</t>
        </is>
      </c>
      <c r="D200" s="2" t="inlineStr">
        <is>
          <t>a1-자</t>
        </is>
      </c>
      <c r="E200" s="2" t="inlineStr">
        <is>
          <t>2.0mm</t>
        </is>
      </c>
      <c r="F200" s="2" t="n">
        <v>2</v>
      </c>
      <c r="G200" s="2" t="n">
        <v>12</v>
      </c>
      <c r="H200" s="2" t="inlineStr">
        <is>
          <t>SC/PC</t>
        </is>
      </c>
      <c r="I200" s="2" t="inlineStr">
        <is>
          <t>LC/PC</t>
        </is>
      </c>
      <c r="J200" s="2" t="n"/>
      <c r="K200" s="2" t="n"/>
      <c r="L200" s="2" t="n"/>
      <c r="M200" s="2" t="n"/>
      <c r="N200" s="2" t="n">
        <v>4</v>
      </c>
      <c r="O200" s="2" t="n"/>
      <c r="P200" s="2" t="n"/>
      <c r="Q200" s="2" t="n"/>
      <c r="R200" s="2" t="n"/>
      <c r="S200" s="2" t="n"/>
      <c r="T200" s="2" t="n"/>
      <c r="U200" s="2" t="n"/>
      <c r="V200" s="2">
        <f>SUM(J200:U200)*G200</f>
        <v/>
      </c>
      <c r="W200" s="2">
        <f>MAX(J200:U200)</f>
        <v/>
      </c>
      <c r="X200" s="2">
        <f>W200*G200</f>
        <v/>
      </c>
    </row>
    <row r="201">
      <c r="A201" s="2" t="inlineStr">
        <is>
          <t>14-D-A312</t>
        </is>
      </c>
      <c r="B201" s="3" t="inlineStr">
        <is>
          <t>OJC-A1-SC/LC-SM-17-PC/PC-DP</t>
        </is>
      </c>
      <c r="C201" s="2" t="inlineStr">
        <is>
          <t>자색</t>
        </is>
      </c>
      <c r="D201" s="2" t="inlineStr">
        <is>
          <t>a1-자</t>
        </is>
      </c>
      <c r="E201" s="2" t="inlineStr">
        <is>
          <t>2.0mm</t>
        </is>
      </c>
      <c r="F201" s="2" t="n">
        <v>2</v>
      </c>
      <c r="G201" s="2" t="n">
        <v>17</v>
      </c>
      <c r="H201" s="2" t="inlineStr">
        <is>
          <t>SC/PC</t>
        </is>
      </c>
      <c r="I201" s="2" t="inlineStr">
        <is>
          <t>LC/PC</t>
        </is>
      </c>
      <c r="J201" s="2" t="n"/>
      <c r="K201" s="2" t="n"/>
      <c r="L201" s="2" t="n"/>
      <c r="M201" s="2" t="n"/>
      <c r="N201" s="2" t="n">
        <v>1</v>
      </c>
      <c r="O201" s="2" t="n"/>
      <c r="P201" s="2" t="n"/>
      <c r="Q201" s="2" t="n"/>
      <c r="R201" s="2" t="n"/>
      <c r="S201" s="2" t="n"/>
      <c r="T201" s="2" t="n"/>
      <c r="U201" s="2" t="n"/>
      <c r="V201" s="2">
        <f>SUM(J201:U201)*G201</f>
        <v/>
      </c>
      <c r="W201" s="2">
        <f>MAX(J201:U201)</f>
        <v/>
      </c>
      <c r="X201" s="2">
        <f>W201*G201</f>
        <v/>
      </c>
    </row>
    <row r="202">
      <c r="A202" s="2" t="inlineStr">
        <is>
          <t>14-D-A347</t>
        </is>
      </c>
      <c r="B202" s="3" t="inlineStr">
        <is>
          <t>DOJC-SM-SC/PC-SC/PC</t>
        </is>
      </c>
      <c r="C202" s="2" t="inlineStr">
        <is>
          <t>13M_적색케이블</t>
        </is>
      </c>
      <c r="D202" s="2" t="inlineStr">
        <is>
          <t>a1-적</t>
        </is>
      </c>
      <c r="E202" s="2" t="inlineStr">
        <is>
          <t>2.0mm</t>
        </is>
      </c>
      <c r="F202" s="2" t="n">
        <v>2</v>
      </c>
      <c r="G202" s="2" t="n">
        <v>13</v>
      </c>
      <c r="H202" s="2" t="inlineStr">
        <is>
          <t>SC/PC</t>
        </is>
      </c>
      <c r="I202" s="2" t="inlineStr">
        <is>
          <t>SC/PC</t>
        </is>
      </c>
      <c r="J202" s="2" t="n"/>
      <c r="K202" s="2" t="n"/>
      <c r="L202" s="2" t="n"/>
      <c r="M202" s="2" t="n"/>
      <c r="N202" s="2" t="n"/>
      <c r="O202" s="2" t="n"/>
      <c r="P202" s="2" t="n">
        <v>20</v>
      </c>
      <c r="Q202" s="2" t="n"/>
      <c r="R202" s="2" t="n"/>
      <c r="S202" s="2" t="n"/>
      <c r="T202" s="2" t="n"/>
      <c r="U202" s="2" t="n"/>
      <c r="V202" s="2">
        <f>SUM(J202:U202)*G202</f>
        <v/>
      </c>
      <c r="W202" s="2">
        <f>MAX(J202:U202)</f>
        <v/>
      </c>
      <c r="X202" s="2">
        <f>W202*G202</f>
        <v/>
      </c>
    </row>
    <row r="203">
      <c r="A203" s="2" t="inlineStr">
        <is>
          <t>14-D-A354</t>
        </is>
      </c>
      <c r="B203" s="3" t="inlineStr">
        <is>
          <t>DOJC-SM-LC/PC-LC/PC</t>
        </is>
      </c>
      <c r="C203" s="2" t="inlineStr">
        <is>
          <t>5M_적색</t>
        </is>
      </c>
      <c r="D203" s="2" t="inlineStr">
        <is>
          <t>a1-적</t>
        </is>
      </c>
      <c r="E203" s="2" t="inlineStr">
        <is>
          <t>2.0mm</t>
        </is>
      </c>
      <c r="F203" s="2" t="n">
        <v>2</v>
      </c>
      <c r="G203" s="2" t="n">
        <v>5</v>
      </c>
      <c r="H203" s="2" t="inlineStr">
        <is>
          <t>LC/PC</t>
        </is>
      </c>
      <c r="I203" s="2" t="inlineStr">
        <is>
          <t>LC/PC</t>
        </is>
      </c>
      <c r="J203" s="2" t="n"/>
      <c r="K203" s="2" t="n">
        <v>10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>
        <f>SUM(J203:U203)*G203</f>
        <v/>
      </c>
      <c r="W203" s="2">
        <f>MAX(J203:U203)</f>
        <v/>
      </c>
      <c r="X203" s="2">
        <f>W203*G203</f>
        <v/>
      </c>
    </row>
    <row r="204">
      <c r="A204" s="2" t="inlineStr">
        <is>
          <t>14-D-A379</t>
        </is>
      </c>
      <c r="B204" s="3" t="inlineStr">
        <is>
          <t>DOJC-SM-LC/APC-LC/APC</t>
        </is>
      </c>
      <c r="C204" s="2" t="inlineStr">
        <is>
          <t>2M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2</v>
      </c>
      <c r="H204" s="2" t="inlineStr">
        <is>
          <t>LC/APC</t>
        </is>
      </c>
      <c r="I204" s="2" t="inlineStr">
        <is>
          <t>LC/APC</t>
        </is>
      </c>
      <c r="J204" s="2" t="n"/>
      <c r="K204" s="2" t="n"/>
      <c r="L204" s="2" t="n">
        <v>30</v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>
        <f>SUM(J204:U204)*G204</f>
        <v/>
      </c>
      <c r="W204" s="2">
        <f>MAX(J204:U204)</f>
        <v/>
      </c>
      <c r="X204" s="2">
        <f>W204*G204</f>
        <v/>
      </c>
    </row>
    <row r="205">
      <c r="A205" s="2" t="inlineStr">
        <is>
          <t>14-D-A404</t>
        </is>
      </c>
      <c r="B205" s="3" t="inlineStr">
        <is>
          <t>OJC-A1-SC/LC-SM-60-PC/PC-DP</t>
        </is>
      </c>
      <c r="C205" s="2" t="inlineStr">
        <is>
          <t>적색</t>
        </is>
      </c>
      <c r="D205" s="2" t="inlineStr">
        <is>
          <t>a1-적</t>
        </is>
      </c>
      <c r="E205" s="2" t="inlineStr">
        <is>
          <t>2.0mm</t>
        </is>
      </c>
      <c r="F205" s="2" t="n">
        <v>2</v>
      </c>
      <c r="G205" s="2" t="n">
        <v>60</v>
      </c>
      <c r="H205" s="2" t="inlineStr">
        <is>
          <t>SC/PC</t>
        </is>
      </c>
      <c r="I205" s="2" t="inlineStr">
        <is>
          <t>LC/PC</t>
        </is>
      </c>
      <c r="J205" s="2" t="n"/>
      <c r="K205" s="2" t="n"/>
      <c r="L205" s="2" t="n">
        <v>2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SUM(J205:U205)*G205</f>
        <v/>
      </c>
      <c r="W205" s="2">
        <f>MAX(J205:U205)</f>
        <v/>
      </c>
      <c r="X205" s="2">
        <f>W205*G205</f>
        <v/>
      </c>
    </row>
    <row r="206">
      <c r="A206" s="2" t="inlineStr">
        <is>
          <t>14-D-A407</t>
        </is>
      </c>
      <c r="B206" s="3" t="inlineStr">
        <is>
          <t>DOJC-SM-LC/PC-FC/APC</t>
        </is>
      </c>
      <c r="C206" s="2" t="inlineStr">
        <is>
          <t>20M_청색</t>
        </is>
      </c>
      <c r="D206" s="2" t="inlineStr">
        <is>
          <t>a1-청</t>
        </is>
      </c>
      <c r="E206" s="2" t="inlineStr">
        <is>
          <t>2.0mm</t>
        </is>
      </c>
      <c r="F206" s="2" t="n">
        <v>2</v>
      </c>
      <c r="G206" s="2" t="n">
        <v>20</v>
      </c>
      <c r="H206" s="2" t="inlineStr">
        <is>
          <t>LC/PC</t>
        </is>
      </c>
      <c r="I206" s="2" t="inlineStr">
        <is>
          <t>FC/APC</t>
        </is>
      </c>
      <c r="J206" s="2" t="n"/>
      <c r="K206" s="2" t="n"/>
      <c r="L206" s="2" t="n"/>
      <c r="M206" s="2" t="n"/>
      <c r="N206" s="2" t="n"/>
      <c r="O206" s="2" t="n"/>
      <c r="P206" s="2" t="n">
        <v>20</v>
      </c>
      <c r="Q206" s="2" t="n"/>
      <c r="R206" s="2" t="n"/>
      <c r="S206" s="2" t="n"/>
      <c r="T206" s="2" t="n"/>
      <c r="U206" s="2" t="n"/>
      <c r="V206" s="2">
        <f>SUM(J206:U206)*G206</f>
        <v/>
      </c>
      <c r="W206" s="2">
        <f>MAX(J206:U206)</f>
        <v/>
      </c>
      <c r="X206" s="2">
        <f>W206*G206</f>
        <v/>
      </c>
    </row>
    <row r="207">
      <c r="A207" s="2" t="inlineStr">
        <is>
          <t>14-D-A430</t>
        </is>
      </c>
      <c r="B207" s="3" t="inlineStr">
        <is>
          <t>DOJC-MM-LC/PC-SC/APC</t>
        </is>
      </c>
      <c r="C207" s="2" t="inlineStr">
        <is>
          <t>10M</t>
        </is>
      </c>
      <c r="D207" s="2" t="inlineStr">
        <is>
          <t>om1</t>
        </is>
      </c>
      <c r="E207" s="2" t="inlineStr">
        <is>
          <t>2.0mm</t>
        </is>
      </c>
      <c r="F207" s="2" t="n">
        <v>2</v>
      </c>
      <c r="G207" s="2" t="n">
        <v>10</v>
      </c>
      <c r="H207" s="2" t="inlineStr">
        <is>
          <t>LC/PC</t>
        </is>
      </c>
      <c r="I207" s="2" t="inlineStr">
        <is>
          <t>SC/APC</t>
        </is>
      </c>
      <c r="J207" s="2" t="n">
        <v>1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>
        <f>SUM(J207:U207)*G207</f>
        <v/>
      </c>
      <c r="W207" s="2">
        <f>MAX(J207:U207)</f>
        <v/>
      </c>
      <c r="X207" s="2">
        <f>W207*G207</f>
        <v/>
      </c>
    </row>
    <row r="208">
      <c r="A208" s="2" t="inlineStr">
        <is>
          <t>14-D-A431</t>
        </is>
      </c>
      <c r="B208" s="3" t="inlineStr">
        <is>
          <t>DOJC-MM-LC/PC-LC/PC</t>
        </is>
      </c>
      <c r="C208" s="2" t="inlineStr">
        <is>
          <t>75M</t>
        </is>
      </c>
      <c r="D208" s="2" t="inlineStr">
        <is>
          <t>om1</t>
        </is>
      </c>
      <c r="E208" s="2" t="inlineStr">
        <is>
          <t>2.0mm</t>
        </is>
      </c>
      <c r="F208" s="2" t="n">
        <v>2</v>
      </c>
      <c r="G208" s="2" t="n">
        <v>75</v>
      </c>
      <c r="H208" s="2" t="inlineStr">
        <is>
          <t>LC/PC</t>
        </is>
      </c>
      <c r="I208" s="2" t="inlineStr">
        <is>
          <t>LC/PC</t>
        </is>
      </c>
      <c r="J208" s="2" t="n"/>
      <c r="K208" s="2" t="n"/>
      <c r="L208" s="2" t="n">
        <v>4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>
        <f>SUM(J208:U208)*G208</f>
        <v/>
      </c>
      <c r="W208" s="2">
        <f>MAX(J208:U208)</f>
        <v/>
      </c>
      <c r="X208" s="2">
        <f>W208*G208</f>
        <v/>
      </c>
    </row>
    <row r="209">
      <c r="A209" s="2" t="inlineStr">
        <is>
          <t>14-D-A432</t>
        </is>
      </c>
      <c r="B209" s="3" t="inlineStr">
        <is>
          <t>DOJC-SM-LC/PC-FC/APC</t>
        </is>
      </c>
      <c r="C209" s="2" t="inlineStr">
        <is>
          <t>25M_적색케이블</t>
        </is>
      </c>
      <c r="D209" s="2" t="inlineStr">
        <is>
          <t>a1-적</t>
        </is>
      </c>
      <c r="E209" s="2" t="inlineStr">
        <is>
          <t>2.0mm</t>
        </is>
      </c>
      <c r="F209" s="2" t="n">
        <v>2</v>
      </c>
      <c r="G209" s="2" t="n">
        <v>25</v>
      </c>
      <c r="H209" s="2" t="inlineStr">
        <is>
          <t>LC/PC</t>
        </is>
      </c>
      <c r="I209" s="2" t="inlineStr">
        <is>
          <t>FC/APC</t>
        </is>
      </c>
      <c r="J209" s="2" t="n"/>
      <c r="K209" s="2" t="n">
        <v>10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>
        <f>SUM(J209:U209)*G209</f>
        <v/>
      </c>
      <c r="W209" s="2">
        <f>MAX(J209:U209)</f>
        <v/>
      </c>
      <c r="X209" s="2">
        <f>W209*G209</f>
        <v/>
      </c>
    </row>
    <row r="210">
      <c r="A210" s="2" t="inlineStr">
        <is>
          <t>14-D-A433</t>
        </is>
      </c>
      <c r="B210" s="3" t="inlineStr">
        <is>
          <t>DOJC-SM-SC/PC-SC/APC</t>
        </is>
      </c>
      <c r="C210" s="2" t="inlineStr">
        <is>
          <t>7M_적색케이블</t>
        </is>
      </c>
      <c r="D210" s="2" t="inlineStr">
        <is>
          <t>a1-적</t>
        </is>
      </c>
      <c r="E210" s="2" t="inlineStr">
        <is>
          <t>2.0mm</t>
        </is>
      </c>
      <c r="F210" s="2" t="n">
        <v>2</v>
      </c>
      <c r="G210" s="2" t="n">
        <v>7</v>
      </c>
      <c r="H210" s="2" t="inlineStr">
        <is>
          <t>SC/PC</t>
        </is>
      </c>
      <c r="I210" s="2" t="inlineStr">
        <is>
          <t>SC/APC</t>
        </is>
      </c>
      <c r="J210" s="2" t="n"/>
      <c r="K210" s="2" t="n"/>
      <c r="L210" s="2" t="n"/>
      <c r="M210" s="2" t="n"/>
      <c r="N210" s="2" t="n"/>
      <c r="O210" s="2" t="n"/>
      <c r="P210" s="2" t="n">
        <v>10</v>
      </c>
      <c r="Q210" s="2" t="n"/>
      <c r="R210" s="2" t="n"/>
      <c r="S210" s="2" t="n"/>
      <c r="T210" s="2" t="n"/>
      <c r="U210" s="2" t="n"/>
      <c r="V210" s="2">
        <f>SUM(J210:U210)*G210</f>
        <v/>
      </c>
      <c r="W210" s="2">
        <f>MAX(J210:U210)</f>
        <v/>
      </c>
      <c r="X210" s="2">
        <f>W210*G210</f>
        <v/>
      </c>
    </row>
    <row r="211">
      <c r="A211" s="2" t="inlineStr">
        <is>
          <t>14-D-A434</t>
        </is>
      </c>
      <c r="B211" s="3" t="inlineStr">
        <is>
          <t>DOJC-SM-SC/PC-SC/APC</t>
        </is>
      </c>
      <c r="C211" s="2" t="inlineStr">
        <is>
          <t>10M_적색케이블</t>
        </is>
      </c>
      <c r="D211" s="2" t="inlineStr">
        <is>
          <t>a1-적</t>
        </is>
      </c>
      <c r="E211" s="2" t="inlineStr">
        <is>
          <t>2.0mm</t>
        </is>
      </c>
      <c r="F211" s="2" t="n">
        <v>2</v>
      </c>
      <c r="G211" s="2" t="n">
        <v>10</v>
      </c>
      <c r="H211" s="2" t="inlineStr">
        <is>
          <t>SC/PC</t>
        </is>
      </c>
      <c r="I211" s="2" t="inlineStr">
        <is>
          <t>SC/APC</t>
        </is>
      </c>
      <c r="J211" s="2" t="n"/>
      <c r="K211" s="2" t="n"/>
      <c r="L211" s="2" t="n"/>
      <c r="M211" s="2" t="n"/>
      <c r="N211" s="2" t="n"/>
      <c r="O211" s="2" t="n"/>
      <c r="P211" s="2" t="n">
        <v>10</v>
      </c>
      <c r="Q211" s="2" t="n"/>
      <c r="R211" s="2" t="n"/>
      <c r="S211" s="2" t="n"/>
      <c r="T211" s="2" t="n"/>
      <c r="U211" s="2" t="n"/>
      <c r="V211" s="2">
        <f>SUM(J211:U211)*G211</f>
        <v/>
      </c>
      <c r="W211" s="2">
        <f>MAX(J211:U211)</f>
        <v/>
      </c>
      <c r="X211" s="2">
        <f>W211*G211</f>
        <v/>
      </c>
    </row>
    <row r="212">
      <c r="A212" s="2" t="inlineStr">
        <is>
          <t>14-D-A436</t>
        </is>
      </c>
      <c r="B212" s="3" t="inlineStr">
        <is>
          <t>OJC-A1-LC/LC-SM-29-PC/PC-DP</t>
        </is>
      </c>
      <c r="C212" s="2" t="inlineStr"/>
      <c r="D212" s="2" t="inlineStr">
        <is>
          <t>a1</t>
        </is>
      </c>
      <c r="E212" s="2" t="inlineStr">
        <is>
          <t>2.0mm</t>
        </is>
      </c>
      <c r="F212" s="2" t="n">
        <v>2</v>
      </c>
      <c r="G212" s="2" t="n">
        <v>29</v>
      </c>
      <c r="H212" s="2" t="inlineStr">
        <is>
          <t>LC/PC</t>
        </is>
      </c>
      <c r="I212" s="2" t="inlineStr">
        <is>
          <t>LC/PC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>
        <v>1</v>
      </c>
      <c r="S212" s="2" t="n"/>
      <c r="T212" s="2" t="n"/>
      <c r="U212" s="2" t="n"/>
      <c r="V212" s="2">
        <f>SUM(J212:U212)*G212</f>
        <v/>
      </c>
      <c r="W212" s="2">
        <f>MAX(J212:U212)</f>
        <v/>
      </c>
      <c r="X212" s="2">
        <f>W212*G212</f>
        <v/>
      </c>
    </row>
    <row r="213">
      <c r="A213" s="2" t="inlineStr">
        <is>
          <t>14-D-A437</t>
        </is>
      </c>
      <c r="B213" s="3" t="inlineStr">
        <is>
          <t>OJC-A1-LC/LC-SM-32-PC/PC-DP</t>
        </is>
      </c>
      <c r="C213" s="2" t="inlineStr"/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32</v>
      </c>
      <c r="H213" s="2" t="inlineStr">
        <is>
          <t>LC/PC</t>
        </is>
      </c>
      <c r="I213" s="2" t="inlineStr">
        <is>
          <t>LC/PC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>
        <v>1</v>
      </c>
      <c r="S213" s="2" t="n"/>
      <c r="T213" s="2" t="n"/>
      <c r="U213" s="2" t="n"/>
      <c r="V213" s="2">
        <f>SUM(J213:U213)*G213</f>
        <v/>
      </c>
      <c r="W213" s="2">
        <f>MAX(J213:U213)</f>
        <v/>
      </c>
      <c r="X213" s="2">
        <f>W213*G213</f>
        <v/>
      </c>
    </row>
    <row r="214">
      <c r="A214" s="2" t="inlineStr">
        <is>
          <t>14-D-A438</t>
        </is>
      </c>
      <c r="B214" s="3" t="inlineStr">
        <is>
          <t>OJC-A1-LC/LC-SM-38-PC/PC-DP</t>
        </is>
      </c>
      <c r="C214" s="2" t="inlineStr"/>
      <c r="D214" s="2" t="inlineStr">
        <is>
          <t>a1</t>
        </is>
      </c>
      <c r="E214" s="2" t="inlineStr">
        <is>
          <t>2.0mm</t>
        </is>
      </c>
      <c r="F214" s="2" t="n">
        <v>2</v>
      </c>
      <c r="G214" s="2" t="n">
        <v>38</v>
      </c>
      <c r="H214" s="2" t="inlineStr">
        <is>
          <t>LC/PC</t>
        </is>
      </c>
      <c r="I214" s="2" t="inlineStr">
        <is>
          <t>LC/PC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>
        <v>1</v>
      </c>
      <c r="S214" s="2" t="n"/>
      <c r="T214" s="2" t="n"/>
      <c r="U214" s="2" t="n"/>
      <c r="V214" s="2">
        <f>SUM(J214:U214)*G214</f>
        <v/>
      </c>
      <c r="W214" s="2">
        <f>MAX(J214:U214)</f>
        <v/>
      </c>
      <c r="X214" s="2">
        <f>W214*G214</f>
        <v/>
      </c>
    </row>
    <row r="215">
      <c r="A215" s="2" t="inlineStr">
        <is>
          <t>14-D-A439</t>
        </is>
      </c>
      <c r="B215" s="3" t="inlineStr">
        <is>
          <t>DOJC-MM-SC/PC-SC/PC</t>
        </is>
      </c>
      <c r="C215" s="2" t="inlineStr">
        <is>
          <t>0.5M</t>
        </is>
      </c>
      <c r="D215" s="2" t="inlineStr">
        <is>
          <t>om1</t>
        </is>
      </c>
      <c r="E215" s="2" t="inlineStr">
        <is>
          <t>2.0mm</t>
        </is>
      </c>
      <c r="F215" s="2" t="n">
        <v>2</v>
      </c>
      <c r="G215" s="2" t="n">
        <v>0.5</v>
      </c>
      <c r="H215" s="2" t="inlineStr">
        <is>
          <t>SC/PC</t>
        </is>
      </c>
      <c r="I215" s="2" t="inlineStr">
        <is>
          <t>SC/PC</t>
        </is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>
        <v>200</v>
      </c>
      <c r="S215" s="2" t="n"/>
      <c r="T215" s="2" t="n"/>
      <c r="U215" s="2" t="n"/>
      <c r="V215" s="2">
        <f>SUM(J215:U215)*G215</f>
        <v/>
      </c>
      <c r="W215" s="2">
        <f>MAX(J215:U215)</f>
        <v/>
      </c>
      <c r="X215" s="2">
        <f>W215*G215</f>
        <v/>
      </c>
    </row>
    <row r="216">
      <c r="A216" s="2" t="inlineStr">
        <is>
          <t>14-D-A440</t>
        </is>
      </c>
      <c r="B216" s="3" t="inlineStr">
        <is>
          <t>DOJC-SM-SC/PC-FC/PC</t>
        </is>
      </c>
      <c r="C216" s="2" t="inlineStr">
        <is>
          <t>40M</t>
        </is>
      </c>
      <c r="D216" s="2" t="inlineStr">
        <is>
          <t>a1</t>
        </is>
      </c>
      <c r="E216" s="2" t="inlineStr">
        <is>
          <t>2.0mm</t>
        </is>
      </c>
      <c r="F216" s="2" t="n">
        <v>2</v>
      </c>
      <c r="G216" s="2" t="n">
        <v>40</v>
      </c>
      <c r="H216" s="2" t="inlineStr">
        <is>
          <t>SC/PC</t>
        </is>
      </c>
      <c r="I216" s="2" t="inlineStr">
        <is>
          <t>FC/PC</t>
        </is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>
        <v>2</v>
      </c>
      <c r="T216" s="2" t="n"/>
      <c r="U216" s="2" t="n"/>
      <c r="V216" s="2">
        <f>SUM(J216:U216)*G216</f>
        <v/>
      </c>
      <c r="W216" s="2">
        <f>MAX(J216:U216)</f>
        <v/>
      </c>
      <c r="X216" s="2">
        <f>W216*G216</f>
        <v/>
      </c>
    </row>
    <row r="217">
      <c r="A217" s="2" t="inlineStr">
        <is>
          <t>14-D-A442</t>
        </is>
      </c>
      <c r="B217" s="3" t="inlineStr">
        <is>
          <t>DOJC-MM(OM3)-LC/PC-LC/PC</t>
        </is>
      </c>
      <c r="C217" s="2" t="inlineStr">
        <is>
          <t>67M</t>
        </is>
      </c>
      <c r="D217" s="2" t="inlineStr">
        <is>
          <t>om3</t>
        </is>
      </c>
      <c r="E217" s="2" t="inlineStr">
        <is>
          <t>2.0mm</t>
        </is>
      </c>
      <c r="F217" s="2" t="n">
        <v>2</v>
      </c>
      <c r="G217" s="2" t="n">
        <v>67</v>
      </c>
      <c r="H217" s="2" t="inlineStr">
        <is>
          <t>LC/PC</t>
        </is>
      </c>
      <c r="I217" s="2" t="inlineStr">
        <is>
          <t>LC/PC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>
        <v>1</v>
      </c>
      <c r="U217" s="2" t="n"/>
      <c r="V217" s="2">
        <f>SUM(J217:U217)*G217</f>
        <v/>
      </c>
      <c r="W217" s="2">
        <f>MAX(J217:U217)</f>
        <v/>
      </c>
      <c r="X217" s="2">
        <f>W217*G217</f>
        <v/>
      </c>
    </row>
    <row r="218">
      <c r="A218" s="2" t="inlineStr">
        <is>
          <t>14-D-A443</t>
        </is>
      </c>
      <c r="B218" s="3" t="inlineStr">
        <is>
          <t>DOJC-MM(OM3)-LC/PC-LC/PC</t>
        </is>
      </c>
      <c r="C218" s="2" t="inlineStr">
        <is>
          <t>77M</t>
        </is>
      </c>
      <c r="D218" s="2" t="inlineStr">
        <is>
          <t>om3</t>
        </is>
      </c>
      <c r="E218" s="2" t="inlineStr">
        <is>
          <t>2.0mm</t>
        </is>
      </c>
      <c r="F218" s="2" t="n">
        <v>2</v>
      </c>
      <c r="G218" s="2" t="n">
        <v>77</v>
      </c>
      <c r="H218" s="2" t="inlineStr">
        <is>
          <t>LC/PC</t>
        </is>
      </c>
      <c r="I218" s="2" t="inlineStr">
        <is>
          <t>LC/PC</t>
        </is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>
        <v>1</v>
      </c>
      <c r="U218" s="2" t="n"/>
      <c r="V218" s="2">
        <f>SUM(J218:U218)*G218</f>
        <v/>
      </c>
      <c r="W218" s="2">
        <f>MAX(J218:U218)</f>
        <v/>
      </c>
      <c r="X218" s="2">
        <f>W218*G218</f>
        <v/>
      </c>
    </row>
    <row r="219">
      <c r="A219" s="2" t="inlineStr">
        <is>
          <t>14-D-A444</t>
        </is>
      </c>
      <c r="B219" s="3" t="inlineStr">
        <is>
          <t>DOJC-MM(OM3)-LC/PC-LC/PC</t>
        </is>
      </c>
      <c r="C219" s="2" t="inlineStr">
        <is>
          <t>112M</t>
        </is>
      </c>
      <c r="D219" s="2" t="inlineStr">
        <is>
          <t>om3</t>
        </is>
      </c>
      <c r="E219" s="2" t="inlineStr">
        <is>
          <t>2.0mm</t>
        </is>
      </c>
      <c r="F219" s="2" t="n">
        <v>2</v>
      </c>
      <c r="G219" s="2" t="n">
        <v>112</v>
      </c>
      <c r="H219" s="2" t="inlineStr">
        <is>
          <t>LC/PC</t>
        </is>
      </c>
      <c r="I219" s="2" t="inlineStr">
        <is>
          <t>LC/PC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>
        <v>1</v>
      </c>
      <c r="U219" s="2" t="n"/>
      <c r="V219" s="2">
        <f>SUM(J219:U219)*G219</f>
        <v/>
      </c>
      <c r="W219" s="2">
        <f>MAX(J219:U219)</f>
        <v/>
      </c>
      <c r="X219" s="2">
        <f>W219*G219</f>
        <v/>
      </c>
    </row>
    <row r="220">
      <c r="A220" s="2" t="inlineStr">
        <is>
          <t>14-D-A73</t>
        </is>
      </c>
      <c r="B220" s="3" t="inlineStr">
        <is>
          <t>DOJC-MM(OM3)-LC/PC-LC/PC</t>
        </is>
      </c>
      <c r="C220" s="2" t="inlineStr">
        <is>
          <t>17M</t>
        </is>
      </c>
      <c r="D220" s="2" t="inlineStr">
        <is>
          <t>om3</t>
        </is>
      </c>
      <c r="E220" s="2" t="inlineStr">
        <is>
          <t>2.0mm</t>
        </is>
      </c>
      <c r="F220" s="2" t="n">
        <v>2</v>
      </c>
      <c r="G220" s="2" t="n">
        <v>17</v>
      </c>
      <c r="H220" s="2" t="inlineStr">
        <is>
          <t>LC/PC</t>
        </is>
      </c>
      <c r="I220" s="2" t="inlineStr">
        <is>
          <t>LC/PC</t>
        </is>
      </c>
      <c r="J220" s="2" t="n"/>
      <c r="K220" s="2" t="n"/>
      <c r="L220" s="2" t="n">
        <v>16</v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>
        <f>SUM(J220:U220)*G220</f>
        <v/>
      </c>
      <c r="W220" s="2">
        <f>MAX(J220:U220)</f>
        <v/>
      </c>
      <c r="X220" s="2">
        <f>W220*G220</f>
        <v/>
      </c>
    </row>
    <row r="221">
      <c r="A221" s="2" t="inlineStr">
        <is>
          <t>14-D-A87</t>
        </is>
      </c>
      <c r="B221" s="3" t="inlineStr">
        <is>
          <t>DOJC-SM-LC/PC-LC/PC</t>
        </is>
      </c>
      <c r="C221" s="2" t="inlineStr">
        <is>
          <t>8M_청색</t>
        </is>
      </c>
      <c r="D221" s="2" t="inlineStr">
        <is>
          <t>a1-청</t>
        </is>
      </c>
      <c r="E221" s="2" t="inlineStr">
        <is>
          <t>2.0mm</t>
        </is>
      </c>
      <c r="F221" s="2" t="n">
        <v>2</v>
      </c>
      <c r="G221" s="2" t="n">
        <v>8</v>
      </c>
      <c r="H221" s="2" t="inlineStr">
        <is>
          <t>LC/PC</t>
        </is>
      </c>
      <c r="I221" s="2" t="inlineStr">
        <is>
          <t>LC/PC</t>
        </is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>
        <v>90</v>
      </c>
      <c r="V221" s="2">
        <f>SUM(J221:U221)*G221</f>
        <v/>
      </c>
      <c r="W221" s="2">
        <f>MAX(J221:U221)</f>
        <v/>
      </c>
      <c r="X221" s="2">
        <f>W221*G221</f>
        <v/>
      </c>
    </row>
    <row r="222">
      <c r="A222" s="2" t="inlineStr">
        <is>
          <t>14-D-A99</t>
        </is>
      </c>
      <c r="B222" s="3" t="inlineStr">
        <is>
          <t>OJC-A1-SC/LC-SM-30-PC/PC-DP</t>
        </is>
      </c>
      <c r="C222" s="2" t="inlineStr">
        <is>
          <t>K9089166_녹색</t>
        </is>
      </c>
      <c r="D222" s="2" t="inlineStr">
        <is>
          <t>a1-녹</t>
        </is>
      </c>
      <c r="E222" s="2" t="inlineStr">
        <is>
          <t>2.0mm</t>
        </is>
      </c>
      <c r="F222" s="2" t="n">
        <v>2</v>
      </c>
      <c r="G222" s="2" t="n">
        <v>30</v>
      </c>
      <c r="H222" s="2" t="inlineStr">
        <is>
          <t>SC/PC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>
        <v>6</v>
      </c>
      <c r="P222" s="2" t="n"/>
      <c r="Q222" s="2" t="n"/>
      <c r="R222" s="2" t="n"/>
      <c r="S222" s="2" t="n"/>
      <c r="T222" s="2" t="n"/>
      <c r="U222" s="2" t="n"/>
      <c r="V222" s="2">
        <f>SUM(J222:U222)*G222</f>
        <v/>
      </c>
      <c r="W222" s="2">
        <f>MAX(J222:U222)</f>
        <v/>
      </c>
      <c r="X222" s="2">
        <f>W222*G222</f>
        <v/>
      </c>
    </row>
    <row r="223">
      <c r="A223" s="2" t="inlineStr">
        <is>
          <t>14-K-024</t>
        </is>
      </c>
      <c r="B223" s="3" t="inlineStr">
        <is>
          <t>OJC-A1-LC/LC-MM(OM3)-20-PC/PC-DP</t>
        </is>
      </c>
      <c r="C223" s="2" t="inlineStr"/>
      <c r="D223" s="2" t="inlineStr">
        <is>
          <t>om3</t>
        </is>
      </c>
      <c r="E223" s="2" t="inlineStr">
        <is>
          <t>2.0mm</t>
        </is>
      </c>
      <c r="F223" s="2" t="n">
        <v>2</v>
      </c>
      <c r="G223" s="2" t="n">
        <v>20</v>
      </c>
      <c r="H223" s="2" t="inlineStr">
        <is>
          <t>LC/PC</t>
        </is>
      </c>
      <c r="I223" s="2" t="inlineStr">
        <is>
          <t>LC/PC</t>
        </is>
      </c>
      <c r="J223" s="2" t="n">
        <v>1</v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SUM(J223:U223)*G223</f>
        <v/>
      </c>
      <c r="W223" s="2">
        <f>MAX(J223:U223)</f>
        <v/>
      </c>
      <c r="X223" s="2">
        <f>W223*G223</f>
        <v/>
      </c>
    </row>
    <row r="224">
      <c r="A224" s="2" t="inlineStr">
        <is>
          <t>14-K-025</t>
        </is>
      </c>
      <c r="B224" s="3" t="inlineStr">
        <is>
          <t>OJC-A1-LC/LC-MM(OM3)-25-PC/PC-DP</t>
        </is>
      </c>
      <c r="C224" s="2" t="inlineStr"/>
      <c r="D224" s="2" t="inlineStr">
        <is>
          <t>om3</t>
        </is>
      </c>
      <c r="E224" s="2" t="inlineStr">
        <is>
          <t>2.0mm</t>
        </is>
      </c>
      <c r="F224" s="2" t="n">
        <v>2</v>
      </c>
      <c r="G224" s="2" t="n">
        <v>25</v>
      </c>
      <c r="H224" s="2" t="inlineStr">
        <is>
          <t>LC/PC</t>
        </is>
      </c>
      <c r="I224" s="2" t="inlineStr">
        <is>
          <t>LC/PC</t>
        </is>
      </c>
      <c r="J224" s="2" t="n"/>
      <c r="K224" s="2" t="n"/>
      <c r="L224" s="2" t="n">
        <v>5</v>
      </c>
      <c r="M224" s="2" t="n"/>
      <c r="N224" s="2" t="n"/>
      <c r="O224" s="2" t="n"/>
      <c r="P224" s="2" t="n"/>
      <c r="Q224" s="2" t="n"/>
      <c r="R224" s="2" t="n"/>
      <c r="S224" s="2" t="n">
        <v>6</v>
      </c>
      <c r="T224" s="2" t="n"/>
      <c r="U224" s="2" t="n">
        <v>10</v>
      </c>
      <c r="V224" s="2">
        <f>SUM(J224:U224)*G224</f>
        <v/>
      </c>
      <c r="W224" s="2">
        <f>MAX(J224:U224)</f>
        <v/>
      </c>
      <c r="X224" s="2">
        <f>W224*G224</f>
        <v/>
      </c>
    </row>
    <row r="225">
      <c r="A225" s="2" t="inlineStr">
        <is>
          <t>14-K-026</t>
        </is>
      </c>
      <c r="B225" s="3" t="inlineStr">
        <is>
          <t>OJC-A1-LC/LC-MM(OM3)-30-PC/PC-DP</t>
        </is>
      </c>
      <c r="C225" s="2" t="inlineStr"/>
      <c r="D225" s="2" t="inlineStr">
        <is>
          <t>om3</t>
        </is>
      </c>
      <c r="E225" s="2" t="inlineStr">
        <is>
          <t>2.0mm</t>
        </is>
      </c>
      <c r="F225" s="2" t="n">
        <v>2</v>
      </c>
      <c r="G225" s="2" t="n">
        <v>30</v>
      </c>
      <c r="H225" s="2" t="inlineStr">
        <is>
          <t>LC/PC</t>
        </is>
      </c>
      <c r="I225" s="2" t="inlineStr">
        <is>
          <t>LC/PC</t>
        </is>
      </c>
      <c r="J225" s="2" t="n"/>
      <c r="K225" s="2" t="n"/>
      <c r="L225" s="2" t="n">
        <v>10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>
        <f>SUM(J225:U225)*G225</f>
        <v/>
      </c>
      <c r="W225" s="2">
        <f>MAX(J225:U225)</f>
        <v/>
      </c>
      <c r="X225" s="2">
        <f>W225*G225</f>
        <v/>
      </c>
    </row>
    <row r="226">
      <c r="A226" s="2" t="inlineStr">
        <is>
          <t>14-K-027</t>
        </is>
      </c>
      <c r="B226" s="3" t="inlineStr">
        <is>
          <t>OJC-A1-LC/LC-MM(OM3)-35-PC/PC-DP</t>
        </is>
      </c>
      <c r="C226" s="2" t="inlineStr"/>
      <c r="D226" s="2" t="inlineStr">
        <is>
          <t>om3</t>
        </is>
      </c>
      <c r="E226" s="2" t="inlineStr">
        <is>
          <t>2.0mm</t>
        </is>
      </c>
      <c r="F226" s="2" t="n">
        <v>2</v>
      </c>
      <c r="G226" s="2" t="n">
        <v>35</v>
      </c>
      <c r="H226" s="2" t="inlineStr">
        <is>
          <t>LC/PC</t>
        </is>
      </c>
      <c r="I226" s="2" t="inlineStr">
        <is>
          <t>LC/PC</t>
        </is>
      </c>
      <c r="J226" s="2" t="n"/>
      <c r="K226" s="2" t="n"/>
      <c r="L226" s="2" t="n">
        <v>5</v>
      </c>
      <c r="M226" s="2" t="n"/>
      <c r="N226" s="2" t="n"/>
      <c r="O226" s="2" t="n"/>
      <c r="P226" s="2" t="n"/>
      <c r="Q226" s="2" t="n"/>
      <c r="R226" s="2" t="n"/>
      <c r="S226" s="2" t="n"/>
      <c r="T226" s="2" t="n">
        <v>24</v>
      </c>
      <c r="U226" s="2" t="n"/>
      <c r="V226" s="2">
        <f>SUM(J226:U226)*G226</f>
        <v/>
      </c>
      <c r="W226" s="2">
        <f>MAX(J226:U226)</f>
        <v/>
      </c>
      <c r="X226" s="2">
        <f>W226*G226</f>
        <v/>
      </c>
    </row>
    <row r="227">
      <c r="A227" s="2" t="inlineStr">
        <is>
          <t>14-K-028</t>
        </is>
      </c>
      <c r="B227" s="3" t="inlineStr">
        <is>
          <t>OJC-A1-LC/LC-MM(OM3)-3-PC/PC-DP</t>
        </is>
      </c>
      <c r="C227" s="2" t="inlineStr"/>
      <c r="D227" s="2" t="inlineStr">
        <is>
          <t>om3</t>
        </is>
      </c>
      <c r="E227" s="2" t="inlineStr">
        <is>
          <t>2.0mm</t>
        </is>
      </c>
      <c r="F227" s="2" t="n">
        <v>2</v>
      </c>
      <c r="G227" s="2" t="n">
        <v>3</v>
      </c>
      <c r="H227" s="2" t="inlineStr">
        <is>
          <t>LC/PC</t>
        </is>
      </c>
      <c r="I227" s="2" t="inlineStr">
        <is>
          <t>LC/PC</t>
        </is>
      </c>
      <c r="J227" s="2" t="n">
        <v>145</v>
      </c>
      <c r="K227" s="2" t="n"/>
      <c r="L227" s="2" t="n">
        <v>5</v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>
        <f>SUM(J227:U227)*G227</f>
        <v/>
      </c>
      <c r="W227" s="2">
        <f>MAX(J227:U227)</f>
        <v/>
      </c>
      <c r="X227" s="2">
        <f>W227*G227</f>
        <v/>
      </c>
    </row>
    <row r="228">
      <c r="A228" s="2" t="inlineStr">
        <is>
          <t>14-K-029</t>
        </is>
      </c>
      <c r="B228" s="3" t="inlineStr">
        <is>
          <t>OJC-A1-LC/LC-MM(OM3)-50-PC/PC-DP</t>
        </is>
      </c>
      <c r="C228" s="2" t="inlineStr"/>
      <c r="D228" s="2" t="inlineStr">
        <is>
          <t>om3</t>
        </is>
      </c>
      <c r="E228" s="2" t="inlineStr">
        <is>
          <t>2.0mm</t>
        </is>
      </c>
      <c r="F228" s="2" t="n">
        <v>2</v>
      </c>
      <c r="G228" s="2" t="n">
        <v>50</v>
      </c>
      <c r="H228" s="2" t="inlineStr">
        <is>
          <t>LC/PC</t>
        </is>
      </c>
      <c r="I228" s="2" t="inlineStr">
        <is>
          <t>LC/PC</t>
        </is>
      </c>
      <c r="J228" s="2" t="n"/>
      <c r="K228" s="2" t="n"/>
      <c r="L228" s="2" t="n"/>
      <c r="M228" s="2" t="n"/>
      <c r="N228" s="2" t="n"/>
      <c r="O228" s="2" t="n">
        <v>8</v>
      </c>
      <c r="P228" s="2" t="n"/>
      <c r="Q228" s="2" t="n"/>
      <c r="R228" s="2" t="n"/>
      <c r="S228" s="2" t="n"/>
      <c r="T228" s="2" t="n"/>
      <c r="U228" s="2" t="n"/>
      <c r="V228" s="2">
        <f>SUM(J228:U228)*G228</f>
        <v/>
      </c>
      <c r="W228" s="2">
        <f>MAX(J228:U228)</f>
        <v/>
      </c>
      <c r="X228" s="2">
        <f>W228*G228</f>
        <v/>
      </c>
    </row>
    <row r="229">
      <c r="A229" s="2" t="inlineStr">
        <is>
          <t>14-K-031</t>
        </is>
      </c>
      <c r="B229" s="3" t="inlineStr">
        <is>
          <t>OJC-A1-LC/LC-MM(OM3)-5-PC/PC-DP</t>
        </is>
      </c>
      <c r="C229" s="2" t="inlineStr"/>
      <c r="D229" s="2" t="inlineStr">
        <is>
          <t>om3</t>
        </is>
      </c>
      <c r="E229" s="2" t="inlineStr">
        <is>
          <t>2.0mm</t>
        </is>
      </c>
      <c r="F229" s="2" t="n">
        <v>2</v>
      </c>
      <c r="G229" s="2" t="n">
        <v>5</v>
      </c>
      <c r="H229" s="2" t="inlineStr">
        <is>
          <t>LC/PC</t>
        </is>
      </c>
      <c r="I229" s="2" t="inlineStr">
        <is>
          <t>LC/PC</t>
        </is>
      </c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>
        <v>35</v>
      </c>
      <c r="V229" s="2">
        <f>SUM(J229:U229)*G229</f>
        <v/>
      </c>
      <c r="W229" s="2">
        <f>MAX(J229:U229)</f>
        <v/>
      </c>
      <c r="X229" s="2">
        <f>W229*G229</f>
        <v/>
      </c>
    </row>
    <row r="230">
      <c r="A230" s="2" t="inlineStr">
        <is>
          <t>14-K-032</t>
        </is>
      </c>
      <c r="B230" s="3" t="inlineStr">
        <is>
          <t>OJC-A1-LC/LC-MM(OM3)-8-PC/PC-DP</t>
        </is>
      </c>
      <c r="C230" s="2" t="inlineStr"/>
      <c r="D230" s="2" t="inlineStr">
        <is>
          <t>om3</t>
        </is>
      </c>
      <c r="E230" s="2" t="inlineStr">
        <is>
          <t>2.0mm</t>
        </is>
      </c>
      <c r="F230" s="2" t="n">
        <v>2</v>
      </c>
      <c r="G230" s="2" t="n">
        <v>8</v>
      </c>
      <c r="H230" s="2" t="inlineStr">
        <is>
          <t>LC/PC</t>
        </is>
      </c>
      <c r="I230" s="2" t="inlineStr">
        <is>
          <t>LC/PC</t>
        </is>
      </c>
      <c r="J230" s="2" t="n"/>
      <c r="K230" s="2" t="n"/>
      <c r="L230" s="2" t="n">
        <v>25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SUM(J230:U230)*G230</f>
        <v/>
      </c>
      <c r="W230" s="2">
        <f>MAX(J230:U230)</f>
        <v/>
      </c>
      <c r="X230" s="2">
        <f>W230*G230</f>
        <v/>
      </c>
    </row>
    <row r="231">
      <c r="A231" s="2" t="inlineStr">
        <is>
          <t>14-K-039</t>
        </is>
      </c>
      <c r="B231" s="3" t="inlineStr">
        <is>
          <t>OJC-A1-LC/LC-MM-15-PC/PC-DP</t>
        </is>
      </c>
      <c r="C231" s="2" t="inlineStr">
        <is>
          <t>K9089335</t>
        </is>
      </c>
      <c r="D231" s="2" t="inlineStr">
        <is>
          <t>om1</t>
        </is>
      </c>
      <c r="E231" s="2" t="inlineStr">
        <is>
          <t>2.0mm</t>
        </is>
      </c>
      <c r="F231" s="2" t="n">
        <v>2</v>
      </c>
      <c r="G231" s="2" t="n">
        <v>15</v>
      </c>
      <c r="H231" s="2" t="inlineStr">
        <is>
          <t>LC/PC</t>
        </is>
      </c>
      <c r="I231" s="2" t="inlineStr">
        <is>
          <t>LC/PC</t>
        </is>
      </c>
      <c r="J231" s="2" t="n">
        <v>1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SUM(J231:U231)*G231</f>
        <v/>
      </c>
      <c r="W231" s="2">
        <f>MAX(J231:U231)</f>
        <v/>
      </c>
      <c r="X231" s="2">
        <f>W231*G231</f>
        <v/>
      </c>
    </row>
    <row r="232">
      <c r="A232" s="2" t="inlineStr">
        <is>
          <t>14-K-041</t>
        </is>
      </c>
      <c r="B232" s="3" t="inlineStr">
        <is>
          <t>OJC-A1-LC/LC-MM-16-PC/PC-DP</t>
        </is>
      </c>
      <c r="C232" s="2" t="inlineStr"/>
      <c r="D232" s="2" t="inlineStr">
        <is>
          <t>om1</t>
        </is>
      </c>
      <c r="E232" s="2" t="inlineStr">
        <is>
          <t>2.0mm</t>
        </is>
      </c>
      <c r="F232" s="2" t="n">
        <v>2</v>
      </c>
      <c r="G232" s="2" t="n">
        <v>16</v>
      </c>
      <c r="H232" s="2" t="inlineStr">
        <is>
          <t>LC/PC</t>
        </is>
      </c>
      <c r="I232" s="2" t="inlineStr">
        <is>
          <t>LC/PC</t>
        </is>
      </c>
      <c r="J232" s="2" t="n">
        <v>1</v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>
        <f>SUM(J232:U232)*G232</f>
        <v/>
      </c>
      <c r="W232" s="2">
        <f>MAX(J232:U232)</f>
        <v/>
      </c>
      <c r="X232" s="2">
        <f>W232*G232</f>
        <v/>
      </c>
    </row>
    <row r="233">
      <c r="A233" s="2" t="inlineStr">
        <is>
          <t>14-K-044</t>
        </is>
      </c>
      <c r="B233" s="3" t="inlineStr">
        <is>
          <t>OJC-A1-LC/LC-MM-20-PC/PC-DP</t>
        </is>
      </c>
      <c r="C233" s="2" t="inlineStr">
        <is>
          <t>K9089336</t>
        </is>
      </c>
      <c r="D233" s="2" t="inlineStr">
        <is>
          <t>om1</t>
        </is>
      </c>
      <c r="E233" s="2" t="inlineStr">
        <is>
          <t>2.0mm</t>
        </is>
      </c>
      <c r="F233" s="2" t="n">
        <v>2</v>
      </c>
      <c r="G233" s="2" t="n">
        <v>20</v>
      </c>
      <c r="H233" s="2" t="inlineStr">
        <is>
          <t>LC/PC</t>
        </is>
      </c>
      <c r="I233" s="2" t="inlineStr">
        <is>
          <t>LC/PC</t>
        </is>
      </c>
      <c r="J233" s="2" t="n">
        <v>3</v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>
        <v>887</v>
      </c>
      <c r="T233" s="2" t="n">
        <v>4</v>
      </c>
      <c r="U233" s="2" t="n"/>
      <c r="V233" s="2">
        <f>SUM(J233:U233)*G233</f>
        <v/>
      </c>
      <c r="W233" s="2">
        <f>MAX(J233:U233)</f>
        <v/>
      </c>
      <c r="X233" s="2">
        <f>W233*G233</f>
        <v/>
      </c>
    </row>
    <row r="234">
      <c r="A234" s="2" t="inlineStr">
        <is>
          <t>14-K-045</t>
        </is>
      </c>
      <c r="B234" s="3" t="inlineStr">
        <is>
          <t>OJC-A1-LC/LC-MM-20-PC/PC-SP</t>
        </is>
      </c>
      <c r="C234" s="2" t="inlineStr">
        <is>
          <t>K9089288</t>
        </is>
      </c>
      <c r="D234" s="2" t="inlineStr">
        <is>
          <t>om1</t>
        </is>
      </c>
      <c r="E234" s="2" t="inlineStr">
        <is>
          <t>2.0mm</t>
        </is>
      </c>
      <c r="F234" s="2" t="n">
        <v>1</v>
      </c>
      <c r="G234" s="2" t="n">
        <v>20</v>
      </c>
      <c r="H234" s="2" t="inlineStr">
        <is>
          <t>LC/PC</t>
        </is>
      </c>
      <c r="I234" s="2" t="inlineStr">
        <is>
          <t>LC/PC</t>
        </is>
      </c>
      <c r="J234" s="2" t="n"/>
      <c r="K234" s="2" t="n"/>
      <c r="L234" s="2" t="n">
        <v>3</v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SUM(J234:U234)*G234</f>
        <v/>
      </c>
      <c r="W234" s="2">
        <f>MAX(J234:U234)</f>
        <v/>
      </c>
      <c r="X234" s="2">
        <f>W234*G234</f>
        <v/>
      </c>
    </row>
    <row r="235">
      <c r="A235" s="2" t="inlineStr">
        <is>
          <t>14-K-047</t>
        </is>
      </c>
      <c r="B235" s="3" t="inlineStr">
        <is>
          <t>OJC-A1-LC/LC-MM-25-PC/PC-DP</t>
        </is>
      </c>
      <c r="C235" s="2" t="inlineStr">
        <is>
          <t>K9089337</t>
        </is>
      </c>
      <c r="D235" s="2" t="inlineStr">
        <is>
          <t>om1</t>
        </is>
      </c>
      <c r="E235" s="2" t="inlineStr">
        <is>
          <t>2.0mm</t>
        </is>
      </c>
      <c r="F235" s="2" t="n">
        <v>2</v>
      </c>
      <c r="G235" s="2" t="n">
        <v>25</v>
      </c>
      <c r="H235" s="2" t="inlineStr">
        <is>
          <t>LC/PC</t>
        </is>
      </c>
      <c r="I235" s="2" t="inlineStr">
        <is>
          <t>LC/PC</t>
        </is>
      </c>
      <c r="J235" s="2" t="n"/>
      <c r="K235" s="2" t="n">
        <v>15</v>
      </c>
      <c r="L235" s="2" t="n"/>
      <c r="M235" s="2" t="n"/>
      <c r="N235" s="2" t="n">
        <v>30</v>
      </c>
      <c r="O235" s="2" t="n">
        <v>11</v>
      </c>
      <c r="P235" s="2" t="n"/>
      <c r="Q235" s="2" t="n"/>
      <c r="R235" s="2" t="n"/>
      <c r="S235" s="2" t="n">
        <v>20</v>
      </c>
      <c r="T235" s="2" t="n"/>
      <c r="U235" s="2" t="n">
        <v>12</v>
      </c>
      <c r="V235" s="2">
        <f>SUM(J235:U235)*G235</f>
        <v/>
      </c>
      <c r="W235" s="2">
        <f>MAX(J235:U235)</f>
        <v/>
      </c>
      <c r="X235" s="2">
        <f>W235*G235</f>
        <v/>
      </c>
    </row>
    <row r="236">
      <c r="A236" s="2" t="inlineStr">
        <is>
          <t>14-K-049</t>
        </is>
      </c>
      <c r="B236" s="3" t="inlineStr">
        <is>
          <t>OJC-A1-LC/LC-MM-26-PC/PC-DP</t>
        </is>
      </c>
      <c r="C236" s="2" t="inlineStr"/>
      <c r="D236" s="2" t="inlineStr">
        <is>
          <t>om1</t>
        </is>
      </c>
      <c r="E236" s="2" t="inlineStr">
        <is>
          <t>2.0mm</t>
        </is>
      </c>
      <c r="F236" s="2" t="n">
        <v>2</v>
      </c>
      <c r="G236" s="2" t="n">
        <v>26</v>
      </c>
      <c r="H236" s="2" t="inlineStr">
        <is>
          <t>LC/PC</t>
        </is>
      </c>
      <c r="I236" s="2" t="inlineStr">
        <is>
          <t>LC/PC</t>
        </is>
      </c>
      <c r="J236" s="2" t="n"/>
      <c r="K236" s="2" t="n"/>
      <c r="L236" s="2" t="n"/>
      <c r="M236" s="2" t="n"/>
      <c r="N236" s="2" t="n">
        <v>3</v>
      </c>
      <c r="O236" s="2" t="n"/>
      <c r="P236" s="2" t="n"/>
      <c r="Q236" s="2" t="n"/>
      <c r="R236" s="2" t="n"/>
      <c r="S236" s="2" t="n"/>
      <c r="T236" s="2" t="n"/>
      <c r="U236" s="2" t="n"/>
      <c r="V236" s="2">
        <f>SUM(J236:U236)*G236</f>
        <v/>
      </c>
      <c r="W236" s="2">
        <f>MAX(J236:U236)</f>
        <v/>
      </c>
      <c r="X236" s="2">
        <f>W236*G236</f>
        <v/>
      </c>
    </row>
    <row r="237">
      <c r="A237" s="2" t="inlineStr">
        <is>
          <t>14-K-052</t>
        </is>
      </c>
      <c r="B237" s="3" t="inlineStr">
        <is>
          <t>OJC-A1-LC/LC-MM-2-PC/PC-DP</t>
        </is>
      </c>
      <c r="C237" s="2" t="inlineStr">
        <is>
          <t>K9089330</t>
        </is>
      </c>
      <c r="D237" s="2" t="inlineStr">
        <is>
          <t>om1</t>
        </is>
      </c>
      <c r="E237" s="2" t="inlineStr">
        <is>
          <t>2.0mm</t>
        </is>
      </c>
      <c r="F237" s="2" t="n">
        <v>2</v>
      </c>
      <c r="G237" s="2" t="n">
        <v>2</v>
      </c>
      <c r="H237" s="2" t="inlineStr">
        <is>
          <t>LC/PC</t>
        </is>
      </c>
      <c r="I237" s="2" t="inlineStr">
        <is>
          <t>LC/PC</t>
        </is>
      </c>
      <c r="J237" s="2" t="n"/>
      <c r="K237" s="2" t="n">
        <v>80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>
        <f>SUM(J237:U237)*G237</f>
        <v/>
      </c>
      <c r="W237" s="2">
        <f>MAX(J237:U237)</f>
        <v/>
      </c>
      <c r="X237" s="2">
        <f>W237*G237</f>
        <v/>
      </c>
    </row>
    <row r="238">
      <c r="A238" s="2" t="inlineStr">
        <is>
          <t>14-K-054</t>
        </is>
      </c>
      <c r="B238" s="3" t="inlineStr">
        <is>
          <t>OJC-A1-LC/LC-MM-30-PC/PC-DP</t>
        </is>
      </c>
      <c r="C238" s="2" t="inlineStr">
        <is>
          <t>K9089338</t>
        </is>
      </c>
      <c r="D238" s="2" t="inlineStr">
        <is>
          <t>om1</t>
        </is>
      </c>
      <c r="E238" s="2" t="inlineStr">
        <is>
          <t>2.0mm</t>
        </is>
      </c>
      <c r="F238" s="2" t="n">
        <v>2</v>
      </c>
      <c r="G238" s="2" t="n">
        <v>30</v>
      </c>
      <c r="H238" s="2" t="inlineStr">
        <is>
          <t>LC/PC</t>
        </is>
      </c>
      <c r="I238" s="2" t="inlineStr">
        <is>
          <t>LC/PC</t>
        </is>
      </c>
      <c r="J238" s="2" t="n"/>
      <c r="K238" s="2" t="n"/>
      <c r="L238" s="2" t="n"/>
      <c r="M238" s="2" t="n"/>
      <c r="N238" s="2" t="n">
        <v>20</v>
      </c>
      <c r="O238" s="2" t="n">
        <v>55</v>
      </c>
      <c r="P238" s="2" t="n"/>
      <c r="Q238" s="2" t="n"/>
      <c r="R238" s="2" t="n"/>
      <c r="S238" s="2" t="n">
        <v>20</v>
      </c>
      <c r="T238" s="2" t="n"/>
      <c r="U238" s="2" t="n"/>
      <c r="V238" s="2">
        <f>SUM(J238:U238)*G238</f>
        <v/>
      </c>
      <c r="W238" s="2">
        <f>MAX(J238:U238)</f>
        <v/>
      </c>
      <c r="X238" s="2">
        <f>W238*G238</f>
        <v/>
      </c>
    </row>
    <row r="239">
      <c r="A239" s="2" t="inlineStr">
        <is>
          <t>14-K-057</t>
        </is>
      </c>
      <c r="B239" s="3" t="inlineStr">
        <is>
          <t>OJC-A1-LC/LC-MM-35-PC/PC-DP</t>
        </is>
      </c>
      <c r="C239" s="2" t="inlineStr">
        <is>
          <t>K9089339</t>
        </is>
      </c>
      <c r="D239" s="2" t="inlineStr">
        <is>
          <t>om1</t>
        </is>
      </c>
      <c r="E239" s="2" t="inlineStr">
        <is>
          <t>2.0mm</t>
        </is>
      </c>
      <c r="F239" s="2" t="n">
        <v>2</v>
      </c>
      <c r="G239" s="2" t="n">
        <v>35</v>
      </c>
      <c r="H239" s="2" t="inlineStr">
        <is>
          <t>LC/PC</t>
        </is>
      </c>
      <c r="I239" s="2" t="inlineStr">
        <is>
          <t>LC/PC</t>
        </is>
      </c>
      <c r="J239" s="2" t="n"/>
      <c r="K239" s="2" t="n"/>
      <c r="L239" s="2" t="n"/>
      <c r="M239" s="2" t="n"/>
      <c r="N239" s="2" t="n"/>
      <c r="O239" s="2" t="n">
        <v>11</v>
      </c>
      <c r="P239" s="2" t="n">
        <v>2</v>
      </c>
      <c r="Q239" s="2" t="n"/>
      <c r="R239" s="2" t="n"/>
      <c r="S239" s="2" t="n"/>
      <c r="T239" s="2" t="n"/>
      <c r="U239" s="2" t="n"/>
      <c r="V239" s="2">
        <f>SUM(J239:U239)*G239</f>
        <v/>
      </c>
      <c r="W239" s="2">
        <f>MAX(J239:U239)</f>
        <v/>
      </c>
      <c r="X239" s="2">
        <f>W239*G239</f>
        <v/>
      </c>
    </row>
    <row r="240">
      <c r="A240" s="2" t="inlineStr">
        <is>
          <t>14-K-060</t>
        </is>
      </c>
      <c r="B240" s="3" t="inlineStr">
        <is>
          <t>OJC-A1-LC/LC-MM-40-PC/PC-DP</t>
        </is>
      </c>
      <c r="C240" s="2" t="inlineStr">
        <is>
          <t>K9089340</t>
        </is>
      </c>
      <c r="D240" s="2" t="inlineStr">
        <is>
          <t>om1</t>
        </is>
      </c>
      <c r="E240" s="2" t="inlineStr">
        <is>
          <t>2.0mm</t>
        </is>
      </c>
      <c r="F240" s="2" t="n">
        <v>2</v>
      </c>
      <c r="G240" s="2" t="n">
        <v>40</v>
      </c>
      <c r="H240" s="2" t="inlineStr">
        <is>
          <t>LC/PC</t>
        </is>
      </c>
      <c r="I240" s="2" t="inlineStr">
        <is>
          <t>LC/PC</t>
        </is>
      </c>
      <c r="J240" s="2" t="n"/>
      <c r="K240" s="2" t="n"/>
      <c r="L240" s="2" t="n"/>
      <c r="M240" s="2" t="n"/>
      <c r="N240" s="2" t="n"/>
      <c r="O240" s="2" t="n">
        <v>5</v>
      </c>
      <c r="P240" s="2" t="n"/>
      <c r="Q240" s="2" t="n"/>
      <c r="R240" s="2" t="n"/>
      <c r="S240" s="2" t="n"/>
      <c r="T240" s="2" t="n"/>
      <c r="U240" s="2" t="n"/>
      <c r="V240" s="2">
        <f>SUM(J240:U240)*G240</f>
        <v/>
      </c>
      <c r="W240" s="2">
        <f>MAX(J240:U240)</f>
        <v/>
      </c>
      <c r="X240" s="2">
        <f>W240*G240</f>
        <v/>
      </c>
    </row>
    <row r="241">
      <c r="A241" s="2" t="inlineStr">
        <is>
          <t>14-K-062</t>
        </is>
      </c>
      <c r="B241" s="3" t="inlineStr">
        <is>
          <t>OJC-A1-LC/LC-MM-50-PC/PC-DP</t>
        </is>
      </c>
      <c r="C241" s="2" t="inlineStr">
        <is>
          <t>K9089340</t>
        </is>
      </c>
      <c r="D241" s="2" t="inlineStr">
        <is>
          <t>om1</t>
        </is>
      </c>
      <c r="E241" s="2" t="inlineStr">
        <is>
          <t>2.0mm</t>
        </is>
      </c>
      <c r="F241" s="2" t="n">
        <v>2</v>
      </c>
      <c r="G241" s="2" t="n">
        <v>50</v>
      </c>
      <c r="H241" s="2" t="inlineStr">
        <is>
          <t>LC/PC</t>
        </is>
      </c>
      <c r="I241" s="2" t="inlineStr">
        <is>
          <t>LC/PC</t>
        </is>
      </c>
      <c r="J241" s="2" t="n"/>
      <c r="K241" s="2" t="n"/>
      <c r="L241" s="2" t="n">
        <v>5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>
        <f>SUM(J241:U241)*G241</f>
        <v/>
      </c>
      <c r="W241" s="2">
        <f>MAX(J241:U241)</f>
        <v/>
      </c>
      <c r="X241" s="2">
        <f>W241*G241</f>
        <v/>
      </c>
    </row>
    <row r="242">
      <c r="A242" s="2" t="inlineStr">
        <is>
          <t>14-K-065</t>
        </is>
      </c>
      <c r="B242" s="3" t="inlineStr">
        <is>
          <t>OJC-A1-LC/LC-MM-5-PC/PC-DP</t>
        </is>
      </c>
      <c r="C242" s="2" t="inlineStr">
        <is>
          <t>K9089333</t>
        </is>
      </c>
      <c r="D242" s="2" t="inlineStr">
        <is>
          <t>om1</t>
        </is>
      </c>
      <c r="E242" s="2" t="inlineStr">
        <is>
          <t>2.0mm</t>
        </is>
      </c>
      <c r="F242" s="2" t="n">
        <v>2</v>
      </c>
      <c r="G242" s="2" t="n">
        <v>5</v>
      </c>
      <c r="H242" s="2" t="inlineStr">
        <is>
          <t>LC/PC</t>
        </is>
      </c>
      <c r="I242" s="2" t="inlineStr">
        <is>
          <t>LC/PC</t>
        </is>
      </c>
      <c r="J242" s="2" t="n">
        <v>1</v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>
        <f>SUM(J242:U242)*G242</f>
        <v/>
      </c>
      <c r="W242" s="2">
        <f>MAX(J242:U242)</f>
        <v/>
      </c>
      <c r="X242" s="2">
        <f>W242*G242</f>
        <v/>
      </c>
    </row>
    <row r="243">
      <c r="A243" s="2" t="inlineStr">
        <is>
          <t>14-K-068</t>
        </is>
      </c>
      <c r="B243" s="3" t="inlineStr">
        <is>
          <t>OJC-A1-LC/LC-MM-65-PC/PC-DP</t>
        </is>
      </c>
      <c r="C243" s="2" t="inlineStr"/>
      <c r="D243" s="2" t="inlineStr">
        <is>
          <t>om1</t>
        </is>
      </c>
      <c r="E243" s="2" t="inlineStr">
        <is>
          <t>2.0mm</t>
        </is>
      </c>
      <c r="F243" s="2" t="n">
        <v>2</v>
      </c>
      <c r="G243" s="2" t="n">
        <v>65</v>
      </c>
      <c r="H243" s="2" t="inlineStr">
        <is>
          <t>LC/PC</t>
        </is>
      </c>
      <c r="I243" s="2" t="inlineStr">
        <is>
          <t>LC/PC</t>
        </is>
      </c>
      <c r="J243" s="2" t="n"/>
      <c r="K243" s="2" t="n"/>
      <c r="L243" s="2" t="n"/>
      <c r="M243" s="2" t="n"/>
      <c r="N243" s="2" t="n">
        <v>35</v>
      </c>
      <c r="O243" s="2" t="n"/>
      <c r="P243" s="2" t="n"/>
      <c r="Q243" s="2" t="n"/>
      <c r="R243" s="2" t="n"/>
      <c r="S243" s="2" t="n"/>
      <c r="T243" s="2" t="n"/>
      <c r="U243" s="2" t="n"/>
      <c r="V243" s="2">
        <f>SUM(J243:U243)*G243</f>
        <v/>
      </c>
      <c r="W243" s="2">
        <f>MAX(J243:U243)</f>
        <v/>
      </c>
      <c r="X243" s="2">
        <f>W243*G243</f>
        <v/>
      </c>
    </row>
    <row r="244">
      <c r="A244" s="2" t="inlineStr">
        <is>
          <t>14-K-071</t>
        </is>
      </c>
      <c r="B244" s="3" t="inlineStr">
        <is>
          <t>OJC-A1-LC/LC-MM-80-PC/PC-DP</t>
        </is>
      </c>
      <c r="C244" s="2" t="inlineStr"/>
      <c r="D244" s="2" t="inlineStr">
        <is>
          <t>om1</t>
        </is>
      </c>
      <c r="E244" s="2" t="inlineStr">
        <is>
          <t>2.0mm</t>
        </is>
      </c>
      <c r="F244" s="2" t="n">
        <v>2</v>
      </c>
      <c r="G244" s="2" t="n">
        <v>80</v>
      </c>
      <c r="H244" s="2" t="inlineStr">
        <is>
          <t>LC/PC</t>
        </is>
      </c>
      <c r="I244" s="2" t="inlineStr">
        <is>
          <t>LC/PC</t>
        </is>
      </c>
      <c r="J244" s="2" t="n"/>
      <c r="K244" s="2" t="n"/>
      <c r="L244" s="2" t="n"/>
      <c r="M244" s="2" t="n"/>
      <c r="N244" s="2" t="n">
        <v>35</v>
      </c>
      <c r="O244" s="2" t="n"/>
      <c r="P244" s="2" t="n"/>
      <c r="Q244" s="2" t="n"/>
      <c r="R244" s="2" t="n"/>
      <c r="S244" s="2" t="n"/>
      <c r="T244" s="2" t="n"/>
      <c r="U244" s="2" t="n"/>
      <c r="V244" s="2">
        <f>SUM(J244:U244)*G244</f>
        <v/>
      </c>
      <c r="W244" s="2">
        <f>MAX(J244:U244)</f>
        <v/>
      </c>
      <c r="X244" s="2">
        <f>W244*G244</f>
        <v/>
      </c>
    </row>
    <row r="245">
      <c r="A245" s="2" t="inlineStr">
        <is>
          <t>14-K-072</t>
        </is>
      </c>
      <c r="B245" s="3" t="inlineStr">
        <is>
          <t>OJC-A1-LC/LC-MM-90-PC/PC-DP</t>
        </is>
      </c>
      <c r="C245" s="2" t="inlineStr"/>
      <c r="D245" s="2" t="inlineStr">
        <is>
          <t>om1</t>
        </is>
      </c>
      <c r="E245" s="2" t="inlineStr">
        <is>
          <t>2.0mm</t>
        </is>
      </c>
      <c r="F245" s="2" t="n">
        <v>2</v>
      </c>
      <c r="G245" s="2" t="n">
        <v>90</v>
      </c>
      <c r="H245" s="2" t="inlineStr">
        <is>
          <t>LC/PC</t>
        </is>
      </c>
      <c r="I245" s="2" t="inlineStr">
        <is>
          <t>LC/PC</t>
        </is>
      </c>
      <c r="J245" s="2" t="n"/>
      <c r="K245" s="2" t="n"/>
      <c r="L245" s="2" t="n"/>
      <c r="M245" s="2" t="n"/>
      <c r="N245" s="2" t="n">
        <v>35</v>
      </c>
      <c r="O245" s="2" t="n"/>
      <c r="P245" s="2" t="n"/>
      <c r="Q245" s="2" t="n"/>
      <c r="R245" s="2" t="n"/>
      <c r="S245" s="2" t="n"/>
      <c r="T245" s="2" t="n"/>
      <c r="U245" s="2" t="n"/>
      <c r="V245" s="2">
        <f>SUM(J245:U245)*G245</f>
        <v/>
      </c>
      <c r="W245" s="2">
        <f>MAX(J245:U245)</f>
        <v/>
      </c>
      <c r="X245" s="2">
        <f>W245*G245</f>
        <v/>
      </c>
    </row>
    <row r="246">
      <c r="A246" s="2" t="inlineStr">
        <is>
          <t>14-K-076</t>
        </is>
      </c>
      <c r="B246" s="3" t="inlineStr">
        <is>
          <t>OJC-A1-LC/LC-SM-100-PC/PC-DP</t>
        </is>
      </c>
      <c r="C246" s="2" t="inlineStr"/>
      <c r="D246" s="2" t="inlineStr">
        <is>
          <t>a1</t>
        </is>
      </c>
      <c r="E246" s="2" t="inlineStr">
        <is>
          <t>2.0mm</t>
        </is>
      </c>
      <c r="F246" s="2" t="n">
        <v>2</v>
      </c>
      <c r="G246" s="2" t="n">
        <v>100</v>
      </c>
      <c r="H246" s="2" t="inlineStr">
        <is>
          <t>LC/PC</t>
        </is>
      </c>
      <c r="I246" s="2" t="inlineStr">
        <is>
          <t>LC/PC</t>
        </is>
      </c>
      <c r="J246" s="2" t="n"/>
      <c r="K246" s="2" t="n"/>
      <c r="L246" s="2" t="n"/>
      <c r="M246" s="2" t="n"/>
      <c r="N246" s="2" t="n">
        <v>2</v>
      </c>
      <c r="O246" s="2" t="n"/>
      <c r="P246" s="2" t="n"/>
      <c r="Q246" s="2" t="n"/>
      <c r="R246" s="2" t="n"/>
      <c r="S246" s="2" t="n"/>
      <c r="T246" s="2" t="n"/>
      <c r="U246" s="2" t="n"/>
      <c r="V246" s="2">
        <f>SUM(J246:U246)*G246</f>
        <v/>
      </c>
      <c r="W246" s="2">
        <f>MAX(J246:U246)</f>
        <v/>
      </c>
      <c r="X246" s="2">
        <f>W246*G246</f>
        <v/>
      </c>
    </row>
    <row r="247">
      <c r="A247" s="2" t="inlineStr">
        <is>
          <t>14-K-080</t>
        </is>
      </c>
      <c r="B247" s="3" t="inlineStr">
        <is>
          <t>OJC-A1-LC/LC-SM-12-PC/PC-DP</t>
        </is>
      </c>
      <c r="C247" s="2" t="inlineStr"/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12</v>
      </c>
      <c r="H247" s="2" t="inlineStr">
        <is>
          <t>LC/PC</t>
        </is>
      </c>
      <c r="I247" s="2" t="inlineStr">
        <is>
          <t>LC/PC</t>
        </is>
      </c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>
        <v>11</v>
      </c>
      <c r="U247" s="2" t="n"/>
      <c r="V247" s="2">
        <f>SUM(J247:U247)*G247</f>
        <v/>
      </c>
      <c r="W247" s="2">
        <f>MAX(J247:U247)</f>
        <v/>
      </c>
      <c r="X247" s="2">
        <f>W247*G247</f>
        <v/>
      </c>
    </row>
    <row r="248">
      <c r="A248" s="2" t="inlineStr">
        <is>
          <t>14-K-080</t>
        </is>
      </c>
      <c r="B248" s="3" t="inlineStr">
        <is>
          <t>OJC-A1-LC/LC-SM-12-PC/PC-DP</t>
        </is>
      </c>
      <c r="C248" s="2" t="inlineStr">
        <is>
          <t>적색</t>
        </is>
      </c>
      <c r="D248" s="2" t="inlineStr">
        <is>
          <t>a1-적</t>
        </is>
      </c>
      <c r="E248" s="2" t="inlineStr">
        <is>
          <t>2.0mm</t>
        </is>
      </c>
      <c r="F248" s="2" t="n">
        <v>2</v>
      </c>
      <c r="G248" s="2" t="n">
        <v>12</v>
      </c>
      <c r="H248" s="2" t="inlineStr">
        <is>
          <t>LC/PC</t>
        </is>
      </c>
      <c r="I248" s="2" t="inlineStr">
        <is>
          <t>LC/PC</t>
        </is>
      </c>
      <c r="J248" s="2" t="n"/>
      <c r="K248" s="2" t="n"/>
      <c r="L248" s="2" t="n"/>
      <c r="M248" s="2" t="n"/>
      <c r="N248" s="2" t="n">
        <v>3</v>
      </c>
      <c r="O248" s="2" t="n"/>
      <c r="P248" s="2" t="n"/>
      <c r="Q248" s="2" t="n"/>
      <c r="R248" s="2" t="n"/>
      <c r="S248" s="2" t="n"/>
      <c r="T248" s="2" t="n"/>
      <c r="U248" s="2" t="n"/>
      <c r="V248" s="2">
        <f>SUM(J248:U248)*G248</f>
        <v/>
      </c>
      <c r="W248" s="2">
        <f>MAX(J248:U248)</f>
        <v/>
      </c>
      <c r="X248" s="2">
        <f>W248*G248</f>
        <v/>
      </c>
    </row>
    <row r="249">
      <c r="A249" s="2" t="inlineStr">
        <is>
          <t>14-K-081</t>
        </is>
      </c>
      <c r="B249" s="3" t="inlineStr">
        <is>
          <t>OJC-A1-LC/LC-SM-13-PC/PC-DP</t>
        </is>
      </c>
      <c r="C249" s="2" t="inlineStr"/>
      <c r="D249" s="2" t="inlineStr">
        <is>
          <t>a1</t>
        </is>
      </c>
      <c r="E249" s="2" t="inlineStr">
        <is>
          <t>2.0mm</t>
        </is>
      </c>
      <c r="F249" s="2" t="n">
        <v>2</v>
      </c>
      <c r="G249" s="2" t="n">
        <v>13</v>
      </c>
      <c r="H249" s="2" t="inlineStr">
        <is>
          <t>LC/PC</t>
        </is>
      </c>
      <c r="I249" s="2" t="inlineStr">
        <is>
          <t>LC/PC</t>
        </is>
      </c>
      <c r="J249" s="2" t="n">
        <v>5</v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>
        <v>22</v>
      </c>
      <c r="U249" s="2" t="n"/>
      <c r="V249" s="2">
        <f>SUM(J249:U249)*G249</f>
        <v/>
      </c>
      <c r="W249" s="2">
        <f>MAX(J249:U249)</f>
        <v/>
      </c>
      <c r="X249" s="2">
        <f>W249*G249</f>
        <v/>
      </c>
    </row>
    <row r="250">
      <c r="A250" s="2" t="inlineStr">
        <is>
          <t>14-K-081</t>
        </is>
      </c>
      <c r="B250" s="3" t="inlineStr">
        <is>
          <t>OJC-A1-LC/LC-SM-13-PC/PC-DP</t>
        </is>
      </c>
      <c r="C250" s="2" t="inlineStr">
        <is>
          <t>노랑</t>
        </is>
      </c>
      <c r="D250" s="2" t="inlineStr">
        <is>
          <t>a1</t>
        </is>
      </c>
      <c r="E250" s="2" t="inlineStr">
        <is>
          <t>2.0mm</t>
        </is>
      </c>
      <c r="F250" s="2" t="n">
        <v>2</v>
      </c>
      <c r="G250" s="2" t="n">
        <v>13</v>
      </c>
      <c r="H250" s="2" t="inlineStr">
        <is>
          <t>LC/PC</t>
        </is>
      </c>
      <c r="I250" s="2" t="inlineStr">
        <is>
          <t>LC/PC</t>
        </is>
      </c>
      <c r="J250" s="2" t="n"/>
      <c r="K250" s="2" t="n"/>
      <c r="L250" s="2" t="n"/>
      <c r="M250" s="2" t="n"/>
      <c r="N250" s="2" t="n">
        <v>4</v>
      </c>
      <c r="O250" s="2" t="n"/>
      <c r="P250" s="2" t="n"/>
      <c r="Q250" s="2" t="n"/>
      <c r="R250" s="2" t="n"/>
      <c r="S250" s="2" t="n"/>
      <c r="T250" s="2" t="n"/>
      <c r="U250" s="2" t="n"/>
      <c r="V250" s="2">
        <f>SUM(J250:U250)*G250</f>
        <v/>
      </c>
      <c r="W250" s="2">
        <f>MAX(J250:U250)</f>
        <v/>
      </c>
      <c r="X250" s="2">
        <f>W250*G250</f>
        <v/>
      </c>
    </row>
    <row r="251">
      <c r="A251" s="2" t="inlineStr">
        <is>
          <t>14-K-083</t>
        </is>
      </c>
      <c r="B251" s="3" t="inlineStr">
        <is>
          <t>OJC-A1-LC/LC-SM-15-PC/PC-DP</t>
        </is>
      </c>
      <c r="C251" s="2" t="inlineStr">
        <is>
          <t>K9089177</t>
        </is>
      </c>
      <c r="D251" s="2" t="inlineStr">
        <is>
          <t>a1</t>
        </is>
      </c>
      <c r="E251" s="2" t="inlineStr">
        <is>
          <t>2.0mm</t>
        </is>
      </c>
      <c r="F251" s="2" t="n">
        <v>2</v>
      </c>
      <c r="G251" s="2" t="n">
        <v>15</v>
      </c>
      <c r="H251" s="2" t="inlineStr">
        <is>
          <t>LC/PC</t>
        </is>
      </c>
      <c r="I251" s="2" t="inlineStr">
        <is>
          <t>LC/PC</t>
        </is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>
        <v>20</v>
      </c>
      <c r="S251" s="2" t="n"/>
      <c r="T251" s="2" t="n"/>
      <c r="U251" s="2" t="n"/>
      <c r="V251" s="2">
        <f>SUM(J251:U251)*G251</f>
        <v/>
      </c>
      <c r="W251" s="2">
        <f>MAX(J251:U251)</f>
        <v/>
      </c>
      <c r="X251" s="2">
        <f>W251*G251</f>
        <v/>
      </c>
    </row>
    <row r="252">
      <c r="A252" s="2" t="inlineStr">
        <is>
          <t>14-K-085</t>
        </is>
      </c>
      <c r="B252" s="3" t="inlineStr">
        <is>
          <t>OJC-A1-LC/LC-SM-1-PC/PC-DP</t>
        </is>
      </c>
      <c r="C252" s="2" t="inlineStr">
        <is>
          <t>K9089171</t>
        </is>
      </c>
      <c r="D252" s="2" t="inlineStr">
        <is>
          <t>a1</t>
        </is>
      </c>
      <c r="E252" s="2" t="inlineStr">
        <is>
          <t>2.0mm</t>
        </is>
      </c>
      <c r="F252" s="2" t="n">
        <v>2</v>
      </c>
      <c r="G252" s="2" t="n">
        <v>1</v>
      </c>
      <c r="H252" s="2" t="inlineStr">
        <is>
          <t>LC/PC</t>
        </is>
      </c>
      <c r="I252" s="2" t="inlineStr">
        <is>
          <t>LC/PC</t>
        </is>
      </c>
      <c r="J252" s="2" t="n">
        <v>250</v>
      </c>
      <c r="K252" s="2" t="n"/>
      <c r="L252" s="2" t="n">
        <v>300</v>
      </c>
      <c r="M252" s="2" t="n"/>
      <c r="N252" s="2" t="n"/>
      <c r="O252" s="2" t="n"/>
      <c r="P252" s="2" t="n">
        <v>200</v>
      </c>
      <c r="Q252" s="2" t="n"/>
      <c r="R252" s="2" t="n"/>
      <c r="S252" s="2" t="n">
        <v>250</v>
      </c>
      <c r="T252" s="2" t="n">
        <v>300</v>
      </c>
      <c r="U252" s="2" t="n"/>
      <c r="V252" s="2">
        <f>SUM(J252:U252)*G252</f>
        <v/>
      </c>
      <c r="W252" s="2">
        <f>MAX(J252:U252)</f>
        <v/>
      </c>
      <c r="X252" s="2">
        <f>W252*G252</f>
        <v/>
      </c>
    </row>
    <row r="253">
      <c r="A253" s="2" t="inlineStr">
        <is>
          <t>14-K-087</t>
        </is>
      </c>
      <c r="B253" s="3" t="inlineStr">
        <is>
          <t>OJC-A1-LC/LC-SM-20-PC/PC-DP</t>
        </is>
      </c>
      <c r="C253" s="2" t="inlineStr">
        <is>
          <t>노랑</t>
        </is>
      </c>
      <c r="D253" s="2" t="inlineStr">
        <is>
          <t>a1</t>
        </is>
      </c>
      <c r="E253" s="2" t="inlineStr">
        <is>
          <t>2.0mm</t>
        </is>
      </c>
      <c r="F253" s="2" t="n">
        <v>2</v>
      </c>
      <c r="G253" s="2" t="n">
        <v>20</v>
      </c>
      <c r="H253" s="2" t="inlineStr">
        <is>
          <t>LC/PC</t>
        </is>
      </c>
      <c r="I253" s="2" t="inlineStr">
        <is>
          <t>LC/PC</t>
        </is>
      </c>
      <c r="J253" s="2" t="n"/>
      <c r="K253" s="2" t="n"/>
      <c r="L253" s="2" t="n"/>
      <c r="M253" s="2" t="n"/>
      <c r="N253" s="2" t="n">
        <v>4</v>
      </c>
      <c r="O253" s="2" t="n"/>
      <c r="P253" s="2" t="n"/>
      <c r="Q253" s="2" t="n"/>
      <c r="R253" s="2" t="n"/>
      <c r="S253" s="2" t="n"/>
      <c r="T253" s="2" t="n"/>
      <c r="U253" s="2" t="n"/>
      <c r="V253" s="2">
        <f>SUM(J253:U253)*G253</f>
        <v/>
      </c>
      <c r="W253" s="2">
        <f>MAX(J253:U253)</f>
        <v/>
      </c>
      <c r="X253" s="2">
        <f>W253*G253</f>
        <v/>
      </c>
    </row>
    <row r="254">
      <c r="A254" s="2" t="inlineStr">
        <is>
          <t>14-K-087</t>
        </is>
      </c>
      <c r="B254" s="3" t="inlineStr">
        <is>
          <t>OJC-A1-LC/LC-SM-20-PC/PC-DP</t>
        </is>
      </c>
      <c r="C254" s="2" t="inlineStr">
        <is>
          <t>자색</t>
        </is>
      </c>
      <c r="D254" s="2" t="inlineStr">
        <is>
          <t>a1-자</t>
        </is>
      </c>
      <c r="E254" s="2" t="inlineStr">
        <is>
          <t>2.0mm</t>
        </is>
      </c>
      <c r="F254" s="2" t="n">
        <v>2</v>
      </c>
      <c r="G254" s="2" t="n">
        <v>20</v>
      </c>
      <c r="H254" s="2" t="inlineStr">
        <is>
          <t>LC/PC</t>
        </is>
      </c>
      <c r="I254" s="2" t="inlineStr">
        <is>
          <t>LC/PC</t>
        </is>
      </c>
      <c r="J254" s="2" t="n"/>
      <c r="K254" s="2" t="n"/>
      <c r="L254" s="2" t="n"/>
      <c r="M254" s="2" t="n"/>
      <c r="N254" s="2" t="n">
        <v>2</v>
      </c>
      <c r="O254" s="2" t="n"/>
      <c r="P254" s="2" t="n"/>
      <c r="Q254" s="2" t="n"/>
      <c r="R254" s="2" t="n"/>
      <c r="S254" s="2" t="n"/>
      <c r="T254" s="2" t="n"/>
      <c r="U254" s="2" t="n"/>
      <c r="V254" s="2">
        <f>SUM(J254:U254)*G254</f>
        <v/>
      </c>
      <c r="W254" s="2">
        <f>MAX(J254:U254)</f>
        <v/>
      </c>
      <c r="X254" s="2">
        <f>W254*G254</f>
        <v/>
      </c>
    </row>
    <row r="255">
      <c r="A255" s="2" t="inlineStr">
        <is>
          <t>14-K-087</t>
        </is>
      </c>
      <c r="B255" s="3" t="inlineStr">
        <is>
          <t>OJC-A1-LC/LC-SM-20-PC/PC-DP</t>
        </is>
      </c>
      <c r="C255" s="2" t="inlineStr">
        <is>
          <t>K9089178</t>
        </is>
      </c>
      <c r="D255" s="2" t="inlineStr">
        <is>
          <t>a1</t>
        </is>
      </c>
      <c r="E255" s="2" t="inlineStr">
        <is>
          <t>2.0mm</t>
        </is>
      </c>
      <c r="F255" s="2" t="n">
        <v>2</v>
      </c>
      <c r="G255" s="2" t="n">
        <v>20</v>
      </c>
      <c r="H255" s="2" t="inlineStr">
        <is>
          <t>LC/PC</t>
        </is>
      </c>
      <c r="I255" s="2" t="inlineStr">
        <is>
          <t>LC/PC</t>
        </is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>
        <v>4</v>
      </c>
      <c r="T255" s="2" t="n"/>
      <c r="U255" s="2" t="n"/>
      <c r="V255" s="2">
        <f>SUM(J255:U255)*G255</f>
        <v/>
      </c>
      <c r="W255" s="2">
        <f>MAX(J255:U255)</f>
        <v/>
      </c>
      <c r="X255" s="2">
        <f>W255*G255</f>
        <v/>
      </c>
    </row>
    <row r="256">
      <c r="A256" s="2" t="inlineStr">
        <is>
          <t>14-K-089</t>
        </is>
      </c>
      <c r="B256" s="3" t="inlineStr">
        <is>
          <t>OJC-A1-LC/LC-SM-22-PC/PC-DP</t>
        </is>
      </c>
      <c r="C256" s="2" t="inlineStr"/>
      <c r="D256" s="2" t="inlineStr">
        <is>
          <t>a1</t>
        </is>
      </c>
      <c r="E256" s="2" t="inlineStr">
        <is>
          <t>2.0mm</t>
        </is>
      </c>
      <c r="F256" s="2" t="n">
        <v>2</v>
      </c>
      <c r="G256" s="2" t="n">
        <v>22</v>
      </c>
      <c r="H256" s="2" t="inlineStr">
        <is>
          <t>LC/PC</t>
        </is>
      </c>
      <c r="I256" s="2" t="inlineStr">
        <is>
          <t>LC/PC</t>
        </is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>
        <v>3</v>
      </c>
      <c r="S256" s="2" t="n"/>
      <c r="T256" s="2" t="n"/>
      <c r="U256" s="2" t="n"/>
      <c r="V256" s="2">
        <f>SUM(J256:U256)*G256</f>
        <v/>
      </c>
      <c r="W256" s="2">
        <f>MAX(J256:U256)</f>
        <v/>
      </c>
      <c r="X256" s="2">
        <f>W256*G256</f>
        <v/>
      </c>
    </row>
    <row r="257">
      <c r="A257" s="2" t="inlineStr">
        <is>
          <t>14-K-089</t>
        </is>
      </c>
      <c r="B257" s="3" t="inlineStr">
        <is>
          <t>OJC-A1-LC/LC-SM-22-PC/PC-DP</t>
        </is>
      </c>
      <c r="C257" s="2" t="inlineStr">
        <is>
          <t>적색</t>
        </is>
      </c>
      <c r="D257" s="2" t="inlineStr">
        <is>
          <t>a1-적</t>
        </is>
      </c>
      <c r="E257" s="2" t="inlineStr">
        <is>
          <t>2.0mm</t>
        </is>
      </c>
      <c r="F257" s="2" t="n">
        <v>2</v>
      </c>
      <c r="G257" s="2" t="n">
        <v>22</v>
      </c>
      <c r="H257" s="2" t="inlineStr">
        <is>
          <t>LC/PC</t>
        </is>
      </c>
      <c r="I257" s="2" t="inlineStr">
        <is>
          <t>LC/PC</t>
        </is>
      </c>
      <c r="J257" s="2" t="n"/>
      <c r="K257" s="2" t="n"/>
      <c r="L257" s="2" t="n"/>
      <c r="M257" s="2" t="n"/>
      <c r="N257" s="2" t="n">
        <v>78</v>
      </c>
      <c r="O257" s="2" t="n"/>
      <c r="P257" s="2" t="n"/>
      <c r="Q257" s="2" t="n"/>
      <c r="R257" s="2" t="n"/>
      <c r="S257" s="2" t="n"/>
      <c r="T257" s="2" t="n"/>
      <c r="U257" s="2" t="n"/>
      <c r="V257" s="2">
        <f>SUM(J257:U257)*G257</f>
        <v/>
      </c>
      <c r="W257" s="2">
        <f>MAX(J257:U257)</f>
        <v/>
      </c>
      <c r="X257" s="2">
        <f>W257*G257</f>
        <v/>
      </c>
    </row>
    <row r="258">
      <c r="A258" s="2" t="inlineStr">
        <is>
          <t>14-K-090</t>
        </is>
      </c>
      <c r="B258" s="3" t="inlineStr">
        <is>
          <t>OJC-A1-LC/LC-SM-23-PC/PC-DP</t>
        </is>
      </c>
      <c r="C258" s="2" t="inlineStr"/>
      <c r="D258" s="2" t="inlineStr">
        <is>
          <t>a1</t>
        </is>
      </c>
      <c r="E258" s="2" t="inlineStr">
        <is>
          <t>2.0mm</t>
        </is>
      </c>
      <c r="F258" s="2" t="n">
        <v>2</v>
      </c>
      <c r="G258" s="2" t="n">
        <v>23</v>
      </c>
      <c r="H258" s="2" t="inlineStr">
        <is>
          <t>LC/PC</t>
        </is>
      </c>
      <c r="I258" s="2" t="inlineStr">
        <is>
          <t>LC/PC</t>
        </is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>
        <v>5</v>
      </c>
      <c r="S258" s="2" t="n"/>
      <c r="T258" s="2" t="n">
        <v>12</v>
      </c>
      <c r="U258" s="2" t="n"/>
      <c r="V258" s="2">
        <f>SUM(J258:U258)*G258</f>
        <v/>
      </c>
      <c r="W258" s="2">
        <f>MAX(J258:U258)</f>
        <v/>
      </c>
      <c r="X258" s="2">
        <f>W258*G258</f>
        <v/>
      </c>
    </row>
    <row r="259">
      <c r="A259" s="2" t="inlineStr">
        <is>
          <t>14-K-093</t>
        </is>
      </c>
      <c r="B259" s="3" t="inlineStr">
        <is>
          <t>OJC-A1-LC/LC-SM-2-PC/PC-DP</t>
        </is>
      </c>
      <c r="C259" s="2" t="inlineStr">
        <is>
          <t>K9089172</t>
        </is>
      </c>
      <c r="D259" s="2" t="inlineStr">
        <is>
          <t>a1</t>
        </is>
      </c>
      <c r="E259" s="2" t="inlineStr">
        <is>
          <t>2.0mm</t>
        </is>
      </c>
      <c r="F259" s="2" t="n">
        <v>2</v>
      </c>
      <c r="G259" s="2" t="n">
        <v>2</v>
      </c>
      <c r="H259" s="2" t="inlineStr">
        <is>
          <t>LC/PC</t>
        </is>
      </c>
      <c r="I259" s="2" t="inlineStr">
        <is>
          <t>LC/PC</t>
        </is>
      </c>
      <c r="J259" s="2" t="n">
        <v>201</v>
      </c>
      <c r="K259" s="2" t="n"/>
      <c r="L259" s="2" t="n">
        <v>200</v>
      </c>
      <c r="M259" s="2" t="n"/>
      <c r="N259" s="2" t="n">
        <v>46</v>
      </c>
      <c r="O259" s="2" t="n"/>
      <c r="P259" s="2" t="n">
        <v>270</v>
      </c>
      <c r="Q259" s="2" t="n"/>
      <c r="R259" s="2" t="n"/>
      <c r="S259" s="2" t="n"/>
      <c r="T259" s="2" t="n">
        <v>100</v>
      </c>
      <c r="U259" s="2" t="n">
        <v>200</v>
      </c>
      <c r="V259" s="2">
        <f>SUM(J259:U259)*G259</f>
        <v/>
      </c>
      <c r="W259" s="2">
        <f>MAX(J259:U259)</f>
        <v/>
      </c>
      <c r="X259" s="2">
        <f>W259*G259</f>
        <v/>
      </c>
    </row>
    <row r="260">
      <c r="A260" s="2" t="inlineStr">
        <is>
          <t>14-K-095</t>
        </is>
      </c>
      <c r="B260" s="3" t="inlineStr">
        <is>
          <t>OJC-A1-LC/LC-SM-30-PC/PC-SP</t>
        </is>
      </c>
      <c r="C260" s="2" t="inlineStr">
        <is>
          <t>K9089051</t>
        </is>
      </c>
      <c r="D260" s="2" t="inlineStr">
        <is>
          <t>a1</t>
        </is>
      </c>
      <c r="E260" s="2" t="inlineStr">
        <is>
          <t>2.0mm</t>
        </is>
      </c>
      <c r="F260" s="2" t="n">
        <v>1</v>
      </c>
      <c r="G260" s="2" t="n">
        <v>30</v>
      </c>
      <c r="H260" s="2" t="inlineStr">
        <is>
          <t>LC/PC</t>
        </is>
      </c>
      <c r="I260" s="2" t="inlineStr">
        <is>
          <t>LC/PC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>
        <v>10</v>
      </c>
      <c r="R260" s="2" t="n"/>
      <c r="S260" s="2" t="n"/>
      <c r="T260" s="2" t="n"/>
      <c r="U260" s="2" t="n"/>
      <c r="V260" s="2">
        <f>SUM(J260:U260)*G260</f>
        <v/>
      </c>
      <c r="W260" s="2">
        <f>MAX(J260:U260)</f>
        <v/>
      </c>
      <c r="X260" s="2">
        <f>W260*G260</f>
        <v/>
      </c>
    </row>
    <row r="261">
      <c r="A261" s="2" t="inlineStr">
        <is>
          <t>14-K-096</t>
        </is>
      </c>
      <c r="B261" s="3" t="inlineStr">
        <is>
          <t>OJC-A1-LC/LC-SM-35-PC/PC-DP</t>
        </is>
      </c>
      <c r="C261" s="2" t="inlineStr">
        <is>
          <t>K9089181</t>
        </is>
      </c>
      <c r="D261" s="2" t="inlineStr">
        <is>
          <t>a1</t>
        </is>
      </c>
      <c r="E261" s="2" t="inlineStr">
        <is>
          <t>2.0mm</t>
        </is>
      </c>
      <c r="F261" s="2" t="n">
        <v>2</v>
      </c>
      <c r="G261" s="2" t="n">
        <v>35</v>
      </c>
      <c r="H261" s="2" t="inlineStr">
        <is>
          <t>LC/PC</t>
        </is>
      </c>
      <c r="I261" s="2" t="inlineStr">
        <is>
          <t>LC/PC</t>
        </is>
      </c>
      <c r="J261" s="2" t="n"/>
      <c r="K261" s="2" t="n"/>
      <c r="L261" s="2" t="n"/>
      <c r="M261" s="2" t="n"/>
      <c r="N261" s="2" t="n">
        <v>20</v>
      </c>
      <c r="O261" s="2" t="n">
        <v>4</v>
      </c>
      <c r="P261" s="2" t="n">
        <v>6</v>
      </c>
      <c r="Q261" s="2" t="n">
        <v>5</v>
      </c>
      <c r="R261" s="2" t="n">
        <v>1</v>
      </c>
      <c r="S261" s="2" t="n">
        <v>20</v>
      </c>
      <c r="T261" s="2" t="n">
        <v>6</v>
      </c>
      <c r="U261" s="2" t="n"/>
      <c r="V261" s="2">
        <f>SUM(J261:U261)*G261</f>
        <v/>
      </c>
      <c r="W261" s="2">
        <f>MAX(J261:U261)</f>
        <v/>
      </c>
      <c r="X261" s="2">
        <f>W261*G261</f>
        <v/>
      </c>
    </row>
    <row r="262">
      <c r="A262" s="2" t="inlineStr">
        <is>
          <t>14-K-097</t>
        </is>
      </c>
      <c r="B262" s="3" t="inlineStr">
        <is>
          <t>OJC-A1-LC/LC-SM-3-PC/PC-DP</t>
        </is>
      </c>
      <c r="C262" s="2" t="inlineStr">
        <is>
          <t>K9089173</t>
        </is>
      </c>
      <c r="D262" s="2" t="inlineStr">
        <is>
          <t>a1</t>
        </is>
      </c>
      <c r="E262" s="2" t="inlineStr">
        <is>
          <t>2.0mm</t>
        </is>
      </c>
      <c r="F262" s="2" t="n">
        <v>2</v>
      </c>
      <c r="G262" s="2" t="n">
        <v>3</v>
      </c>
      <c r="H262" s="2" t="inlineStr">
        <is>
          <t>LC/PC</t>
        </is>
      </c>
      <c r="I262" s="2" t="inlineStr">
        <is>
          <t>LC/PC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>
        <v>15</v>
      </c>
      <c r="T262" s="2" t="n">
        <v>100</v>
      </c>
      <c r="U262" s="2" t="n">
        <v>200</v>
      </c>
      <c r="V262" s="2">
        <f>SUM(J262:U262)*G262</f>
        <v/>
      </c>
      <c r="W262" s="2">
        <f>MAX(J262:U262)</f>
        <v/>
      </c>
      <c r="X262" s="2">
        <f>W262*G262</f>
        <v/>
      </c>
    </row>
    <row r="263">
      <c r="A263" s="2" t="inlineStr">
        <is>
          <t>14-K-098</t>
        </is>
      </c>
      <c r="B263" s="3" t="inlineStr">
        <is>
          <t>OJC-A1-LC/LC-SM-3-PC/PC-SP</t>
        </is>
      </c>
      <c r="C263" s="2" t="inlineStr">
        <is>
          <t>K9089044</t>
        </is>
      </c>
      <c r="D263" s="2" t="inlineStr">
        <is>
          <t>a1</t>
        </is>
      </c>
      <c r="E263" s="2" t="inlineStr">
        <is>
          <t>2.0mm</t>
        </is>
      </c>
      <c r="F263" s="2" t="n">
        <v>1</v>
      </c>
      <c r="G263" s="2" t="n">
        <v>3</v>
      </c>
      <c r="H263" s="2" t="inlineStr">
        <is>
          <t>LC/PC</t>
        </is>
      </c>
      <c r="I263" s="2" t="inlineStr">
        <is>
          <t>LC/PC</t>
        </is>
      </c>
      <c r="J263" s="2" t="n"/>
      <c r="K263" s="2" t="n"/>
      <c r="L263" s="2" t="n"/>
      <c r="M263" s="2" t="n">
        <v>20</v>
      </c>
      <c r="N263" s="2" t="n">
        <v>50</v>
      </c>
      <c r="O263" s="2" t="n"/>
      <c r="P263" s="2" t="n"/>
      <c r="Q263" s="2" t="n">
        <v>10</v>
      </c>
      <c r="R263" s="2" t="n"/>
      <c r="S263" s="2" t="n">
        <v>120</v>
      </c>
      <c r="T263" s="2" t="n"/>
      <c r="U263" s="2" t="n"/>
      <c r="V263" s="2">
        <f>SUM(J263:U263)*G263</f>
        <v/>
      </c>
      <c r="W263" s="2">
        <f>MAX(J263:U263)</f>
        <v/>
      </c>
      <c r="X263" s="2">
        <f>W263*G263</f>
        <v/>
      </c>
    </row>
    <row r="264">
      <c r="A264" s="2" t="inlineStr">
        <is>
          <t>14-K-099</t>
        </is>
      </c>
      <c r="B264" s="3" t="inlineStr">
        <is>
          <t>OJC-A1-LC/LC-SM-40-PC/PC-DP</t>
        </is>
      </c>
      <c r="C264" s="2" t="inlineStr">
        <is>
          <t>K9089182</t>
        </is>
      </c>
      <c r="D264" s="2" t="inlineStr">
        <is>
          <t>a1</t>
        </is>
      </c>
      <c r="E264" s="2" t="inlineStr">
        <is>
          <t>2.0mm</t>
        </is>
      </c>
      <c r="F264" s="2" t="n">
        <v>2</v>
      </c>
      <c r="G264" s="2" t="n">
        <v>40</v>
      </c>
      <c r="H264" s="2" t="inlineStr">
        <is>
          <t>LC/PC</t>
        </is>
      </c>
      <c r="I264" s="2" t="inlineStr">
        <is>
          <t>LC/PC</t>
        </is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>
        <v>20</v>
      </c>
      <c r="T264" s="2" t="n"/>
      <c r="U264" s="2" t="n"/>
      <c r="V264" s="2">
        <f>SUM(J264:U264)*G264</f>
        <v/>
      </c>
      <c r="W264" s="2">
        <f>MAX(J264:U264)</f>
        <v/>
      </c>
      <c r="X264" s="2">
        <f>W264*G264</f>
        <v/>
      </c>
    </row>
    <row r="265">
      <c r="A265" s="2" t="inlineStr">
        <is>
          <t>14-K-100</t>
        </is>
      </c>
      <c r="B265" s="3" t="inlineStr">
        <is>
          <t>OJC-A1-LC/LC-SM-45-PC/PC-DP</t>
        </is>
      </c>
      <c r="C265" s="2" t="inlineStr">
        <is>
          <t>K9089183</t>
        </is>
      </c>
      <c r="D265" s="2" t="inlineStr">
        <is>
          <t>a1</t>
        </is>
      </c>
      <c r="E265" s="2" t="inlineStr">
        <is>
          <t>2.0mm</t>
        </is>
      </c>
      <c r="F265" s="2" t="n">
        <v>2</v>
      </c>
      <c r="G265" s="2" t="n">
        <v>45</v>
      </c>
      <c r="H265" s="2" t="inlineStr">
        <is>
          <t>LC/PC</t>
        </is>
      </c>
      <c r="I265" s="2" t="inlineStr">
        <is>
          <t>LC/PC</t>
        </is>
      </c>
      <c r="J265" s="2" t="n"/>
      <c r="K265" s="2" t="n"/>
      <c r="L265" s="2" t="n"/>
      <c r="M265" s="2" t="n"/>
      <c r="N265" s="2" t="n">
        <v>8</v>
      </c>
      <c r="O265" s="2" t="n"/>
      <c r="P265" s="2" t="n"/>
      <c r="Q265" s="2" t="n">
        <v>8</v>
      </c>
      <c r="R265" s="2" t="n"/>
      <c r="S265" s="2" t="n"/>
      <c r="T265" s="2" t="n"/>
      <c r="U265" s="2" t="n"/>
      <c r="V265" s="2">
        <f>SUM(J265:U265)*G265</f>
        <v/>
      </c>
      <c r="W265" s="2">
        <f>MAX(J265:U265)</f>
        <v/>
      </c>
      <c r="X265" s="2">
        <f>W265*G265</f>
        <v/>
      </c>
    </row>
    <row r="266">
      <c r="A266" s="2" t="inlineStr">
        <is>
          <t>14-K-103</t>
        </is>
      </c>
      <c r="B266" s="3" t="inlineStr">
        <is>
          <t>OJC-A1-LC/LC-SM-50-PC/PC-DP</t>
        </is>
      </c>
      <c r="C266" s="2" t="inlineStr">
        <is>
          <t>K9089184</t>
        </is>
      </c>
      <c r="D266" s="2" t="inlineStr">
        <is>
          <t>a1</t>
        </is>
      </c>
      <c r="E266" s="2" t="inlineStr">
        <is>
          <t>2.0mm</t>
        </is>
      </c>
      <c r="F266" s="2" t="n">
        <v>2</v>
      </c>
      <c r="G266" s="2" t="n">
        <v>50</v>
      </c>
      <c r="H266" s="2" t="inlineStr">
        <is>
          <t>LC/PC</t>
        </is>
      </c>
      <c r="I266" s="2" t="inlineStr">
        <is>
          <t>LC/PC</t>
        </is>
      </c>
      <c r="J266" s="2" t="n"/>
      <c r="K266" s="2" t="n"/>
      <c r="L266" s="2" t="n">
        <v>1</v>
      </c>
      <c r="M266" s="2" t="n"/>
      <c r="N266" s="2" t="n"/>
      <c r="O266" s="2" t="n"/>
      <c r="P266" s="2" t="n">
        <v>35</v>
      </c>
      <c r="Q266" s="2" t="n">
        <v>8</v>
      </c>
      <c r="R266" s="2" t="n">
        <v>25</v>
      </c>
      <c r="S266" s="2" t="n"/>
      <c r="T266" s="2" t="n">
        <v>10</v>
      </c>
      <c r="U266" s="2" t="n"/>
      <c r="V266" s="2">
        <f>SUM(J266:U266)*G266</f>
        <v/>
      </c>
      <c r="W266" s="2">
        <f>MAX(J266:U266)</f>
        <v/>
      </c>
      <c r="X266" s="2">
        <f>W266*G266</f>
        <v/>
      </c>
    </row>
    <row r="267">
      <c r="A267" s="2" t="inlineStr">
        <is>
          <t>14-K-107</t>
        </is>
      </c>
      <c r="B267" s="3" t="inlineStr">
        <is>
          <t>OJC-A1-LC/LC-SM-5-PC/PC-DP</t>
        </is>
      </c>
      <c r="C267" s="2" t="inlineStr">
        <is>
          <t>K9089175</t>
        </is>
      </c>
      <c r="D267" s="2" t="inlineStr">
        <is>
          <t>a1</t>
        </is>
      </c>
      <c r="E267" s="2" t="inlineStr">
        <is>
          <t>2.0mm</t>
        </is>
      </c>
      <c r="F267" s="2" t="n">
        <v>2</v>
      </c>
      <c r="G267" s="2" t="n">
        <v>5</v>
      </c>
      <c r="H267" s="2" t="inlineStr">
        <is>
          <t>LC/PC</t>
        </is>
      </c>
      <c r="I267" s="2" t="inlineStr">
        <is>
          <t>LC/PC</t>
        </is>
      </c>
      <c r="J267" s="2" t="n"/>
      <c r="K267" s="2" t="n"/>
      <c r="L267" s="2" t="n"/>
      <c r="M267" s="2" t="n"/>
      <c r="N267" s="2" t="n"/>
      <c r="O267" s="2" t="n">
        <v>190</v>
      </c>
      <c r="P267" s="2" t="n">
        <v>80</v>
      </c>
      <c r="Q267" s="2" t="n">
        <v>70</v>
      </c>
      <c r="R267" s="2" t="n">
        <v>300</v>
      </c>
      <c r="S267" s="2" t="n"/>
      <c r="T267" s="2" t="n"/>
      <c r="U267" s="2" t="n">
        <v>300</v>
      </c>
      <c r="V267" s="2">
        <f>SUM(J267:U267)*G267</f>
        <v/>
      </c>
      <c r="W267" s="2">
        <f>MAX(J267:U267)</f>
        <v/>
      </c>
      <c r="X267" s="2">
        <f>W267*G267</f>
        <v/>
      </c>
    </row>
    <row r="268">
      <c r="A268" s="2" t="inlineStr">
        <is>
          <t>14-K-108</t>
        </is>
      </c>
      <c r="B268" s="3" t="inlineStr">
        <is>
          <t>OJC-A1-LC/LC-SM-5-PC/PC-SP</t>
        </is>
      </c>
      <c r="C268" s="2" t="inlineStr">
        <is>
          <t>K9089046</t>
        </is>
      </c>
      <c r="D268" s="2" t="inlineStr">
        <is>
          <t>a1</t>
        </is>
      </c>
      <c r="E268" s="2" t="inlineStr">
        <is>
          <t>2.0mm</t>
        </is>
      </c>
      <c r="F268" s="2" t="n">
        <v>1</v>
      </c>
      <c r="G268" s="2" t="n">
        <v>5</v>
      </c>
      <c r="H268" s="2" t="inlineStr">
        <is>
          <t>LC/PC</t>
        </is>
      </c>
      <c r="I268" s="2" t="inlineStr">
        <is>
          <t>LC/PC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>
        <v>10</v>
      </c>
      <c r="R268" s="2" t="n"/>
      <c r="S268" s="2" t="n"/>
      <c r="T268" s="2" t="n"/>
      <c r="U268" s="2" t="n"/>
      <c r="V268" s="2">
        <f>SUM(J268:U268)*G268</f>
        <v/>
      </c>
      <c r="W268" s="2">
        <f>MAX(J268:U268)</f>
        <v/>
      </c>
      <c r="X268" s="2">
        <f>W268*G268</f>
        <v/>
      </c>
    </row>
    <row r="269">
      <c r="A269" s="2" t="inlineStr">
        <is>
          <t>14-K-110</t>
        </is>
      </c>
      <c r="B269" s="3" t="inlineStr">
        <is>
          <t>OJC-A1-LC/LC-SM-7-PC/PC-DP</t>
        </is>
      </c>
      <c r="C269" s="2" t="inlineStr"/>
      <c r="D269" s="2" t="inlineStr">
        <is>
          <t>a1</t>
        </is>
      </c>
      <c r="E269" s="2" t="inlineStr">
        <is>
          <t>2.0mm</t>
        </is>
      </c>
      <c r="F269" s="2" t="n">
        <v>2</v>
      </c>
      <c r="G269" s="2" t="n">
        <v>7</v>
      </c>
      <c r="H269" s="2" t="inlineStr">
        <is>
          <t>LC/PC</t>
        </is>
      </c>
      <c r="I269" s="2" t="inlineStr">
        <is>
          <t>LC/PC</t>
        </is>
      </c>
      <c r="J269" s="2" t="n"/>
      <c r="K269" s="2" t="n">
        <v>52</v>
      </c>
      <c r="L269" s="2" t="n"/>
      <c r="M269" s="2" t="n"/>
      <c r="N269" s="2" t="n">
        <v>50</v>
      </c>
      <c r="O269" s="2" t="n"/>
      <c r="P269" s="2" t="n"/>
      <c r="Q269" s="2" t="n"/>
      <c r="R269" s="2" t="n">
        <v>50</v>
      </c>
      <c r="S269" s="2" t="n"/>
      <c r="T269" s="2" t="n"/>
      <c r="U269" s="2" t="n">
        <v>10</v>
      </c>
      <c r="V269" s="2">
        <f>SUM(J269:U269)*G269</f>
        <v/>
      </c>
      <c r="W269" s="2">
        <f>MAX(J269:U269)</f>
        <v/>
      </c>
      <c r="X269" s="2">
        <f>W269*G269</f>
        <v/>
      </c>
    </row>
    <row r="270">
      <c r="A270" s="2" t="inlineStr">
        <is>
          <t>14-K-111</t>
        </is>
      </c>
      <c r="B270" s="3" t="inlineStr">
        <is>
          <t>OJC-A1-LC/LC-SM-8-PC/PC-DP</t>
        </is>
      </c>
      <c r="C270" s="2" t="inlineStr">
        <is>
          <t>적색</t>
        </is>
      </c>
      <c r="D270" s="2" t="inlineStr">
        <is>
          <t>a1-적</t>
        </is>
      </c>
      <c r="E270" s="2" t="inlineStr">
        <is>
          <t>2.0mm</t>
        </is>
      </c>
      <c r="F270" s="2" t="n">
        <v>2</v>
      </c>
      <c r="G270" s="2" t="n">
        <v>8</v>
      </c>
      <c r="H270" s="2" t="inlineStr">
        <is>
          <t>LC/PC</t>
        </is>
      </c>
      <c r="I270" s="2" t="inlineStr">
        <is>
          <t>LC/PC</t>
        </is>
      </c>
      <c r="J270" s="2" t="n"/>
      <c r="K270" s="2" t="n"/>
      <c r="L270" s="2" t="n"/>
      <c r="M270" s="2" t="n"/>
      <c r="N270" s="2" t="n">
        <v>4</v>
      </c>
      <c r="O270" s="2" t="n"/>
      <c r="P270" s="2" t="n"/>
      <c r="Q270" s="2" t="n"/>
      <c r="R270" s="2" t="n"/>
      <c r="S270" s="2" t="n"/>
      <c r="T270" s="2" t="n"/>
      <c r="U270" s="2" t="n"/>
      <c r="V270" s="2">
        <f>SUM(J270:U270)*G270</f>
        <v/>
      </c>
      <c r="W270" s="2">
        <f>MAX(J270:U270)</f>
        <v/>
      </c>
      <c r="X270" s="2">
        <f>W270*G270</f>
        <v/>
      </c>
    </row>
    <row r="271">
      <c r="A271" s="2" t="inlineStr">
        <is>
          <t>14-K-111</t>
        </is>
      </c>
      <c r="B271" s="3" t="inlineStr">
        <is>
          <t>OJC-A1-LC/LC-SM-8-PC/PC-DP</t>
        </is>
      </c>
      <c r="C271" s="2" t="inlineStr"/>
      <c r="D271" s="2" t="inlineStr">
        <is>
          <t>a1</t>
        </is>
      </c>
      <c r="E271" s="2" t="inlineStr">
        <is>
          <t>2.0mm</t>
        </is>
      </c>
      <c r="F271" s="2" t="n">
        <v>2</v>
      </c>
      <c r="G271" s="2" t="n">
        <v>8</v>
      </c>
      <c r="H271" s="2" t="inlineStr">
        <is>
          <t>LC/PC</t>
        </is>
      </c>
      <c r="I271" s="2" t="inlineStr">
        <is>
          <t>LC/PC</t>
        </is>
      </c>
      <c r="J271" s="2" t="n"/>
      <c r="K271" s="2" t="n"/>
      <c r="L271" s="2" t="n"/>
      <c r="M271" s="2" t="n"/>
      <c r="N271" s="2" t="n">
        <v>50</v>
      </c>
      <c r="O271" s="2" t="n"/>
      <c r="P271" s="2" t="n"/>
      <c r="Q271" s="2" t="n"/>
      <c r="R271" s="2" t="n"/>
      <c r="S271" s="2" t="n"/>
      <c r="T271" s="2" t="n"/>
      <c r="U271" s="2" t="n"/>
      <c r="V271" s="2">
        <f>SUM(J271:U271)*G271</f>
        <v/>
      </c>
      <c r="W271" s="2">
        <f>MAX(J271:U271)</f>
        <v/>
      </c>
      <c r="X271" s="2">
        <f>W271*G271</f>
        <v/>
      </c>
    </row>
    <row r="272">
      <c r="A272" s="2" t="inlineStr">
        <is>
          <t>14-K-144</t>
        </is>
      </c>
      <c r="B272" s="3" t="inlineStr">
        <is>
          <t>OJC-A1-SC/LC-MM(OM3)-15-PC/PC-DP</t>
        </is>
      </c>
      <c r="C272" s="2" t="inlineStr"/>
      <c r="D272" s="2" t="inlineStr">
        <is>
          <t>om3</t>
        </is>
      </c>
      <c r="E272" s="2" t="inlineStr">
        <is>
          <t>2.0mm</t>
        </is>
      </c>
      <c r="F272" s="2" t="n">
        <v>2</v>
      </c>
      <c r="G272" s="2" t="n">
        <v>15</v>
      </c>
      <c r="H272" s="2" t="inlineStr">
        <is>
          <t>SC/PC</t>
        </is>
      </c>
      <c r="I272" s="2" t="inlineStr">
        <is>
          <t>LC/PC</t>
        </is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>
        <v>2</v>
      </c>
      <c r="T272" s="2" t="n"/>
      <c r="U272" s="2" t="n"/>
      <c r="V272" s="2">
        <f>SUM(J272:U272)*G272</f>
        <v/>
      </c>
      <c r="W272" s="2">
        <f>MAX(J272:U272)</f>
        <v/>
      </c>
      <c r="X272" s="2">
        <f>W272*G272</f>
        <v/>
      </c>
    </row>
    <row r="273">
      <c r="A273" s="2" t="inlineStr">
        <is>
          <t>14-K-145</t>
        </is>
      </c>
      <c r="B273" s="3" t="inlineStr">
        <is>
          <t>OJC-A1-SC/LC-MM(OM3)-30-PC/PC-DP</t>
        </is>
      </c>
      <c r="C273" s="2" t="inlineStr"/>
      <c r="D273" s="2" t="inlineStr">
        <is>
          <t>om3</t>
        </is>
      </c>
      <c r="E273" s="2" t="inlineStr">
        <is>
          <t>2.0mm</t>
        </is>
      </c>
      <c r="F273" s="2" t="n">
        <v>2</v>
      </c>
      <c r="G273" s="2" t="n">
        <v>30</v>
      </c>
      <c r="H273" s="2" t="inlineStr">
        <is>
          <t>SC/PC</t>
        </is>
      </c>
      <c r="I273" s="2" t="inlineStr">
        <is>
          <t>LC/PC</t>
        </is>
      </c>
      <c r="J273" s="2" t="n"/>
      <c r="K273" s="2" t="n"/>
      <c r="L273" s="2" t="n"/>
      <c r="M273" s="2" t="n">
        <v>1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SUM(J273:U273)*G273</f>
        <v/>
      </c>
      <c r="W273" s="2">
        <f>MAX(J273:U273)</f>
        <v/>
      </c>
      <c r="X273" s="2">
        <f>W273*G273</f>
        <v/>
      </c>
    </row>
    <row r="274">
      <c r="A274" s="2" t="inlineStr">
        <is>
          <t>14-K-146</t>
        </is>
      </c>
      <c r="B274" s="3" t="inlineStr">
        <is>
          <t>OJC-A1-SC/LC-MM(OM3)-3-PC/PC-DP</t>
        </is>
      </c>
      <c r="C274" s="2" t="inlineStr"/>
      <c r="D274" s="2" t="inlineStr">
        <is>
          <t>om3</t>
        </is>
      </c>
      <c r="E274" s="2" t="inlineStr">
        <is>
          <t>2.0mm</t>
        </is>
      </c>
      <c r="F274" s="2" t="n">
        <v>2</v>
      </c>
      <c r="G274" s="2" t="n">
        <v>3</v>
      </c>
      <c r="H274" s="2" t="inlineStr">
        <is>
          <t>SC/PC</t>
        </is>
      </c>
      <c r="I274" s="2" t="inlineStr">
        <is>
          <t>LC/PC</t>
        </is>
      </c>
      <c r="J274" s="2" t="n"/>
      <c r="K274" s="2" t="n"/>
      <c r="L274" s="2" t="n"/>
      <c r="M274" s="2" t="n">
        <v>50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SUM(J274:U274)*G274</f>
        <v/>
      </c>
      <c r="W274" s="2">
        <f>MAX(J274:U274)</f>
        <v/>
      </c>
      <c r="X274" s="2">
        <f>W274*G274</f>
        <v/>
      </c>
    </row>
    <row r="275">
      <c r="A275" s="2" t="inlineStr">
        <is>
          <t>14-K-148</t>
        </is>
      </c>
      <c r="B275" s="3" t="inlineStr">
        <is>
          <t>OJC-A1-SC/LC-MM-10-PC/PC-DP</t>
        </is>
      </c>
      <c r="C275" s="2" t="inlineStr">
        <is>
          <t>K9089322</t>
        </is>
      </c>
      <c r="D275" s="2" t="inlineStr">
        <is>
          <t>om1</t>
        </is>
      </c>
      <c r="E275" s="2" t="inlineStr">
        <is>
          <t>2.0mm</t>
        </is>
      </c>
      <c r="F275" s="2" t="n">
        <v>2</v>
      </c>
      <c r="G275" s="2" t="n">
        <v>10</v>
      </c>
      <c r="H275" s="2" t="inlineStr">
        <is>
          <t>SC/PC</t>
        </is>
      </c>
      <c r="I275" s="2" t="inlineStr">
        <is>
          <t>LC/PC</t>
        </is>
      </c>
      <c r="J275" s="2" t="n"/>
      <c r="K275" s="2" t="n"/>
      <c r="L275" s="2" t="n">
        <v>50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SUM(J275:U275)*G275</f>
        <v/>
      </c>
      <c r="W275" s="2">
        <f>MAX(J275:U275)</f>
        <v/>
      </c>
      <c r="X275" s="2">
        <f>W275*G275</f>
        <v/>
      </c>
    </row>
    <row r="276">
      <c r="A276" s="2" t="inlineStr">
        <is>
          <t>14-K-154</t>
        </is>
      </c>
      <c r="B276" s="3" t="inlineStr">
        <is>
          <t>OJC-A1-SC/LC-MM-20-PC/PC-DP</t>
        </is>
      </c>
      <c r="C276" s="2" t="inlineStr">
        <is>
          <t>K9089324</t>
        </is>
      </c>
      <c r="D276" s="2" t="inlineStr">
        <is>
          <t>om1</t>
        </is>
      </c>
      <c r="E276" s="2" t="inlineStr">
        <is>
          <t>2.0mm</t>
        </is>
      </c>
      <c r="F276" s="2" t="n">
        <v>2</v>
      </c>
      <c r="G276" s="2" t="n">
        <v>20</v>
      </c>
      <c r="H276" s="2" t="inlineStr">
        <is>
          <t>SC/PC</t>
        </is>
      </c>
      <c r="I276" s="2" t="inlineStr">
        <is>
          <t>LC/PC</t>
        </is>
      </c>
      <c r="J276" s="2" t="n"/>
      <c r="K276" s="2" t="n">
        <v>50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SUM(J276:U276)*G276</f>
        <v/>
      </c>
      <c r="W276" s="2">
        <f>MAX(J276:U276)</f>
        <v/>
      </c>
      <c r="X276" s="2">
        <f>W276*G276</f>
        <v/>
      </c>
    </row>
    <row r="277">
      <c r="A277" s="2" t="inlineStr">
        <is>
          <t>14-K-157</t>
        </is>
      </c>
      <c r="B277" s="3" t="inlineStr">
        <is>
          <t>OJC-A1-SC/LC-MM-2-PC/PC-DP</t>
        </is>
      </c>
      <c r="C277" s="2" t="inlineStr">
        <is>
          <t>K9089318</t>
        </is>
      </c>
      <c r="D277" s="2" t="inlineStr">
        <is>
          <t>om1</t>
        </is>
      </c>
      <c r="E277" s="2" t="inlineStr">
        <is>
          <t>2.0mm</t>
        </is>
      </c>
      <c r="F277" s="2" t="n">
        <v>2</v>
      </c>
      <c r="G277" s="2" t="n">
        <v>2</v>
      </c>
      <c r="H277" s="2" t="inlineStr">
        <is>
          <t>SC/PC</t>
        </is>
      </c>
      <c r="I277" s="2" t="inlineStr">
        <is>
          <t>LC/PC</t>
        </is>
      </c>
      <c r="J277" s="2" t="n"/>
      <c r="K277" s="2" t="n"/>
      <c r="L277" s="2" t="n">
        <v>50</v>
      </c>
      <c r="M277" s="2" t="n">
        <v>18</v>
      </c>
      <c r="N277" s="2" t="n"/>
      <c r="O277" s="2" t="n"/>
      <c r="P277" s="2" t="n"/>
      <c r="Q277" s="2" t="n"/>
      <c r="R277" s="2" t="n"/>
      <c r="S277" s="2" t="n"/>
      <c r="T277" s="2" t="n">
        <v>60</v>
      </c>
      <c r="U277" s="2" t="n"/>
      <c r="V277" s="2">
        <f>SUM(J277:U277)*G277</f>
        <v/>
      </c>
      <c r="W277" s="2">
        <f>MAX(J277:U277)</f>
        <v/>
      </c>
      <c r="X277" s="2">
        <f>W277*G277</f>
        <v/>
      </c>
    </row>
    <row r="278">
      <c r="A278" s="2" t="inlineStr">
        <is>
          <t>14-K-161</t>
        </is>
      </c>
      <c r="B278" s="3" t="inlineStr">
        <is>
          <t>OJC-A1-SC/LC-MM-3-PC/PC-DP</t>
        </is>
      </c>
      <c r="C278" s="2" t="inlineStr">
        <is>
          <t>K9089319</t>
        </is>
      </c>
      <c r="D278" s="2" t="inlineStr">
        <is>
          <t>om1</t>
        </is>
      </c>
      <c r="E278" s="2" t="inlineStr">
        <is>
          <t>2.0mm</t>
        </is>
      </c>
      <c r="F278" s="2" t="n">
        <v>2</v>
      </c>
      <c r="G278" s="2" t="n">
        <v>3</v>
      </c>
      <c r="H278" s="2" t="inlineStr">
        <is>
          <t>SC/PC</t>
        </is>
      </c>
      <c r="I278" s="2" t="inlineStr">
        <is>
          <t>LC/PC</t>
        </is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>
        <v>184</v>
      </c>
      <c r="T278" s="2" t="n"/>
      <c r="U278" s="2" t="n"/>
      <c r="V278" s="2">
        <f>SUM(J278:U278)*G278</f>
        <v/>
      </c>
      <c r="W278" s="2">
        <f>MAX(J278:U278)</f>
        <v/>
      </c>
      <c r="X278" s="2">
        <f>W278*G278</f>
        <v/>
      </c>
    </row>
    <row r="279">
      <c r="A279" s="2" t="inlineStr">
        <is>
          <t>14-K-173</t>
        </is>
      </c>
      <c r="B279" s="3" t="inlineStr">
        <is>
          <t>OJC-A1-SC/LC-SM-10-APC/PC-SP</t>
        </is>
      </c>
      <c r="C279" s="2" t="inlineStr"/>
      <c r="D279" s="2" t="inlineStr">
        <is>
          <t>a1</t>
        </is>
      </c>
      <c r="E279" s="2" t="inlineStr">
        <is>
          <t>2.0mm</t>
        </is>
      </c>
      <c r="F279" s="2" t="n">
        <v>1</v>
      </c>
      <c r="G279" s="2" t="n">
        <v>10</v>
      </c>
      <c r="H279" s="2" t="inlineStr">
        <is>
          <t>SC/APC</t>
        </is>
      </c>
      <c r="I279" s="2" t="inlineStr">
        <is>
          <t>LC/PC</t>
        </is>
      </c>
      <c r="J279" s="2" t="n"/>
      <c r="K279" s="2" t="n"/>
      <c r="L279" s="2" t="n">
        <v>50</v>
      </c>
      <c r="M279" s="2" t="n"/>
      <c r="N279" s="2" t="n"/>
      <c r="O279" s="2" t="n"/>
      <c r="P279" s="2" t="n"/>
      <c r="Q279" s="2" t="n"/>
      <c r="R279" s="2" t="n">
        <v>66</v>
      </c>
      <c r="S279" s="2" t="n">
        <v>30</v>
      </c>
      <c r="T279" s="2" t="n"/>
      <c r="U279" s="2" t="n"/>
      <c r="V279" s="2">
        <f>SUM(J279:U279)*G279</f>
        <v/>
      </c>
      <c r="W279" s="2">
        <f>MAX(J279:U279)</f>
        <v/>
      </c>
      <c r="X279" s="2">
        <f>W279*G279</f>
        <v/>
      </c>
    </row>
    <row r="280">
      <c r="A280" s="2" t="inlineStr">
        <is>
          <t>14-K-176</t>
        </is>
      </c>
      <c r="B280" s="3" t="inlineStr">
        <is>
          <t>OJC-A1-SC/LC-SM-10-PC/PC-DP</t>
        </is>
      </c>
      <c r="C280" s="2" t="inlineStr">
        <is>
          <t>K9089162</t>
        </is>
      </c>
      <c r="D280" s="2" t="inlineStr">
        <is>
          <t>a1</t>
        </is>
      </c>
      <c r="E280" s="2" t="inlineStr">
        <is>
          <t>2.0mm</t>
        </is>
      </c>
      <c r="F280" s="2" t="n">
        <v>2</v>
      </c>
      <c r="G280" s="2" t="n">
        <v>10</v>
      </c>
      <c r="H280" s="2" t="inlineStr">
        <is>
          <t>SC/PC</t>
        </is>
      </c>
      <c r="I280" s="2" t="inlineStr">
        <is>
          <t>LC/PC</t>
        </is>
      </c>
      <c r="J280" s="2" t="n">
        <v>150</v>
      </c>
      <c r="K280" s="2" t="n"/>
      <c r="L280" s="2" t="n">
        <v>556</v>
      </c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SUM(J280:U280)*G280</f>
        <v/>
      </c>
      <c r="W280" s="2">
        <f>MAX(J280:U280)</f>
        <v/>
      </c>
      <c r="X280" s="2">
        <f>W280*G280</f>
        <v/>
      </c>
    </row>
    <row r="281">
      <c r="A281" s="2" t="inlineStr">
        <is>
          <t>14-K-180</t>
        </is>
      </c>
      <c r="B281" s="3" t="inlineStr">
        <is>
          <t>OJC-A1-SC/LC-SM-12-PC/PC-SP</t>
        </is>
      </c>
      <c r="C281" s="2" t="inlineStr"/>
      <c r="D281" s="2" t="inlineStr">
        <is>
          <t>a1</t>
        </is>
      </c>
      <c r="E281" s="2" t="inlineStr">
        <is>
          <t>2.0mm</t>
        </is>
      </c>
      <c r="F281" s="2" t="n">
        <v>1</v>
      </c>
      <c r="G281" s="2" t="n">
        <v>12</v>
      </c>
      <c r="H281" s="2" t="inlineStr">
        <is>
          <t>SC/PC</t>
        </is>
      </c>
      <c r="I281" s="2" t="inlineStr">
        <is>
          <t>LC/PC</t>
        </is>
      </c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>
        <v>4</v>
      </c>
      <c r="T281" s="2" t="n">
        <v>10</v>
      </c>
      <c r="U281" s="2" t="n"/>
      <c r="V281" s="2">
        <f>SUM(J281:U281)*G281</f>
        <v/>
      </c>
      <c r="W281" s="2">
        <f>MAX(J281:U281)</f>
        <v/>
      </c>
      <c r="X281" s="2">
        <f>W281*G281</f>
        <v/>
      </c>
    </row>
    <row r="282">
      <c r="A282" s="2" t="inlineStr">
        <is>
          <t>14-K-188</t>
        </is>
      </c>
      <c r="B282" s="3" t="inlineStr">
        <is>
          <t>OJC-A1-SC/LC-SM-15-PC/PC-DP</t>
        </is>
      </c>
      <c r="C282" s="2" t="inlineStr">
        <is>
          <t>K9089163</t>
        </is>
      </c>
      <c r="D282" s="2" t="inlineStr">
        <is>
          <t>a1</t>
        </is>
      </c>
      <c r="E282" s="2" t="inlineStr">
        <is>
          <t>2.0mm</t>
        </is>
      </c>
      <c r="F282" s="2" t="n">
        <v>2</v>
      </c>
      <c r="G282" s="2" t="n">
        <v>15</v>
      </c>
      <c r="H282" s="2" t="inlineStr">
        <is>
          <t>SC/PC</t>
        </is>
      </c>
      <c r="I282" s="2" t="inlineStr">
        <is>
          <t>LC/PC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>
        <v>500</v>
      </c>
      <c r="T282" s="2" t="n">
        <v>1000</v>
      </c>
      <c r="U282" s="2" t="n"/>
      <c r="V282" s="2">
        <f>SUM(J282:U282)*G282</f>
        <v/>
      </c>
      <c r="W282" s="2">
        <f>MAX(J282:U282)</f>
        <v/>
      </c>
      <c r="X282" s="2">
        <f>W282*G282</f>
        <v/>
      </c>
    </row>
    <row r="283">
      <c r="A283" s="2" t="inlineStr">
        <is>
          <t>14-K-190</t>
        </is>
      </c>
      <c r="B283" s="3" t="inlineStr">
        <is>
          <t>OJC-A1-SC/LC-SM-16-PC/PC-DP</t>
        </is>
      </c>
      <c r="C283" s="2" t="inlineStr">
        <is>
          <t>적색</t>
        </is>
      </c>
      <c r="D283" s="2" t="inlineStr">
        <is>
          <t>a1-적</t>
        </is>
      </c>
      <c r="E283" s="2" t="inlineStr">
        <is>
          <t>2.0mm</t>
        </is>
      </c>
      <c r="F283" s="2" t="n">
        <v>2</v>
      </c>
      <c r="G283" s="2" t="n">
        <v>16</v>
      </c>
      <c r="H283" s="2" t="inlineStr">
        <is>
          <t>SC/PC</t>
        </is>
      </c>
      <c r="I283" s="2" t="inlineStr">
        <is>
          <t>LC/PC</t>
        </is>
      </c>
      <c r="J283" s="2" t="n"/>
      <c r="K283" s="2" t="n"/>
      <c r="L283" s="2" t="n"/>
      <c r="M283" s="2" t="n"/>
      <c r="N283" s="2" t="n">
        <v>4</v>
      </c>
      <c r="O283" s="2" t="n"/>
      <c r="P283" s="2" t="n"/>
      <c r="Q283" s="2" t="n"/>
      <c r="R283" s="2" t="n"/>
      <c r="S283" s="2" t="n"/>
      <c r="T283" s="2" t="n"/>
      <c r="U283" s="2" t="n"/>
      <c r="V283" s="2">
        <f>SUM(J283:U283)*G283</f>
        <v/>
      </c>
      <c r="W283" s="2">
        <f>MAX(J283:U283)</f>
        <v/>
      </c>
      <c r="X283" s="2">
        <f>W283*G283</f>
        <v/>
      </c>
    </row>
    <row r="284">
      <c r="A284" s="2" t="inlineStr">
        <is>
          <t>14-K-195</t>
        </is>
      </c>
      <c r="B284" s="3" t="inlineStr">
        <is>
          <t>OJC-A1-SC/LC-SM-19-PC/PC-DP</t>
        </is>
      </c>
      <c r="C284" s="2" t="inlineStr">
        <is>
          <t>적색</t>
        </is>
      </c>
      <c r="D284" s="2" t="inlineStr">
        <is>
          <t>a1-적</t>
        </is>
      </c>
      <c r="E284" s="2" t="inlineStr">
        <is>
          <t>2.0mm</t>
        </is>
      </c>
      <c r="F284" s="2" t="n">
        <v>2</v>
      </c>
      <c r="G284" s="2" t="n">
        <v>19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>
        <v>3</v>
      </c>
      <c r="O284" s="2" t="n"/>
      <c r="P284" s="2" t="n"/>
      <c r="Q284" s="2" t="n"/>
      <c r="R284" s="2" t="n"/>
      <c r="S284" s="2" t="n"/>
      <c r="T284" s="2" t="n"/>
      <c r="U284" s="2" t="n"/>
      <c r="V284" s="2">
        <f>SUM(J284:U284)*G284</f>
        <v/>
      </c>
      <c r="W284" s="2">
        <f>MAX(J284:U284)</f>
        <v/>
      </c>
      <c r="X284" s="2">
        <f>W284*G284</f>
        <v/>
      </c>
    </row>
    <row r="285">
      <c r="A285" s="2" t="inlineStr">
        <is>
          <t>14-K-197</t>
        </is>
      </c>
      <c r="B285" s="3" t="inlineStr">
        <is>
          <t>OJC-A1-SC/LC-SM-1-APC/PC-SP</t>
        </is>
      </c>
      <c r="C285" s="2" t="inlineStr"/>
      <c r="D285" s="2" t="inlineStr">
        <is>
          <t>a1</t>
        </is>
      </c>
      <c r="E285" s="2" t="inlineStr">
        <is>
          <t>2.0mm</t>
        </is>
      </c>
      <c r="F285" s="2" t="n">
        <v>1</v>
      </c>
      <c r="G285" s="2" t="n">
        <v>1</v>
      </c>
      <c r="H285" s="2" t="inlineStr">
        <is>
          <t>SC/APC</t>
        </is>
      </c>
      <c r="I285" s="2" t="inlineStr">
        <is>
          <t>LC/PC</t>
        </is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>
        <v>100</v>
      </c>
      <c r="T285" s="2" t="n"/>
      <c r="U285" s="2" t="n"/>
      <c r="V285" s="2">
        <f>SUM(J285:U285)*G285</f>
        <v/>
      </c>
      <c r="W285" s="2">
        <f>MAX(J285:U285)</f>
        <v/>
      </c>
      <c r="X285" s="2">
        <f>W285*G285</f>
        <v/>
      </c>
    </row>
    <row r="286">
      <c r="A286" s="2" t="inlineStr">
        <is>
          <t>14-K-198</t>
        </is>
      </c>
      <c r="B286" s="3" t="inlineStr">
        <is>
          <t>OJC-A1-SC/LC-SM-1-PC/PC-DP</t>
        </is>
      </c>
      <c r="C286" s="2" t="inlineStr">
        <is>
          <t>K9089157</t>
        </is>
      </c>
      <c r="D286" s="2" t="inlineStr">
        <is>
          <t>a1</t>
        </is>
      </c>
      <c r="E286" s="2" t="inlineStr">
        <is>
          <t>2.0mm</t>
        </is>
      </c>
      <c r="F286" s="2" t="n">
        <v>2</v>
      </c>
      <c r="G286" s="2" t="n">
        <v>1</v>
      </c>
      <c r="H286" s="2" t="inlineStr">
        <is>
          <t>SC/PC</t>
        </is>
      </c>
      <c r="I286" s="2" t="inlineStr">
        <is>
          <t>LC/PC</t>
        </is>
      </c>
      <c r="J286" s="2" t="n">
        <v>200</v>
      </c>
      <c r="K286" s="2" t="n"/>
      <c r="L286" s="2" t="n"/>
      <c r="M286" s="2" t="n"/>
      <c r="N286" s="2" t="n"/>
      <c r="O286" s="2" t="n"/>
      <c r="P286" s="2" t="n">
        <v>229</v>
      </c>
      <c r="Q286" s="2" t="n">
        <v>46</v>
      </c>
      <c r="R286" s="2" t="n">
        <v>300</v>
      </c>
      <c r="S286" s="2" t="n"/>
      <c r="T286" s="2" t="n"/>
      <c r="U286" s="2" t="n"/>
      <c r="V286" s="2">
        <f>SUM(J286:U286)*G286</f>
        <v/>
      </c>
      <c r="W286" s="2">
        <f>MAX(J286:U286)</f>
        <v/>
      </c>
      <c r="X286" s="2">
        <f>W286*G286</f>
        <v/>
      </c>
    </row>
    <row r="287">
      <c r="A287" s="2" t="inlineStr">
        <is>
          <t>14-K-199</t>
        </is>
      </c>
      <c r="B287" s="3" t="inlineStr">
        <is>
          <t>OJC-A1-SC/LC-SM-1-PC/PC-SP</t>
        </is>
      </c>
      <c r="C287" s="2" t="inlineStr">
        <is>
          <t>K9089028</t>
        </is>
      </c>
      <c r="D287" s="2" t="inlineStr">
        <is>
          <t>a1</t>
        </is>
      </c>
      <c r="E287" s="2" t="inlineStr">
        <is>
          <t>2.0mm</t>
        </is>
      </c>
      <c r="F287" s="2" t="n">
        <v>1</v>
      </c>
      <c r="G287" s="2" t="n">
        <v>1</v>
      </c>
      <c r="H287" s="2" t="inlineStr">
        <is>
          <t>SC/PC</t>
        </is>
      </c>
      <c r="I287" s="2" t="inlineStr">
        <is>
          <t>LC/PC</t>
        </is>
      </c>
      <c r="J287" s="2" t="n"/>
      <c r="K287" s="2" t="n"/>
      <c r="L287" s="2" t="n"/>
      <c r="M287" s="2" t="n"/>
      <c r="N287" s="2" t="n"/>
      <c r="O287" s="2" t="n"/>
      <c r="P287" s="2" t="n">
        <v>155</v>
      </c>
      <c r="Q287" s="2" t="n">
        <v>1250</v>
      </c>
      <c r="R287" s="2" t="n">
        <v>41</v>
      </c>
      <c r="S287" s="2" t="n">
        <v>50</v>
      </c>
      <c r="T287" s="2" t="n"/>
      <c r="U287" s="2" t="n"/>
      <c r="V287" s="2">
        <f>SUM(J287:U287)*G287</f>
        <v/>
      </c>
      <c r="W287" s="2">
        <f>MAX(J287:U287)</f>
        <v/>
      </c>
      <c r="X287" s="2">
        <f>W287*G287</f>
        <v/>
      </c>
    </row>
    <row r="288">
      <c r="A288" s="2" t="inlineStr">
        <is>
          <t>14-K-202</t>
        </is>
      </c>
      <c r="B288" s="3" t="inlineStr">
        <is>
          <t>OJC-A1-SC/LC-SM-20-APC/PC-SP</t>
        </is>
      </c>
      <c r="C288" s="2" t="inlineStr"/>
      <c r="D288" s="2" t="inlineStr">
        <is>
          <t>a1</t>
        </is>
      </c>
      <c r="E288" s="2" t="inlineStr">
        <is>
          <t>2.0mm</t>
        </is>
      </c>
      <c r="F288" s="2" t="n">
        <v>1</v>
      </c>
      <c r="G288" s="2" t="n">
        <v>20</v>
      </c>
      <c r="H288" s="2" t="inlineStr">
        <is>
          <t>SC/APC</t>
        </is>
      </c>
      <c r="I288" s="2" t="inlineStr">
        <is>
          <t>LC/PC</t>
        </is>
      </c>
      <c r="J288" s="2" t="n"/>
      <c r="K288" s="2" t="n"/>
      <c r="L288" s="2" t="n"/>
      <c r="M288" s="2" t="n"/>
      <c r="N288" s="2" t="n"/>
      <c r="O288" s="2" t="n">
        <v>50</v>
      </c>
      <c r="P288" s="2" t="n"/>
      <c r="Q288" s="2" t="n"/>
      <c r="R288" s="2" t="n"/>
      <c r="S288" s="2" t="n"/>
      <c r="T288" s="2" t="n"/>
      <c r="U288" s="2" t="n"/>
      <c r="V288" s="2">
        <f>SUM(J288:U288)*G288</f>
        <v/>
      </c>
      <c r="W288" s="2">
        <f>MAX(J288:U288)</f>
        <v/>
      </c>
      <c r="X288" s="2">
        <f>W288*G288</f>
        <v/>
      </c>
    </row>
    <row r="289">
      <c r="A289" s="2" t="inlineStr">
        <is>
          <t>14-K-204</t>
        </is>
      </c>
      <c r="B289" s="3" t="inlineStr">
        <is>
          <t>OJC-A1-SC/LC-SM-20-PC/PC-DP</t>
        </is>
      </c>
      <c r="C289" s="2" t="inlineStr">
        <is>
          <t>K9089164</t>
        </is>
      </c>
      <c r="D289" s="2" t="inlineStr">
        <is>
          <t>a1</t>
        </is>
      </c>
      <c r="E289" s="2" t="inlineStr">
        <is>
          <t>2.0mm</t>
        </is>
      </c>
      <c r="F289" s="2" t="n">
        <v>2</v>
      </c>
      <c r="G289" s="2" t="n">
        <v>20</v>
      </c>
      <c r="H289" s="2" t="inlineStr">
        <is>
          <t>SC/PC</t>
        </is>
      </c>
      <c r="I289" s="2" t="inlineStr">
        <is>
          <t>LC/PC</t>
        </is>
      </c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>
        <v>200</v>
      </c>
      <c r="V289" s="2">
        <f>SUM(J289:U289)*G289</f>
        <v/>
      </c>
      <c r="W289" s="2">
        <f>MAX(J289:U289)</f>
        <v/>
      </c>
      <c r="X289" s="2">
        <f>W289*G289</f>
        <v/>
      </c>
    </row>
    <row r="290">
      <c r="A290" s="2" t="inlineStr">
        <is>
          <t>14-K-205</t>
        </is>
      </c>
      <c r="B290" s="3" t="inlineStr">
        <is>
          <t>OJC-A1-SC/LC-SM-20-PC/PC-SP</t>
        </is>
      </c>
      <c r="C290" s="2" t="inlineStr">
        <is>
          <t>K9089035</t>
        </is>
      </c>
      <c r="D290" s="2" t="inlineStr">
        <is>
          <t>a1</t>
        </is>
      </c>
      <c r="E290" s="2" t="inlineStr">
        <is>
          <t>2.0mm</t>
        </is>
      </c>
      <c r="F290" s="2" t="n">
        <v>1</v>
      </c>
      <c r="G290" s="2" t="n">
        <v>20</v>
      </c>
      <c r="H290" s="2" t="inlineStr">
        <is>
          <t>SC/PC</t>
        </is>
      </c>
      <c r="I290" s="2" t="inlineStr">
        <is>
          <t>LC/PC</t>
        </is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>
        <v>397</v>
      </c>
      <c r="V290" s="2">
        <f>SUM(J290:U290)*G290</f>
        <v/>
      </c>
      <c r="W290" s="2">
        <f>MAX(J290:U290)</f>
        <v/>
      </c>
      <c r="X290" s="2">
        <f>W290*G290</f>
        <v/>
      </c>
    </row>
    <row r="291">
      <c r="A291" s="2" t="inlineStr">
        <is>
          <t>14-K-207</t>
        </is>
      </c>
      <c r="B291" s="3" t="inlineStr">
        <is>
          <t>OJC-A1-SC/LC-SM-23-PC/PC-DP</t>
        </is>
      </c>
      <c r="C291" s="2" t="inlineStr">
        <is>
          <t>자색</t>
        </is>
      </c>
      <c r="D291" s="2" t="inlineStr">
        <is>
          <t>a1-자</t>
        </is>
      </c>
      <c r="E291" s="2" t="inlineStr">
        <is>
          <t>2.0mm</t>
        </is>
      </c>
      <c r="F291" s="2" t="n">
        <v>2</v>
      </c>
      <c r="G291" s="2" t="n">
        <v>23</v>
      </c>
      <c r="H291" s="2" t="inlineStr">
        <is>
          <t>SC/PC</t>
        </is>
      </c>
      <c r="I291" s="2" t="inlineStr">
        <is>
          <t>LC/PC</t>
        </is>
      </c>
      <c r="J291" s="2" t="n"/>
      <c r="K291" s="2" t="n"/>
      <c r="L291" s="2" t="n"/>
      <c r="M291" s="2" t="n"/>
      <c r="N291" s="2" t="n">
        <v>4</v>
      </c>
      <c r="O291" s="2" t="n"/>
      <c r="P291" s="2" t="n"/>
      <c r="Q291" s="2" t="n"/>
      <c r="R291" s="2" t="n"/>
      <c r="S291" s="2" t="n"/>
      <c r="T291" s="2" t="n"/>
      <c r="U291" s="2" t="n"/>
      <c r="V291" s="2">
        <f>SUM(J291:U291)*G291</f>
        <v/>
      </c>
      <c r="W291" s="2">
        <f>MAX(J291:U291)</f>
        <v/>
      </c>
      <c r="X291" s="2">
        <f>W291*G291</f>
        <v/>
      </c>
    </row>
    <row r="292">
      <c r="A292" s="2" t="inlineStr">
        <is>
          <t>14-K-207</t>
        </is>
      </c>
      <c r="B292" s="3" t="inlineStr">
        <is>
          <t>OJC-A1-SC/LC-SM-23-PC/PC-DP</t>
        </is>
      </c>
      <c r="C292" s="2" t="inlineStr">
        <is>
          <t>적색</t>
        </is>
      </c>
      <c r="D292" s="2" t="inlineStr">
        <is>
          <t>a1-적</t>
        </is>
      </c>
      <c r="E292" s="2" t="inlineStr">
        <is>
          <t>2.0mm</t>
        </is>
      </c>
      <c r="F292" s="2" t="n">
        <v>2</v>
      </c>
      <c r="G292" s="2" t="n">
        <v>23</v>
      </c>
      <c r="H292" s="2" t="inlineStr">
        <is>
          <t>SC/PC</t>
        </is>
      </c>
      <c r="I292" s="2" t="inlineStr">
        <is>
          <t>LC/PC</t>
        </is>
      </c>
      <c r="J292" s="2" t="n"/>
      <c r="K292" s="2" t="n"/>
      <c r="L292" s="2" t="n"/>
      <c r="M292" s="2" t="n"/>
      <c r="N292" s="2" t="n">
        <v>18</v>
      </c>
      <c r="O292" s="2" t="n"/>
      <c r="P292" s="2" t="n"/>
      <c r="Q292" s="2" t="n"/>
      <c r="R292" s="2" t="n"/>
      <c r="S292" s="2" t="n"/>
      <c r="T292" s="2" t="n"/>
      <c r="U292" s="2" t="n"/>
      <c r="V292" s="2">
        <f>SUM(J292:U292)*G292</f>
        <v/>
      </c>
      <c r="W292" s="2">
        <f>MAX(J292:U292)</f>
        <v/>
      </c>
      <c r="X292" s="2">
        <f>W292*G292</f>
        <v/>
      </c>
    </row>
    <row r="293">
      <c r="A293" s="2" t="inlineStr">
        <is>
          <t>14-K-209</t>
        </is>
      </c>
      <c r="B293" s="3" t="inlineStr">
        <is>
          <t>OJC-A1-SC/LC-SM-25-PC/PC-DP</t>
        </is>
      </c>
      <c r="C293" s="2" t="inlineStr">
        <is>
          <t>K9089165</t>
        </is>
      </c>
      <c r="D293" s="2" t="inlineStr">
        <is>
          <t>a1</t>
        </is>
      </c>
      <c r="E293" s="2" t="inlineStr">
        <is>
          <t>2.0mm</t>
        </is>
      </c>
      <c r="F293" s="2" t="n">
        <v>2</v>
      </c>
      <c r="G293" s="2" t="n">
        <v>25</v>
      </c>
      <c r="H293" s="2" t="inlineStr">
        <is>
          <t>SC/PC</t>
        </is>
      </c>
      <c r="I293" s="2" t="inlineStr">
        <is>
          <t>LC/PC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>
        <v>79</v>
      </c>
      <c r="V293" s="2">
        <f>SUM(J293:U293)*G293</f>
        <v/>
      </c>
      <c r="W293" s="2">
        <f>MAX(J293:U293)</f>
        <v/>
      </c>
      <c r="X293" s="2">
        <f>W293*G293</f>
        <v/>
      </c>
    </row>
    <row r="294">
      <c r="A294" s="2" t="inlineStr">
        <is>
          <t>14-K-212</t>
        </is>
      </c>
      <c r="B294" s="3" t="inlineStr">
        <is>
          <t>OJC-A1-SC/LC-SM-29-PC/PC-DP</t>
        </is>
      </c>
      <c r="C294" s="2" t="inlineStr">
        <is>
          <t>자색</t>
        </is>
      </c>
      <c r="D294" s="2" t="inlineStr">
        <is>
          <t>a1-자</t>
        </is>
      </c>
      <c r="E294" s="2" t="inlineStr">
        <is>
          <t>2.0mm</t>
        </is>
      </c>
      <c r="F294" s="2" t="n">
        <v>2</v>
      </c>
      <c r="G294" s="2" t="n">
        <v>29</v>
      </c>
      <c r="H294" s="2" t="inlineStr">
        <is>
          <t>SC/PC</t>
        </is>
      </c>
      <c r="I294" s="2" t="inlineStr">
        <is>
          <t>LC/PC</t>
        </is>
      </c>
      <c r="J294" s="2" t="n"/>
      <c r="K294" s="2" t="n"/>
      <c r="L294" s="2" t="n"/>
      <c r="M294" s="2" t="n"/>
      <c r="N294" s="2" t="n">
        <v>3</v>
      </c>
      <c r="O294" s="2" t="n"/>
      <c r="P294" s="2" t="n"/>
      <c r="Q294" s="2" t="n"/>
      <c r="R294" s="2" t="n"/>
      <c r="S294" s="2" t="n"/>
      <c r="T294" s="2" t="n"/>
      <c r="U294" s="2" t="n"/>
      <c r="V294" s="2">
        <f>SUM(J294:U294)*G294</f>
        <v/>
      </c>
      <c r="W294" s="2">
        <f>MAX(J294:U294)</f>
        <v/>
      </c>
      <c r="X294" s="2">
        <f>W294*G294</f>
        <v/>
      </c>
    </row>
    <row r="295">
      <c r="A295" s="2" t="inlineStr">
        <is>
          <t>14-K-212</t>
        </is>
      </c>
      <c r="B295" s="3" t="inlineStr">
        <is>
          <t>OJC-A1-SC/LC-SM-29-PC/PC-DP</t>
        </is>
      </c>
      <c r="C295" s="2" t="inlineStr">
        <is>
          <t>적색</t>
        </is>
      </c>
      <c r="D295" s="2" t="inlineStr">
        <is>
          <t>a1-적</t>
        </is>
      </c>
      <c r="E295" s="2" t="inlineStr">
        <is>
          <t>2.0mm</t>
        </is>
      </c>
      <c r="F295" s="2" t="n">
        <v>2</v>
      </c>
      <c r="G295" s="2" t="n">
        <v>29</v>
      </c>
      <c r="H295" s="2" t="inlineStr">
        <is>
          <t>SC/PC</t>
        </is>
      </c>
      <c r="I295" s="2" t="inlineStr">
        <is>
          <t>LC/PC</t>
        </is>
      </c>
      <c r="J295" s="2" t="n"/>
      <c r="K295" s="2" t="n"/>
      <c r="L295" s="2" t="n"/>
      <c r="M295" s="2" t="n"/>
      <c r="N295" s="2" t="n">
        <v>6</v>
      </c>
      <c r="O295" s="2" t="n"/>
      <c r="P295" s="2" t="n"/>
      <c r="Q295" s="2" t="n"/>
      <c r="R295" s="2" t="n"/>
      <c r="S295" s="2" t="n"/>
      <c r="T295" s="2" t="n"/>
      <c r="U295" s="2" t="n"/>
      <c r="V295" s="2">
        <f>SUM(J295:U295)*G295</f>
        <v/>
      </c>
      <c r="W295" s="2">
        <f>MAX(J295:U295)</f>
        <v/>
      </c>
      <c r="X295" s="2">
        <f>W295*G295</f>
        <v/>
      </c>
    </row>
    <row r="296">
      <c r="A296" s="2" t="inlineStr">
        <is>
          <t>14-K-213</t>
        </is>
      </c>
      <c r="B296" s="3" t="inlineStr">
        <is>
          <t>OJC-A1-SC/LC-SM-2-APC/PC-DP</t>
        </is>
      </c>
      <c r="C296" s="2" t="inlineStr"/>
      <c r="D296" s="2" t="inlineStr">
        <is>
          <t>a1</t>
        </is>
      </c>
      <c r="E296" s="2" t="inlineStr">
        <is>
          <t>2.0mm</t>
        </is>
      </c>
      <c r="F296" s="2" t="n">
        <v>2</v>
      </c>
      <c r="G296" s="2" t="n">
        <v>2</v>
      </c>
      <c r="H296" s="2" t="inlineStr">
        <is>
          <t>SC/APC</t>
        </is>
      </c>
      <c r="I296" s="2" t="inlineStr">
        <is>
          <t>LC/PC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>
        <v>70</v>
      </c>
      <c r="T296" s="2" t="n"/>
      <c r="U296" s="2" t="n">
        <v>29</v>
      </c>
      <c r="V296" s="2">
        <f>SUM(J296:U296)*G296</f>
        <v/>
      </c>
      <c r="W296" s="2">
        <f>MAX(J296:U296)</f>
        <v/>
      </c>
      <c r="X296" s="2">
        <f>W296*G296</f>
        <v/>
      </c>
    </row>
    <row r="297">
      <c r="A297" s="2" t="inlineStr">
        <is>
          <t>14-K-214</t>
        </is>
      </c>
      <c r="B297" s="3" t="inlineStr">
        <is>
          <t>OJC-A1-SC/LC-SM-2-PC/PC-DP</t>
        </is>
      </c>
      <c r="C297" s="2" t="inlineStr">
        <is>
          <t>K9089158</t>
        </is>
      </c>
      <c r="D297" s="2" t="inlineStr">
        <is>
          <t>a1</t>
        </is>
      </c>
      <c r="E297" s="2" t="inlineStr">
        <is>
          <t>2.0mm</t>
        </is>
      </c>
      <c r="F297" s="2" t="n">
        <v>2</v>
      </c>
      <c r="G297" s="2" t="n">
        <v>2</v>
      </c>
      <c r="H297" s="2" t="inlineStr">
        <is>
          <t>SC/PC</t>
        </is>
      </c>
      <c r="I297" s="2" t="inlineStr">
        <is>
          <t>LC/PC</t>
        </is>
      </c>
      <c r="J297" s="2" t="n">
        <v>200</v>
      </c>
      <c r="K297" s="2" t="n"/>
      <c r="L297" s="2" t="n">
        <v>535</v>
      </c>
      <c r="M297" s="2" t="n"/>
      <c r="N297" s="2" t="n">
        <v>500</v>
      </c>
      <c r="O297" s="2" t="n"/>
      <c r="P297" s="2" t="n"/>
      <c r="Q297" s="2" t="n"/>
      <c r="R297" s="2" t="n"/>
      <c r="S297" s="2" t="n"/>
      <c r="T297" s="2" t="n"/>
      <c r="U297" s="2" t="n"/>
      <c r="V297" s="2">
        <f>SUM(J297:U297)*G297</f>
        <v/>
      </c>
      <c r="W297" s="2">
        <f>MAX(J297:U297)</f>
        <v/>
      </c>
      <c r="X297" s="2">
        <f>W297*G297</f>
        <v/>
      </c>
    </row>
    <row r="298">
      <c r="A298" s="2" t="inlineStr">
        <is>
          <t>14-K-215</t>
        </is>
      </c>
      <c r="B298" s="3" t="inlineStr">
        <is>
          <t>OJC-A1-SC/LC-SM-2-PC/PC-SP</t>
        </is>
      </c>
      <c r="C298" s="2" t="inlineStr">
        <is>
          <t>K9089029</t>
        </is>
      </c>
      <c r="D298" s="2" t="inlineStr">
        <is>
          <t>a1</t>
        </is>
      </c>
      <c r="E298" s="2" t="inlineStr">
        <is>
          <t>2.0mm</t>
        </is>
      </c>
      <c r="F298" s="2" t="n">
        <v>1</v>
      </c>
      <c r="G298" s="2" t="n">
        <v>2</v>
      </c>
      <c r="H298" s="2" t="inlineStr">
        <is>
          <t>SC/PC</t>
        </is>
      </c>
      <c r="I298" s="2" t="inlineStr">
        <is>
          <t>LC/PC</t>
        </is>
      </c>
      <c r="J298" s="2" t="n"/>
      <c r="K298" s="2" t="n"/>
      <c r="L298" s="2" t="n">
        <v>8</v>
      </c>
      <c r="M298" s="2" t="n">
        <v>50</v>
      </c>
      <c r="N298" s="2" t="n"/>
      <c r="O298" s="2" t="n"/>
      <c r="P298" s="2" t="n"/>
      <c r="Q298" s="2" t="n"/>
      <c r="R298" s="2" t="n"/>
      <c r="S298" s="2" t="n"/>
      <c r="T298" s="2" t="n">
        <v>57</v>
      </c>
      <c r="U298" s="2" t="n"/>
      <c r="V298" s="2">
        <f>SUM(J298:U298)*G298</f>
        <v/>
      </c>
      <c r="W298" s="2">
        <f>MAX(J298:U298)</f>
        <v/>
      </c>
      <c r="X298" s="2">
        <f>W298*G298</f>
        <v/>
      </c>
    </row>
    <row r="299">
      <c r="A299" s="2" t="inlineStr">
        <is>
          <t>14-K-217</t>
        </is>
      </c>
      <c r="B299" s="3" t="inlineStr">
        <is>
          <t>OJC-A1-SC/LC-SM-30-PC/PC-DP</t>
        </is>
      </c>
      <c r="C299" s="2" t="inlineStr">
        <is>
          <t>자색</t>
        </is>
      </c>
      <c r="D299" s="2" t="inlineStr">
        <is>
          <t>a1-자</t>
        </is>
      </c>
      <c r="E299" s="2" t="inlineStr">
        <is>
          <t>2.0mm</t>
        </is>
      </c>
      <c r="F299" s="2" t="n">
        <v>2</v>
      </c>
      <c r="G299" s="2" t="n">
        <v>30</v>
      </c>
      <c r="H299" s="2" t="inlineStr">
        <is>
          <t>SC/PC</t>
        </is>
      </c>
      <c r="I299" s="2" t="inlineStr">
        <is>
          <t>LC/PC</t>
        </is>
      </c>
      <c r="J299" s="2" t="n"/>
      <c r="K299" s="2" t="n"/>
      <c r="L299" s="2" t="n"/>
      <c r="M299" s="2" t="n"/>
      <c r="N299" s="2" t="n">
        <v>3</v>
      </c>
      <c r="O299" s="2" t="n"/>
      <c r="P299" s="2" t="n"/>
      <c r="Q299" s="2" t="n"/>
      <c r="R299" s="2" t="n"/>
      <c r="S299" s="2" t="n"/>
      <c r="T299" s="2" t="n"/>
      <c r="U299" s="2" t="n"/>
      <c r="V299" s="2">
        <f>SUM(J299:U299)*G299</f>
        <v/>
      </c>
      <c r="W299" s="2">
        <f>MAX(J299:U299)</f>
        <v/>
      </c>
      <c r="X299" s="2">
        <f>W299*G299</f>
        <v/>
      </c>
    </row>
    <row r="300">
      <c r="A300" s="2" t="inlineStr">
        <is>
          <t>14-K-220</t>
        </is>
      </c>
      <c r="B300" s="3" t="inlineStr">
        <is>
          <t>OJC-A1-SC/LC-SM-35-PC/PC-DP</t>
        </is>
      </c>
      <c r="C300" s="2" t="inlineStr">
        <is>
          <t>K9089167</t>
        </is>
      </c>
      <c r="D300" s="2" t="inlineStr">
        <is>
          <t>a1</t>
        </is>
      </c>
      <c r="E300" s="2" t="inlineStr">
        <is>
          <t>2.0mm</t>
        </is>
      </c>
      <c r="F300" s="2" t="n">
        <v>2</v>
      </c>
      <c r="G300" s="2" t="n">
        <v>35</v>
      </c>
      <c r="H300" s="2" t="inlineStr">
        <is>
          <t>SC/PC</t>
        </is>
      </c>
      <c r="I300" s="2" t="inlineStr">
        <is>
          <t>LC/PC</t>
        </is>
      </c>
      <c r="J300" s="2" t="n"/>
      <c r="K300" s="2" t="n"/>
      <c r="L300" s="2" t="n"/>
      <c r="M300" s="2" t="n"/>
      <c r="N300" s="2" t="n">
        <v>6</v>
      </c>
      <c r="O300" s="2" t="n"/>
      <c r="P300" s="2" t="n"/>
      <c r="Q300" s="2" t="n">
        <v>6</v>
      </c>
      <c r="R300" s="2" t="n"/>
      <c r="S300" s="2" t="n">
        <v>72</v>
      </c>
      <c r="T300" s="2" t="n"/>
      <c r="U300" s="2" t="n">
        <v>100</v>
      </c>
      <c r="V300" s="2">
        <f>SUM(J300:U300)*G300</f>
        <v/>
      </c>
      <c r="W300" s="2">
        <f>MAX(J300:U300)</f>
        <v/>
      </c>
      <c r="X300" s="2">
        <f>W300*G300</f>
        <v/>
      </c>
    </row>
    <row r="301">
      <c r="A301" s="2" t="inlineStr">
        <is>
          <t>14-K-221</t>
        </is>
      </c>
      <c r="B301" s="3" t="inlineStr">
        <is>
          <t>OJC-A1-SC/LC-SM-35-PC/PC-SP</t>
        </is>
      </c>
      <c r="C301" s="2" t="inlineStr">
        <is>
          <t>K9089038</t>
        </is>
      </c>
      <c r="D301" s="2" t="inlineStr">
        <is>
          <t>a1</t>
        </is>
      </c>
      <c r="E301" s="2" t="inlineStr">
        <is>
          <t>2.0mm</t>
        </is>
      </c>
      <c r="F301" s="2" t="n">
        <v>1</v>
      </c>
      <c r="G301" s="2" t="n">
        <v>35</v>
      </c>
      <c r="H301" s="2" t="inlineStr">
        <is>
          <t>SC/PC</t>
        </is>
      </c>
      <c r="I301" s="2" t="inlineStr">
        <is>
          <t>LC/PC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>
        <v>76</v>
      </c>
      <c r="T301" s="2" t="n"/>
      <c r="U301" s="2" t="n"/>
      <c r="V301" s="2">
        <f>SUM(J301:U301)*G301</f>
        <v/>
      </c>
      <c r="W301" s="2">
        <f>MAX(J301:U301)</f>
        <v/>
      </c>
      <c r="X301" s="2">
        <f>W301*G301</f>
        <v/>
      </c>
    </row>
    <row r="302">
      <c r="A302" s="2" t="inlineStr">
        <is>
          <t>14-K-222</t>
        </is>
      </c>
      <c r="B302" s="3" t="inlineStr">
        <is>
          <t>OJC-A1-SC/LC-SM-3-APC/PC-DP</t>
        </is>
      </c>
      <c r="C302" s="2" t="inlineStr"/>
      <c r="D302" s="2" t="inlineStr">
        <is>
          <t>a1</t>
        </is>
      </c>
      <c r="E302" s="2" t="inlineStr">
        <is>
          <t>2.0mm</t>
        </is>
      </c>
      <c r="F302" s="2" t="n">
        <v>2</v>
      </c>
      <c r="G302" s="2" t="n">
        <v>3</v>
      </c>
      <c r="H302" s="2" t="inlineStr">
        <is>
          <t>SC/APC</t>
        </is>
      </c>
      <c r="I302" s="2" t="inlineStr">
        <is>
          <t>LC/PC</t>
        </is>
      </c>
      <c r="J302" s="2" t="n"/>
      <c r="K302" s="2" t="n"/>
      <c r="L302" s="2" t="n"/>
      <c r="M302" s="2" t="n"/>
      <c r="N302" s="2" t="n"/>
      <c r="O302" s="2" t="n">
        <v>60</v>
      </c>
      <c r="P302" s="2" t="n">
        <v>30</v>
      </c>
      <c r="Q302" s="2" t="n"/>
      <c r="R302" s="2" t="n">
        <v>120</v>
      </c>
      <c r="S302" s="2" t="n"/>
      <c r="T302" s="2" t="n"/>
      <c r="U302" s="2" t="n"/>
      <c r="V302" s="2">
        <f>SUM(J302:U302)*G302</f>
        <v/>
      </c>
      <c r="W302" s="2">
        <f>MAX(J302:U302)</f>
        <v/>
      </c>
      <c r="X302" s="2">
        <f>W302*G302</f>
        <v/>
      </c>
    </row>
    <row r="303">
      <c r="A303" s="2" t="inlineStr">
        <is>
          <t>14-K-225</t>
        </is>
      </c>
      <c r="B303" s="3" t="inlineStr">
        <is>
          <t>OJC-A1-SC/LC-SM-3-PC/PC-DP</t>
        </is>
      </c>
      <c r="C303" s="2" t="inlineStr">
        <is>
          <t>K9089159</t>
        </is>
      </c>
      <c r="D303" s="2" t="inlineStr">
        <is>
          <t>a1</t>
        </is>
      </c>
      <c r="E303" s="2" t="inlineStr">
        <is>
          <t>2.0mm</t>
        </is>
      </c>
      <c r="F303" s="2" t="n">
        <v>2</v>
      </c>
      <c r="G303" s="2" t="n">
        <v>3</v>
      </c>
      <c r="H303" s="2" t="inlineStr">
        <is>
          <t>SC/PC</t>
        </is>
      </c>
      <c r="I303" s="2" t="inlineStr">
        <is>
          <t>LC/PC</t>
        </is>
      </c>
      <c r="J303" s="2" t="n">
        <v>200</v>
      </c>
      <c r="K303" s="2" t="n"/>
      <c r="L303" s="2" t="n"/>
      <c r="M303" s="2" t="n"/>
      <c r="N303" s="2" t="n">
        <v>450</v>
      </c>
      <c r="O303" s="2" t="n"/>
      <c r="P303" s="2" t="n"/>
      <c r="Q303" s="2" t="n"/>
      <c r="R303" s="2" t="n"/>
      <c r="S303" s="2" t="n"/>
      <c r="T303" s="2" t="n"/>
      <c r="U303" s="2" t="n"/>
      <c r="V303" s="2">
        <f>SUM(J303:U303)*G303</f>
        <v/>
      </c>
      <c r="W303" s="2">
        <f>MAX(J303:U303)</f>
        <v/>
      </c>
      <c r="X303" s="2">
        <f>W303*G303</f>
        <v/>
      </c>
    </row>
    <row r="304">
      <c r="A304" s="2" t="inlineStr">
        <is>
          <t>14-K-226</t>
        </is>
      </c>
      <c r="B304" s="3" t="inlineStr">
        <is>
          <t>OJC-A1-SC/LC-SM-3-PC/PC-SP</t>
        </is>
      </c>
      <c r="C304" s="2" t="inlineStr">
        <is>
          <t>K9089030</t>
        </is>
      </c>
      <c r="D304" s="2" t="inlineStr">
        <is>
          <t>a1</t>
        </is>
      </c>
      <c r="E304" s="2" t="inlineStr">
        <is>
          <t>2.0mm</t>
        </is>
      </c>
      <c r="F304" s="2" t="n">
        <v>1</v>
      </c>
      <c r="G304" s="2" t="n">
        <v>3</v>
      </c>
      <c r="H304" s="2" t="inlineStr">
        <is>
          <t>SC/PC</t>
        </is>
      </c>
      <c r="I304" s="2" t="inlineStr">
        <is>
          <t>LC/PC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19</v>
      </c>
      <c r="U304" s="2" t="n"/>
      <c r="V304" s="2">
        <f>SUM(J304:U304)*G304</f>
        <v/>
      </c>
      <c r="W304" s="2">
        <f>MAX(J304:U304)</f>
        <v/>
      </c>
      <c r="X304" s="2">
        <f>W304*G304</f>
        <v/>
      </c>
    </row>
    <row r="305">
      <c r="A305" s="2" t="inlineStr">
        <is>
          <t>14-K-227</t>
        </is>
      </c>
      <c r="B305" s="3" t="inlineStr">
        <is>
          <t>OJC-A1-SC/LC-SM-40-PC/PC-DP</t>
        </is>
      </c>
      <c r="C305" s="2" t="inlineStr">
        <is>
          <t>K9089168</t>
        </is>
      </c>
      <c r="D305" s="2" t="inlineStr">
        <is>
          <t>a1</t>
        </is>
      </c>
      <c r="E305" s="2" t="inlineStr">
        <is>
          <t>2.0mm</t>
        </is>
      </c>
      <c r="F305" s="2" t="n">
        <v>2</v>
      </c>
      <c r="G305" s="2" t="n">
        <v>40</v>
      </c>
      <c r="H305" s="2" t="inlineStr">
        <is>
          <t>SC/PC</t>
        </is>
      </c>
      <c r="I305" s="2" t="inlineStr">
        <is>
          <t>LC/PC</t>
        </is>
      </c>
      <c r="J305" s="2" t="n">
        <v>32</v>
      </c>
      <c r="K305" s="2" t="n"/>
      <c r="L305" s="2" t="n">
        <v>2</v>
      </c>
      <c r="M305" s="2" t="n"/>
      <c r="N305" s="2" t="n"/>
      <c r="O305" s="2" t="n"/>
      <c r="P305" s="2" t="n"/>
      <c r="Q305" s="2" t="n"/>
      <c r="R305" s="2" t="n">
        <v>1</v>
      </c>
      <c r="S305" s="2" t="n"/>
      <c r="T305" s="2" t="n"/>
      <c r="U305" s="2" t="n">
        <v>100</v>
      </c>
      <c r="V305" s="2">
        <f>SUM(J305:U305)*G305</f>
        <v/>
      </c>
      <c r="W305" s="2">
        <f>MAX(J305:U305)</f>
        <v/>
      </c>
      <c r="X305" s="2">
        <f>W305*G305</f>
        <v/>
      </c>
    </row>
    <row r="306">
      <c r="A306" s="2" t="inlineStr">
        <is>
          <t>14-K-228</t>
        </is>
      </c>
      <c r="B306" s="3" t="inlineStr">
        <is>
          <t>OJC-A1-SC/LC-SM-40-PC/PC-SP</t>
        </is>
      </c>
      <c r="C306" s="2" t="inlineStr">
        <is>
          <t>K9089039</t>
        </is>
      </c>
      <c r="D306" s="2" t="inlineStr">
        <is>
          <t>a1</t>
        </is>
      </c>
      <c r="E306" s="2" t="inlineStr">
        <is>
          <t>2.0mm</t>
        </is>
      </c>
      <c r="F306" s="2" t="n">
        <v>1</v>
      </c>
      <c r="G306" s="2" t="n">
        <v>40</v>
      </c>
      <c r="H306" s="2" t="inlineStr">
        <is>
          <t>SC/PC</t>
        </is>
      </c>
      <c r="I306" s="2" t="inlineStr">
        <is>
          <t>LC/PC</t>
        </is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>
        <v>50</v>
      </c>
      <c r="S306" s="2" t="n"/>
      <c r="T306" s="2" t="n"/>
      <c r="U306" s="2" t="n"/>
      <c r="V306" s="2">
        <f>SUM(J306:U306)*G306</f>
        <v/>
      </c>
      <c r="W306" s="2">
        <f>MAX(J306:U306)</f>
        <v/>
      </c>
      <c r="X306" s="2">
        <f>W306*G306</f>
        <v/>
      </c>
    </row>
    <row r="307">
      <c r="A307" s="2" t="inlineStr">
        <is>
          <t>14-K-229</t>
        </is>
      </c>
      <c r="B307" s="3" t="inlineStr">
        <is>
          <t>OJC-A1-SC/LC-SM-45-PC/PC-DP</t>
        </is>
      </c>
      <c r="C307" s="2" t="inlineStr">
        <is>
          <t>K9089169</t>
        </is>
      </c>
      <c r="D307" s="2" t="inlineStr">
        <is>
          <t>a1</t>
        </is>
      </c>
      <c r="E307" s="2" t="inlineStr">
        <is>
          <t>2.0mm</t>
        </is>
      </c>
      <c r="F307" s="2" t="n">
        <v>2</v>
      </c>
      <c r="G307" s="2" t="n">
        <v>45</v>
      </c>
      <c r="H307" s="2" t="inlineStr">
        <is>
          <t>SC/PC</t>
        </is>
      </c>
      <c r="I307" s="2" t="inlineStr">
        <is>
          <t>LC/PC</t>
        </is>
      </c>
      <c r="J307" s="2" t="n">
        <v>10</v>
      </c>
      <c r="K307" s="2" t="n"/>
      <c r="L307" s="2" t="n"/>
      <c r="M307" s="2" t="n"/>
      <c r="N307" s="2" t="n"/>
      <c r="O307" s="2" t="n"/>
      <c r="P307" s="2" t="n"/>
      <c r="Q307" s="2" t="n">
        <v>5</v>
      </c>
      <c r="R307" s="2" t="n"/>
      <c r="S307" s="2" t="n"/>
      <c r="T307" s="2" t="n"/>
      <c r="U307" s="2" t="n"/>
      <c r="V307" s="2">
        <f>SUM(J307:U307)*G307</f>
        <v/>
      </c>
      <c r="W307" s="2">
        <f>MAX(J307:U307)</f>
        <v/>
      </c>
      <c r="X307" s="2">
        <f>W307*G307</f>
        <v/>
      </c>
    </row>
    <row r="308">
      <c r="A308" s="2" t="inlineStr">
        <is>
          <t>14-K-232</t>
        </is>
      </c>
      <c r="B308" s="3" t="inlineStr">
        <is>
          <t>OJC-A1-SC/LC-SM-50-PC/PC-DP</t>
        </is>
      </c>
      <c r="C308" s="2" t="inlineStr">
        <is>
          <t>K9089170</t>
        </is>
      </c>
      <c r="D308" s="2" t="inlineStr">
        <is>
          <t>a1</t>
        </is>
      </c>
      <c r="E308" s="2" t="inlineStr">
        <is>
          <t>2.0mm</t>
        </is>
      </c>
      <c r="F308" s="2" t="n">
        <v>2</v>
      </c>
      <c r="G308" s="2" t="n">
        <v>50</v>
      </c>
      <c r="H308" s="2" t="inlineStr">
        <is>
          <t>SC/PC</t>
        </is>
      </c>
      <c r="I308" s="2" t="inlineStr">
        <is>
          <t>LC/PC</t>
        </is>
      </c>
      <c r="J308" s="2" t="n"/>
      <c r="K308" s="2" t="n"/>
      <c r="L308" s="2" t="n"/>
      <c r="M308" s="2" t="n">
        <v>35</v>
      </c>
      <c r="N308" s="2" t="n">
        <v>8</v>
      </c>
      <c r="O308" s="2" t="n"/>
      <c r="P308" s="2" t="n">
        <v>20</v>
      </c>
      <c r="Q308" s="2" t="n">
        <v>8</v>
      </c>
      <c r="R308" s="2" t="n">
        <v>20</v>
      </c>
      <c r="S308" s="2" t="n">
        <v>70</v>
      </c>
      <c r="T308" s="2" t="n"/>
      <c r="U308" s="2" t="n"/>
      <c r="V308" s="2">
        <f>SUM(J308:U308)*G308</f>
        <v/>
      </c>
      <c r="W308" s="2">
        <f>MAX(J308:U308)</f>
        <v/>
      </c>
      <c r="X308" s="2">
        <f>W308*G308</f>
        <v/>
      </c>
    </row>
    <row r="309">
      <c r="A309" s="2" t="inlineStr">
        <is>
          <t>14-K-233</t>
        </is>
      </c>
      <c r="B309" s="3" t="inlineStr">
        <is>
          <t>OJC-A1-SC/LC-SM-50-PC/PC-SP</t>
        </is>
      </c>
      <c r="C309" s="2" t="inlineStr">
        <is>
          <t>K9089041</t>
        </is>
      </c>
      <c r="D309" s="2" t="inlineStr">
        <is>
          <t>a1</t>
        </is>
      </c>
      <c r="E309" s="2" t="inlineStr">
        <is>
          <t>2.0mm</t>
        </is>
      </c>
      <c r="F309" s="2" t="n">
        <v>1</v>
      </c>
      <c r="G309" s="2" t="n">
        <v>50</v>
      </c>
      <c r="H309" s="2" t="inlineStr">
        <is>
          <t>SC/PC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>
        <v>50</v>
      </c>
      <c r="S309" s="2" t="n"/>
      <c r="T309" s="2" t="n"/>
      <c r="U309" s="2" t="n"/>
      <c r="V309" s="2">
        <f>SUM(J309:U309)*G309</f>
        <v/>
      </c>
      <c r="W309" s="2">
        <f>MAX(J309:U309)</f>
        <v/>
      </c>
      <c r="X309" s="2">
        <f>W309*G309</f>
        <v/>
      </c>
    </row>
    <row r="310">
      <c r="A310" s="2" t="inlineStr">
        <is>
          <t>14-K-234</t>
        </is>
      </c>
      <c r="B310" s="3" t="inlineStr">
        <is>
          <t>OJC-A1-SC/LC-SM-5-APC/PC-DP</t>
        </is>
      </c>
      <c r="C310" s="2" t="inlineStr"/>
      <c r="D310" s="2" t="inlineStr">
        <is>
          <t>a1</t>
        </is>
      </c>
      <c r="E310" s="2" t="inlineStr">
        <is>
          <t>2.0mm</t>
        </is>
      </c>
      <c r="F310" s="2" t="n">
        <v>2</v>
      </c>
      <c r="G310" s="2" t="n">
        <v>5</v>
      </c>
      <c r="H310" s="2" t="inlineStr">
        <is>
          <t>SC/APC</t>
        </is>
      </c>
      <c r="I310" s="2" t="inlineStr">
        <is>
          <t>LC/PC</t>
        </is>
      </c>
      <c r="J310" s="2" t="n"/>
      <c r="K310" s="2" t="n"/>
      <c r="L310" s="2" t="n"/>
      <c r="M310" s="2" t="n"/>
      <c r="N310" s="2" t="n"/>
      <c r="O310" s="2" t="n"/>
      <c r="P310" s="2" t="n">
        <v>50</v>
      </c>
      <c r="Q310" s="2" t="n"/>
      <c r="R310" s="2" t="n"/>
      <c r="S310" s="2" t="n"/>
      <c r="T310" s="2" t="n"/>
      <c r="U310" s="2" t="n"/>
      <c r="V310" s="2">
        <f>SUM(J310:U310)*G310</f>
        <v/>
      </c>
      <c r="W310" s="2">
        <f>MAX(J310:U310)</f>
        <v/>
      </c>
      <c r="X310" s="2">
        <f>W310*G310</f>
        <v/>
      </c>
    </row>
    <row r="311">
      <c r="A311" s="2" t="inlineStr">
        <is>
          <t>14-K-236</t>
        </is>
      </c>
      <c r="B311" s="3" t="inlineStr">
        <is>
          <t>OJC-A1-SC/LC-SM-5-PC/PC-DP</t>
        </is>
      </c>
      <c r="C311" s="2" t="inlineStr">
        <is>
          <t>K9089161</t>
        </is>
      </c>
      <c r="D311" s="2" t="inlineStr">
        <is>
          <t>a1</t>
        </is>
      </c>
      <c r="E311" s="2" t="inlineStr">
        <is>
          <t>2.0mm</t>
        </is>
      </c>
      <c r="F311" s="2" t="n">
        <v>2</v>
      </c>
      <c r="G311" s="2" t="n">
        <v>5</v>
      </c>
      <c r="H311" s="2" t="inlineStr">
        <is>
          <t>SC/PC</t>
        </is>
      </c>
      <c r="I311" s="2" t="inlineStr">
        <is>
          <t>LC/PC</t>
        </is>
      </c>
      <c r="J311" s="2" t="n">
        <v>200</v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>
        <f>SUM(J311:U311)*G311</f>
        <v/>
      </c>
      <c r="W311" s="2">
        <f>MAX(J311:U311)</f>
        <v/>
      </c>
      <c r="X311" s="2">
        <f>W311*G311</f>
        <v/>
      </c>
    </row>
    <row r="312">
      <c r="A312" s="2" t="inlineStr">
        <is>
          <t>14-K-239</t>
        </is>
      </c>
      <c r="B312" s="3" t="inlineStr">
        <is>
          <t>OJC-A1-SC/LC-SM-60-PC/PC-DP</t>
        </is>
      </c>
      <c r="C312" s="2" t="inlineStr"/>
      <c r="D312" s="2" t="inlineStr">
        <is>
          <t>a1</t>
        </is>
      </c>
      <c r="E312" s="2" t="inlineStr">
        <is>
          <t>2.0mm</t>
        </is>
      </c>
      <c r="F312" s="2" t="n">
        <v>2</v>
      </c>
      <c r="G312" s="2" t="n">
        <v>60</v>
      </c>
      <c r="H312" s="2" t="inlineStr">
        <is>
          <t>SC/PC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>
        <v>50</v>
      </c>
      <c r="T312" s="2" t="n"/>
      <c r="U312" s="2" t="n"/>
      <c r="V312" s="2">
        <f>SUM(J312:U312)*G312</f>
        <v/>
      </c>
      <c r="W312" s="2">
        <f>MAX(J312:U312)</f>
        <v/>
      </c>
      <c r="X312" s="2">
        <f>W312*G312</f>
        <v/>
      </c>
    </row>
    <row r="313">
      <c r="A313" s="2" t="inlineStr">
        <is>
          <t>14-K-241</t>
        </is>
      </c>
      <c r="B313" s="3" t="inlineStr">
        <is>
          <t>OJC-A1-SC/LC-SM-65-PC/PC-DP</t>
        </is>
      </c>
      <c r="C313" s="2" t="inlineStr"/>
      <c r="D313" s="2" t="inlineStr">
        <is>
          <t>a1</t>
        </is>
      </c>
      <c r="E313" s="2" t="inlineStr">
        <is>
          <t>2.0mm</t>
        </is>
      </c>
      <c r="F313" s="2" t="n">
        <v>2</v>
      </c>
      <c r="G313" s="2" t="n">
        <v>65</v>
      </c>
      <c r="H313" s="2" t="inlineStr">
        <is>
          <t>SC/PC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>
        <v>1</v>
      </c>
      <c r="O313" s="2" t="n">
        <v>10</v>
      </c>
      <c r="P313" s="2" t="n"/>
      <c r="Q313" s="2" t="n"/>
      <c r="R313" s="2" t="n"/>
      <c r="S313" s="2" t="n"/>
      <c r="T313" s="2" t="n">
        <v>2</v>
      </c>
      <c r="U313" s="2" t="n"/>
      <c r="V313" s="2">
        <f>SUM(J313:U313)*G313</f>
        <v/>
      </c>
      <c r="W313" s="2">
        <f>MAX(J313:U313)</f>
        <v/>
      </c>
      <c r="X313" s="2">
        <f>W313*G313</f>
        <v/>
      </c>
    </row>
    <row r="314">
      <c r="A314" s="2" t="inlineStr">
        <is>
          <t>14-K-245</t>
        </is>
      </c>
      <c r="B314" s="3" t="inlineStr">
        <is>
          <t>OJC-A1-SC/LC-SM-70-PC/PC-DP</t>
        </is>
      </c>
      <c r="C314" s="2" t="inlineStr"/>
      <c r="D314" s="2" t="inlineStr">
        <is>
          <t>a1</t>
        </is>
      </c>
      <c r="E314" s="2" t="inlineStr">
        <is>
          <t>2.0mm</t>
        </is>
      </c>
      <c r="F314" s="2" t="n">
        <v>2</v>
      </c>
      <c r="G314" s="2" t="n">
        <v>70</v>
      </c>
      <c r="H314" s="2" t="inlineStr">
        <is>
          <t>SC/PC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>
        <v>1</v>
      </c>
      <c r="O314" s="2" t="n"/>
      <c r="P314" s="2" t="n"/>
      <c r="Q314" s="2" t="n"/>
      <c r="R314" s="2" t="n">
        <v>5</v>
      </c>
      <c r="S314" s="2" t="n"/>
      <c r="T314" s="2" t="n"/>
      <c r="U314" s="2" t="n"/>
      <c r="V314" s="2">
        <f>SUM(J314:U314)*G314</f>
        <v/>
      </c>
      <c r="W314" s="2">
        <f>MAX(J314:U314)</f>
        <v/>
      </c>
      <c r="X314" s="2">
        <f>W314*G314</f>
        <v/>
      </c>
    </row>
    <row r="315">
      <c r="A315" s="2" t="inlineStr">
        <is>
          <t>14-K-247</t>
        </is>
      </c>
      <c r="B315" s="3" t="inlineStr">
        <is>
          <t>OJC-A1-SC/LC-SM-7-PC/PC-DP</t>
        </is>
      </c>
      <c r="C315" s="2" t="inlineStr"/>
      <c r="D315" s="2" t="inlineStr">
        <is>
          <t>a1</t>
        </is>
      </c>
      <c r="E315" s="2" t="inlineStr">
        <is>
          <t>2.0mm</t>
        </is>
      </c>
      <c r="F315" s="2" t="n">
        <v>2</v>
      </c>
      <c r="G315" s="2" t="n">
        <v>7</v>
      </c>
      <c r="H315" s="2" t="inlineStr">
        <is>
          <t>SC/PC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/>
      <c r="O315" s="2" t="n"/>
      <c r="P315" s="2" t="n"/>
      <c r="Q315" s="2" t="n">
        <v>32</v>
      </c>
      <c r="R315" s="2" t="n"/>
      <c r="S315" s="2" t="n">
        <v>2</v>
      </c>
      <c r="T315" s="2" t="n"/>
      <c r="U315" s="2" t="n"/>
      <c r="V315" s="2">
        <f>SUM(J315:U315)*G315</f>
        <v/>
      </c>
      <c r="W315" s="2">
        <f>MAX(J315:U315)</f>
        <v/>
      </c>
      <c r="X315" s="2">
        <f>W315*G315</f>
        <v/>
      </c>
    </row>
    <row r="316">
      <c r="A316" s="2" t="inlineStr">
        <is>
          <t>14-K-260</t>
        </is>
      </c>
      <c r="B316" s="3" t="inlineStr">
        <is>
          <t>OJC-A1-SC/SC-MM(OM3)-3-PC/PC-DP</t>
        </is>
      </c>
      <c r="C316" s="2" t="inlineStr"/>
      <c r="D316" s="2" t="inlineStr">
        <is>
          <t>om3</t>
        </is>
      </c>
      <c r="E316" s="2" t="inlineStr">
        <is>
          <t>2.0mm</t>
        </is>
      </c>
      <c r="F316" s="2" t="n">
        <v>2</v>
      </c>
      <c r="G316" s="2" t="n">
        <v>3</v>
      </c>
      <c r="H316" s="2" t="inlineStr">
        <is>
          <t>SC/PC</t>
        </is>
      </c>
      <c r="I316" s="2" t="inlineStr">
        <is>
          <t>SC/PC</t>
        </is>
      </c>
      <c r="J316" s="2" t="n"/>
      <c r="K316" s="2" t="n"/>
      <c r="L316" s="2" t="n"/>
      <c r="M316" s="2" t="n">
        <v>200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>
        <f>SUM(J316:U316)*G316</f>
        <v/>
      </c>
      <c r="W316" s="2">
        <f>MAX(J316:U316)</f>
        <v/>
      </c>
      <c r="X316" s="2">
        <f>W316*G316</f>
        <v/>
      </c>
    </row>
    <row r="317">
      <c r="A317" s="2" t="inlineStr">
        <is>
          <t>14-K-270</t>
        </is>
      </c>
      <c r="B317" s="3" t="inlineStr">
        <is>
          <t>OJC-A1-SC/SC-MM-2-PC/PC-DP</t>
        </is>
      </c>
      <c r="C317" s="2" t="inlineStr">
        <is>
          <t>K9089306</t>
        </is>
      </c>
      <c r="D317" s="2" t="inlineStr">
        <is>
          <t>om1</t>
        </is>
      </c>
      <c r="E317" s="2" t="inlineStr">
        <is>
          <t>2.0mm</t>
        </is>
      </c>
      <c r="F317" s="2" t="n">
        <v>2</v>
      </c>
      <c r="G317" s="2" t="n">
        <v>2</v>
      </c>
      <c r="H317" s="2" t="inlineStr">
        <is>
          <t>SC/PC</t>
        </is>
      </c>
      <c r="I317" s="2" t="inlineStr">
        <is>
          <t>SC/PC</t>
        </is>
      </c>
      <c r="J317" s="2" t="n"/>
      <c r="K317" s="2" t="n"/>
      <c r="L317" s="2" t="n"/>
      <c r="M317" s="2" t="n">
        <v>8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>
        <f>SUM(J317:U317)*G317</f>
        <v/>
      </c>
      <c r="W317" s="2">
        <f>MAX(J317:U317)</f>
        <v/>
      </c>
      <c r="X317" s="2">
        <f>W317*G317</f>
        <v/>
      </c>
    </row>
    <row r="318">
      <c r="A318" s="2" t="inlineStr">
        <is>
          <t>14-K-274</t>
        </is>
      </c>
      <c r="B318" s="3" t="inlineStr">
        <is>
          <t>OJC-A1-SC/SC-MM-3-PC/PC-DP</t>
        </is>
      </c>
      <c r="C318" s="2" t="inlineStr">
        <is>
          <t>K9089307</t>
        </is>
      </c>
      <c r="D318" s="2" t="inlineStr">
        <is>
          <t>om1</t>
        </is>
      </c>
      <c r="E318" s="2" t="inlineStr">
        <is>
          <t>2.0mm</t>
        </is>
      </c>
      <c r="F318" s="2" t="n">
        <v>2</v>
      </c>
      <c r="G318" s="2" t="n">
        <v>3</v>
      </c>
      <c r="H318" s="2" t="inlineStr">
        <is>
          <t>SC/PC</t>
        </is>
      </c>
      <c r="I318" s="2" t="inlineStr">
        <is>
          <t>SC/PC</t>
        </is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>
        <v>12</v>
      </c>
      <c r="T318" s="2" t="n"/>
      <c r="U318" s="2" t="n"/>
      <c r="V318" s="2">
        <f>SUM(J318:U318)*G318</f>
        <v/>
      </c>
      <c r="W318" s="2">
        <f>MAX(J318:U318)</f>
        <v/>
      </c>
      <c r="X318" s="2">
        <f>W318*G318</f>
        <v/>
      </c>
    </row>
    <row r="319">
      <c r="A319" s="2" t="inlineStr">
        <is>
          <t>14-K-279</t>
        </is>
      </c>
      <c r="B319" s="3" t="inlineStr">
        <is>
          <t>OJC-A1-SC/SC-SM-0.5-APC/APC-SP</t>
        </is>
      </c>
      <c r="C319" s="2" t="inlineStr"/>
      <c r="D319" s="2" t="inlineStr">
        <is>
          <t>a1</t>
        </is>
      </c>
      <c r="E319" s="2" t="inlineStr">
        <is>
          <t>2.0mm</t>
        </is>
      </c>
      <c r="F319" s="2" t="n">
        <v>1</v>
      </c>
      <c r="G319" s="2" t="n">
        <v>0.5</v>
      </c>
      <c r="H319" s="2" t="inlineStr">
        <is>
          <t>SC/APC</t>
        </is>
      </c>
      <c r="I319" s="2" t="inlineStr">
        <is>
          <t>SC/APC</t>
        </is>
      </c>
      <c r="J319" s="2" t="n"/>
      <c r="K319" s="2" t="n"/>
      <c r="L319" s="2" t="n"/>
      <c r="M319" s="2" t="n"/>
      <c r="N319" s="2" t="n"/>
      <c r="O319" s="2" t="n"/>
      <c r="P319" s="2" t="n">
        <v>5</v>
      </c>
      <c r="Q319" s="2" t="n"/>
      <c r="R319" s="2" t="n"/>
      <c r="S319" s="2" t="n"/>
      <c r="T319" s="2" t="n"/>
      <c r="U319" s="2" t="n"/>
      <c r="V319" s="2">
        <f>SUM(J319:U319)*G319</f>
        <v/>
      </c>
      <c r="W319" s="2">
        <f>MAX(J319:U319)</f>
        <v/>
      </c>
      <c r="X319" s="2">
        <f>W319*G319</f>
        <v/>
      </c>
    </row>
    <row r="320">
      <c r="A320" s="2" t="inlineStr">
        <is>
          <t>14-K-282</t>
        </is>
      </c>
      <c r="B320" s="3" t="inlineStr">
        <is>
          <t>OJC-A1-SC/SC-SM-0.5-PC/PC-SP</t>
        </is>
      </c>
      <c r="C320" s="2" t="inlineStr"/>
      <c r="D320" s="2" t="inlineStr">
        <is>
          <t>a1</t>
        </is>
      </c>
      <c r="E320" s="2" t="inlineStr">
        <is>
          <t>2.0mm</t>
        </is>
      </c>
      <c r="F320" s="2" t="n">
        <v>1</v>
      </c>
      <c r="G320" s="2" t="n">
        <v>0.5</v>
      </c>
      <c r="H320" s="2" t="inlineStr">
        <is>
          <t>SC/PC</t>
        </is>
      </c>
      <c r="I320" s="2" t="inlineStr">
        <is>
          <t>SC/PC</t>
        </is>
      </c>
      <c r="J320" s="2" t="n"/>
      <c r="K320" s="2" t="n"/>
      <c r="L320" s="2" t="n">
        <v>74</v>
      </c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>
        <f>SUM(J320:U320)*G320</f>
        <v/>
      </c>
      <c r="W320" s="2">
        <f>MAX(J320:U320)</f>
        <v/>
      </c>
      <c r="X320" s="2">
        <f>W320*G320</f>
        <v/>
      </c>
    </row>
    <row r="321">
      <c r="A321" s="2" t="inlineStr">
        <is>
          <t>14-K-285</t>
        </is>
      </c>
      <c r="B321" s="3" t="inlineStr">
        <is>
          <t>OJC-A1-SC/SC-SM-1.5-PC/PC-SP</t>
        </is>
      </c>
      <c r="C321" s="2" t="inlineStr"/>
      <c r="D321" s="2" t="inlineStr">
        <is>
          <t>a1</t>
        </is>
      </c>
      <c r="E321" s="2" t="inlineStr">
        <is>
          <t>2.0mm</t>
        </is>
      </c>
      <c r="F321" s="2" t="n">
        <v>1</v>
      </c>
      <c r="G321" s="2" t="n">
        <v>1.5</v>
      </c>
      <c r="H321" s="2" t="inlineStr">
        <is>
          <t>SC/PC</t>
        </is>
      </c>
      <c r="I321" s="2" t="inlineStr">
        <is>
          <t>SC/PC</t>
        </is>
      </c>
      <c r="J321" s="2" t="n"/>
      <c r="K321" s="2" t="n"/>
      <c r="L321" s="2" t="n"/>
      <c r="M321" s="2" t="n"/>
      <c r="N321" s="2" t="n">
        <v>20</v>
      </c>
      <c r="O321" s="2" t="n">
        <v>200</v>
      </c>
      <c r="P321" s="2" t="n"/>
      <c r="Q321" s="2" t="n">
        <v>200</v>
      </c>
      <c r="R321" s="2" t="n">
        <v>200</v>
      </c>
      <c r="S321" s="2" t="n"/>
      <c r="T321" s="2" t="n"/>
      <c r="U321" s="2" t="n"/>
      <c r="V321" s="2">
        <f>SUM(J321:U321)*G321</f>
        <v/>
      </c>
      <c r="W321" s="2">
        <f>MAX(J321:U321)</f>
        <v/>
      </c>
      <c r="X321" s="2">
        <f>W321*G321</f>
        <v/>
      </c>
    </row>
    <row r="322">
      <c r="A322" s="2" t="inlineStr">
        <is>
          <t>14-K-286</t>
        </is>
      </c>
      <c r="B322" s="3" t="inlineStr">
        <is>
          <t>OJC-A1-SC/SC-SM-10-APC/APC-DP</t>
        </is>
      </c>
      <c r="C322" s="2" t="inlineStr"/>
      <c r="D322" s="2" t="inlineStr">
        <is>
          <t>a1</t>
        </is>
      </c>
      <c r="E322" s="2" t="inlineStr">
        <is>
          <t>2.0mm</t>
        </is>
      </c>
      <c r="F322" s="2" t="n">
        <v>2</v>
      </c>
      <c r="G322" s="2" t="n">
        <v>10</v>
      </c>
      <c r="H322" s="2" t="inlineStr">
        <is>
          <t>SC/APC</t>
        </is>
      </c>
      <c r="I322" s="2" t="inlineStr">
        <is>
          <t>SC/APC</t>
        </is>
      </c>
      <c r="J322" s="2" t="n"/>
      <c r="K322" s="2" t="n"/>
      <c r="L322" s="2" t="n"/>
      <c r="M322" s="2" t="n"/>
      <c r="N322" s="2" t="n"/>
      <c r="O322" s="2" t="n">
        <v>90</v>
      </c>
      <c r="P322" s="2" t="n"/>
      <c r="Q322" s="2" t="n"/>
      <c r="R322" s="2" t="n"/>
      <c r="S322" s="2" t="n"/>
      <c r="T322" s="2" t="n"/>
      <c r="U322" s="2" t="n">
        <v>40</v>
      </c>
      <c r="V322" s="2">
        <f>SUM(J322:U322)*G322</f>
        <v/>
      </c>
      <c r="W322" s="2">
        <f>MAX(J322:U322)</f>
        <v/>
      </c>
      <c r="X322" s="2">
        <f>W322*G322</f>
        <v/>
      </c>
    </row>
    <row r="323">
      <c r="A323" s="2" t="inlineStr">
        <is>
          <t>14-K-287</t>
        </is>
      </c>
      <c r="B323" s="3" t="inlineStr">
        <is>
          <t>OJC-A1-SC/SC-SM-10-APC/APC-SP</t>
        </is>
      </c>
      <c r="C323" s="2" t="inlineStr"/>
      <c r="D323" s="2" t="inlineStr">
        <is>
          <t>a1</t>
        </is>
      </c>
      <c r="E323" s="2" t="inlineStr">
        <is>
          <t>2.0mm</t>
        </is>
      </c>
      <c r="F323" s="2" t="n">
        <v>1</v>
      </c>
      <c r="G323" s="2" t="n">
        <v>10</v>
      </c>
      <c r="H323" s="2" t="inlineStr">
        <is>
          <t>SC/APC</t>
        </is>
      </c>
      <c r="I323" s="2" t="inlineStr">
        <is>
          <t>SC/APC</t>
        </is>
      </c>
      <c r="J323" s="2" t="n"/>
      <c r="K323" s="2" t="n"/>
      <c r="L323" s="2" t="n"/>
      <c r="M323" s="2" t="n">
        <v>45</v>
      </c>
      <c r="N323" s="2" t="n"/>
      <c r="O323" s="2" t="n">
        <v>140</v>
      </c>
      <c r="P323" s="2" t="n"/>
      <c r="Q323" s="2" t="n">
        <v>162</v>
      </c>
      <c r="R323" s="2" t="n">
        <v>52</v>
      </c>
      <c r="S323" s="2" t="n">
        <v>30</v>
      </c>
      <c r="T323" s="2" t="n"/>
      <c r="U323" s="2" t="n">
        <v>30</v>
      </c>
      <c r="V323" s="2">
        <f>SUM(J323:U323)*G323</f>
        <v/>
      </c>
      <c r="W323" s="2">
        <f>MAX(J323:U323)</f>
        <v/>
      </c>
      <c r="X323" s="2">
        <f>W323*G323</f>
        <v/>
      </c>
    </row>
    <row r="324">
      <c r="A324" s="2" t="inlineStr">
        <is>
          <t>14-K-288</t>
        </is>
      </c>
      <c r="B324" s="3" t="inlineStr">
        <is>
          <t>OJC-A1-SC/SC-SM-10-PC/APC-DP</t>
        </is>
      </c>
      <c r="C324" s="2" t="inlineStr">
        <is>
          <t>K9089188</t>
        </is>
      </c>
      <c r="D324" s="2" t="inlineStr">
        <is>
          <t>a1</t>
        </is>
      </c>
      <c r="E324" s="2" t="inlineStr">
        <is>
          <t>2.0mm</t>
        </is>
      </c>
      <c r="F324" s="2" t="n">
        <v>2</v>
      </c>
      <c r="G324" s="2" t="n">
        <v>10</v>
      </c>
      <c r="H324" s="2" t="inlineStr">
        <is>
          <t>SC/PC</t>
        </is>
      </c>
      <c r="I324" s="2" t="inlineStr">
        <is>
          <t>SC/APC</t>
        </is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>
        <v>3</v>
      </c>
      <c r="T324" s="2" t="n"/>
      <c r="U324" s="2" t="n"/>
      <c r="V324" s="2">
        <f>SUM(J324:U324)*G324</f>
        <v/>
      </c>
      <c r="W324" s="2">
        <f>MAX(J324:U324)</f>
        <v/>
      </c>
      <c r="X324" s="2">
        <f>W324*G324</f>
        <v/>
      </c>
    </row>
    <row r="325">
      <c r="A325" s="2" t="inlineStr">
        <is>
          <t>14-K-289</t>
        </is>
      </c>
      <c r="B325" s="3" t="inlineStr">
        <is>
          <t>OJC-A1-SC/SC-SM-10-PC/APC-SP</t>
        </is>
      </c>
      <c r="C325" s="2" t="inlineStr">
        <is>
          <t>K9089059</t>
        </is>
      </c>
      <c r="D325" s="2" t="inlineStr">
        <is>
          <t>a1</t>
        </is>
      </c>
      <c r="E325" s="2" t="inlineStr">
        <is>
          <t>2.0mm</t>
        </is>
      </c>
      <c r="F325" s="2" t="n">
        <v>1</v>
      </c>
      <c r="G325" s="2" t="n">
        <v>10</v>
      </c>
      <c r="H325" s="2" t="inlineStr">
        <is>
          <t>SC/PC</t>
        </is>
      </c>
      <c r="I325" s="2" t="inlineStr">
        <is>
          <t>SC/APC</t>
        </is>
      </c>
      <c r="J325" s="2" t="n"/>
      <c r="K325" s="2" t="n">
        <v>7</v>
      </c>
      <c r="L325" s="2" t="n">
        <v>130</v>
      </c>
      <c r="M325" s="2" t="n">
        <v>10</v>
      </c>
      <c r="N325" s="2" t="n"/>
      <c r="O325" s="2" t="n">
        <v>31</v>
      </c>
      <c r="P325" s="2" t="n">
        <v>100</v>
      </c>
      <c r="Q325" s="2" t="n">
        <v>2</v>
      </c>
      <c r="R325" s="2" t="n">
        <v>35</v>
      </c>
      <c r="S325" s="2" t="n">
        <v>32</v>
      </c>
      <c r="T325" s="2" t="n">
        <v>20</v>
      </c>
      <c r="U325" s="2" t="n"/>
      <c r="V325" s="2">
        <f>SUM(J325:U325)*G325</f>
        <v/>
      </c>
      <c r="W325" s="2">
        <f>MAX(J325:U325)</f>
        <v/>
      </c>
      <c r="X325" s="2">
        <f>W325*G325</f>
        <v/>
      </c>
    </row>
    <row r="326">
      <c r="A326" s="2" t="inlineStr">
        <is>
          <t>14-K-290</t>
        </is>
      </c>
      <c r="B326" s="3" t="inlineStr">
        <is>
          <t>OJC-A1-SC/SC-SM-10-PC/PC-DP</t>
        </is>
      </c>
      <c r="C326" s="2" t="inlineStr">
        <is>
          <t>K9089132</t>
        </is>
      </c>
      <c r="D326" s="2" t="inlineStr">
        <is>
          <t>a1</t>
        </is>
      </c>
      <c r="E326" s="2" t="inlineStr">
        <is>
          <t>2.0mm</t>
        </is>
      </c>
      <c r="F326" s="2" t="n">
        <v>2</v>
      </c>
      <c r="G326" s="2" t="n">
        <v>10</v>
      </c>
      <c r="H326" s="2" t="inlineStr">
        <is>
          <t>SC/PC</t>
        </is>
      </c>
      <c r="I326" s="2" t="inlineStr">
        <is>
          <t>SC/PC</t>
        </is>
      </c>
      <c r="J326" s="2" t="n"/>
      <c r="K326" s="2" t="n"/>
      <c r="L326" s="2" t="n">
        <v>37</v>
      </c>
      <c r="M326" s="2" t="n">
        <v>100</v>
      </c>
      <c r="N326" s="2" t="n">
        <v>3</v>
      </c>
      <c r="O326" s="2" t="n"/>
      <c r="P326" s="2" t="n"/>
      <c r="Q326" s="2" t="n"/>
      <c r="R326" s="2" t="n"/>
      <c r="S326" s="2" t="n"/>
      <c r="T326" s="2" t="n"/>
      <c r="U326" s="2" t="n"/>
      <c r="V326" s="2">
        <f>SUM(J326:U326)*G326</f>
        <v/>
      </c>
      <c r="W326" s="2">
        <f>MAX(J326:U326)</f>
        <v/>
      </c>
      <c r="X326" s="2">
        <f>W326*G326</f>
        <v/>
      </c>
    </row>
    <row r="327">
      <c r="A327" s="2" t="inlineStr">
        <is>
          <t>14-K-299</t>
        </is>
      </c>
      <c r="B327" s="3" t="inlineStr">
        <is>
          <t>OJC-A1-SC/SC-SM-15-APC/APC-SP</t>
        </is>
      </c>
      <c r="C327" s="2" t="inlineStr"/>
      <c r="D327" s="2" t="inlineStr">
        <is>
          <t>a1</t>
        </is>
      </c>
      <c r="E327" s="2" t="inlineStr">
        <is>
          <t>2.0mm</t>
        </is>
      </c>
      <c r="F327" s="2" t="n">
        <v>1</v>
      </c>
      <c r="G327" s="2" t="n">
        <v>15</v>
      </c>
      <c r="H327" s="2" t="inlineStr">
        <is>
          <t>SC/APC</t>
        </is>
      </c>
      <c r="I327" s="2" t="inlineStr">
        <is>
          <t>SC/APC</t>
        </is>
      </c>
      <c r="J327" s="2" t="n"/>
      <c r="K327" s="2" t="n"/>
      <c r="L327" s="2" t="n"/>
      <c r="M327" s="2" t="n">
        <v>10</v>
      </c>
      <c r="N327" s="2" t="n"/>
      <c r="O327" s="2" t="n"/>
      <c r="P327" s="2" t="n"/>
      <c r="Q327" s="2" t="n">
        <v>50</v>
      </c>
      <c r="R327" s="2" t="n"/>
      <c r="S327" s="2" t="n">
        <v>20</v>
      </c>
      <c r="T327" s="2" t="n"/>
      <c r="U327" s="2" t="n">
        <v>90</v>
      </c>
      <c r="V327" s="2">
        <f>SUM(J327:U327)*G327</f>
        <v/>
      </c>
      <c r="W327" s="2">
        <f>MAX(J327:U327)</f>
        <v/>
      </c>
      <c r="X327" s="2">
        <f>W327*G327</f>
        <v/>
      </c>
    </row>
    <row r="328">
      <c r="A328" s="2" t="inlineStr">
        <is>
          <t>14-K-301</t>
        </is>
      </c>
      <c r="B328" s="3" t="inlineStr">
        <is>
          <t>OJC-A1-SC/SC-SM-15-PC/APC-SP</t>
        </is>
      </c>
      <c r="C328" s="2" t="inlineStr">
        <is>
          <t>K9089060</t>
        </is>
      </c>
      <c r="D328" s="2" t="inlineStr">
        <is>
          <t>a1</t>
        </is>
      </c>
      <c r="E328" s="2" t="inlineStr">
        <is>
          <t>2.0mm</t>
        </is>
      </c>
      <c r="F328" s="2" t="n">
        <v>1</v>
      </c>
      <c r="G328" s="2" t="n">
        <v>15</v>
      </c>
      <c r="H328" s="2" t="inlineStr">
        <is>
          <t>SC/PC</t>
        </is>
      </c>
      <c r="I328" s="2" t="inlineStr">
        <is>
          <t>SC/APC</t>
        </is>
      </c>
      <c r="J328" s="2" t="n"/>
      <c r="K328" s="2" t="n"/>
      <c r="L328" s="2" t="n"/>
      <c r="M328" s="2" t="n"/>
      <c r="N328" s="2" t="n"/>
      <c r="O328" s="2" t="n">
        <v>1</v>
      </c>
      <c r="P328" s="2" t="n">
        <v>3</v>
      </c>
      <c r="Q328" s="2" t="n">
        <v>2</v>
      </c>
      <c r="R328" s="2" t="n"/>
      <c r="S328" s="2" t="n">
        <v>30</v>
      </c>
      <c r="T328" s="2" t="n"/>
      <c r="U328" s="2" t="n"/>
      <c r="V328" s="2">
        <f>SUM(J328:U328)*G328</f>
        <v/>
      </c>
      <c r="W328" s="2">
        <f>MAX(J328:U328)</f>
        <v/>
      </c>
      <c r="X328" s="2">
        <f>W328*G328</f>
        <v/>
      </c>
    </row>
    <row r="329">
      <c r="A329" s="2" t="inlineStr">
        <is>
          <t>14-K-303</t>
        </is>
      </c>
      <c r="B329" s="3" t="inlineStr">
        <is>
          <t>OJC-A1-SC/SC-SM-15-PC/PC-SP</t>
        </is>
      </c>
      <c r="C329" s="2" t="inlineStr">
        <is>
          <t>K9089008</t>
        </is>
      </c>
      <c r="D329" s="2" t="inlineStr">
        <is>
          <t>a1</t>
        </is>
      </c>
      <c r="E329" s="2" t="inlineStr">
        <is>
          <t>2.0mm</t>
        </is>
      </c>
      <c r="F329" s="2" t="n">
        <v>1</v>
      </c>
      <c r="G329" s="2" t="n">
        <v>15</v>
      </c>
      <c r="H329" s="2" t="inlineStr">
        <is>
          <t>SC/PC</t>
        </is>
      </c>
      <c r="I329" s="2" t="inlineStr">
        <is>
          <t>SC/PC</t>
        </is>
      </c>
      <c r="J329" s="2" t="n">
        <v>2</v>
      </c>
      <c r="K329" s="2" t="n">
        <v>820</v>
      </c>
      <c r="L329" s="2" t="n"/>
      <c r="M329" s="2" t="n">
        <v>55</v>
      </c>
      <c r="N329" s="2" t="n">
        <v>51</v>
      </c>
      <c r="O329" s="2" t="n"/>
      <c r="P329" s="2" t="n"/>
      <c r="Q329" s="2" t="n"/>
      <c r="R329" s="2" t="n"/>
      <c r="S329" s="2" t="n"/>
      <c r="T329" s="2" t="n"/>
      <c r="U329" s="2" t="n"/>
      <c r="V329" s="2">
        <f>SUM(J329:U329)*G329</f>
        <v/>
      </c>
      <c r="W329" s="2">
        <f>MAX(J329:U329)</f>
        <v/>
      </c>
      <c r="X329" s="2">
        <f>W329*G329</f>
        <v/>
      </c>
    </row>
    <row r="330">
      <c r="A330" s="2" t="inlineStr">
        <is>
          <t>14-K-314</t>
        </is>
      </c>
      <c r="B330" s="3" t="inlineStr">
        <is>
          <t>OJC-A1-SC/SC-SM-1-PC/APC-SP</t>
        </is>
      </c>
      <c r="C330" s="2" t="inlineStr">
        <is>
          <t>K9089056</t>
        </is>
      </c>
      <c r="D330" s="2" t="inlineStr">
        <is>
          <t>a1</t>
        </is>
      </c>
      <c r="E330" s="2" t="inlineStr">
        <is>
          <t>2.0mm</t>
        </is>
      </c>
      <c r="F330" s="2" t="n">
        <v>1</v>
      </c>
      <c r="G330" s="2" t="n">
        <v>1</v>
      </c>
      <c r="H330" s="2" t="inlineStr">
        <is>
          <t>SC/PC</t>
        </is>
      </c>
      <c r="I330" s="2" t="inlineStr">
        <is>
          <t>SC/APC</t>
        </is>
      </c>
      <c r="J330" s="2" t="n"/>
      <c r="K330" s="2" t="n">
        <v>300</v>
      </c>
      <c r="L330" s="2" t="n"/>
      <c r="M330" s="2" t="n"/>
      <c r="N330" s="2" t="n">
        <v>22</v>
      </c>
      <c r="O330" s="2" t="n"/>
      <c r="P330" s="2" t="n"/>
      <c r="Q330" s="2" t="n"/>
      <c r="R330" s="2" t="n"/>
      <c r="S330" s="2" t="n"/>
      <c r="T330" s="2" t="n"/>
      <c r="U330" s="2" t="n"/>
      <c r="V330" s="2">
        <f>SUM(J330:U330)*G330</f>
        <v/>
      </c>
      <c r="W330" s="2">
        <f>MAX(J330:U330)</f>
        <v/>
      </c>
      <c r="X330" s="2">
        <f>W330*G330</f>
        <v/>
      </c>
    </row>
    <row r="331">
      <c r="A331" s="2" t="inlineStr">
        <is>
          <t>14-K-315</t>
        </is>
      </c>
      <c r="B331" s="3" t="inlineStr">
        <is>
          <t>OJC-A1-SC/SC-SM-1-PC/PC-DP</t>
        </is>
      </c>
      <c r="C331" s="2" t="inlineStr">
        <is>
          <t>K9089123</t>
        </is>
      </c>
      <c r="D331" s="2" t="inlineStr">
        <is>
          <t>a1</t>
        </is>
      </c>
      <c r="E331" s="2" t="inlineStr">
        <is>
          <t>2.0mm</t>
        </is>
      </c>
      <c r="F331" s="2" t="n">
        <v>2</v>
      </c>
      <c r="G331" s="2" t="n">
        <v>1</v>
      </c>
      <c r="H331" s="2" t="inlineStr">
        <is>
          <t>SC/PC</t>
        </is>
      </c>
      <c r="I331" s="2" t="inlineStr">
        <is>
          <t>SC/PC</t>
        </is>
      </c>
      <c r="J331" s="2" t="n"/>
      <c r="K331" s="2" t="n"/>
      <c r="L331" s="2" t="n"/>
      <c r="M331" s="2" t="n"/>
      <c r="N331" s="2" t="n">
        <v>300</v>
      </c>
      <c r="O331" s="2" t="n"/>
      <c r="P331" s="2" t="n"/>
      <c r="Q331" s="2" t="n"/>
      <c r="R331" s="2" t="n">
        <v>300</v>
      </c>
      <c r="S331" s="2" t="n"/>
      <c r="T331" s="2" t="n">
        <v>100</v>
      </c>
      <c r="U331" s="2" t="n"/>
      <c r="V331" s="2">
        <f>SUM(J331:U331)*G331</f>
        <v/>
      </c>
      <c r="W331" s="2">
        <f>MAX(J331:U331)</f>
        <v/>
      </c>
      <c r="X331" s="2">
        <f>W331*G331</f>
        <v/>
      </c>
    </row>
    <row r="332">
      <c r="A332" s="2" t="inlineStr">
        <is>
          <t>14-K-318</t>
        </is>
      </c>
      <c r="B332" s="3" t="inlineStr">
        <is>
          <t>OJC-A1-SC/SC-SM-20-APC/APC-SP</t>
        </is>
      </c>
      <c r="C332" s="2" t="inlineStr"/>
      <c r="D332" s="2" t="inlineStr">
        <is>
          <t>a1</t>
        </is>
      </c>
      <c r="E332" s="2" t="inlineStr">
        <is>
          <t>2.0mm</t>
        </is>
      </c>
      <c r="F332" s="2" t="n">
        <v>1</v>
      </c>
      <c r="G332" s="2" t="n">
        <v>20</v>
      </c>
      <c r="H332" s="2" t="inlineStr">
        <is>
          <t>SC/APC</t>
        </is>
      </c>
      <c r="I332" s="2" t="inlineStr">
        <is>
          <t>SC/APC</t>
        </is>
      </c>
      <c r="J332" s="2" t="n"/>
      <c r="K332" s="2" t="n"/>
      <c r="L332" s="2" t="n">
        <v>5</v>
      </c>
      <c r="M332" s="2" t="n"/>
      <c r="N332" s="2" t="n"/>
      <c r="O332" s="2" t="n"/>
      <c r="P332" s="2" t="n"/>
      <c r="Q332" s="2" t="n">
        <v>20</v>
      </c>
      <c r="R332" s="2" t="n"/>
      <c r="S332" s="2" t="n"/>
      <c r="T332" s="2" t="n"/>
      <c r="U332" s="2" t="n"/>
      <c r="V332" s="2">
        <f>SUM(J332:U332)*G332</f>
        <v/>
      </c>
      <c r="W332" s="2">
        <f>MAX(J332:U332)</f>
        <v/>
      </c>
      <c r="X332" s="2">
        <f>W332*G332</f>
        <v/>
      </c>
    </row>
    <row r="333">
      <c r="A333" s="2" t="inlineStr">
        <is>
          <t>14-K-319</t>
        </is>
      </c>
      <c r="B333" s="3" t="inlineStr">
        <is>
          <t>OJC-A1-SC/SC-SM-20-PC/APC-DP</t>
        </is>
      </c>
      <c r="C333" s="2" t="inlineStr">
        <is>
          <t>K9089190</t>
        </is>
      </c>
      <c r="D333" s="2" t="inlineStr">
        <is>
          <t>a1</t>
        </is>
      </c>
      <c r="E333" s="2" t="inlineStr">
        <is>
          <t>2.0mm</t>
        </is>
      </c>
      <c r="F333" s="2" t="n">
        <v>2</v>
      </c>
      <c r="G333" s="2" t="n">
        <v>20</v>
      </c>
      <c r="H333" s="2" t="inlineStr">
        <is>
          <t>SC/PC</t>
        </is>
      </c>
      <c r="I333" s="2" t="inlineStr">
        <is>
          <t>SC/APC</t>
        </is>
      </c>
      <c r="J333" s="2" t="n"/>
      <c r="K333" s="2" t="n"/>
      <c r="L333" s="2" t="n"/>
      <c r="M333" s="2" t="n">
        <v>2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>
        <f>SUM(J333:U333)*G333</f>
        <v/>
      </c>
      <c r="W333" s="2">
        <f>MAX(J333:U333)</f>
        <v/>
      </c>
      <c r="X333" s="2">
        <f>W333*G333</f>
        <v/>
      </c>
    </row>
    <row r="334">
      <c r="A334" s="2" t="inlineStr">
        <is>
          <t>14-K-320</t>
        </is>
      </c>
      <c r="B334" s="3" t="inlineStr">
        <is>
          <t>OJC-A1-SC/SC-SM-20-PC/APC-SP</t>
        </is>
      </c>
      <c r="C334" s="2" t="inlineStr">
        <is>
          <t>K9089061</t>
        </is>
      </c>
      <c r="D334" s="2" t="inlineStr">
        <is>
          <t>a1</t>
        </is>
      </c>
      <c r="E334" s="2" t="inlineStr">
        <is>
          <t>2.0mm</t>
        </is>
      </c>
      <c r="F334" s="2" t="n">
        <v>1</v>
      </c>
      <c r="G334" s="2" t="n">
        <v>20</v>
      </c>
      <c r="H334" s="2" t="inlineStr">
        <is>
          <t>SC/PC</t>
        </is>
      </c>
      <c r="I334" s="2" t="inlineStr">
        <is>
          <t>SC/APC</t>
        </is>
      </c>
      <c r="J334" s="2" t="n"/>
      <c r="K334" s="2" t="n"/>
      <c r="L334" s="2" t="n">
        <v>1</v>
      </c>
      <c r="M334" s="2" t="n">
        <v>1</v>
      </c>
      <c r="N334" s="2" t="n"/>
      <c r="O334" s="2" t="n"/>
      <c r="P334" s="2" t="n">
        <v>5</v>
      </c>
      <c r="Q334" s="2" t="n"/>
      <c r="R334" s="2" t="n"/>
      <c r="S334" s="2" t="n"/>
      <c r="T334" s="2" t="n"/>
      <c r="U334" s="2" t="n">
        <v>2</v>
      </c>
      <c r="V334" s="2">
        <f>SUM(J334:U334)*G334</f>
        <v/>
      </c>
      <c r="W334" s="2">
        <f>MAX(J334:U334)</f>
        <v/>
      </c>
      <c r="X334" s="2">
        <f>W334*G334</f>
        <v/>
      </c>
    </row>
    <row r="335">
      <c r="A335" s="2" t="inlineStr">
        <is>
          <t>14-K-321</t>
        </is>
      </c>
      <c r="B335" s="3" t="inlineStr">
        <is>
          <t>OJC-A1-SC/SC-SM-20-PC/PC-DP</t>
        </is>
      </c>
      <c r="C335" s="2" t="inlineStr">
        <is>
          <t>K9089142</t>
        </is>
      </c>
      <c r="D335" s="2" t="inlineStr">
        <is>
          <t>a1</t>
        </is>
      </c>
      <c r="E335" s="2" t="inlineStr">
        <is>
          <t>2.0mm</t>
        </is>
      </c>
      <c r="F335" s="2" t="n">
        <v>2</v>
      </c>
      <c r="G335" s="2" t="n">
        <v>20</v>
      </c>
      <c r="H335" s="2" t="inlineStr">
        <is>
          <t>SC/PC</t>
        </is>
      </c>
      <c r="I335" s="2" t="inlineStr">
        <is>
          <t>SC/PC</t>
        </is>
      </c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>
        <v>111</v>
      </c>
      <c r="U335" s="2" t="n"/>
      <c r="V335" s="2">
        <f>SUM(J335:U335)*G335</f>
        <v/>
      </c>
      <c r="W335" s="2">
        <f>MAX(J335:U335)</f>
        <v/>
      </c>
      <c r="X335" s="2">
        <f>W335*G335</f>
        <v/>
      </c>
    </row>
    <row r="336">
      <c r="A336" s="2" t="inlineStr">
        <is>
          <t>14-K-322</t>
        </is>
      </c>
      <c r="B336" s="3" t="inlineStr">
        <is>
          <t>OJC-A1-SC/SC-SM-20-PC/PC-SP</t>
        </is>
      </c>
      <c r="C336" s="2" t="inlineStr">
        <is>
          <t>K9089013</t>
        </is>
      </c>
      <c r="D336" s="2" t="inlineStr">
        <is>
          <t>a1</t>
        </is>
      </c>
      <c r="E336" s="2" t="inlineStr">
        <is>
          <t>2.0mm</t>
        </is>
      </c>
      <c r="F336" s="2" t="n">
        <v>1</v>
      </c>
      <c r="G336" s="2" t="n">
        <v>20</v>
      </c>
      <c r="H336" s="2" t="inlineStr">
        <is>
          <t>SC/PC</t>
        </is>
      </c>
      <c r="I336" s="2" t="inlineStr">
        <is>
          <t>SC/PC</t>
        </is>
      </c>
      <c r="J336" s="2" t="n"/>
      <c r="K336" s="2" t="n">
        <v>568</v>
      </c>
      <c r="L336" s="2" t="n">
        <v>50</v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SUM(J336:U336)*G336</f>
        <v/>
      </c>
      <c r="W336" s="2">
        <f>MAX(J336:U336)</f>
        <v/>
      </c>
      <c r="X336" s="2">
        <f>W336*G336</f>
        <v/>
      </c>
    </row>
    <row r="337">
      <c r="A337" s="2" t="inlineStr">
        <is>
          <t>14-K-333</t>
        </is>
      </c>
      <c r="B337" s="3" t="inlineStr">
        <is>
          <t>OJC-A1-SC/SC-SM-25-APC/APC-SP</t>
        </is>
      </c>
      <c r="C337" s="2" t="inlineStr"/>
      <c r="D337" s="2" t="inlineStr">
        <is>
          <t>a1</t>
        </is>
      </c>
      <c r="E337" s="2" t="inlineStr">
        <is>
          <t>2.0mm</t>
        </is>
      </c>
      <c r="F337" s="2" t="n">
        <v>1</v>
      </c>
      <c r="G337" s="2" t="n">
        <v>25</v>
      </c>
      <c r="H337" s="2" t="inlineStr">
        <is>
          <t>SC/APC</t>
        </is>
      </c>
      <c r="I337" s="2" t="inlineStr">
        <is>
          <t>SC/APC</t>
        </is>
      </c>
      <c r="J337" s="2" t="n"/>
      <c r="K337" s="2" t="n"/>
      <c r="L337" s="2" t="n"/>
      <c r="M337" s="2" t="n"/>
      <c r="N337" s="2" t="n"/>
      <c r="O337" s="2" t="n"/>
      <c r="P337" s="2" t="n"/>
      <c r="Q337" s="2" t="n">
        <v>20</v>
      </c>
      <c r="R337" s="2" t="n"/>
      <c r="S337" s="2" t="n"/>
      <c r="T337" s="2" t="n"/>
      <c r="U337" s="2" t="n"/>
      <c r="V337" s="2">
        <f>SUM(J337:U337)*G337</f>
        <v/>
      </c>
      <c r="W337" s="2">
        <f>MAX(J337:U337)</f>
        <v/>
      </c>
      <c r="X337" s="2">
        <f>W337*G337</f>
        <v/>
      </c>
    </row>
    <row r="338">
      <c r="A338" s="2" t="inlineStr">
        <is>
          <t>14-K-343</t>
        </is>
      </c>
      <c r="B338" s="3" t="inlineStr">
        <is>
          <t>OJC-A1-SC/SC-SM-2-APC/APC-SP</t>
        </is>
      </c>
      <c r="C338" s="2" t="inlineStr"/>
      <c r="D338" s="2" t="inlineStr">
        <is>
          <t>a1</t>
        </is>
      </c>
      <c r="E338" s="2" t="inlineStr">
        <is>
          <t>2.0mm</t>
        </is>
      </c>
      <c r="F338" s="2" t="n">
        <v>1</v>
      </c>
      <c r="G338" s="2" t="n">
        <v>2</v>
      </c>
      <c r="H338" s="2" t="inlineStr">
        <is>
          <t>SC/APC</t>
        </is>
      </c>
      <c r="I338" s="2" t="inlineStr">
        <is>
          <t>SC/APC</t>
        </is>
      </c>
      <c r="J338" s="2" t="n"/>
      <c r="K338" s="2" t="n"/>
      <c r="L338" s="2" t="n"/>
      <c r="M338" s="2" t="n"/>
      <c r="N338" s="2" t="n">
        <v>10</v>
      </c>
      <c r="O338" s="2" t="n"/>
      <c r="P338" s="2" t="n"/>
      <c r="Q338" s="2" t="n"/>
      <c r="R338" s="2" t="n"/>
      <c r="S338" s="2" t="n">
        <v>90</v>
      </c>
      <c r="T338" s="2" t="n"/>
      <c r="U338" s="2" t="n">
        <v>5</v>
      </c>
      <c r="V338" s="2">
        <f>SUM(J338:U338)*G338</f>
        <v/>
      </c>
      <c r="W338" s="2">
        <f>MAX(J338:U338)</f>
        <v/>
      </c>
      <c r="X338" s="2">
        <f>W338*G338</f>
        <v/>
      </c>
    </row>
    <row r="339">
      <c r="A339" s="2" t="inlineStr">
        <is>
          <t>14-K-346</t>
        </is>
      </c>
      <c r="B339" s="3" t="inlineStr">
        <is>
          <t>OJC-A1-SC/SC-SM-2-PC/PC-DP</t>
        </is>
      </c>
      <c r="C339" s="2" t="inlineStr">
        <is>
          <t>K9089124</t>
        </is>
      </c>
      <c r="D339" s="2" t="inlineStr">
        <is>
          <t>a1</t>
        </is>
      </c>
      <c r="E339" s="2" t="inlineStr">
        <is>
          <t>2.0mm</t>
        </is>
      </c>
      <c r="F339" s="2" t="n">
        <v>2</v>
      </c>
      <c r="G339" s="2" t="n">
        <v>2</v>
      </c>
      <c r="H339" s="2" t="inlineStr">
        <is>
          <t>SC/PC</t>
        </is>
      </c>
      <c r="I339" s="2" t="inlineStr">
        <is>
          <t>SC/PC</t>
        </is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>
        <v>100</v>
      </c>
      <c r="U339" s="2" t="n"/>
      <c r="V339" s="2">
        <f>SUM(J339:U339)*G339</f>
        <v/>
      </c>
      <c r="W339" s="2">
        <f>MAX(J339:U339)</f>
        <v/>
      </c>
      <c r="X339" s="2">
        <f>W339*G339</f>
        <v/>
      </c>
    </row>
    <row r="340">
      <c r="A340" s="2" t="inlineStr">
        <is>
          <t>14-K-349</t>
        </is>
      </c>
      <c r="B340" s="3" t="inlineStr">
        <is>
          <t>OJC-A1-SC/SC-SM-30-APC/APC-SP</t>
        </is>
      </c>
      <c r="C340" s="2" t="inlineStr"/>
      <c r="D340" s="2" t="inlineStr">
        <is>
          <t>a1</t>
        </is>
      </c>
      <c r="E340" s="2" t="inlineStr">
        <is>
          <t>2.0mm</t>
        </is>
      </c>
      <c r="F340" s="2" t="n">
        <v>1</v>
      </c>
      <c r="G340" s="2" t="n">
        <v>30</v>
      </c>
      <c r="H340" s="2" t="inlineStr">
        <is>
          <t>SC/APC</t>
        </is>
      </c>
      <c r="I340" s="2" t="inlineStr">
        <is>
          <t>SC/APC</t>
        </is>
      </c>
      <c r="J340" s="2" t="n"/>
      <c r="K340" s="2" t="n"/>
      <c r="L340" s="2" t="n"/>
      <c r="M340" s="2" t="n">
        <v>10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>
        <f>SUM(J340:U340)*G340</f>
        <v/>
      </c>
      <c r="W340" s="2">
        <f>MAX(J340:U340)</f>
        <v/>
      </c>
      <c r="X340" s="2">
        <f>W340*G340</f>
        <v/>
      </c>
    </row>
    <row r="341">
      <c r="A341" s="2" t="inlineStr">
        <is>
          <t>14-K-350</t>
        </is>
      </c>
      <c r="B341" s="3" t="inlineStr">
        <is>
          <t>OJC-A1-SC/SC-SM-30-PC/APC-DP</t>
        </is>
      </c>
      <c r="C341" s="2" t="inlineStr"/>
      <c r="D341" s="2" t="inlineStr">
        <is>
          <t>a1</t>
        </is>
      </c>
      <c r="E341" s="2" t="inlineStr">
        <is>
          <t>2.0mm</t>
        </is>
      </c>
      <c r="F341" s="2" t="n">
        <v>2</v>
      </c>
      <c r="G341" s="2" t="n">
        <v>30</v>
      </c>
      <c r="H341" s="2" t="inlineStr">
        <is>
          <t>SC/PC</t>
        </is>
      </c>
      <c r="I341" s="2" t="inlineStr">
        <is>
          <t>SC/APC</t>
        </is>
      </c>
      <c r="J341" s="2" t="n"/>
      <c r="K341" s="2" t="n"/>
      <c r="L341" s="2" t="n">
        <v>2</v>
      </c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>
        <f>SUM(J341:U341)*G341</f>
        <v/>
      </c>
      <c r="W341" s="2">
        <f>MAX(J341:U341)</f>
        <v/>
      </c>
      <c r="X341" s="2">
        <f>W341*G341</f>
        <v/>
      </c>
    </row>
    <row r="342">
      <c r="A342" s="2" t="inlineStr">
        <is>
          <t>14-K-351</t>
        </is>
      </c>
      <c r="B342" s="3" t="inlineStr">
        <is>
          <t>OJC-A1-SC/SC-SM-30-PC/APC-SP</t>
        </is>
      </c>
      <c r="C342" s="2" t="inlineStr">
        <is>
          <t>K9089063</t>
        </is>
      </c>
      <c r="D342" s="2" t="inlineStr">
        <is>
          <t>a1</t>
        </is>
      </c>
      <c r="E342" s="2" t="inlineStr">
        <is>
          <t>2.0mm</t>
        </is>
      </c>
      <c r="F342" s="2" t="n">
        <v>1</v>
      </c>
      <c r="G342" s="2" t="n">
        <v>30</v>
      </c>
      <c r="H342" s="2" t="inlineStr">
        <is>
          <t>SC/PC</t>
        </is>
      </c>
      <c r="I342" s="2" t="inlineStr">
        <is>
          <t>SC/APC</t>
        </is>
      </c>
      <c r="J342" s="2" t="n"/>
      <c r="K342" s="2" t="n"/>
      <c r="L342" s="2" t="n"/>
      <c r="M342" s="2" t="n"/>
      <c r="N342" s="2" t="n">
        <v>4</v>
      </c>
      <c r="O342" s="2" t="n"/>
      <c r="P342" s="2" t="n"/>
      <c r="Q342" s="2" t="n"/>
      <c r="R342" s="2" t="n">
        <v>30</v>
      </c>
      <c r="S342" s="2" t="n"/>
      <c r="T342" s="2" t="n"/>
      <c r="U342" s="2" t="n"/>
      <c r="V342" s="2">
        <f>SUM(J342:U342)*G342</f>
        <v/>
      </c>
      <c r="W342" s="2">
        <f>MAX(J342:U342)</f>
        <v/>
      </c>
      <c r="X342" s="2">
        <f>W342*G342</f>
        <v/>
      </c>
    </row>
    <row r="343">
      <c r="A343" s="2" t="inlineStr">
        <is>
          <t>14-K-352</t>
        </is>
      </c>
      <c r="B343" s="3" t="inlineStr">
        <is>
          <t>OJC-A1-SC/SC-SM-30-PC/PC-DP</t>
        </is>
      </c>
      <c r="C343" s="2" t="inlineStr">
        <is>
          <t>K9089152</t>
        </is>
      </c>
      <c r="D343" s="2" t="inlineStr">
        <is>
          <t>a1</t>
        </is>
      </c>
      <c r="E343" s="2" t="inlineStr">
        <is>
          <t>2.0mm</t>
        </is>
      </c>
      <c r="F343" s="2" t="n">
        <v>2</v>
      </c>
      <c r="G343" s="2" t="n">
        <v>30</v>
      </c>
      <c r="H343" s="2" t="inlineStr">
        <is>
          <t>SC/PC</t>
        </is>
      </c>
      <c r="I343" s="2" t="inlineStr">
        <is>
          <t>SC/PC</t>
        </is>
      </c>
      <c r="J343" s="2" t="n">
        <v>2</v>
      </c>
      <c r="K343" s="2" t="n">
        <v>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>
        <f>SUM(J343:U343)*G343</f>
        <v/>
      </c>
      <c r="W343" s="2">
        <f>MAX(J343:U343)</f>
        <v/>
      </c>
      <c r="X343" s="2">
        <f>W343*G343</f>
        <v/>
      </c>
    </row>
    <row r="344">
      <c r="A344" s="2" t="inlineStr">
        <is>
          <t>14-K-353</t>
        </is>
      </c>
      <c r="B344" s="3" t="inlineStr">
        <is>
          <t>OJC-A1-SC/SC-SM-30-PC/PC-SP</t>
        </is>
      </c>
      <c r="C344" s="2" t="inlineStr">
        <is>
          <t>K9089023</t>
        </is>
      </c>
      <c r="D344" s="2" t="inlineStr">
        <is>
          <t>a1</t>
        </is>
      </c>
      <c r="E344" s="2" t="inlineStr">
        <is>
          <t>2.0mm</t>
        </is>
      </c>
      <c r="F344" s="2" t="n">
        <v>1</v>
      </c>
      <c r="G344" s="2" t="n">
        <v>30</v>
      </c>
      <c r="H344" s="2" t="inlineStr">
        <is>
          <t>SC/PC</t>
        </is>
      </c>
      <c r="I344" s="2" t="inlineStr">
        <is>
          <t>SC/PC</t>
        </is>
      </c>
      <c r="J344" s="2" t="n">
        <v>37</v>
      </c>
      <c r="K344" s="2" t="n"/>
      <c r="L344" s="2" t="n"/>
      <c r="M344" s="2" t="n"/>
      <c r="N344" s="2" t="n">
        <v>50</v>
      </c>
      <c r="O344" s="2" t="n"/>
      <c r="P344" s="2" t="n"/>
      <c r="Q344" s="2" t="n"/>
      <c r="R344" s="2" t="n"/>
      <c r="S344" s="2" t="n"/>
      <c r="T344" s="2" t="n"/>
      <c r="U344" s="2" t="n"/>
      <c r="V344" s="2">
        <f>SUM(J344:U344)*G344</f>
        <v/>
      </c>
      <c r="W344" s="2">
        <f>MAX(J344:U344)</f>
        <v/>
      </c>
      <c r="X344" s="2">
        <f>W344*G344</f>
        <v/>
      </c>
    </row>
    <row r="345">
      <c r="A345" s="2" t="inlineStr">
        <is>
          <t>14-K-355</t>
        </is>
      </c>
      <c r="B345" s="3" t="inlineStr">
        <is>
          <t>OJC-A1-SC/SC-SM-35-PC/PC-SP</t>
        </is>
      </c>
      <c r="C345" s="2" t="inlineStr">
        <is>
          <t>K9089024</t>
        </is>
      </c>
      <c r="D345" s="2" t="inlineStr">
        <is>
          <t>a1</t>
        </is>
      </c>
      <c r="E345" s="2" t="inlineStr">
        <is>
          <t>2.0mm</t>
        </is>
      </c>
      <c r="F345" s="2" t="n">
        <v>1</v>
      </c>
      <c r="G345" s="2" t="n">
        <v>35</v>
      </c>
      <c r="H345" s="2" t="inlineStr">
        <is>
          <t>SC/PC</t>
        </is>
      </c>
      <c r="I345" s="2" t="inlineStr">
        <is>
          <t>SC/PC</t>
        </is>
      </c>
      <c r="J345" s="2" t="n"/>
      <c r="K345" s="2" t="n"/>
      <c r="L345" s="2" t="n"/>
      <c r="M345" s="2" t="n"/>
      <c r="N345" s="2" t="n">
        <v>50</v>
      </c>
      <c r="O345" s="2" t="n">
        <v>30</v>
      </c>
      <c r="P345" s="2" t="n"/>
      <c r="Q345" s="2" t="n"/>
      <c r="R345" s="2" t="n"/>
      <c r="S345" s="2" t="n"/>
      <c r="T345" s="2" t="n"/>
      <c r="U345" s="2" t="n"/>
      <c r="V345" s="2">
        <f>SUM(J345:U345)*G345</f>
        <v/>
      </c>
      <c r="W345" s="2">
        <f>MAX(J345:U345)</f>
        <v/>
      </c>
      <c r="X345" s="2">
        <f>W345*G345</f>
        <v/>
      </c>
    </row>
    <row r="346">
      <c r="A346" s="2" t="inlineStr">
        <is>
          <t>14-K-356</t>
        </is>
      </c>
      <c r="B346" s="3" t="inlineStr">
        <is>
          <t>OJC-A1-SC/SC-SM-3-APC/APC-DP</t>
        </is>
      </c>
      <c r="C346" s="2" t="inlineStr"/>
      <c r="D346" s="2" t="inlineStr">
        <is>
          <t>a1</t>
        </is>
      </c>
      <c r="E346" s="2" t="inlineStr">
        <is>
          <t>2.0mm</t>
        </is>
      </c>
      <c r="F346" s="2" t="n">
        <v>2</v>
      </c>
      <c r="G346" s="2" t="n">
        <v>3</v>
      </c>
      <c r="H346" s="2" t="inlineStr">
        <is>
          <t>SC/APC</t>
        </is>
      </c>
      <c r="I346" s="2" t="inlineStr">
        <is>
          <t>SC/APC</t>
        </is>
      </c>
      <c r="J346" s="2" t="n"/>
      <c r="K346" s="2" t="n"/>
      <c r="L346" s="2" t="n"/>
      <c r="M346" s="2" t="n">
        <v>2</v>
      </c>
      <c r="N346" s="2" t="n"/>
      <c r="O346" s="2" t="n">
        <v>100</v>
      </c>
      <c r="P346" s="2" t="n">
        <v>20</v>
      </c>
      <c r="Q346" s="2" t="n"/>
      <c r="R346" s="2" t="n"/>
      <c r="S346" s="2" t="n"/>
      <c r="T346" s="2" t="n">
        <v>8</v>
      </c>
      <c r="U346" s="2" t="n"/>
      <c r="V346" s="2">
        <f>SUM(J346:U346)*G346</f>
        <v/>
      </c>
      <c r="W346" s="2">
        <f>MAX(J346:U346)</f>
        <v/>
      </c>
      <c r="X346" s="2">
        <f>W346*G346</f>
        <v/>
      </c>
    </row>
    <row r="347">
      <c r="A347" s="2" t="inlineStr">
        <is>
          <t>14-K-357</t>
        </is>
      </c>
      <c r="B347" s="3" t="inlineStr">
        <is>
          <t>OJC-A1-SC/SC-SM-3-APC/APC-SP</t>
        </is>
      </c>
      <c r="C347" s="2" t="inlineStr">
        <is>
          <t>K9089111</t>
        </is>
      </c>
      <c r="D347" s="2" t="inlineStr">
        <is>
          <t>a1</t>
        </is>
      </c>
      <c r="E347" s="2" t="inlineStr">
        <is>
          <t>2.0mm</t>
        </is>
      </c>
      <c r="F347" s="2" t="n">
        <v>1</v>
      </c>
      <c r="G347" s="2" t="n">
        <v>3</v>
      </c>
      <c r="H347" s="2" t="inlineStr">
        <is>
          <t>SC/APC</t>
        </is>
      </c>
      <c r="I347" s="2" t="inlineStr">
        <is>
          <t>SC/APC</t>
        </is>
      </c>
      <c r="J347" s="2" t="n">
        <v>100</v>
      </c>
      <c r="K347" s="2" t="n"/>
      <c r="L347" s="2" t="n"/>
      <c r="M347" s="2" t="n"/>
      <c r="N347" s="2" t="n"/>
      <c r="O347" s="2" t="n">
        <v>648</v>
      </c>
      <c r="P347" s="2" t="n"/>
      <c r="Q347" s="2" t="n"/>
      <c r="R347" s="2" t="n">
        <v>580</v>
      </c>
      <c r="S347" s="2" t="n"/>
      <c r="T347" s="2" t="n"/>
      <c r="U347" s="2" t="n"/>
      <c r="V347" s="2">
        <f>SUM(J347:U347)*G347</f>
        <v/>
      </c>
      <c r="W347" s="2">
        <f>MAX(J347:U347)</f>
        <v/>
      </c>
      <c r="X347" s="2">
        <f>W347*G347</f>
        <v/>
      </c>
    </row>
    <row r="348">
      <c r="A348" s="2" t="inlineStr">
        <is>
          <t>14-K-360</t>
        </is>
      </c>
      <c r="B348" s="3" t="inlineStr">
        <is>
          <t>OJC-A1-SC/SC-SM-3-PC/APC-SP</t>
        </is>
      </c>
      <c r="C348" s="2" t="inlineStr">
        <is>
          <t>K9089057</t>
        </is>
      </c>
      <c r="D348" s="2" t="inlineStr">
        <is>
          <t>a1</t>
        </is>
      </c>
      <c r="E348" s="2" t="inlineStr">
        <is>
          <t>2.0mm</t>
        </is>
      </c>
      <c r="F348" s="2" t="n">
        <v>1</v>
      </c>
      <c r="G348" s="2" t="n">
        <v>3</v>
      </c>
      <c r="H348" s="2" t="inlineStr">
        <is>
          <t>SC/PC</t>
        </is>
      </c>
      <c r="I348" s="2" t="inlineStr">
        <is>
          <t>SC/APC</t>
        </is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>
        <v>30</v>
      </c>
      <c r="T348" s="2" t="n"/>
      <c r="U348" s="2" t="n"/>
      <c r="V348" s="2">
        <f>SUM(J348:U348)*G348</f>
        <v/>
      </c>
      <c r="W348" s="2">
        <f>MAX(J348:U348)</f>
        <v/>
      </c>
      <c r="X348" s="2">
        <f>W348*G348</f>
        <v/>
      </c>
    </row>
    <row r="349">
      <c r="A349" s="2" t="inlineStr">
        <is>
          <t>14-K-361</t>
        </is>
      </c>
      <c r="B349" s="3" t="inlineStr">
        <is>
          <t>OJC-A1-SC/SC-SM-3-PC/PC-DP</t>
        </is>
      </c>
      <c r="C349" s="2" t="inlineStr">
        <is>
          <t>K9089125</t>
        </is>
      </c>
      <c r="D349" s="2" t="inlineStr">
        <is>
          <t>a1</t>
        </is>
      </c>
      <c r="E349" s="2" t="inlineStr">
        <is>
          <t>2.0mm</t>
        </is>
      </c>
      <c r="F349" s="2" t="n">
        <v>2</v>
      </c>
      <c r="G349" s="2" t="n">
        <v>3</v>
      </c>
      <c r="H349" s="2" t="inlineStr">
        <is>
          <t>SC/PC</t>
        </is>
      </c>
      <c r="I349" s="2" t="inlineStr">
        <is>
          <t>SC/PC</t>
        </is>
      </c>
      <c r="J349" s="2" t="n"/>
      <c r="K349" s="2" t="n"/>
      <c r="L349" s="2" t="n"/>
      <c r="M349" s="2" t="n"/>
      <c r="N349" s="2" t="n">
        <v>300</v>
      </c>
      <c r="O349" s="2" t="n"/>
      <c r="P349" s="2" t="n"/>
      <c r="Q349" s="2" t="n"/>
      <c r="R349" s="2" t="n"/>
      <c r="S349" s="2" t="n"/>
      <c r="T349" s="2" t="n">
        <v>300</v>
      </c>
      <c r="U349" s="2" t="n"/>
      <c r="V349" s="2">
        <f>SUM(J349:U349)*G349</f>
        <v/>
      </c>
      <c r="W349" s="2">
        <f>MAX(J349:U349)</f>
        <v/>
      </c>
      <c r="X349" s="2">
        <f>W349*G349</f>
        <v/>
      </c>
    </row>
    <row r="350">
      <c r="A350" s="2" t="inlineStr">
        <is>
          <t>14-K-362</t>
        </is>
      </c>
      <c r="B350" s="3" t="inlineStr">
        <is>
          <t>OJC-A1-SC/SC-SM-3-PC/PC-SP</t>
        </is>
      </c>
      <c r="C350" s="2" t="inlineStr">
        <is>
          <t>K9088996</t>
        </is>
      </c>
      <c r="D350" s="2" t="inlineStr">
        <is>
          <t>a1</t>
        </is>
      </c>
      <c r="E350" s="2" t="inlineStr">
        <is>
          <t>2.0mm</t>
        </is>
      </c>
      <c r="F350" s="2" t="n">
        <v>1</v>
      </c>
      <c r="G350" s="2" t="n">
        <v>3</v>
      </c>
      <c r="H350" s="2" t="inlineStr">
        <is>
          <t>SC/PC</t>
        </is>
      </c>
      <c r="I350" s="2" t="inlineStr">
        <is>
          <t>SC/PC</t>
        </is>
      </c>
      <c r="J350" s="2" t="n">
        <v>105</v>
      </c>
      <c r="K350" s="2" t="n"/>
      <c r="L350" s="2" t="n"/>
      <c r="M350" s="2" t="n">
        <v>5121</v>
      </c>
      <c r="N350" s="2" t="n">
        <v>3</v>
      </c>
      <c r="O350" s="2" t="n"/>
      <c r="P350" s="2" t="n"/>
      <c r="Q350" s="2" t="n">
        <v>2010</v>
      </c>
      <c r="R350" s="2" t="n">
        <v>200</v>
      </c>
      <c r="S350" s="2" t="n"/>
      <c r="T350" s="2" t="n">
        <v>1000</v>
      </c>
      <c r="U350" s="2" t="n"/>
      <c r="V350" s="2">
        <f>SUM(J350:U350)*G350</f>
        <v/>
      </c>
      <c r="W350" s="2">
        <f>MAX(J350:U350)</f>
        <v/>
      </c>
      <c r="X350" s="2">
        <f>W350*G350</f>
        <v/>
      </c>
    </row>
    <row r="351">
      <c r="A351" s="2" t="inlineStr">
        <is>
          <t>14-K-365</t>
        </is>
      </c>
      <c r="B351" s="3" t="inlineStr">
        <is>
          <t>OJC-A1-SC/SC-SM-40-PC/PC-SP</t>
        </is>
      </c>
      <c r="C351" s="2" t="inlineStr">
        <is>
          <t>K9089025</t>
        </is>
      </c>
      <c r="D351" s="2" t="inlineStr">
        <is>
          <t>a1</t>
        </is>
      </c>
      <c r="E351" s="2" t="inlineStr">
        <is>
          <t>2.0mm</t>
        </is>
      </c>
      <c r="F351" s="2" t="n">
        <v>1</v>
      </c>
      <c r="G351" s="2" t="n">
        <v>40</v>
      </c>
      <c r="H351" s="2" t="inlineStr">
        <is>
          <t>SC/PC</t>
        </is>
      </c>
      <c r="I351" s="2" t="inlineStr">
        <is>
          <t>SC/PC</t>
        </is>
      </c>
      <c r="J351" s="2" t="n"/>
      <c r="K351" s="2" t="n"/>
      <c r="L351" s="2" t="n"/>
      <c r="M351" s="2" t="n"/>
      <c r="N351" s="2" t="n">
        <v>34</v>
      </c>
      <c r="O351" s="2" t="n"/>
      <c r="P351" s="2" t="n"/>
      <c r="Q351" s="2" t="n">
        <v>2</v>
      </c>
      <c r="R351" s="2" t="n">
        <v>50</v>
      </c>
      <c r="S351" s="2" t="n"/>
      <c r="T351" s="2" t="n">
        <v>5</v>
      </c>
      <c r="U351" s="2" t="n"/>
      <c r="V351" s="2">
        <f>SUM(J351:U351)*G351</f>
        <v/>
      </c>
      <c r="W351" s="2">
        <f>MAX(J351:U351)</f>
        <v/>
      </c>
      <c r="X351" s="2">
        <f>W351*G351</f>
        <v/>
      </c>
    </row>
    <row r="352">
      <c r="A352" s="2" t="inlineStr">
        <is>
          <t>14-K-366</t>
        </is>
      </c>
      <c r="B352" s="3" t="inlineStr">
        <is>
          <t>OJC-A1-SC/SC-SM-45-PC/PC-DP</t>
        </is>
      </c>
      <c r="C352" s="2" t="inlineStr">
        <is>
          <t>K9089155</t>
        </is>
      </c>
      <c r="D352" s="2" t="inlineStr">
        <is>
          <t>a1</t>
        </is>
      </c>
      <c r="E352" s="2" t="inlineStr">
        <is>
          <t>2.0mm</t>
        </is>
      </c>
      <c r="F352" s="2" t="n">
        <v>2</v>
      </c>
      <c r="G352" s="2" t="n">
        <v>45</v>
      </c>
      <c r="H352" s="2" t="inlineStr">
        <is>
          <t>SC/PC</t>
        </is>
      </c>
      <c r="I352" s="2" t="inlineStr">
        <is>
          <t>SC/PC</t>
        </is>
      </c>
      <c r="J352" s="2" t="n"/>
      <c r="K352" s="2" t="n"/>
      <c r="L352" s="2" t="n"/>
      <c r="M352" s="2" t="n"/>
      <c r="N352" s="2" t="n"/>
      <c r="O352" s="2" t="n"/>
      <c r="P352" s="2" t="n"/>
      <c r="Q352" s="2" t="n">
        <v>5</v>
      </c>
      <c r="R352" s="2" t="n"/>
      <c r="S352" s="2" t="n"/>
      <c r="T352" s="2" t="n"/>
      <c r="U352" s="2" t="n"/>
      <c r="V352" s="2">
        <f>SUM(J352:U352)*G352</f>
        <v/>
      </c>
      <c r="W352" s="2">
        <f>MAX(J352:U352)</f>
        <v/>
      </c>
      <c r="X352" s="2">
        <f>W352*G352</f>
        <v/>
      </c>
    </row>
    <row r="353">
      <c r="A353" s="2" t="inlineStr">
        <is>
          <t>14-K-367</t>
        </is>
      </c>
      <c r="B353" s="3" t="inlineStr">
        <is>
          <t>OJC-A1-SC/SC-SM-45-PC/PC-SP</t>
        </is>
      </c>
      <c r="C353" s="2" t="inlineStr">
        <is>
          <t>K9089026</t>
        </is>
      </c>
      <c r="D353" s="2" t="inlineStr">
        <is>
          <t>a1</t>
        </is>
      </c>
      <c r="E353" s="2" t="inlineStr">
        <is>
          <t>2.0mm</t>
        </is>
      </c>
      <c r="F353" s="2" t="n">
        <v>1</v>
      </c>
      <c r="G353" s="2" t="n">
        <v>45</v>
      </c>
      <c r="H353" s="2" t="inlineStr">
        <is>
          <t>SC/PC</t>
        </is>
      </c>
      <c r="I353" s="2" t="inlineStr">
        <is>
          <t>SC/PC</t>
        </is>
      </c>
      <c r="J353" s="2" t="n"/>
      <c r="K353" s="2" t="n">
        <v>30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>
        <f>SUM(J353:U353)*G353</f>
        <v/>
      </c>
      <c r="W353" s="2">
        <f>MAX(J353:U353)</f>
        <v/>
      </c>
      <c r="X353" s="2">
        <f>W353*G353</f>
        <v/>
      </c>
    </row>
    <row r="354">
      <c r="A354" s="2" t="inlineStr">
        <is>
          <t>14-K-369</t>
        </is>
      </c>
      <c r="B354" s="3" t="inlineStr">
        <is>
          <t>OJC-A1-SC/SC-SM-4-PC/PC-SP</t>
        </is>
      </c>
      <c r="C354" s="2" t="inlineStr">
        <is>
          <t>K9088997</t>
        </is>
      </c>
      <c r="D354" s="2" t="inlineStr">
        <is>
          <t>a1</t>
        </is>
      </c>
      <c r="E354" s="2" t="inlineStr">
        <is>
          <t>2.0mm</t>
        </is>
      </c>
      <c r="F354" s="2" t="n">
        <v>1</v>
      </c>
      <c r="G354" s="2" t="n">
        <v>4</v>
      </c>
      <c r="H354" s="2" t="inlineStr">
        <is>
          <t>SC/PC</t>
        </is>
      </c>
      <c r="I354" s="2" t="inlineStr">
        <is>
          <t>SC/PC</t>
        </is>
      </c>
      <c r="J354" s="2" t="n"/>
      <c r="K354" s="2" t="n"/>
      <c r="L354" s="2" t="n"/>
      <c r="M354" s="2" t="n">
        <v>200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>
        <f>SUM(J354:U354)*G354</f>
        <v/>
      </c>
      <c r="W354" s="2">
        <f>MAX(J354:U354)</f>
        <v/>
      </c>
      <c r="X354" s="2">
        <f>W354*G354</f>
        <v/>
      </c>
    </row>
    <row r="355">
      <c r="A355" s="2" t="inlineStr">
        <is>
          <t>14-K-371</t>
        </is>
      </c>
      <c r="B355" s="3" t="inlineStr">
        <is>
          <t>OJC-A1-SC/SC-SM-50-PC/PC-DP</t>
        </is>
      </c>
      <c r="C355" s="2" t="inlineStr">
        <is>
          <t>K9089156</t>
        </is>
      </c>
      <c r="D355" s="2" t="inlineStr">
        <is>
          <t>a1</t>
        </is>
      </c>
      <c r="E355" s="2" t="inlineStr">
        <is>
          <t>2.0mm</t>
        </is>
      </c>
      <c r="F355" s="2" t="n">
        <v>2</v>
      </c>
      <c r="G355" s="2" t="n">
        <v>50</v>
      </c>
      <c r="H355" s="2" t="inlineStr">
        <is>
          <t>SC/PC</t>
        </is>
      </c>
      <c r="I355" s="2" t="inlineStr">
        <is>
          <t>SC/PC</t>
        </is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>
        <v>2</v>
      </c>
      <c r="T355" s="2" t="n"/>
      <c r="U355" s="2" t="n"/>
      <c r="V355" s="2">
        <f>SUM(J355:U355)*G355</f>
        <v/>
      </c>
      <c r="W355" s="2">
        <f>MAX(J355:U355)</f>
        <v/>
      </c>
      <c r="X355" s="2">
        <f>W355*G355</f>
        <v/>
      </c>
    </row>
    <row r="356">
      <c r="A356" s="2" t="inlineStr">
        <is>
          <t>14-K-372</t>
        </is>
      </c>
      <c r="B356" s="3" t="inlineStr">
        <is>
          <t>OJC-A1-SC/SC-SM-50-PC/PC-SP</t>
        </is>
      </c>
      <c r="C356" s="2" t="inlineStr">
        <is>
          <t>K9089027</t>
        </is>
      </c>
      <c r="D356" s="2" t="inlineStr">
        <is>
          <t>a1</t>
        </is>
      </c>
      <c r="E356" s="2" t="inlineStr">
        <is>
          <t>2.0mm</t>
        </is>
      </c>
      <c r="F356" s="2" t="n">
        <v>1</v>
      </c>
      <c r="G356" s="2" t="n">
        <v>50</v>
      </c>
      <c r="H356" s="2" t="inlineStr">
        <is>
          <t>SC/PC</t>
        </is>
      </c>
      <c r="I356" s="2" t="inlineStr">
        <is>
          <t>SC/PC</t>
        </is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>
        <v>50</v>
      </c>
      <c r="S356" s="2" t="n"/>
      <c r="T356" s="2" t="n"/>
      <c r="U356" s="2" t="n"/>
      <c r="V356" s="2">
        <f>SUM(J356:U356)*G356</f>
        <v/>
      </c>
      <c r="W356" s="2">
        <f>MAX(J356:U356)</f>
        <v/>
      </c>
      <c r="X356" s="2">
        <f>W356*G356</f>
        <v/>
      </c>
    </row>
    <row r="357">
      <c r="A357" s="2" t="inlineStr">
        <is>
          <t>14-K-375</t>
        </is>
      </c>
      <c r="B357" s="3" t="inlineStr">
        <is>
          <t>OJC-A1-SC/SC-SM-5-APC/APC-SP</t>
        </is>
      </c>
      <c r="C357" s="2" t="inlineStr"/>
      <c r="D357" s="2" t="inlineStr">
        <is>
          <t>a1</t>
        </is>
      </c>
      <c r="E357" s="2" t="inlineStr">
        <is>
          <t>2.0mm</t>
        </is>
      </c>
      <c r="F357" s="2" t="n">
        <v>1</v>
      </c>
      <c r="G357" s="2" t="n">
        <v>5</v>
      </c>
      <c r="H357" s="2" t="inlineStr">
        <is>
          <t>SC/APC</t>
        </is>
      </c>
      <c r="I357" s="2" t="inlineStr">
        <is>
          <t>SC/APC</t>
        </is>
      </c>
      <c r="J357" s="2" t="n">
        <v>55</v>
      </c>
      <c r="K357" s="2" t="n"/>
      <c r="L357" s="2" t="n"/>
      <c r="M357" s="2" t="n"/>
      <c r="N357" s="2" t="n"/>
      <c r="O357" s="2" t="n"/>
      <c r="P357" s="2" t="n"/>
      <c r="Q357" s="2" t="n">
        <v>40</v>
      </c>
      <c r="R357" s="2" t="n">
        <v>95</v>
      </c>
      <c r="S357" s="2" t="n"/>
      <c r="T357" s="2" t="n"/>
      <c r="U357" s="2" t="n">
        <v>56</v>
      </c>
      <c r="V357" s="2">
        <f>SUM(J357:U357)*G357</f>
        <v/>
      </c>
      <c r="W357" s="2">
        <f>MAX(J357:U357)</f>
        <v/>
      </c>
      <c r="X357" s="2">
        <f>W357*G357</f>
        <v/>
      </c>
    </row>
    <row r="358">
      <c r="A358" s="2" t="inlineStr">
        <is>
          <t>14-K-376</t>
        </is>
      </c>
      <c r="B358" s="3" t="inlineStr">
        <is>
          <t>OJC-A1-SC/SC-SM-5-PC/APC-DP</t>
        </is>
      </c>
      <c r="C358" s="2" t="inlineStr">
        <is>
          <t>K9089187</t>
        </is>
      </c>
      <c r="D358" s="2" t="inlineStr">
        <is>
          <t>a1</t>
        </is>
      </c>
      <c r="E358" s="2" t="inlineStr">
        <is>
          <t>2.0mm</t>
        </is>
      </c>
      <c r="F358" s="2" t="n">
        <v>2</v>
      </c>
      <c r="G358" s="2" t="n">
        <v>5</v>
      </c>
      <c r="H358" s="2" t="inlineStr">
        <is>
          <t>SC/PC</t>
        </is>
      </c>
      <c r="I358" s="2" t="inlineStr">
        <is>
          <t>SC/APC</t>
        </is>
      </c>
      <c r="J358" s="2" t="n"/>
      <c r="K358" s="2" t="n"/>
      <c r="L358" s="2" t="n"/>
      <c r="M358" s="2" t="n"/>
      <c r="N358" s="2" t="n">
        <v>2</v>
      </c>
      <c r="O358" s="2" t="n"/>
      <c r="P358" s="2" t="n"/>
      <c r="Q358" s="2" t="n"/>
      <c r="R358" s="2" t="n"/>
      <c r="S358" s="2" t="n"/>
      <c r="T358" s="2" t="n"/>
      <c r="U358" s="2" t="n"/>
      <c r="V358" s="2">
        <f>SUM(J358:U358)*G358</f>
        <v/>
      </c>
      <c r="W358" s="2">
        <f>MAX(J358:U358)</f>
        <v/>
      </c>
      <c r="X358" s="2">
        <f>W358*G358</f>
        <v/>
      </c>
    </row>
    <row r="359">
      <c r="A359" s="2" t="inlineStr">
        <is>
          <t>14-K-377</t>
        </is>
      </c>
      <c r="B359" s="3" t="inlineStr">
        <is>
          <t>OJC-A1-SC/SC-SM-5-PC/APC-SP</t>
        </is>
      </c>
      <c r="C359" s="2" t="inlineStr">
        <is>
          <t>K9089058</t>
        </is>
      </c>
      <c r="D359" s="2" t="inlineStr">
        <is>
          <t>a1</t>
        </is>
      </c>
      <c r="E359" s="2" t="inlineStr">
        <is>
          <t>2.0mm</t>
        </is>
      </c>
      <c r="F359" s="2" t="n">
        <v>1</v>
      </c>
      <c r="G359" s="2" t="n">
        <v>5</v>
      </c>
      <c r="H359" s="2" t="inlineStr">
        <is>
          <t>SC/PC</t>
        </is>
      </c>
      <c r="I359" s="2" t="inlineStr">
        <is>
          <t>SC/APC</t>
        </is>
      </c>
      <c r="J359" s="2" t="n"/>
      <c r="K359" s="2" t="n"/>
      <c r="L359" s="2" t="n">
        <v>30</v>
      </c>
      <c r="M359" s="2" t="n"/>
      <c r="N359" s="2" t="n"/>
      <c r="O359" s="2" t="n">
        <v>4</v>
      </c>
      <c r="P359" s="2" t="n"/>
      <c r="Q359" s="2" t="n"/>
      <c r="R359" s="2" t="n"/>
      <c r="S359" s="2" t="n">
        <v>20</v>
      </c>
      <c r="T359" s="2" t="n"/>
      <c r="U359" s="2" t="n"/>
      <c r="V359" s="2">
        <f>SUM(J359:U359)*G359</f>
        <v/>
      </c>
      <c r="W359" s="2">
        <f>MAX(J359:U359)</f>
        <v/>
      </c>
      <c r="X359" s="2">
        <f>W359*G359</f>
        <v/>
      </c>
    </row>
    <row r="360">
      <c r="A360" s="2" t="inlineStr">
        <is>
          <t>14-K-380</t>
        </is>
      </c>
      <c r="B360" s="3" t="inlineStr">
        <is>
          <t>OJC-A1-SC/SC-SM-60-PC/PC-DP</t>
        </is>
      </c>
      <c r="C360" s="2" t="inlineStr">
        <is>
          <t>K9089123</t>
        </is>
      </c>
      <c r="D360" s="2" t="inlineStr">
        <is>
          <t>a1</t>
        </is>
      </c>
      <c r="E360" s="2" t="inlineStr">
        <is>
          <t>2.0mm</t>
        </is>
      </c>
      <c r="F360" s="2" t="n">
        <v>2</v>
      </c>
      <c r="G360" s="2" t="n">
        <v>60</v>
      </c>
      <c r="H360" s="2" t="inlineStr">
        <is>
          <t>SC/PC</t>
        </is>
      </c>
      <c r="I360" s="2" t="inlineStr">
        <is>
          <t>SC/PC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>
        <v>3</v>
      </c>
      <c r="T360" s="2" t="n"/>
      <c r="U360" s="2" t="n"/>
      <c r="V360" s="2">
        <f>SUM(J360:U360)*G360</f>
        <v/>
      </c>
      <c r="W360" s="2">
        <f>MAX(J360:U360)</f>
        <v/>
      </c>
      <c r="X360" s="2">
        <f>W360*G360</f>
        <v/>
      </c>
    </row>
    <row r="361">
      <c r="A361" s="2" t="inlineStr">
        <is>
          <t>14-K-383</t>
        </is>
      </c>
      <c r="B361" s="3" t="inlineStr">
        <is>
          <t>OJC-A1-SC/SC-SM-6-APC/APC-SP</t>
        </is>
      </c>
      <c r="C361" s="2" t="inlineStr"/>
      <c r="D361" s="2" t="inlineStr">
        <is>
          <t>a1</t>
        </is>
      </c>
      <c r="E361" s="2" t="inlineStr">
        <is>
          <t>2.0mm</t>
        </is>
      </c>
      <c r="F361" s="2" t="n">
        <v>1</v>
      </c>
      <c r="G361" s="2" t="n">
        <v>6</v>
      </c>
      <c r="H361" s="2" t="inlineStr">
        <is>
          <t>SC/APC</t>
        </is>
      </c>
      <c r="I361" s="2" t="inlineStr">
        <is>
          <t>SC/APC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>
        <v>28</v>
      </c>
      <c r="S361" s="2" t="n"/>
      <c r="T361" s="2" t="n"/>
      <c r="U361" s="2" t="n"/>
      <c r="V361" s="2">
        <f>SUM(J361:U361)*G361</f>
        <v/>
      </c>
      <c r="W361" s="2">
        <f>MAX(J361:U361)</f>
        <v/>
      </c>
      <c r="X361" s="2">
        <f>W361*G361</f>
        <v/>
      </c>
    </row>
    <row r="362">
      <c r="A362" s="2" t="inlineStr">
        <is>
          <t>14-K-385</t>
        </is>
      </c>
      <c r="B362" s="3" t="inlineStr">
        <is>
          <t>OJC-A1-SC/SC-SM-6-PC/PC-SP</t>
        </is>
      </c>
      <c r="C362" s="2" t="inlineStr">
        <is>
          <t>K9088999</t>
        </is>
      </c>
      <c r="D362" s="2" t="inlineStr">
        <is>
          <t>a1</t>
        </is>
      </c>
      <c r="E362" s="2" t="inlineStr">
        <is>
          <t>2.0mm</t>
        </is>
      </c>
      <c r="F362" s="2" t="n">
        <v>1</v>
      </c>
      <c r="G362" s="2" t="n">
        <v>6</v>
      </c>
      <c r="H362" s="2" t="inlineStr">
        <is>
          <t>SC/PC</t>
        </is>
      </c>
      <c r="I362" s="2" t="inlineStr">
        <is>
          <t>SC/PC</t>
        </is>
      </c>
      <c r="J362" s="2" t="n">
        <v>32</v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>
        <f>SUM(J362:U362)*G362</f>
        <v/>
      </c>
      <c r="W362" s="2">
        <f>MAX(J362:U362)</f>
        <v/>
      </c>
      <c r="X362" s="2">
        <f>W362*G362</f>
        <v/>
      </c>
    </row>
    <row r="363">
      <c r="A363" s="2" t="inlineStr">
        <is>
          <t>14-K-386</t>
        </is>
      </c>
      <c r="B363" s="3" t="inlineStr">
        <is>
          <t>OJC-A1-SC/SC-SM-7-APC/APC-SP</t>
        </is>
      </c>
      <c r="C363" s="2" t="inlineStr"/>
      <c r="D363" s="2" t="inlineStr">
        <is>
          <t>a1</t>
        </is>
      </c>
      <c r="E363" s="2" t="inlineStr">
        <is>
          <t>2.0mm</t>
        </is>
      </c>
      <c r="F363" s="2" t="n">
        <v>1</v>
      </c>
      <c r="G363" s="2" t="n">
        <v>7</v>
      </c>
      <c r="H363" s="2" t="inlineStr">
        <is>
          <t>SC/APC</t>
        </is>
      </c>
      <c r="I363" s="2" t="inlineStr">
        <is>
          <t>SC/APC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>
        <v>20</v>
      </c>
      <c r="V363" s="2">
        <f>SUM(J363:U363)*G363</f>
        <v/>
      </c>
      <c r="W363" s="2">
        <f>MAX(J363:U363)</f>
        <v/>
      </c>
      <c r="X363" s="2">
        <f>W363*G363</f>
        <v/>
      </c>
    </row>
    <row r="364">
      <c r="A364" s="2" t="inlineStr">
        <is>
          <t>14-K-388</t>
        </is>
      </c>
      <c r="B364" s="3" t="inlineStr">
        <is>
          <t>OJC-A1-SC/SC-SM-7-PC/PC-DP</t>
        </is>
      </c>
      <c r="C364" s="2" t="inlineStr">
        <is>
          <t>K9089129</t>
        </is>
      </c>
      <c r="D364" s="2" t="inlineStr">
        <is>
          <t>a1</t>
        </is>
      </c>
      <c r="E364" s="2" t="inlineStr">
        <is>
          <t>2.0mm</t>
        </is>
      </c>
      <c r="F364" s="2" t="n">
        <v>2</v>
      </c>
      <c r="G364" s="2" t="n">
        <v>7</v>
      </c>
      <c r="H364" s="2" t="inlineStr">
        <is>
          <t>SC/PC</t>
        </is>
      </c>
      <c r="I364" s="2" t="inlineStr">
        <is>
          <t>SC/PC</t>
        </is>
      </c>
      <c r="J364" s="2" t="n"/>
      <c r="K364" s="2" t="n"/>
      <c r="L364" s="2" t="n"/>
      <c r="M364" s="2" t="n"/>
      <c r="N364" s="2" t="n">
        <v>50</v>
      </c>
      <c r="O364" s="2" t="n"/>
      <c r="P364" s="2" t="n"/>
      <c r="Q364" s="2" t="n"/>
      <c r="R364" s="2" t="n">
        <v>5</v>
      </c>
      <c r="S364" s="2" t="n">
        <v>1</v>
      </c>
      <c r="T364" s="2" t="n"/>
      <c r="U364" s="2" t="n"/>
      <c r="V364" s="2">
        <f>SUM(J364:U364)*G364</f>
        <v/>
      </c>
      <c r="W364" s="2">
        <f>MAX(J364:U364)</f>
        <v/>
      </c>
      <c r="X364" s="2">
        <f>W364*G364</f>
        <v/>
      </c>
    </row>
    <row r="365">
      <c r="A365" s="2" t="inlineStr">
        <is>
          <t>14-K-390</t>
        </is>
      </c>
      <c r="B365" s="3" t="inlineStr">
        <is>
          <t>OJC-A1-SC/SC-SM-8-APC/APC-SP</t>
        </is>
      </c>
      <c r="C365" s="2" t="inlineStr"/>
      <c r="D365" s="2" t="inlineStr">
        <is>
          <t>a1</t>
        </is>
      </c>
      <c r="E365" s="2" t="inlineStr">
        <is>
          <t>2.0mm</t>
        </is>
      </c>
      <c r="F365" s="2" t="n">
        <v>1</v>
      </c>
      <c r="G365" s="2" t="n">
        <v>8</v>
      </c>
      <c r="H365" s="2" t="inlineStr">
        <is>
          <t>SC/APC</t>
        </is>
      </c>
      <c r="I365" s="2" t="inlineStr">
        <is>
          <t>SC/APC</t>
        </is>
      </c>
      <c r="J365" s="2" t="n"/>
      <c r="K365" s="2" t="n"/>
      <c r="L365" s="2" t="n"/>
      <c r="M365" s="2" t="n"/>
      <c r="N365" s="2" t="n"/>
      <c r="O365" s="2" t="n"/>
      <c r="P365" s="2" t="n"/>
      <c r="Q365" s="2" t="n">
        <v>30</v>
      </c>
      <c r="R365" s="2" t="n"/>
      <c r="S365" s="2" t="n"/>
      <c r="T365" s="2" t="n"/>
      <c r="U365" s="2" t="n"/>
      <c r="V365" s="2">
        <f>SUM(J365:U365)*G365</f>
        <v/>
      </c>
      <c r="W365" s="2">
        <f>MAX(J365:U365)</f>
        <v/>
      </c>
      <c r="X365" s="2">
        <f>W365*G365</f>
        <v/>
      </c>
    </row>
    <row r="366">
      <c r="A366" s="2" t="inlineStr">
        <is>
          <t>14-K-414</t>
        </is>
      </c>
      <c r="B366" s="3" t="inlineStr">
        <is>
          <t>OJC-A1-SC/LC-SM-3-APC/PC-SP</t>
        </is>
      </c>
      <c r="C366" s="2" t="inlineStr"/>
      <c r="D366" s="2" t="inlineStr">
        <is>
          <t>a1</t>
        </is>
      </c>
      <c r="E366" s="2" t="inlineStr">
        <is>
          <t>2.0mm</t>
        </is>
      </c>
      <c r="F366" s="2" t="n">
        <v>1</v>
      </c>
      <c r="G366" s="2" t="n">
        <v>3</v>
      </c>
      <c r="H366" s="2" t="inlineStr">
        <is>
          <t>SC/APC</t>
        </is>
      </c>
      <c r="I366" s="2" t="inlineStr">
        <is>
          <t>LC/PC</t>
        </is>
      </c>
      <c r="J366" s="2" t="n"/>
      <c r="K366" s="2" t="n">
        <v>15</v>
      </c>
      <c r="L366" s="2" t="n"/>
      <c r="M366" s="2" t="n"/>
      <c r="N366" s="2" t="n"/>
      <c r="O366" s="2" t="n">
        <v>80</v>
      </c>
      <c r="P366" s="2" t="n"/>
      <c r="Q366" s="2" t="n"/>
      <c r="R366" s="2" t="n"/>
      <c r="S366" s="2" t="n">
        <v>80</v>
      </c>
      <c r="T366" s="2" t="n"/>
      <c r="U366" s="2" t="n"/>
      <c r="V366" s="2">
        <f>SUM(J366:U366)*G366</f>
        <v/>
      </c>
      <c r="W366" s="2">
        <f>MAX(J366:U366)</f>
        <v/>
      </c>
      <c r="X366" s="2">
        <f>W366*G366</f>
        <v/>
      </c>
    </row>
    <row r="367">
      <c r="A367" s="2" t="inlineStr">
        <is>
          <t>14-K-456</t>
        </is>
      </c>
      <c r="B367" s="3" t="inlineStr">
        <is>
          <t>OJC-C2-SC/SC-SM-10-PC/PC-12C</t>
        </is>
      </c>
      <c r="C367" s="2" t="inlineStr">
        <is>
          <t>K9089453</t>
        </is>
      </c>
      <c r="D367" s="2" t="inlineStr">
        <is>
          <t>a1-12c</t>
        </is>
      </c>
      <c r="E367" s="2" t="inlineStr">
        <is>
          <t>2.0mm</t>
        </is>
      </c>
      <c r="F367" s="2" t="n">
        <v>12</v>
      </c>
      <c r="G367" s="2" t="n">
        <v>10</v>
      </c>
      <c r="H367" s="2" t="inlineStr">
        <is>
          <t>SC/PC</t>
        </is>
      </c>
      <c r="I367" s="2" t="inlineStr">
        <is>
          <t>SC/PC</t>
        </is>
      </c>
      <c r="J367" s="2" t="n"/>
      <c r="K367" s="2" t="n"/>
      <c r="L367" s="2" t="n">
        <v>10</v>
      </c>
      <c r="M367" s="2" t="n"/>
      <c r="N367" s="2" t="n"/>
      <c r="O367" s="2" t="n"/>
      <c r="P367" s="2" t="n"/>
      <c r="Q367" s="2" t="n"/>
      <c r="R367" s="2" t="n">
        <v>10</v>
      </c>
      <c r="S367" s="2" t="n"/>
      <c r="T367" s="2" t="n">
        <v>10</v>
      </c>
      <c r="U367" s="2" t="n">
        <v>20</v>
      </c>
      <c r="V367" s="2">
        <f>SUM(J367:U367)*G367</f>
        <v/>
      </c>
      <c r="W367" s="2">
        <f>MAX(J367:U367)</f>
        <v/>
      </c>
      <c r="X367" s="2">
        <f>W367*G367</f>
        <v/>
      </c>
    </row>
    <row r="368">
      <c r="A368" s="2" t="inlineStr">
        <is>
          <t>14-K-458</t>
        </is>
      </c>
      <c r="B368" s="3" t="inlineStr">
        <is>
          <t>OJC-C2-SC/SC-SM-10-PC/PC-20C</t>
        </is>
      </c>
      <c r="C368" s="2" t="inlineStr">
        <is>
          <t>K9118071</t>
        </is>
      </c>
      <c r="D368" s="2" t="inlineStr">
        <is>
          <t>a1-20c</t>
        </is>
      </c>
      <c r="E368" s="2" t="inlineStr">
        <is>
          <t>2.0mm</t>
        </is>
      </c>
      <c r="F368" s="2" t="n">
        <v>20</v>
      </c>
      <c r="G368" s="2" t="n">
        <v>10</v>
      </c>
      <c r="H368" s="2" t="inlineStr">
        <is>
          <t>SC/PC</t>
        </is>
      </c>
      <c r="I368" s="2" t="inlineStr">
        <is>
          <t>SC/PC</t>
        </is>
      </c>
      <c r="J368" s="2" t="n"/>
      <c r="K368" s="2" t="n"/>
      <c r="L368" s="2" t="n"/>
      <c r="M368" s="2" t="n"/>
      <c r="N368" s="2" t="n"/>
      <c r="O368" s="2" t="n"/>
      <c r="P368" s="2" t="n">
        <v>20</v>
      </c>
      <c r="Q368" s="2" t="n"/>
      <c r="R368" s="2" t="n"/>
      <c r="S368" s="2" t="n"/>
      <c r="T368" s="2" t="n"/>
      <c r="U368" s="2" t="n"/>
      <c r="V368" s="2">
        <f>SUM(J368:U368)*G368</f>
        <v/>
      </c>
      <c r="W368" s="2">
        <f>MAX(J368:U368)</f>
        <v/>
      </c>
      <c r="X368" s="2">
        <f>W368*G368</f>
        <v/>
      </c>
    </row>
    <row r="369">
      <c r="A369" s="2" t="inlineStr">
        <is>
          <t>14-K-459</t>
        </is>
      </c>
      <c r="B369" s="3" t="inlineStr">
        <is>
          <t>OJC-C2-SC/SC-SM-10-PC/PC-8C</t>
        </is>
      </c>
      <c r="C369" s="2" t="inlineStr">
        <is>
          <t>K9089452</t>
        </is>
      </c>
      <c r="D369" s="2" t="inlineStr">
        <is>
          <t>a1-8c</t>
        </is>
      </c>
      <c r="E369" s="2" t="inlineStr">
        <is>
          <t>2.0mm</t>
        </is>
      </c>
      <c r="F369" s="2" t="n">
        <v>8</v>
      </c>
      <c r="G369" s="2" t="n">
        <v>10</v>
      </c>
      <c r="H369" s="2" t="inlineStr">
        <is>
          <t>SC/PC</t>
        </is>
      </c>
      <c r="I369" s="2" t="inlineStr">
        <is>
          <t>SC/PC</t>
        </is>
      </c>
      <c r="J369" s="2" t="n"/>
      <c r="K369" s="2" t="n">
        <v>5</v>
      </c>
      <c r="L369" s="2" t="n"/>
      <c r="M369" s="2" t="n"/>
      <c r="N369" s="2" t="n"/>
      <c r="O369" s="2" t="n">
        <v>1</v>
      </c>
      <c r="P369" s="2" t="n">
        <v>54</v>
      </c>
      <c r="Q369" s="2" t="n"/>
      <c r="R369" s="2" t="n"/>
      <c r="S369" s="2" t="n">
        <v>11</v>
      </c>
      <c r="T369" s="2" t="n">
        <v>40</v>
      </c>
      <c r="U369" s="2" t="n">
        <v>20</v>
      </c>
      <c r="V369" s="2">
        <f>SUM(J369:U369)*G369</f>
        <v/>
      </c>
      <c r="W369" s="2">
        <f>MAX(J369:U369)</f>
        <v/>
      </c>
      <c r="X369" s="2">
        <f>W369*G369</f>
        <v/>
      </c>
    </row>
    <row r="370">
      <c r="A370" s="2" t="inlineStr">
        <is>
          <t>14-K-463</t>
        </is>
      </c>
      <c r="B370" s="3" t="inlineStr">
        <is>
          <t>OJC-C2-SC/SC-SM-10-PC/PC-12C</t>
        </is>
      </c>
      <c r="C370" s="2" t="inlineStr">
        <is>
          <t>K9089453</t>
        </is>
      </c>
      <c r="D370" s="2" t="inlineStr">
        <is>
          <t>a1-12c</t>
        </is>
      </c>
      <c r="E370" s="2" t="inlineStr">
        <is>
          <t>2.0mm</t>
        </is>
      </c>
      <c r="F370" s="2" t="n">
        <v>12</v>
      </c>
      <c r="G370" s="2" t="n">
        <v>10</v>
      </c>
      <c r="H370" s="2" t="inlineStr">
        <is>
          <t>SC/PC</t>
        </is>
      </c>
      <c r="I370" s="2" t="inlineStr">
        <is>
          <t>SC/PC</t>
        </is>
      </c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>
        <v>10</v>
      </c>
      <c r="U370" s="2" t="n"/>
      <c r="V370" s="2">
        <f>SUM(J370:U370)*G370</f>
        <v/>
      </c>
      <c r="W370" s="2">
        <f>MAX(J370:U370)</f>
        <v/>
      </c>
      <c r="X370" s="2">
        <f>W370*G370</f>
        <v/>
      </c>
    </row>
    <row r="371">
      <c r="A371" s="2" t="inlineStr">
        <is>
          <t>14-K-469</t>
        </is>
      </c>
      <c r="B371" s="3" t="inlineStr">
        <is>
          <t>OJC-C2-SC/SC-SM-14-PC/PC-12C</t>
        </is>
      </c>
      <c r="C371" s="2" t="inlineStr">
        <is>
          <t>K9089453</t>
        </is>
      </c>
      <c r="D371" s="2" t="inlineStr">
        <is>
          <t>a1-12c</t>
        </is>
      </c>
      <c r="E371" s="2" t="inlineStr">
        <is>
          <t>2.0mm</t>
        </is>
      </c>
      <c r="F371" s="2" t="n">
        <v>12</v>
      </c>
      <c r="G371" s="2" t="n">
        <v>14</v>
      </c>
      <c r="H371" s="2" t="inlineStr">
        <is>
          <t>SC/PC</t>
        </is>
      </c>
      <c r="I371" s="2" t="inlineStr">
        <is>
          <t>SC/PC</t>
        </is>
      </c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>
        <v>10</v>
      </c>
      <c r="U371" s="2" t="n"/>
      <c r="V371" s="2">
        <f>SUM(J371:U371)*G371</f>
        <v/>
      </c>
      <c r="W371" s="2">
        <f>MAX(J371:U371)</f>
        <v/>
      </c>
      <c r="X371" s="2">
        <f>W371*G371</f>
        <v/>
      </c>
    </row>
    <row r="372">
      <c r="A372" s="2" t="inlineStr">
        <is>
          <t>14-K-474</t>
        </is>
      </c>
      <c r="B372" s="3" t="inlineStr">
        <is>
          <t>OJC-C2-SC/SC-SM-15-PC/PC-12C</t>
        </is>
      </c>
      <c r="C372" s="2" t="inlineStr">
        <is>
          <t>K9089453</t>
        </is>
      </c>
      <c r="D372" s="2" t="inlineStr">
        <is>
          <t>a1-12c</t>
        </is>
      </c>
      <c r="E372" s="2" t="inlineStr">
        <is>
          <t>2.0mm</t>
        </is>
      </c>
      <c r="F372" s="2" t="n">
        <v>12</v>
      </c>
      <c r="G372" s="2" t="n">
        <v>15</v>
      </c>
      <c r="H372" s="2" t="inlineStr">
        <is>
          <t>SC/PC</t>
        </is>
      </c>
      <c r="I372" s="2" t="inlineStr">
        <is>
          <t>SC/PC</t>
        </is>
      </c>
      <c r="J372" s="2" t="n"/>
      <c r="K372" s="2" t="n"/>
      <c r="L372" s="2" t="n">
        <v>20</v>
      </c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>
        <v>20</v>
      </c>
      <c r="V372" s="2">
        <f>SUM(J372:U372)*G372</f>
        <v/>
      </c>
      <c r="W372" s="2">
        <f>MAX(J372:U372)</f>
        <v/>
      </c>
      <c r="X372" s="2">
        <f>W372*G372</f>
        <v/>
      </c>
    </row>
    <row r="373">
      <c r="A373" s="2" t="inlineStr">
        <is>
          <t>14-K-477</t>
        </is>
      </c>
      <c r="B373" s="3" t="inlineStr">
        <is>
          <t>OJC-C2-SC/SC-SM-15-PC/PC-20C</t>
        </is>
      </c>
      <c r="C373" s="2" t="inlineStr">
        <is>
          <t>K9118072</t>
        </is>
      </c>
      <c r="D373" s="2" t="inlineStr">
        <is>
          <t>a1-20c</t>
        </is>
      </c>
      <c r="E373" s="2" t="inlineStr">
        <is>
          <t>2.0mm</t>
        </is>
      </c>
      <c r="F373" s="2" t="n">
        <v>20</v>
      </c>
      <c r="G373" s="2" t="n">
        <v>15</v>
      </c>
      <c r="H373" s="2" t="inlineStr">
        <is>
          <t>SC/PC</t>
        </is>
      </c>
      <c r="I373" s="2" t="inlineStr">
        <is>
          <t>SC/PC</t>
        </is>
      </c>
      <c r="J373" s="2" t="n"/>
      <c r="K373" s="2" t="n"/>
      <c r="L373" s="2" t="n"/>
      <c r="M373" s="2" t="n"/>
      <c r="N373" s="2" t="n"/>
      <c r="O373" s="2" t="n"/>
      <c r="P373" s="2" t="n">
        <v>10</v>
      </c>
      <c r="Q373" s="2" t="n"/>
      <c r="R373" s="2" t="n"/>
      <c r="S373" s="2" t="n"/>
      <c r="T373" s="2" t="n"/>
      <c r="U373" s="2" t="n"/>
      <c r="V373" s="2">
        <f>SUM(J373:U373)*G373</f>
        <v/>
      </c>
      <c r="W373" s="2">
        <f>MAX(J373:U373)</f>
        <v/>
      </c>
      <c r="X373" s="2">
        <f>W373*G373</f>
        <v/>
      </c>
    </row>
    <row r="374">
      <c r="A374" s="2" t="inlineStr">
        <is>
          <t>14-K-479</t>
        </is>
      </c>
      <c r="B374" s="3" t="inlineStr">
        <is>
          <t>OJC-C2-SC/SC-SM-15-PC/PC-8C</t>
        </is>
      </c>
      <c r="C374" s="2" t="inlineStr">
        <is>
          <t>K9089452</t>
        </is>
      </c>
      <c r="D374" s="2" t="inlineStr">
        <is>
          <t>a1-8c</t>
        </is>
      </c>
      <c r="E374" s="2" t="inlineStr">
        <is>
          <t>2.0mm</t>
        </is>
      </c>
      <c r="F374" s="2" t="n">
        <v>8</v>
      </c>
      <c r="G374" s="2" t="n">
        <v>15</v>
      </c>
      <c r="H374" s="2" t="inlineStr">
        <is>
          <t>SC/PC</t>
        </is>
      </c>
      <c r="I374" s="2" t="inlineStr">
        <is>
          <t>SC/PC</t>
        </is>
      </c>
      <c r="J374" s="2" t="n"/>
      <c r="K374" s="2" t="n"/>
      <c r="L374" s="2" t="n"/>
      <c r="M374" s="2" t="n"/>
      <c r="N374" s="2" t="n"/>
      <c r="O374" s="2" t="n"/>
      <c r="P374" s="2" t="n"/>
      <c r="Q374" s="2" t="n">
        <v>5</v>
      </c>
      <c r="R374" s="2" t="n"/>
      <c r="S374" s="2" t="n"/>
      <c r="T374" s="2" t="n"/>
      <c r="U374" s="2" t="n">
        <v>8</v>
      </c>
      <c r="V374" s="2">
        <f>SUM(J374:U374)*G374</f>
        <v/>
      </c>
      <c r="W374" s="2">
        <f>MAX(J374:U374)</f>
        <v/>
      </c>
      <c r="X374" s="2">
        <f>W374*G374</f>
        <v/>
      </c>
    </row>
    <row r="375">
      <c r="A375" s="2" t="inlineStr">
        <is>
          <t>14-K-484</t>
        </is>
      </c>
      <c r="B375" s="3" t="inlineStr">
        <is>
          <t>OJC-C2-SC/SC-SM-17-PC/PC-12C</t>
        </is>
      </c>
      <c r="C375" s="2" t="inlineStr">
        <is>
          <t>K9089453</t>
        </is>
      </c>
      <c r="D375" s="2" t="inlineStr">
        <is>
          <t>a1-12c</t>
        </is>
      </c>
      <c r="E375" s="2" t="inlineStr">
        <is>
          <t>2.0mm</t>
        </is>
      </c>
      <c r="F375" s="2" t="n">
        <v>12</v>
      </c>
      <c r="G375" s="2" t="n">
        <v>17</v>
      </c>
      <c r="H375" s="2" t="inlineStr">
        <is>
          <t>SC/PC</t>
        </is>
      </c>
      <c r="I375" s="2" t="inlineStr">
        <is>
          <t>SC/PC</t>
        </is>
      </c>
      <c r="J375" s="2" t="n"/>
      <c r="K375" s="2" t="n"/>
      <c r="L375" s="2" t="n"/>
      <c r="M375" s="2" t="n"/>
      <c r="N375" s="2" t="n"/>
      <c r="O375" s="2" t="n"/>
      <c r="P375" s="2" t="n">
        <v>10</v>
      </c>
      <c r="Q375" s="2" t="n"/>
      <c r="R375" s="2" t="n"/>
      <c r="S375" s="2" t="n"/>
      <c r="T375" s="2" t="n"/>
      <c r="U375" s="2" t="n"/>
      <c r="V375" s="2">
        <f>SUM(J375:U375)*G375</f>
        <v/>
      </c>
      <c r="W375" s="2">
        <f>MAX(J375:U375)</f>
        <v/>
      </c>
      <c r="X375" s="2">
        <f>W375*G375</f>
        <v/>
      </c>
    </row>
    <row r="376">
      <c r="A376" s="2" t="inlineStr">
        <is>
          <t>14-K-503</t>
        </is>
      </c>
      <c r="B376" s="3" t="inlineStr">
        <is>
          <t>OJC-C2-SC/SC-SM-20-PC/PC-12C</t>
        </is>
      </c>
      <c r="C376" s="2" t="inlineStr">
        <is>
          <t>K9089453</t>
        </is>
      </c>
      <c r="D376" s="2" t="inlineStr">
        <is>
          <t>a1-12c</t>
        </is>
      </c>
      <c r="E376" s="2" t="inlineStr">
        <is>
          <t>2.0mm</t>
        </is>
      </c>
      <c r="F376" s="2" t="n">
        <v>12</v>
      </c>
      <c r="G376" s="2" t="n">
        <v>20</v>
      </c>
      <c r="H376" s="2" t="inlineStr">
        <is>
          <t>SC/PC</t>
        </is>
      </c>
      <c r="I376" s="2" t="inlineStr">
        <is>
          <t>SC/PC</t>
        </is>
      </c>
      <c r="J376" s="2" t="n"/>
      <c r="K376" s="2" t="n"/>
      <c r="L376" s="2" t="n">
        <v>3</v>
      </c>
      <c r="M376" s="2" t="n">
        <v>8</v>
      </c>
      <c r="N376" s="2" t="n"/>
      <c r="O376" s="2" t="n"/>
      <c r="P376" s="2" t="n"/>
      <c r="Q376" s="2" t="n"/>
      <c r="R376" s="2" t="n"/>
      <c r="S376" s="2" t="n">
        <v>1</v>
      </c>
      <c r="T376" s="2" t="n"/>
      <c r="U376" s="2" t="n"/>
      <c r="V376" s="2">
        <f>SUM(J376:U376)*G376</f>
        <v/>
      </c>
      <c r="W376" s="2">
        <f>MAX(J376:U376)</f>
        <v/>
      </c>
      <c r="X376" s="2">
        <f>W376*G376</f>
        <v/>
      </c>
    </row>
    <row r="377">
      <c r="A377" s="2" t="inlineStr">
        <is>
          <t>14-K-505</t>
        </is>
      </c>
      <c r="B377" s="3" t="inlineStr">
        <is>
          <t>OJC-C2-SC/SC-SM-20-PC/PC-4C</t>
        </is>
      </c>
      <c r="C377" s="2" t="inlineStr">
        <is>
          <t>K9089451</t>
        </is>
      </c>
      <c r="D377" s="2" t="inlineStr">
        <is>
          <t>b3-4c</t>
        </is>
      </c>
      <c r="E377" s="2" t="inlineStr">
        <is>
          <t>2.0mm</t>
        </is>
      </c>
      <c r="F377" s="2" t="n">
        <v>4</v>
      </c>
      <c r="G377" s="2" t="n">
        <v>20</v>
      </c>
      <c r="H377" s="2" t="inlineStr">
        <is>
          <t>SC/PC</t>
        </is>
      </c>
      <c r="I377" s="2" t="inlineStr">
        <is>
          <t>SC/PC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>
        <v>3</v>
      </c>
      <c r="T377" s="2" t="n"/>
      <c r="U377" s="2" t="n"/>
      <c r="V377" s="2">
        <f>SUM(J377:U377)*G377</f>
        <v/>
      </c>
      <c r="W377" s="2">
        <f>MAX(J377:U377)</f>
        <v/>
      </c>
      <c r="X377" s="2">
        <f>W377*G377</f>
        <v/>
      </c>
    </row>
    <row r="378">
      <c r="A378" s="2" t="inlineStr">
        <is>
          <t>14-K-512</t>
        </is>
      </c>
      <c r="B378" s="3" t="inlineStr">
        <is>
          <t>OJC-C2-SC/SC-SM-25-PC/PC-12C</t>
        </is>
      </c>
      <c r="C378" s="2" t="inlineStr">
        <is>
          <t>K9089453</t>
        </is>
      </c>
      <c r="D378" s="2" t="inlineStr">
        <is>
          <t>a1-12c</t>
        </is>
      </c>
      <c r="E378" s="2" t="inlineStr">
        <is>
          <t>2.0mm</t>
        </is>
      </c>
      <c r="F378" s="2" t="n">
        <v>12</v>
      </c>
      <c r="G378" s="2" t="n">
        <v>25</v>
      </c>
      <c r="H378" s="2" t="inlineStr">
        <is>
          <t>SC/PC</t>
        </is>
      </c>
      <c r="I378" s="2" t="inlineStr">
        <is>
          <t>SC/PC</t>
        </is>
      </c>
      <c r="J378" s="2" t="n"/>
      <c r="K378" s="2" t="n"/>
      <c r="L378" s="2" t="n"/>
      <c r="M378" s="2" t="n"/>
      <c r="N378" s="2" t="n"/>
      <c r="O378" s="2" t="n"/>
      <c r="P378" s="2" t="n">
        <v>10</v>
      </c>
      <c r="Q378" s="2" t="n"/>
      <c r="R378" s="2" t="n"/>
      <c r="S378" s="2" t="n">
        <v>1</v>
      </c>
      <c r="T378" s="2" t="n"/>
      <c r="U378" s="2" t="n"/>
      <c r="V378" s="2">
        <f>SUM(J378:U378)*G378</f>
        <v/>
      </c>
      <c r="W378" s="2">
        <f>MAX(J378:U378)</f>
        <v/>
      </c>
      <c r="X378" s="2">
        <f>W378*G378</f>
        <v/>
      </c>
    </row>
    <row r="379">
      <c r="A379" s="2" t="inlineStr">
        <is>
          <t>14-K-546</t>
        </is>
      </c>
      <c r="B379" s="3" t="inlineStr">
        <is>
          <t>OJC-C2-SC/SC-SM-50-PC/PC-20C</t>
        </is>
      </c>
      <c r="C379" s="2" t="inlineStr">
        <is>
          <t>K9094342</t>
        </is>
      </c>
      <c r="D379" s="2" t="inlineStr">
        <is>
          <t>a1-20c</t>
        </is>
      </c>
      <c r="E379" s="2" t="inlineStr">
        <is>
          <t>2.0mm</t>
        </is>
      </c>
      <c r="F379" s="2" t="n">
        <v>20</v>
      </c>
      <c r="G379" s="2" t="n">
        <v>50</v>
      </c>
      <c r="H379" s="2" t="inlineStr">
        <is>
          <t>SC/PC</t>
        </is>
      </c>
      <c r="I379" s="2" t="inlineStr">
        <is>
          <t>SC/PC</t>
        </is>
      </c>
      <c r="J379" s="2" t="n"/>
      <c r="K379" s="2" t="n"/>
      <c r="L379" s="2" t="n">
        <v>2</v>
      </c>
      <c r="M379" s="2" t="n"/>
      <c r="N379" s="2" t="n"/>
      <c r="O379" s="2" t="n"/>
      <c r="P379" s="2" t="n"/>
      <c r="Q379" s="2" t="n"/>
      <c r="R379" s="2" t="n">
        <v>4</v>
      </c>
      <c r="S379" s="2" t="n"/>
      <c r="T379" s="2" t="n"/>
      <c r="U379" s="2" t="n"/>
      <c r="V379" s="2">
        <f>SUM(J379:U379)*G379</f>
        <v/>
      </c>
      <c r="W379" s="2">
        <f>MAX(J379:U379)</f>
        <v/>
      </c>
      <c r="X379" s="2">
        <f>W379*G379</f>
        <v/>
      </c>
    </row>
    <row r="380">
      <c r="A380" s="2" t="inlineStr">
        <is>
          <t>14-K-550</t>
        </is>
      </c>
      <c r="B380" s="3" t="inlineStr">
        <is>
          <t>OJC-C2-SC/SC-SM-5-PC/PC-16C</t>
        </is>
      </c>
      <c r="C380" s="2" t="inlineStr">
        <is>
          <t>K9094339</t>
        </is>
      </c>
      <c r="D380" s="2" t="inlineStr">
        <is>
          <t>a1-16c</t>
        </is>
      </c>
      <c r="E380" s="2" t="inlineStr">
        <is>
          <t>2.0mm</t>
        </is>
      </c>
      <c r="F380" s="2" t="n">
        <v>16</v>
      </c>
      <c r="G380" s="2" t="n">
        <v>5</v>
      </c>
      <c r="H380" s="2" t="inlineStr">
        <is>
          <t>SC/PC</t>
        </is>
      </c>
      <c r="I380" s="2" t="inlineStr">
        <is>
          <t>SC/PC</t>
        </is>
      </c>
      <c r="J380" s="2" t="n"/>
      <c r="K380" s="2" t="n">
        <v>100</v>
      </c>
      <c r="L380" s="2" t="n"/>
      <c r="M380" s="2" t="n"/>
      <c r="N380" s="2" t="n"/>
      <c r="O380" s="2" t="n"/>
      <c r="P380" s="2" t="n"/>
      <c r="Q380" s="2" t="n"/>
      <c r="R380" s="2" t="n"/>
      <c r="S380" s="2" t="n">
        <v>100</v>
      </c>
      <c r="T380" s="2" t="n"/>
      <c r="U380" s="2" t="n"/>
      <c r="V380" s="2">
        <f>SUM(J380:U380)*G380</f>
        <v/>
      </c>
      <c r="W380" s="2">
        <f>MAX(J380:U380)</f>
        <v/>
      </c>
      <c r="X380" s="2">
        <f>W380*G380</f>
        <v/>
      </c>
    </row>
    <row r="381">
      <c r="A381" s="2" t="inlineStr">
        <is>
          <t>14-K-560</t>
        </is>
      </c>
      <c r="B381" s="3" t="inlineStr">
        <is>
          <t>OJC-C2-SC/SC-SM-7-PC/PC-12C</t>
        </is>
      </c>
      <c r="C381" s="2" t="inlineStr">
        <is>
          <t>K9089453</t>
        </is>
      </c>
      <c r="D381" s="2" t="inlineStr">
        <is>
          <t>a1-12c</t>
        </is>
      </c>
      <c r="E381" s="2" t="inlineStr">
        <is>
          <t>2.0mm</t>
        </is>
      </c>
      <c r="F381" s="2" t="n">
        <v>12</v>
      </c>
      <c r="G381" s="2" t="n">
        <v>7</v>
      </c>
      <c r="H381" s="2" t="inlineStr">
        <is>
          <t>SC/PC</t>
        </is>
      </c>
      <c r="I381" s="2" t="inlineStr">
        <is>
          <t>SC/PC</t>
        </is>
      </c>
      <c r="J381" s="2" t="n"/>
      <c r="K381" s="2" t="n"/>
      <c r="L381" s="2" t="n"/>
      <c r="M381" s="2" t="n"/>
      <c r="N381" s="2" t="n"/>
      <c r="O381" s="2" t="n"/>
      <c r="P381" s="2" t="n">
        <v>50</v>
      </c>
      <c r="Q381" s="2" t="n"/>
      <c r="R381" s="2" t="n"/>
      <c r="S381" s="2" t="n"/>
      <c r="T381" s="2" t="n"/>
      <c r="U381" s="2" t="n"/>
      <c r="V381" s="2">
        <f>SUM(J381:U381)*G381</f>
        <v/>
      </c>
      <c r="W381" s="2">
        <f>MAX(J381:U381)</f>
        <v/>
      </c>
      <c r="X381" s="2">
        <f>W381*G381</f>
        <v/>
      </c>
    </row>
    <row r="382">
      <c r="A382" s="2" t="inlineStr">
        <is>
          <t>14-K-561</t>
        </is>
      </c>
      <c r="B382" s="3" t="inlineStr">
        <is>
          <t>OJC-C2-SC/SC-SM-7-PC/PC-20C</t>
        </is>
      </c>
      <c r="C382" s="2" t="inlineStr">
        <is>
          <t>K9094342</t>
        </is>
      </c>
      <c r="D382" s="2" t="inlineStr">
        <is>
          <t>a1-20c</t>
        </is>
      </c>
      <c r="E382" s="2" t="inlineStr">
        <is>
          <t>2.0mm</t>
        </is>
      </c>
      <c r="F382" s="2" t="n">
        <v>20</v>
      </c>
      <c r="G382" s="2" t="n">
        <v>7</v>
      </c>
      <c r="H382" s="2" t="inlineStr">
        <is>
          <t>SC/PC</t>
        </is>
      </c>
      <c r="I382" s="2" t="inlineStr">
        <is>
          <t>SC/PC</t>
        </is>
      </c>
      <c r="J382" s="2" t="n"/>
      <c r="K382" s="2" t="n"/>
      <c r="L382" s="2" t="n"/>
      <c r="M382" s="2" t="n"/>
      <c r="N382" s="2" t="n"/>
      <c r="O382" s="2" t="n"/>
      <c r="P382" s="2" t="n">
        <v>30</v>
      </c>
      <c r="Q382" s="2" t="n"/>
      <c r="R382" s="2" t="n"/>
      <c r="S382" s="2" t="n">
        <v>10</v>
      </c>
      <c r="T382" s="2" t="n"/>
      <c r="U382" s="2" t="n"/>
      <c r="V382" s="2">
        <f>SUM(J382:U382)*G382</f>
        <v/>
      </c>
      <c r="W382" s="2">
        <f>MAX(J382:U382)</f>
        <v/>
      </c>
      <c r="X382" s="2">
        <f>W382*G382</f>
        <v/>
      </c>
    </row>
    <row r="383">
      <c r="A383" s="2" t="inlineStr">
        <is>
          <t>14-K-562</t>
        </is>
      </c>
      <c r="B383" s="3" t="inlineStr">
        <is>
          <t>OJC-C2-SC/SC-SM-7-PC/PC-8C</t>
        </is>
      </c>
      <c r="C383" s="2" t="inlineStr">
        <is>
          <t>K9089452</t>
        </is>
      </c>
      <c r="D383" s="2" t="inlineStr">
        <is>
          <t>a1-8c</t>
        </is>
      </c>
      <c r="E383" s="2" t="inlineStr">
        <is>
          <t>2.0mm</t>
        </is>
      </c>
      <c r="F383" s="2" t="n">
        <v>8</v>
      </c>
      <c r="G383" s="2" t="n">
        <v>7</v>
      </c>
      <c r="H383" s="2" t="inlineStr">
        <is>
          <t>SC/PC</t>
        </is>
      </c>
      <c r="I383" s="2" t="inlineStr">
        <is>
          <t>SC/PC</t>
        </is>
      </c>
      <c r="J383" s="2" t="n"/>
      <c r="K383" s="2" t="n"/>
      <c r="L383" s="2" t="n"/>
      <c r="M383" s="2" t="n"/>
      <c r="N383" s="2" t="n"/>
      <c r="O383" s="2" t="n"/>
      <c r="P383" s="2" t="n">
        <v>20</v>
      </c>
      <c r="Q383" s="2" t="n"/>
      <c r="R383" s="2" t="n"/>
      <c r="S383" s="2" t="n"/>
      <c r="T383" s="2" t="n"/>
      <c r="U383" s="2" t="n"/>
      <c r="V383" s="2">
        <f>SUM(J383:U383)*G383</f>
        <v/>
      </c>
      <c r="W383" s="2">
        <f>MAX(J383:U383)</f>
        <v/>
      </c>
      <c r="X383" s="2">
        <f>W383*G383</f>
        <v/>
      </c>
    </row>
    <row r="384">
      <c r="A384" s="2" t="inlineStr">
        <is>
          <t>14-K-585</t>
        </is>
      </c>
      <c r="B384" s="3" t="inlineStr">
        <is>
          <t>OJC-A1-LC/LC-SM-2-PC/PC-SP</t>
        </is>
      </c>
      <c r="C384" s="2" t="inlineStr">
        <is>
          <t>K9089043</t>
        </is>
      </c>
      <c r="D384" s="2" t="inlineStr">
        <is>
          <t>a1</t>
        </is>
      </c>
      <c r="E384" s="2" t="inlineStr">
        <is>
          <t>2.0mm</t>
        </is>
      </c>
      <c r="F384" s="2" t="n">
        <v>1</v>
      </c>
      <c r="G384" s="2" t="n">
        <v>2</v>
      </c>
      <c r="H384" s="2" t="inlineStr">
        <is>
          <t>LC/PC</t>
        </is>
      </c>
      <c r="I384" s="2" t="inlineStr">
        <is>
          <t>LC/PC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>
        <v>10</v>
      </c>
      <c r="T384" s="2" t="n">
        <v>5</v>
      </c>
      <c r="U384" s="2" t="n"/>
      <c r="V384" s="2">
        <f>SUM(J384:U384)*G384</f>
        <v/>
      </c>
      <c r="W384" s="2">
        <f>MAX(J384:U384)</f>
        <v/>
      </c>
      <c r="X384" s="2">
        <f>W384*G384</f>
        <v/>
      </c>
    </row>
    <row r="385">
      <c r="A385" s="2" t="inlineStr">
        <is>
          <t>14-K-587</t>
        </is>
      </c>
      <c r="B385" s="3" t="inlineStr">
        <is>
          <t>OJC-A1-LC/LC-SM-60-PC/PC-DP</t>
        </is>
      </c>
      <c r="C385" s="2" t="inlineStr"/>
      <c r="D385" s="2" t="inlineStr">
        <is>
          <t>a1</t>
        </is>
      </c>
      <c r="E385" s="2" t="inlineStr">
        <is>
          <t>2.0mm</t>
        </is>
      </c>
      <c r="F385" s="2" t="n">
        <v>2</v>
      </c>
      <c r="G385" s="2" t="n">
        <v>60</v>
      </c>
      <c r="H385" s="2" t="inlineStr">
        <is>
          <t>LC/PC</t>
        </is>
      </c>
      <c r="I385" s="2" t="inlineStr">
        <is>
          <t>LC/PC</t>
        </is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>
        <v>5</v>
      </c>
      <c r="S385" s="2" t="n"/>
      <c r="T385" s="2" t="n">
        <v>10</v>
      </c>
      <c r="U385" s="2" t="n"/>
      <c r="V385" s="2">
        <f>SUM(J385:U385)*G385</f>
        <v/>
      </c>
      <c r="W385" s="2">
        <f>MAX(J385:U385)</f>
        <v/>
      </c>
      <c r="X385" s="2">
        <f>W385*G385</f>
        <v/>
      </c>
    </row>
    <row r="386">
      <c r="A386" s="2" t="inlineStr">
        <is>
          <t>14-K-603</t>
        </is>
      </c>
      <c r="B386" s="3" t="inlineStr">
        <is>
          <t>OJC-C2-SC/SC-SM-4-PC/PC-8C-1.0</t>
        </is>
      </c>
      <c r="C386" s="2" t="inlineStr">
        <is>
          <t>K9089452</t>
        </is>
      </c>
      <c r="D386" s="2" t="inlineStr">
        <is>
          <t>a1-8c</t>
        </is>
      </c>
      <c r="E386" s="2" t="inlineStr">
        <is>
          <t>2.0mm</t>
        </is>
      </c>
      <c r="F386" s="2" t="n">
        <v>8</v>
      </c>
      <c r="G386" s="2" t="n">
        <v>4</v>
      </c>
      <c r="H386" s="2" t="inlineStr">
        <is>
          <t>SC/PC</t>
        </is>
      </c>
      <c r="I386" s="2" t="inlineStr">
        <is>
          <t>SC/PC</t>
        </is>
      </c>
      <c r="J386" s="2" t="n"/>
      <c r="K386" s="2" t="n"/>
      <c r="L386" s="2" t="n"/>
      <c r="M386" s="2" t="n"/>
      <c r="N386" s="2" t="n"/>
      <c r="O386" s="2" t="n">
        <v>42</v>
      </c>
      <c r="P386" s="2" t="n"/>
      <c r="Q386" s="2" t="n"/>
      <c r="R386" s="2" t="n"/>
      <c r="S386" s="2" t="n"/>
      <c r="T386" s="2" t="n"/>
      <c r="U386" s="2" t="n"/>
      <c r="V386" s="2">
        <f>SUM(J386:U386)*G386</f>
        <v/>
      </c>
      <c r="W386" s="2">
        <f>MAX(J386:U386)</f>
        <v/>
      </c>
      <c r="X386" s="2">
        <f>W386*G386</f>
        <v/>
      </c>
    </row>
    <row r="387">
      <c r="A387" s="2" t="inlineStr">
        <is>
          <t>14-K-614</t>
        </is>
      </c>
      <c r="B387" s="3" t="inlineStr">
        <is>
          <t>OJC-A1-LC/LC-MM-4-PC/PC-DP</t>
        </is>
      </c>
      <c r="C387" s="2" t="inlineStr">
        <is>
          <t>K9089332</t>
        </is>
      </c>
      <c r="D387" s="2" t="inlineStr">
        <is>
          <t>om1</t>
        </is>
      </c>
      <c r="E387" s="2" t="inlineStr">
        <is>
          <t>2.0mm</t>
        </is>
      </c>
      <c r="F387" s="2" t="n">
        <v>2</v>
      </c>
      <c r="G387" s="2" t="n">
        <v>4</v>
      </c>
      <c r="H387" s="2" t="inlineStr">
        <is>
          <t>LC/PC</t>
        </is>
      </c>
      <c r="I387" s="2" t="inlineStr">
        <is>
          <t>LC/PC</t>
        </is>
      </c>
      <c r="J387" s="2" t="n">
        <v>3</v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>
        <f>SUM(J387:U387)*G387</f>
        <v/>
      </c>
      <c r="W387" s="2">
        <f>MAX(J387:U387)</f>
        <v/>
      </c>
      <c r="X387" s="2">
        <f>W387*G387</f>
        <v/>
      </c>
    </row>
    <row r="388">
      <c r="A388" s="2" t="inlineStr">
        <is>
          <t>14-K-615</t>
        </is>
      </c>
      <c r="B388" s="3" t="inlineStr">
        <is>
          <t>OJC-A1-LC/LC-MM(OM3)-4-PC/PC-DP</t>
        </is>
      </c>
      <c r="C388" s="2" t="inlineStr"/>
      <c r="D388" s="2" t="inlineStr">
        <is>
          <t>om3</t>
        </is>
      </c>
      <c r="E388" s="2" t="inlineStr">
        <is>
          <t>2.0mm</t>
        </is>
      </c>
      <c r="F388" s="2" t="n">
        <v>2</v>
      </c>
      <c r="G388" s="2" t="n">
        <v>4</v>
      </c>
      <c r="H388" s="2" t="inlineStr">
        <is>
          <t>LC/PC</t>
        </is>
      </c>
      <c r="I388" s="2" t="inlineStr">
        <is>
          <t>LC/PC</t>
        </is>
      </c>
      <c r="J388" s="2" t="n">
        <v>89</v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>
        <f>SUM(J388:U388)*G388</f>
        <v/>
      </c>
      <c r="W388" s="2">
        <f>MAX(J388:U388)</f>
        <v/>
      </c>
      <c r="X388" s="2">
        <f>W388*G388</f>
        <v/>
      </c>
    </row>
    <row r="389">
      <c r="A389" s="2" t="inlineStr">
        <is>
          <t>14-K-616</t>
        </is>
      </c>
      <c r="B389" s="3" t="inlineStr">
        <is>
          <t>OJC-A1-LC/LC-SM-6-PC/PC-DP</t>
        </is>
      </c>
      <c r="C389" s="2" t="inlineStr"/>
      <c r="D389" s="2" t="inlineStr">
        <is>
          <t>a1</t>
        </is>
      </c>
      <c r="E389" s="2" t="inlineStr">
        <is>
          <t>2.0mm</t>
        </is>
      </c>
      <c r="F389" s="2" t="n">
        <v>2</v>
      </c>
      <c r="G389" s="2" t="n">
        <v>6</v>
      </c>
      <c r="H389" s="2" t="inlineStr">
        <is>
          <t>LC/PC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>
        <v>50</v>
      </c>
      <c r="O389" s="2" t="n"/>
      <c r="P389" s="2" t="n"/>
      <c r="Q389" s="2" t="n"/>
      <c r="R389" s="2" t="n"/>
      <c r="S389" s="2" t="n"/>
      <c r="T389" s="2" t="n">
        <v>20</v>
      </c>
      <c r="U389" s="2" t="n"/>
      <c r="V389" s="2">
        <f>SUM(J389:U389)*G389</f>
        <v/>
      </c>
      <c r="W389" s="2">
        <f>MAX(J389:U389)</f>
        <v/>
      </c>
      <c r="X389" s="2">
        <f>W389*G389</f>
        <v/>
      </c>
    </row>
    <row r="390">
      <c r="A390" s="2" t="inlineStr">
        <is>
          <t>14-K-617</t>
        </is>
      </c>
      <c r="B390" s="3" t="inlineStr">
        <is>
          <t>OJC-A1-LC/LC-SM-14-PC/PC-DP</t>
        </is>
      </c>
      <c r="C390" s="2" t="inlineStr"/>
      <c r="D390" s="2" t="inlineStr">
        <is>
          <t>a1</t>
        </is>
      </c>
      <c r="E390" s="2" t="inlineStr">
        <is>
          <t>2.0mm</t>
        </is>
      </c>
      <c r="F390" s="2" t="n">
        <v>2</v>
      </c>
      <c r="G390" s="2" t="n">
        <v>14</v>
      </c>
      <c r="H390" s="2" t="inlineStr">
        <is>
          <t>LC/PC</t>
        </is>
      </c>
      <c r="I390" s="2" t="inlineStr">
        <is>
          <t>LC/PC</t>
        </is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>
        <v>4</v>
      </c>
      <c r="S390" s="2" t="n"/>
      <c r="T390" s="2" t="n">
        <v>22</v>
      </c>
      <c r="U390" s="2" t="n"/>
      <c r="V390" s="2">
        <f>SUM(J390:U390)*G390</f>
        <v/>
      </c>
      <c r="W390" s="2">
        <f>MAX(J390:U390)</f>
        <v/>
      </c>
      <c r="X390" s="2">
        <f>W390*G390</f>
        <v/>
      </c>
    </row>
    <row r="391">
      <c r="A391" s="2" t="inlineStr">
        <is>
          <t>14-K-618</t>
        </is>
      </c>
      <c r="B391" s="3" t="inlineStr">
        <is>
          <t>OJC-A1-LC/LC-SM-16-PC/PC-DP</t>
        </is>
      </c>
      <c r="C391" s="2" t="inlineStr"/>
      <c r="D391" s="2" t="inlineStr">
        <is>
          <t>a1</t>
        </is>
      </c>
      <c r="E391" s="2" t="inlineStr">
        <is>
          <t>2.0mm</t>
        </is>
      </c>
      <c r="F391" s="2" t="n">
        <v>2</v>
      </c>
      <c r="G391" s="2" t="n">
        <v>16</v>
      </c>
      <c r="H391" s="2" t="inlineStr">
        <is>
          <t>LC/PC</t>
        </is>
      </c>
      <c r="I391" s="2" t="inlineStr">
        <is>
          <t>LC/PC</t>
        </is>
      </c>
      <c r="J391" s="2" t="n">
        <v>1</v>
      </c>
      <c r="K391" s="2" t="n"/>
      <c r="L391" s="2" t="n"/>
      <c r="M391" s="2" t="n"/>
      <c r="N391" s="2" t="n"/>
      <c r="O391" s="2" t="n"/>
      <c r="P391" s="2" t="n"/>
      <c r="Q391" s="2" t="n"/>
      <c r="R391" s="2" t="n">
        <v>6</v>
      </c>
      <c r="S391" s="2" t="n"/>
      <c r="T391" s="2" t="n">
        <v>11</v>
      </c>
      <c r="U391" s="2" t="n"/>
      <c r="V391" s="2">
        <f>SUM(J391:U391)*G391</f>
        <v/>
      </c>
      <c r="W391" s="2">
        <f>MAX(J391:U391)</f>
        <v/>
      </c>
      <c r="X391" s="2">
        <f>W391*G391</f>
        <v/>
      </c>
    </row>
    <row r="392">
      <c r="A392" s="2" t="inlineStr">
        <is>
          <t>14-K-619</t>
        </is>
      </c>
      <c r="B392" s="3" t="inlineStr">
        <is>
          <t>OJC-A1-LC/LC-SM-17-PC/PC-DP</t>
        </is>
      </c>
      <c r="C392" s="2" t="inlineStr"/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17</v>
      </c>
      <c r="H392" s="2" t="inlineStr">
        <is>
          <t>LC/PC</t>
        </is>
      </c>
      <c r="I392" s="2" t="inlineStr">
        <is>
          <t>LC/PC</t>
        </is>
      </c>
      <c r="J392" s="2" t="n">
        <v>2</v>
      </c>
      <c r="K392" s="2" t="n"/>
      <c r="L392" s="2" t="n"/>
      <c r="M392" s="2" t="n"/>
      <c r="N392" s="2" t="n"/>
      <c r="O392" s="2" t="n"/>
      <c r="P392" s="2" t="n"/>
      <c r="Q392" s="2" t="n"/>
      <c r="R392" s="2" t="n">
        <v>5</v>
      </c>
      <c r="S392" s="2" t="n"/>
      <c r="T392" s="2" t="n"/>
      <c r="U392" s="2" t="n"/>
      <c r="V392" s="2">
        <f>SUM(J392:U392)*G392</f>
        <v/>
      </c>
      <c r="W392" s="2">
        <f>MAX(J392:U392)</f>
        <v/>
      </c>
      <c r="X392" s="2">
        <f>W392*G392</f>
        <v/>
      </c>
    </row>
    <row r="393">
      <c r="A393" s="2" t="inlineStr">
        <is>
          <t>14-K-620</t>
        </is>
      </c>
      <c r="B393" s="3" t="inlineStr">
        <is>
          <t>OJC-A1-LC/LC-SM-18-PC/PC-DP</t>
        </is>
      </c>
      <c r="C393" s="2" t="inlineStr"/>
      <c r="D393" s="2" t="inlineStr">
        <is>
          <t>a1</t>
        </is>
      </c>
      <c r="E393" s="2" t="inlineStr">
        <is>
          <t>2.0mm</t>
        </is>
      </c>
      <c r="F393" s="2" t="n">
        <v>2</v>
      </c>
      <c r="G393" s="2" t="n">
        <v>18</v>
      </c>
      <c r="H393" s="2" t="inlineStr">
        <is>
          <t>LC/PC</t>
        </is>
      </c>
      <c r="I393" s="2" t="inlineStr">
        <is>
          <t>LC/PC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>
        <v>9</v>
      </c>
      <c r="S393" s="2" t="n"/>
      <c r="T393" s="2" t="n">
        <v>12</v>
      </c>
      <c r="U393" s="2" t="n"/>
      <c r="V393" s="2">
        <f>SUM(J393:U393)*G393</f>
        <v/>
      </c>
      <c r="W393" s="2">
        <f>MAX(J393:U393)</f>
        <v/>
      </c>
      <c r="X393" s="2">
        <f>W393*G393</f>
        <v/>
      </c>
    </row>
    <row r="394">
      <c r="A394" s="2" t="inlineStr">
        <is>
          <t>14-K-624</t>
        </is>
      </c>
      <c r="B394" s="3" t="inlineStr">
        <is>
          <t>OJC-A1-LC/LC-MM(OM3)-22-PC/PC-DP</t>
        </is>
      </c>
      <c r="C394" s="2" t="inlineStr"/>
      <c r="D394" s="2" t="inlineStr">
        <is>
          <t>om3</t>
        </is>
      </c>
      <c r="E394" s="2" t="inlineStr">
        <is>
          <t>2.0mm</t>
        </is>
      </c>
      <c r="F394" s="2" t="n">
        <v>2</v>
      </c>
      <c r="G394" s="2" t="n">
        <v>22</v>
      </c>
      <c r="H394" s="2" t="inlineStr">
        <is>
          <t>LC/PC</t>
        </is>
      </c>
      <c r="I394" s="2" t="inlineStr">
        <is>
          <t>LC/PC</t>
        </is>
      </c>
      <c r="J394" s="2" t="n">
        <v>2</v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>
        <v>10</v>
      </c>
      <c r="T394" s="2" t="n"/>
      <c r="U394" s="2" t="n"/>
      <c r="V394" s="2">
        <f>SUM(J394:U394)*G394</f>
        <v/>
      </c>
      <c r="W394" s="2">
        <f>MAX(J394:U394)</f>
        <v/>
      </c>
      <c r="X394" s="2">
        <f>W394*G394</f>
        <v/>
      </c>
    </row>
    <row r="395">
      <c r="A395" s="2" t="inlineStr">
        <is>
          <t>14-K-625</t>
        </is>
      </c>
      <c r="B395" s="3" t="inlineStr">
        <is>
          <t>OJC-A1-LC/LC-MM(OM3)-23-PC/PC-DP</t>
        </is>
      </c>
      <c r="C395" s="2" t="inlineStr"/>
      <c r="D395" s="2" t="inlineStr">
        <is>
          <t>om3</t>
        </is>
      </c>
      <c r="E395" s="2" t="inlineStr">
        <is>
          <t>2.0mm</t>
        </is>
      </c>
      <c r="F395" s="2" t="n">
        <v>2</v>
      </c>
      <c r="G395" s="2" t="n">
        <v>23</v>
      </c>
      <c r="H395" s="2" t="inlineStr">
        <is>
          <t>LC/PC</t>
        </is>
      </c>
      <c r="I395" s="2" t="inlineStr">
        <is>
          <t>LC/PC</t>
        </is>
      </c>
      <c r="J395" s="2" t="n">
        <v>4</v>
      </c>
      <c r="K395" s="2" t="n"/>
      <c r="L395" s="2" t="n">
        <v>14</v>
      </c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>
        <f>SUM(J395:U395)*G395</f>
        <v/>
      </c>
      <c r="W395" s="2">
        <f>MAX(J395:U395)</f>
        <v/>
      </c>
      <c r="X395" s="2">
        <f>W395*G395</f>
        <v/>
      </c>
    </row>
    <row r="396">
      <c r="A396" s="2" t="inlineStr">
        <is>
          <t>14-K-626</t>
        </is>
      </c>
      <c r="B396" s="3" t="inlineStr">
        <is>
          <t>OJC-A1-LC/LC-MM(OM3)-24-PC/PC-DP</t>
        </is>
      </c>
      <c r="C396" s="2" t="inlineStr"/>
      <c r="D396" s="2" t="inlineStr">
        <is>
          <t>om3</t>
        </is>
      </c>
      <c r="E396" s="2" t="inlineStr">
        <is>
          <t>2.0mm</t>
        </is>
      </c>
      <c r="F396" s="2" t="n">
        <v>2</v>
      </c>
      <c r="G396" s="2" t="n">
        <v>24</v>
      </c>
      <c r="H396" s="2" t="inlineStr">
        <is>
          <t>LC/PC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>
        <v>23</v>
      </c>
      <c r="U396" s="2" t="n"/>
      <c r="V396" s="2">
        <f>SUM(J396:U396)*G396</f>
        <v/>
      </c>
      <c r="W396" s="2">
        <f>MAX(J396:U396)</f>
        <v/>
      </c>
      <c r="X396" s="2">
        <f>W396*G396</f>
        <v/>
      </c>
    </row>
    <row r="397">
      <c r="A397" s="2" t="inlineStr">
        <is>
          <t>14-K-634</t>
        </is>
      </c>
      <c r="B397" s="3" t="inlineStr">
        <is>
          <t>OJC-C2-SC/LC-SM-30-PC/PC-16C</t>
        </is>
      </c>
      <c r="C397" s="2" t="inlineStr">
        <is>
          <t>K9094341</t>
        </is>
      </c>
      <c r="D397" s="2" t="inlineStr">
        <is>
          <t>a1-16c</t>
        </is>
      </c>
      <c r="E397" s="2" t="inlineStr">
        <is>
          <t>2.0mm</t>
        </is>
      </c>
      <c r="F397" s="2" t="n">
        <v>16</v>
      </c>
      <c r="G397" s="2" t="n">
        <v>30</v>
      </c>
      <c r="H397" s="2" t="inlineStr">
        <is>
          <t>SC/PC</t>
        </is>
      </c>
      <c r="I397" s="2" t="inlineStr">
        <is>
          <t>LC/PC</t>
        </is>
      </c>
      <c r="J397" s="2" t="n"/>
      <c r="K397" s="2" t="n"/>
      <c r="L397" s="2" t="n"/>
      <c r="M397" s="2" t="n"/>
      <c r="N397" s="2" t="n"/>
      <c r="O397" s="2" t="n">
        <v>3</v>
      </c>
      <c r="P397" s="2" t="n"/>
      <c r="Q397" s="2" t="n"/>
      <c r="R397" s="2" t="n"/>
      <c r="S397" s="2" t="n"/>
      <c r="T397" s="2" t="n"/>
      <c r="U397" s="2" t="n"/>
      <c r="V397" s="2">
        <f>SUM(J397:U397)*G397</f>
        <v/>
      </c>
      <c r="W397" s="2">
        <f>MAX(J397:U397)</f>
        <v/>
      </c>
      <c r="X397" s="2">
        <f>W397*G397</f>
        <v/>
      </c>
    </row>
    <row r="398">
      <c r="A398" s="2" t="inlineStr">
        <is>
          <t>14-K-640</t>
        </is>
      </c>
      <c r="B398" s="3" t="inlineStr">
        <is>
          <t>OJC-A1-LC/LC-MM-7-PC/PC-DP</t>
        </is>
      </c>
      <c r="C398" s="2" t="inlineStr"/>
      <c r="D398" s="2" t="inlineStr">
        <is>
          <t>om1</t>
        </is>
      </c>
      <c r="E398" s="2" t="inlineStr">
        <is>
          <t>2.0mm</t>
        </is>
      </c>
      <c r="F398" s="2" t="n">
        <v>2</v>
      </c>
      <c r="G398" s="2" t="n">
        <v>7</v>
      </c>
      <c r="H398" s="2" t="inlineStr">
        <is>
          <t>LC/PC</t>
        </is>
      </c>
      <c r="I398" s="2" t="inlineStr">
        <is>
          <t>LC/PC</t>
        </is>
      </c>
      <c r="J398" s="2" t="n">
        <v>4</v>
      </c>
      <c r="K398" s="2" t="n"/>
      <c r="L398" s="2" t="n"/>
      <c r="M398" s="2" t="n"/>
      <c r="N398" s="2" t="n"/>
      <c r="O398" s="2" t="n"/>
      <c r="P398" s="2" t="n">
        <v>2</v>
      </c>
      <c r="Q398" s="2" t="n"/>
      <c r="R398" s="2" t="n"/>
      <c r="S398" s="2" t="n"/>
      <c r="T398" s="2" t="n"/>
      <c r="U398" s="2" t="n"/>
      <c r="V398" s="2">
        <f>SUM(J398:U398)*G398</f>
        <v/>
      </c>
      <c r="W398" s="2">
        <f>MAX(J398:U398)</f>
        <v/>
      </c>
      <c r="X398" s="2">
        <f>W398*G398</f>
        <v/>
      </c>
    </row>
    <row r="399">
      <c r="A399" s="2" t="inlineStr">
        <is>
          <t>14-K-651</t>
        </is>
      </c>
      <c r="B399" s="3" t="inlineStr">
        <is>
          <t>OJC-A1-SC/LC-SM-10-PC/PC-DP</t>
        </is>
      </c>
      <c r="C399" s="2" t="inlineStr">
        <is>
          <t>K9089162_청색</t>
        </is>
      </c>
      <c r="D399" s="2" t="inlineStr">
        <is>
          <t>a1-청</t>
        </is>
      </c>
      <c r="E399" s="2" t="inlineStr">
        <is>
          <t>2.0mm</t>
        </is>
      </c>
      <c r="F399" s="2" t="n">
        <v>2</v>
      </c>
      <c r="G399" s="2" t="n">
        <v>10</v>
      </c>
      <c r="H399" s="2" t="inlineStr">
        <is>
          <t>SC/PC</t>
        </is>
      </c>
      <c r="I399" s="2" t="inlineStr">
        <is>
          <t>LC/PC</t>
        </is>
      </c>
      <c r="J399" s="2" t="n"/>
      <c r="K399" s="2" t="n">
        <v>60</v>
      </c>
      <c r="L399" s="2" t="n"/>
      <c r="M399" s="2" t="n"/>
      <c r="N399" s="2" t="n">
        <v>50</v>
      </c>
      <c r="O399" s="2" t="n"/>
      <c r="P399" s="2" t="n"/>
      <c r="Q399" s="2" t="n"/>
      <c r="R399" s="2" t="n"/>
      <c r="S399" s="2" t="n"/>
      <c r="T399" s="2" t="n"/>
      <c r="U399" s="2" t="n"/>
      <c r="V399" s="2">
        <f>SUM(J399:U399)*G399</f>
        <v/>
      </c>
      <c r="W399" s="2">
        <f>MAX(J399:U399)</f>
        <v/>
      </c>
      <c r="X399" s="2">
        <f>W399*G399</f>
        <v/>
      </c>
    </row>
    <row r="400">
      <c r="A400" s="2" t="inlineStr">
        <is>
          <t>14-K-652</t>
        </is>
      </c>
      <c r="B400" s="3" t="inlineStr">
        <is>
          <t>OJC-A1-SC/LC-SM-15-PC/PC-DP</t>
        </is>
      </c>
      <c r="C400" s="2" t="inlineStr">
        <is>
          <t>K9089163_청색</t>
        </is>
      </c>
      <c r="D400" s="2" t="inlineStr">
        <is>
          <t>a1-청</t>
        </is>
      </c>
      <c r="E400" s="2" t="inlineStr">
        <is>
          <t>2.0mm</t>
        </is>
      </c>
      <c r="F400" s="2" t="n">
        <v>2</v>
      </c>
      <c r="G400" s="2" t="n">
        <v>15</v>
      </c>
      <c r="H400" s="2" t="inlineStr">
        <is>
          <t>SC/PC</t>
        </is>
      </c>
      <c r="I400" s="2" t="inlineStr">
        <is>
          <t>LC/PC</t>
        </is>
      </c>
      <c r="J400" s="2" t="n"/>
      <c r="K400" s="2" t="n"/>
      <c r="L400" s="2" t="n"/>
      <c r="M400" s="2" t="n"/>
      <c r="N400" s="2" t="n">
        <v>50</v>
      </c>
      <c r="O400" s="2" t="n"/>
      <c r="P400" s="2" t="n"/>
      <c r="Q400" s="2" t="n"/>
      <c r="R400" s="2" t="n"/>
      <c r="S400" s="2" t="n">
        <v>100</v>
      </c>
      <c r="T400" s="2" t="n"/>
      <c r="U400" s="2" t="n"/>
      <c r="V400" s="2">
        <f>SUM(J400:U400)*G400</f>
        <v/>
      </c>
      <c r="W400" s="2">
        <f>MAX(J400:U400)</f>
        <v/>
      </c>
      <c r="X400" s="2">
        <f>W400*G400</f>
        <v/>
      </c>
    </row>
    <row r="401">
      <c r="A401" s="2" t="inlineStr">
        <is>
          <t>14-K-653</t>
        </is>
      </c>
      <c r="B401" s="3" t="inlineStr">
        <is>
          <t>OJC-A1-SC/LC-SM-20-PC/PC-DP</t>
        </is>
      </c>
      <c r="C401" s="2" t="inlineStr">
        <is>
          <t>K9089164_청색</t>
        </is>
      </c>
      <c r="D401" s="2" t="inlineStr">
        <is>
          <t>a1-청</t>
        </is>
      </c>
      <c r="E401" s="2" t="inlineStr">
        <is>
          <t>2.0mm</t>
        </is>
      </c>
      <c r="F401" s="2" t="n">
        <v>2</v>
      </c>
      <c r="G401" s="2" t="n">
        <v>20</v>
      </c>
      <c r="H401" s="2" t="inlineStr">
        <is>
          <t>SC/PC</t>
        </is>
      </c>
      <c r="I401" s="2" t="inlineStr">
        <is>
          <t>LC/PC</t>
        </is>
      </c>
      <c r="J401" s="2" t="n"/>
      <c r="K401" s="2" t="n">
        <v>60</v>
      </c>
      <c r="L401" s="2" t="n"/>
      <c r="M401" s="2" t="n"/>
      <c r="N401" s="2" t="n">
        <v>50</v>
      </c>
      <c r="O401" s="2" t="n"/>
      <c r="P401" s="2" t="n"/>
      <c r="Q401" s="2" t="n"/>
      <c r="R401" s="2" t="n"/>
      <c r="S401" s="2" t="n"/>
      <c r="T401" s="2" t="n"/>
      <c r="U401" s="2" t="n"/>
      <c r="V401" s="2">
        <f>SUM(J401:U401)*G401</f>
        <v/>
      </c>
      <c r="W401" s="2">
        <f>MAX(J401:U401)</f>
        <v/>
      </c>
      <c r="X401" s="2">
        <f>W401*G401</f>
        <v/>
      </c>
    </row>
    <row r="402">
      <c r="A402" s="2" t="inlineStr">
        <is>
          <t>14-K-654</t>
        </is>
      </c>
      <c r="B402" s="3" t="inlineStr">
        <is>
          <t>OJC-A1-SC/LC-SM-25-PC/PC-DP</t>
        </is>
      </c>
      <c r="C402" s="2" t="inlineStr">
        <is>
          <t>K9089165_청색</t>
        </is>
      </c>
      <c r="D402" s="2" t="inlineStr">
        <is>
          <t>a1-청</t>
        </is>
      </c>
      <c r="E402" s="2" t="inlineStr">
        <is>
          <t>2.0mm</t>
        </is>
      </c>
      <c r="F402" s="2" t="n">
        <v>2</v>
      </c>
      <c r="G402" s="2" t="n">
        <v>25</v>
      </c>
      <c r="H402" s="2" t="inlineStr">
        <is>
          <t>SC/PC</t>
        </is>
      </c>
      <c r="I402" s="2" t="inlineStr">
        <is>
          <t>LC/PC</t>
        </is>
      </c>
      <c r="J402" s="2" t="n"/>
      <c r="K402" s="2" t="n">
        <v>60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>
        <f>SUM(J402:U402)*G402</f>
        <v/>
      </c>
      <c r="W402" s="2">
        <f>MAX(J402:U402)</f>
        <v/>
      </c>
      <c r="X402" s="2">
        <f>W402*G402</f>
        <v/>
      </c>
    </row>
    <row r="403">
      <c r="A403" s="2" t="inlineStr">
        <is>
          <t>14-K-655</t>
        </is>
      </c>
      <c r="B403" s="3" t="inlineStr">
        <is>
          <t>OJC-A1-SC/LC-SM-30-PC/PC-DP</t>
        </is>
      </c>
      <c r="C403" s="2" t="inlineStr">
        <is>
          <t>K9089166_청색</t>
        </is>
      </c>
      <c r="D403" s="2" t="inlineStr">
        <is>
          <t>a1-청</t>
        </is>
      </c>
      <c r="E403" s="2" t="inlineStr">
        <is>
          <t>2.0mm</t>
        </is>
      </c>
      <c r="F403" s="2" t="n">
        <v>2</v>
      </c>
      <c r="G403" s="2" t="n">
        <v>30</v>
      </c>
      <c r="H403" s="2" t="inlineStr">
        <is>
          <t>SC/PC</t>
        </is>
      </c>
      <c r="I403" s="2" t="inlineStr">
        <is>
          <t>LC/PC</t>
        </is>
      </c>
      <c r="J403" s="2" t="n"/>
      <c r="K403" s="2" t="n">
        <v>40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>
        <f>SUM(J403:U403)*G403</f>
        <v/>
      </c>
      <c r="W403" s="2">
        <f>MAX(J403:U403)</f>
        <v/>
      </c>
      <c r="X403" s="2">
        <f>W403*G403</f>
        <v/>
      </c>
    </row>
    <row r="404">
      <c r="A404" s="2" t="inlineStr">
        <is>
          <t>14-K-658</t>
        </is>
      </c>
      <c r="B404" s="3" t="inlineStr">
        <is>
          <t>OJC-A1-LC/LC-MM-12-PC/PC-DP</t>
        </is>
      </c>
      <c r="C404" s="2" t="inlineStr"/>
      <c r="D404" s="2" t="inlineStr">
        <is>
          <t>om1</t>
        </is>
      </c>
      <c r="E404" s="2" t="inlineStr">
        <is>
          <t>2.0mm</t>
        </is>
      </c>
      <c r="F404" s="2" t="n">
        <v>2</v>
      </c>
      <c r="G404" s="2" t="n">
        <v>12</v>
      </c>
      <c r="H404" s="2" t="inlineStr">
        <is>
          <t>LC/PC</t>
        </is>
      </c>
      <c r="I404" s="2" t="inlineStr">
        <is>
          <t>LC/PC</t>
        </is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>
        <v>10</v>
      </c>
      <c r="S404" s="2" t="n"/>
      <c r="T404" s="2" t="n"/>
      <c r="U404" s="2" t="n"/>
      <c r="V404" s="2">
        <f>SUM(J404:U404)*G404</f>
        <v/>
      </c>
      <c r="W404" s="2">
        <f>MAX(J404:U404)</f>
        <v/>
      </c>
      <c r="X404" s="2">
        <f>W404*G404</f>
        <v/>
      </c>
    </row>
    <row r="405">
      <c r="A405" s="2" t="inlineStr">
        <is>
          <t>14-K-663</t>
        </is>
      </c>
      <c r="B405" s="3" t="inlineStr">
        <is>
          <t>OJC-A1-LC/LC-MM(OM3)-40-PC/PC-DP</t>
        </is>
      </c>
      <c r="C405" s="2" t="inlineStr"/>
      <c r="D405" s="2" t="inlineStr">
        <is>
          <t>om3</t>
        </is>
      </c>
      <c r="E405" s="2" t="inlineStr">
        <is>
          <t>2.0mm</t>
        </is>
      </c>
      <c r="F405" s="2" t="n">
        <v>2</v>
      </c>
      <c r="G405" s="2" t="n">
        <v>40</v>
      </c>
      <c r="H405" s="2" t="inlineStr">
        <is>
          <t>LC/PC</t>
        </is>
      </c>
      <c r="I405" s="2" t="inlineStr">
        <is>
          <t>LC/PC</t>
        </is>
      </c>
      <c r="J405" s="2" t="n"/>
      <c r="K405" s="2" t="n"/>
      <c r="L405" s="2" t="n">
        <v>7</v>
      </c>
      <c r="M405" s="2" t="n"/>
      <c r="N405" s="2" t="n">
        <v>4</v>
      </c>
      <c r="O405" s="2" t="n">
        <v>2</v>
      </c>
      <c r="P405" s="2" t="n"/>
      <c r="Q405" s="2" t="n"/>
      <c r="R405" s="2" t="n"/>
      <c r="S405" s="2" t="n"/>
      <c r="T405" s="2" t="n"/>
      <c r="U405" s="2" t="n"/>
      <c r="V405" s="2">
        <f>SUM(J405:U405)*G405</f>
        <v/>
      </c>
      <c r="W405" s="2">
        <f>MAX(J405:U405)</f>
        <v/>
      </c>
      <c r="X405" s="2">
        <f>W405*G405</f>
        <v/>
      </c>
    </row>
    <row r="406">
      <c r="A406" s="2" t="inlineStr">
        <is>
          <t>14-K-667</t>
        </is>
      </c>
      <c r="B406" s="3" t="inlineStr">
        <is>
          <t>OJC-A1-SC/SC-SM-20-PC/PC-DP</t>
        </is>
      </c>
      <c r="C406" s="2" t="inlineStr">
        <is>
          <t>K9089142_녹색</t>
        </is>
      </c>
      <c r="D406" s="2" t="inlineStr">
        <is>
          <t>a1-녹</t>
        </is>
      </c>
      <c r="E406" s="2" t="inlineStr">
        <is>
          <t>2.0mm</t>
        </is>
      </c>
      <c r="F406" s="2" t="n">
        <v>2</v>
      </c>
      <c r="G406" s="2" t="n">
        <v>20</v>
      </c>
      <c r="H406" s="2" t="inlineStr">
        <is>
          <t>SC/PC</t>
        </is>
      </c>
      <c r="I406" s="2" t="inlineStr">
        <is>
          <t>SC/PC</t>
        </is>
      </c>
      <c r="J406" s="2" t="n"/>
      <c r="K406" s="2" t="n"/>
      <c r="L406" s="2" t="n"/>
      <c r="M406" s="2" t="n"/>
      <c r="N406" s="2" t="n">
        <v>50</v>
      </c>
      <c r="O406" s="2" t="n"/>
      <c r="P406" s="2" t="n">
        <v>105</v>
      </c>
      <c r="Q406" s="2" t="n"/>
      <c r="R406" s="2" t="n"/>
      <c r="S406" s="2" t="n">
        <v>30</v>
      </c>
      <c r="T406" s="2" t="n">
        <v>120</v>
      </c>
      <c r="U406" s="2" t="n">
        <v>6</v>
      </c>
      <c r="V406" s="2">
        <f>SUM(J406:U406)*G406</f>
        <v/>
      </c>
      <c r="W406" s="2">
        <f>MAX(J406:U406)</f>
        <v/>
      </c>
      <c r="X406" s="2">
        <f>W406*G406</f>
        <v/>
      </c>
    </row>
    <row r="407">
      <c r="A407" s="2" t="inlineStr">
        <is>
          <t>14-K-668</t>
        </is>
      </c>
      <c r="B407" s="3" t="inlineStr">
        <is>
          <t>OJC-A1-SC/SC-SM-25-PC/PC-DP</t>
        </is>
      </c>
      <c r="C407" s="2" t="inlineStr">
        <is>
          <t>K9089147_녹색</t>
        </is>
      </c>
      <c r="D407" s="2" t="inlineStr">
        <is>
          <t>a1-녹</t>
        </is>
      </c>
      <c r="E407" s="2" t="inlineStr">
        <is>
          <t>2.0mm</t>
        </is>
      </c>
      <c r="F407" s="2" t="n">
        <v>2</v>
      </c>
      <c r="G407" s="2" t="n">
        <v>25</v>
      </c>
      <c r="H407" s="2" t="inlineStr">
        <is>
          <t>SC/PC</t>
        </is>
      </c>
      <c r="I407" s="2" t="inlineStr">
        <is>
          <t>SC/PC</t>
        </is>
      </c>
      <c r="J407" s="2" t="n"/>
      <c r="K407" s="2" t="n"/>
      <c r="L407" s="2" t="n"/>
      <c r="M407" s="2" t="n"/>
      <c r="N407" s="2" t="n">
        <v>50</v>
      </c>
      <c r="O407" s="2" t="n">
        <v>100</v>
      </c>
      <c r="P407" s="2" t="n">
        <v>119</v>
      </c>
      <c r="Q407" s="2" t="n">
        <v>100</v>
      </c>
      <c r="R407" s="2" t="n"/>
      <c r="S407" s="2" t="n"/>
      <c r="T407" s="2" t="n">
        <v>20</v>
      </c>
      <c r="U407" s="2" t="n">
        <v>200</v>
      </c>
      <c r="V407" s="2">
        <f>SUM(J407:U407)*G407</f>
        <v/>
      </c>
      <c r="W407" s="2">
        <f>MAX(J407:U407)</f>
        <v/>
      </c>
      <c r="X407" s="2">
        <f>W407*G407</f>
        <v/>
      </c>
    </row>
    <row r="408">
      <c r="A408" s="2" t="inlineStr">
        <is>
          <t>14-K-669</t>
        </is>
      </c>
      <c r="B408" s="3" t="inlineStr">
        <is>
          <t>OJC-A1-SC/SC-SM-10-PC/PC-DP</t>
        </is>
      </c>
      <c r="C408" s="2" t="inlineStr">
        <is>
          <t>K9089132_녹색</t>
        </is>
      </c>
      <c r="D408" s="2" t="inlineStr">
        <is>
          <t>a1-녹</t>
        </is>
      </c>
      <c r="E408" s="2" t="inlineStr">
        <is>
          <t>2.0mm</t>
        </is>
      </c>
      <c r="F408" s="2" t="n">
        <v>2</v>
      </c>
      <c r="G408" s="2" t="n">
        <v>10</v>
      </c>
      <c r="H408" s="2" t="inlineStr">
        <is>
          <t>SC/PC</t>
        </is>
      </c>
      <c r="I408" s="2" t="inlineStr">
        <is>
          <t>SC/PC</t>
        </is>
      </c>
      <c r="J408" s="2" t="n"/>
      <c r="K408" s="2" t="n"/>
      <c r="L408" s="2" t="n"/>
      <c r="M408" s="2" t="n"/>
      <c r="N408" s="2" t="n">
        <v>50</v>
      </c>
      <c r="O408" s="2" t="n"/>
      <c r="P408" s="2" t="n">
        <v>50</v>
      </c>
      <c r="Q408" s="2" t="n"/>
      <c r="R408" s="2" t="n"/>
      <c r="S408" s="2" t="n">
        <v>30</v>
      </c>
      <c r="T408" s="2" t="n">
        <v>150</v>
      </c>
      <c r="U408" s="2" t="n"/>
      <c r="V408" s="2">
        <f>SUM(J408:U408)*G408</f>
        <v/>
      </c>
      <c r="W408" s="2">
        <f>MAX(J408:U408)</f>
        <v/>
      </c>
      <c r="X408" s="2">
        <f>W408*G408</f>
        <v/>
      </c>
    </row>
    <row r="409">
      <c r="A409" s="2" t="inlineStr">
        <is>
          <t>14-K-670</t>
        </is>
      </c>
      <c r="B409" s="3" t="inlineStr">
        <is>
          <t>OJC-A1-SC/SC-SM-15-PC/PC-DP</t>
        </is>
      </c>
      <c r="C409" s="2" t="inlineStr">
        <is>
          <t>K9089137_녹색</t>
        </is>
      </c>
      <c r="D409" s="2" t="inlineStr">
        <is>
          <t>a1-녹</t>
        </is>
      </c>
      <c r="E409" s="2" t="inlineStr">
        <is>
          <t>2.0mm</t>
        </is>
      </c>
      <c r="F409" s="2" t="n">
        <v>2</v>
      </c>
      <c r="G409" s="2" t="n">
        <v>15</v>
      </c>
      <c r="H409" s="2" t="inlineStr">
        <is>
          <t>SC/PC</t>
        </is>
      </c>
      <c r="I409" s="2" t="inlineStr">
        <is>
          <t>SC/PC</t>
        </is>
      </c>
      <c r="J409" s="2" t="n"/>
      <c r="K409" s="2" t="n"/>
      <c r="L409" s="2" t="n"/>
      <c r="M409" s="2" t="n"/>
      <c r="N409" s="2" t="n">
        <v>50</v>
      </c>
      <c r="O409" s="2" t="n">
        <v>304</v>
      </c>
      <c r="P409" s="2" t="n">
        <v>120</v>
      </c>
      <c r="Q409" s="2" t="n"/>
      <c r="R409" s="2" t="n"/>
      <c r="S409" s="2" t="n">
        <v>20</v>
      </c>
      <c r="T409" s="2" t="n">
        <v>20</v>
      </c>
      <c r="U409" s="2" t="n">
        <v>300</v>
      </c>
      <c r="V409" s="2">
        <f>SUM(J409:U409)*G409</f>
        <v/>
      </c>
      <c r="W409" s="2">
        <f>MAX(J409:U409)</f>
        <v/>
      </c>
      <c r="X409" s="2">
        <f>W409*G409</f>
        <v/>
      </c>
    </row>
    <row r="410">
      <c r="A410" s="2" t="inlineStr">
        <is>
          <t>14-K-671</t>
        </is>
      </c>
      <c r="B410" s="3" t="inlineStr">
        <is>
          <t>OJC-A1-SC/SC-SM-20-PC/PC-SP</t>
        </is>
      </c>
      <c r="C410" s="2" t="inlineStr">
        <is>
          <t>K9089013_녹색</t>
        </is>
      </c>
      <c r="D410" s="2" t="inlineStr">
        <is>
          <t>a1-녹</t>
        </is>
      </c>
      <c r="E410" s="2" t="inlineStr">
        <is>
          <t>2.0mm</t>
        </is>
      </c>
      <c r="F410" s="2" t="n">
        <v>1</v>
      </c>
      <c r="G410" s="2" t="n">
        <v>20</v>
      </c>
      <c r="H410" s="2" t="inlineStr">
        <is>
          <t>SC/PC</t>
        </is>
      </c>
      <c r="I410" s="2" t="inlineStr">
        <is>
          <t>SC/PC</t>
        </is>
      </c>
      <c r="J410" s="2" t="n"/>
      <c r="K410" s="2" t="n"/>
      <c r="L410" s="2" t="n"/>
      <c r="M410" s="2" t="n"/>
      <c r="N410" s="2" t="n"/>
      <c r="O410" s="2" t="n"/>
      <c r="P410" s="2" t="n">
        <v>242</v>
      </c>
      <c r="Q410" s="2" t="n">
        <v>6</v>
      </c>
      <c r="R410" s="2" t="n">
        <v>56</v>
      </c>
      <c r="S410" s="2" t="n">
        <v>42</v>
      </c>
      <c r="T410" s="2" t="n">
        <v>104</v>
      </c>
      <c r="U410" s="2" t="n">
        <v>150</v>
      </c>
      <c r="V410" s="2">
        <f>SUM(J410:U410)*G410</f>
        <v/>
      </c>
      <c r="W410" s="2">
        <f>MAX(J410:U410)</f>
        <v/>
      </c>
      <c r="X410" s="2">
        <f>W410*G410</f>
        <v/>
      </c>
    </row>
    <row r="411">
      <c r="A411" s="2" t="inlineStr">
        <is>
          <t>14-K-672</t>
        </is>
      </c>
      <c r="B411" s="3" t="inlineStr">
        <is>
          <t>OJC-A1-SC/SC-SM-3-APC/APC-SP</t>
        </is>
      </c>
      <c r="C411" s="2" t="inlineStr">
        <is>
          <t>K9089111_적색</t>
        </is>
      </c>
      <c r="D411" s="2" t="inlineStr">
        <is>
          <t>a1-적</t>
        </is>
      </c>
      <c r="E411" s="2" t="inlineStr">
        <is>
          <t>2.0mm</t>
        </is>
      </c>
      <c r="F411" s="2" t="n">
        <v>1</v>
      </c>
      <c r="G411" s="2" t="n">
        <v>3</v>
      </c>
      <c r="H411" s="2" t="inlineStr">
        <is>
          <t>SC/APC</t>
        </is>
      </c>
      <c r="I411" s="2" t="inlineStr">
        <is>
          <t>SC/APC</t>
        </is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>
        <v>200</v>
      </c>
      <c r="V411" s="2">
        <f>SUM(J411:U411)*G411</f>
        <v/>
      </c>
      <c r="W411" s="2">
        <f>MAX(J411:U411)</f>
        <v/>
      </c>
      <c r="X411" s="2">
        <f>W411*G411</f>
        <v/>
      </c>
    </row>
    <row r="412">
      <c r="A412" s="2" t="inlineStr">
        <is>
          <t>14-K-673</t>
        </is>
      </c>
      <c r="B412" s="3" t="inlineStr">
        <is>
          <t>OJC-A1-SC/SC-SM-30-PC/PC-DP</t>
        </is>
      </c>
      <c r="C412" s="2" t="inlineStr">
        <is>
          <t>K9089152_녹색</t>
        </is>
      </c>
      <c r="D412" s="2" t="inlineStr">
        <is>
          <t>a1-녹</t>
        </is>
      </c>
      <c r="E412" s="2" t="inlineStr">
        <is>
          <t>2.0mm</t>
        </is>
      </c>
      <c r="F412" s="2" t="n">
        <v>2</v>
      </c>
      <c r="G412" s="2" t="n">
        <v>30</v>
      </c>
      <c r="H412" s="2" t="inlineStr">
        <is>
          <t>SC/PC</t>
        </is>
      </c>
      <c r="I412" s="2" t="inlineStr">
        <is>
          <t>SC/PC</t>
        </is>
      </c>
      <c r="J412" s="2" t="n"/>
      <c r="K412" s="2" t="n"/>
      <c r="L412" s="2" t="n"/>
      <c r="M412" s="2" t="n"/>
      <c r="N412" s="2" t="n"/>
      <c r="O412" s="2" t="n">
        <v>106</v>
      </c>
      <c r="P412" s="2" t="n"/>
      <c r="Q412" s="2" t="n"/>
      <c r="R412" s="2" t="n"/>
      <c r="S412" s="2" t="n"/>
      <c r="T412" s="2" t="n"/>
      <c r="U412" s="2" t="n"/>
      <c r="V412" s="2">
        <f>SUM(J412:U412)*G412</f>
        <v/>
      </c>
      <c r="W412" s="2">
        <f>MAX(J412:U412)</f>
        <v/>
      </c>
      <c r="X412" s="2">
        <f>W412*G412</f>
        <v/>
      </c>
    </row>
    <row r="413">
      <c r="A413" s="2" t="inlineStr">
        <is>
          <t>14-K-678</t>
        </is>
      </c>
      <c r="B413" s="3" t="inlineStr">
        <is>
          <t>OJC-A1-SC/SC-SM-35-PC/PC-DP</t>
        </is>
      </c>
      <c r="C413" s="2" t="inlineStr">
        <is>
          <t>K9089153_녹색</t>
        </is>
      </c>
      <c r="D413" s="2" t="inlineStr">
        <is>
          <t>a1-녹</t>
        </is>
      </c>
      <c r="E413" s="2" t="inlineStr">
        <is>
          <t>2.0mm</t>
        </is>
      </c>
      <c r="F413" s="2" t="n">
        <v>2</v>
      </c>
      <c r="G413" s="2" t="n">
        <v>35</v>
      </c>
      <c r="H413" s="2" t="inlineStr">
        <is>
          <t>SC/PC</t>
        </is>
      </c>
      <c r="I413" s="2" t="inlineStr">
        <is>
          <t>SC/PC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>
        <v>200</v>
      </c>
      <c r="R413" s="2" t="n"/>
      <c r="S413" s="2" t="n"/>
      <c r="T413" s="2" t="n"/>
      <c r="U413" s="2" t="n"/>
      <c r="V413" s="2">
        <f>SUM(J413:U413)*G413</f>
        <v/>
      </c>
      <c r="W413" s="2">
        <f>MAX(J413:U413)</f>
        <v/>
      </c>
      <c r="X413" s="2">
        <f>W413*G413</f>
        <v/>
      </c>
    </row>
    <row r="414">
      <c r="A414" s="2" t="inlineStr">
        <is>
          <t>14-K-682</t>
        </is>
      </c>
      <c r="B414" s="3" t="inlineStr">
        <is>
          <t>OJC-A1-SC/SC-SM-25-PC/PC-DP</t>
        </is>
      </c>
      <c r="C414" s="2" t="inlineStr">
        <is>
          <t>K9089147_적색</t>
        </is>
      </c>
      <c r="D414" s="2" t="inlineStr">
        <is>
          <t>a1-적</t>
        </is>
      </c>
      <c r="E414" s="2" t="inlineStr">
        <is>
          <t>2.0mm</t>
        </is>
      </c>
      <c r="F414" s="2" t="n">
        <v>2</v>
      </c>
      <c r="G414" s="2" t="n">
        <v>25</v>
      </c>
      <c r="H414" s="2" t="inlineStr">
        <is>
          <t>SC/PC</t>
        </is>
      </c>
      <c r="I414" s="2" t="inlineStr">
        <is>
          <t>SC/PC</t>
        </is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>
        <v>30</v>
      </c>
      <c r="T414" s="2" t="n"/>
      <c r="U414" s="2" t="n">
        <v>100</v>
      </c>
      <c r="V414" s="2">
        <f>SUM(J414:U414)*G414</f>
        <v/>
      </c>
      <c r="W414" s="2">
        <f>MAX(J414:U414)</f>
        <v/>
      </c>
      <c r="X414" s="2">
        <f>W414*G414</f>
        <v/>
      </c>
    </row>
    <row r="415">
      <c r="A415" s="2" t="inlineStr">
        <is>
          <t>14-K-685</t>
        </is>
      </c>
      <c r="B415" s="3" t="inlineStr">
        <is>
          <t>OJC-A1-SC/SC-SM-5-PC/PC-DP</t>
        </is>
      </c>
      <c r="C415" s="2" t="inlineStr">
        <is>
          <t>K9089127_녹색</t>
        </is>
      </c>
      <c r="D415" s="2" t="inlineStr">
        <is>
          <t>a1-녹</t>
        </is>
      </c>
      <c r="E415" s="2" t="inlineStr">
        <is>
          <t>2.0mm</t>
        </is>
      </c>
      <c r="F415" s="2" t="n">
        <v>2</v>
      </c>
      <c r="G415" s="2" t="n">
        <v>5</v>
      </c>
      <c r="H415" s="2" t="inlineStr">
        <is>
          <t>SC/PC</t>
        </is>
      </c>
      <c r="I415" s="2" t="inlineStr">
        <is>
          <t>SC/PC</t>
        </is>
      </c>
      <c r="J415" s="2" t="n"/>
      <c r="K415" s="2" t="n"/>
      <c r="L415" s="2" t="n"/>
      <c r="M415" s="2" t="n"/>
      <c r="N415" s="2" t="n"/>
      <c r="O415" s="2" t="n">
        <v>300</v>
      </c>
      <c r="P415" s="2" t="n"/>
      <c r="Q415" s="2" t="n"/>
      <c r="R415" s="2" t="n"/>
      <c r="S415" s="2" t="n"/>
      <c r="T415" s="2" t="n"/>
      <c r="U415" s="2" t="n"/>
      <c r="V415" s="2">
        <f>SUM(J415:U415)*G415</f>
        <v/>
      </c>
      <c r="W415" s="2">
        <f>MAX(J415:U415)</f>
        <v/>
      </c>
      <c r="X415" s="2">
        <f>W415*G415</f>
        <v/>
      </c>
    </row>
    <row r="416">
      <c r="A416" s="2" t="inlineStr">
        <is>
          <t>14-K-704</t>
        </is>
      </c>
      <c r="B416" s="3" t="inlineStr">
        <is>
          <t>OJC-A1-SC/SC-SM-10-PC/PC-SP</t>
        </is>
      </c>
      <c r="C416" s="2" t="inlineStr">
        <is>
          <t>K9089003_녹색</t>
        </is>
      </c>
      <c r="D416" s="2" t="inlineStr">
        <is>
          <t>a1-녹</t>
        </is>
      </c>
      <c r="E416" s="2" t="inlineStr">
        <is>
          <t>2.0mm</t>
        </is>
      </c>
      <c r="F416" s="2" t="n">
        <v>1</v>
      </c>
      <c r="G416" s="2" t="n">
        <v>10</v>
      </c>
      <c r="H416" s="2" t="inlineStr">
        <is>
          <t>SC/PC</t>
        </is>
      </c>
      <c r="I416" s="2" t="inlineStr">
        <is>
          <t>SC/PC</t>
        </is>
      </c>
      <c r="J416" s="2" t="n"/>
      <c r="K416" s="2" t="n"/>
      <c r="L416" s="2" t="n"/>
      <c r="M416" s="2" t="n"/>
      <c r="N416" s="2" t="n"/>
      <c r="O416" s="2" t="n">
        <v>10</v>
      </c>
      <c r="P416" s="2" t="n">
        <v>100</v>
      </c>
      <c r="Q416" s="2" t="n">
        <v>50</v>
      </c>
      <c r="R416" s="2" t="n">
        <v>31</v>
      </c>
      <c r="S416" s="2" t="n">
        <v>192</v>
      </c>
      <c r="T416" s="2" t="n"/>
      <c r="U416" s="2" t="n">
        <v>2</v>
      </c>
      <c r="V416" s="2">
        <f>SUM(J416:U416)*G416</f>
        <v/>
      </c>
      <c r="W416" s="2">
        <f>MAX(J416:U416)</f>
        <v/>
      </c>
      <c r="X416" s="2">
        <f>W416*G416</f>
        <v/>
      </c>
    </row>
    <row r="417">
      <c r="A417" s="2" t="inlineStr">
        <is>
          <t>14-K-705</t>
        </is>
      </c>
      <c r="B417" s="3" t="inlineStr">
        <is>
          <t>OJC-A1-SC/SC-SM-15-PC/PC-SP</t>
        </is>
      </c>
      <c r="C417" s="2" t="inlineStr">
        <is>
          <t>K9089008_녹색</t>
        </is>
      </c>
      <c r="D417" s="2" t="inlineStr">
        <is>
          <t>a1-녹</t>
        </is>
      </c>
      <c r="E417" s="2" t="inlineStr">
        <is>
          <t>2.0mm</t>
        </is>
      </c>
      <c r="F417" s="2" t="n">
        <v>1</v>
      </c>
      <c r="G417" s="2" t="n">
        <v>15</v>
      </c>
      <c r="H417" s="2" t="inlineStr">
        <is>
          <t>SC/PC</t>
        </is>
      </c>
      <c r="I417" s="2" t="inlineStr">
        <is>
          <t>SC/PC</t>
        </is>
      </c>
      <c r="J417" s="2" t="n"/>
      <c r="K417" s="2" t="n"/>
      <c r="L417" s="2" t="n"/>
      <c r="M417" s="2" t="n"/>
      <c r="N417" s="2" t="n"/>
      <c r="O417" s="2" t="n"/>
      <c r="P417" s="2" t="n">
        <v>250</v>
      </c>
      <c r="Q417" s="2" t="n"/>
      <c r="R417" s="2" t="n">
        <v>8</v>
      </c>
      <c r="S417" s="2" t="n"/>
      <c r="T417" s="2" t="n"/>
      <c r="U417" s="2" t="n"/>
      <c r="V417" s="2">
        <f>SUM(J417:U417)*G417</f>
        <v/>
      </c>
      <c r="W417" s="2">
        <f>MAX(J417:U417)</f>
        <v/>
      </c>
      <c r="X417" s="2">
        <f>W417*G417</f>
        <v/>
      </c>
    </row>
    <row r="418">
      <c r="A418" s="2" t="inlineStr">
        <is>
          <t>14-K-707</t>
        </is>
      </c>
      <c r="B418" s="3" t="inlineStr">
        <is>
          <t>OJC-A1-SC/LC-SM-45-PC/PC-DP</t>
        </is>
      </c>
      <c r="C418" s="2" t="inlineStr">
        <is>
          <t>K9089169_청색</t>
        </is>
      </c>
      <c r="D418" s="2" t="inlineStr">
        <is>
          <t>a1-청</t>
        </is>
      </c>
      <c r="E418" s="2" t="inlineStr">
        <is>
          <t>2.0mm</t>
        </is>
      </c>
      <c r="F418" s="2" t="n">
        <v>2</v>
      </c>
      <c r="G418" s="2" t="n">
        <v>45</v>
      </c>
      <c r="H418" s="2" t="inlineStr">
        <is>
          <t>SC/PC</t>
        </is>
      </c>
      <c r="I418" s="2" t="inlineStr">
        <is>
          <t>LC/PC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>
        <v>10</v>
      </c>
      <c r="T418" s="2" t="n"/>
      <c r="U418" s="2" t="n"/>
      <c r="V418" s="2">
        <f>SUM(J418:U418)*G418</f>
        <v/>
      </c>
      <c r="W418" s="2">
        <f>MAX(J418:U418)</f>
        <v/>
      </c>
      <c r="X418" s="2">
        <f>W418*G418</f>
        <v/>
      </c>
    </row>
    <row r="419">
      <c r="A419" s="2" t="inlineStr">
        <is>
          <t>14-K-708</t>
        </is>
      </c>
      <c r="B419" s="3" t="inlineStr">
        <is>
          <t>OJC-A1-SC/SC-SM-10-PC/PC-DP</t>
        </is>
      </c>
      <c r="C419" s="2" t="inlineStr">
        <is>
          <t>K9089132_청색</t>
        </is>
      </c>
      <c r="D419" s="2" t="inlineStr">
        <is>
          <t>a1-청</t>
        </is>
      </c>
      <c r="E419" s="2" t="inlineStr">
        <is>
          <t>2.0mm</t>
        </is>
      </c>
      <c r="F419" s="2" t="n">
        <v>2</v>
      </c>
      <c r="G419" s="2" t="n">
        <v>10</v>
      </c>
      <c r="H419" s="2" t="inlineStr">
        <is>
          <t>SC/PC</t>
        </is>
      </c>
      <c r="I419" s="2" t="inlineStr">
        <is>
          <t>SC/PC</t>
        </is>
      </c>
      <c r="J419" s="2" t="n"/>
      <c r="K419" s="2" t="n">
        <v>60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>
        <f>SUM(J419:U419)*G419</f>
        <v/>
      </c>
      <c r="W419" s="2">
        <f>MAX(J419:U419)</f>
        <v/>
      </c>
      <c r="X419" s="2">
        <f>W419*G419</f>
        <v/>
      </c>
    </row>
    <row r="420">
      <c r="A420" s="2" t="inlineStr">
        <is>
          <t>14-K-709</t>
        </is>
      </c>
      <c r="B420" s="3" t="inlineStr">
        <is>
          <t>OJC-A1-SC/SC-SM-15-PC/PC-DP</t>
        </is>
      </c>
      <c r="C420" s="2" t="inlineStr">
        <is>
          <t>K9089137_청색</t>
        </is>
      </c>
      <c r="D420" s="2" t="inlineStr">
        <is>
          <t>a1-청</t>
        </is>
      </c>
      <c r="E420" s="2" t="inlineStr">
        <is>
          <t>2.0mm</t>
        </is>
      </c>
      <c r="F420" s="2" t="n">
        <v>2</v>
      </c>
      <c r="G420" s="2" t="n">
        <v>15</v>
      </c>
      <c r="H420" s="2" t="inlineStr">
        <is>
          <t>SC/PC</t>
        </is>
      </c>
      <c r="I420" s="2" t="inlineStr">
        <is>
          <t>SC/PC</t>
        </is>
      </c>
      <c r="J420" s="2" t="n"/>
      <c r="K420" s="2" t="n">
        <v>70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>
        <f>SUM(J420:U420)*G420</f>
        <v/>
      </c>
      <c r="W420" s="2">
        <f>MAX(J420:U420)</f>
        <v/>
      </c>
      <c r="X420" s="2">
        <f>W420*G420</f>
        <v/>
      </c>
    </row>
    <row r="421">
      <c r="A421" s="2" t="inlineStr">
        <is>
          <t>14-K-710</t>
        </is>
      </c>
      <c r="B421" s="3" t="inlineStr">
        <is>
          <t>OJC-A1-SC/SC-SM-20-PC/PC-DP</t>
        </is>
      </c>
      <c r="C421" s="2" t="inlineStr">
        <is>
          <t>K9089142_청색</t>
        </is>
      </c>
      <c r="D421" s="2" t="inlineStr">
        <is>
          <t>a1-청</t>
        </is>
      </c>
      <c r="E421" s="2" t="inlineStr">
        <is>
          <t>2.0mm</t>
        </is>
      </c>
      <c r="F421" s="2" t="n">
        <v>2</v>
      </c>
      <c r="G421" s="2" t="n">
        <v>20</v>
      </c>
      <c r="H421" s="2" t="inlineStr">
        <is>
          <t>SC/PC</t>
        </is>
      </c>
      <c r="I421" s="2" t="inlineStr">
        <is>
          <t>SC/PC</t>
        </is>
      </c>
      <c r="J421" s="2" t="n"/>
      <c r="K421" s="2" t="n">
        <v>60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>
        <f>SUM(J421:U421)*G421</f>
        <v/>
      </c>
      <c r="W421" s="2">
        <f>MAX(J421:U421)</f>
        <v/>
      </c>
      <c r="X421" s="2">
        <f>W421*G421</f>
        <v/>
      </c>
    </row>
    <row r="422">
      <c r="A422" s="2" t="inlineStr">
        <is>
          <t>14-K-711</t>
        </is>
      </c>
      <c r="B422" s="3" t="inlineStr">
        <is>
          <t>OJC-A1-SC/SC-SM-25-PC/PC-DP</t>
        </is>
      </c>
      <c r="C422" s="2" t="inlineStr">
        <is>
          <t>K9089147_청색</t>
        </is>
      </c>
      <c r="D422" s="2" t="inlineStr">
        <is>
          <t>a1-청</t>
        </is>
      </c>
      <c r="E422" s="2" t="inlineStr">
        <is>
          <t>2.0mm</t>
        </is>
      </c>
      <c r="F422" s="2" t="n">
        <v>2</v>
      </c>
      <c r="G422" s="2" t="n">
        <v>25</v>
      </c>
      <c r="H422" s="2" t="inlineStr">
        <is>
          <t>SC/PC</t>
        </is>
      </c>
      <c r="I422" s="2" t="inlineStr">
        <is>
          <t>SC/PC</t>
        </is>
      </c>
      <c r="J422" s="2" t="n"/>
      <c r="K422" s="2" t="n">
        <v>60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>
        <f>SUM(J422:U422)*G422</f>
        <v/>
      </c>
      <c r="W422" s="2">
        <f>MAX(J422:U422)</f>
        <v/>
      </c>
      <c r="X422" s="2">
        <f>W422*G422</f>
        <v/>
      </c>
    </row>
    <row r="423">
      <c r="A423" s="2" t="inlineStr">
        <is>
          <t>14-K-713</t>
        </is>
      </c>
      <c r="B423" s="3" t="inlineStr">
        <is>
          <t>OJC-A1-SC/SC-SM-30-PC/PC-DP</t>
        </is>
      </c>
      <c r="C423" s="2" t="inlineStr">
        <is>
          <t>K9089152_적색</t>
        </is>
      </c>
      <c r="D423" s="2" t="inlineStr">
        <is>
          <t>a1-적</t>
        </is>
      </c>
      <c r="E423" s="2" t="inlineStr">
        <is>
          <t>2.0mm</t>
        </is>
      </c>
      <c r="F423" s="2" t="n">
        <v>2</v>
      </c>
      <c r="G423" s="2" t="n">
        <v>30</v>
      </c>
      <c r="H423" s="2" t="inlineStr">
        <is>
          <t>SC/PC</t>
        </is>
      </c>
      <c r="I423" s="2" t="inlineStr">
        <is>
          <t>SC/PC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>
        <v>30</v>
      </c>
      <c r="T423" s="2" t="n"/>
      <c r="U423" s="2" t="n"/>
      <c r="V423" s="2">
        <f>SUM(J423:U423)*G423</f>
        <v/>
      </c>
      <c r="W423" s="2">
        <f>MAX(J423:U423)</f>
        <v/>
      </c>
      <c r="X423" s="2">
        <f>W423*G423</f>
        <v/>
      </c>
    </row>
    <row r="424">
      <c r="A424" s="2" t="inlineStr">
        <is>
          <t>14-K-716</t>
        </is>
      </c>
      <c r="B424" s="3" t="inlineStr">
        <is>
          <t>OJC-A1-LC/LC-SM-35-PC/PC-DP</t>
        </is>
      </c>
      <c r="C424" s="2" t="inlineStr">
        <is>
          <t>K9089181_청색</t>
        </is>
      </c>
      <c r="D424" s="2" t="inlineStr">
        <is>
          <t>a1-청</t>
        </is>
      </c>
      <c r="E424" s="2" t="inlineStr">
        <is>
          <t>2.0mm</t>
        </is>
      </c>
      <c r="F424" s="2" t="n">
        <v>2</v>
      </c>
      <c r="G424" s="2" t="n">
        <v>35</v>
      </c>
      <c r="H424" s="2" t="inlineStr">
        <is>
          <t>LC/PC</t>
        </is>
      </c>
      <c r="I424" s="2" t="inlineStr">
        <is>
          <t>LC/PC</t>
        </is>
      </c>
      <c r="J424" s="2" t="n"/>
      <c r="K424" s="2" t="n"/>
      <c r="L424" s="2" t="n"/>
      <c r="M424" s="2" t="n"/>
      <c r="N424" s="2" t="n">
        <v>50</v>
      </c>
      <c r="O424" s="2" t="n"/>
      <c r="P424" s="2" t="n"/>
      <c r="Q424" s="2" t="n"/>
      <c r="R424" s="2" t="n"/>
      <c r="S424" s="2" t="n"/>
      <c r="T424" s="2" t="n"/>
      <c r="U424" s="2" t="n"/>
      <c r="V424" s="2">
        <f>SUM(J424:U424)*G424</f>
        <v/>
      </c>
      <c r="W424" s="2">
        <f>MAX(J424:U424)</f>
        <v/>
      </c>
      <c r="X424" s="2">
        <f>W424*G424</f>
        <v/>
      </c>
    </row>
    <row r="425">
      <c r="A425" s="2" t="inlineStr">
        <is>
          <t>14-K-717</t>
        </is>
      </c>
      <c r="B425" s="3" t="inlineStr">
        <is>
          <t>OJC-A1-LC/LC-SM-30-PC/PC-DP</t>
        </is>
      </c>
      <c r="C425" s="2" t="inlineStr">
        <is>
          <t>K9089180_청색</t>
        </is>
      </c>
      <c r="D425" s="2" t="inlineStr">
        <is>
          <t>a1-청</t>
        </is>
      </c>
      <c r="E425" s="2" t="inlineStr">
        <is>
          <t>2.0mm</t>
        </is>
      </c>
      <c r="F425" s="2" t="n">
        <v>2</v>
      </c>
      <c r="G425" s="2" t="n">
        <v>30</v>
      </c>
      <c r="H425" s="2" t="inlineStr">
        <is>
          <t>LC/PC</t>
        </is>
      </c>
      <c r="I425" s="2" t="inlineStr">
        <is>
          <t>LC/PC</t>
        </is>
      </c>
      <c r="J425" s="2" t="n"/>
      <c r="K425" s="2" t="n"/>
      <c r="L425" s="2" t="n"/>
      <c r="M425" s="2" t="n"/>
      <c r="N425" s="2" t="n">
        <v>50</v>
      </c>
      <c r="O425" s="2" t="n"/>
      <c r="P425" s="2" t="n"/>
      <c r="Q425" s="2" t="n"/>
      <c r="R425" s="2" t="n"/>
      <c r="S425" s="2" t="n"/>
      <c r="T425" s="2" t="n"/>
      <c r="U425" s="2" t="n"/>
      <c r="V425" s="2">
        <f>SUM(J425:U425)*G425</f>
        <v/>
      </c>
      <c r="W425" s="2">
        <f>MAX(J425:U425)</f>
        <v/>
      </c>
      <c r="X425" s="2">
        <f>W425*G425</f>
        <v/>
      </c>
    </row>
    <row r="426">
      <c r="A426" s="2" t="inlineStr">
        <is>
          <t>14-K-718</t>
        </is>
      </c>
      <c r="B426" s="3" t="inlineStr">
        <is>
          <t>OJC-A1-LC/LC-SM-25-PC/PC-DP</t>
        </is>
      </c>
      <c r="C426" s="2" t="inlineStr">
        <is>
          <t>K9089179_청색</t>
        </is>
      </c>
      <c r="D426" s="2" t="inlineStr">
        <is>
          <t>a1-청</t>
        </is>
      </c>
      <c r="E426" s="2" t="inlineStr">
        <is>
          <t>2.0mm</t>
        </is>
      </c>
      <c r="F426" s="2" t="n">
        <v>2</v>
      </c>
      <c r="G426" s="2" t="n">
        <v>25</v>
      </c>
      <c r="H426" s="2" t="inlineStr">
        <is>
          <t>LC/PC</t>
        </is>
      </c>
      <c r="I426" s="2" t="inlineStr">
        <is>
          <t>LC/PC</t>
        </is>
      </c>
      <c r="J426" s="2" t="n"/>
      <c r="K426" s="2" t="n"/>
      <c r="L426" s="2" t="n"/>
      <c r="M426" s="2" t="n"/>
      <c r="N426" s="2" t="n">
        <v>50</v>
      </c>
      <c r="O426" s="2" t="n"/>
      <c r="P426" s="2" t="n"/>
      <c r="Q426" s="2" t="n"/>
      <c r="R426" s="2" t="n"/>
      <c r="S426" s="2" t="n"/>
      <c r="T426" s="2" t="n"/>
      <c r="U426" s="2" t="n"/>
      <c r="V426" s="2">
        <f>SUM(J426:U426)*G426</f>
        <v/>
      </c>
      <c r="W426" s="2">
        <f>MAX(J426:U426)</f>
        <v/>
      </c>
      <c r="X426" s="2">
        <f>W426*G426</f>
        <v/>
      </c>
    </row>
    <row r="427">
      <c r="A427" s="2" t="inlineStr">
        <is>
          <t>14-K-719</t>
        </is>
      </c>
      <c r="B427" s="3" t="inlineStr">
        <is>
          <t>OJC-A1-LC/LC-SM-20-PC/PC-DP</t>
        </is>
      </c>
      <c r="C427" s="2" t="inlineStr">
        <is>
          <t>K9089178_청색</t>
        </is>
      </c>
      <c r="D427" s="2" t="inlineStr">
        <is>
          <t>a1-청</t>
        </is>
      </c>
      <c r="E427" s="2" t="inlineStr">
        <is>
          <t>2.0mm</t>
        </is>
      </c>
      <c r="F427" s="2" t="n">
        <v>2</v>
      </c>
      <c r="G427" s="2" t="n">
        <v>20</v>
      </c>
      <c r="H427" s="2" t="inlineStr">
        <is>
          <t>LC/PC</t>
        </is>
      </c>
      <c r="I427" s="2" t="inlineStr">
        <is>
          <t>LC/PC</t>
        </is>
      </c>
      <c r="J427" s="2" t="n"/>
      <c r="K427" s="2" t="n">
        <v>30</v>
      </c>
      <c r="L427" s="2" t="n"/>
      <c r="M427" s="2" t="n"/>
      <c r="N427" s="2" t="n">
        <v>50</v>
      </c>
      <c r="O427" s="2" t="n"/>
      <c r="P427" s="2" t="n"/>
      <c r="Q427" s="2" t="n"/>
      <c r="R427" s="2" t="n"/>
      <c r="S427" s="2" t="n"/>
      <c r="T427" s="2" t="n"/>
      <c r="U427" s="2" t="n"/>
      <c r="V427" s="2">
        <f>SUM(J427:U427)*G427</f>
        <v/>
      </c>
      <c r="W427" s="2">
        <f>MAX(J427:U427)</f>
        <v/>
      </c>
      <c r="X427" s="2">
        <f>W427*G427</f>
        <v/>
      </c>
    </row>
    <row r="428">
      <c r="A428" s="2" t="inlineStr">
        <is>
          <t>14-K-720</t>
        </is>
      </c>
      <c r="B428" s="3" t="inlineStr">
        <is>
          <t>OJC-A1-LC/LC-SM-15-PC/PC-DP</t>
        </is>
      </c>
      <c r="C428" s="2" t="inlineStr">
        <is>
          <t>K9089177_청색</t>
        </is>
      </c>
      <c r="D428" s="2" t="inlineStr">
        <is>
          <t>a1-청</t>
        </is>
      </c>
      <c r="E428" s="2" t="inlineStr">
        <is>
          <t>2.0mm</t>
        </is>
      </c>
      <c r="F428" s="2" t="n">
        <v>2</v>
      </c>
      <c r="G428" s="2" t="n">
        <v>15</v>
      </c>
      <c r="H428" s="2" t="inlineStr">
        <is>
          <t>LC/PC</t>
        </is>
      </c>
      <c r="I428" s="2" t="inlineStr">
        <is>
          <t>LC/PC</t>
        </is>
      </c>
      <c r="J428" s="2" t="n"/>
      <c r="K428" s="2" t="n">
        <v>30</v>
      </c>
      <c r="L428" s="2" t="n"/>
      <c r="M428" s="2" t="n"/>
      <c r="N428" s="2" t="n">
        <v>50</v>
      </c>
      <c r="O428" s="2" t="n"/>
      <c r="P428" s="2" t="n"/>
      <c r="Q428" s="2" t="n"/>
      <c r="R428" s="2" t="n"/>
      <c r="S428" s="2" t="n"/>
      <c r="T428" s="2" t="n"/>
      <c r="U428" s="2" t="n"/>
      <c r="V428" s="2">
        <f>SUM(J428:U428)*G428</f>
        <v/>
      </c>
      <c r="W428" s="2">
        <f>MAX(J428:U428)</f>
        <v/>
      </c>
      <c r="X428" s="2">
        <f>W428*G428</f>
        <v/>
      </c>
    </row>
    <row r="429">
      <c r="A429" s="2" t="inlineStr">
        <is>
          <t>14-K-721</t>
        </is>
      </c>
      <c r="B429" s="3" t="inlineStr">
        <is>
          <t>OJC-A1-LC/LC-SM-10-PC/PC-DP</t>
        </is>
      </c>
      <c r="C429" s="2" t="inlineStr">
        <is>
          <t>K9089176_청색</t>
        </is>
      </c>
      <c r="D429" s="2" t="inlineStr">
        <is>
          <t>a1-청</t>
        </is>
      </c>
      <c r="E429" s="2" t="inlineStr">
        <is>
          <t>2.0mm</t>
        </is>
      </c>
      <c r="F429" s="2" t="n">
        <v>2</v>
      </c>
      <c r="G429" s="2" t="n">
        <v>10</v>
      </c>
      <c r="H429" s="2" t="inlineStr">
        <is>
          <t>LC/PC</t>
        </is>
      </c>
      <c r="I429" s="2" t="inlineStr">
        <is>
          <t>LC/PC</t>
        </is>
      </c>
      <c r="J429" s="2" t="n"/>
      <c r="K429" s="2" t="n">
        <v>30</v>
      </c>
      <c r="L429" s="2" t="n"/>
      <c r="M429" s="2" t="n"/>
      <c r="N429" s="2" t="n">
        <v>50</v>
      </c>
      <c r="O429" s="2" t="n"/>
      <c r="P429" s="2" t="n"/>
      <c r="Q429" s="2" t="n"/>
      <c r="R429" s="2" t="n"/>
      <c r="S429" s="2" t="n"/>
      <c r="T429" s="2" t="n"/>
      <c r="U429" s="2" t="n"/>
      <c r="V429" s="2">
        <f>SUM(J429:U429)*G429</f>
        <v/>
      </c>
      <c r="W429" s="2">
        <f>MAX(J429:U429)</f>
        <v/>
      </c>
      <c r="X429" s="2">
        <f>W429*G429</f>
        <v/>
      </c>
    </row>
    <row r="430">
      <c r="A430" s="2" t="inlineStr">
        <is>
          <t>14-K-724</t>
        </is>
      </c>
      <c r="B430" s="3" t="inlineStr">
        <is>
          <t>OJC-A1-SC/SC-SM-25-PC/PC-SP</t>
        </is>
      </c>
      <c r="C430" s="2" t="inlineStr">
        <is>
          <t>K9089018_녹색</t>
        </is>
      </c>
      <c r="D430" s="2" t="inlineStr">
        <is>
          <t>a1-녹</t>
        </is>
      </c>
      <c r="E430" s="2" t="inlineStr">
        <is>
          <t>2.0mm</t>
        </is>
      </c>
      <c r="F430" s="2" t="n">
        <v>1</v>
      </c>
      <c r="G430" s="2" t="n">
        <v>25</v>
      </c>
      <c r="H430" s="2" t="inlineStr">
        <is>
          <t>SC/PC</t>
        </is>
      </c>
      <c r="I430" s="2" t="inlineStr">
        <is>
          <t>SC/PC</t>
        </is>
      </c>
      <c r="J430" s="2" t="n"/>
      <c r="K430" s="2" t="n"/>
      <c r="L430" s="2" t="n"/>
      <c r="M430" s="2" t="n"/>
      <c r="N430" s="2" t="n"/>
      <c r="O430" s="2" t="n"/>
      <c r="P430" s="2" t="n">
        <v>150</v>
      </c>
      <c r="Q430" s="2" t="n"/>
      <c r="R430" s="2" t="n"/>
      <c r="S430" s="2" t="n"/>
      <c r="T430" s="2" t="n"/>
      <c r="U430" s="2" t="n"/>
      <c r="V430" s="2">
        <f>SUM(J430:U430)*G430</f>
        <v/>
      </c>
      <c r="W430" s="2">
        <f>MAX(J430:U430)</f>
        <v/>
      </c>
      <c r="X430" s="2">
        <f>W430*G430</f>
        <v/>
      </c>
    </row>
    <row r="431">
      <c r="A431" s="2" t="inlineStr">
        <is>
          <t>14-K-754</t>
        </is>
      </c>
      <c r="B431" s="3" t="inlineStr">
        <is>
          <t>OJC-A1-LC/LC-SM-40-PC/PC-DP</t>
        </is>
      </c>
      <c r="C431" s="2" t="inlineStr">
        <is>
          <t>K9089182_청색</t>
        </is>
      </c>
      <c r="D431" s="2" t="inlineStr">
        <is>
          <t>a1-청</t>
        </is>
      </c>
      <c r="E431" s="2" t="inlineStr">
        <is>
          <t>2.0mm</t>
        </is>
      </c>
      <c r="F431" s="2" t="n">
        <v>2</v>
      </c>
      <c r="G431" s="2" t="n">
        <v>40</v>
      </c>
      <c r="H431" s="2" t="inlineStr">
        <is>
          <t>LC/PC</t>
        </is>
      </c>
      <c r="I431" s="2" t="inlineStr">
        <is>
          <t>LC/PC</t>
        </is>
      </c>
      <c r="J431" s="2" t="n"/>
      <c r="K431" s="2" t="n"/>
      <c r="L431" s="2" t="n"/>
      <c r="M431" s="2" t="n"/>
      <c r="N431" s="2" t="n">
        <v>50</v>
      </c>
      <c r="O431" s="2" t="n"/>
      <c r="P431" s="2" t="n"/>
      <c r="Q431" s="2" t="n"/>
      <c r="R431" s="2" t="n"/>
      <c r="S431" s="2" t="n"/>
      <c r="T431" s="2" t="n"/>
      <c r="U431" s="2" t="n"/>
      <c r="V431" s="2">
        <f>SUM(J431:U431)*G431</f>
        <v/>
      </c>
      <c r="W431" s="2">
        <f>MAX(J431:U431)</f>
        <v/>
      </c>
      <c r="X431" s="2">
        <f>W431*G431</f>
        <v/>
      </c>
    </row>
    <row r="432">
      <c r="A432" s="2" t="inlineStr">
        <is>
          <t>14-K-769</t>
        </is>
      </c>
      <c r="B432" s="3" t="inlineStr">
        <is>
          <t>OJC-A1-LC/LC-SM-0.5-PC/PC-DP</t>
        </is>
      </c>
      <c r="C432" s="2" t="inlineStr"/>
      <c r="D432" s="2" t="inlineStr">
        <is>
          <t>a1</t>
        </is>
      </c>
      <c r="E432" s="2" t="inlineStr">
        <is>
          <t>2.0mm</t>
        </is>
      </c>
      <c r="F432" s="2" t="n">
        <v>2</v>
      </c>
      <c r="G432" s="2" t="n">
        <v>0.5</v>
      </c>
      <c r="H432" s="2" t="inlineStr">
        <is>
          <t>LC/PC</t>
        </is>
      </c>
      <c r="I432" s="2" t="inlineStr">
        <is>
          <t>LC/PC</t>
        </is>
      </c>
      <c r="J432" s="2" t="n"/>
      <c r="K432" s="2" t="n"/>
      <c r="L432" s="2" t="n"/>
      <c r="M432" s="2" t="n"/>
      <c r="N432" s="2" t="n"/>
      <c r="O432" s="2" t="n"/>
      <c r="P432" s="2" t="n">
        <v>50</v>
      </c>
      <c r="Q432" s="2" t="n"/>
      <c r="R432" s="2" t="n"/>
      <c r="S432" s="2" t="n"/>
      <c r="T432" s="2" t="n"/>
      <c r="U432" s="2" t="n"/>
      <c r="V432" s="2">
        <f>SUM(J432:U432)*G432</f>
        <v/>
      </c>
      <c r="W432" s="2">
        <f>MAX(J432:U432)</f>
        <v/>
      </c>
      <c r="X432" s="2">
        <f>W432*G432</f>
        <v/>
      </c>
    </row>
    <row r="433">
      <c r="A433" s="2" t="inlineStr">
        <is>
          <t>14-K-772</t>
        </is>
      </c>
      <c r="B433" s="3" t="inlineStr">
        <is>
          <t>OJC-A1-SC/SC-SM-3-PC/PC-DP</t>
        </is>
      </c>
      <c r="C433" s="2" t="inlineStr">
        <is>
          <t>K9089125_청색</t>
        </is>
      </c>
      <c r="D433" s="2" t="inlineStr">
        <is>
          <t>a1-청</t>
        </is>
      </c>
      <c r="E433" s="2" t="inlineStr">
        <is>
          <t>2.0mm</t>
        </is>
      </c>
      <c r="F433" s="2" t="n">
        <v>2</v>
      </c>
      <c r="G433" s="2" t="n">
        <v>3</v>
      </c>
      <c r="H433" s="2" t="inlineStr">
        <is>
          <t>SC/PC</t>
        </is>
      </c>
      <c r="I433" s="2" t="inlineStr">
        <is>
          <t>SC/PC</t>
        </is>
      </c>
      <c r="J433" s="2" t="n"/>
      <c r="K433" s="2" t="n">
        <v>60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>
        <f>SUM(J433:U433)*G433</f>
        <v/>
      </c>
      <c r="W433" s="2">
        <f>MAX(J433:U433)</f>
        <v/>
      </c>
      <c r="X433" s="2">
        <f>W433*G433</f>
        <v/>
      </c>
    </row>
    <row r="434">
      <c r="A434" s="2" t="inlineStr">
        <is>
          <t>14-K-773</t>
        </is>
      </c>
      <c r="B434" s="3" t="inlineStr">
        <is>
          <t>OJC-A1-SC/LC-SM-1.5-PC/PC-SP</t>
        </is>
      </c>
      <c r="C434" s="2" t="inlineStr"/>
      <c r="D434" s="2" t="inlineStr">
        <is>
          <t>a1</t>
        </is>
      </c>
      <c r="E434" s="2" t="inlineStr">
        <is>
          <t>2.0mm</t>
        </is>
      </c>
      <c r="F434" s="2" t="n">
        <v>1</v>
      </c>
      <c r="G434" s="2" t="n">
        <v>1.5</v>
      </c>
      <c r="H434" s="2" t="inlineStr">
        <is>
          <t>SC/PC</t>
        </is>
      </c>
      <c r="I434" s="2" t="inlineStr">
        <is>
          <t>LC/PC</t>
        </is>
      </c>
      <c r="J434" s="2" t="n"/>
      <c r="K434" s="2" t="n"/>
      <c r="L434" s="2" t="n"/>
      <c r="M434" s="2" t="n">
        <v>10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>
        <f>SUM(J434:U434)*G434</f>
        <v/>
      </c>
      <c r="W434" s="2">
        <f>MAX(J434:U434)</f>
        <v/>
      </c>
      <c r="X434" s="2">
        <f>W434*G434</f>
        <v/>
      </c>
    </row>
    <row r="435">
      <c r="A435" s="2" t="inlineStr">
        <is>
          <t>14-K-781</t>
        </is>
      </c>
      <c r="B435" s="3" t="inlineStr">
        <is>
          <t>OJC-A1-SC/LC-SM-20-PC/PC-DP</t>
        </is>
      </c>
      <c r="C435" s="2" t="inlineStr">
        <is>
          <t>K9089164_적색</t>
        </is>
      </c>
      <c r="D435" s="2" t="inlineStr">
        <is>
          <t>a1-적</t>
        </is>
      </c>
      <c r="E435" s="2" t="inlineStr">
        <is>
          <t>2.0mm</t>
        </is>
      </c>
      <c r="F435" s="2" t="n">
        <v>2</v>
      </c>
      <c r="G435" s="2" t="n">
        <v>20</v>
      </c>
      <c r="H435" s="2" t="inlineStr">
        <is>
          <t>SC/PC</t>
        </is>
      </c>
      <c r="I435" s="2" t="inlineStr">
        <is>
          <t>LC/PC</t>
        </is>
      </c>
      <c r="J435" s="2" t="n"/>
      <c r="K435" s="2" t="n"/>
      <c r="L435" s="2" t="n"/>
      <c r="M435" s="2" t="n"/>
      <c r="N435" s="2" t="n"/>
      <c r="O435" s="2" t="n">
        <v>20</v>
      </c>
      <c r="P435" s="2" t="n"/>
      <c r="Q435" s="2" t="n"/>
      <c r="R435" s="2" t="n"/>
      <c r="S435" s="2" t="n">
        <v>12</v>
      </c>
      <c r="T435" s="2" t="n"/>
      <c r="U435" s="2" t="n"/>
      <c r="V435" s="2">
        <f>SUM(J435:U435)*G435</f>
        <v/>
      </c>
      <c r="W435" s="2">
        <f>MAX(J435:U435)</f>
        <v/>
      </c>
      <c r="X435" s="2">
        <f>W435*G435</f>
        <v/>
      </c>
    </row>
    <row r="436">
      <c r="A436" s="2" t="inlineStr">
        <is>
          <t>14-K-782</t>
        </is>
      </c>
      <c r="B436" s="3" t="inlineStr">
        <is>
          <t>OJC-A1-SC/LC-SM-25-PC/PC-DP</t>
        </is>
      </c>
      <c r="C436" s="2" t="inlineStr">
        <is>
          <t>K9089165_적색</t>
        </is>
      </c>
      <c r="D436" s="2" t="inlineStr">
        <is>
          <t>a1-적</t>
        </is>
      </c>
      <c r="E436" s="2" t="inlineStr">
        <is>
          <t>2.0mm</t>
        </is>
      </c>
      <c r="F436" s="2" t="n">
        <v>2</v>
      </c>
      <c r="G436" s="2" t="n">
        <v>25</v>
      </c>
      <c r="H436" s="2" t="inlineStr">
        <is>
          <t>SC/PC</t>
        </is>
      </c>
      <c r="I436" s="2" t="inlineStr">
        <is>
          <t>LC/PC</t>
        </is>
      </c>
      <c r="J436" s="2" t="n"/>
      <c r="K436" s="2" t="n"/>
      <c r="L436" s="2" t="n"/>
      <c r="M436" s="2" t="n"/>
      <c r="N436" s="2" t="n"/>
      <c r="O436" s="2" t="n">
        <v>20</v>
      </c>
      <c r="P436" s="2" t="n"/>
      <c r="Q436" s="2" t="n"/>
      <c r="R436" s="2" t="n"/>
      <c r="S436" s="2" t="n">
        <v>80</v>
      </c>
      <c r="T436" s="2" t="n"/>
      <c r="U436" s="2" t="n"/>
      <c r="V436" s="2">
        <f>SUM(J436:U436)*G436</f>
        <v/>
      </c>
      <c r="W436" s="2">
        <f>MAX(J436:U436)</f>
        <v/>
      </c>
      <c r="X436" s="2">
        <f>W436*G436</f>
        <v/>
      </c>
    </row>
    <row r="437">
      <c r="A437" s="2" t="inlineStr">
        <is>
          <t>14-K-783</t>
        </is>
      </c>
      <c r="B437" s="3" t="inlineStr">
        <is>
          <t>OJC-A1-LC/LC-SM-20-PC/PC-DP</t>
        </is>
      </c>
      <c r="C437" s="2" t="inlineStr">
        <is>
          <t>K9089178_적색</t>
        </is>
      </c>
      <c r="D437" s="2" t="inlineStr">
        <is>
          <t>a1-적</t>
        </is>
      </c>
      <c r="E437" s="2" t="inlineStr">
        <is>
          <t>2.0mm</t>
        </is>
      </c>
      <c r="F437" s="2" t="n">
        <v>2</v>
      </c>
      <c r="G437" s="2" t="n">
        <v>20</v>
      </c>
      <c r="H437" s="2" t="inlineStr">
        <is>
          <t>LC/PC</t>
        </is>
      </c>
      <c r="I437" s="2" t="inlineStr">
        <is>
          <t>LC/PC</t>
        </is>
      </c>
      <c r="J437" s="2" t="n"/>
      <c r="K437" s="2" t="n"/>
      <c r="L437" s="2" t="n"/>
      <c r="M437" s="2" t="n"/>
      <c r="N437" s="2" t="n">
        <v>4</v>
      </c>
      <c r="O437" s="2" t="n"/>
      <c r="P437" s="2" t="n"/>
      <c r="Q437" s="2" t="n"/>
      <c r="R437" s="2" t="n"/>
      <c r="S437" s="2" t="n">
        <v>12</v>
      </c>
      <c r="T437" s="2" t="n"/>
      <c r="U437" s="2" t="n"/>
      <c r="V437" s="2">
        <f>SUM(J437:U437)*G437</f>
        <v/>
      </c>
      <c r="W437" s="2">
        <f>MAX(J437:U437)</f>
        <v/>
      </c>
      <c r="X437" s="2">
        <f>W437*G437</f>
        <v/>
      </c>
    </row>
    <row r="438">
      <c r="A438" s="2" t="inlineStr">
        <is>
          <t>14-K-783</t>
        </is>
      </c>
      <c r="B438" s="3" t="inlineStr">
        <is>
          <t>OJC-A1-LC/LC-SM-20-PC/PC-DP</t>
        </is>
      </c>
      <c r="C438" s="2" t="inlineStr">
        <is>
          <t>적색</t>
        </is>
      </c>
      <c r="D438" s="2" t="inlineStr">
        <is>
          <t>a1-적</t>
        </is>
      </c>
      <c r="E438" s="2" t="inlineStr">
        <is>
          <t>2.0mm</t>
        </is>
      </c>
      <c r="F438" s="2" t="n">
        <v>2</v>
      </c>
      <c r="G438" s="2" t="n">
        <v>20</v>
      </c>
      <c r="H438" s="2" t="inlineStr">
        <is>
          <t>LC/PC</t>
        </is>
      </c>
      <c r="I438" s="2" t="inlineStr">
        <is>
          <t>LC/PC</t>
        </is>
      </c>
      <c r="J438" s="2" t="n"/>
      <c r="K438" s="2" t="n"/>
      <c r="L438" s="2" t="n"/>
      <c r="M438" s="2" t="n"/>
      <c r="N438" s="2" t="n">
        <v>22</v>
      </c>
      <c r="O438" s="2" t="n"/>
      <c r="P438" s="2" t="n"/>
      <c r="Q438" s="2" t="n"/>
      <c r="R438" s="2" t="n"/>
      <c r="S438" s="2" t="n"/>
      <c r="T438" s="2" t="n"/>
      <c r="U438" s="2" t="n"/>
      <c r="V438" s="2">
        <f>SUM(J438:U438)*G438</f>
        <v/>
      </c>
      <c r="W438" s="2">
        <f>MAX(J438:U438)</f>
        <v/>
      </c>
      <c r="X438" s="2">
        <f>W438*G438</f>
        <v/>
      </c>
    </row>
    <row r="439">
      <c r="A439" s="2" t="inlineStr">
        <is>
          <t>14-K-784</t>
        </is>
      </c>
      <c r="B439" s="3" t="inlineStr">
        <is>
          <t>OJC-A1-LC/LC-SM-25-PC/PC-DP</t>
        </is>
      </c>
      <c r="C439" s="2" t="inlineStr">
        <is>
          <t>K9089179_적색</t>
        </is>
      </c>
      <c r="D439" s="2" t="inlineStr">
        <is>
          <t>a1-적</t>
        </is>
      </c>
      <c r="E439" s="2" t="inlineStr">
        <is>
          <t>2.0mm</t>
        </is>
      </c>
      <c r="F439" s="2" t="n">
        <v>2</v>
      </c>
      <c r="G439" s="2" t="n">
        <v>25</v>
      </c>
      <c r="H439" s="2" t="inlineStr">
        <is>
          <t>LC/PC</t>
        </is>
      </c>
      <c r="I439" s="2" t="inlineStr">
        <is>
          <t>LC/PC</t>
        </is>
      </c>
      <c r="J439" s="2" t="n"/>
      <c r="K439" s="2" t="n"/>
      <c r="L439" s="2" t="n"/>
      <c r="M439" s="2" t="n"/>
      <c r="N439" s="2" t="n"/>
      <c r="O439" s="2" t="n">
        <v>20</v>
      </c>
      <c r="P439" s="2" t="n"/>
      <c r="Q439" s="2" t="n"/>
      <c r="R439" s="2" t="n"/>
      <c r="S439" s="2" t="n"/>
      <c r="T439" s="2" t="n"/>
      <c r="U439" s="2" t="n"/>
      <c r="V439" s="2">
        <f>SUM(J439:U439)*G439</f>
        <v/>
      </c>
      <c r="W439" s="2">
        <f>MAX(J439:U439)</f>
        <v/>
      </c>
      <c r="X439" s="2">
        <f>W439*G439</f>
        <v/>
      </c>
    </row>
    <row r="440">
      <c r="A440" s="2" t="inlineStr">
        <is>
          <t>14-K-784</t>
        </is>
      </c>
      <c r="B440" s="3" t="inlineStr">
        <is>
          <t>OJC-A1-LC/LC-SM-25-PC/PC-DP</t>
        </is>
      </c>
      <c r="C440" s="2" t="inlineStr">
        <is>
          <t>적색</t>
        </is>
      </c>
      <c r="D440" s="2" t="inlineStr">
        <is>
          <t>a1-적</t>
        </is>
      </c>
      <c r="E440" s="2" t="inlineStr">
        <is>
          <t>2.0mm</t>
        </is>
      </c>
      <c r="F440" s="2" t="n">
        <v>2</v>
      </c>
      <c r="G440" s="2" t="n">
        <v>25</v>
      </c>
      <c r="H440" s="2" t="inlineStr">
        <is>
          <t>LC/PC</t>
        </is>
      </c>
      <c r="I440" s="2" t="inlineStr">
        <is>
          <t>LC/PC</t>
        </is>
      </c>
      <c r="J440" s="2" t="n"/>
      <c r="K440" s="2" t="n"/>
      <c r="L440" s="2" t="n"/>
      <c r="M440" s="2" t="n"/>
      <c r="N440" s="2" t="n">
        <v>7</v>
      </c>
      <c r="O440" s="2" t="n"/>
      <c r="P440" s="2" t="n"/>
      <c r="Q440" s="2" t="n"/>
      <c r="R440" s="2" t="n"/>
      <c r="S440" s="2" t="n"/>
      <c r="T440" s="2" t="n"/>
      <c r="U440" s="2" t="n"/>
      <c r="V440" s="2">
        <f>SUM(J440:U440)*G440</f>
        <v/>
      </c>
      <c r="W440" s="2">
        <f>MAX(J440:U440)</f>
        <v/>
      </c>
      <c r="X440" s="2">
        <f>W440*G440</f>
        <v/>
      </c>
    </row>
    <row r="441">
      <c r="A441" s="2" t="inlineStr">
        <is>
          <t>14-K-786</t>
        </is>
      </c>
      <c r="B441" s="3" t="inlineStr">
        <is>
          <t>OJC-A1-LC/LC-SM-30-PC/PC-DP</t>
        </is>
      </c>
      <c r="C441" s="2" t="inlineStr">
        <is>
          <t>K9089180_적색</t>
        </is>
      </c>
      <c r="D441" s="2" t="inlineStr">
        <is>
          <t>a1-적</t>
        </is>
      </c>
      <c r="E441" s="2" t="inlineStr">
        <is>
          <t>2.0mm</t>
        </is>
      </c>
      <c r="F441" s="2" t="n">
        <v>2</v>
      </c>
      <c r="G441" s="2" t="n">
        <v>30</v>
      </c>
      <c r="H441" s="2" t="inlineStr">
        <is>
          <t>LC/PC</t>
        </is>
      </c>
      <c r="I441" s="2" t="inlineStr">
        <is>
          <t>LC/PC</t>
        </is>
      </c>
      <c r="J441" s="2" t="n"/>
      <c r="K441" s="2" t="n"/>
      <c r="L441" s="2" t="n"/>
      <c r="M441" s="2" t="n"/>
      <c r="N441" s="2" t="n"/>
      <c r="O441" s="2" t="n">
        <v>20</v>
      </c>
      <c r="P441" s="2" t="n"/>
      <c r="Q441" s="2" t="n"/>
      <c r="R441" s="2" t="n"/>
      <c r="S441" s="2" t="n"/>
      <c r="T441" s="2" t="n"/>
      <c r="U441" s="2" t="n"/>
      <c r="V441" s="2">
        <f>SUM(J441:U441)*G441</f>
        <v/>
      </c>
      <c r="W441" s="2">
        <f>MAX(J441:U441)</f>
        <v/>
      </c>
      <c r="X441" s="2">
        <f>W441*G441</f>
        <v/>
      </c>
    </row>
    <row r="442">
      <c r="A442" s="2" t="inlineStr">
        <is>
          <t>14-K-786</t>
        </is>
      </c>
      <c r="B442" s="3" t="inlineStr">
        <is>
          <t>OJC-A1-LC/LC-SM-30-PC/PC-DP</t>
        </is>
      </c>
      <c r="C442" s="2" t="inlineStr">
        <is>
          <t>적색</t>
        </is>
      </c>
      <c r="D442" s="2" t="inlineStr">
        <is>
          <t>a1-적</t>
        </is>
      </c>
      <c r="E442" s="2" t="inlineStr">
        <is>
          <t>2.0mm</t>
        </is>
      </c>
      <c r="F442" s="2" t="n">
        <v>2</v>
      </c>
      <c r="G442" s="2" t="n">
        <v>30</v>
      </c>
      <c r="H442" s="2" t="inlineStr">
        <is>
          <t>LC/PC</t>
        </is>
      </c>
      <c r="I442" s="2" t="inlineStr">
        <is>
          <t>LC/PC</t>
        </is>
      </c>
      <c r="J442" s="2" t="n"/>
      <c r="K442" s="2" t="n"/>
      <c r="L442" s="2" t="n"/>
      <c r="M442" s="2" t="n"/>
      <c r="N442" s="2" t="n">
        <v>11</v>
      </c>
      <c r="O442" s="2" t="n"/>
      <c r="P442" s="2" t="n"/>
      <c r="Q442" s="2" t="n"/>
      <c r="R442" s="2" t="n"/>
      <c r="S442" s="2" t="n"/>
      <c r="T442" s="2" t="n"/>
      <c r="U442" s="2" t="n"/>
      <c r="V442" s="2">
        <f>SUM(J442:U442)*G442</f>
        <v/>
      </c>
      <c r="W442" s="2">
        <f>MAX(J442:U442)</f>
        <v/>
      </c>
      <c r="X442" s="2">
        <f>W442*G442</f>
        <v/>
      </c>
    </row>
    <row r="443">
      <c r="A443" s="2" t="inlineStr">
        <is>
          <t>14-K-787</t>
        </is>
      </c>
      <c r="B443" s="3" t="inlineStr">
        <is>
          <t>OJC-A1-SC/LC-SM-30-PC/PC-DP</t>
        </is>
      </c>
      <c r="C443" s="2" t="inlineStr">
        <is>
          <t>K9089166_적색</t>
        </is>
      </c>
      <c r="D443" s="2" t="inlineStr">
        <is>
          <t>a1-적</t>
        </is>
      </c>
      <c r="E443" s="2" t="inlineStr">
        <is>
          <t>2.0mm</t>
        </is>
      </c>
      <c r="F443" s="2" t="n">
        <v>2</v>
      </c>
      <c r="G443" s="2" t="n">
        <v>30</v>
      </c>
      <c r="H443" s="2" t="inlineStr">
        <is>
          <t>SC/PC</t>
        </is>
      </c>
      <c r="I443" s="2" t="inlineStr">
        <is>
          <t>LC/PC</t>
        </is>
      </c>
      <c r="J443" s="2" t="n"/>
      <c r="K443" s="2" t="n"/>
      <c r="L443" s="2" t="n"/>
      <c r="M443" s="2" t="n"/>
      <c r="N443" s="2" t="n"/>
      <c r="O443" s="2" t="n">
        <v>10</v>
      </c>
      <c r="P443" s="2" t="n"/>
      <c r="Q443" s="2" t="n"/>
      <c r="R443" s="2" t="n"/>
      <c r="S443" s="2" t="n">
        <v>10</v>
      </c>
      <c r="T443" s="2" t="n"/>
      <c r="U443" s="2" t="n"/>
      <c r="V443" s="2">
        <f>SUM(J443:U443)*G443</f>
        <v/>
      </c>
      <c r="W443" s="2">
        <f>MAX(J443:U443)</f>
        <v/>
      </c>
      <c r="X443" s="2">
        <f>W443*G443</f>
        <v/>
      </c>
    </row>
    <row r="444">
      <c r="A444" s="2" t="inlineStr">
        <is>
          <t>14-K-789</t>
        </is>
      </c>
      <c r="B444" s="3" t="inlineStr">
        <is>
          <t>OJC-A1-LC/LC-MM(OM3)-7-PC/PC-DP</t>
        </is>
      </c>
      <c r="C444" s="2" t="inlineStr"/>
      <c r="D444" s="2" t="inlineStr">
        <is>
          <t>om3</t>
        </is>
      </c>
      <c r="E444" s="2" t="inlineStr">
        <is>
          <t>2.0mm</t>
        </is>
      </c>
      <c r="F444" s="2" t="n">
        <v>2</v>
      </c>
      <c r="G444" s="2" t="n">
        <v>7</v>
      </c>
      <c r="H444" s="2" t="inlineStr">
        <is>
          <t>LC/PC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/>
      <c r="P444" s="2" t="n">
        <v>14</v>
      </c>
      <c r="Q444" s="2" t="n"/>
      <c r="R444" s="2" t="n">
        <v>50</v>
      </c>
      <c r="S444" s="2" t="n"/>
      <c r="T444" s="2" t="n"/>
      <c r="U444" s="2" t="n"/>
      <c r="V444" s="2">
        <f>SUM(J444:U444)*G444</f>
        <v/>
      </c>
      <c r="W444" s="2">
        <f>MAX(J444:U444)</f>
        <v/>
      </c>
      <c r="X444" s="2">
        <f>W444*G444</f>
        <v/>
      </c>
    </row>
    <row r="445">
      <c r="A445" s="2" t="inlineStr">
        <is>
          <t>14-K-790</t>
        </is>
      </c>
      <c r="B445" s="3" t="inlineStr">
        <is>
          <t>OJC-A1-LC/LC-SM-9-PC/PC-DP</t>
        </is>
      </c>
      <c r="C445" s="2" t="inlineStr"/>
      <c r="D445" s="2" t="inlineStr">
        <is>
          <t>a1</t>
        </is>
      </c>
      <c r="E445" s="2" t="inlineStr">
        <is>
          <t>2.0mm</t>
        </is>
      </c>
      <c r="F445" s="2" t="n">
        <v>2</v>
      </c>
      <c r="G445" s="2" t="n">
        <v>9</v>
      </c>
      <c r="H445" s="2" t="inlineStr">
        <is>
          <t>LC/PC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>
        <v>2</v>
      </c>
      <c r="T445" s="2" t="n"/>
      <c r="U445" s="2" t="n"/>
      <c r="V445" s="2">
        <f>SUM(J445:U445)*G445</f>
        <v/>
      </c>
      <c r="W445" s="2">
        <f>MAX(J445:U445)</f>
        <v/>
      </c>
      <c r="X445" s="2">
        <f>W445*G445</f>
        <v/>
      </c>
    </row>
    <row r="446">
      <c r="A446" s="2" t="inlineStr">
        <is>
          <t>14-K-794</t>
        </is>
      </c>
      <c r="B446" s="3" t="inlineStr">
        <is>
          <t>OJC-A1-SC/SC-SM-30-PC/PC-SP</t>
        </is>
      </c>
      <c r="C446" s="2" t="inlineStr">
        <is>
          <t>K9089023_녹색</t>
        </is>
      </c>
      <c r="D446" s="2" t="inlineStr">
        <is>
          <t>a1-녹</t>
        </is>
      </c>
      <c r="E446" s="2" t="inlineStr">
        <is>
          <t>2.0mm</t>
        </is>
      </c>
      <c r="F446" s="2" t="n">
        <v>1</v>
      </c>
      <c r="G446" s="2" t="n">
        <v>30</v>
      </c>
      <c r="H446" s="2" t="inlineStr">
        <is>
          <t>SC/PC</t>
        </is>
      </c>
      <c r="I446" s="2" t="inlineStr">
        <is>
          <t>SC/PC</t>
        </is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>
        <v>2</v>
      </c>
      <c r="V446" s="2">
        <f>SUM(J446:U446)*G446</f>
        <v/>
      </c>
      <c r="W446" s="2">
        <f>MAX(J446:U446)</f>
        <v/>
      </c>
      <c r="X446" s="2">
        <f>W446*G446</f>
        <v/>
      </c>
    </row>
    <row r="447">
      <c r="A447" s="2" t="inlineStr">
        <is>
          <t>14-K-802</t>
        </is>
      </c>
      <c r="B447" s="3" t="inlineStr">
        <is>
          <t>OJC-A1-LC/LC-MM(OM3)-60-PC/PC-DP</t>
        </is>
      </c>
      <c r="C447" s="2" t="inlineStr"/>
      <c r="D447" s="2" t="inlineStr">
        <is>
          <t>om3</t>
        </is>
      </c>
      <c r="E447" s="2" t="inlineStr">
        <is>
          <t>2.0mm</t>
        </is>
      </c>
      <c r="F447" s="2" t="n">
        <v>2</v>
      </c>
      <c r="G447" s="2" t="n">
        <v>60</v>
      </c>
      <c r="H447" s="2" t="inlineStr">
        <is>
          <t>LC/PC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1</v>
      </c>
      <c r="S447" s="2" t="n"/>
      <c r="T447" s="2" t="n"/>
      <c r="U447" s="2" t="n"/>
      <c r="V447" s="2">
        <f>SUM(J447:U447)*G447</f>
        <v/>
      </c>
      <c r="W447" s="2">
        <f>MAX(J447:U447)</f>
        <v/>
      </c>
      <c r="X447" s="2">
        <f>W447*G447</f>
        <v/>
      </c>
    </row>
    <row r="448">
      <c r="A448" s="2" t="inlineStr">
        <is>
          <t>14-K-808</t>
        </is>
      </c>
      <c r="B448" s="3" t="inlineStr">
        <is>
          <t>OJC-A1-LC/LC-SM-70-PC/PC-DP</t>
        </is>
      </c>
      <c r="C448" s="2" t="inlineStr"/>
      <c r="D448" s="2" t="inlineStr">
        <is>
          <t>a1</t>
        </is>
      </c>
      <c r="E448" s="2" t="inlineStr">
        <is>
          <t>2.0mm</t>
        </is>
      </c>
      <c r="F448" s="2" t="n">
        <v>2</v>
      </c>
      <c r="G448" s="2" t="n">
        <v>70</v>
      </c>
      <c r="H448" s="2" t="inlineStr">
        <is>
          <t>LC/PC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>
        <v>10</v>
      </c>
      <c r="U448" s="2" t="n"/>
      <c r="V448" s="2">
        <f>SUM(J448:U448)*G448</f>
        <v/>
      </c>
      <c r="W448" s="2">
        <f>MAX(J448:U448)</f>
        <v/>
      </c>
      <c r="X448" s="2">
        <f>W448*G448</f>
        <v/>
      </c>
    </row>
    <row r="449">
      <c r="A449" s="2" t="inlineStr">
        <is>
          <t>14-K-810</t>
        </is>
      </c>
      <c r="B449" s="3" t="inlineStr">
        <is>
          <t>OJC-A1-SC/LC-SM-5-PC/PC-DP</t>
        </is>
      </c>
      <c r="C449" s="2" t="inlineStr">
        <is>
          <t>K9089161_청색</t>
        </is>
      </c>
      <c r="D449" s="2" t="inlineStr">
        <is>
          <t>a1-청</t>
        </is>
      </c>
      <c r="E449" s="2" t="inlineStr">
        <is>
          <t>2.0mm</t>
        </is>
      </c>
      <c r="F449" s="2" t="n">
        <v>2</v>
      </c>
      <c r="G449" s="2" t="n">
        <v>5</v>
      </c>
      <c r="H449" s="2" t="inlineStr">
        <is>
          <t>SC/PC</t>
        </is>
      </c>
      <c r="I449" s="2" t="inlineStr">
        <is>
          <t>LC/PC</t>
        </is>
      </c>
      <c r="J449" s="2" t="n"/>
      <c r="K449" s="2" t="n"/>
      <c r="L449" s="2" t="n"/>
      <c r="M449" s="2" t="n"/>
      <c r="N449" s="2" t="n">
        <v>50</v>
      </c>
      <c r="O449" s="2" t="n"/>
      <c r="P449" s="2" t="n"/>
      <c r="Q449" s="2" t="n"/>
      <c r="R449" s="2" t="n"/>
      <c r="S449" s="2" t="n"/>
      <c r="T449" s="2" t="n"/>
      <c r="U449" s="2" t="n"/>
      <c r="V449" s="2">
        <f>SUM(J449:U449)*G449</f>
        <v/>
      </c>
      <c r="W449" s="2">
        <f>MAX(J449:U449)</f>
        <v/>
      </c>
      <c r="X449" s="2">
        <f>W449*G449</f>
        <v/>
      </c>
    </row>
    <row r="450">
      <c r="A450" s="2" t="inlineStr">
        <is>
          <t>14-K-814</t>
        </is>
      </c>
      <c r="B450" s="3" t="inlineStr">
        <is>
          <t>OJC-A1-LC/LC-SM-0.3-PC/PC-SP</t>
        </is>
      </c>
      <c r="C450" s="2" t="inlineStr"/>
      <c r="D450" s="2" t="inlineStr">
        <is>
          <t>a1</t>
        </is>
      </c>
      <c r="E450" s="2" t="inlineStr">
        <is>
          <t>2.0mm</t>
        </is>
      </c>
      <c r="F450" s="2" t="n">
        <v>1</v>
      </c>
      <c r="G450" s="2" t="n">
        <v>0.3</v>
      </c>
      <c r="H450" s="2" t="inlineStr">
        <is>
          <t>LC/PC</t>
        </is>
      </c>
      <c r="I450" s="2" t="inlineStr">
        <is>
          <t>LC/PC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>
        <v>200</v>
      </c>
      <c r="U450" s="2" t="n"/>
      <c r="V450" s="2">
        <f>SUM(J450:U450)*G450</f>
        <v/>
      </c>
      <c r="W450" s="2">
        <f>MAX(J450:U450)</f>
        <v/>
      </c>
      <c r="X450" s="2">
        <f>W450*G450</f>
        <v/>
      </c>
    </row>
    <row r="451">
      <c r="A451" s="2" t="inlineStr">
        <is>
          <t>14-K-824</t>
        </is>
      </c>
      <c r="B451" s="3" t="inlineStr">
        <is>
          <t>OJC-A1-SC/SC-SM-5-PC/PC-SP</t>
        </is>
      </c>
      <c r="C451" s="2" t="inlineStr">
        <is>
          <t>K9088998_녹색</t>
        </is>
      </c>
      <c r="D451" s="2" t="inlineStr">
        <is>
          <t>a1-녹</t>
        </is>
      </c>
      <c r="E451" s="2" t="inlineStr">
        <is>
          <t>2.0mm</t>
        </is>
      </c>
      <c r="F451" s="2" t="n">
        <v>1</v>
      </c>
      <c r="G451" s="2" t="n">
        <v>5</v>
      </c>
      <c r="H451" s="2" t="inlineStr">
        <is>
          <t>SC/PC</t>
        </is>
      </c>
      <c r="I451" s="2" t="inlineStr">
        <is>
          <t>SC/PC</t>
        </is>
      </c>
      <c r="J451" s="2" t="n"/>
      <c r="K451" s="2" t="n"/>
      <c r="L451" s="2" t="n"/>
      <c r="M451" s="2" t="n"/>
      <c r="N451" s="2" t="n"/>
      <c r="O451" s="2" t="n">
        <v>32</v>
      </c>
      <c r="P451" s="2" t="n"/>
      <c r="Q451" s="2" t="n"/>
      <c r="R451" s="2" t="n">
        <v>50</v>
      </c>
      <c r="S451" s="2" t="n">
        <v>42</v>
      </c>
      <c r="T451" s="2" t="n"/>
      <c r="U451" s="2" t="n">
        <v>4</v>
      </c>
      <c r="V451" s="2">
        <f>SUM(J451:U451)*G451</f>
        <v/>
      </c>
      <c r="W451" s="2">
        <f>MAX(J451:U451)</f>
        <v/>
      </c>
      <c r="X451" s="2">
        <f>W451*G451</f>
        <v/>
      </c>
    </row>
    <row r="452">
      <c r="A452" s="2" t="inlineStr">
        <is>
          <t>14-K-827</t>
        </is>
      </c>
      <c r="B452" s="3" t="inlineStr">
        <is>
          <t>OJC-A1-LC/LC-MM(OM3)-65-PC/PC-DP</t>
        </is>
      </c>
      <c r="C452" s="2" t="inlineStr"/>
      <c r="D452" s="2" t="inlineStr">
        <is>
          <t>om3</t>
        </is>
      </c>
      <c r="E452" s="2" t="inlineStr">
        <is>
          <t>2.0mm</t>
        </is>
      </c>
      <c r="F452" s="2" t="n">
        <v>2</v>
      </c>
      <c r="G452" s="2" t="n">
        <v>65</v>
      </c>
      <c r="H452" s="2" t="inlineStr">
        <is>
          <t>LC/PC</t>
        </is>
      </c>
      <c r="I452" s="2" t="inlineStr">
        <is>
          <t>LC/PC</t>
        </is>
      </c>
      <c r="J452" s="2" t="n"/>
      <c r="K452" s="2" t="n"/>
      <c r="L452" s="2" t="n"/>
      <c r="M452" s="2" t="n"/>
      <c r="N452" s="2" t="n"/>
      <c r="O452" s="2" t="n">
        <v>2</v>
      </c>
      <c r="P452" s="2" t="n"/>
      <c r="Q452" s="2" t="n"/>
      <c r="R452" s="2" t="n"/>
      <c r="S452" s="2" t="n"/>
      <c r="T452" s="2" t="n"/>
      <c r="U452" s="2" t="n"/>
      <c r="V452" s="2">
        <f>SUM(J452:U452)*G452</f>
        <v/>
      </c>
      <c r="W452" s="2">
        <f>MAX(J452:U452)</f>
        <v/>
      </c>
      <c r="X452" s="2">
        <f>W452*G452</f>
        <v/>
      </c>
    </row>
    <row r="453">
      <c r="A453" s="2" t="inlineStr">
        <is>
          <t>14-K-829</t>
        </is>
      </c>
      <c r="B453" s="3" t="inlineStr">
        <is>
          <t>OJC-A1-SC/SC-SM-55-PC/PC-DP</t>
        </is>
      </c>
      <c r="C453" s="2" t="inlineStr"/>
      <c r="D453" s="2" t="inlineStr">
        <is>
          <t>a1</t>
        </is>
      </c>
      <c r="E453" s="2" t="inlineStr">
        <is>
          <t>2.0mm</t>
        </is>
      </c>
      <c r="F453" s="2" t="n">
        <v>2</v>
      </c>
      <c r="G453" s="2" t="n">
        <v>55</v>
      </c>
      <c r="H453" s="2" t="inlineStr">
        <is>
          <t>SC/PC</t>
        </is>
      </c>
      <c r="I453" s="2" t="inlineStr">
        <is>
          <t>SC/PC</t>
        </is>
      </c>
      <c r="J453" s="2" t="n">
        <v>2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>
        <f>SUM(J453:U453)*G453</f>
        <v/>
      </c>
      <c r="W453" s="2">
        <f>MAX(J453:U453)</f>
        <v/>
      </c>
      <c r="X453" s="2">
        <f>W453*G453</f>
        <v/>
      </c>
    </row>
    <row r="454">
      <c r="A454" s="2" t="inlineStr">
        <is>
          <t>14-K-837</t>
        </is>
      </c>
      <c r="B454" s="3" t="inlineStr">
        <is>
          <t>OJC-A1-LC/LC-MM(OM3)-70-PC/PC-DP</t>
        </is>
      </c>
      <c r="C454" s="2" t="inlineStr"/>
      <c r="D454" s="2" t="inlineStr">
        <is>
          <t>om3</t>
        </is>
      </c>
      <c r="E454" s="2" t="inlineStr">
        <is>
          <t>2.0mm</t>
        </is>
      </c>
      <c r="F454" s="2" t="n">
        <v>2</v>
      </c>
      <c r="G454" s="2" t="n">
        <v>70</v>
      </c>
      <c r="H454" s="2" t="inlineStr">
        <is>
          <t>LC/PC</t>
        </is>
      </c>
      <c r="I454" s="2" t="inlineStr">
        <is>
          <t>LC/PC</t>
        </is>
      </c>
      <c r="J454" s="2" t="n"/>
      <c r="K454" s="2" t="n"/>
      <c r="L454" s="2" t="n"/>
      <c r="M454" s="2" t="n">
        <v>4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>
        <f>SUM(J454:U454)*G454</f>
        <v/>
      </c>
      <c r="W454" s="2">
        <f>MAX(J454:U454)</f>
        <v/>
      </c>
      <c r="X454" s="2">
        <f>W454*G454</f>
        <v/>
      </c>
    </row>
    <row r="455">
      <c r="A455" s="2" t="inlineStr">
        <is>
          <t>14-K-847</t>
        </is>
      </c>
      <c r="B455" s="3" t="inlineStr">
        <is>
          <t>OJC-A1-SC/SC-SM-2-PC/PC-SP</t>
        </is>
      </c>
      <c r="C455" s="2" t="inlineStr">
        <is>
          <t>K9088995_고려오트론</t>
        </is>
      </c>
      <c r="D455" s="2" t="inlineStr">
        <is>
          <t>a1</t>
        </is>
      </c>
      <c r="E455" s="2" t="inlineStr">
        <is>
          <t>2.0mm</t>
        </is>
      </c>
      <c r="F455" s="2" t="n">
        <v>1</v>
      </c>
      <c r="G455" s="2" t="n">
        <v>2</v>
      </c>
      <c r="H455" s="2" t="inlineStr">
        <is>
          <t>SC/PC</t>
        </is>
      </c>
      <c r="I455" s="2" t="inlineStr">
        <is>
          <t>SC/PC</t>
        </is>
      </c>
      <c r="J455" s="2" t="n"/>
      <c r="K455" s="2" t="n"/>
      <c r="L455" s="2" t="n">
        <v>8</v>
      </c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>
        <f>SUM(J455:U455)*G455</f>
        <v/>
      </c>
      <c r="W455" s="2">
        <f>MAX(J455:U455)</f>
        <v/>
      </c>
      <c r="X455" s="2">
        <f>W455*G455</f>
        <v/>
      </c>
    </row>
    <row r="456">
      <c r="A456" s="2" t="inlineStr">
        <is>
          <t>14-K-854</t>
        </is>
      </c>
      <c r="B456" s="3" t="inlineStr">
        <is>
          <t>OJC-A1-LC/LC-MM(OM3)-13-PC/PC-DP</t>
        </is>
      </c>
      <c r="C456" s="2" t="inlineStr"/>
      <c r="D456" s="2" t="inlineStr">
        <is>
          <t>om3</t>
        </is>
      </c>
      <c r="E456" s="2" t="inlineStr">
        <is>
          <t>2.0mm</t>
        </is>
      </c>
      <c r="F456" s="2" t="n">
        <v>2</v>
      </c>
      <c r="G456" s="2" t="n">
        <v>13</v>
      </c>
      <c r="H456" s="2" t="inlineStr">
        <is>
          <t>LC/PC</t>
        </is>
      </c>
      <c r="I456" s="2" t="inlineStr">
        <is>
          <t>LC/PC</t>
        </is>
      </c>
      <c r="J456" s="2" t="n">
        <v>36</v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>
        <v>56</v>
      </c>
      <c r="U456" s="2" t="n"/>
      <c r="V456" s="2">
        <f>SUM(J456:U456)*G456</f>
        <v/>
      </c>
      <c r="W456" s="2">
        <f>MAX(J456:U456)</f>
        <v/>
      </c>
      <c r="X456" s="2">
        <f>W456*G456</f>
        <v/>
      </c>
    </row>
    <row r="457">
      <c r="A457" s="2" t="inlineStr">
        <is>
          <t>14-K-869</t>
        </is>
      </c>
      <c r="B457" s="3" t="inlineStr">
        <is>
          <t>OJC-A1-LC/LC-SM-35-PC/PC-SP</t>
        </is>
      </c>
      <c r="C457" s="2" t="inlineStr">
        <is>
          <t>K9089052</t>
        </is>
      </c>
      <c r="D457" s="2" t="inlineStr">
        <is>
          <t>a1</t>
        </is>
      </c>
      <c r="E457" s="2" t="inlineStr">
        <is>
          <t>2.0mm</t>
        </is>
      </c>
      <c r="F457" s="2" t="n">
        <v>1</v>
      </c>
      <c r="G457" s="2" t="n">
        <v>35</v>
      </c>
      <c r="H457" s="2" t="inlineStr">
        <is>
          <t>LC/PC</t>
        </is>
      </c>
      <c r="I457" s="2" t="inlineStr">
        <is>
          <t>LC/PC</t>
        </is>
      </c>
      <c r="J457" s="2" t="n"/>
      <c r="K457" s="2" t="n"/>
      <c r="L457" s="2" t="n">
        <v>10</v>
      </c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>
        <f>SUM(J457:U457)*G457</f>
        <v/>
      </c>
      <c r="W457" s="2">
        <f>MAX(J457:U457)</f>
        <v/>
      </c>
      <c r="X457" s="2">
        <f>W457*G457</f>
        <v/>
      </c>
    </row>
    <row r="458">
      <c r="A458" s="2" t="inlineStr">
        <is>
          <t>14-K-879</t>
        </is>
      </c>
      <c r="B458" s="3" t="inlineStr">
        <is>
          <t>OJC-A1-SC/SC-SM-3-PC/PC-DP</t>
        </is>
      </c>
      <c r="C458" s="2" t="inlineStr">
        <is>
          <t>K9089125_녹색</t>
        </is>
      </c>
      <c r="D458" s="2" t="inlineStr">
        <is>
          <t>a1-녹</t>
        </is>
      </c>
      <c r="E458" s="2" t="inlineStr">
        <is>
          <t>2.0mm</t>
        </is>
      </c>
      <c r="F458" s="2" t="n">
        <v>2</v>
      </c>
      <c r="G458" s="2" t="n">
        <v>3</v>
      </c>
      <c r="H458" s="2" t="inlineStr">
        <is>
          <t>SC/PC</t>
        </is>
      </c>
      <c r="I458" s="2" t="inlineStr">
        <is>
          <t>SC/PC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>
        <v>60</v>
      </c>
      <c r="T458" s="2" t="n"/>
      <c r="U458" s="2" t="n"/>
      <c r="V458" s="2">
        <f>SUM(J458:U458)*G458</f>
        <v/>
      </c>
      <c r="W458" s="2">
        <f>MAX(J458:U458)</f>
        <v/>
      </c>
      <c r="X458" s="2">
        <f>W458*G458</f>
        <v/>
      </c>
    </row>
    <row r="459">
      <c r="A459" s="2" t="inlineStr">
        <is>
          <t>14-K-883</t>
        </is>
      </c>
      <c r="B459" s="3" t="inlineStr">
        <is>
          <t>OJC-A1-SC/LC-SM-15-PC/PC-DP</t>
        </is>
      </c>
      <c r="C459" s="2" t="inlineStr">
        <is>
          <t>K9089163_포앤티</t>
        </is>
      </c>
      <c r="D459" s="2" t="inlineStr">
        <is>
          <t>a1</t>
        </is>
      </c>
      <c r="E459" s="2" t="inlineStr">
        <is>
          <t>2.0mm</t>
        </is>
      </c>
      <c r="F459" s="2" t="n">
        <v>2</v>
      </c>
      <c r="G459" s="2" t="n">
        <v>15</v>
      </c>
      <c r="H459" s="2" t="inlineStr">
        <is>
          <t>SC/PC</t>
        </is>
      </c>
      <c r="I459" s="2" t="inlineStr">
        <is>
          <t>LC/PC</t>
        </is>
      </c>
      <c r="J459" s="2" t="n"/>
      <c r="K459" s="2" t="n"/>
      <c r="L459" s="2" t="n"/>
      <c r="M459" s="2" t="n"/>
      <c r="N459" s="2" t="n"/>
      <c r="O459" s="2" t="n"/>
      <c r="P459" s="2" t="n"/>
      <c r="Q459" s="2" t="n">
        <v>400</v>
      </c>
      <c r="R459" s="2" t="n">
        <v>400</v>
      </c>
      <c r="S459" s="2" t="n"/>
      <c r="T459" s="2" t="n"/>
      <c r="U459" s="2" t="n"/>
      <c r="V459" s="2">
        <f>SUM(J459:U459)*G459</f>
        <v/>
      </c>
      <c r="W459" s="2">
        <f>MAX(J459:U459)</f>
        <v/>
      </c>
      <c r="X459" s="2">
        <f>W459*G459</f>
        <v/>
      </c>
    </row>
    <row r="460">
      <c r="A460" s="2" t="inlineStr">
        <is>
          <t>14-K-923</t>
        </is>
      </c>
      <c r="B460" s="3" t="inlineStr">
        <is>
          <t>OJC-A1-SC/LC-SM-21-PC/PC-DP</t>
        </is>
      </c>
      <c r="C460" s="2" t="inlineStr">
        <is>
          <t>자색</t>
        </is>
      </c>
      <c r="D460" s="2" t="inlineStr">
        <is>
          <t>a1-자</t>
        </is>
      </c>
      <c r="E460" s="2" t="inlineStr">
        <is>
          <t>2.0mm</t>
        </is>
      </c>
      <c r="F460" s="2" t="n">
        <v>2</v>
      </c>
      <c r="G460" s="2" t="n">
        <v>21</v>
      </c>
      <c r="H460" s="2" t="inlineStr">
        <is>
          <t>SC/PC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>
        <v>4</v>
      </c>
      <c r="O460" s="2" t="n"/>
      <c r="P460" s="2" t="n"/>
      <c r="Q460" s="2" t="n"/>
      <c r="R460" s="2" t="n"/>
      <c r="S460" s="2" t="n"/>
      <c r="T460" s="2" t="n"/>
      <c r="U460" s="2" t="n"/>
      <c r="V460" s="2">
        <f>SUM(J460:U460)*G460</f>
        <v/>
      </c>
      <c r="W460" s="2">
        <f>MAX(J460:U460)</f>
        <v/>
      </c>
      <c r="X460" s="2">
        <f>W460*G460</f>
        <v/>
      </c>
    </row>
    <row r="461">
      <c r="A461" s="2" t="inlineStr">
        <is>
          <t>14-K-923</t>
        </is>
      </c>
      <c r="B461" s="3" t="inlineStr">
        <is>
          <t>OJC-A1-SC/LC-SM-21-PC/PC-DP</t>
        </is>
      </c>
      <c r="C461" s="2" t="inlineStr">
        <is>
          <t>적색</t>
        </is>
      </c>
      <c r="D461" s="2" t="inlineStr">
        <is>
          <t>a1-적</t>
        </is>
      </c>
      <c r="E461" s="2" t="inlineStr">
        <is>
          <t>2.0mm</t>
        </is>
      </c>
      <c r="F461" s="2" t="n">
        <v>2</v>
      </c>
      <c r="G461" s="2" t="n">
        <v>21</v>
      </c>
      <c r="H461" s="2" t="inlineStr">
        <is>
          <t>SC/PC</t>
        </is>
      </c>
      <c r="I461" s="2" t="inlineStr">
        <is>
          <t>LC/PC</t>
        </is>
      </c>
      <c r="J461" s="2" t="n"/>
      <c r="K461" s="2" t="n"/>
      <c r="L461" s="2" t="n"/>
      <c r="M461" s="2" t="n"/>
      <c r="N461" s="2" t="n">
        <v>12</v>
      </c>
      <c r="O461" s="2" t="n"/>
      <c r="P461" s="2" t="n"/>
      <c r="Q461" s="2" t="n"/>
      <c r="R461" s="2" t="n"/>
      <c r="S461" s="2" t="n"/>
      <c r="T461" s="2" t="n"/>
      <c r="U461" s="2" t="n"/>
      <c r="V461" s="2">
        <f>SUM(J461:U461)*G461</f>
        <v/>
      </c>
      <c r="W461" s="2">
        <f>MAX(J461:U461)</f>
        <v/>
      </c>
      <c r="X461" s="2">
        <f>W461*G461</f>
        <v/>
      </c>
    </row>
    <row r="462">
      <c r="A462" s="2" t="inlineStr">
        <is>
          <t>14-K-925</t>
        </is>
      </c>
      <c r="B462" s="3" t="inlineStr">
        <is>
          <t>OJC-A1-LC/LC-SM-21-PC/PC-DP</t>
        </is>
      </c>
      <c r="C462" s="2" t="inlineStr"/>
      <c r="D462" s="2" t="inlineStr">
        <is>
          <t>a1</t>
        </is>
      </c>
      <c r="E462" s="2" t="inlineStr">
        <is>
          <t>2.0mm</t>
        </is>
      </c>
      <c r="F462" s="2" t="n">
        <v>2</v>
      </c>
      <c r="G462" s="2" t="n">
        <v>21</v>
      </c>
      <c r="H462" s="2" t="inlineStr">
        <is>
          <t>LC/PC</t>
        </is>
      </c>
      <c r="I462" s="2" t="inlineStr">
        <is>
          <t>LC/PC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>
        <v>2</v>
      </c>
      <c r="S462" s="2" t="n">
        <v>1</v>
      </c>
      <c r="T462" s="2" t="n"/>
      <c r="U462" s="2" t="n"/>
      <c r="V462" s="2">
        <f>SUM(J462:U462)*G462</f>
        <v/>
      </c>
      <c r="W462" s="2">
        <f>MAX(J462:U462)</f>
        <v/>
      </c>
      <c r="X462" s="2">
        <f>W462*G462</f>
        <v/>
      </c>
    </row>
    <row r="463">
      <c r="A463" s="2" t="inlineStr">
        <is>
          <t>14-K-925</t>
        </is>
      </c>
      <c r="B463" s="3" t="inlineStr">
        <is>
          <t>OJC-A1-LC/LC-SM-21-PC/PC-DP</t>
        </is>
      </c>
      <c r="C463" s="2" t="inlineStr">
        <is>
          <t>자색</t>
        </is>
      </c>
      <c r="D463" s="2" t="inlineStr">
        <is>
          <t>a1-자</t>
        </is>
      </c>
      <c r="E463" s="2" t="inlineStr">
        <is>
          <t>2.0mm</t>
        </is>
      </c>
      <c r="F463" s="2" t="n">
        <v>2</v>
      </c>
      <c r="G463" s="2" t="n">
        <v>21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>
        <v>2</v>
      </c>
      <c r="O463" s="2" t="n"/>
      <c r="P463" s="2" t="n"/>
      <c r="Q463" s="2" t="n"/>
      <c r="R463" s="2" t="n"/>
      <c r="S463" s="2" t="n"/>
      <c r="T463" s="2" t="n"/>
      <c r="U463" s="2" t="n"/>
      <c r="V463" s="2">
        <f>SUM(J463:U463)*G463</f>
        <v/>
      </c>
      <c r="W463" s="2">
        <f>MAX(J463:U463)</f>
        <v/>
      </c>
      <c r="X463" s="2">
        <f>W463*G463</f>
        <v/>
      </c>
    </row>
    <row r="464">
      <c r="A464" s="2" t="inlineStr">
        <is>
          <t>14-K-925</t>
        </is>
      </c>
      <c r="B464" s="3" t="inlineStr">
        <is>
          <t>OJC-A1-LC/LC-SM-21-PC/PC-DP</t>
        </is>
      </c>
      <c r="C464" s="2" t="inlineStr">
        <is>
          <t>적색</t>
        </is>
      </c>
      <c r="D464" s="2" t="inlineStr">
        <is>
          <t>a1-적</t>
        </is>
      </c>
      <c r="E464" s="2" t="inlineStr">
        <is>
          <t>2.0mm</t>
        </is>
      </c>
      <c r="F464" s="2" t="n">
        <v>2</v>
      </c>
      <c r="G464" s="2" t="n">
        <v>21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>
        <v>8</v>
      </c>
      <c r="O464" s="2" t="n"/>
      <c r="P464" s="2" t="n"/>
      <c r="Q464" s="2" t="n"/>
      <c r="R464" s="2" t="n"/>
      <c r="S464" s="2" t="n"/>
      <c r="T464" s="2" t="n"/>
      <c r="U464" s="2" t="n"/>
      <c r="V464" s="2">
        <f>SUM(J464:U464)*G464</f>
        <v/>
      </c>
      <c r="W464" s="2">
        <f>MAX(J464:U464)</f>
        <v/>
      </c>
      <c r="X464" s="2">
        <f>W464*G464</f>
        <v/>
      </c>
    </row>
    <row r="465">
      <c r="A465" s="2" t="inlineStr">
        <is>
          <t>14-K-927</t>
        </is>
      </c>
      <c r="B465" s="3" t="inlineStr">
        <is>
          <t>OJC-A1-SC/LC-SM-24-PC/PC-DP</t>
        </is>
      </c>
      <c r="C465" s="2" t="inlineStr">
        <is>
          <t>적색</t>
        </is>
      </c>
      <c r="D465" s="2" t="inlineStr">
        <is>
          <t>a1-적</t>
        </is>
      </c>
      <c r="E465" s="2" t="inlineStr">
        <is>
          <t>2.0mm</t>
        </is>
      </c>
      <c r="F465" s="2" t="n">
        <v>2</v>
      </c>
      <c r="G465" s="2" t="n">
        <v>24</v>
      </c>
      <c r="H465" s="2" t="inlineStr">
        <is>
          <t>SC/PC</t>
        </is>
      </c>
      <c r="I465" s="2" t="inlineStr">
        <is>
          <t>LC/PC</t>
        </is>
      </c>
      <c r="J465" s="2" t="n"/>
      <c r="K465" s="2" t="n"/>
      <c r="L465" s="2" t="n"/>
      <c r="M465" s="2" t="n"/>
      <c r="N465" s="2" t="n">
        <v>8</v>
      </c>
      <c r="O465" s="2" t="n"/>
      <c r="P465" s="2" t="n"/>
      <c r="Q465" s="2" t="n"/>
      <c r="R465" s="2" t="n"/>
      <c r="S465" s="2" t="n"/>
      <c r="T465" s="2" t="n"/>
      <c r="U465" s="2" t="n"/>
      <c r="V465" s="2">
        <f>SUM(J465:U465)*G465</f>
        <v/>
      </c>
      <c r="W465" s="2">
        <f>MAX(J465:U465)</f>
        <v/>
      </c>
      <c r="X465" s="2">
        <f>W465*G465</f>
        <v/>
      </c>
    </row>
    <row r="466">
      <c r="A466" s="2" t="inlineStr">
        <is>
          <t>14-K-927</t>
        </is>
      </c>
      <c r="B466" s="3" t="inlineStr">
        <is>
          <t>OJC-A1-SC/LC-SM-24-PC/PC-DP</t>
        </is>
      </c>
      <c r="C466" s="2" t="inlineStr">
        <is>
          <t>자색</t>
        </is>
      </c>
      <c r="D466" s="2" t="inlineStr">
        <is>
          <t>a1-자</t>
        </is>
      </c>
      <c r="E466" s="2" t="inlineStr">
        <is>
          <t>2.0mm</t>
        </is>
      </c>
      <c r="F466" s="2" t="n">
        <v>2</v>
      </c>
      <c r="G466" s="2" t="n">
        <v>24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>
        <v>3</v>
      </c>
      <c r="O466" s="2" t="n"/>
      <c r="P466" s="2" t="n"/>
      <c r="Q466" s="2" t="n"/>
      <c r="R466" s="2" t="n"/>
      <c r="S466" s="2" t="n"/>
      <c r="T466" s="2" t="n"/>
      <c r="U466" s="2" t="n"/>
      <c r="V466" s="2">
        <f>SUM(J466:U466)*G466</f>
        <v/>
      </c>
      <c r="W466" s="2">
        <f>MAX(J466:U466)</f>
        <v/>
      </c>
      <c r="X466" s="2">
        <f>W466*G466</f>
        <v/>
      </c>
    </row>
    <row r="467">
      <c r="A467" s="2" t="inlineStr">
        <is>
          <t>14-K-928</t>
        </is>
      </c>
      <c r="B467" s="3" t="inlineStr">
        <is>
          <t>OJC-A1-LC/LC-SM-3-PC/PC-DP</t>
        </is>
      </c>
      <c r="C467" s="2" t="inlineStr">
        <is>
          <t>K9089173_청색</t>
        </is>
      </c>
      <c r="D467" s="2" t="inlineStr">
        <is>
          <t>a1-청</t>
        </is>
      </c>
      <c r="E467" s="2" t="inlineStr">
        <is>
          <t>2.0mm</t>
        </is>
      </c>
      <c r="F467" s="2" t="n">
        <v>2</v>
      </c>
      <c r="G467" s="2" t="n">
        <v>3</v>
      </c>
      <c r="H467" s="2" t="inlineStr">
        <is>
          <t>LC/PC</t>
        </is>
      </c>
      <c r="I467" s="2" t="inlineStr">
        <is>
          <t>LC/PC</t>
        </is>
      </c>
      <c r="J467" s="2" t="n"/>
      <c r="K467" s="2" t="n">
        <v>20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>
        <v>60</v>
      </c>
      <c r="V467" s="2">
        <f>SUM(J467:U467)*G467</f>
        <v/>
      </c>
      <c r="W467" s="2">
        <f>MAX(J467:U467)</f>
        <v/>
      </c>
      <c r="X467" s="2">
        <f>W467*G467</f>
        <v/>
      </c>
    </row>
    <row r="468">
      <c r="A468" s="2" t="inlineStr">
        <is>
          <t>14-K-933</t>
        </is>
      </c>
      <c r="B468" s="3" t="inlineStr">
        <is>
          <t>OJC-A1-SC/LC-SM-27-PC/PC-DP</t>
        </is>
      </c>
      <c r="C468" s="2" t="inlineStr">
        <is>
          <t>적색</t>
        </is>
      </c>
      <c r="D468" s="2" t="inlineStr">
        <is>
          <t>a1-적</t>
        </is>
      </c>
      <c r="E468" s="2" t="inlineStr">
        <is>
          <t>2.0mm</t>
        </is>
      </c>
      <c r="F468" s="2" t="n">
        <v>2</v>
      </c>
      <c r="G468" s="2" t="n">
        <v>27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>
        <v>3</v>
      </c>
      <c r="O468" s="2" t="n"/>
      <c r="P468" s="2" t="n"/>
      <c r="Q468" s="2" t="n"/>
      <c r="R468" s="2" t="n"/>
      <c r="S468" s="2" t="n"/>
      <c r="T468" s="2" t="n"/>
      <c r="U468" s="2" t="n"/>
      <c r="V468" s="2">
        <f>SUM(J468:U468)*G468</f>
        <v/>
      </c>
      <c r="W468" s="2">
        <f>MAX(J468:U468)</f>
        <v/>
      </c>
      <c r="X468" s="2">
        <f>W468*G468</f>
        <v/>
      </c>
    </row>
    <row r="469">
      <c r="A469" s="2" t="inlineStr">
        <is>
          <t>14-K-936</t>
        </is>
      </c>
      <c r="B469" s="3" t="inlineStr">
        <is>
          <t>OJC-A1-SC/LC-SM-80-PC/PC-DP</t>
        </is>
      </c>
      <c r="C469" s="2" t="inlineStr"/>
      <c r="D469" s="2" t="inlineStr">
        <is>
          <t>a1</t>
        </is>
      </c>
      <c r="E469" s="2" t="inlineStr">
        <is>
          <t>2.0mm</t>
        </is>
      </c>
      <c r="F469" s="2" t="n">
        <v>2</v>
      </c>
      <c r="G469" s="2" t="n">
        <v>80</v>
      </c>
      <c r="H469" s="2" t="inlineStr">
        <is>
          <t>SC/PC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>
        <v>3</v>
      </c>
      <c r="R469" s="2" t="n">
        <v>3</v>
      </c>
      <c r="S469" s="2" t="n"/>
      <c r="T469" s="2" t="n"/>
      <c r="U469" s="2" t="n"/>
      <c r="V469" s="2">
        <f>SUM(J469:U469)*G469</f>
        <v/>
      </c>
      <c r="W469" s="2">
        <f>MAX(J469:U469)</f>
        <v/>
      </c>
      <c r="X469" s="2">
        <f>W469*G469</f>
        <v/>
      </c>
    </row>
    <row r="470">
      <c r="A470" s="2" t="inlineStr">
        <is>
          <t>14-K-939</t>
        </is>
      </c>
      <c r="B470" s="3" t="inlineStr">
        <is>
          <t>OJC-C2-SC/LC-SM-20-PC/PC-16C</t>
        </is>
      </c>
      <c r="C470" s="2" t="inlineStr">
        <is>
          <t>K9094341</t>
        </is>
      </c>
      <c r="D470" s="2" t="inlineStr">
        <is>
          <t>a1-16c</t>
        </is>
      </c>
      <c r="E470" s="2" t="inlineStr">
        <is>
          <t>2.0mm</t>
        </is>
      </c>
      <c r="F470" s="2" t="n">
        <v>16</v>
      </c>
      <c r="G470" s="2" t="n">
        <v>20</v>
      </c>
      <c r="H470" s="2" t="inlineStr">
        <is>
          <t>SC/PC</t>
        </is>
      </c>
      <c r="I470" s="2" t="inlineStr">
        <is>
          <t>LC/PC</t>
        </is>
      </c>
      <c r="J470" s="2" t="n"/>
      <c r="K470" s="2" t="n"/>
      <c r="L470" s="2" t="n">
        <v>10</v>
      </c>
      <c r="M470" s="2" t="n"/>
      <c r="N470" s="2" t="n"/>
      <c r="O470" s="2" t="n">
        <v>3</v>
      </c>
      <c r="P470" s="2" t="n"/>
      <c r="Q470" s="2" t="n"/>
      <c r="R470" s="2" t="n"/>
      <c r="S470" s="2" t="n"/>
      <c r="T470" s="2" t="n"/>
      <c r="U470" s="2" t="n"/>
      <c r="V470" s="2">
        <f>SUM(J470:U470)*G470</f>
        <v/>
      </c>
      <c r="W470" s="2">
        <f>MAX(J470:U470)</f>
        <v/>
      </c>
      <c r="X470" s="2">
        <f>W470*G470</f>
        <v/>
      </c>
    </row>
    <row r="471">
      <c r="A471" s="2" t="inlineStr">
        <is>
          <t>14-K-940</t>
        </is>
      </c>
      <c r="B471" s="3" t="inlineStr">
        <is>
          <t>OJC-A1-SC/LC-SM-3-PC/PC-DP</t>
        </is>
      </c>
      <c r="C471" s="2" t="inlineStr">
        <is>
          <t>청색</t>
        </is>
      </c>
      <c r="D471" s="2" t="inlineStr">
        <is>
          <t>a1-청</t>
        </is>
      </c>
      <c r="E471" s="2" t="inlineStr">
        <is>
          <t>2.0mm</t>
        </is>
      </c>
      <c r="F471" s="2" t="n">
        <v>2</v>
      </c>
      <c r="G471" s="2" t="n">
        <v>3</v>
      </c>
      <c r="H471" s="2" t="inlineStr">
        <is>
          <t>SC/PC</t>
        </is>
      </c>
      <c r="I471" s="2" t="inlineStr">
        <is>
          <t>LC/PC</t>
        </is>
      </c>
      <c r="J471" s="2" t="n"/>
      <c r="K471" s="2" t="n">
        <v>60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>
        <f>SUM(J471:U471)*G471</f>
        <v/>
      </c>
      <c r="W471" s="2">
        <f>MAX(J471:U471)</f>
        <v/>
      </c>
      <c r="X471" s="2">
        <f>W471*G471</f>
        <v/>
      </c>
    </row>
    <row r="472">
      <c r="A472" s="2" t="inlineStr">
        <is>
          <t>14-K-941</t>
        </is>
      </c>
      <c r="B472" s="3" t="inlineStr">
        <is>
          <t>OJC-C2-SC/LC-SM-40-PC/PC-20C</t>
        </is>
      </c>
      <c r="C472" s="2" t="inlineStr">
        <is>
          <t>K9094344</t>
        </is>
      </c>
      <c r="D472" s="2" t="inlineStr">
        <is>
          <t>a1-20c</t>
        </is>
      </c>
      <c r="E472" s="2" t="inlineStr">
        <is>
          <t>2.0mm</t>
        </is>
      </c>
      <c r="F472" s="2" t="n">
        <v>20</v>
      </c>
      <c r="G472" s="2" t="n">
        <v>40</v>
      </c>
      <c r="H472" s="2" t="inlineStr">
        <is>
          <t>SC/PC</t>
        </is>
      </c>
      <c r="I472" s="2" t="inlineStr">
        <is>
          <t>LC/PC</t>
        </is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>
        <v>2</v>
      </c>
      <c r="S472" s="2" t="n"/>
      <c r="T472" s="2" t="n"/>
      <c r="U472" s="2" t="n"/>
      <c r="V472" s="2">
        <f>SUM(J472:U472)*G472</f>
        <v/>
      </c>
      <c r="W472" s="2">
        <f>MAX(J472:U472)</f>
        <v/>
      </c>
      <c r="X472" s="2">
        <f>W472*G472</f>
        <v/>
      </c>
    </row>
    <row r="473">
      <c r="A473" s="2" t="inlineStr">
        <is>
          <t>14-K-A101</t>
        </is>
      </c>
      <c r="B473" s="3" t="inlineStr">
        <is>
          <t>OJC-A1-LC/LC-SM-1-PC/PC-DP</t>
        </is>
      </c>
      <c r="C473" s="2" t="inlineStr">
        <is>
          <t>K9089171_청색</t>
        </is>
      </c>
      <c r="D473" s="2" t="inlineStr">
        <is>
          <t>a1-청</t>
        </is>
      </c>
      <c r="E473" s="2" t="inlineStr">
        <is>
          <t>2.0mm</t>
        </is>
      </c>
      <c r="F473" s="2" t="n">
        <v>2</v>
      </c>
      <c r="G473" s="2" t="n">
        <v>1</v>
      </c>
      <c r="H473" s="2" t="inlineStr">
        <is>
          <t>LC/PC</t>
        </is>
      </c>
      <c r="I473" s="2" t="inlineStr">
        <is>
          <t>LC/PC</t>
        </is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>
        <v>10</v>
      </c>
      <c r="V473" s="2">
        <f>SUM(J473:U473)*G473</f>
        <v/>
      </c>
      <c r="W473" s="2">
        <f>MAX(J473:U473)</f>
        <v/>
      </c>
      <c r="X473" s="2">
        <f>W473*G473</f>
        <v/>
      </c>
    </row>
    <row r="474">
      <c r="A474" s="2" t="inlineStr">
        <is>
          <t>14-K-A102</t>
        </is>
      </c>
      <c r="B474" s="3" t="inlineStr">
        <is>
          <t>OJC-A1-SC/SC-SM-3-PC/PC-DP</t>
        </is>
      </c>
      <c r="C474" s="2" t="inlineStr">
        <is>
          <t>적색</t>
        </is>
      </c>
      <c r="D474" s="2" t="inlineStr">
        <is>
          <t>a1-적</t>
        </is>
      </c>
      <c r="E474" s="2" t="inlineStr">
        <is>
          <t>2.0mm</t>
        </is>
      </c>
      <c r="F474" s="2" t="n">
        <v>2</v>
      </c>
      <c r="G474" s="2" t="n">
        <v>3</v>
      </c>
      <c r="H474" s="2" t="inlineStr">
        <is>
          <t>SC/PC</t>
        </is>
      </c>
      <c r="I474" s="2" t="inlineStr">
        <is>
          <t>SC/PC</t>
        </is>
      </c>
      <c r="J474" s="2" t="n"/>
      <c r="K474" s="2" t="n">
        <v>10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>
        <f>SUM(J474:U474)*G474</f>
        <v/>
      </c>
      <c r="W474" s="2">
        <f>MAX(J474:U474)</f>
        <v/>
      </c>
      <c r="X474" s="2">
        <f>W474*G474</f>
        <v/>
      </c>
    </row>
    <row r="475">
      <c r="A475" s="2" t="inlineStr">
        <is>
          <t>14-K-A111</t>
        </is>
      </c>
      <c r="B475" s="3" t="inlineStr">
        <is>
          <t>OJC-C2-SC/LC-SM-25-PC/PC-16C</t>
        </is>
      </c>
      <c r="C475" s="2" t="inlineStr">
        <is>
          <t>K9094341</t>
        </is>
      </c>
      <c r="D475" s="2" t="inlineStr">
        <is>
          <t>a1-16c</t>
        </is>
      </c>
      <c r="E475" s="2" t="inlineStr">
        <is>
          <t>2.0mm</t>
        </is>
      </c>
      <c r="F475" s="2" t="n">
        <v>16</v>
      </c>
      <c r="G475" s="2" t="n">
        <v>25</v>
      </c>
      <c r="H475" s="2" t="inlineStr">
        <is>
          <t>SC/PC</t>
        </is>
      </c>
      <c r="I475" s="2" t="inlineStr">
        <is>
          <t>LC/PC</t>
        </is>
      </c>
      <c r="J475" s="2" t="n"/>
      <c r="K475" s="2" t="n"/>
      <c r="L475" s="2" t="n">
        <v>10</v>
      </c>
      <c r="M475" s="2" t="n"/>
      <c r="N475" s="2" t="n"/>
      <c r="O475" s="2" t="n">
        <v>3</v>
      </c>
      <c r="P475" s="2" t="n"/>
      <c r="Q475" s="2" t="n"/>
      <c r="R475" s="2" t="n"/>
      <c r="S475" s="2" t="n"/>
      <c r="T475" s="2" t="n"/>
      <c r="U475" s="2" t="n"/>
      <c r="V475" s="2">
        <f>SUM(J475:U475)*G475</f>
        <v/>
      </c>
      <c r="W475" s="2">
        <f>MAX(J475:U475)</f>
        <v/>
      </c>
      <c r="X475" s="2">
        <f>W475*G475</f>
        <v/>
      </c>
    </row>
    <row r="476">
      <c r="A476" s="2" t="inlineStr">
        <is>
          <t>14-K-A124</t>
        </is>
      </c>
      <c r="B476" s="3" t="inlineStr">
        <is>
          <t>OJC-A1-LC/LC-SM-15-APC/APC-DP</t>
        </is>
      </c>
      <c r="C476" s="2" t="inlineStr"/>
      <c r="D476" s="2" t="inlineStr">
        <is>
          <t>a1</t>
        </is>
      </c>
      <c r="E476" s="2" t="inlineStr">
        <is>
          <t>2.0mm</t>
        </is>
      </c>
      <c r="F476" s="2" t="n">
        <v>2</v>
      </c>
      <c r="G476" s="2" t="n">
        <v>15</v>
      </c>
      <c r="H476" s="2" t="inlineStr">
        <is>
          <t>LC/APC</t>
        </is>
      </c>
      <c r="I476" s="2" t="inlineStr">
        <is>
          <t>LC/APC</t>
        </is>
      </c>
      <c r="J476" s="2" t="n"/>
      <c r="K476" s="2" t="n"/>
      <c r="L476" s="2" t="n"/>
      <c r="M476" s="2" t="n">
        <v>10</v>
      </c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>
        <f>SUM(J476:U476)*G476</f>
        <v/>
      </c>
      <c r="W476" s="2">
        <f>MAX(J476:U476)</f>
        <v/>
      </c>
      <c r="X476" s="2">
        <f>W476*G476</f>
        <v/>
      </c>
    </row>
    <row r="477">
      <c r="A477" s="2" t="inlineStr">
        <is>
          <t>14-K-A138</t>
        </is>
      </c>
      <c r="B477" s="3" t="inlineStr">
        <is>
          <t>OJC-A1-SC/SC-SM-40-PC/PC-DP</t>
        </is>
      </c>
      <c r="C477" s="2" t="inlineStr">
        <is>
          <t>K9089154_청색</t>
        </is>
      </c>
      <c r="D477" s="2" t="inlineStr">
        <is>
          <t>a1-청</t>
        </is>
      </c>
      <c r="E477" s="2" t="inlineStr">
        <is>
          <t>2.0mm</t>
        </is>
      </c>
      <c r="F477" s="2" t="n">
        <v>2</v>
      </c>
      <c r="G477" s="2" t="n">
        <v>40</v>
      </c>
      <c r="H477" s="2" t="inlineStr">
        <is>
          <t>SC/PC</t>
        </is>
      </c>
      <c r="I477" s="2" t="inlineStr">
        <is>
          <t>SC/PC</t>
        </is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>
        <v>20</v>
      </c>
      <c r="T477" s="2" t="n"/>
      <c r="U477" s="2" t="n"/>
      <c r="V477" s="2">
        <f>SUM(J477:U477)*G477</f>
        <v/>
      </c>
      <c r="W477" s="2">
        <f>MAX(J477:U477)</f>
        <v/>
      </c>
      <c r="X477" s="2">
        <f>W477*G477</f>
        <v/>
      </c>
    </row>
    <row r="478">
      <c r="A478" s="2" t="inlineStr">
        <is>
          <t>14-K-A143</t>
        </is>
      </c>
      <c r="B478" s="3" t="inlineStr">
        <is>
          <t>OJC-A1-LC/LC-SM-15-PC/PC-DP</t>
        </is>
      </c>
      <c r="C478" s="2" t="inlineStr">
        <is>
          <t>K9089177_녹색</t>
        </is>
      </c>
      <c r="D478" s="2" t="inlineStr">
        <is>
          <t>a1-녹</t>
        </is>
      </c>
      <c r="E478" s="2" t="inlineStr">
        <is>
          <t>2.0mm</t>
        </is>
      </c>
      <c r="F478" s="2" t="n">
        <v>2</v>
      </c>
      <c r="G478" s="2" t="n">
        <v>15</v>
      </c>
      <c r="H478" s="2" t="inlineStr">
        <is>
          <t>LC/PC</t>
        </is>
      </c>
      <c r="I478" s="2" t="inlineStr">
        <is>
          <t>LC/PC</t>
        </is>
      </c>
      <c r="J478" s="2" t="n"/>
      <c r="K478" s="2" t="n"/>
      <c r="L478" s="2" t="n"/>
      <c r="M478" s="2" t="n">
        <v>5</v>
      </c>
      <c r="N478" s="2" t="n"/>
      <c r="O478" s="2" t="n">
        <v>34</v>
      </c>
      <c r="P478" s="2" t="n"/>
      <c r="Q478" s="2" t="n"/>
      <c r="R478" s="2" t="n"/>
      <c r="S478" s="2" t="n"/>
      <c r="T478" s="2" t="n">
        <v>3</v>
      </c>
      <c r="U478" s="2" t="n">
        <v>2</v>
      </c>
      <c r="V478" s="2">
        <f>SUM(J478:U478)*G478</f>
        <v/>
      </c>
      <c r="W478" s="2">
        <f>MAX(J478:U478)</f>
        <v/>
      </c>
      <c r="X478" s="2">
        <f>W478*G478</f>
        <v/>
      </c>
    </row>
    <row r="479">
      <c r="A479" s="2" t="inlineStr">
        <is>
          <t>14-K-A144</t>
        </is>
      </c>
      <c r="B479" s="3" t="inlineStr">
        <is>
          <t>OJC-A1-SC/LC-SM-10-PC/PC-SP</t>
        </is>
      </c>
      <c r="C479" s="2" t="inlineStr">
        <is>
          <t>K9089033_녹색</t>
        </is>
      </c>
      <c r="D479" s="2" t="inlineStr">
        <is>
          <t>a1-녹</t>
        </is>
      </c>
      <c r="E479" s="2" t="inlineStr">
        <is>
          <t>2.0mm</t>
        </is>
      </c>
      <c r="F479" s="2" t="n">
        <v>1</v>
      </c>
      <c r="G479" s="2" t="n">
        <v>10</v>
      </c>
      <c r="H479" s="2" t="inlineStr">
        <is>
          <t>SC/PC</t>
        </is>
      </c>
      <c r="I479" s="2" t="inlineStr">
        <is>
          <t>LC/PC</t>
        </is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>
        <v>3</v>
      </c>
      <c r="T479" s="2" t="n"/>
      <c r="U479" s="2" t="n"/>
      <c r="V479" s="2">
        <f>SUM(J479:U479)*G479</f>
        <v/>
      </c>
      <c r="W479" s="2">
        <f>MAX(J479:U479)</f>
        <v/>
      </c>
      <c r="X479" s="2">
        <f>W479*G479</f>
        <v/>
      </c>
    </row>
    <row r="480">
      <c r="A480" s="2" t="inlineStr">
        <is>
          <t>14-K-A145</t>
        </is>
      </c>
      <c r="B480" s="3" t="inlineStr">
        <is>
          <t>OJC-A1-SC/LC-SM-15-PC/PC-SP</t>
        </is>
      </c>
      <c r="C480" s="2" t="inlineStr">
        <is>
          <t>K9089034_녹색</t>
        </is>
      </c>
      <c r="D480" s="2" t="inlineStr">
        <is>
          <t>a1-녹</t>
        </is>
      </c>
      <c r="E480" s="2" t="inlineStr">
        <is>
          <t>2.0mm</t>
        </is>
      </c>
      <c r="F480" s="2" t="n">
        <v>1</v>
      </c>
      <c r="G480" s="2" t="n">
        <v>15</v>
      </c>
      <c r="H480" s="2" t="inlineStr">
        <is>
          <t>SC/PC</t>
        </is>
      </c>
      <c r="I480" s="2" t="inlineStr">
        <is>
          <t>LC/PC</t>
        </is>
      </c>
      <c r="J480" s="2" t="n"/>
      <c r="K480" s="2" t="n"/>
      <c r="L480" s="2" t="n"/>
      <c r="M480" s="2" t="n"/>
      <c r="N480" s="2" t="n"/>
      <c r="O480" s="2" t="n">
        <v>6</v>
      </c>
      <c r="P480" s="2" t="n"/>
      <c r="Q480" s="2" t="n">
        <v>6</v>
      </c>
      <c r="R480" s="2" t="n"/>
      <c r="S480" s="2" t="n">
        <v>3</v>
      </c>
      <c r="T480" s="2" t="n"/>
      <c r="U480" s="2" t="n"/>
      <c r="V480" s="2">
        <f>SUM(J480:U480)*G480</f>
        <v/>
      </c>
      <c r="W480" s="2">
        <f>MAX(J480:U480)</f>
        <v/>
      </c>
      <c r="X480" s="2">
        <f>W480*G480</f>
        <v/>
      </c>
    </row>
    <row r="481">
      <c r="A481" s="2" t="inlineStr">
        <is>
          <t>14-K-A146</t>
        </is>
      </c>
      <c r="B481" s="3" t="inlineStr">
        <is>
          <t>OJC-A1-SC/LC-SM-20-PC/PC-SP</t>
        </is>
      </c>
      <c r="C481" s="2" t="inlineStr">
        <is>
          <t>K9089035_녹색</t>
        </is>
      </c>
      <c r="D481" s="2" t="inlineStr">
        <is>
          <t>a1-녹</t>
        </is>
      </c>
      <c r="E481" s="2" t="inlineStr">
        <is>
          <t>2.0mm</t>
        </is>
      </c>
      <c r="F481" s="2" t="n">
        <v>1</v>
      </c>
      <c r="G481" s="2" t="n">
        <v>20</v>
      </c>
      <c r="H481" s="2" t="inlineStr">
        <is>
          <t>SC/PC</t>
        </is>
      </c>
      <c r="I481" s="2" t="inlineStr">
        <is>
          <t>LC/PC</t>
        </is>
      </c>
      <c r="J481" s="2" t="n"/>
      <c r="K481" s="2" t="n"/>
      <c r="L481" s="2" t="n"/>
      <c r="M481" s="2" t="n"/>
      <c r="N481" s="2" t="n"/>
      <c r="O481" s="2" t="n">
        <v>49</v>
      </c>
      <c r="P481" s="2" t="n"/>
      <c r="Q481" s="2" t="n"/>
      <c r="R481" s="2" t="n"/>
      <c r="S481" s="2" t="n">
        <v>17</v>
      </c>
      <c r="T481" s="2" t="n">
        <v>9</v>
      </c>
      <c r="U481" s="2" t="n"/>
      <c r="V481" s="2">
        <f>SUM(J481:U481)*G481</f>
        <v/>
      </c>
      <c r="W481" s="2">
        <f>MAX(J481:U481)</f>
        <v/>
      </c>
      <c r="X481" s="2">
        <f>W481*G481</f>
        <v/>
      </c>
    </row>
    <row r="482">
      <c r="A482" s="2" t="inlineStr">
        <is>
          <t>14-K-A147</t>
        </is>
      </c>
      <c r="B482" s="3" t="inlineStr">
        <is>
          <t>OJC-A1-SC/LC-SM-3-PC/PC-SP</t>
        </is>
      </c>
      <c r="C482" s="2" t="inlineStr">
        <is>
          <t>K9089030_녹색</t>
        </is>
      </c>
      <c r="D482" s="2" t="inlineStr">
        <is>
          <t>a1-녹</t>
        </is>
      </c>
      <c r="E482" s="2" t="inlineStr">
        <is>
          <t>2.0mm</t>
        </is>
      </c>
      <c r="F482" s="2" t="n">
        <v>1</v>
      </c>
      <c r="G482" s="2" t="n">
        <v>3</v>
      </c>
      <c r="H482" s="2" t="inlineStr">
        <is>
          <t>SC/PC</t>
        </is>
      </c>
      <c r="I482" s="2" t="inlineStr">
        <is>
          <t>LC/PC</t>
        </is>
      </c>
      <c r="J482" s="2" t="n"/>
      <c r="K482" s="2" t="n"/>
      <c r="L482" s="2" t="n"/>
      <c r="M482" s="2" t="n"/>
      <c r="N482" s="2" t="n"/>
      <c r="O482" s="2" t="n">
        <v>62</v>
      </c>
      <c r="P482" s="2" t="n"/>
      <c r="Q482" s="2" t="n">
        <v>50</v>
      </c>
      <c r="R482" s="2" t="n"/>
      <c r="S482" s="2" t="n">
        <v>15</v>
      </c>
      <c r="T482" s="2" t="n"/>
      <c r="U482" s="2" t="n"/>
      <c r="V482" s="2">
        <f>SUM(J482:U482)*G482</f>
        <v/>
      </c>
      <c r="W482" s="2">
        <f>MAX(J482:U482)</f>
        <v/>
      </c>
      <c r="X482" s="2">
        <f>W482*G482</f>
        <v/>
      </c>
    </row>
    <row r="483">
      <c r="A483" s="2" t="inlineStr">
        <is>
          <t>14-K-A163</t>
        </is>
      </c>
      <c r="B483" s="3" t="inlineStr">
        <is>
          <t>OJC-A1-SC/LC-SM-30-PC/PC-SP</t>
        </is>
      </c>
      <c r="C483" s="2" t="inlineStr">
        <is>
          <t>K9089037_녹색</t>
        </is>
      </c>
      <c r="D483" s="2" t="inlineStr">
        <is>
          <t>a1-녹</t>
        </is>
      </c>
      <c r="E483" s="2" t="inlineStr">
        <is>
          <t>2.0mm</t>
        </is>
      </c>
      <c r="F483" s="2" t="n">
        <v>1</v>
      </c>
      <c r="G483" s="2" t="n">
        <v>30</v>
      </c>
      <c r="H483" s="2" t="inlineStr">
        <is>
          <t>SC/PC</t>
        </is>
      </c>
      <c r="I483" s="2" t="inlineStr">
        <is>
          <t>LC/PC</t>
        </is>
      </c>
      <c r="J483" s="2" t="n"/>
      <c r="K483" s="2" t="n"/>
      <c r="L483" s="2" t="n"/>
      <c r="M483" s="2" t="n"/>
      <c r="N483" s="2" t="n"/>
      <c r="O483" s="2" t="n">
        <v>6</v>
      </c>
      <c r="P483" s="2" t="n"/>
      <c r="Q483" s="2" t="n"/>
      <c r="R483" s="2" t="n"/>
      <c r="S483" s="2" t="n"/>
      <c r="T483" s="2" t="n"/>
      <c r="U483" s="2" t="n"/>
      <c r="V483" s="2">
        <f>SUM(J483:U483)*G483</f>
        <v/>
      </c>
      <c r="W483" s="2">
        <f>MAX(J483:U483)</f>
        <v/>
      </c>
      <c r="X483" s="2">
        <f>W483*G483</f>
        <v/>
      </c>
    </row>
    <row r="484">
      <c r="A484" s="2" t="inlineStr">
        <is>
          <t>14-K-A174</t>
        </is>
      </c>
      <c r="B484" s="3" t="inlineStr">
        <is>
          <t>OJC-A1-LC/LC-SM-2-PC/PC-DP</t>
        </is>
      </c>
      <c r="C484" s="2" t="inlineStr">
        <is>
          <t>청색 케이블</t>
        </is>
      </c>
      <c r="D484" s="2" t="inlineStr">
        <is>
          <t>a1-청</t>
        </is>
      </c>
      <c r="E484" s="2" t="inlineStr">
        <is>
          <t>2.0mm</t>
        </is>
      </c>
      <c r="F484" s="2" t="n">
        <v>2</v>
      </c>
      <c r="G484" s="2" t="n">
        <v>2</v>
      </c>
      <c r="H484" s="2" t="inlineStr">
        <is>
          <t>LC/PC</t>
        </is>
      </c>
      <c r="I484" s="2" t="inlineStr">
        <is>
          <t>LC/PC</t>
        </is>
      </c>
      <c r="J484" s="2" t="n"/>
      <c r="K484" s="2" t="n">
        <v>20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>
        <v>60</v>
      </c>
      <c r="V484" s="2">
        <f>SUM(J484:U484)*G484</f>
        <v/>
      </c>
      <c r="W484" s="2">
        <f>MAX(J484:U484)</f>
        <v/>
      </c>
      <c r="X484" s="2">
        <f>W484*G484</f>
        <v/>
      </c>
    </row>
    <row r="485">
      <c r="A485" s="2" t="inlineStr">
        <is>
          <t>14-K-A185</t>
        </is>
      </c>
      <c r="B485" s="3" t="inlineStr">
        <is>
          <t>OJC-A1-LC/LC-SM-28-PC/PC-DP</t>
        </is>
      </c>
      <c r="C485" s="2" t="inlineStr"/>
      <c r="D485" s="2" t="inlineStr">
        <is>
          <t>a1</t>
        </is>
      </c>
      <c r="E485" s="2" t="inlineStr">
        <is>
          <t>2.0mm</t>
        </is>
      </c>
      <c r="F485" s="2" t="n">
        <v>2</v>
      </c>
      <c r="G485" s="2" t="n">
        <v>28</v>
      </c>
      <c r="H485" s="2" t="inlineStr">
        <is>
          <t>LC/PC</t>
        </is>
      </c>
      <c r="I485" s="2" t="inlineStr">
        <is>
          <t>LC/PC</t>
        </is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>
        <v>16</v>
      </c>
      <c r="S485" s="2" t="n"/>
      <c r="T485" s="2" t="n"/>
      <c r="U485" s="2" t="n"/>
      <c r="V485" s="2">
        <f>SUM(J485:U485)*G485</f>
        <v/>
      </c>
      <c r="W485" s="2">
        <f>MAX(J485:U485)</f>
        <v/>
      </c>
      <c r="X485" s="2">
        <f>W485*G485</f>
        <v/>
      </c>
    </row>
    <row r="486">
      <c r="A486" s="2" t="inlineStr">
        <is>
          <t>14-K-A185</t>
        </is>
      </c>
      <c r="B486" s="3" t="inlineStr">
        <is>
          <t>OJC-A1-LC/LC-SM-28-PC/PC-DP</t>
        </is>
      </c>
      <c r="C486" s="2" t="inlineStr">
        <is>
          <t>자색</t>
        </is>
      </c>
      <c r="D486" s="2" t="inlineStr">
        <is>
          <t>a1-자</t>
        </is>
      </c>
      <c r="E486" s="2" t="inlineStr">
        <is>
          <t>2.0mm</t>
        </is>
      </c>
      <c r="F486" s="2" t="n">
        <v>2</v>
      </c>
      <c r="G486" s="2" t="n">
        <v>28</v>
      </c>
      <c r="H486" s="2" t="inlineStr">
        <is>
          <t>LC/PC</t>
        </is>
      </c>
      <c r="I486" s="2" t="inlineStr">
        <is>
          <t>LC/PC</t>
        </is>
      </c>
      <c r="J486" s="2" t="n"/>
      <c r="K486" s="2" t="n"/>
      <c r="L486" s="2" t="n"/>
      <c r="M486" s="2" t="n"/>
      <c r="N486" s="2" t="n">
        <v>1</v>
      </c>
      <c r="O486" s="2" t="n"/>
      <c r="P486" s="2" t="n"/>
      <c r="Q486" s="2" t="n"/>
      <c r="R486" s="2" t="n"/>
      <c r="S486" s="2" t="n"/>
      <c r="T486" s="2" t="n"/>
      <c r="U486" s="2" t="n"/>
      <c r="V486" s="2">
        <f>SUM(J486:U486)*G486</f>
        <v/>
      </c>
      <c r="W486" s="2">
        <f>MAX(J486:U486)</f>
        <v/>
      </c>
      <c r="X486" s="2">
        <f>W486*G486</f>
        <v/>
      </c>
    </row>
    <row r="487">
      <c r="A487" s="2" t="inlineStr">
        <is>
          <t>14-K-A187</t>
        </is>
      </c>
      <c r="B487" s="3" t="inlineStr">
        <is>
          <t>OJC-A1-SC/LC-SM-5-PC/PC-SP</t>
        </is>
      </c>
      <c r="C487" s="2" t="inlineStr">
        <is>
          <t>K9089032_녹색</t>
        </is>
      </c>
      <c r="D487" s="2" t="inlineStr">
        <is>
          <t>a1-녹</t>
        </is>
      </c>
      <c r="E487" s="2" t="inlineStr">
        <is>
          <t>2.0mm</t>
        </is>
      </c>
      <c r="F487" s="2" t="n">
        <v>1</v>
      </c>
      <c r="G487" s="2" t="n">
        <v>5</v>
      </c>
      <c r="H487" s="2" t="inlineStr">
        <is>
          <t>SC/PC</t>
        </is>
      </c>
      <c r="I487" s="2" t="inlineStr">
        <is>
          <t>LC/PC</t>
        </is>
      </c>
      <c r="J487" s="2" t="n"/>
      <c r="K487" s="2" t="n"/>
      <c r="L487" s="2" t="n"/>
      <c r="M487" s="2" t="n"/>
      <c r="N487" s="2" t="n"/>
      <c r="O487" s="2" t="n">
        <v>3</v>
      </c>
      <c r="P487" s="2" t="n"/>
      <c r="Q487" s="2" t="n">
        <v>6</v>
      </c>
      <c r="R487" s="2" t="n"/>
      <c r="S487" s="2" t="n"/>
      <c r="T487" s="2" t="n"/>
      <c r="U487" s="2" t="n"/>
      <c r="V487" s="2">
        <f>SUM(J487:U487)*G487</f>
        <v/>
      </c>
      <c r="W487" s="2">
        <f>MAX(J487:U487)</f>
        <v/>
      </c>
      <c r="X487" s="2">
        <f>W487*G487</f>
        <v/>
      </c>
    </row>
    <row r="488">
      <c r="A488" s="2" t="inlineStr">
        <is>
          <t>14-K-A188</t>
        </is>
      </c>
      <c r="B488" s="3" t="inlineStr">
        <is>
          <t>OJC-A1-SC/SC-SM-40-APC/APC-SP</t>
        </is>
      </c>
      <c r="C488" s="2" t="inlineStr"/>
      <c r="D488" s="2" t="inlineStr">
        <is>
          <t>a1</t>
        </is>
      </c>
      <c r="E488" s="2" t="inlineStr">
        <is>
          <t>2.0mm</t>
        </is>
      </c>
      <c r="F488" s="2" t="n">
        <v>1</v>
      </c>
      <c r="G488" s="2" t="n">
        <v>40</v>
      </c>
      <c r="H488" s="2" t="inlineStr">
        <is>
          <t>SC/APC</t>
        </is>
      </c>
      <c r="I488" s="2" t="inlineStr">
        <is>
          <t>SC/APC</t>
        </is>
      </c>
      <c r="J488" s="2" t="n"/>
      <c r="K488" s="2" t="n"/>
      <c r="L488" s="2" t="n"/>
      <c r="M488" s="2" t="n">
        <v>10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>
        <f>SUM(J488:U488)*G488</f>
        <v/>
      </c>
      <c r="W488" s="2">
        <f>MAX(J488:U488)</f>
        <v/>
      </c>
      <c r="X488" s="2">
        <f>W488*G488</f>
        <v/>
      </c>
    </row>
    <row r="489">
      <c r="A489" s="2" t="inlineStr">
        <is>
          <t>14-K-A194</t>
        </is>
      </c>
      <c r="B489" s="3" t="inlineStr">
        <is>
          <t>OJC-A1-SC/LC-SM-1-APC/PC-DP</t>
        </is>
      </c>
      <c r="C489" s="2" t="inlineStr">
        <is>
          <t>K9089240</t>
        </is>
      </c>
      <c r="D489" s="2" t="inlineStr">
        <is>
          <t>a1</t>
        </is>
      </c>
      <c r="E489" s="2" t="inlineStr">
        <is>
          <t>2.0mm</t>
        </is>
      </c>
      <c r="F489" s="2" t="n">
        <v>2</v>
      </c>
      <c r="G489" s="2" t="n">
        <v>1</v>
      </c>
      <c r="H489" s="2" t="inlineStr">
        <is>
          <t>SC/APC</t>
        </is>
      </c>
      <c r="I489" s="2" t="inlineStr">
        <is>
          <t>LC/PC</t>
        </is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>
        <v>680</v>
      </c>
      <c r="S489" s="2" t="n"/>
      <c r="T489" s="2" t="n"/>
      <c r="U489" s="2" t="n"/>
      <c r="V489" s="2">
        <f>SUM(J489:U489)*G489</f>
        <v/>
      </c>
      <c r="W489" s="2">
        <f>MAX(J489:U489)</f>
        <v/>
      </c>
      <c r="X489" s="2">
        <f>W489*G489</f>
        <v/>
      </c>
    </row>
    <row r="490">
      <c r="A490" s="2" t="inlineStr">
        <is>
          <t>14-K-A252</t>
        </is>
      </c>
      <c r="B490" s="3" t="inlineStr">
        <is>
          <t>OJC-A1-LC/LC-MM(OM3)-12-PC/PC-DP</t>
        </is>
      </c>
      <c r="C490" s="2" t="inlineStr"/>
      <c r="D490" s="2" t="inlineStr">
        <is>
          <t>om3</t>
        </is>
      </c>
      <c r="E490" s="2" t="inlineStr">
        <is>
          <t>2.0mm</t>
        </is>
      </c>
      <c r="F490" s="2" t="n">
        <v>2</v>
      </c>
      <c r="G490" s="2" t="n">
        <v>12</v>
      </c>
      <c r="H490" s="2" t="inlineStr">
        <is>
          <t>LC/PC</t>
        </is>
      </c>
      <c r="I490" s="2" t="inlineStr">
        <is>
          <t>LC/PC</t>
        </is>
      </c>
      <c r="J490" s="2" t="n">
        <v>36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>
        <v>32</v>
      </c>
      <c r="U490" s="2" t="n"/>
      <c r="V490" s="2">
        <f>SUM(J490:U490)*G490</f>
        <v/>
      </c>
      <c r="W490" s="2">
        <f>MAX(J490:U490)</f>
        <v/>
      </c>
      <c r="X490" s="2">
        <f>W490*G490</f>
        <v/>
      </c>
    </row>
    <row r="491">
      <c r="A491" s="2" t="inlineStr">
        <is>
          <t>14-K-A261</t>
        </is>
      </c>
      <c r="B491" s="3" t="inlineStr">
        <is>
          <t>OJC-A1-SC/LC-SM-25-PC/PC-SP</t>
        </is>
      </c>
      <c r="C491" s="2" t="inlineStr">
        <is>
          <t>K9089036_녹색</t>
        </is>
      </c>
      <c r="D491" s="2" t="inlineStr">
        <is>
          <t>a1-녹</t>
        </is>
      </c>
      <c r="E491" s="2" t="inlineStr">
        <is>
          <t>2.0mm</t>
        </is>
      </c>
      <c r="F491" s="2" t="n">
        <v>1</v>
      </c>
      <c r="G491" s="2" t="n">
        <v>25</v>
      </c>
      <c r="H491" s="2" t="inlineStr">
        <is>
          <t>SC/PC</t>
        </is>
      </c>
      <c r="I491" s="2" t="inlineStr">
        <is>
          <t>LC/PC</t>
        </is>
      </c>
      <c r="J491" s="2" t="n"/>
      <c r="K491" s="2" t="n"/>
      <c r="L491" s="2" t="n"/>
      <c r="M491" s="2" t="n"/>
      <c r="N491" s="2" t="n"/>
      <c r="O491" s="2" t="n"/>
      <c r="P491" s="2" t="n"/>
      <c r="Q491" s="2" t="n">
        <v>6</v>
      </c>
      <c r="R491" s="2" t="n"/>
      <c r="S491" s="2" t="n"/>
      <c r="T491" s="2" t="n"/>
      <c r="U491" s="2" t="n"/>
      <c r="V491" s="2">
        <f>SUM(J491:U491)*G491</f>
        <v/>
      </c>
      <c r="W491" s="2">
        <f>MAX(J491:U491)</f>
        <v/>
      </c>
      <c r="X491" s="2">
        <f>W491*G491</f>
        <v/>
      </c>
    </row>
    <row r="492">
      <c r="A492" s="2" t="inlineStr">
        <is>
          <t>14-K-A264</t>
        </is>
      </c>
      <c r="B492" s="3" t="inlineStr">
        <is>
          <t>OJC-A1-LC/LC-SM-17-PC/PC-DP</t>
        </is>
      </c>
      <c r="C492" s="2" t="inlineStr">
        <is>
          <t>적색</t>
        </is>
      </c>
      <c r="D492" s="2" t="inlineStr">
        <is>
          <t>a1-적</t>
        </is>
      </c>
      <c r="E492" s="2" t="inlineStr">
        <is>
          <t>2.0mm</t>
        </is>
      </c>
      <c r="F492" s="2" t="n">
        <v>2</v>
      </c>
      <c r="G492" s="2" t="n">
        <v>17</v>
      </c>
      <c r="H492" s="2" t="inlineStr">
        <is>
          <t>LC/PC</t>
        </is>
      </c>
      <c r="I492" s="2" t="inlineStr">
        <is>
          <t>LC/PC</t>
        </is>
      </c>
      <c r="J492" s="2" t="n"/>
      <c r="K492" s="2" t="n"/>
      <c r="L492" s="2" t="n"/>
      <c r="M492" s="2" t="n"/>
      <c r="N492" s="2" t="n">
        <v>10</v>
      </c>
      <c r="O492" s="2" t="n"/>
      <c r="P492" s="2" t="n"/>
      <c r="Q492" s="2" t="n"/>
      <c r="R492" s="2" t="n"/>
      <c r="S492" s="2" t="n"/>
      <c r="T492" s="2" t="n"/>
      <c r="U492" s="2" t="n"/>
      <c r="V492" s="2">
        <f>SUM(J492:U492)*G492</f>
        <v/>
      </c>
      <c r="W492" s="2">
        <f>MAX(J492:U492)</f>
        <v/>
      </c>
      <c r="X492" s="2">
        <f>W492*G492</f>
        <v/>
      </c>
    </row>
    <row r="493">
      <c r="A493" s="2" t="inlineStr">
        <is>
          <t>14-K-A267</t>
        </is>
      </c>
      <c r="B493" s="3" t="inlineStr">
        <is>
          <t>OJC-A1-LC/LC-SM-19-PC/PC-DP</t>
        </is>
      </c>
      <c r="C493" s="2" t="inlineStr"/>
      <c r="D493" s="2" t="inlineStr">
        <is>
          <t>a1</t>
        </is>
      </c>
      <c r="E493" s="2" t="inlineStr">
        <is>
          <t>2.0mm</t>
        </is>
      </c>
      <c r="F493" s="2" t="n">
        <v>2</v>
      </c>
      <c r="G493" s="2" t="n">
        <v>19</v>
      </c>
      <c r="H493" s="2" t="inlineStr">
        <is>
          <t>LC/PC</t>
        </is>
      </c>
      <c r="I493" s="2" t="inlineStr">
        <is>
          <t>LC/PC</t>
        </is>
      </c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>
        <v>4</v>
      </c>
      <c r="S493" s="2" t="n"/>
      <c r="T493" s="2" t="n"/>
      <c r="U493" s="2" t="n"/>
      <c r="V493" s="2">
        <f>SUM(J493:U493)*G493</f>
        <v/>
      </c>
      <c r="W493" s="2">
        <f>MAX(J493:U493)</f>
        <v/>
      </c>
      <c r="X493" s="2">
        <f>W493*G493</f>
        <v/>
      </c>
    </row>
    <row r="494">
      <c r="A494" s="2" t="inlineStr">
        <is>
          <t>14-K-A267</t>
        </is>
      </c>
      <c r="B494" s="3" t="inlineStr">
        <is>
          <t>OJC-A1-LC/LC-SM-19-PC/PC-DP</t>
        </is>
      </c>
      <c r="C494" s="2" t="inlineStr">
        <is>
          <t>적색</t>
        </is>
      </c>
      <c r="D494" s="2" t="inlineStr">
        <is>
          <t>a1-적</t>
        </is>
      </c>
      <c r="E494" s="2" t="inlineStr">
        <is>
          <t>2.0mm</t>
        </is>
      </c>
      <c r="F494" s="2" t="n">
        <v>2</v>
      </c>
      <c r="G494" s="2" t="n">
        <v>19</v>
      </c>
      <c r="H494" s="2" t="inlineStr">
        <is>
          <t>LC/PC</t>
        </is>
      </c>
      <c r="I494" s="2" t="inlineStr">
        <is>
          <t>LC/PC</t>
        </is>
      </c>
      <c r="J494" s="2" t="n"/>
      <c r="K494" s="2" t="n"/>
      <c r="L494" s="2" t="n"/>
      <c r="M494" s="2" t="n"/>
      <c r="N494" s="2" t="n">
        <v>6</v>
      </c>
      <c r="O494" s="2" t="n"/>
      <c r="P494" s="2" t="n"/>
      <c r="Q494" s="2" t="n"/>
      <c r="R494" s="2" t="n"/>
      <c r="S494" s="2" t="n"/>
      <c r="T494" s="2" t="n"/>
      <c r="U494" s="2" t="n"/>
      <c r="V494" s="2">
        <f>SUM(J494:U494)*G494</f>
        <v/>
      </c>
      <c r="W494" s="2">
        <f>MAX(J494:U494)</f>
        <v/>
      </c>
      <c r="X494" s="2">
        <f>W494*G494</f>
        <v/>
      </c>
    </row>
    <row r="495">
      <c r="A495" s="2" t="inlineStr">
        <is>
          <t>14-K-A280</t>
        </is>
      </c>
      <c r="B495" s="3" t="inlineStr">
        <is>
          <t>OJC-A1-LC/LC-SM-25-PC/PC-DP</t>
        </is>
      </c>
      <c r="C495" s="2" t="inlineStr">
        <is>
          <t>K9089179_녹색</t>
        </is>
      </c>
      <c r="D495" s="2" t="inlineStr">
        <is>
          <t>a1-녹</t>
        </is>
      </c>
      <c r="E495" s="2" t="inlineStr">
        <is>
          <t>2.0mm</t>
        </is>
      </c>
      <c r="F495" s="2" t="n">
        <v>2</v>
      </c>
      <c r="G495" s="2" t="n">
        <v>25</v>
      </c>
      <c r="H495" s="2" t="inlineStr">
        <is>
          <t>LC/PC</t>
        </is>
      </c>
      <c r="I495" s="2" t="inlineStr">
        <is>
          <t>LC/PC</t>
        </is>
      </c>
      <c r="J495" s="2" t="n"/>
      <c r="K495" s="2" t="n"/>
      <c r="L495" s="2" t="n"/>
      <c r="M495" s="2" t="n"/>
      <c r="N495" s="2" t="n"/>
      <c r="O495" s="2" t="n">
        <v>30</v>
      </c>
      <c r="P495" s="2" t="n"/>
      <c r="Q495" s="2" t="n"/>
      <c r="R495" s="2" t="n"/>
      <c r="S495" s="2" t="n"/>
      <c r="T495" s="2" t="n"/>
      <c r="U495" s="2" t="n"/>
      <c r="V495" s="2">
        <f>SUM(J495:U495)*G495</f>
        <v/>
      </c>
      <c r="W495" s="2">
        <f>MAX(J495:U495)</f>
        <v/>
      </c>
      <c r="X495" s="2">
        <f>W495*G495</f>
        <v/>
      </c>
    </row>
    <row r="496">
      <c r="A496" s="2" t="inlineStr">
        <is>
          <t>14-K-A282</t>
        </is>
      </c>
      <c r="B496" s="3" t="inlineStr">
        <is>
          <t>OJC-A1-SC/LC-SM-31-PC/PC-DP</t>
        </is>
      </c>
      <c r="C496" s="2" t="inlineStr">
        <is>
          <t>적색</t>
        </is>
      </c>
      <c r="D496" s="2" t="inlineStr">
        <is>
          <t>a1-적</t>
        </is>
      </c>
      <c r="E496" s="2" t="inlineStr">
        <is>
          <t>2.0mm</t>
        </is>
      </c>
      <c r="F496" s="2" t="n">
        <v>2</v>
      </c>
      <c r="G496" s="2" t="n">
        <v>31</v>
      </c>
      <c r="H496" s="2" t="inlineStr">
        <is>
          <t>SC/PC</t>
        </is>
      </c>
      <c r="I496" s="2" t="inlineStr">
        <is>
          <t>LC/PC</t>
        </is>
      </c>
      <c r="J496" s="2" t="n"/>
      <c r="K496" s="2" t="n"/>
      <c r="L496" s="2" t="n"/>
      <c r="M496" s="2" t="n"/>
      <c r="N496" s="2" t="n">
        <v>11</v>
      </c>
      <c r="O496" s="2" t="n"/>
      <c r="P496" s="2" t="n"/>
      <c r="Q496" s="2" t="n"/>
      <c r="R496" s="2" t="n"/>
      <c r="S496" s="2" t="n"/>
      <c r="T496" s="2" t="n"/>
      <c r="U496" s="2" t="n"/>
      <c r="V496" s="2">
        <f>SUM(J496:U496)*G496</f>
        <v/>
      </c>
      <c r="W496" s="2">
        <f>MAX(J496:U496)</f>
        <v/>
      </c>
      <c r="X496" s="2">
        <f>W496*G496</f>
        <v/>
      </c>
    </row>
    <row r="497">
      <c r="A497" s="2" t="inlineStr">
        <is>
          <t>14-K-A283</t>
        </is>
      </c>
      <c r="B497" s="3" t="inlineStr">
        <is>
          <t>OJC-A1-LC/LC-MM(OM3)-21-PC/PC-DP</t>
        </is>
      </c>
      <c r="C497" s="2" t="inlineStr"/>
      <c r="D497" s="2" t="inlineStr">
        <is>
          <t>om3</t>
        </is>
      </c>
      <c r="E497" s="2" t="inlineStr">
        <is>
          <t>2.0mm</t>
        </is>
      </c>
      <c r="F497" s="2" t="n">
        <v>2</v>
      </c>
      <c r="G497" s="2" t="n">
        <v>21</v>
      </c>
      <c r="H497" s="2" t="inlineStr">
        <is>
          <t>LC/PC</t>
        </is>
      </c>
      <c r="I497" s="2" t="inlineStr">
        <is>
          <t>LC/PC</t>
        </is>
      </c>
      <c r="J497" s="2" t="n">
        <v>2</v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>
        <f>SUM(J497:U497)*G497</f>
        <v/>
      </c>
      <c r="W497" s="2">
        <f>MAX(J497:U497)</f>
        <v/>
      </c>
      <c r="X497" s="2">
        <f>W497*G497</f>
        <v/>
      </c>
    </row>
    <row r="498">
      <c r="A498" s="2" t="inlineStr">
        <is>
          <t>14-K-A294</t>
        </is>
      </c>
      <c r="B498" s="3" t="inlineStr">
        <is>
          <t>OJC-A1-LC/LC-SM-35-PC/PC-DP</t>
        </is>
      </c>
      <c r="C498" s="2" t="inlineStr">
        <is>
          <t>적색</t>
        </is>
      </c>
      <c r="D498" s="2" t="inlineStr">
        <is>
          <t>a1-적</t>
        </is>
      </c>
      <c r="E498" s="2" t="inlineStr">
        <is>
          <t>2.0mm</t>
        </is>
      </c>
      <c r="F498" s="2" t="n">
        <v>2</v>
      </c>
      <c r="G498" s="2" t="n">
        <v>35</v>
      </c>
      <c r="H498" s="2" t="inlineStr">
        <is>
          <t>LC/PC</t>
        </is>
      </c>
      <c r="I498" s="2" t="inlineStr">
        <is>
          <t>LC/PC</t>
        </is>
      </c>
      <c r="J498" s="2" t="n"/>
      <c r="K498" s="2" t="n"/>
      <c r="L498" s="2" t="n"/>
      <c r="M498" s="2" t="n"/>
      <c r="N498" s="2" t="n"/>
      <c r="O498" s="2" t="n">
        <v>10</v>
      </c>
      <c r="P498" s="2" t="n"/>
      <c r="Q498" s="2" t="n"/>
      <c r="R498" s="2" t="n"/>
      <c r="S498" s="2" t="n"/>
      <c r="T498" s="2" t="n"/>
      <c r="U498" s="2" t="n"/>
      <c r="V498" s="2">
        <f>SUM(J498:U498)*G498</f>
        <v/>
      </c>
      <c r="W498" s="2">
        <f>MAX(J498:U498)</f>
        <v/>
      </c>
      <c r="X498" s="2">
        <f>W498*G498</f>
        <v/>
      </c>
    </row>
    <row r="499">
      <c r="A499" s="2" t="inlineStr">
        <is>
          <t>14-K-A295</t>
        </is>
      </c>
      <c r="B499" s="3" t="inlineStr">
        <is>
          <t>OJC-A1-LC/LC-SM-35-PC/PC-DP</t>
        </is>
      </c>
      <c r="C499" s="2" t="inlineStr">
        <is>
          <t>녹색</t>
        </is>
      </c>
      <c r="D499" s="2" t="inlineStr">
        <is>
          <t>a1-녹</t>
        </is>
      </c>
      <c r="E499" s="2" t="inlineStr">
        <is>
          <t>2.0mm</t>
        </is>
      </c>
      <c r="F499" s="2" t="n">
        <v>2</v>
      </c>
      <c r="G499" s="2" t="n">
        <v>35</v>
      </c>
      <c r="H499" s="2" t="inlineStr">
        <is>
          <t>LC/PC</t>
        </is>
      </c>
      <c r="I499" s="2" t="inlineStr">
        <is>
          <t>LC/PC</t>
        </is>
      </c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>
        <v>3</v>
      </c>
      <c r="U499" s="2" t="n"/>
      <c r="V499" s="2">
        <f>SUM(J499:U499)*G499</f>
        <v/>
      </c>
      <c r="W499" s="2">
        <f>MAX(J499:U499)</f>
        <v/>
      </c>
      <c r="X499" s="2">
        <f>W499*G499</f>
        <v/>
      </c>
    </row>
    <row r="500">
      <c r="A500" s="2" t="inlineStr">
        <is>
          <t>14-K-A302</t>
        </is>
      </c>
      <c r="B500" s="3" t="inlineStr">
        <is>
          <t>OJC-A1-LC/LC-MM(OM3)-11-PC/PC-DP</t>
        </is>
      </c>
      <c r="C500" s="2" t="inlineStr"/>
      <c r="D500" s="2" t="inlineStr">
        <is>
          <t>om3</t>
        </is>
      </c>
      <c r="E500" s="2" t="inlineStr">
        <is>
          <t>2.0mm</t>
        </is>
      </c>
      <c r="F500" s="2" t="n">
        <v>2</v>
      </c>
      <c r="G500" s="2" t="n">
        <v>11</v>
      </c>
      <c r="H500" s="2" t="inlineStr">
        <is>
          <t>LC/PC</t>
        </is>
      </c>
      <c r="I500" s="2" t="inlineStr">
        <is>
          <t>LC/PC</t>
        </is>
      </c>
      <c r="J500" s="2" t="n">
        <v>213</v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>
        <v>24</v>
      </c>
      <c r="U500" s="2" t="n"/>
      <c r="V500" s="2">
        <f>SUM(J500:U500)*G500</f>
        <v/>
      </c>
      <c r="W500" s="2">
        <f>MAX(J500:U500)</f>
        <v/>
      </c>
      <c r="X500" s="2">
        <f>W500*G500</f>
        <v/>
      </c>
    </row>
    <row r="501">
      <c r="A501" s="2" t="inlineStr">
        <is>
          <t>14-K-A303</t>
        </is>
      </c>
      <c r="B501" s="3" t="inlineStr">
        <is>
          <t>OJC-A1-LC/LC-SM-27-PC/PC-DP</t>
        </is>
      </c>
      <c r="C501" s="2" t="inlineStr"/>
      <c r="D501" s="2" t="inlineStr">
        <is>
          <t>a1</t>
        </is>
      </c>
      <c r="E501" s="2" t="inlineStr">
        <is>
          <t>2.0mm</t>
        </is>
      </c>
      <c r="F501" s="2" t="n">
        <v>2</v>
      </c>
      <c r="G501" s="2" t="n">
        <v>27</v>
      </c>
      <c r="H501" s="2" t="inlineStr">
        <is>
          <t>LC/PC</t>
        </is>
      </c>
      <c r="I501" s="2" t="inlineStr">
        <is>
          <t>LC/PC</t>
        </is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>
        <v>1</v>
      </c>
      <c r="S501" s="2" t="n"/>
      <c r="T501" s="2" t="n"/>
      <c r="U501" s="2" t="n"/>
      <c r="V501" s="2">
        <f>SUM(J501:U501)*G501</f>
        <v/>
      </c>
      <c r="W501" s="2">
        <f>MAX(J501:U501)</f>
        <v/>
      </c>
      <c r="X501" s="2">
        <f>W501*G501</f>
        <v/>
      </c>
    </row>
    <row r="502">
      <c r="A502" s="2" t="inlineStr">
        <is>
          <t>14-K-A308</t>
        </is>
      </c>
      <c r="B502" s="3" t="inlineStr">
        <is>
          <t>OJC-A1-LC/LC-MM(OM3)-10-PC/PC-DP</t>
        </is>
      </c>
      <c r="C502" s="2" t="inlineStr">
        <is>
          <t>LC/DP Clip Type</t>
        </is>
      </c>
      <c r="D502" s="2" t="inlineStr">
        <is>
          <t>om3</t>
        </is>
      </c>
      <c r="E502" s="2" t="inlineStr">
        <is>
          <t>2.0mm</t>
        </is>
      </c>
      <c r="F502" s="2" t="n">
        <v>2</v>
      </c>
      <c r="G502" s="2" t="n">
        <v>10</v>
      </c>
      <c r="H502" s="2" t="inlineStr">
        <is>
          <t>LC/PC</t>
        </is>
      </c>
      <c r="I502" s="2" t="inlineStr">
        <is>
          <t>LC/PC</t>
        </is>
      </c>
      <c r="J502" s="2" t="n"/>
      <c r="K502" s="2" t="n">
        <v>110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>
        <f>SUM(J502:U502)*G502</f>
        <v/>
      </c>
      <c r="W502" s="2">
        <f>MAX(J502:U502)</f>
        <v/>
      </c>
      <c r="X502" s="2">
        <f>W502*G502</f>
        <v/>
      </c>
    </row>
    <row r="503">
      <c r="A503" s="2" t="inlineStr">
        <is>
          <t>14-K-A47</t>
        </is>
      </c>
      <c r="B503" s="3" t="inlineStr">
        <is>
          <t>OJC-A1-SC/SC-MM(OM3)-50-PC/PC-DP</t>
        </is>
      </c>
      <c r="C503" s="2" t="inlineStr"/>
      <c r="D503" s="2" t="inlineStr">
        <is>
          <t>om3</t>
        </is>
      </c>
      <c r="E503" s="2" t="inlineStr">
        <is>
          <t>2.0mm</t>
        </is>
      </c>
      <c r="F503" s="2" t="n">
        <v>2</v>
      </c>
      <c r="G503" s="2" t="n">
        <v>50</v>
      </c>
      <c r="H503" s="2" t="inlineStr">
        <is>
          <t>SC/PC</t>
        </is>
      </c>
      <c r="I503" s="2" t="inlineStr">
        <is>
          <t>SC/PC</t>
        </is>
      </c>
      <c r="J503" s="2" t="n"/>
      <c r="K503" s="2" t="n"/>
      <c r="L503" s="2" t="n"/>
      <c r="M503" s="2" t="n"/>
      <c r="N503" s="2" t="n">
        <v>8</v>
      </c>
      <c r="O503" s="2" t="n"/>
      <c r="P503" s="2" t="n"/>
      <c r="Q503" s="2" t="n"/>
      <c r="R503" s="2" t="n"/>
      <c r="S503" s="2" t="n"/>
      <c r="T503" s="2" t="n"/>
      <c r="U503" s="2" t="n"/>
      <c r="V503" s="2">
        <f>SUM(J503:U503)*G503</f>
        <v/>
      </c>
      <c r="W503" s="2">
        <f>MAX(J503:U503)</f>
        <v/>
      </c>
      <c r="X503" s="2">
        <f>W503*G503</f>
        <v/>
      </c>
    </row>
    <row r="504">
      <c r="A504" s="2" t="inlineStr">
        <is>
          <t>14-K-A62</t>
        </is>
      </c>
      <c r="B504" s="3" t="inlineStr">
        <is>
          <t>OJC-A1-LC/LC-SM-3-APC/APC-SP</t>
        </is>
      </c>
      <c r="C504" s="2" t="inlineStr"/>
      <c r="D504" s="2" t="inlineStr">
        <is>
          <t>a1</t>
        </is>
      </c>
      <c r="E504" s="2" t="inlineStr">
        <is>
          <t>2.0mm</t>
        </is>
      </c>
      <c r="F504" s="2" t="n">
        <v>1</v>
      </c>
      <c r="G504" s="2" t="n">
        <v>3</v>
      </c>
      <c r="H504" s="2" t="inlineStr">
        <is>
          <t>LC/APC</t>
        </is>
      </c>
      <c r="I504" s="2" t="inlineStr">
        <is>
          <t>LC/APC</t>
        </is>
      </c>
      <c r="J504" s="2" t="n"/>
      <c r="K504" s="2" t="n"/>
      <c r="L504" s="2" t="n"/>
      <c r="M504" s="2" t="n"/>
      <c r="N504" s="2" t="n"/>
      <c r="O504" s="2" t="n">
        <v>2</v>
      </c>
      <c r="P504" s="2" t="n"/>
      <c r="Q504" s="2" t="n"/>
      <c r="R504" s="2" t="n"/>
      <c r="S504" s="2" t="n"/>
      <c r="T504" s="2" t="n"/>
      <c r="U504" s="2" t="n"/>
      <c r="V504" s="2">
        <f>SUM(J504:U504)*G504</f>
        <v/>
      </c>
      <c r="W504" s="2">
        <f>MAX(J504:U504)</f>
        <v/>
      </c>
      <c r="X504" s="2">
        <f>W504*G504</f>
        <v/>
      </c>
    </row>
    <row r="505">
      <c r="A505" s="2" t="inlineStr">
        <is>
          <t>14-K-A76</t>
        </is>
      </c>
      <c r="B505" s="3" t="inlineStr">
        <is>
          <t>OJC-A1-LC/LC-SM-80-PC/PC-DP</t>
        </is>
      </c>
      <c r="C505" s="2" t="inlineStr">
        <is>
          <t>K9089184</t>
        </is>
      </c>
      <c r="D505" s="2" t="inlineStr">
        <is>
          <t>a1</t>
        </is>
      </c>
      <c r="E505" s="2" t="inlineStr">
        <is>
          <t>2.0mm</t>
        </is>
      </c>
      <c r="F505" s="2" t="n">
        <v>2</v>
      </c>
      <c r="G505" s="2" t="n">
        <v>80</v>
      </c>
      <c r="H505" s="2" t="inlineStr">
        <is>
          <t>LC/PC</t>
        </is>
      </c>
      <c r="I505" s="2" t="inlineStr">
        <is>
          <t>LC/PC</t>
        </is>
      </c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>
        <v>3</v>
      </c>
      <c r="S505" s="2" t="n"/>
      <c r="T505" s="2" t="n"/>
      <c r="U505" s="2" t="n"/>
      <c r="V505" s="2">
        <f>SUM(J505:U505)*G505</f>
        <v/>
      </c>
      <c r="W505" s="2">
        <f>MAX(J505:U505)</f>
        <v/>
      </c>
      <c r="X505" s="2">
        <f>W505*G505</f>
        <v/>
      </c>
    </row>
    <row r="506">
      <c r="A506" s="2" t="inlineStr">
        <is>
          <t>14-K-A87</t>
        </is>
      </c>
      <c r="B506" s="3" t="inlineStr">
        <is>
          <t>OJC-A1-LC/LC-SM-15-PC/PC-DP</t>
        </is>
      </c>
      <c r="C506" s="2" t="inlineStr">
        <is>
          <t>적색</t>
        </is>
      </c>
      <c r="D506" s="2" t="inlineStr">
        <is>
          <t>a1-적</t>
        </is>
      </c>
      <c r="E506" s="2" t="inlineStr">
        <is>
          <t>2.0mm</t>
        </is>
      </c>
      <c r="F506" s="2" t="n">
        <v>2</v>
      </c>
      <c r="G506" s="2" t="n">
        <v>15</v>
      </c>
      <c r="H506" s="2" t="inlineStr">
        <is>
          <t>LC/PC</t>
        </is>
      </c>
      <c r="I506" s="2" t="inlineStr">
        <is>
          <t>LC/PC</t>
        </is>
      </c>
      <c r="J506" s="2" t="n"/>
      <c r="K506" s="2" t="n"/>
      <c r="L506" s="2" t="n"/>
      <c r="M506" s="2" t="n"/>
      <c r="N506" s="2" t="n"/>
      <c r="O506" s="2" t="n">
        <v>20</v>
      </c>
      <c r="P506" s="2" t="n"/>
      <c r="Q506" s="2" t="n"/>
      <c r="R506" s="2" t="n"/>
      <c r="S506" s="2" t="n"/>
      <c r="T506" s="2" t="n"/>
      <c r="U506" s="2" t="n"/>
      <c r="V506" s="2">
        <f>SUM(J506:U506)*G506</f>
        <v/>
      </c>
      <c r="W506" s="2">
        <f>MAX(J506:U506)</f>
        <v/>
      </c>
      <c r="X506" s="2">
        <f>W506*G506</f>
        <v/>
      </c>
    </row>
    <row r="507">
      <c r="A507" s="2" t="inlineStr">
        <is>
          <t>14-K-A92</t>
        </is>
      </c>
      <c r="B507" s="3" t="inlineStr">
        <is>
          <t>OJC-A1-LC/LC-SM-10-PC/PC-DP</t>
        </is>
      </c>
      <c r="C507" s="2" t="inlineStr">
        <is>
          <t>적색</t>
        </is>
      </c>
      <c r="D507" s="2" t="inlineStr">
        <is>
          <t>a1-적</t>
        </is>
      </c>
      <c r="E507" s="2" t="inlineStr">
        <is>
          <t>2.0mm</t>
        </is>
      </c>
      <c r="F507" s="2" t="n">
        <v>2</v>
      </c>
      <c r="G507" s="2" t="n">
        <v>10</v>
      </c>
      <c r="H507" s="2" t="inlineStr">
        <is>
          <t>LC/PC</t>
        </is>
      </c>
      <c r="I507" s="2" t="inlineStr">
        <is>
          <t>LC/PC</t>
        </is>
      </c>
      <c r="J507" s="2" t="n">
        <v>10</v>
      </c>
      <c r="K507" s="2" t="n"/>
      <c r="L507" s="2" t="n"/>
      <c r="M507" s="2" t="n"/>
      <c r="N507" s="2" t="n"/>
      <c r="O507" s="2" t="n">
        <v>20</v>
      </c>
      <c r="P507" s="2" t="n"/>
      <c r="Q507" s="2" t="n"/>
      <c r="R507" s="2" t="n"/>
      <c r="S507" s="2" t="n"/>
      <c r="T507" s="2" t="n">
        <v>20</v>
      </c>
      <c r="U507" s="2" t="n"/>
      <c r="V507" s="2">
        <f>SUM(J507:U507)*G507</f>
        <v/>
      </c>
      <c r="W507" s="2">
        <f>MAX(J507:U507)</f>
        <v/>
      </c>
      <c r="X507" s="2">
        <f>W507*G507</f>
        <v/>
      </c>
    </row>
    <row r="508">
      <c r="A508" s="2" t="inlineStr">
        <is>
          <t>14-K-B126</t>
        </is>
      </c>
      <c r="B508" s="3" t="inlineStr">
        <is>
          <t>OJC-A1-SC/LC-SM-28-PC/PC-DP</t>
        </is>
      </c>
      <c r="C508" s="2" t="inlineStr">
        <is>
          <t>적색</t>
        </is>
      </c>
      <c r="D508" s="2" t="inlineStr">
        <is>
          <t>a1-적</t>
        </is>
      </c>
      <c r="E508" s="2" t="inlineStr">
        <is>
          <t>2.0mm</t>
        </is>
      </c>
      <c r="F508" s="2" t="n">
        <v>2</v>
      </c>
      <c r="G508" s="2" t="n">
        <v>28</v>
      </c>
      <c r="H508" s="2" t="inlineStr">
        <is>
          <t>SC/PC</t>
        </is>
      </c>
      <c r="I508" s="2" t="inlineStr">
        <is>
          <t>LC/PC</t>
        </is>
      </c>
      <c r="J508" s="2" t="n"/>
      <c r="K508" s="2" t="n"/>
      <c r="L508" s="2" t="n"/>
      <c r="M508" s="2" t="n"/>
      <c r="N508" s="2" t="n">
        <v>1</v>
      </c>
      <c r="O508" s="2" t="n"/>
      <c r="P508" s="2" t="n"/>
      <c r="Q508" s="2" t="n"/>
      <c r="R508" s="2" t="n"/>
      <c r="S508" s="2" t="n"/>
      <c r="T508" s="2" t="n"/>
      <c r="U508" s="2" t="n"/>
      <c r="V508" s="2">
        <f>SUM(J508:U508)*G508</f>
        <v/>
      </c>
      <c r="W508" s="2">
        <f>MAX(J508:U508)</f>
        <v/>
      </c>
      <c r="X508" s="2">
        <f>W508*G508</f>
        <v/>
      </c>
    </row>
    <row r="509">
      <c r="A509" s="2" t="inlineStr">
        <is>
          <t>14-K-B152</t>
        </is>
      </c>
      <c r="B509" s="3" t="inlineStr">
        <is>
          <t>OJC-A1-LC/LC-SM-2-PC/PC-DP</t>
        </is>
      </c>
      <c r="C509" s="2" t="inlineStr">
        <is>
          <t>적색</t>
        </is>
      </c>
      <c r="D509" s="2" t="inlineStr">
        <is>
          <t>a1-적</t>
        </is>
      </c>
      <c r="E509" s="2" t="inlineStr">
        <is>
          <t>2.0mm</t>
        </is>
      </c>
      <c r="F509" s="2" t="n">
        <v>2</v>
      </c>
      <c r="G509" s="2" t="n">
        <v>2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>
        <v>20</v>
      </c>
      <c r="U509" s="2" t="n"/>
      <c r="V509" s="2">
        <f>SUM(J509:U509)*G509</f>
        <v/>
      </c>
      <c r="W509" s="2">
        <f>MAX(J509:U509)</f>
        <v/>
      </c>
      <c r="X509" s="2">
        <f>W509*G509</f>
        <v/>
      </c>
    </row>
    <row r="510">
      <c r="A510" s="2" t="inlineStr">
        <is>
          <t>14-K-B154</t>
        </is>
      </c>
      <c r="B510" s="3" t="inlineStr">
        <is>
          <t>OJC-A1-SC/LC-SM-35-PC/PC-DP</t>
        </is>
      </c>
      <c r="C510" s="2" t="inlineStr">
        <is>
          <t>적색</t>
        </is>
      </c>
      <c r="D510" s="2" t="inlineStr">
        <is>
          <t>a1-적</t>
        </is>
      </c>
      <c r="E510" s="2" t="inlineStr">
        <is>
          <t>2.0mm</t>
        </is>
      </c>
      <c r="F510" s="2" t="n">
        <v>2</v>
      </c>
      <c r="G510" s="2" t="n">
        <v>35</v>
      </c>
      <c r="H510" s="2" t="inlineStr">
        <is>
          <t>SC/PC</t>
        </is>
      </c>
      <c r="I510" s="2" t="inlineStr">
        <is>
          <t>LC/PC</t>
        </is>
      </c>
      <c r="J510" s="2" t="n"/>
      <c r="K510" s="2" t="n"/>
      <c r="L510" s="2" t="n"/>
      <c r="M510" s="2" t="n"/>
      <c r="N510" s="2" t="n"/>
      <c r="O510" s="2" t="n">
        <v>5</v>
      </c>
      <c r="P510" s="2" t="n"/>
      <c r="Q510" s="2" t="n"/>
      <c r="R510" s="2" t="n"/>
      <c r="S510" s="2" t="n">
        <v>14</v>
      </c>
      <c r="T510" s="2" t="n"/>
      <c r="U510" s="2" t="n"/>
      <c r="V510" s="2">
        <f>SUM(J510:U510)*G510</f>
        <v/>
      </c>
      <c r="W510" s="2">
        <f>MAX(J510:U510)</f>
        <v/>
      </c>
      <c r="X510" s="2">
        <f>W510*G510</f>
        <v/>
      </c>
    </row>
    <row r="511">
      <c r="A511" s="2" t="inlineStr">
        <is>
          <t>14-K-B155</t>
        </is>
      </c>
      <c r="B511" s="3" t="inlineStr">
        <is>
          <t>OJC-A1-SC/LC-SM-31-PC/PC-DP</t>
        </is>
      </c>
      <c r="C511" s="2" t="inlineStr">
        <is>
          <t>자색</t>
        </is>
      </c>
      <c r="D511" s="2" t="inlineStr">
        <is>
          <t>a1-자</t>
        </is>
      </c>
      <c r="E511" s="2" t="inlineStr">
        <is>
          <t>2.0mm</t>
        </is>
      </c>
      <c r="F511" s="2" t="n">
        <v>2</v>
      </c>
      <c r="G511" s="2" t="n">
        <v>31</v>
      </c>
      <c r="H511" s="2" t="inlineStr">
        <is>
          <t>SC/PC</t>
        </is>
      </c>
      <c r="I511" s="2" t="inlineStr">
        <is>
          <t>LC/PC</t>
        </is>
      </c>
      <c r="J511" s="2" t="n"/>
      <c r="K511" s="2" t="n"/>
      <c r="L511" s="2" t="n"/>
      <c r="M511" s="2" t="n"/>
      <c r="N511" s="2" t="n">
        <v>2</v>
      </c>
      <c r="O511" s="2" t="n"/>
      <c r="P511" s="2" t="n"/>
      <c r="Q511" s="2" t="n"/>
      <c r="R511" s="2" t="n"/>
      <c r="S511" s="2" t="n"/>
      <c r="T511" s="2" t="n"/>
      <c r="U511" s="2" t="n"/>
      <c r="V511" s="2">
        <f>SUM(J511:U511)*G511</f>
        <v/>
      </c>
      <c r="W511" s="2">
        <f>MAX(J511:U511)</f>
        <v/>
      </c>
      <c r="X511" s="2">
        <f>W511*G511</f>
        <v/>
      </c>
    </row>
    <row r="512">
      <c r="A512" s="2" t="inlineStr">
        <is>
          <t>14-K-B158</t>
        </is>
      </c>
      <c r="B512" s="3" t="inlineStr">
        <is>
          <t>OJC-A1-LC/LC-SM-5-PC/PC-DP</t>
        </is>
      </c>
      <c r="C512" s="2" t="inlineStr">
        <is>
          <t>적색</t>
        </is>
      </c>
      <c r="D512" s="2" t="inlineStr">
        <is>
          <t>a1-적</t>
        </is>
      </c>
      <c r="E512" s="2" t="inlineStr">
        <is>
          <t>2.0mm</t>
        </is>
      </c>
      <c r="F512" s="2" t="n">
        <v>2</v>
      </c>
      <c r="G512" s="2" t="n">
        <v>5</v>
      </c>
      <c r="H512" s="2" t="inlineStr">
        <is>
          <t>LC/PC</t>
        </is>
      </c>
      <c r="I512" s="2" t="inlineStr">
        <is>
          <t>LC/PC</t>
        </is>
      </c>
      <c r="J512" s="2" t="n">
        <v>15</v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>
        <f>SUM(J512:U512)*G512</f>
        <v/>
      </c>
      <c r="W512" s="2">
        <f>MAX(J512:U512)</f>
        <v/>
      </c>
      <c r="X512" s="2">
        <f>W512*G512</f>
        <v/>
      </c>
    </row>
    <row r="513">
      <c r="A513" s="2" t="inlineStr">
        <is>
          <t>14-K-B159</t>
        </is>
      </c>
      <c r="B513" s="3" t="inlineStr">
        <is>
          <t>OJC-A1-LC/LC-SM-24-PC/PC-DP</t>
        </is>
      </c>
      <c r="C513" s="2" t="inlineStr"/>
      <c r="D513" s="2" t="inlineStr">
        <is>
          <t>a1</t>
        </is>
      </c>
      <c r="E513" s="2" t="inlineStr">
        <is>
          <t>2.0mm</t>
        </is>
      </c>
      <c r="F513" s="2" t="n">
        <v>2</v>
      </c>
      <c r="G513" s="2" t="n">
        <v>24</v>
      </c>
      <c r="H513" s="2" t="inlineStr">
        <is>
          <t>LC/PC</t>
        </is>
      </c>
      <c r="I513" s="2" t="inlineStr">
        <is>
          <t>LC/PC</t>
        </is>
      </c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>
        <v>4</v>
      </c>
      <c r="S513" s="2" t="n"/>
      <c r="T513" s="2" t="n"/>
      <c r="U513" s="2" t="n"/>
      <c r="V513" s="2">
        <f>SUM(J513:U513)*G513</f>
        <v/>
      </c>
      <c r="W513" s="2">
        <f>MAX(J513:U513)</f>
        <v/>
      </c>
      <c r="X513" s="2">
        <f>W513*G513</f>
        <v/>
      </c>
    </row>
    <row r="514">
      <c r="A514" s="2" t="inlineStr">
        <is>
          <t>14-K-B159</t>
        </is>
      </c>
      <c r="B514" s="3" t="inlineStr">
        <is>
          <t>OJC-A1-LC/LC-SM-24-PC/PC-DP</t>
        </is>
      </c>
      <c r="C514" s="2" t="inlineStr">
        <is>
          <t>적색</t>
        </is>
      </c>
      <c r="D514" s="2" t="inlineStr">
        <is>
          <t>a1-적</t>
        </is>
      </c>
      <c r="E514" s="2" t="inlineStr">
        <is>
          <t>2.0mm</t>
        </is>
      </c>
      <c r="F514" s="2" t="n">
        <v>2</v>
      </c>
      <c r="G514" s="2" t="n">
        <v>24</v>
      </c>
      <c r="H514" s="2" t="inlineStr">
        <is>
          <t>LC/PC</t>
        </is>
      </c>
      <c r="I514" s="2" t="inlineStr">
        <is>
          <t>LC/PC</t>
        </is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>
        <v>4</v>
      </c>
      <c r="S514" s="2" t="n"/>
      <c r="T514" s="2" t="n"/>
      <c r="U514" s="2" t="n"/>
      <c r="V514" s="2">
        <f>SUM(J514:U514)*G514</f>
        <v/>
      </c>
      <c r="W514" s="2">
        <f>MAX(J514:U514)</f>
        <v/>
      </c>
      <c r="X514" s="2">
        <f>W514*G514</f>
        <v/>
      </c>
    </row>
    <row r="515">
      <c r="A515" s="2" t="inlineStr">
        <is>
          <t>14-K-B177</t>
        </is>
      </c>
      <c r="B515" s="3" t="inlineStr">
        <is>
          <t>OJC-A1-LC/LC-SM-30-PC/PC-DP</t>
        </is>
      </c>
      <c r="C515" s="2" t="inlineStr">
        <is>
          <t>녹색</t>
        </is>
      </c>
      <c r="D515" s="2" t="inlineStr">
        <is>
          <t>a1-녹</t>
        </is>
      </c>
      <c r="E515" s="2" t="inlineStr">
        <is>
          <t>2.0mm</t>
        </is>
      </c>
      <c r="F515" s="2" t="n">
        <v>2</v>
      </c>
      <c r="G515" s="2" t="n">
        <v>30</v>
      </c>
      <c r="H515" s="2" t="inlineStr">
        <is>
          <t>LC/PC</t>
        </is>
      </c>
      <c r="I515" s="2" t="inlineStr">
        <is>
          <t>LC/PC</t>
        </is>
      </c>
      <c r="J515" s="2" t="n"/>
      <c r="K515" s="2" t="n"/>
      <c r="L515" s="2" t="n"/>
      <c r="M515" s="2" t="n">
        <v>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>
        <f>SUM(J515:U515)*G515</f>
        <v/>
      </c>
      <c r="W515" s="2">
        <f>MAX(J515:U515)</f>
        <v/>
      </c>
      <c r="X515" s="2">
        <f>W515*G515</f>
        <v/>
      </c>
    </row>
    <row r="516">
      <c r="A516" s="2" t="inlineStr">
        <is>
          <t>14-K-B205</t>
        </is>
      </c>
      <c r="B516" s="3" t="inlineStr">
        <is>
          <t>OJC-C2-SC/SC-SM-15-PC/PC-12C</t>
        </is>
      </c>
      <c r="C516" s="2" t="inlineStr">
        <is>
          <t>양단 분기부 1.5M</t>
        </is>
      </c>
      <c r="D516" s="2" t="inlineStr">
        <is>
          <t>a1-12c</t>
        </is>
      </c>
      <c r="E516" s="2" t="inlineStr">
        <is>
          <t>2.0mm</t>
        </is>
      </c>
      <c r="F516" s="2" t="n">
        <v>12</v>
      </c>
      <c r="G516" s="2" t="n">
        <v>15</v>
      </c>
      <c r="H516" s="2" t="inlineStr">
        <is>
          <t>SC/PC</t>
        </is>
      </c>
      <c r="I516" s="2" t="inlineStr">
        <is>
          <t>SC/PC</t>
        </is>
      </c>
      <c r="J516" s="2" t="n"/>
      <c r="K516" s="2" t="n">
        <v>20</v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>
        <f>SUM(J516:U516)*G516</f>
        <v/>
      </c>
      <c r="W516" s="2">
        <f>MAX(J516:U516)</f>
        <v/>
      </c>
      <c r="X516" s="2">
        <f>W516*G516</f>
        <v/>
      </c>
    </row>
    <row r="517">
      <c r="A517" s="2" t="inlineStr">
        <is>
          <t>14-K-B230</t>
        </is>
      </c>
      <c r="B517" s="3" t="inlineStr">
        <is>
          <t>OJC-A1-LC/LC-SM-26-PC/PC-DP</t>
        </is>
      </c>
      <c r="C517" s="2" t="inlineStr"/>
      <c r="D517" s="2" t="inlineStr">
        <is>
          <t>a1</t>
        </is>
      </c>
      <c r="E517" s="2" t="inlineStr">
        <is>
          <t>2.0mm</t>
        </is>
      </c>
      <c r="F517" s="2" t="n">
        <v>2</v>
      </c>
      <c r="G517" s="2" t="n">
        <v>26</v>
      </c>
      <c r="H517" s="2" t="inlineStr">
        <is>
          <t>LC/PC</t>
        </is>
      </c>
      <c r="I517" s="2" t="inlineStr">
        <is>
          <t>LC/PC</t>
        </is>
      </c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>
        <v>1</v>
      </c>
      <c r="S517" s="2" t="n"/>
      <c r="T517" s="2" t="n"/>
      <c r="U517" s="2" t="n"/>
      <c r="V517" s="2">
        <f>SUM(J517:U517)*G517</f>
        <v/>
      </c>
      <c r="W517" s="2">
        <f>MAX(J517:U517)</f>
        <v/>
      </c>
      <c r="X517" s="2">
        <f>W517*G517</f>
        <v/>
      </c>
    </row>
    <row r="518">
      <c r="A518" s="2" t="inlineStr">
        <is>
          <t>14-K-B253</t>
        </is>
      </c>
      <c r="B518" s="3" t="inlineStr">
        <is>
          <t>OJC-A1-LC/LC-SM-10-PC/PC-DP</t>
        </is>
      </c>
      <c r="C518" s="2" t="inlineStr">
        <is>
          <t>K9089176_녹색</t>
        </is>
      </c>
      <c r="D518" s="2" t="inlineStr">
        <is>
          <t>a1-녹</t>
        </is>
      </c>
      <c r="E518" s="2" t="inlineStr">
        <is>
          <t>2.0mm</t>
        </is>
      </c>
      <c r="F518" s="2" t="n">
        <v>2</v>
      </c>
      <c r="G518" s="2" t="n">
        <v>10</v>
      </c>
      <c r="H518" s="2" t="inlineStr">
        <is>
          <t>LC/PC</t>
        </is>
      </c>
      <c r="I518" s="2" t="inlineStr">
        <is>
          <t>LC/PC</t>
        </is>
      </c>
      <c r="J518" s="2" t="n"/>
      <c r="K518" s="2" t="n"/>
      <c r="L518" s="2" t="n"/>
      <c r="M518" s="2" t="n"/>
      <c r="N518" s="2" t="n"/>
      <c r="O518" s="2" t="n">
        <v>12</v>
      </c>
      <c r="P518" s="2" t="n"/>
      <c r="Q518" s="2" t="n"/>
      <c r="R518" s="2" t="n"/>
      <c r="S518" s="2" t="n"/>
      <c r="T518" s="2" t="n"/>
      <c r="U518" s="2" t="n"/>
      <c r="V518" s="2">
        <f>SUM(J518:U518)*G518</f>
        <v/>
      </c>
      <c r="W518" s="2">
        <f>MAX(J518:U518)</f>
        <v/>
      </c>
      <c r="X518" s="2">
        <f>W518*G518</f>
        <v/>
      </c>
    </row>
    <row r="519">
      <c r="A519" s="2" t="inlineStr">
        <is>
          <t>14-K-B254</t>
        </is>
      </c>
      <c r="B519" s="3" t="inlineStr">
        <is>
          <t>OJC-A1-LC/LC-SM-5-PC/PC-DP</t>
        </is>
      </c>
      <c r="C519" s="2" t="inlineStr">
        <is>
          <t>K9089175_녹색</t>
        </is>
      </c>
      <c r="D519" s="2" t="inlineStr">
        <is>
          <t>a1-녹</t>
        </is>
      </c>
      <c r="E519" s="2" t="inlineStr">
        <is>
          <t>2.0mm</t>
        </is>
      </c>
      <c r="F519" s="2" t="n">
        <v>2</v>
      </c>
      <c r="G519" s="2" t="n">
        <v>5</v>
      </c>
      <c r="H519" s="2" t="inlineStr">
        <is>
          <t>LC/PC</t>
        </is>
      </c>
      <c r="I519" s="2" t="inlineStr">
        <is>
          <t>LC/PC</t>
        </is>
      </c>
      <c r="J519" s="2" t="n"/>
      <c r="K519" s="2" t="n"/>
      <c r="L519" s="2" t="n"/>
      <c r="M519" s="2" t="n"/>
      <c r="N519" s="2" t="n"/>
      <c r="O519" s="2" t="n">
        <v>9</v>
      </c>
      <c r="P519" s="2" t="n"/>
      <c r="Q519" s="2" t="n"/>
      <c r="R519" s="2" t="n"/>
      <c r="S519" s="2" t="n"/>
      <c r="T519" s="2" t="n"/>
      <c r="U519" s="2" t="n"/>
      <c r="V519" s="2">
        <f>SUM(J519:U519)*G519</f>
        <v/>
      </c>
      <c r="W519" s="2">
        <f>MAX(J519:U519)</f>
        <v/>
      </c>
      <c r="X519" s="2">
        <f>W519*G519</f>
        <v/>
      </c>
    </row>
    <row r="520">
      <c r="A520" s="2" t="inlineStr">
        <is>
          <t>14-K-B307</t>
        </is>
      </c>
      <c r="B520" s="3" t="inlineStr">
        <is>
          <t>OJC-A1-LC/LC-SM-11-PC/PC-DP</t>
        </is>
      </c>
      <c r="C520" s="2" t="inlineStr"/>
      <c r="D520" s="2" t="inlineStr">
        <is>
          <t>a1</t>
        </is>
      </c>
      <c r="E520" s="2" t="inlineStr">
        <is>
          <t>2.0mm</t>
        </is>
      </c>
      <c r="F520" s="2" t="n">
        <v>2</v>
      </c>
      <c r="G520" s="2" t="n">
        <v>11</v>
      </c>
      <c r="H520" s="2" t="inlineStr">
        <is>
          <t>LC/PC</t>
        </is>
      </c>
      <c r="I520" s="2" t="inlineStr">
        <is>
          <t>LC/PC</t>
        </is>
      </c>
      <c r="J520" s="2" t="n">
        <v>1</v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>
        <f>SUM(J520:U520)*G520</f>
        <v/>
      </c>
      <c r="W520" s="2">
        <f>MAX(J520:U520)</f>
        <v/>
      </c>
      <c r="X520" s="2">
        <f>W520*G520</f>
        <v/>
      </c>
    </row>
    <row r="521">
      <c r="A521" s="2" t="inlineStr">
        <is>
          <t>14-K-B307</t>
        </is>
      </c>
      <c r="B521" s="3" t="inlineStr">
        <is>
          <t>OJC-A1-LC/LC-SM-11-PC/PC-DP</t>
        </is>
      </c>
      <c r="C521" s="2" t="inlineStr">
        <is>
          <t>적색</t>
        </is>
      </c>
      <c r="D521" s="2" t="inlineStr">
        <is>
          <t>a1-적</t>
        </is>
      </c>
      <c r="E521" s="2" t="inlineStr">
        <is>
          <t>2.0mm</t>
        </is>
      </c>
      <c r="F521" s="2" t="n">
        <v>2</v>
      </c>
      <c r="G521" s="2" t="n">
        <v>11</v>
      </c>
      <c r="H521" s="2" t="inlineStr">
        <is>
          <t>LC/PC</t>
        </is>
      </c>
      <c r="I521" s="2" t="inlineStr">
        <is>
          <t>LC/PC</t>
        </is>
      </c>
      <c r="J521" s="2" t="n"/>
      <c r="K521" s="2" t="n"/>
      <c r="L521" s="2" t="n"/>
      <c r="M521" s="2" t="n"/>
      <c r="N521" s="2" t="n">
        <v>9</v>
      </c>
      <c r="O521" s="2" t="n"/>
      <c r="P521" s="2" t="n"/>
      <c r="Q521" s="2" t="n"/>
      <c r="R521" s="2" t="n"/>
      <c r="S521" s="2" t="n"/>
      <c r="T521" s="2" t="n"/>
      <c r="U521" s="2" t="n"/>
      <c r="V521" s="2">
        <f>SUM(J521:U521)*G521</f>
        <v/>
      </c>
      <c r="W521" s="2">
        <f>MAX(J521:U521)</f>
        <v/>
      </c>
      <c r="X521" s="2">
        <f>W521*G521</f>
        <v/>
      </c>
    </row>
    <row r="522">
      <c r="A522" s="2" t="inlineStr">
        <is>
          <t>14-K-B311</t>
        </is>
      </c>
      <c r="B522" s="3" t="inlineStr">
        <is>
          <t>OJC-A1-LC/LC-SM-23-PC/PC-DP</t>
        </is>
      </c>
      <c r="C522" s="2" t="inlineStr">
        <is>
          <t>적색</t>
        </is>
      </c>
      <c r="D522" s="2" t="inlineStr">
        <is>
          <t>a1-적</t>
        </is>
      </c>
      <c r="E522" s="2" t="inlineStr">
        <is>
          <t>2.0mm</t>
        </is>
      </c>
      <c r="F522" s="2" t="n">
        <v>2</v>
      </c>
      <c r="G522" s="2" t="n">
        <v>23</v>
      </c>
      <c r="H522" s="2" t="inlineStr">
        <is>
          <t>LC/PC</t>
        </is>
      </c>
      <c r="I522" s="2" t="inlineStr">
        <is>
          <t>LC/PC</t>
        </is>
      </c>
      <c r="J522" s="2" t="n"/>
      <c r="K522" s="2" t="n"/>
      <c r="L522" s="2" t="n"/>
      <c r="M522" s="2" t="n"/>
      <c r="N522" s="2" t="n">
        <v>10</v>
      </c>
      <c r="O522" s="2" t="n"/>
      <c r="P522" s="2" t="n"/>
      <c r="Q522" s="2" t="n"/>
      <c r="R522" s="2" t="n"/>
      <c r="S522" s="2" t="n"/>
      <c r="T522" s="2" t="n"/>
      <c r="U522" s="2" t="n"/>
      <c r="V522" s="2">
        <f>SUM(J522:U522)*G522</f>
        <v/>
      </c>
      <c r="W522" s="2">
        <f>MAX(J522:U522)</f>
        <v/>
      </c>
      <c r="X522" s="2">
        <f>W522*G522</f>
        <v/>
      </c>
    </row>
    <row r="523">
      <c r="A523" s="2" t="inlineStr">
        <is>
          <t>14-K-B315</t>
        </is>
      </c>
      <c r="B523" s="3" t="inlineStr">
        <is>
          <t>OJC-A1-LC/LC-MM(OM3)-14-PC/PC-DP</t>
        </is>
      </c>
      <c r="C523" s="2" t="inlineStr"/>
      <c r="D523" s="2" t="inlineStr">
        <is>
          <t>om3</t>
        </is>
      </c>
      <c r="E523" s="2" t="inlineStr">
        <is>
          <t>2.0mm</t>
        </is>
      </c>
      <c r="F523" s="2" t="n">
        <v>2</v>
      </c>
      <c r="G523" s="2" t="n">
        <v>14</v>
      </c>
      <c r="H523" s="2" t="inlineStr">
        <is>
          <t>LC/PC</t>
        </is>
      </c>
      <c r="I523" s="2" t="inlineStr">
        <is>
          <t>LC/PC</t>
        </is>
      </c>
      <c r="J523" s="2" t="n">
        <v>11</v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>
        <v>63</v>
      </c>
      <c r="U523" s="2" t="n"/>
      <c r="V523" s="2">
        <f>SUM(J523:U523)*G523</f>
        <v/>
      </c>
      <c r="W523" s="2">
        <f>MAX(J523:U523)</f>
        <v/>
      </c>
      <c r="X523" s="2">
        <f>W523*G523</f>
        <v/>
      </c>
    </row>
    <row r="524">
      <c r="A524" s="2" t="inlineStr">
        <is>
          <t>14-K-B316</t>
        </is>
      </c>
      <c r="B524" s="3" t="inlineStr">
        <is>
          <t>OJC-A1-LC/LC-MM(OM3)-16-PC/PC-DP</t>
        </is>
      </c>
      <c r="C524" s="2" t="inlineStr"/>
      <c r="D524" s="2" t="inlineStr">
        <is>
          <t>om3</t>
        </is>
      </c>
      <c r="E524" s="2" t="inlineStr">
        <is>
          <t>2.0mm</t>
        </is>
      </c>
      <c r="F524" s="2" t="n">
        <v>2</v>
      </c>
      <c r="G524" s="2" t="n">
        <v>16</v>
      </c>
      <c r="H524" s="2" t="inlineStr">
        <is>
          <t>LC/PC</t>
        </is>
      </c>
      <c r="I524" s="2" t="inlineStr">
        <is>
          <t>LC/PC</t>
        </is>
      </c>
      <c r="J524" s="2" t="n">
        <v>5</v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>
        <v>32</v>
      </c>
      <c r="U524" s="2" t="n"/>
      <c r="V524" s="2">
        <f>SUM(J524:U524)*G524</f>
        <v/>
      </c>
      <c r="W524" s="2">
        <f>MAX(J524:U524)</f>
        <v/>
      </c>
      <c r="X524" s="2">
        <f>W524*G524</f>
        <v/>
      </c>
    </row>
    <row r="525">
      <c r="A525" s="2" t="inlineStr">
        <is>
          <t>14-K-B317</t>
        </is>
      </c>
      <c r="B525" s="3" t="inlineStr">
        <is>
          <t>OJC-A1-LC/LC-MM(OM3)-17-PC/PC-DP</t>
        </is>
      </c>
      <c r="C525" s="2" t="inlineStr"/>
      <c r="D525" s="2" t="inlineStr">
        <is>
          <t>om3</t>
        </is>
      </c>
      <c r="E525" s="2" t="inlineStr">
        <is>
          <t>2.0mm</t>
        </is>
      </c>
      <c r="F525" s="2" t="n">
        <v>2</v>
      </c>
      <c r="G525" s="2" t="n">
        <v>17</v>
      </c>
      <c r="H525" s="2" t="inlineStr">
        <is>
          <t>LC/PC</t>
        </is>
      </c>
      <c r="I525" s="2" t="inlineStr">
        <is>
          <t>LC/PC</t>
        </is>
      </c>
      <c r="J525" s="2" t="n">
        <v>12</v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>
        <f>SUM(J525:U525)*G525</f>
        <v/>
      </c>
      <c r="W525" s="2">
        <f>MAX(J525:U525)</f>
        <v/>
      </c>
      <c r="X525" s="2">
        <f>W525*G525</f>
        <v/>
      </c>
    </row>
    <row r="526">
      <c r="A526" s="2" t="inlineStr">
        <is>
          <t>14-K-B318</t>
        </is>
      </c>
      <c r="B526" s="3" t="inlineStr">
        <is>
          <t>OJC-A1-LC/LC-MM(OM3)-19-PC/PC-DP</t>
        </is>
      </c>
      <c r="C526" s="2" t="inlineStr"/>
      <c r="D526" s="2" t="inlineStr">
        <is>
          <t>om3</t>
        </is>
      </c>
      <c r="E526" s="2" t="inlineStr">
        <is>
          <t>2.0mm</t>
        </is>
      </c>
      <c r="F526" s="2" t="n">
        <v>2</v>
      </c>
      <c r="G526" s="2" t="n">
        <v>19</v>
      </c>
      <c r="H526" s="2" t="inlineStr">
        <is>
          <t>LC/PC</t>
        </is>
      </c>
      <c r="I526" s="2" t="inlineStr">
        <is>
          <t>LC/PC</t>
        </is>
      </c>
      <c r="J526" s="2" t="n">
        <v>67</v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>
        <f>SUM(J526:U526)*G526</f>
        <v/>
      </c>
      <c r="W526" s="2">
        <f>MAX(J526:U526)</f>
        <v/>
      </c>
      <c r="X526" s="2">
        <f>W526*G526</f>
        <v/>
      </c>
    </row>
    <row r="527">
      <c r="A527" s="2" t="inlineStr">
        <is>
          <t>14-K-B319</t>
        </is>
      </c>
      <c r="B527" s="3" t="inlineStr">
        <is>
          <t>OJC-A1-LC/LC-MM-11-PC/PC-DP</t>
        </is>
      </c>
      <c r="C527" s="2" t="inlineStr"/>
      <c r="D527" s="2" t="inlineStr">
        <is>
          <t>om1</t>
        </is>
      </c>
      <c r="E527" s="2" t="inlineStr">
        <is>
          <t>2.0mm</t>
        </is>
      </c>
      <c r="F527" s="2" t="n">
        <v>2</v>
      </c>
      <c r="G527" s="2" t="n">
        <v>11</v>
      </c>
      <c r="H527" s="2" t="inlineStr">
        <is>
          <t>LC/PC</t>
        </is>
      </c>
      <c r="I527" s="2" t="inlineStr">
        <is>
          <t>LC/PC</t>
        </is>
      </c>
      <c r="J527" s="2" t="n">
        <v>5</v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>
        <f>SUM(J527:U527)*G527</f>
        <v/>
      </c>
      <c r="W527" s="2">
        <f>MAX(J527:U527)</f>
        <v/>
      </c>
      <c r="X527" s="2">
        <f>W527*G527</f>
        <v/>
      </c>
    </row>
    <row r="528">
      <c r="A528" s="2" t="inlineStr">
        <is>
          <t>14-K-B320</t>
        </is>
      </c>
      <c r="B528" s="3" t="inlineStr">
        <is>
          <t>OJC-A1-LC/LC-MM-31-PC/PC-DP</t>
        </is>
      </c>
      <c r="C528" s="2" t="inlineStr"/>
      <c r="D528" s="2" t="inlineStr">
        <is>
          <t>om1</t>
        </is>
      </c>
      <c r="E528" s="2" t="inlineStr">
        <is>
          <t>2.0mm</t>
        </is>
      </c>
      <c r="F528" s="2" t="n">
        <v>2</v>
      </c>
      <c r="G528" s="2" t="n">
        <v>31</v>
      </c>
      <c r="H528" s="2" t="inlineStr">
        <is>
          <t>LC/PC</t>
        </is>
      </c>
      <c r="I528" s="2" t="inlineStr">
        <is>
          <t>LC/PC</t>
        </is>
      </c>
      <c r="J528" s="2" t="n">
        <v>1</v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>
        <f>SUM(J528:U528)*G528</f>
        <v/>
      </c>
      <c r="W528" s="2">
        <f>MAX(J528:U528)</f>
        <v/>
      </c>
      <c r="X528" s="2">
        <f>W528*G528</f>
        <v/>
      </c>
    </row>
    <row r="529">
      <c r="A529" s="2" t="inlineStr">
        <is>
          <t>14-K-B321</t>
        </is>
      </c>
      <c r="B529" s="3" t="inlineStr">
        <is>
          <t>OJC-A1-SC/SC-SM-0.8-PC/PC-SP</t>
        </is>
      </c>
      <c r="C529" s="2" t="inlineStr"/>
      <c r="D529" s="2" t="inlineStr">
        <is>
          <t>a1</t>
        </is>
      </c>
      <c r="E529" s="2" t="inlineStr">
        <is>
          <t>2.0mm</t>
        </is>
      </c>
      <c r="F529" s="2" t="n">
        <v>1</v>
      </c>
      <c r="G529" s="2" t="n">
        <v>0.8</v>
      </c>
      <c r="H529" s="2" t="inlineStr">
        <is>
          <t>SC/PC</t>
        </is>
      </c>
      <c r="I529" s="2" t="inlineStr">
        <is>
          <t>SC/PC</t>
        </is>
      </c>
      <c r="J529" s="2" t="n">
        <v>188</v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>
        <f>SUM(J529:U529)*G529</f>
        <v/>
      </c>
      <c r="W529" s="2">
        <f>MAX(J529:U529)</f>
        <v/>
      </c>
      <c r="X529" s="2">
        <f>W529*G529</f>
        <v/>
      </c>
    </row>
    <row r="530">
      <c r="A530" s="2" t="inlineStr">
        <is>
          <t>14-K-B322</t>
        </is>
      </c>
      <c r="B530" s="3" t="inlineStr">
        <is>
          <t>OJC-A1-SC/LC-SM-2-PC/PC-SP</t>
        </is>
      </c>
      <c r="C530" s="2" t="inlineStr">
        <is>
          <t>적색</t>
        </is>
      </c>
      <c r="D530" s="2" t="inlineStr">
        <is>
          <t>a1-적</t>
        </is>
      </c>
      <c r="E530" s="2" t="inlineStr">
        <is>
          <t>2.0mm</t>
        </is>
      </c>
      <c r="F530" s="2" t="n">
        <v>1</v>
      </c>
      <c r="G530" s="2" t="n">
        <v>2</v>
      </c>
      <c r="H530" s="2" t="inlineStr">
        <is>
          <t>SC/PC</t>
        </is>
      </c>
      <c r="I530" s="2" t="inlineStr">
        <is>
          <t>LC/PC</t>
        </is>
      </c>
      <c r="J530" s="2" t="n"/>
      <c r="K530" s="2" t="n">
        <v>11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>
        <f>SUM(J530:U530)*G530</f>
        <v/>
      </c>
      <c r="W530" s="2">
        <f>MAX(J530:U530)</f>
        <v/>
      </c>
      <c r="X530" s="2">
        <f>W530*G530</f>
        <v/>
      </c>
    </row>
    <row r="531">
      <c r="A531" s="2" t="inlineStr">
        <is>
          <t>14-K-B323</t>
        </is>
      </c>
      <c r="B531" s="3" t="inlineStr">
        <is>
          <t>OJC-A1-SC/SC-SM-6-PC/PC-DP</t>
        </is>
      </c>
      <c r="C531" s="2" t="inlineStr">
        <is>
          <t>적색</t>
        </is>
      </c>
      <c r="D531" s="2" t="inlineStr">
        <is>
          <t>a1-적</t>
        </is>
      </c>
      <c r="E531" s="2" t="inlineStr">
        <is>
          <t>2.0mm</t>
        </is>
      </c>
      <c r="F531" s="2" t="n">
        <v>2</v>
      </c>
      <c r="G531" s="2" t="n">
        <v>6</v>
      </c>
      <c r="H531" s="2" t="inlineStr">
        <is>
          <t>SC/PC</t>
        </is>
      </c>
      <c r="I531" s="2" t="inlineStr">
        <is>
          <t>SC/PC</t>
        </is>
      </c>
      <c r="J531" s="2" t="n"/>
      <c r="K531" s="2" t="n">
        <v>20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>
        <f>SUM(J531:U531)*G531</f>
        <v/>
      </c>
      <c r="W531" s="2">
        <f>MAX(J531:U531)</f>
        <v/>
      </c>
      <c r="X531" s="2">
        <f>W531*G531</f>
        <v/>
      </c>
    </row>
    <row r="532">
      <c r="A532" s="2" t="inlineStr">
        <is>
          <t>14-K-B326</t>
        </is>
      </c>
      <c r="B532" s="3" t="inlineStr">
        <is>
          <t>OJC-A1-SC/LC-SM-5-APC/PC-SP</t>
        </is>
      </c>
      <c r="C532" s="2" t="inlineStr"/>
      <c r="D532" s="2" t="inlineStr">
        <is>
          <t>a1</t>
        </is>
      </c>
      <c r="E532" s="2" t="inlineStr">
        <is>
          <t>2.0mm</t>
        </is>
      </c>
      <c r="F532" s="2" t="n">
        <v>1</v>
      </c>
      <c r="G532" s="2" t="n">
        <v>5</v>
      </c>
      <c r="H532" s="2" t="inlineStr">
        <is>
          <t>SC/APC</t>
        </is>
      </c>
      <c r="I532" s="2" t="inlineStr">
        <is>
          <t>LC/PC</t>
        </is>
      </c>
      <c r="J532" s="2" t="n"/>
      <c r="K532" s="2" t="n"/>
      <c r="L532" s="2" t="n">
        <v>55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>
        <f>SUM(J532:U532)*G532</f>
        <v/>
      </c>
      <c r="W532" s="2">
        <f>MAX(J532:U532)</f>
        <v/>
      </c>
      <c r="X532" s="2">
        <f>W532*G532</f>
        <v/>
      </c>
    </row>
    <row r="533">
      <c r="A533" s="2" t="inlineStr">
        <is>
          <t>14-K-B327</t>
        </is>
      </c>
      <c r="B533" s="3" t="inlineStr">
        <is>
          <t>OJC-A1-LC/LC-MM(OM3)-1.5-PC/PC-DP</t>
        </is>
      </c>
      <c r="C533" s="2" t="inlineStr"/>
      <c r="D533" s="2" t="inlineStr">
        <is>
          <t>om3</t>
        </is>
      </c>
      <c r="E533" s="2" t="inlineStr">
        <is>
          <t>2.0mm</t>
        </is>
      </c>
      <c r="F533" s="2" t="n">
        <v>2</v>
      </c>
      <c r="G533" s="2" t="n">
        <v>1.5</v>
      </c>
      <c r="H533" s="2" t="inlineStr">
        <is>
          <t>LC/PC</t>
        </is>
      </c>
      <c r="I533" s="2" t="inlineStr">
        <is>
          <t>LC/PC</t>
        </is>
      </c>
      <c r="J533" s="2" t="n"/>
      <c r="K533" s="2" t="n"/>
      <c r="L533" s="2" t="n"/>
      <c r="M533" s="2" t="n">
        <v>6</v>
      </c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>
        <f>SUM(J533:U533)*G533</f>
        <v/>
      </c>
      <c r="W533" s="2">
        <f>MAX(J533:U533)</f>
        <v/>
      </c>
      <c r="X533" s="2">
        <f>W533*G533</f>
        <v/>
      </c>
    </row>
    <row r="534">
      <c r="A534" s="2" t="inlineStr">
        <is>
          <t>14-K-B328</t>
        </is>
      </c>
      <c r="B534" s="3" t="inlineStr">
        <is>
          <t>OJC-A1-LC/LC-SM-29-PC/PC-DP</t>
        </is>
      </c>
      <c r="C534" s="2" t="inlineStr">
        <is>
          <t>자색</t>
        </is>
      </c>
      <c r="D534" s="2" t="inlineStr">
        <is>
          <t>a1-자</t>
        </is>
      </c>
      <c r="E534" s="2" t="inlineStr">
        <is>
          <t>2.0mm</t>
        </is>
      </c>
      <c r="F534" s="2" t="n">
        <v>2</v>
      </c>
      <c r="G534" s="2" t="n">
        <v>29</v>
      </c>
      <c r="H534" s="2" t="inlineStr">
        <is>
          <t>LC/PC</t>
        </is>
      </c>
      <c r="I534" s="2" t="inlineStr">
        <is>
          <t>LC/PC</t>
        </is>
      </c>
      <c r="J534" s="2" t="n"/>
      <c r="K534" s="2" t="n"/>
      <c r="L534" s="2" t="n"/>
      <c r="M534" s="2" t="n"/>
      <c r="N534" s="2" t="n">
        <v>3</v>
      </c>
      <c r="O534" s="2" t="n"/>
      <c r="P534" s="2" t="n"/>
      <c r="Q534" s="2" t="n"/>
      <c r="R534" s="2" t="n"/>
      <c r="S534" s="2" t="n"/>
      <c r="T534" s="2" t="n"/>
      <c r="U534" s="2" t="n"/>
      <c r="V534" s="2">
        <f>SUM(J534:U534)*G534</f>
        <v/>
      </c>
      <c r="W534" s="2">
        <f>MAX(J534:U534)</f>
        <v/>
      </c>
      <c r="X534" s="2">
        <f>W534*G534</f>
        <v/>
      </c>
    </row>
    <row r="535">
      <c r="A535" s="2" t="inlineStr">
        <is>
          <t>14-K-B341</t>
        </is>
      </c>
      <c r="B535" s="3" t="inlineStr">
        <is>
          <t>OJC-A1-SC/LC-SM-15-APC/PC-SP</t>
        </is>
      </c>
      <c r="C535" s="2" t="inlineStr"/>
      <c r="D535" s="2" t="inlineStr">
        <is>
          <t>a1</t>
        </is>
      </c>
      <c r="E535" s="2" t="inlineStr">
        <is>
          <t>2.0mm</t>
        </is>
      </c>
      <c r="F535" s="2" t="n">
        <v>1</v>
      </c>
      <c r="G535" s="2" t="n">
        <v>15</v>
      </c>
      <c r="H535" s="2" t="inlineStr">
        <is>
          <t>SC/APC</t>
        </is>
      </c>
      <c r="I535" s="2" t="inlineStr">
        <is>
          <t>LC/PC</t>
        </is>
      </c>
      <c r="J535" s="2" t="n"/>
      <c r="K535" s="2" t="n"/>
      <c r="L535" s="2" t="n"/>
      <c r="M535" s="2" t="n"/>
      <c r="N535" s="2" t="n"/>
      <c r="O535" s="2" t="n">
        <v>50</v>
      </c>
      <c r="P535" s="2" t="n"/>
      <c r="Q535" s="2" t="n"/>
      <c r="R535" s="2" t="n"/>
      <c r="S535" s="2" t="n"/>
      <c r="T535" s="2" t="n"/>
      <c r="U535" s="2" t="n"/>
      <c r="V535" s="2">
        <f>SUM(J535:U535)*G535</f>
        <v/>
      </c>
      <c r="W535" s="2">
        <f>MAX(J535:U535)</f>
        <v/>
      </c>
      <c r="X535" s="2">
        <f>W535*G535</f>
        <v/>
      </c>
    </row>
    <row r="536">
      <c r="A536" s="2" t="inlineStr">
        <is>
          <t>14-K-B343</t>
        </is>
      </c>
      <c r="B536" s="3" t="inlineStr">
        <is>
          <t>OJC-C2-LC/LC-SM-35-PC/PC-4C</t>
        </is>
      </c>
      <c r="C536" s="2" t="inlineStr">
        <is>
          <t>양단분기부 2M</t>
        </is>
      </c>
      <c r="D536" s="2" t="inlineStr">
        <is>
          <t>b3-4c</t>
        </is>
      </c>
      <c r="E536" s="2" t="inlineStr">
        <is>
          <t>2.0mm</t>
        </is>
      </c>
      <c r="F536" s="2" t="n">
        <v>4</v>
      </c>
      <c r="G536" s="2" t="n">
        <v>35</v>
      </c>
      <c r="H536" s="2" t="inlineStr">
        <is>
          <t>LC/PC</t>
        </is>
      </c>
      <c r="I536" s="2" t="inlineStr">
        <is>
          <t>LC/PC</t>
        </is>
      </c>
      <c r="J536" s="2" t="n"/>
      <c r="K536" s="2" t="n"/>
      <c r="L536" s="2" t="n"/>
      <c r="M536" s="2" t="n"/>
      <c r="N536" s="2" t="n"/>
      <c r="O536" s="2" t="n">
        <v>5</v>
      </c>
      <c r="P536" s="2" t="n"/>
      <c r="Q536" s="2" t="n"/>
      <c r="R536" s="2" t="n"/>
      <c r="S536" s="2" t="n"/>
      <c r="T536" s="2" t="n"/>
      <c r="U536" s="2" t="n"/>
      <c r="V536" s="2">
        <f>SUM(J536:U536)*G536</f>
        <v/>
      </c>
      <c r="W536" s="2">
        <f>MAX(J536:U536)</f>
        <v/>
      </c>
      <c r="X536" s="2">
        <f>W536*G536</f>
        <v/>
      </c>
    </row>
    <row r="537">
      <c r="A537" s="2" t="inlineStr">
        <is>
          <t>14-K-B344</t>
        </is>
      </c>
      <c r="B537" s="3" t="inlineStr">
        <is>
          <t>OJC-C2-SC/SC-SM-13-PC/PC-16C</t>
        </is>
      </c>
      <c r="C537" s="2" t="inlineStr">
        <is>
          <t>양단 분기부 1.5M</t>
        </is>
      </c>
      <c r="D537" s="2" t="inlineStr">
        <is>
          <t>a1-16c</t>
        </is>
      </c>
      <c r="E537" s="2" t="inlineStr">
        <is>
          <t>2.0mm</t>
        </is>
      </c>
      <c r="F537" s="2" t="n">
        <v>16</v>
      </c>
      <c r="G537" s="2" t="n">
        <v>13</v>
      </c>
      <c r="H537" s="2" t="inlineStr">
        <is>
          <t>SC/PC</t>
        </is>
      </c>
      <c r="I537" s="2" t="inlineStr">
        <is>
          <t>SC/PC</t>
        </is>
      </c>
      <c r="J537" s="2" t="n"/>
      <c r="K537" s="2" t="n"/>
      <c r="L537" s="2" t="n"/>
      <c r="M537" s="2" t="n"/>
      <c r="N537" s="2" t="n"/>
      <c r="O537" s="2" t="n">
        <v>5</v>
      </c>
      <c r="P537" s="2" t="n"/>
      <c r="Q537" s="2" t="n"/>
      <c r="R537" s="2" t="n"/>
      <c r="S537" s="2" t="n"/>
      <c r="T537" s="2" t="n"/>
      <c r="U537" s="2" t="n"/>
      <c r="V537" s="2">
        <f>SUM(J537:U537)*G537</f>
        <v/>
      </c>
      <c r="W537" s="2">
        <f>MAX(J537:U537)</f>
        <v/>
      </c>
      <c r="X537" s="2">
        <f>W537*G537</f>
        <v/>
      </c>
    </row>
    <row r="538">
      <c r="A538" s="2" t="inlineStr">
        <is>
          <t>14-K-B345</t>
        </is>
      </c>
      <c r="B538" s="3" t="inlineStr">
        <is>
          <t>OJC-C2-SC/SC-SM-15-PC/PC-16C</t>
        </is>
      </c>
      <c r="C538" s="2" t="inlineStr">
        <is>
          <t>양단 분기부 1.5M</t>
        </is>
      </c>
      <c r="D538" s="2" t="inlineStr">
        <is>
          <t>a1-16c</t>
        </is>
      </c>
      <c r="E538" s="2" t="inlineStr">
        <is>
          <t>2.0mm</t>
        </is>
      </c>
      <c r="F538" s="2" t="n">
        <v>16</v>
      </c>
      <c r="G538" s="2" t="n">
        <v>15</v>
      </c>
      <c r="H538" s="2" t="inlineStr">
        <is>
          <t>SC/PC</t>
        </is>
      </c>
      <c r="I538" s="2" t="inlineStr">
        <is>
          <t>SC/PC</t>
        </is>
      </c>
      <c r="J538" s="2" t="n"/>
      <c r="K538" s="2" t="n"/>
      <c r="L538" s="2" t="n"/>
      <c r="M538" s="2" t="n"/>
      <c r="N538" s="2" t="n"/>
      <c r="O538" s="2" t="n">
        <v>5</v>
      </c>
      <c r="P538" s="2" t="n"/>
      <c r="Q538" s="2" t="n"/>
      <c r="R538" s="2" t="n"/>
      <c r="S538" s="2" t="n"/>
      <c r="T538" s="2" t="n"/>
      <c r="U538" s="2" t="n"/>
      <c r="V538" s="2">
        <f>SUM(J538:U538)*G538</f>
        <v/>
      </c>
      <c r="W538" s="2">
        <f>MAX(J538:U538)</f>
        <v/>
      </c>
      <c r="X538" s="2">
        <f>W538*G538</f>
        <v/>
      </c>
    </row>
    <row r="539">
      <c r="A539" s="2" t="inlineStr">
        <is>
          <t>14-K-B346</t>
        </is>
      </c>
      <c r="B539" s="3" t="inlineStr">
        <is>
          <t>OJC-C2-SC/SC-SM-20-PC/PC-16C</t>
        </is>
      </c>
      <c r="C539" s="2" t="inlineStr">
        <is>
          <t>양단 분기부 1.5M</t>
        </is>
      </c>
      <c r="D539" s="2" t="inlineStr">
        <is>
          <t>a1-16c</t>
        </is>
      </c>
      <c r="E539" s="2" t="inlineStr">
        <is>
          <t>2.0mm</t>
        </is>
      </c>
      <c r="F539" s="2" t="n">
        <v>16</v>
      </c>
      <c r="G539" s="2" t="n">
        <v>20</v>
      </c>
      <c r="H539" s="2" t="inlineStr">
        <is>
          <t>SC/PC</t>
        </is>
      </c>
      <c r="I539" s="2" t="inlineStr">
        <is>
          <t>SC/PC</t>
        </is>
      </c>
      <c r="J539" s="2" t="n"/>
      <c r="K539" s="2" t="n"/>
      <c r="L539" s="2" t="n"/>
      <c r="M539" s="2" t="n"/>
      <c r="N539" s="2" t="n"/>
      <c r="O539" s="2" t="n">
        <v>5</v>
      </c>
      <c r="P539" s="2" t="n"/>
      <c r="Q539" s="2" t="n"/>
      <c r="R539" s="2" t="n"/>
      <c r="S539" s="2" t="n"/>
      <c r="T539" s="2" t="n"/>
      <c r="U539" s="2" t="n"/>
      <c r="V539" s="2">
        <f>SUM(J539:U539)*G539</f>
        <v/>
      </c>
      <c r="W539" s="2">
        <f>MAX(J539:U539)</f>
        <v/>
      </c>
      <c r="X539" s="2">
        <f>W539*G539</f>
        <v/>
      </c>
    </row>
    <row r="540">
      <c r="A540" s="2" t="inlineStr">
        <is>
          <t>14-K-B347</t>
        </is>
      </c>
      <c r="B540" s="3" t="inlineStr">
        <is>
          <t>OJC-C2-SC/SC-SM-25-PC/PC-16C</t>
        </is>
      </c>
      <c r="C540" s="2" t="inlineStr">
        <is>
          <t>양단 분기부 1.5M</t>
        </is>
      </c>
      <c r="D540" s="2" t="inlineStr">
        <is>
          <t>a1-16c</t>
        </is>
      </c>
      <c r="E540" s="2" t="inlineStr">
        <is>
          <t>2.0mm</t>
        </is>
      </c>
      <c r="F540" s="2" t="n">
        <v>16</v>
      </c>
      <c r="G540" s="2" t="n">
        <v>25</v>
      </c>
      <c r="H540" s="2" t="inlineStr">
        <is>
          <t>SC/PC</t>
        </is>
      </c>
      <c r="I540" s="2" t="inlineStr">
        <is>
          <t>SC/PC</t>
        </is>
      </c>
      <c r="J540" s="2" t="n"/>
      <c r="K540" s="2" t="n"/>
      <c r="L540" s="2" t="n"/>
      <c r="M540" s="2" t="n"/>
      <c r="N540" s="2" t="n"/>
      <c r="O540" s="2" t="n">
        <v>5</v>
      </c>
      <c r="P540" s="2" t="n"/>
      <c r="Q540" s="2" t="n"/>
      <c r="R540" s="2" t="n"/>
      <c r="S540" s="2" t="n"/>
      <c r="T540" s="2" t="n"/>
      <c r="U540" s="2" t="n"/>
      <c r="V540" s="2">
        <f>SUM(J540:U540)*G540</f>
        <v/>
      </c>
      <c r="W540" s="2">
        <f>MAX(J540:U540)</f>
        <v/>
      </c>
      <c r="X540" s="2">
        <f>W540*G540</f>
        <v/>
      </c>
    </row>
    <row r="541">
      <c r="A541" s="2" t="inlineStr">
        <is>
          <t>14-K-B348</t>
        </is>
      </c>
      <c r="B541" s="3" t="inlineStr">
        <is>
          <t>OJC-C2-SC/SC-SM-30-PC/PC-16C</t>
        </is>
      </c>
      <c r="C541" s="2" t="inlineStr">
        <is>
          <t>양단 분기부 1.5M</t>
        </is>
      </c>
      <c r="D541" s="2" t="inlineStr">
        <is>
          <t>a1-16c</t>
        </is>
      </c>
      <c r="E541" s="2" t="inlineStr">
        <is>
          <t>2.0mm</t>
        </is>
      </c>
      <c r="F541" s="2" t="n">
        <v>16</v>
      </c>
      <c r="G541" s="2" t="n">
        <v>30</v>
      </c>
      <c r="H541" s="2" t="inlineStr">
        <is>
          <t>SC/PC</t>
        </is>
      </c>
      <c r="I541" s="2" t="inlineStr">
        <is>
          <t>SC/PC</t>
        </is>
      </c>
      <c r="J541" s="2" t="n"/>
      <c r="K541" s="2" t="n"/>
      <c r="L541" s="2" t="n"/>
      <c r="M541" s="2" t="n"/>
      <c r="N541" s="2" t="n"/>
      <c r="O541" s="2" t="n">
        <v>5</v>
      </c>
      <c r="P541" s="2" t="n"/>
      <c r="Q541" s="2" t="n"/>
      <c r="R541" s="2" t="n"/>
      <c r="S541" s="2" t="n"/>
      <c r="T541" s="2" t="n"/>
      <c r="U541" s="2" t="n"/>
      <c r="V541" s="2">
        <f>SUM(J541:U541)*G541</f>
        <v/>
      </c>
      <c r="W541" s="2">
        <f>MAX(J541:U541)</f>
        <v/>
      </c>
      <c r="X541" s="2">
        <f>W541*G541</f>
        <v/>
      </c>
    </row>
    <row r="542">
      <c r="A542" s="2" t="inlineStr">
        <is>
          <t>14-K-B350</t>
        </is>
      </c>
      <c r="B542" s="3" t="inlineStr">
        <is>
          <t>OJC-A1-SC/SC-SM-13-PC/PC-DP</t>
        </is>
      </c>
      <c r="C542" s="2" t="inlineStr">
        <is>
          <t>K9089135_녹색</t>
        </is>
      </c>
      <c r="D542" s="2" t="inlineStr">
        <is>
          <t>a1-녹</t>
        </is>
      </c>
      <c r="E542" s="2" t="inlineStr">
        <is>
          <t>2.0mm</t>
        </is>
      </c>
      <c r="F542" s="2" t="n">
        <v>2</v>
      </c>
      <c r="G542" s="2" t="n">
        <v>13</v>
      </c>
      <c r="H542" s="2" t="inlineStr">
        <is>
          <t>SC/PC</t>
        </is>
      </c>
      <c r="I542" s="2" t="inlineStr">
        <is>
          <t>SC/PC</t>
        </is>
      </c>
      <c r="J542" s="2" t="n"/>
      <c r="K542" s="2" t="n"/>
      <c r="L542" s="2" t="n"/>
      <c r="M542" s="2" t="n"/>
      <c r="N542" s="2" t="n"/>
      <c r="O542" s="2" t="n">
        <v>11</v>
      </c>
      <c r="P542" s="2" t="n"/>
      <c r="Q542" s="2" t="n"/>
      <c r="R542" s="2" t="n"/>
      <c r="S542" s="2" t="n"/>
      <c r="T542" s="2" t="n">
        <v>1</v>
      </c>
      <c r="U542" s="2" t="n"/>
      <c r="V542" s="2">
        <f>SUM(J542:U542)*G542</f>
        <v/>
      </c>
      <c r="W542" s="2">
        <f>MAX(J542:U542)</f>
        <v/>
      </c>
      <c r="X542" s="2">
        <f>W542*G542</f>
        <v/>
      </c>
    </row>
    <row r="543">
      <c r="A543" s="2" t="inlineStr">
        <is>
          <t>14-K-B351</t>
        </is>
      </c>
      <c r="B543" s="3" t="inlineStr">
        <is>
          <t>OJC-A1-SC/LC-SM-0.5-APC/PC-SP</t>
        </is>
      </c>
      <c r="C543" s="2" t="inlineStr"/>
      <c r="D543" s="2" t="inlineStr">
        <is>
          <t>a1</t>
        </is>
      </c>
      <c r="E543" s="2" t="inlineStr">
        <is>
          <t>2.0mm</t>
        </is>
      </c>
      <c r="F543" s="2" t="n">
        <v>1</v>
      </c>
      <c r="G543" s="2" t="n">
        <v>0.5</v>
      </c>
      <c r="H543" s="2" t="inlineStr">
        <is>
          <t>SC/APC</t>
        </is>
      </c>
      <c r="I543" s="2" t="inlineStr">
        <is>
          <t>LC/PC</t>
        </is>
      </c>
      <c r="J543" s="2" t="n"/>
      <c r="K543" s="2" t="n"/>
      <c r="L543" s="2" t="n"/>
      <c r="M543" s="2" t="n"/>
      <c r="N543" s="2" t="n"/>
      <c r="O543" s="2" t="n"/>
      <c r="P543" s="2" t="n">
        <v>5</v>
      </c>
      <c r="Q543" s="2" t="n"/>
      <c r="R543" s="2" t="n"/>
      <c r="S543" s="2" t="n"/>
      <c r="T543" s="2" t="n"/>
      <c r="U543" s="2" t="n"/>
      <c r="V543" s="2">
        <f>SUM(J543:U543)*G543</f>
        <v/>
      </c>
      <c r="W543" s="2">
        <f>MAX(J543:U543)</f>
        <v/>
      </c>
      <c r="X543" s="2">
        <f>W543*G543</f>
        <v/>
      </c>
    </row>
    <row r="544">
      <c r="A544" s="2" t="inlineStr">
        <is>
          <t>14-K-B356</t>
        </is>
      </c>
      <c r="B544" s="3" t="inlineStr">
        <is>
          <t>OJC-A1-SC/SC-SM-12-APC/APC-SP</t>
        </is>
      </c>
      <c r="C544" s="2" t="inlineStr"/>
      <c r="D544" s="2" t="inlineStr">
        <is>
          <t>a1</t>
        </is>
      </c>
      <c r="E544" s="2" t="inlineStr">
        <is>
          <t>2.0mm</t>
        </is>
      </c>
      <c r="F544" s="2" t="n">
        <v>1</v>
      </c>
      <c r="G544" s="2" t="n">
        <v>12</v>
      </c>
      <c r="H544" s="2" t="inlineStr">
        <is>
          <t>SC/APC</t>
        </is>
      </c>
      <c r="I544" s="2" t="inlineStr">
        <is>
          <t>SC/APC</t>
        </is>
      </c>
      <c r="J544" s="2" t="n"/>
      <c r="K544" s="2" t="n"/>
      <c r="L544" s="2" t="n"/>
      <c r="M544" s="2" t="n"/>
      <c r="N544" s="2" t="n"/>
      <c r="O544" s="2" t="n"/>
      <c r="P544" s="2" t="n"/>
      <c r="Q544" s="2" t="n">
        <v>50</v>
      </c>
      <c r="R544" s="2" t="n"/>
      <c r="S544" s="2" t="n"/>
      <c r="T544" s="2" t="n"/>
      <c r="U544" s="2" t="n"/>
      <c r="V544" s="2">
        <f>SUM(J544:U544)*G544</f>
        <v/>
      </c>
      <c r="W544" s="2">
        <f>MAX(J544:U544)</f>
        <v/>
      </c>
      <c r="X544" s="2">
        <f>W544*G544</f>
        <v/>
      </c>
    </row>
    <row r="545">
      <c r="A545" s="2" t="inlineStr">
        <is>
          <t>14-K-B357</t>
        </is>
      </c>
      <c r="B545" s="3" t="inlineStr">
        <is>
          <t>OJC-A1-LC/LC-SM-40-PC/PC-DP</t>
        </is>
      </c>
      <c r="C545" s="2" t="inlineStr">
        <is>
          <t>녹색</t>
        </is>
      </c>
      <c r="D545" s="2" t="inlineStr">
        <is>
          <t>a1-녹</t>
        </is>
      </c>
      <c r="E545" s="2" t="inlineStr">
        <is>
          <t>2.0mm</t>
        </is>
      </c>
      <c r="F545" s="2" t="n">
        <v>2</v>
      </c>
      <c r="G545" s="2" t="n">
        <v>40</v>
      </c>
      <c r="H545" s="2" t="inlineStr">
        <is>
          <t>LC/PC</t>
        </is>
      </c>
      <c r="I545" s="2" t="inlineStr">
        <is>
          <t>LC/PC</t>
        </is>
      </c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>
        <v>4</v>
      </c>
      <c r="T545" s="2" t="n"/>
      <c r="U545" s="2" t="n"/>
      <c r="V545" s="2">
        <f>SUM(J545:U545)*G545</f>
        <v/>
      </c>
      <c r="W545" s="2">
        <f>MAX(J545:U545)</f>
        <v/>
      </c>
      <c r="X545" s="2">
        <f>W545*G545</f>
        <v/>
      </c>
    </row>
    <row r="546">
      <c r="A546" s="2" t="inlineStr">
        <is>
          <t>14-K-B358</t>
        </is>
      </c>
      <c r="B546" s="3" t="inlineStr">
        <is>
          <t>OJC-A1-LC/LC-SM-50-PC/PC-DP</t>
        </is>
      </c>
      <c r="C546" s="2" t="inlineStr">
        <is>
          <t>녹색</t>
        </is>
      </c>
      <c r="D546" s="2" t="inlineStr">
        <is>
          <t>a1-녹</t>
        </is>
      </c>
      <c r="E546" s="2" t="inlineStr">
        <is>
          <t>2.0mm</t>
        </is>
      </c>
      <c r="F546" s="2" t="n">
        <v>2</v>
      </c>
      <c r="G546" s="2" t="n">
        <v>50</v>
      </c>
      <c r="H546" s="2" t="inlineStr">
        <is>
          <t>LC/PC</t>
        </is>
      </c>
      <c r="I546" s="2" t="inlineStr">
        <is>
          <t>LC/PC</t>
        </is>
      </c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>
        <v>4</v>
      </c>
      <c r="T546" s="2" t="n"/>
      <c r="U546" s="2" t="n"/>
      <c r="V546" s="2">
        <f>SUM(J546:U546)*G546</f>
        <v/>
      </c>
      <c r="W546" s="2">
        <f>MAX(J546:U546)</f>
        <v/>
      </c>
      <c r="X546" s="2">
        <f>W546*G546</f>
        <v/>
      </c>
    </row>
    <row r="547">
      <c r="A547" s="2" t="inlineStr">
        <is>
          <t>14-K-B359</t>
        </is>
      </c>
      <c r="B547" s="3" t="inlineStr">
        <is>
          <t>OJC-A1-LC/LC-SM-1-PC/PC-DP</t>
        </is>
      </c>
      <c r="C547" s="2" t="inlineStr">
        <is>
          <t>적색</t>
        </is>
      </c>
      <c r="D547" s="2" t="inlineStr">
        <is>
          <t>a1-적</t>
        </is>
      </c>
      <c r="E547" s="2" t="inlineStr">
        <is>
          <t>2.0mm</t>
        </is>
      </c>
      <c r="F547" s="2" t="n">
        <v>2</v>
      </c>
      <c r="G547" s="2" t="n">
        <v>1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>
        <v>20</v>
      </c>
      <c r="U547" s="2" t="n"/>
      <c r="V547" s="2">
        <f>SUM(J547:U547)*G547</f>
        <v/>
      </c>
      <c r="W547" s="2">
        <f>MAX(J547:U547)</f>
        <v/>
      </c>
      <c r="X547" s="2">
        <f>W547*G547</f>
        <v/>
      </c>
    </row>
    <row r="548">
      <c r="A548" s="2" t="inlineStr">
        <is>
          <t>14-K-B361</t>
        </is>
      </c>
      <c r="B548" s="3" t="inlineStr">
        <is>
          <t>OJC-C2-SC/SC-SM-15-PC/APC-12C</t>
        </is>
      </c>
      <c r="C548" s="2" t="inlineStr"/>
      <c r="D548" s="2" t="inlineStr">
        <is>
          <t>a1-12c</t>
        </is>
      </c>
      <c r="E548" s="2" t="inlineStr">
        <is>
          <t>2.0mm</t>
        </is>
      </c>
      <c r="F548" s="2" t="n">
        <v>12</v>
      </c>
      <c r="G548" s="2" t="n">
        <v>15</v>
      </c>
      <c r="H548" s="2" t="inlineStr">
        <is>
          <t>SC/PC</t>
        </is>
      </c>
      <c r="I548" s="2" t="inlineStr">
        <is>
          <t>SC/APC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>
        <v>1</v>
      </c>
      <c r="V548" s="2">
        <f>SUM(J548:U548)*G548</f>
        <v/>
      </c>
      <c r="W548" s="2">
        <f>MAX(J548:U548)</f>
        <v/>
      </c>
      <c r="X548" s="2">
        <f>W548*G548</f>
        <v/>
      </c>
    </row>
    <row r="549">
      <c r="A549" s="2" t="inlineStr">
        <is>
          <t>14-K-B362</t>
        </is>
      </c>
      <c r="B549" s="3" t="inlineStr">
        <is>
          <t>OJC-C2-SC/SC-SM-15-APC/APC-12C</t>
        </is>
      </c>
      <c r="C549" s="2" t="inlineStr"/>
      <c r="D549" s="2" t="inlineStr">
        <is>
          <t>a1-12c</t>
        </is>
      </c>
      <c r="E549" s="2" t="inlineStr">
        <is>
          <t>2.0mm</t>
        </is>
      </c>
      <c r="F549" s="2" t="n">
        <v>12</v>
      </c>
      <c r="G549" s="2" t="n">
        <v>15</v>
      </c>
      <c r="H549" s="2" t="inlineStr">
        <is>
          <t>SC/APC</t>
        </is>
      </c>
      <c r="I549" s="2" t="inlineStr">
        <is>
          <t>SC/APC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>
        <v>3</v>
      </c>
      <c r="V549" s="2">
        <f>SUM(J549:U549)*G549</f>
        <v/>
      </c>
      <c r="W549" s="2">
        <f>MAX(J549:U549)</f>
        <v/>
      </c>
      <c r="X549" s="2">
        <f>W549*G549</f>
        <v/>
      </c>
    </row>
    <row r="550">
      <c r="A550" s="2" t="inlineStr">
        <is>
          <t>14-K-B364</t>
        </is>
      </c>
      <c r="B550" s="3" t="inlineStr">
        <is>
          <t>OJC-A1-FC/FC-SM-15-APC/APC-SP</t>
        </is>
      </c>
      <c r="C550" s="2" t="inlineStr"/>
      <c r="D550" s="2" t="inlineStr">
        <is>
          <t>a1</t>
        </is>
      </c>
      <c r="E550" s="2" t="inlineStr">
        <is>
          <t>2.0mm</t>
        </is>
      </c>
      <c r="F550" s="2" t="n">
        <v>1</v>
      </c>
      <c r="G550" s="2" t="n">
        <v>15</v>
      </c>
      <c r="H550" s="2" t="inlineStr">
        <is>
          <t>FC/APC</t>
        </is>
      </c>
      <c r="I550" s="2" t="inlineStr">
        <is>
          <t>FC/APC</t>
        </is>
      </c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>
        <v>2</v>
      </c>
      <c r="V550" s="2">
        <f>SUM(J550:U550)*G550</f>
        <v/>
      </c>
      <c r="W550" s="2">
        <f>MAX(J550:U550)</f>
        <v/>
      </c>
      <c r="X550" s="2">
        <f>W550*G550</f>
        <v/>
      </c>
    </row>
    <row r="551">
      <c r="A551" s="2" t="inlineStr">
        <is>
          <t>14-K-B365</t>
        </is>
      </c>
      <c r="B551" s="3" t="inlineStr">
        <is>
          <t>OJC-A1-SC-SM-1.5-APC-SP</t>
        </is>
      </c>
      <c r="C551" s="2" t="inlineStr"/>
      <c r="D551" s="2" t="inlineStr">
        <is>
          <t>a1</t>
        </is>
      </c>
      <c r="E551" s="2" t="inlineStr">
        <is>
          <t>2.0mm</t>
        </is>
      </c>
      <c r="F551" s="2" t="n">
        <v>1</v>
      </c>
      <c r="G551" s="2" t="n">
        <v>1.5</v>
      </c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>
        <v>220</v>
      </c>
      <c r="V551" s="2">
        <f>SUM(J551:U551)*G551</f>
        <v/>
      </c>
      <c r="W551" s="2">
        <f>MAX(J551:U551)</f>
        <v/>
      </c>
      <c r="X551" s="2">
        <f>W551*G551</f>
        <v/>
      </c>
    </row>
    <row r="552">
      <c r="A552" s="2" t="inlineStr">
        <is>
          <t>14-K-B367</t>
        </is>
      </c>
      <c r="B552" s="3" t="inlineStr">
        <is>
          <t>OJC-A1-SC-SM-3-APC-DP</t>
        </is>
      </c>
      <c r="C552" s="2" t="inlineStr"/>
      <c r="D552" s="2" t="inlineStr">
        <is>
          <t>a1</t>
        </is>
      </c>
      <c r="E552" s="2" t="inlineStr">
        <is>
          <t>2.0mm</t>
        </is>
      </c>
      <c r="F552" s="2" t="n">
        <v>2</v>
      </c>
      <c r="G552" s="2" t="n">
        <v>3</v>
      </c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>
        <v>100</v>
      </c>
      <c r="V552" s="2">
        <f>SUM(J552:U552)*G552</f>
        <v/>
      </c>
      <c r="W552" s="2">
        <f>MAX(J552:U552)</f>
        <v/>
      </c>
      <c r="X552" s="2">
        <f>W552*G552</f>
        <v/>
      </c>
    </row>
    <row r="553">
      <c r="A553" s="2" t="inlineStr">
        <is>
          <t>14-M-043</t>
        </is>
      </c>
      <c r="B553" s="3" t="inlineStr">
        <is>
          <t>MOJC-SM-12C-SC/PC-SC/PC</t>
        </is>
      </c>
      <c r="C553" s="2" t="inlineStr">
        <is>
          <t>10M</t>
        </is>
      </c>
      <c r="D553" s="2" t="inlineStr">
        <is>
          <t>b3-12c</t>
        </is>
      </c>
      <c r="E553" s="2" t="inlineStr">
        <is>
          <t>2.0mm</t>
        </is>
      </c>
      <c r="F553" s="2" t="n">
        <v>12</v>
      </c>
      <c r="G553" s="2" t="n">
        <v>10</v>
      </c>
      <c r="H553" s="2" t="inlineStr">
        <is>
          <t>SC/PC</t>
        </is>
      </c>
      <c r="I553" s="2" t="inlineStr">
        <is>
          <t>SC/PC</t>
        </is>
      </c>
      <c r="J553" s="2" t="n">
        <v>8</v>
      </c>
      <c r="K553" s="2" t="n">
        <v>40</v>
      </c>
      <c r="L553" s="2" t="n"/>
      <c r="M553" s="2" t="n"/>
      <c r="N553" s="2" t="n">
        <v>84</v>
      </c>
      <c r="O553" s="2" t="n">
        <v>60</v>
      </c>
      <c r="P553" s="2" t="n"/>
      <c r="Q553" s="2" t="n"/>
      <c r="R553" s="2" t="n"/>
      <c r="S553" s="2" t="n"/>
      <c r="T553" s="2" t="n"/>
      <c r="U553" s="2" t="n"/>
      <c r="V553" s="2">
        <f>SUM(J553:U553)*G553</f>
        <v/>
      </c>
      <c r="W553" s="2">
        <f>MAX(J553:U553)</f>
        <v/>
      </c>
      <c r="X553" s="2">
        <f>W553*G553</f>
        <v/>
      </c>
    </row>
    <row r="554">
      <c r="A554" s="2" t="inlineStr">
        <is>
          <t>14-M-044</t>
        </is>
      </c>
      <c r="B554" s="3" t="inlineStr">
        <is>
          <t>MOJC-SM-12C-SC/PC-SC/PC</t>
        </is>
      </c>
      <c r="C554" s="2" t="inlineStr">
        <is>
          <t>12M</t>
        </is>
      </c>
      <c r="D554" s="2" t="inlineStr">
        <is>
          <t>b3-12c</t>
        </is>
      </c>
      <c r="E554" s="2" t="inlineStr">
        <is>
          <t>2.0mm</t>
        </is>
      </c>
      <c r="F554" s="2" t="n">
        <v>12</v>
      </c>
      <c r="G554" s="2" t="n">
        <v>12</v>
      </c>
      <c r="H554" s="2" t="inlineStr">
        <is>
          <t>SC/PC</t>
        </is>
      </c>
      <c r="I554" s="2" t="inlineStr">
        <is>
          <t>SC/PC</t>
        </is>
      </c>
      <c r="J554" s="2" t="n">
        <v>5</v>
      </c>
      <c r="K554" s="2" t="n"/>
      <c r="L554" s="2" t="n"/>
      <c r="M554" s="2" t="n">
        <v>10</v>
      </c>
      <c r="N554" s="2" t="n">
        <v>13</v>
      </c>
      <c r="O554" s="2" t="n"/>
      <c r="P554" s="2" t="n">
        <v>10</v>
      </c>
      <c r="Q554" s="2" t="n"/>
      <c r="R554" s="2" t="n"/>
      <c r="S554" s="2" t="n"/>
      <c r="T554" s="2" t="n"/>
      <c r="U554" s="2" t="n"/>
      <c r="V554" s="2">
        <f>SUM(J554:U554)*G554</f>
        <v/>
      </c>
      <c r="W554" s="2">
        <f>MAX(J554:U554)</f>
        <v/>
      </c>
      <c r="X554" s="2">
        <f>W554*G554</f>
        <v/>
      </c>
    </row>
    <row r="555">
      <c r="A555" s="2" t="inlineStr">
        <is>
          <t>14-M-045</t>
        </is>
      </c>
      <c r="B555" s="3" t="inlineStr">
        <is>
          <t>MOJC-SM-12C-SC/PC-SC/PC</t>
        </is>
      </c>
      <c r="C555" s="2" t="inlineStr">
        <is>
          <t>15M</t>
        </is>
      </c>
      <c r="D555" s="2" t="inlineStr">
        <is>
          <t>b3-12c</t>
        </is>
      </c>
      <c r="E555" s="2" t="inlineStr">
        <is>
          <t>2.0mm</t>
        </is>
      </c>
      <c r="F555" s="2" t="n">
        <v>12</v>
      </c>
      <c r="G555" s="2" t="n">
        <v>15</v>
      </c>
      <c r="H555" s="2" t="inlineStr">
        <is>
          <t>SC/PC</t>
        </is>
      </c>
      <c r="I555" s="2" t="inlineStr">
        <is>
          <t>SC/PC</t>
        </is>
      </c>
      <c r="J555" s="2" t="n"/>
      <c r="K555" s="2" t="n">
        <v>6</v>
      </c>
      <c r="L555" s="2" t="n"/>
      <c r="M555" s="2" t="n"/>
      <c r="N555" s="2" t="n">
        <v>3</v>
      </c>
      <c r="O555" s="2" t="n"/>
      <c r="P555" s="2" t="n">
        <v>10</v>
      </c>
      <c r="Q555" s="2" t="n">
        <v>20</v>
      </c>
      <c r="R555" s="2" t="n"/>
      <c r="S555" s="2" t="n"/>
      <c r="T555" s="2" t="n"/>
      <c r="U555" s="2" t="n"/>
      <c r="V555" s="2">
        <f>SUM(J555:U555)*G555</f>
        <v/>
      </c>
      <c r="W555" s="2">
        <f>MAX(J555:U555)</f>
        <v/>
      </c>
      <c r="X555" s="2">
        <f>W555*G555</f>
        <v/>
      </c>
    </row>
    <row r="556">
      <c r="A556" s="2" t="inlineStr">
        <is>
          <t>14-M-047</t>
        </is>
      </c>
      <c r="B556" s="3" t="inlineStr">
        <is>
          <t>MOJC-SM-12C-SC/PC-SC/PC</t>
        </is>
      </c>
      <c r="C556" s="2" t="inlineStr">
        <is>
          <t>18M</t>
        </is>
      </c>
      <c r="D556" s="2" t="inlineStr">
        <is>
          <t>b3-12c</t>
        </is>
      </c>
      <c r="E556" s="2" t="inlineStr">
        <is>
          <t>2.0mm</t>
        </is>
      </c>
      <c r="F556" s="2" t="n">
        <v>12</v>
      </c>
      <c r="G556" s="2" t="n">
        <v>18</v>
      </c>
      <c r="H556" s="2" t="inlineStr">
        <is>
          <t>SC/PC</t>
        </is>
      </c>
      <c r="I556" s="2" t="inlineStr">
        <is>
          <t>SC/PC</t>
        </is>
      </c>
      <c r="J556" s="2" t="n"/>
      <c r="K556" s="2" t="n"/>
      <c r="L556" s="2" t="n"/>
      <c r="M556" s="2" t="n"/>
      <c r="N556" s="2" t="n">
        <v>5</v>
      </c>
      <c r="O556" s="2" t="n"/>
      <c r="P556" s="2" t="n"/>
      <c r="Q556" s="2" t="n"/>
      <c r="R556" s="2" t="n"/>
      <c r="S556" s="2" t="n"/>
      <c r="T556" s="2" t="n"/>
      <c r="U556" s="2" t="n"/>
      <c r="V556" s="2">
        <f>SUM(J556:U556)*G556</f>
        <v/>
      </c>
      <c r="W556" s="2">
        <f>MAX(J556:U556)</f>
        <v/>
      </c>
      <c r="X556" s="2">
        <f>W556*G556</f>
        <v/>
      </c>
    </row>
    <row r="557">
      <c r="A557" s="2" t="inlineStr">
        <is>
          <t>14-M-048</t>
        </is>
      </c>
      <c r="B557" s="3" t="inlineStr">
        <is>
          <t>MOJC-SM-12C-SC/PC-SC/PC</t>
        </is>
      </c>
      <c r="C557" s="2" t="inlineStr">
        <is>
          <t>20M</t>
        </is>
      </c>
      <c r="D557" s="2" t="inlineStr">
        <is>
          <t>b3-12c</t>
        </is>
      </c>
      <c r="E557" s="2" t="inlineStr">
        <is>
          <t>2.0mm</t>
        </is>
      </c>
      <c r="F557" s="2" t="n">
        <v>12</v>
      </c>
      <c r="G557" s="2" t="n">
        <v>20</v>
      </c>
      <c r="H557" s="2" t="inlineStr">
        <is>
          <t>SC/PC</t>
        </is>
      </c>
      <c r="I557" s="2" t="inlineStr">
        <is>
          <t>SC/PC</t>
        </is>
      </c>
      <c r="J557" s="2" t="n">
        <v>30</v>
      </c>
      <c r="K557" s="2" t="n"/>
      <c r="L557" s="2" t="n"/>
      <c r="M557" s="2" t="n"/>
      <c r="N557" s="2" t="n"/>
      <c r="O557" s="2" t="n"/>
      <c r="P557" s="2" t="n"/>
      <c r="Q557" s="2" t="n">
        <v>20</v>
      </c>
      <c r="R557" s="2" t="n"/>
      <c r="S557" s="2" t="n"/>
      <c r="T557" s="2" t="n"/>
      <c r="U557" s="2" t="n"/>
      <c r="V557" s="2">
        <f>SUM(J557:U557)*G557</f>
        <v/>
      </c>
      <c r="W557" s="2">
        <f>MAX(J557:U557)</f>
        <v/>
      </c>
      <c r="X557" s="2">
        <f>W557*G557</f>
        <v/>
      </c>
    </row>
    <row r="558">
      <c r="A558" s="2" t="inlineStr">
        <is>
          <t>14-M-052</t>
        </is>
      </c>
      <c r="B558" s="3" t="inlineStr">
        <is>
          <t>MOJC-SM-12C-SC/PC-SC/PC</t>
        </is>
      </c>
      <c r="C558" s="2" t="inlineStr">
        <is>
          <t>5M</t>
        </is>
      </c>
      <c r="D558" s="2" t="inlineStr">
        <is>
          <t>b3-12c</t>
        </is>
      </c>
      <c r="E558" s="2" t="inlineStr">
        <is>
          <t>2.0mm</t>
        </is>
      </c>
      <c r="F558" s="2" t="n">
        <v>12</v>
      </c>
      <c r="G558" s="2" t="n">
        <v>5</v>
      </c>
      <c r="H558" s="2" t="inlineStr">
        <is>
          <t>SC/PC</t>
        </is>
      </c>
      <c r="I558" s="2" t="inlineStr">
        <is>
          <t>SC/PC</t>
        </is>
      </c>
      <c r="J558" s="2" t="n"/>
      <c r="K558" s="2" t="n"/>
      <c r="L558" s="2" t="n"/>
      <c r="M558" s="2" t="n">
        <v>33</v>
      </c>
      <c r="N558" s="2" t="n">
        <v>63</v>
      </c>
      <c r="O558" s="2" t="n">
        <v>49</v>
      </c>
      <c r="P558" s="2" t="n"/>
      <c r="Q558" s="2" t="n"/>
      <c r="R558" s="2" t="n"/>
      <c r="S558" s="2" t="n"/>
      <c r="T558" s="2" t="n"/>
      <c r="U558" s="2" t="n"/>
      <c r="V558" s="2">
        <f>SUM(J558:U558)*G558</f>
        <v/>
      </c>
      <c r="W558" s="2">
        <f>MAX(J558:U558)</f>
        <v/>
      </c>
      <c r="X558" s="2">
        <f>W558*G558</f>
        <v/>
      </c>
    </row>
    <row r="559">
      <c r="A559" s="2" t="inlineStr">
        <is>
          <t>14-M-053</t>
        </is>
      </c>
      <c r="B559" s="3" t="inlineStr">
        <is>
          <t>MOJC-SM-12C-SC/PC-SC/PC</t>
        </is>
      </c>
      <c r="C559" s="2" t="inlineStr">
        <is>
          <t>7M</t>
        </is>
      </c>
      <c r="D559" s="2" t="inlineStr">
        <is>
          <t>b3-12c</t>
        </is>
      </c>
      <c r="E559" s="2" t="inlineStr">
        <is>
          <t>2.0mm</t>
        </is>
      </c>
      <c r="F559" s="2" t="n">
        <v>12</v>
      </c>
      <c r="G559" s="2" t="n">
        <v>7</v>
      </c>
      <c r="H559" s="2" t="inlineStr">
        <is>
          <t>SC/PC</t>
        </is>
      </c>
      <c r="I559" s="2" t="inlineStr">
        <is>
          <t>SC/PC</t>
        </is>
      </c>
      <c r="J559" s="2" t="n"/>
      <c r="K559" s="2" t="n"/>
      <c r="L559" s="2" t="n"/>
      <c r="M559" s="2" t="n"/>
      <c r="N559" s="2" t="n">
        <v>12</v>
      </c>
      <c r="O559" s="2" t="n"/>
      <c r="P559" s="2" t="n"/>
      <c r="Q559" s="2" t="n">
        <v>18</v>
      </c>
      <c r="R559" s="2" t="n"/>
      <c r="S559" s="2" t="n"/>
      <c r="T559" s="2" t="n"/>
      <c r="U559" s="2" t="n"/>
      <c r="V559" s="2">
        <f>SUM(J559:U559)*G559</f>
        <v/>
      </c>
      <c r="W559" s="2">
        <f>MAX(J559:U559)</f>
        <v/>
      </c>
      <c r="X559" s="2">
        <f>W559*G559</f>
        <v/>
      </c>
    </row>
    <row r="560">
      <c r="A560" s="2" t="inlineStr">
        <is>
          <t>14-M-054</t>
        </is>
      </c>
      <c r="B560" s="3" t="inlineStr">
        <is>
          <t>MOJC-SM-12C-SC/PC-SC/PC</t>
        </is>
      </c>
      <c r="C560" s="2" t="inlineStr">
        <is>
          <t>8M</t>
        </is>
      </c>
      <c r="D560" s="2" t="inlineStr">
        <is>
          <t>b3-12c</t>
        </is>
      </c>
      <c r="E560" s="2" t="inlineStr">
        <is>
          <t>2.0mm</t>
        </is>
      </c>
      <c r="F560" s="2" t="n">
        <v>12</v>
      </c>
      <c r="G560" s="2" t="n">
        <v>8</v>
      </c>
      <c r="H560" s="2" t="inlineStr">
        <is>
          <t>SC/PC</t>
        </is>
      </c>
      <c r="I560" s="2" t="inlineStr">
        <is>
          <t>SC/PC</t>
        </is>
      </c>
      <c r="J560" s="2" t="n">
        <v>9</v>
      </c>
      <c r="K560" s="2" t="n">
        <v>93</v>
      </c>
      <c r="L560" s="2" t="n">
        <v>15</v>
      </c>
      <c r="M560" s="2" t="n">
        <v>40</v>
      </c>
      <c r="N560" s="2" t="n"/>
      <c r="O560" s="2" t="n">
        <v>10</v>
      </c>
      <c r="P560" s="2" t="n">
        <v>44</v>
      </c>
      <c r="Q560" s="2" t="n"/>
      <c r="R560" s="2" t="n"/>
      <c r="S560" s="2" t="n"/>
      <c r="T560" s="2" t="n"/>
      <c r="U560" s="2" t="n"/>
      <c r="V560" s="2">
        <f>SUM(J560:U560)*G560</f>
        <v/>
      </c>
      <c r="W560" s="2">
        <f>MAX(J560:U560)</f>
        <v/>
      </c>
      <c r="X560" s="2">
        <f>W560*G560</f>
        <v/>
      </c>
    </row>
    <row r="561">
      <c r="A561" s="2" t="inlineStr">
        <is>
          <t>14-M-055</t>
        </is>
      </c>
      <c r="B561" s="3" t="inlineStr">
        <is>
          <t>MOJC-SM-12C-SC/PC-SC/PC</t>
        </is>
      </c>
      <c r="C561" s="2" t="inlineStr">
        <is>
          <t>9M</t>
        </is>
      </c>
      <c r="D561" s="2" t="inlineStr">
        <is>
          <t>b3-12c</t>
        </is>
      </c>
      <c r="E561" s="2" t="inlineStr">
        <is>
          <t>2.0mm</t>
        </is>
      </c>
      <c r="F561" s="2" t="n">
        <v>12</v>
      </c>
      <c r="G561" s="2" t="n">
        <v>9</v>
      </c>
      <c r="H561" s="2" t="inlineStr">
        <is>
          <t>SC/PC</t>
        </is>
      </c>
      <c r="I561" s="2" t="inlineStr">
        <is>
          <t>SC/PC</t>
        </is>
      </c>
      <c r="J561" s="2" t="n"/>
      <c r="K561" s="2" t="n"/>
      <c r="L561" s="2" t="n"/>
      <c r="M561" s="2" t="n"/>
      <c r="N561" s="2" t="n"/>
      <c r="O561" s="2" t="n"/>
      <c r="P561" s="2" t="n"/>
      <c r="Q561" s="2" t="n">
        <v>36</v>
      </c>
      <c r="R561" s="2" t="n"/>
      <c r="S561" s="2" t="n"/>
      <c r="T561" s="2" t="n"/>
      <c r="U561" s="2" t="n"/>
      <c r="V561" s="2">
        <f>SUM(J561:U561)*G561</f>
        <v/>
      </c>
      <c r="W561" s="2">
        <f>MAX(J561:U561)</f>
        <v/>
      </c>
      <c r="X561" s="2">
        <f>W561*G561</f>
        <v/>
      </c>
    </row>
    <row r="562">
      <c r="A562" s="2" t="inlineStr">
        <is>
          <t>14-M-077</t>
        </is>
      </c>
      <c r="B562" s="3" t="inlineStr">
        <is>
          <t>MOJC-SM-6C-SC/PC-SC/PC</t>
        </is>
      </c>
      <c r="C562" s="2" t="inlineStr">
        <is>
          <t>10M</t>
        </is>
      </c>
      <c r="D562" s="2" t="inlineStr">
        <is>
          <t>b3-6c</t>
        </is>
      </c>
      <c r="E562" s="2" t="inlineStr">
        <is>
          <t>2.0mm</t>
        </is>
      </c>
      <c r="F562" s="2" t="n">
        <v>6</v>
      </c>
      <c r="G562" s="2" t="n">
        <v>10</v>
      </c>
      <c r="H562" s="2" t="inlineStr">
        <is>
          <t>SC/PC</t>
        </is>
      </c>
      <c r="I562" s="2" t="inlineStr">
        <is>
          <t>SC/PC</t>
        </is>
      </c>
      <c r="J562" s="2" t="n">
        <v>10</v>
      </c>
      <c r="K562" s="2" t="n">
        <v>50</v>
      </c>
      <c r="L562" s="2" t="n"/>
      <c r="M562" s="2" t="n"/>
      <c r="N562" s="2" t="n">
        <v>25</v>
      </c>
      <c r="O562" s="2" t="n">
        <v>22</v>
      </c>
      <c r="P562" s="2" t="n"/>
      <c r="Q562" s="2" t="n"/>
      <c r="R562" s="2" t="n"/>
      <c r="S562" s="2" t="n"/>
      <c r="T562" s="2" t="n"/>
      <c r="U562" s="2" t="n"/>
      <c r="V562" s="2">
        <f>SUM(J562:U562)*G562</f>
        <v/>
      </c>
      <c r="W562" s="2">
        <f>MAX(J562:U562)</f>
        <v/>
      </c>
      <c r="X562" s="2">
        <f>W562*G562</f>
        <v/>
      </c>
    </row>
    <row r="563">
      <c r="A563" s="2" t="inlineStr">
        <is>
          <t>14-M-078</t>
        </is>
      </c>
      <c r="B563" s="3" t="inlineStr">
        <is>
          <t>MOJC-SM-6C-SC/PC-SC/PC</t>
        </is>
      </c>
      <c r="C563" s="2" t="inlineStr">
        <is>
          <t>12M</t>
        </is>
      </c>
      <c r="D563" s="2" t="inlineStr">
        <is>
          <t>b3-6c</t>
        </is>
      </c>
      <c r="E563" s="2" t="inlineStr">
        <is>
          <t>2.0mm</t>
        </is>
      </c>
      <c r="F563" s="2" t="n">
        <v>6</v>
      </c>
      <c r="G563" s="2" t="n">
        <v>12</v>
      </c>
      <c r="H563" s="2" t="inlineStr">
        <is>
          <t>SC/PC</t>
        </is>
      </c>
      <c r="I563" s="2" t="inlineStr">
        <is>
          <t>SC/PC</t>
        </is>
      </c>
      <c r="J563" s="2" t="n"/>
      <c r="K563" s="2" t="n"/>
      <c r="L563" s="2" t="n"/>
      <c r="M563" s="2" t="n"/>
      <c r="N563" s="2" t="n"/>
      <c r="O563" s="2" t="n"/>
      <c r="P563" s="2" t="n">
        <v>5</v>
      </c>
      <c r="Q563" s="2" t="n"/>
      <c r="R563" s="2" t="n"/>
      <c r="S563" s="2" t="n"/>
      <c r="T563" s="2" t="n"/>
      <c r="U563" s="2" t="n"/>
      <c r="V563" s="2">
        <f>SUM(J563:U563)*G563</f>
        <v/>
      </c>
      <c r="W563" s="2">
        <f>MAX(J563:U563)</f>
        <v/>
      </c>
      <c r="X563" s="2">
        <f>W563*G563</f>
        <v/>
      </c>
    </row>
    <row r="564">
      <c r="A564" s="2" t="inlineStr">
        <is>
          <t>14-M-079</t>
        </is>
      </c>
      <c r="B564" s="3" t="inlineStr">
        <is>
          <t>MOJC-SM-6C-SC/PC-SC/PC</t>
        </is>
      </c>
      <c r="C564" s="2" t="inlineStr">
        <is>
          <t>15M</t>
        </is>
      </c>
      <c r="D564" s="2" t="inlineStr">
        <is>
          <t>b3-6c</t>
        </is>
      </c>
      <c r="E564" s="2" t="inlineStr">
        <is>
          <t>2.0mm</t>
        </is>
      </c>
      <c r="F564" s="2" t="n">
        <v>6</v>
      </c>
      <c r="G564" s="2" t="n">
        <v>15</v>
      </c>
      <c r="H564" s="2" t="inlineStr">
        <is>
          <t>SC/PC</t>
        </is>
      </c>
      <c r="I564" s="2" t="inlineStr">
        <is>
          <t>SC/PC</t>
        </is>
      </c>
      <c r="J564" s="2" t="n"/>
      <c r="K564" s="2" t="n"/>
      <c r="L564" s="2" t="n"/>
      <c r="M564" s="2" t="n"/>
      <c r="N564" s="2" t="n"/>
      <c r="O564" s="2" t="n"/>
      <c r="P564" s="2" t="n">
        <v>5</v>
      </c>
      <c r="Q564" s="2" t="n"/>
      <c r="R564" s="2" t="n"/>
      <c r="S564" s="2" t="n"/>
      <c r="T564" s="2" t="n"/>
      <c r="U564" s="2" t="n"/>
      <c r="V564" s="2">
        <f>SUM(J564:U564)*G564</f>
        <v/>
      </c>
      <c r="W564" s="2">
        <f>MAX(J564:U564)</f>
        <v/>
      </c>
      <c r="X564" s="2">
        <f>W564*G564</f>
        <v/>
      </c>
    </row>
    <row r="565">
      <c r="A565" s="2" t="inlineStr">
        <is>
          <t>14-M-084</t>
        </is>
      </c>
      <c r="B565" s="3" t="inlineStr">
        <is>
          <t>MOJC-SM-6C-SC/PC-SC/PC</t>
        </is>
      </c>
      <c r="C565" s="2" t="inlineStr">
        <is>
          <t>5M</t>
        </is>
      </c>
      <c r="D565" s="2" t="inlineStr">
        <is>
          <t>b3-6c</t>
        </is>
      </c>
      <c r="E565" s="2" t="inlineStr">
        <is>
          <t>2.0mm</t>
        </is>
      </c>
      <c r="F565" s="2" t="n">
        <v>6</v>
      </c>
      <c r="G565" s="2" t="n">
        <v>5</v>
      </c>
      <c r="H565" s="2" t="inlineStr">
        <is>
          <t>SC/PC</t>
        </is>
      </c>
      <c r="I565" s="2" t="inlineStr">
        <is>
          <t>SC/PC</t>
        </is>
      </c>
      <c r="J565" s="2" t="n"/>
      <c r="K565" s="2" t="n"/>
      <c r="L565" s="2" t="n"/>
      <c r="M565" s="2" t="n">
        <v>29</v>
      </c>
      <c r="N565" s="2" t="n">
        <v>28</v>
      </c>
      <c r="O565" s="2" t="n">
        <v>11</v>
      </c>
      <c r="P565" s="2" t="n"/>
      <c r="Q565" s="2" t="n"/>
      <c r="R565" s="2" t="n"/>
      <c r="S565" s="2" t="n"/>
      <c r="T565" s="2" t="n"/>
      <c r="U565" s="2" t="n"/>
      <c r="V565" s="2">
        <f>SUM(J565:U565)*G565</f>
        <v/>
      </c>
      <c r="W565" s="2">
        <f>MAX(J565:U565)</f>
        <v/>
      </c>
      <c r="X565" s="2">
        <f>W565*G565</f>
        <v/>
      </c>
    </row>
    <row r="566">
      <c r="A566" s="2" t="inlineStr">
        <is>
          <t>14-M-093</t>
        </is>
      </c>
      <c r="B566" s="3" t="inlineStr">
        <is>
          <t>MOJC-SM-6C-SC/PC-SC/PC</t>
        </is>
      </c>
      <c r="C566" s="2" t="inlineStr">
        <is>
          <t>8M</t>
        </is>
      </c>
      <c r="D566" s="2" t="inlineStr">
        <is>
          <t>b3-6c</t>
        </is>
      </c>
      <c r="E566" s="2" t="inlineStr">
        <is>
          <t>2.0mm</t>
        </is>
      </c>
      <c r="F566" s="2" t="n">
        <v>6</v>
      </c>
      <c r="G566" s="2" t="n">
        <v>8</v>
      </c>
      <c r="H566" s="2" t="inlineStr">
        <is>
          <t>SC/PC</t>
        </is>
      </c>
      <c r="I566" s="2" t="inlineStr">
        <is>
          <t>SC/PC</t>
        </is>
      </c>
      <c r="J566" s="2" t="n">
        <v>9</v>
      </c>
      <c r="K566" s="2" t="n">
        <v>33</v>
      </c>
      <c r="L566" s="2" t="n"/>
      <c r="M566" s="2" t="n">
        <v>10</v>
      </c>
      <c r="N566" s="2" t="n"/>
      <c r="O566" s="2" t="n"/>
      <c r="P566" s="2" t="n">
        <v>5</v>
      </c>
      <c r="Q566" s="2" t="n"/>
      <c r="R566" s="2" t="n"/>
      <c r="S566" s="2" t="n"/>
      <c r="T566" s="2" t="n"/>
      <c r="U566" s="2" t="n"/>
      <c r="V566" s="2">
        <f>SUM(J566:U566)*G566</f>
        <v/>
      </c>
      <c r="W566" s="2">
        <f>MAX(J566:U566)</f>
        <v/>
      </c>
      <c r="X566" s="2">
        <f>W566*G566</f>
        <v/>
      </c>
    </row>
    <row r="567">
      <c r="A567" s="2" t="inlineStr">
        <is>
          <t>14-M-102</t>
        </is>
      </c>
      <c r="B567" s="3" t="inlineStr">
        <is>
          <t>MOJC-SM-12C-SC/PC-SC/PC</t>
        </is>
      </c>
      <c r="C567" s="2" t="inlineStr">
        <is>
          <t>6M</t>
        </is>
      </c>
      <c r="D567" s="2" t="inlineStr">
        <is>
          <t>b3-12c</t>
        </is>
      </c>
      <c r="E567" s="2" t="inlineStr">
        <is>
          <t>2.0mm</t>
        </is>
      </c>
      <c r="F567" s="2" t="n">
        <v>12</v>
      </c>
      <c r="G567" s="2" t="n">
        <v>6</v>
      </c>
      <c r="H567" s="2" t="inlineStr">
        <is>
          <t>SC/PC</t>
        </is>
      </c>
      <c r="I567" s="2" t="inlineStr">
        <is>
          <t>SC/PC</t>
        </is>
      </c>
      <c r="J567" s="2" t="n"/>
      <c r="K567" s="2" t="n"/>
      <c r="L567" s="2" t="n">
        <v>25</v>
      </c>
      <c r="M567" s="2" t="n">
        <v>95</v>
      </c>
      <c r="N567" s="2" t="n"/>
      <c r="O567" s="2" t="n"/>
      <c r="P567" s="2" t="n">
        <v>26</v>
      </c>
      <c r="Q567" s="2" t="n"/>
      <c r="R567" s="2" t="n"/>
      <c r="S567" s="2" t="n"/>
      <c r="T567" s="2" t="n"/>
      <c r="U567" s="2" t="n"/>
      <c r="V567" s="2">
        <f>SUM(J567:U567)*G567</f>
        <v/>
      </c>
      <c r="W567" s="2">
        <f>MAX(J567:U567)</f>
        <v/>
      </c>
      <c r="X567" s="2">
        <f>W567*G567</f>
        <v/>
      </c>
    </row>
    <row r="568">
      <c r="A568" s="2" t="inlineStr">
        <is>
          <t>14-M-1030</t>
        </is>
      </c>
      <c r="B568" s="3" t="inlineStr">
        <is>
          <t>MOJC-SM-6C-SC/APC-SC/APC</t>
        </is>
      </c>
      <c r="C568" s="2" t="inlineStr">
        <is>
          <t>10M</t>
        </is>
      </c>
      <c r="D568" s="2" t="inlineStr">
        <is>
          <t>b3-6c</t>
        </is>
      </c>
      <c r="E568" s="2" t="inlineStr">
        <is>
          <t>2.0mm</t>
        </is>
      </c>
      <c r="F568" s="2" t="n">
        <v>6</v>
      </c>
      <c r="G568" s="2" t="n">
        <v>10</v>
      </c>
      <c r="H568" s="2" t="inlineStr">
        <is>
          <t>SC/APC</t>
        </is>
      </c>
      <c r="I568" s="2" t="inlineStr">
        <is>
          <t>SC/APC</t>
        </is>
      </c>
      <c r="J568" s="2" t="n">
        <v>6</v>
      </c>
      <c r="K568" s="2" t="n">
        <v>5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>
        <f>SUM(J568:U568)*G568</f>
        <v/>
      </c>
      <c r="W568" s="2">
        <f>MAX(J568:U568)</f>
        <v/>
      </c>
      <c r="X568" s="2">
        <f>W568*G568</f>
        <v/>
      </c>
    </row>
    <row r="569">
      <c r="A569" s="2" t="inlineStr">
        <is>
          <t>14-M-119</t>
        </is>
      </c>
      <c r="B569" s="3" t="inlineStr">
        <is>
          <t>MOJC-SM-12C-SC/PC-SC/PC</t>
        </is>
      </c>
      <c r="C569" s="2" t="inlineStr">
        <is>
          <t>4M</t>
        </is>
      </c>
      <c r="D569" s="2" t="inlineStr">
        <is>
          <t>b3-12c</t>
        </is>
      </c>
      <c r="E569" s="2" t="inlineStr">
        <is>
          <t>2.0mm</t>
        </is>
      </c>
      <c r="F569" s="2" t="n">
        <v>12</v>
      </c>
      <c r="G569" s="2" t="n">
        <v>4</v>
      </c>
      <c r="H569" s="2" t="inlineStr">
        <is>
          <t>SC/PC</t>
        </is>
      </c>
      <c r="I569" s="2" t="inlineStr">
        <is>
          <t>SC/PC</t>
        </is>
      </c>
      <c r="J569" s="2" t="n"/>
      <c r="K569" s="2" t="n"/>
      <c r="L569" s="2" t="n"/>
      <c r="M569" s="2" t="n">
        <v>41</v>
      </c>
      <c r="N569" s="2" t="n"/>
      <c r="O569" s="2" t="n"/>
      <c r="P569" s="2" t="n"/>
      <c r="Q569" s="2" t="n">
        <v>24</v>
      </c>
      <c r="R569" s="2" t="n"/>
      <c r="S569" s="2" t="n"/>
      <c r="T569" s="2" t="n"/>
      <c r="U569" s="2" t="n"/>
      <c r="V569" s="2">
        <f>SUM(J569:U569)*G569</f>
        <v/>
      </c>
      <c r="W569" s="2">
        <f>MAX(J569:U569)</f>
        <v/>
      </c>
      <c r="X569" s="2">
        <f>W569*G569</f>
        <v/>
      </c>
    </row>
    <row r="570">
      <c r="A570" s="2" t="inlineStr">
        <is>
          <t>14-M-234</t>
        </is>
      </c>
      <c r="B570" s="3" t="inlineStr">
        <is>
          <t>MOJC-SM-12C-SC/PC-SC/PC</t>
        </is>
      </c>
      <c r="C570" s="2" t="inlineStr">
        <is>
          <t>3M</t>
        </is>
      </c>
      <c r="D570" s="2" t="inlineStr">
        <is>
          <t>b3-12c</t>
        </is>
      </c>
      <c r="E570" s="2" t="inlineStr">
        <is>
          <t>2.0mm</t>
        </is>
      </c>
      <c r="F570" s="2" t="n">
        <v>12</v>
      </c>
      <c r="G570" s="2" t="n">
        <v>3</v>
      </c>
      <c r="H570" s="2" t="inlineStr">
        <is>
          <t>SC/PC</t>
        </is>
      </c>
      <c r="I570" s="2" t="inlineStr">
        <is>
          <t>SC/PC</t>
        </is>
      </c>
      <c r="J570" s="2" t="n">
        <v>18</v>
      </c>
      <c r="K570" s="2" t="n"/>
      <c r="L570" s="2" t="n"/>
      <c r="M570" s="2" t="n">
        <v>9</v>
      </c>
      <c r="N570" s="2" t="n"/>
      <c r="O570" s="2" t="n">
        <v>8</v>
      </c>
      <c r="P570" s="2" t="n">
        <v>5</v>
      </c>
      <c r="Q570" s="2" t="n">
        <v>5</v>
      </c>
      <c r="R570" s="2" t="n"/>
      <c r="S570" s="2" t="n"/>
      <c r="T570" s="2" t="n"/>
      <c r="U570" s="2" t="n"/>
      <c r="V570" s="2">
        <f>SUM(J570:U570)*G570</f>
        <v/>
      </c>
      <c r="W570" s="2">
        <f>MAX(J570:U570)</f>
        <v/>
      </c>
      <c r="X570" s="2">
        <f>W570*G570</f>
        <v/>
      </c>
    </row>
    <row r="571">
      <c r="A571" s="2" t="inlineStr">
        <is>
          <t>14-M-235</t>
        </is>
      </c>
      <c r="B571" s="3" t="inlineStr">
        <is>
          <t>MOJC-SM-6C-SC/PC-SC/PC</t>
        </is>
      </c>
      <c r="C571" s="2" t="inlineStr">
        <is>
          <t>3M</t>
        </is>
      </c>
      <c r="D571" s="2" t="inlineStr">
        <is>
          <t>b3-6c</t>
        </is>
      </c>
      <c r="E571" s="2" t="inlineStr">
        <is>
          <t>2.0mm</t>
        </is>
      </c>
      <c r="F571" s="2" t="n">
        <v>6</v>
      </c>
      <c r="G571" s="2" t="n">
        <v>3</v>
      </c>
      <c r="H571" s="2" t="inlineStr">
        <is>
          <t>SC/PC</t>
        </is>
      </c>
      <c r="I571" s="2" t="inlineStr">
        <is>
          <t>SC/PC</t>
        </is>
      </c>
      <c r="J571" s="2" t="n">
        <v>36</v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>
        <f>SUM(J571:U571)*G571</f>
        <v/>
      </c>
      <c r="W571" s="2">
        <f>MAX(J571:U571)</f>
        <v/>
      </c>
      <c r="X571" s="2">
        <f>W571*G571</f>
        <v/>
      </c>
    </row>
    <row r="572">
      <c r="A572" s="2" t="inlineStr">
        <is>
          <t>14-M-598</t>
        </is>
      </c>
      <c r="B572" s="3" t="inlineStr">
        <is>
          <t>MOJC-SM-12C-SC/APC-SC/APC</t>
        </is>
      </c>
      <c r="C572" s="2" t="inlineStr">
        <is>
          <t>8M</t>
        </is>
      </c>
      <c r="D572" s="2" t="inlineStr">
        <is>
          <t>b3-12c</t>
        </is>
      </c>
      <c r="E572" s="2" t="inlineStr">
        <is>
          <t>2.0mm</t>
        </is>
      </c>
      <c r="F572" s="2" t="n">
        <v>12</v>
      </c>
      <c r="G572" s="2" t="n">
        <v>8</v>
      </c>
      <c r="H572" s="2" t="inlineStr">
        <is>
          <t>SC/APC</t>
        </is>
      </c>
      <c r="I572" s="2" t="inlineStr">
        <is>
          <t>SC/APC</t>
        </is>
      </c>
      <c r="J572" s="2" t="n"/>
      <c r="K572" s="2" t="n">
        <v>3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>
        <f>SUM(J572:U572)*G572</f>
        <v/>
      </c>
      <c r="W572" s="2">
        <f>MAX(J572:U572)</f>
        <v/>
      </c>
      <c r="X572" s="2">
        <f>W572*G572</f>
        <v/>
      </c>
    </row>
    <row r="573">
      <c r="A573" s="2" t="inlineStr">
        <is>
          <t>14-M-715</t>
        </is>
      </c>
      <c r="B573" s="3" t="inlineStr">
        <is>
          <t>MOJC-SM-24C-LC/PC-LC/PC</t>
        </is>
      </c>
      <c r="C573" s="2" t="inlineStr">
        <is>
          <t>3M</t>
        </is>
      </c>
      <c r="D573" s="2" t="inlineStr">
        <is>
          <t>b3-24c</t>
        </is>
      </c>
      <c r="E573" s="2" t="inlineStr">
        <is>
          <t>2.0mm</t>
        </is>
      </c>
      <c r="F573" s="2" t="n">
        <v>24</v>
      </c>
      <c r="G573" s="2" t="n">
        <v>3</v>
      </c>
      <c r="H573" s="2" t="inlineStr">
        <is>
          <t>LC/PC</t>
        </is>
      </c>
      <c r="I573" s="2" t="inlineStr">
        <is>
          <t>LC/PC</t>
        </is>
      </c>
      <c r="J573" s="2" t="n">
        <v>2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>
        <f>SUM(J573:U573)*G573</f>
        <v/>
      </c>
      <c r="W573" s="2">
        <f>MAX(J573:U573)</f>
        <v/>
      </c>
      <c r="X573" s="2">
        <f>W573*G573</f>
        <v/>
      </c>
    </row>
    <row r="574">
      <c r="A574" s="2" t="inlineStr">
        <is>
          <t>14-M-845</t>
        </is>
      </c>
      <c r="B574" s="3" t="inlineStr">
        <is>
          <t>MOJC-SM-6C-LC/APC-SC/APC</t>
        </is>
      </c>
      <c r="C574" s="2" t="inlineStr">
        <is>
          <t>4M</t>
        </is>
      </c>
      <c r="D574" s="2" t="inlineStr">
        <is>
          <t>b3-6c</t>
        </is>
      </c>
      <c r="E574" s="2" t="inlineStr">
        <is>
          <t>2.0mm</t>
        </is>
      </c>
      <c r="F574" s="2" t="n">
        <v>6</v>
      </c>
      <c r="G574" s="2" t="n">
        <v>4</v>
      </c>
      <c r="H574" s="2" t="inlineStr">
        <is>
          <t>LC/APC</t>
        </is>
      </c>
      <c r="I574" s="2" t="inlineStr">
        <is>
          <t>SC/APC</t>
        </is>
      </c>
      <c r="J574" s="2" t="n">
        <v>2</v>
      </c>
      <c r="K574" s="2" t="n">
        <v>2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>
        <f>SUM(J574:U574)*G574</f>
        <v/>
      </c>
      <c r="W574" s="2">
        <f>MAX(J574:U574)</f>
        <v/>
      </c>
      <c r="X574" s="2">
        <f>W574*G574</f>
        <v/>
      </c>
    </row>
    <row r="575">
      <c r="A575" s="2" t="inlineStr">
        <is>
          <t>14-M-A067</t>
        </is>
      </c>
      <c r="B575" s="3" t="inlineStr">
        <is>
          <t>MOJC-SM-24C-SC/PC-SC/PC</t>
        </is>
      </c>
      <c r="C575" s="2" t="inlineStr">
        <is>
          <t>10M</t>
        </is>
      </c>
      <c r="D575" s="2" t="inlineStr">
        <is>
          <t>b3-24c</t>
        </is>
      </c>
      <c r="E575" s="2" t="inlineStr">
        <is>
          <t>2.0mm</t>
        </is>
      </c>
      <c r="F575" s="2" t="n">
        <v>24</v>
      </c>
      <c r="G575" s="2" t="n">
        <v>10</v>
      </c>
      <c r="H575" s="2" t="inlineStr">
        <is>
          <t>SC/PC</t>
        </is>
      </c>
      <c r="I575" s="2" t="inlineStr">
        <is>
          <t>SC/PC</t>
        </is>
      </c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>
        <v>2</v>
      </c>
      <c r="T575" s="2" t="n"/>
      <c r="U575" s="2" t="n"/>
      <c r="V575" s="2">
        <f>SUM(J575:U575)*G575</f>
        <v/>
      </c>
      <c r="W575" s="2">
        <f>MAX(J575:U575)</f>
        <v/>
      </c>
      <c r="X575" s="2">
        <f>W575*G575</f>
        <v/>
      </c>
    </row>
    <row r="576">
      <c r="A576" s="2" t="inlineStr">
        <is>
          <t>14-M-A073</t>
        </is>
      </c>
      <c r="B576" s="3" t="inlineStr">
        <is>
          <t>MOJC-SM-8C-LC/PC-LC/PC</t>
        </is>
      </c>
      <c r="C576" s="2" t="inlineStr">
        <is>
          <t>30M</t>
        </is>
      </c>
      <c r="D576" s="2" t="inlineStr">
        <is>
          <t>b3-8c</t>
        </is>
      </c>
      <c r="E576" s="2" t="inlineStr">
        <is>
          <t>2.0mm</t>
        </is>
      </c>
      <c r="F576" s="2" t="n">
        <v>8</v>
      </c>
      <c r="G576" s="2" t="n">
        <v>30</v>
      </c>
      <c r="H576" s="2" t="inlineStr">
        <is>
          <t>LC/PC</t>
        </is>
      </c>
      <c r="I576" s="2" t="inlineStr">
        <is>
          <t>LC/PC</t>
        </is>
      </c>
      <c r="J576" s="2" t="n"/>
      <c r="K576" s="2" t="n"/>
      <c r="L576" s="2" t="n"/>
      <c r="M576" s="2" t="n"/>
      <c r="N576" s="2" t="n"/>
      <c r="O576" s="2" t="n"/>
      <c r="P576" s="2" t="n"/>
      <c r="Q576" s="2" t="n">
        <v>6</v>
      </c>
      <c r="R576" s="2" t="n"/>
      <c r="S576" s="2" t="n"/>
      <c r="T576" s="2" t="n"/>
      <c r="U576" s="2" t="n"/>
      <c r="V576" s="2">
        <f>SUM(J576:U576)*G576</f>
        <v/>
      </c>
      <c r="W576" s="2">
        <f>MAX(J576:U576)</f>
        <v/>
      </c>
      <c r="X576" s="2">
        <f>W576*G576</f>
        <v/>
      </c>
    </row>
    <row r="577">
      <c r="A577" s="2" t="inlineStr">
        <is>
          <t>14-M-A074</t>
        </is>
      </c>
      <c r="B577" s="3" t="inlineStr">
        <is>
          <t>MOJC-SM-24C-LC/PC-LC/PC</t>
        </is>
      </c>
      <c r="C577" s="2" t="inlineStr">
        <is>
          <t>30M</t>
        </is>
      </c>
      <c r="D577" s="2" t="inlineStr">
        <is>
          <t>b3-24c</t>
        </is>
      </c>
      <c r="E577" s="2" t="inlineStr">
        <is>
          <t>2.0mm</t>
        </is>
      </c>
      <c r="F577" s="2" t="n">
        <v>24</v>
      </c>
      <c r="G577" s="2" t="n">
        <v>30</v>
      </c>
      <c r="H577" s="2" t="inlineStr">
        <is>
          <t>LC/PC</t>
        </is>
      </c>
      <c r="I577" s="2" t="inlineStr">
        <is>
          <t>LC/PC</t>
        </is>
      </c>
      <c r="J577" s="2" t="n"/>
      <c r="K577" s="2" t="n"/>
      <c r="L577" s="2" t="n"/>
      <c r="M577" s="2" t="n"/>
      <c r="N577" s="2" t="n"/>
      <c r="O577" s="2" t="n"/>
      <c r="P577" s="2" t="n"/>
      <c r="Q577" s="2" t="n">
        <v>4</v>
      </c>
      <c r="R577" s="2" t="n"/>
      <c r="S577" s="2" t="n"/>
      <c r="T577" s="2" t="n"/>
      <c r="U577" s="2" t="n"/>
      <c r="V577" s="2">
        <f>SUM(J577:U577)*G577</f>
        <v/>
      </c>
      <c r="W577" s="2">
        <f>MAX(J577:U577)</f>
        <v/>
      </c>
      <c r="X577" s="2">
        <f>W577*G577</f>
        <v/>
      </c>
    </row>
    <row r="578">
      <c r="A578" s="2" t="inlineStr">
        <is>
          <t>14-P-004</t>
        </is>
      </c>
      <c r="B578" s="3" t="inlineStr">
        <is>
          <t>PIGTAIL-LC/PC-SM-12C (0.9mm)</t>
        </is>
      </c>
      <c r="C578" s="2" t="inlineStr">
        <is>
          <t>1.5M_12색</t>
        </is>
      </c>
      <c r="D578" s="2" t="inlineStr">
        <is>
          <t>pigtail</t>
        </is>
      </c>
      <c r="E578" s="2" t="n">
        <v>0.9</v>
      </c>
      <c r="F578" s="2" t="n">
        <v>12</v>
      </c>
      <c r="G578" s="2" t="n">
        <v>1.5</v>
      </c>
      <c r="H578" s="2" t="inlineStr">
        <is>
          <t>LC/PC</t>
        </is>
      </c>
      <c r="I578" s="2" t="n"/>
      <c r="J578" s="2" t="n"/>
      <c r="K578" s="2" t="n">
        <v>20</v>
      </c>
      <c r="L578" s="2" t="n">
        <v>350</v>
      </c>
      <c r="M578" s="2" t="n"/>
      <c r="N578" s="2" t="n"/>
      <c r="O578" s="2" t="n">
        <v>300</v>
      </c>
      <c r="P578" s="2" t="n"/>
      <c r="Q578" s="2" t="n"/>
      <c r="R578" s="2" t="n"/>
      <c r="S578" s="2" t="n"/>
      <c r="T578" s="2" t="n"/>
      <c r="U578" s="2" t="n"/>
      <c r="V578" s="2">
        <f>SUM(J578:U578)*G578</f>
        <v/>
      </c>
      <c r="W578" s="2">
        <f>MAX(J578:U578)</f>
        <v/>
      </c>
      <c r="X578" s="2">
        <f>W578*G578</f>
        <v/>
      </c>
    </row>
    <row r="579">
      <c r="A579" s="2" t="inlineStr">
        <is>
          <t>14-P-006</t>
        </is>
      </c>
      <c r="B579" s="3" t="inlineStr">
        <is>
          <t>PIGTAIL-LC/PC-SM-1C (0.9mm)</t>
        </is>
      </c>
      <c r="C579" s="2" t="inlineStr">
        <is>
          <t>1.5M</t>
        </is>
      </c>
      <c r="D579" s="2" t="inlineStr">
        <is>
          <t>pigtail</t>
        </is>
      </c>
      <c r="E579" s="2" t="n">
        <v>0.9</v>
      </c>
      <c r="F579" s="2" t="n">
        <v>1</v>
      </c>
      <c r="G579" s="2" t="n">
        <v>1.5</v>
      </c>
      <c r="H579" s="2" t="inlineStr">
        <is>
          <t>LC/PC</t>
        </is>
      </c>
      <c r="I579" s="2" t="n"/>
      <c r="J579" s="2" t="n">
        <v>224</v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>
        <f>SUM(J579:U579)*G579</f>
        <v/>
      </c>
      <c r="W579" s="2">
        <f>MAX(J579:U579)</f>
        <v/>
      </c>
      <c r="X579" s="2">
        <f>W579*G579</f>
        <v/>
      </c>
    </row>
    <row r="580">
      <c r="A580" s="2" t="inlineStr">
        <is>
          <t>14-P-010</t>
        </is>
      </c>
      <c r="B580" s="3" t="inlineStr">
        <is>
          <t>PIGTAIL-SC/APC-SM-12C (0.9mm)</t>
        </is>
      </c>
      <c r="C580" s="2" t="inlineStr">
        <is>
          <t>1.5M_12색</t>
        </is>
      </c>
      <c r="D580" s="2" t="inlineStr">
        <is>
          <t>pigtail</t>
        </is>
      </c>
      <c r="E580" s="2" t="n">
        <v>0.9</v>
      </c>
      <c r="F580" s="2" t="n">
        <v>12</v>
      </c>
      <c r="G580" s="2" t="n">
        <v>1.5</v>
      </c>
      <c r="H580" s="2" t="inlineStr">
        <is>
          <t>SC/APC</t>
        </is>
      </c>
      <c r="I580" s="2" t="n"/>
      <c r="J580" s="2" t="n"/>
      <c r="K580" s="2" t="n">
        <v>25</v>
      </c>
      <c r="L580" s="2" t="n">
        <v>92</v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>
        <f>SUM(J580:U580)*G580</f>
        <v/>
      </c>
      <c r="W580" s="2">
        <f>MAX(J580:U580)</f>
        <v/>
      </c>
      <c r="X580" s="2">
        <f>W580*G580</f>
        <v/>
      </c>
    </row>
    <row r="581">
      <c r="A581" s="2" t="inlineStr">
        <is>
          <t>14-P-012</t>
        </is>
      </c>
      <c r="B581" s="3" t="inlineStr">
        <is>
          <t>PIGTAIL-SC/APC-SM-1C (0.9mm)</t>
        </is>
      </c>
      <c r="C581" s="2" t="inlineStr">
        <is>
          <t>1.5M</t>
        </is>
      </c>
      <c r="D581" s="2" t="inlineStr">
        <is>
          <t>pigtail</t>
        </is>
      </c>
      <c r="E581" s="2" t="n">
        <v>0.9</v>
      </c>
      <c r="F581" s="2" t="n">
        <v>1</v>
      </c>
      <c r="G581" s="2" t="n">
        <v>1.5</v>
      </c>
      <c r="H581" s="2" t="inlineStr">
        <is>
          <t>SC/APC</t>
        </is>
      </c>
      <c r="I581" s="2" t="n"/>
      <c r="J581" s="2" t="n"/>
      <c r="K581" s="2" t="n">
        <v>600</v>
      </c>
      <c r="L581" s="2" t="n">
        <v>300</v>
      </c>
      <c r="M581" s="2" t="n">
        <v>50</v>
      </c>
      <c r="N581" s="2" t="n"/>
      <c r="O581" s="2" t="n"/>
      <c r="P581" s="2" t="n">
        <v>30</v>
      </c>
      <c r="Q581" s="2" t="n"/>
      <c r="R581" s="2" t="n"/>
      <c r="S581" s="2" t="n"/>
      <c r="T581" s="2" t="n"/>
      <c r="U581" s="2" t="n"/>
      <c r="V581" s="2">
        <f>SUM(J581:U581)*G581</f>
        <v/>
      </c>
      <c r="W581" s="2">
        <f>MAX(J581:U581)</f>
        <v/>
      </c>
      <c r="X581" s="2">
        <f>W581*G581</f>
        <v/>
      </c>
    </row>
    <row r="582">
      <c r="A582" s="2" t="inlineStr">
        <is>
          <t>14-P-014</t>
        </is>
      </c>
      <c r="B582" s="3" t="inlineStr">
        <is>
          <t>PIGTAIL-SC/APC-SM-6C (0.9mm)</t>
        </is>
      </c>
      <c r="C582" s="2" t="inlineStr">
        <is>
          <t>1.5M_6색</t>
        </is>
      </c>
      <c r="D582" s="2" t="inlineStr">
        <is>
          <t>pigtail</t>
        </is>
      </c>
      <c r="E582" s="2" t="n">
        <v>0.9</v>
      </c>
      <c r="F582" s="2" t="n">
        <v>6</v>
      </c>
      <c r="G582" s="2" t="n">
        <v>1.5</v>
      </c>
      <c r="H582" s="2" t="inlineStr">
        <is>
          <t>SC/APC</t>
        </is>
      </c>
      <c r="I582" s="2" t="n"/>
      <c r="J582" s="2" t="n"/>
      <c r="K582" s="2" t="n">
        <v>6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>
        <v>5</v>
      </c>
      <c r="U582" s="2" t="n"/>
      <c r="V582" s="2">
        <f>SUM(J582:U582)*G582</f>
        <v/>
      </c>
      <c r="W582" s="2">
        <f>MAX(J582:U582)</f>
        <v/>
      </c>
      <c r="X582" s="2">
        <f>W582*G582</f>
        <v/>
      </c>
    </row>
    <row r="583">
      <c r="A583" s="2" t="inlineStr">
        <is>
          <t>14-P-016</t>
        </is>
      </c>
      <c r="B583" s="3" t="inlineStr">
        <is>
          <t>PIGTAIL-SC/PC-MM-1C (0.9mm)</t>
        </is>
      </c>
      <c r="C583" s="2" t="inlineStr">
        <is>
          <t>1.5M</t>
        </is>
      </c>
      <c r="D583" s="2" t="inlineStr">
        <is>
          <t>om1-pigtail</t>
        </is>
      </c>
      <c r="E583" s="2" t="n">
        <v>0.9</v>
      </c>
      <c r="F583" s="2" t="n">
        <v>1</v>
      </c>
      <c r="G583" s="2" t="n">
        <v>1.5</v>
      </c>
      <c r="H583" s="2" t="inlineStr">
        <is>
          <t>SC/PC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>
        <v>100</v>
      </c>
      <c r="V583" s="2">
        <f>SUM(J583:U583)*G583</f>
        <v/>
      </c>
      <c r="W583" s="2">
        <f>MAX(J583:U583)</f>
        <v/>
      </c>
      <c r="X583" s="2">
        <f>W583*G583</f>
        <v/>
      </c>
    </row>
    <row r="584">
      <c r="A584" s="2" t="inlineStr">
        <is>
          <t>14-P-017</t>
        </is>
      </c>
      <c r="B584" s="3" t="inlineStr">
        <is>
          <t>PIGTAIL-SC/PC-SM-12C (0.9mm)</t>
        </is>
      </c>
      <c r="C584" s="2" t="inlineStr">
        <is>
          <t>1.5M_12색</t>
        </is>
      </c>
      <c r="D584" s="2" t="inlineStr">
        <is>
          <t>pigtail</t>
        </is>
      </c>
      <c r="E584" s="2" t="n">
        <v>0.9</v>
      </c>
      <c r="F584" s="2" t="n">
        <v>12</v>
      </c>
      <c r="G584" s="2" t="n">
        <v>1.5</v>
      </c>
      <c r="H584" s="2" t="inlineStr">
        <is>
          <t>SC/PC</t>
        </is>
      </c>
      <c r="I584" s="2" t="n"/>
      <c r="J584" s="2" t="n"/>
      <c r="K584" s="2" t="n"/>
      <c r="L584" s="2" t="n"/>
      <c r="M584" s="2" t="n"/>
      <c r="N584" s="2" t="n"/>
      <c r="O584" s="2" t="n">
        <v>6</v>
      </c>
      <c r="P584" s="2" t="n"/>
      <c r="Q584" s="2" t="n"/>
      <c r="R584" s="2" t="n">
        <v>320</v>
      </c>
      <c r="S584" s="2" t="n"/>
      <c r="T584" s="2" t="n"/>
      <c r="U584" s="2" t="n">
        <v>300</v>
      </c>
      <c r="V584" s="2">
        <f>SUM(J584:U584)*G584</f>
        <v/>
      </c>
      <c r="W584" s="2">
        <f>MAX(J584:U584)</f>
        <v/>
      </c>
      <c r="X584" s="2">
        <f>W584*G584</f>
        <v/>
      </c>
    </row>
    <row r="585">
      <c r="A585" s="2" t="inlineStr">
        <is>
          <t>14-P-018</t>
        </is>
      </c>
      <c r="B585" s="3" t="inlineStr">
        <is>
          <t>PIGTAIL-SC/PC-SM-1C (0.9mm)</t>
        </is>
      </c>
      <c r="C585" s="2" t="inlineStr">
        <is>
          <t>1.5M</t>
        </is>
      </c>
      <c r="D585" s="2" t="inlineStr">
        <is>
          <t>pigtail</t>
        </is>
      </c>
      <c r="E585" s="2" t="n">
        <v>0.9</v>
      </c>
      <c r="F585" s="2" t="n">
        <v>1</v>
      </c>
      <c r="G585" s="2" t="n">
        <v>1.5</v>
      </c>
      <c r="H585" s="2" t="inlineStr">
        <is>
          <t>SC/PC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>
        <v>300</v>
      </c>
      <c r="Q585" s="2" t="n">
        <v>120</v>
      </c>
      <c r="R585" s="2" t="n"/>
      <c r="S585" s="2" t="n"/>
      <c r="T585" s="2" t="n"/>
      <c r="U585" s="2" t="n"/>
      <c r="V585" s="2">
        <f>SUM(J585:U585)*G585</f>
        <v/>
      </c>
      <c r="W585" s="2">
        <f>MAX(J585:U585)</f>
        <v/>
      </c>
      <c r="X585" s="2">
        <f>W585*G585</f>
        <v/>
      </c>
    </row>
    <row r="586">
      <c r="A586" s="2" t="inlineStr">
        <is>
          <t>14-P-023</t>
        </is>
      </c>
      <c r="B586" s="3" t="inlineStr">
        <is>
          <t>PIGTAIL-SC/PC-SM-8C (0.9mm)</t>
        </is>
      </c>
      <c r="C586" s="2" t="inlineStr">
        <is>
          <t>1.5M_8색</t>
        </is>
      </c>
      <c r="D586" s="2" t="inlineStr">
        <is>
          <t>pigtail</t>
        </is>
      </c>
      <c r="E586" s="2" t="n">
        <v>0.9</v>
      </c>
      <c r="F586" s="2" t="n">
        <v>8</v>
      </c>
      <c r="G586" s="2" t="n">
        <v>1.5</v>
      </c>
      <c r="H586" s="2" t="inlineStr">
        <is>
          <t>SC/PC</t>
        </is>
      </c>
      <c r="I586" s="2" t="n"/>
      <c r="J586" s="2" t="n"/>
      <c r="K586" s="2" t="n"/>
      <c r="L586" s="2" t="n"/>
      <c r="M586" s="2" t="n"/>
      <c r="N586" s="2" t="n"/>
      <c r="O586" s="2" t="n">
        <v>4</v>
      </c>
      <c r="P586" s="2" t="n"/>
      <c r="Q586" s="2" t="n"/>
      <c r="R586" s="2" t="n"/>
      <c r="S586" s="2" t="n"/>
      <c r="T586" s="2" t="n"/>
      <c r="U586" s="2" t="n"/>
      <c r="V586" s="2">
        <f>SUM(J586:U586)*G586</f>
        <v/>
      </c>
      <c r="W586" s="2">
        <f>MAX(J586:U586)</f>
        <v/>
      </c>
      <c r="X586" s="2">
        <f>W586*G586</f>
        <v/>
      </c>
    </row>
    <row r="587">
      <c r="A587" s="2" t="inlineStr">
        <is>
          <t>14-P-029</t>
        </is>
      </c>
      <c r="B587" s="3" t="inlineStr">
        <is>
          <t>PIGTAIL-SC/PC-SM-12C (SK성단용)</t>
        </is>
      </c>
      <c r="C587" s="2" t="inlineStr">
        <is>
          <t>1.5M</t>
        </is>
      </c>
      <c r="D587" s="2" t="inlineStr">
        <is>
          <t>pigtail</t>
        </is>
      </c>
      <c r="E587" s="2" t="n">
        <v>0.9</v>
      </c>
      <c r="F587" s="2" t="n">
        <v>12</v>
      </c>
      <c r="G587" s="2" t="n">
        <v>1.5</v>
      </c>
      <c r="H587" s="2" t="inlineStr">
        <is>
          <t>SC/PC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>
        <v>24</v>
      </c>
      <c r="V587" s="2">
        <f>SUM(J587:U587)*G587</f>
        <v/>
      </c>
      <c r="W587" s="2">
        <f>MAX(J587:U587)</f>
        <v/>
      </c>
      <c r="X587" s="2">
        <f>W587*G587</f>
        <v/>
      </c>
    </row>
    <row r="588">
      <c r="A588" s="2" t="inlineStr">
        <is>
          <t>14-P-030</t>
        </is>
      </c>
      <c r="B588" s="3" t="inlineStr">
        <is>
          <t>PIGTAIL-SC/PC-SM-12C (0.9mm)</t>
        </is>
      </c>
      <c r="C588" s="2" t="inlineStr">
        <is>
          <t>1.5M_(노란색)</t>
        </is>
      </c>
      <c r="D588" s="2" t="inlineStr">
        <is>
          <t>pigtail</t>
        </is>
      </c>
      <c r="E588" s="2" t="n">
        <v>0.9</v>
      </c>
      <c r="F588" s="2" t="n">
        <v>12</v>
      </c>
      <c r="G588" s="2" t="n">
        <v>1.5</v>
      </c>
      <c r="H588" s="2" t="inlineStr">
        <is>
          <t>SC/PC</t>
        </is>
      </c>
      <c r="I588" s="2" t="n"/>
      <c r="J588" s="2" t="n"/>
      <c r="K588" s="2" t="n"/>
      <c r="L588" s="2" t="n">
        <v>100</v>
      </c>
      <c r="M588" s="2" t="n"/>
      <c r="N588" s="2" t="n"/>
      <c r="O588" s="2" t="n"/>
      <c r="P588" s="2" t="n">
        <v>100</v>
      </c>
      <c r="Q588" s="2" t="n"/>
      <c r="R588" s="2" t="n"/>
      <c r="S588" s="2" t="n"/>
      <c r="T588" s="2" t="n"/>
      <c r="U588" s="2" t="n"/>
      <c r="V588" s="2">
        <f>SUM(J588:U588)*G588</f>
        <v/>
      </c>
      <c r="W588" s="2">
        <f>MAX(J588:U588)</f>
        <v/>
      </c>
      <c r="X588" s="2">
        <f>W588*G588</f>
        <v/>
      </c>
    </row>
    <row r="589">
      <c r="A589" s="2" t="inlineStr">
        <is>
          <t>14-P-031</t>
        </is>
      </c>
      <c r="B589" s="3" t="inlineStr">
        <is>
          <t>PIGTAIL-SC/APC-SM-12C (0.9mm)</t>
        </is>
      </c>
      <c r="C589" s="2" t="inlineStr">
        <is>
          <t>1.5M_(노란색)</t>
        </is>
      </c>
      <c r="D589" s="2" t="inlineStr">
        <is>
          <t>pigtail</t>
        </is>
      </c>
      <c r="E589" s="2" t="n">
        <v>0.9</v>
      </c>
      <c r="F589" s="2" t="n">
        <v>12</v>
      </c>
      <c r="G589" s="2" t="n">
        <v>1.5</v>
      </c>
      <c r="H589" s="2" t="inlineStr">
        <is>
          <t>SC/APC</t>
        </is>
      </c>
      <c r="I589" s="2" t="n"/>
      <c r="J589" s="2" t="n"/>
      <c r="K589" s="2" t="n">
        <v>10</v>
      </c>
      <c r="L589" s="2" t="n">
        <v>100</v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>
        <f>SUM(J589:U589)*G589</f>
        <v/>
      </c>
      <c r="W589" s="2">
        <f>MAX(J589:U589)</f>
        <v/>
      </c>
      <c r="X589" s="2">
        <f>W589*G589</f>
        <v/>
      </c>
    </row>
    <row r="590">
      <c r="A590" s="2" t="inlineStr">
        <is>
          <t>14-P-032</t>
        </is>
      </c>
      <c r="B590" s="3" t="inlineStr">
        <is>
          <t>PIGTAIL-SC/APC-SM-6C (SK성단용)</t>
        </is>
      </c>
      <c r="C590" s="2" t="inlineStr">
        <is>
          <t>1,5M</t>
        </is>
      </c>
      <c r="D590" s="2" t="inlineStr">
        <is>
          <t>pigtail</t>
        </is>
      </c>
      <c r="E590" s="2" t="n">
        <v>0.9</v>
      </c>
      <c r="F590" s="2" t="n">
        <v>6</v>
      </c>
      <c r="G590" s="2" t="n">
        <v>5</v>
      </c>
      <c r="H590" s="2" t="inlineStr">
        <is>
          <t>SC/APC</t>
        </is>
      </c>
      <c r="I590" s="2" t="n"/>
      <c r="J590" s="2" t="n">
        <v>70</v>
      </c>
      <c r="K590" s="2" t="n"/>
      <c r="L590" s="2" t="n"/>
      <c r="M590" s="2" t="n">
        <v>60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>
        <f>SUM(J590:U590)*G590</f>
        <v/>
      </c>
      <c r="W590" s="2">
        <f>MAX(J590:U590)</f>
        <v/>
      </c>
      <c r="X590" s="2">
        <f>W590*G590</f>
        <v/>
      </c>
    </row>
    <row r="591">
      <c r="A591" s="2" t="inlineStr">
        <is>
          <t>14-P-033</t>
        </is>
      </c>
      <c r="B591" s="3" t="inlineStr">
        <is>
          <t>PIGTAIL-LC/PC-MM-12C (SK성단용)</t>
        </is>
      </c>
      <c r="C591" s="2" t="inlineStr">
        <is>
          <t>1.5M</t>
        </is>
      </c>
      <c r="D591" s="2" t="inlineStr">
        <is>
          <t>om1-pigtail</t>
        </is>
      </c>
      <c r="E591" s="2" t="inlineStr">
        <is>
          <t>2.0mm</t>
        </is>
      </c>
      <c r="F591" s="2" t="n">
        <v>12</v>
      </c>
      <c r="G591" s="2" t="n">
        <v>1.5</v>
      </c>
      <c r="H591" s="2" t="inlineStr">
        <is>
          <t>LC/PC</t>
        </is>
      </c>
      <c r="I591" s="2" t="n"/>
      <c r="J591" s="2" t="n"/>
      <c r="K591" s="2" t="n"/>
      <c r="L591" s="2" t="n"/>
      <c r="M591" s="2" t="n"/>
      <c r="N591" s="2" t="n"/>
      <c r="O591" s="2" t="n">
        <v>24</v>
      </c>
      <c r="P591" s="2" t="n"/>
      <c r="Q591" s="2" t="n"/>
      <c r="R591" s="2" t="n"/>
      <c r="S591" s="2" t="n"/>
      <c r="T591" s="2" t="n"/>
      <c r="U591" s="2" t="n"/>
      <c r="V591" s="2">
        <f>SUM(J591:U591)*G591</f>
        <v/>
      </c>
      <c r="W591" s="2">
        <f>MAX(J591:U591)</f>
        <v/>
      </c>
      <c r="X591" s="2">
        <f>W591*G591</f>
        <v/>
      </c>
    </row>
    <row r="592">
      <c r="A592" s="2" t="inlineStr">
        <is>
          <t>14-P-036</t>
        </is>
      </c>
      <c r="B592" s="3" t="inlineStr">
        <is>
          <t>PIGTAIL-LC/PC-SM-12C (0.9mm)</t>
        </is>
      </c>
      <c r="C592" s="2" t="inlineStr">
        <is>
          <t>1.5M_(노란색)</t>
        </is>
      </c>
      <c r="D592" s="2" t="inlineStr">
        <is>
          <t>pigtail</t>
        </is>
      </c>
      <c r="E592" s="2" t="n">
        <v>0.9</v>
      </c>
      <c r="F592" s="2" t="n">
        <v>12</v>
      </c>
      <c r="G592" s="2" t="n">
        <v>1.5</v>
      </c>
      <c r="H592" s="2" t="inlineStr">
        <is>
          <t>LC/PC</t>
        </is>
      </c>
      <c r="I592" s="2" t="n"/>
      <c r="J592" s="2" t="n"/>
      <c r="K592" s="2" t="n"/>
      <c r="L592" s="2" t="n"/>
      <c r="M592" s="2" t="n">
        <v>27</v>
      </c>
      <c r="N592" s="2" t="n">
        <v>200</v>
      </c>
      <c r="O592" s="2" t="n">
        <v>200</v>
      </c>
      <c r="P592" s="2" t="n"/>
      <c r="Q592" s="2" t="n"/>
      <c r="R592" s="2" t="n"/>
      <c r="S592" s="2" t="n"/>
      <c r="T592" s="2" t="n"/>
      <c r="U592" s="2" t="n"/>
      <c r="V592" s="2">
        <f>SUM(J592:U592)*G592</f>
        <v/>
      </c>
      <c r="W592" s="2">
        <f>MAX(J592:U592)</f>
        <v/>
      </c>
      <c r="X592" s="2">
        <f>W592*G592</f>
        <v/>
      </c>
    </row>
    <row r="593">
      <c r="A593" s="2" t="inlineStr">
        <is>
          <t>14-P-047</t>
        </is>
      </c>
      <c r="B593" s="3" t="inlineStr">
        <is>
          <t>PIGTAIL-SC/PC-SM-1C (0.9mm)</t>
        </is>
      </c>
      <c r="C593" s="2" t="inlineStr">
        <is>
          <t>1M</t>
        </is>
      </c>
      <c r="D593" s="2" t="inlineStr">
        <is>
          <t>pigtail</t>
        </is>
      </c>
      <c r="E593" s="2" t="n">
        <v>0.9</v>
      </c>
      <c r="F593" s="2" t="n">
        <v>1</v>
      </c>
      <c r="G593" s="2" t="n">
        <v>1</v>
      </c>
      <c r="H593" s="2" t="inlineStr">
        <is>
          <t>SC/PC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>
        <v>300</v>
      </c>
      <c r="R593" s="2" t="n"/>
      <c r="S593" s="2" t="n"/>
      <c r="T593" s="2" t="n"/>
      <c r="U593" s="2" t="n"/>
      <c r="V593" s="2">
        <f>SUM(J593:U593)*G593</f>
        <v/>
      </c>
      <c r="W593" s="2">
        <f>MAX(J593:U593)</f>
        <v/>
      </c>
      <c r="X593" s="2">
        <f>W593*G593</f>
        <v/>
      </c>
    </row>
    <row r="594">
      <c r="A594" s="2" t="inlineStr">
        <is>
          <t>14-P-052</t>
        </is>
      </c>
      <c r="B594" s="3" t="inlineStr">
        <is>
          <t>PIGTAIL-SC/APC-SM-1C(0.9mm)</t>
        </is>
      </c>
      <c r="C594" s="2" t="inlineStr">
        <is>
          <t>1.0M</t>
        </is>
      </c>
      <c r="D594" s="2" t="inlineStr">
        <is>
          <t>pigtail</t>
        </is>
      </c>
      <c r="E594" s="2" t="n">
        <v>0.9</v>
      </c>
      <c r="F594" s="2" t="n">
        <v>1</v>
      </c>
      <c r="G594" s="2" t="n">
        <v>1</v>
      </c>
      <c r="H594" s="2" t="inlineStr">
        <is>
          <t>SC/APC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>
        <v>100</v>
      </c>
      <c r="R594" s="2" t="n"/>
      <c r="S594" s="2" t="n"/>
      <c r="T594" s="2" t="n"/>
      <c r="U594" s="2" t="n"/>
      <c r="V594" s="2">
        <f>SUM(J594:U594)*G594</f>
        <v/>
      </c>
      <c r="W594" s="2">
        <f>MAX(J594:U594)</f>
        <v/>
      </c>
      <c r="X594" s="2">
        <f>W594*G594</f>
        <v/>
      </c>
    </row>
    <row r="595">
      <c r="A595" s="2" t="inlineStr">
        <is>
          <t>14-P-073</t>
        </is>
      </c>
      <c r="B595" s="3" t="inlineStr">
        <is>
          <t>PIGTAIL-SC/APC-SM-2C (0.9mm)</t>
        </is>
      </c>
      <c r="C595" s="2" t="inlineStr">
        <is>
          <t>1.5M_노란색</t>
        </is>
      </c>
      <c r="D595" s="2" t="inlineStr">
        <is>
          <t>pigtail</t>
        </is>
      </c>
      <c r="E595" s="2" t="n">
        <v>0.9</v>
      </c>
      <c r="F595" s="2" t="n">
        <v>2</v>
      </c>
      <c r="G595" s="2" t="n">
        <v>1.5</v>
      </c>
      <c r="H595" s="2" t="inlineStr">
        <is>
          <t>SC/APC</t>
        </is>
      </c>
      <c r="I595" s="2" t="n"/>
      <c r="J595" s="2" t="n">
        <v>10</v>
      </c>
      <c r="K595" s="2" t="n"/>
      <c r="L595" s="2" t="n"/>
      <c r="M595" s="2" t="n"/>
      <c r="N595" s="2" t="n">
        <v>27</v>
      </c>
      <c r="O595" s="2" t="n"/>
      <c r="P595" s="2" t="n"/>
      <c r="Q595" s="2" t="n"/>
      <c r="R595" s="2" t="n"/>
      <c r="S595" s="2" t="n"/>
      <c r="T595" s="2" t="n"/>
      <c r="U595" s="2" t="n"/>
      <c r="V595" s="2">
        <f>SUM(J595:U595)*G595</f>
        <v/>
      </c>
      <c r="W595" s="2">
        <f>MAX(J595:U595)</f>
        <v/>
      </c>
      <c r="X595" s="2">
        <f>W595*G595</f>
        <v/>
      </c>
    </row>
    <row r="596">
      <c r="A596" s="2" t="inlineStr">
        <is>
          <t>14-P-076</t>
        </is>
      </c>
      <c r="B596" s="3" t="inlineStr">
        <is>
          <t>PIGTAIL-LC/APC-SM-1C (0.9mm)</t>
        </is>
      </c>
      <c r="C596" s="2" t="inlineStr">
        <is>
          <t>1.5M_노란색</t>
        </is>
      </c>
      <c r="D596" s="2" t="inlineStr">
        <is>
          <t>pigtail</t>
        </is>
      </c>
      <c r="E596" s="2" t="n">
        <v>0.9</v>
      </c>
      <c r="F596" s="2" t="n">
        <v>1</v>
      </c>
      <c r="G596" s="2" t="n">
        <v>1.5</v>
      </c>
      <c r="H596" s="2" t="inlineStr">
        <is>
          <t>LC/APC</t>
        </is>
      </c>
      <c r="I596" s="2" t="n"/>
      <c r="J596" s="2" t="n"/>
      <c r="K596" s="2" t="n"/>
      <c r="L596" s="2" t="n"/>
      <c r="M596" s="2" t="n">
        <v>50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>
        <f>SUM(J596:U596)*G596</f>
        <v/>
      </c>
      <c r="W596" s="2">
        <f>MAX(J596:U596)</f>
        <v/>
      </c>
      <c r="X596" s="2">
        <f>W596*G596</f>
        <v/>
      </c>
    </row>
    <row r="597">
      <c r="A597" s="2" t="inlineStr">
        <is>
          <t>14-P-077</t>
        </is>
      </c>
      <c r="B597" s="3" t="inlineStr">
        <is>
          <t>PIGTAIL-LC/APC-SM-12C (SK성단용)</t>
        </is>
      </c>
      <c r="C597" s="2" t="inlineStr">
        <is>
          <t>1.5M</t>
        </is>
      </c>
      <c r="D597" s="2" t="inlineStr">
        <is>
          <t>pigtail</t>
        </is>
      </c>
      <c r="E597" s="2" t="n">
        <v>0.9</v>
      </c>
      <c r="F597" s="2" t="n">
        <v>12</v>
      </c>
      <c r="G597" s="2" t="n">
        <v>1.5</v>
      </c>
      <c r="H597" s="2" t="inlineStr">
        <is>
          <t>LC/APC</t>
        </is>
      </c>
      <c r="I597" s="2" t="n"/>
      <c r="J597" s="2" t="n"/>
      <c r="K597" s="2" t="n"/>
      <c r="L597" s="2" t="n"/>
      <c r="M597" s="2" t="n">
        <v>8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>
        <f>SUM(J597:U597)*G597</f>
        <v/>
      </c>
      <c r="W597" s="2">
        <f>MAX(J597:U597)</f>
        <v/>
      </c>
      <c r="X597" s="2">
        <f>W597*G597</f>
        <v/>
      </c>
    </row>
    <row r="598">
      <c r="A598" s="2" t="inlineStr">
        <is>
          <t>14-P-091</t>
        </is>
      </c>
      <c r="B598" s="3" t="inlineStr">
        <is>
          <t>PIGTAIL-LC/APC-SM-12C (0.9mm)</t>
        </is>
      </c>
      <c r="C598" s="2" t="inlineStr">
        <is>
          <t>1.5M_12색</t>
        </is>
      </c>
      <c r="D598" s="2" t="inlineStr">
        <is>
          <t>pigtail</t>
        </is>
      </c>
      <c r="E598" s="2" t="n">
        <v>0.9</v>
      </c>
      <c r="F598" s="2" t="n">
        <v>12</v>
      </c>
      <c r="G598" s="2" t="n">
        <v>1.5</v>
      </c>
      <c r="H598" s="2" t="inlineStr">
        <is>
          <t>LC/APC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>
        <v>2</v>
      </c>
      <c r="U598" s="2" t="n">
        <v>4</v>
      </c>
      <c r="V598" s="2">
        <f>SUM(J598:U598)*G598</f>
        <v/>
      </c>
      <c r="W598" s="2">
        <f>MAX(J598:U598)</f>
        <v/>
      </c>
      <c r="X598" s="2">
        <f>W598*G598</f>
        <v/>
      </c>
    </row>
    <row r="599">
      <c r="A599" s="2" t="inlineStr">
        <is>
          <t>14-P-093</t>
        </is>
      </c>
      <c r="B599" s="3" t="inlineStr">
        <is>
          <t>PIGTAIL-LC/PC-SM-6C (SK성단용)</t>
        </is>
      </c>
      <c r="C599" s="2" t="inlineStr">
        <is>
          <t>1.5M_6색</t>
        </is>
      </c>
      <c r="D599" s="2" t="inlineStr">
        <is>
          <t>pigtail</t>
        </is>
      </c>
      <c r="E599" s="2" t="n">
        <v>0.9</v>
      </c>
      <c r="F599" s="2" t="n">
        <v>6</v>
      </c>
      <c r="G599" s="2" t="n">
        <v>1.5</v>
      </c>
      <c r="H599" s="2" t="inlineStr">
        <is>
          <t>LC/PC</t>
        </is>
      </c>
      <c r="I599" s="2" t="n"/>
      <c r="J599" s="2" t="n">
        <v>15</v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>
        <v>8</v>
      </c>
      <c r="T599" s="2" t="n">
        <v>9</v>
      </c>
      <c r="U599" s="2" t="n">
        <v>48</v>
      </c>
      <c r="V599" s="2">
        <f>SUM(J599:U599)*G599</f>
        <v/>
      </c>
      <c r="W599" s="2">
        <f>MAX(J599:U599)</f>
        <v/>
      </c>
      <c r="X599" s="2">
        <f>W599*G599</f>
        <v/>
      </c>
    </row>
    <row r="600">
      <c r="A600" s="2" t="inlineStr">
        <is>
          <t>14-P-107</t>
        </is>
      </c>
      <c r="B600" s="3" t="inlineStr">
        <is>
          <t>PIGTAIL-LC/PC-SM-8C (0.9mm)</t>
        </is>
      </c>
      <c r="C600" s="2" t="inlineStr">
        <is>
          <t>1.5M_8색</t>
        </is>
      </c>
      <c r="D600" s="2" t="inlineStr">
        <is>
          <t>pigtail</t>
        </is>
      </c>
      <c r="E600" s="2" t="n">
        <v>0.9</v>
      </c>
      <c r="F600" s="2" t="n">
        <v>8</v>
      </c>
      <c r="G600" s="2" t="n">
        <v>1.5</v>
      </c>
      <c r="H600" s="2" t="inlineStr">
        <is>
          <t>LC/PC</t>
        </is>
      </c>
      <c r="I600" s="2" t="n"/>
      <c r="J600" s="2" t="n"/>
      <c r="K600" s="2" t="n"/>
      <c r="L600" s="2" t="n"/>
      <c r="M600" s="2" t="n"/>
      <c r="N600" s="2" t="n">
        <v>100</v>
      </c>
      <c r="O600" s="2" t="n"/>
      <c r="P600" s="2" t="n"/>
      <c r="Q600" s="2" t="n">
        <v>101</v>
      </c>
      <c r="R600" s="2" t="n"/>
      <c r="S600" s="2" t="n"/>
      <c r="T600" s="2" t="n">
        <v>100</v>
      </c>
      <c r="U600" s="2" t="n"/>
      <c r="V600" s="2">
        <f>SUM(J600:U600)*G600</f>
        <v/>
      </c>
      <c r="W600" s="2">
        <f>MAX(J600:U600)</f>
        <v/>
      </c>
      <c r="X600" s="2">
        <f>W600*G600</f>
        <v/>
      </c>
    </row>
    <row r="601">
      <c r="A601" s="2" t="inlineStr">
        <is>
          <t>14-S-084</t>
        </is>
      </c>
      <c r="B601" s="3" t="inlineStr">
        <is>
          <t>SOJC-SM-LC/PC-LC/PC</t>
        </is>
      </c>
      <c r="C601" s="2" t="inlineStr">
        <is>
          <t>0.5M</t>
        </is>
      </c>
      <c r="D601" s="2" t="inlineStr">
        <is>
          <t>a1</t>
        </is>
      </c>
      <c r="E601" s="2" t="inlineStr">
        <is>
          <t>2.0mm</t>
        </is>
      </c>
      <c r="F601" s="2" t="n">
        <v>1</v>
      </c>
      <c r="G601" s="2" t="n">
        <v>0.5</v>
      </c>
      <c r="H601" s="2" t="inlineStr">
        <is>
          <t>LC/PC</t>
        </is>
      </c>
      <c r="I601" s="2" t="inlineStr">
        <is>
          <t>LC/PC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>
        <v>100</v>
      </c>
      <c r="V601" s="2">
        <f>SUM(J601:U601)*G601</f>
        <v/>
      </c>
      <c r="W601" s="2">
        <f>MAX(J601:U601)</f>
        <v/>
      </c>
      <c r="X601" s="2">
        <f>W601*G601</f>
        <v/>
      </c>
    </row>
    <row r="602">
      <c r="A602" s="2" t="inlineStr">
        <is>
          <t>14-S-093</t>
        </is>
      </c>
      <c r="B602" s="3" t="inlineStr">
        <is>
          <t>SOJC-SM-LC/PC-LC/PC</t>
        </is>
      </c>
      <c r="C602" s="2" t="inlineStr">
        <is>
          <t>1M</t>
        </is>
      </c>
      <c r="D602" s="2" t="inlineStr">
        <is>
          <t>a1</t>
        </is>
      </c>
      <c r="E602" s="2" t="inlineStr">
        <is>
          <t>2.0mm</t>
        </is>
      </c>
      <c r="F602" s="2" t="n">
        <v>1</v>
      </c>
      <c r="G602" s="2" t="n">
        <v>1</v>
      </c>
      <c r="H602" s="2" t="inlineStr">
        <is>
          <t>LC/PC</t>
        </is>
      </c>
      <c r="I602" s="2" t="inlineStr">
        <is>
          <t>LC/PC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92</v>
      </c>
      <c r="S602" s="2" t="n"/>
      <c r="T602" s="2" t="n"/>
      <c r="U602" s="2" t="n"/>
      <c r="V602" s="2">
        <f>SUM(J602:U602)*G602</f>
        <v/>
      </c>
      <c r="W602" s="2">
        <f>MAX(J602:U602)</f>
        <v/>
      </c>
      <c r="X602" s="2">
        <f>W602*G602</f>
        <v/>
      </c>
    </row>
    <row r="603">
      <c r="A603" s="2" t="inlineStr">
        <is>
          <t>14-S-099</t>
        </is>
      </c>
      <c r="B603" s="3" t="inlineStr">
        <is>
          <t>SOJC-SM-LC/PC-LC/PC</t>
        </is>
      </c>
      <c r="C603" s="2" t="inlineStr">
        <is>
          <t>3M</t>
        </is>
      </c>
      <c r="D603" s="2" t="inlineStr">
        <is>
          <t>a1</t>
        </is>
      </c>
      <c r="E603" s="2" t="inlineStr">
        <is>
          <t>2.0mm</t>
        </is>
      </c>
      <c r="F603" s="2" t="n">
        <v>1</v>
      </c>
      <c r="G603" s="2" t="n">
        <v>3</v>
      </c>
      <c r="H603" s="2" t="inlineStr">
        <is>
          <t>LC/PC</t>
        </is>
      </c>
      <c r="I603" s="2" t="inlineStr">
        <is>
          <t>LC/PC</t>
        </is>
      </c>
      <c r="J603" s="2" t="n"/>
      <c r="K603" s="2" t="n"/>
      <c r="L603" s="2" t="n"/>
      <c r="M603" s="2" t="n"/>
      <c r="N603" s="2" t="n"/>
      <c r="O603" s="2" t="n"/>
      <c r="P603" s="2" t="n">
        <v>50</v>
      </c>
      <c r="Q603" s="2" t="n"/>
      <c r="R603" s="2" t="n"/>
      <c r="S603" s="2" t="n">
        <v>5</v>
      </c>
      <c r="T603" s="2" t="n"/>
      <c r="U603" s="2" t="n"/>
      <c r="V603" s="2">
        <f>SUM(J603:U603)*G603</f>
        <v/>
      </c>
      <c r="W603" s="2">
        <f>MAX(J603:U603)</f>
        <v/>
      </c>
      <c r="X603" s="2">
        <f>W603*G603</f>
        <v/>
      </c>
    </row>
    <row r="604">
      <c r="A604" s="2" t="inlineStr">
        <is>
          <t>14-S-110</t>
        </is>
      </c>
      <c r="B604" s="3" t="inlineStr">
        <is>
          <t>SOJC-SM-LC/PC-SC/APC</t>
        </is>
      </c>
      <c r="C604" s="2" t="inlineStr">
        <is>
          <t>1.5M</t>
        </is>
      </c>
      <c r="D604" s="2" t="inlineStr">
        <is>
          <t>a1</t>
        </is>
      </c>
      <c r="E604" s="2" t="inlineStr">
        <is>
          <t>2.0mm</t>
        </is>
      </c>
      <c r="F604" s="2" t="n">
        <v>1</v>
      </c>
      <c r="G604" s="2" t="n">
        <v>1.5</v>
      </c>
      <c r="H604" s="2" t="inlineStr">
        <is>
          <t>LC/PC</t>
        </is>
      </c>
      <c r="I604" s="2" t="inlineStr">
        <is>
          <t>SC/APC</t>
        </is>
      </c>
      <c r="J604" s="2" t="n"/>
      <c r="K604" s="2" t="n"/>
      <c r="L604" s="2" t="n"/>
      <c r="M604" s="2" t="n"/>
      <c r="N604" s="2" t="n">
        <v>20</v>
      </c>
      <c r="O604" s="2" t="n"/>
      <c r="P604" s="2" t="n"/>
      <c r="Q604" s="2" t="n"/>
      <c r="R604" s="2" t="n"/>
      <c r="S604" s="2" t="n"/>
      <c r="T604" s="2" t="n"/>
      <c r="U604" s="2" t="n"/>
      <c r="V604" s="2">
        <f>SUM(J604:U604)*G604</f>
        <v/>
      </c>
      <c r="W604" s="2">
        <f>MAX(J604:U604)</f>
        <v/>
      </c>
      <c r="X604" s="2">
        <f>W604*G604</f>
        <v/>
      </c>
    </row>
    <row r="605">
      <c r="A605" s="2" t="inlineStr">
        <is>
          <t>14-S-111</t>
        </is>
      </c>
      <c r="B605" s="3" t="inlineStr">
        <is>
          <t>SOJC-SM-LC/PC-SC/APC</t>
        </is>
      </c>
      <c r="C605" s="2" t="inlineStr">
        <is>
          <t>10M</t>
        </is>
      </c>
      <c r="D605" s="2" t="inlineStr">
        <is>
          <t>a1</t>
        </is>
      </c>
      <c r="E605" s="2" t="inlineStr">
        <is>
          <t>2.0mm</t>
        </is>
      </c>
      <c r="F605" s="2" t="n">
        <v>1</v>
      </c>
      <c r="G605" s="2" t="n">
        <v>10</v>
      </c>
      <c r="H605" s="2" t="inlineStr">
        <is>
          <t>LC/PC</t>
        </is>
      </c>
      <c r="I605" s="2" t="inlineStr">
        <is>
          <t>SC/APC</t>
        </is>
      </c>
      <c r="J605" s="2" t="n"/>
      <c r="K605" s="2" t="n"/>
      <c r="L605" s="2" t="n"/>
      <c r="M605" s="2" t="n"/>
      <c r="N605" s="2" t="n">
        <v>10</v>
      </c>
      <c r="O605" s="2" t="n"/>
      <c r="P605" s="2" t="n"/>
      <c r="Q605" s="2" t="n"/>
      <c r="R605" s="2" t="n"/>
      <c r="S605" s="2" t="n"/>
      <c r="T605" s="2" t="n"/>
      <c r="U605" s="2" t="n"/>
      <c r="V605" s="2">
        <f>SUM(J605:U605)*G605</f>
        <v/>
      </c>
      <c r="W605" s="2">
        <f>MAX(J605:U605)</f>
        <v/>
      </c>
      <c r="X605" s="2">
        <f>W605*G605</f>
        <v/>
      </c>
    </row>
    <row r="606">
      <c r="A606" s="2" t="inlineStr">
        <is>
          <t>14-S-114</t>
        </is>
      </c>
      <c r="B606" s="3" t="inlineStr">
        <is>
          <t>SOJC-SM-LC/PC-SC/APC</t>
        </is>
      </c>
      <c r="C606" s="2" t="inlineStr">
        <is>
          <t>15M</t>
        </is>
      </c>
      <c r="D606" s="2" t="inlineStr">
        <is>
          <t>a1</t>
        </is>
      </c>
      <c r="E606" s="2" t="inlineStr">
        <is>
          <t>2.0mm</t>
        </is>
      </c>
      <c r="F606" s="2" t="n">
        <v>1</v>
      </c>
      <c r="G606" s="2" t="n">
        <v>15</v>
      </c>
      <c r="H606" s="2" t="inlineStr">
        <is>
          <t>LC/PC</t>
        </is>
      </c>
      <c r="I606" s="2" t="inlineStr">
        <is>
          <t>SC/APC</t>
        </is>
      </c>
      <c r="J606" s="2" t="n"/>
      <c r="K606" s="2" t="n"/>
      <c r="L606" s="2" t="n"/>
      <c r="M606" s="2" t="n"/>
      <c r="N606" s="2" t="n">
        <v>10</v>
      </c>
      <c r="O606" s="2" t="n"/>
      <c r="P606" s="2" t="n"/>
      <c r="Q606" s="2" t="n"/>
      <c r="R606" s="2" t="n"/>
      <c r="S606" s="2" t="n"/>
      <c r="T606" s="2" t="n"/>
      <c r="U606" s="2" t="n"/>
      <c r="V606" s="2">
        <f>SUM(J606:U606)*G606</f>
        <v/>
      </c>
      <c r="W606" s="2">
        <f>MAX(J606:U606)</f>
        <v/>
      </c>
      <c r="X606" s="2">
        <f>W606*G606</f>
        <v/>
      </c>
    </row>
    <row r="607">
      <c r="A607" s="2" t="inlineStr">
        <is>
          <t>14-S-117</t>
        </is>
      </c>
      <c r="B607" s="3" t="inlineStr">
        <is>
          <t>SOJC-SM-LC/PC-SC/APC</t>
        </is>
      </c>
      <c r="C607" s="2" t="inlineStr">
        <is>
          <t>20M</t>
        </is>
      </c>
      <c r="D607" s="2" t="inlineStr">
        <is>
          <t>a1</t>
        </is>
      </c>
      <c r="E607" s="2" t="inlineStr">
        <is>
          <t>2.0mm</t>
        </is>
      </c>
      <c r="F607" s="2" t="n">
        <v>1</v>
      </c>
      <c r="G607" s="2" t="n">
        <v>20</v>
      </c>
      <c r="H607" s="2" t="inlineStr">
        <is>
          <t>LC/PC</t>
        </is>
      </c>
      <c r="I607" s="2" t="inlineStr">
        <is>
          <t>SC/APC</t>
        </is>
      </c>
      <c r="J607" s="2" t="n"/>
      <c r="K607" s="2" t="n"/>
      <c r="L607" s="2" t="n"/>
      <c r="M607" s="2" t="n"/>
      <c r="N607" s="2" t="n">
        <v>10</v>
      </c>
      <c r="O607" s="2" t="n"/>
      <c r="P607" s="2" t="n"/>
      <c r="Q607" s="2" t="n"/>
      <c r="R607" s="2" t="n"/>
      <c r="S607" s="2" t="n"/>
      <c r="T607" s="2" t="n"/>
      <c r="U607" s="2" t="n"/>
      <c r="V607" s="2">
        <f>SUM(J607:U607)*G607</f>
        <v/>
      </c>
      <c r="W607" s="2">
        <f>MAX(J607:U607)</f>
        <v/>
      </c>
      <c r="X607" s="2">
        <f>W607*G607</f>
        <v/>
      </c>
    </row>
    <row r="608">
      <c r="A608" s="2" t="inlineStr">
        <is>
          <t>14-S-118</t>
        </is>
      </c>
      <c r="B608" s="3" t="inlineStr">
        <is>
          <t>SOJC-SM-LC/PC-SC/APC</t>
        </is>
      </c>
      <c r="C608" s="2" t="inlineStr">
        <is>
          <t>25M</t>
        </is>
      </c>
      <c r="D608" s="2" t="inlineStr">
        <is>
          <t>a1</t>
        </is>
      </c>
      <c r="E608" s="2" t="inlineStr">
        <is>
          <t>2.0mm</t>
        </is>
      </c>
      <c r="F608" s="2" t="n">
        <v>1</v>
      </c>
      <c r="G608" s="2" t="n">
        <v>25</v>
      </c>
      <c r="H608" s="2" t="inlineStr">
        <is>
          <t>LC/PC</t>
        </is>
      </c>
      <c r="I608" s="2" t="inlineStr">
        <is>
          <t>SC/APC</t>
        </is>
      </c>
      <c r="J608" s="2" t="n"/>
      <c r="K608" s="2" t="n"/>
      <c r="L608" s="2" t="n"/>
      <c r="M608" s="2" t="n"/>
      <c r="N608" s="2" t="n">
        <v>5</v>
      </c>
      <c r="O608" s="2" t="n"/>
      <c r="P608" s="2" t="n"/>
      <c r="Q608" s="2" t="n"/>
      <c r="R608" s="2" t="n"/>
      <c r="S608" s="2" t="n"/>
      <c r="T608" s="2" t="n"/>
      <c r="U608" s="2" t="n"/>
      <c r="V608" s="2">
        <f>SUM(J608:U608)*G608</f>
        <v/>
      </c>
      <c r="W608" s="2">
        <f>MAX(J608:U608)</f>
        <v/>
      </c>
      <c r="X608" s="2">
        <f>W608*G608</f>
        <v/>
      </c>
    </row>
    <row r="609">
      <c r="A609" s="2" t="inlineStr">
        <is>
          <t>14-S-123</t>
        </is>
      </c>
      <c r="B609" s="3" t="inlineStr">
        <is>
          <t>SOJC-SM-LC/PC-SC/APC</t>
        </is>
      </c>
      <c r="C609" s="2" t="inlineStr">
        <is>
          <t>5M</t>
        </is>
      </c>
      <c r="D609" s="2" t="inlineStr">
        <is>
          <t>a1</t>
        </is>
      </c>
      <c r="E609" s="2" t="inlineStr">
        <is>
          <t>2.0mm</t>
        </is>
      </c>
      <c r="F609" s="2" t="n">
        <v>1</v>
      </c>
      <c r="G609" s="2" t="n">
        <v>5</v>
      </c>
      <c r="H609" s="2" t="inlineStr">
        <is>
          <t>LC/PC</t>
        </is>
      </c>
      <c r="I609" s="2" t="inlineStr">
        <is>
          <t>SC/APC</t>
        </is>
      </c>
      <c r="J609" s="2" t="n"/>
      <c r="K609" s="2" t="n"/>
      <c r="L609" s="2" t="n"/>
      <c r="M609" s="2" t="n"/>
      <c r="N609" s="2" t="n">
        <v>20</v>
      </c>
      <c r="O609" s="2" t="n"/>
      <c r="P609" s="2" t="n"/>
      <c r="Q609" s="2" t="n"/>
      <c r="R609" s="2" t="n"/>
      <c r="S609" s="2" t="n"/>
      <c r="T609" s="2" t="n"/>
      <c r="U609" s="2" t="n"/>
      <c r="V609" s="2">
        <f>SUM(J609:U609)*G609</f>
        <v/>
      </c>
      <c r="W609" s="2">
        <f>MAX(J609:U609)</f>
        <v/>
      </c>
      <c r="X609" s="2">
        <f>W609*G609</f>
        <v/>
      </c>
    </row>
    <row r="610">
      <c r="A610" s="2" t="inlineStr">
        <is>
          <t>14-S-146</t>
        </is>
      </c>
      <c r="B610" s="3" t="inlineStr">
        <is>
          <t>SOJC-SM-LC/PC-SC/PC</t>
        </is>
      </c>
      <c r="C610" s="2" t="inlineStr">
        <is>
          <t>3M</t>
        </is>
      </c>
      <c r="D610" s="2" t="inlineStr">
        <is>
          <t>a1</t>
        </is>
      </c>
      <c r="E610" s="2" t="inlineStr">
        <is>
          <t>2.0mm</t>
        </is>
      </c>
      <c r="F610" s="2" t="n">
        <v>1</v>
      </c>
      <c r="G610" s="2" t="n">
        <v>3</v>
      </c>
      <c r="H610" s="2" t="inlineStr">
        <is>
          <t>LC/PC</t>
        </is>
      </c>
      <c r="I610" s="2" t="inlineStr">
        <is>
          <t>SC/PC</t>
        </is>
      </c>
      <c r="J610" s="2" t="n"/>
      <c r="K610" s="2" t="n"/>
      <c r="L610" s="2" t="n"/>
      <c r="M610" s="2" t="n">
        <v>130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>
        <f>SUM(J610:U610)*G610</f>
        <v/>
      </c>
      <c r="W610" s="2">
        <f>MAX(J610:U610)</f>
        <v/>
      </c>
      <c r="X610" s="2">
        <f>W610*G610</f>
        <v/>
      </c>
    </row>
    <row r="611">
      <c r="A611" s="2" t="inlineStr">
        <is>
          <t>14-S-161</t>
        </is>
      </c>
      <c r="B611" s="3" t="inlineStr">
        <is>
          <t>SOJC-SM-SC/APC-FC/APC</t>
        </is>
      </c>
      <c r="C611" s="2" t="inlineStr">
        <is>
          <t>2M</t>
        </is>
      </c>
      <c r="D611" s="2" t="inlineStr">
        <is>
          <t>a1</t>
        </is>
      </c>
      <c r="E611" s="2" t="inlineStr">
        <is>
          <t>2.0mm</t>
        </is>
      </c>
      <c r="F611" s="2" t="n">
        <v>1</v>
      </c>
      <c r="G611" s="2" t="n">
        <v>2</v>
      </c>
      <c r="H611" s="2" t="inlineStr">
        <is>
          <t>SC/APC</t>
        </is>
      </c>
      <c r="I611" s="2" t="inlineStr">
        <is>
          <t>FC/APC</t>
        </is>
      </c>
      <c r="J611" s="2" t="n"/>
      <c r="K611" s="2" t="n"/>
      <c r="L611" s="2" t="n"/>
      <c r="M611" s="2" t="n">
        <v>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>
        <f>SUM(J611:U611)*G611</f>
        <v/>
      </c>
      <c r="W611" s="2">
        <f>MAX(J611:U611)</f>
        <v/>
      </c>
      <c r="X611" s="2">
        <f>W611*G611</f>
        <v/>
      </c>
    </row>
    <row r="612">
      <c r="A612" s="2" t="inlineStr">
        <is>
          <t>14-S-179</t>
        </is>
      </c>
      <c r="B612" s="3" t="inlineStr">
        <is>
          <t>SOJC-SM-SC/APC-SC/APC</t>
        </is>
      </c>
      <c r="C612" s="2" t="inlineStr">
        <is>
          <t>15M</t>
        </is>
      </c>
      <c r="D612" s="2" t="inlineStr">
        <is>
          <t>a1</t>
        </is>
      </c>
      <c r="E612" s="2" t="inlineStr">
        <is>
          <t>2.0mm</t>
        </is>
      </c>
      <c r="F612" s="2" t="n">
        <v>1</v>
      </c>
      <c r="G612" s="2" t="n">
        <v>15</v>
      </c>
      <c r="H612" s="2" t="inlineStr">
        <is>
          <t>SC/APC</t>
        </is>
      </c>
      <c r="I612" s="2" t="inlineStr">
        <is>
          <t>SC/APC</t>
        </is>
      </c>
      <c r="J612" s="2" t="n"/>
      <c r="K612" s="2" t="n"/>
      <c r="L612" s="2" t="n">
        <v>1</v>
      </c>
      <c r="M612" s="2" t="n"/>
      <c r="N612" s="2" t="n"/>
      <c r="O612" s="2" t="n"/>
      <c r="P612" s="2" t="n">
        <v>50</v>
      </c>
      <c r="Q612" s="2" t="n"/>
      <c r="R612" s="2" t="n"/>
      <c r="S612" s="2" t="n"/>
      <c r="T612" s="2" t="n"/>
      <c r="U612" s="2" t="n"/>
      <c r="V612" s="2">
        <f>SUM(J612:U612)*G612</f>
        <v/>
      </c>
      <c r="W612" s="2">
        <f>MAX(J612:U612)</f>
        <v/>
      </c>
      <c r="X612" s="2">
        <f>W612*G612</f>
        <v/>
      </c>
    </row>
    <row r="613">
      <c r="A613" s="2" t="inlineStr">
        <is>
          <t>14-S-181</t>
        </is>
      </c>
      <c r="B613" s="3" t="inlineStr">
        <is>
          <t>SOJC-SM-SC/APC-SC/APC</t>
        </is>
      </c>
      <c r="C613" s="2" t="inlineStr">
        <is>
          <t>20M</t>
        </is>
      </c>
      <c r="D613" s="2" t="inlineStr">
        <is>
          <t>a1</t>
        </is>
      </c>
      <c r="E613" s="2" t="inlineStr">
        <is>
          <t>2.0mm</t>
        </is>
      </c>
      <c r="F613" s="2" t="n">
        <v>1</v>
      </c>
      <c r="G613" s="2" t="n">
        <v>20</v>
      </c>
      <c r="H613" s="2" t="inlineStr">
        <is>
          <t>SC/APC</t>
        </is>
      </c>
      <c r="I613" s="2" t="inlineStr">
        <is>
          <t>SC/APC</t>
        </is>
      </c>
      <c r="J613" s="2" t="n"/>
      <c r="K613" s="2" t="n"/>
      <c r="L613" s="2" t="n"/>
      <c r="M613" s="2" t="n"/>
      <c r="N613" s="2" t="n"/>
      <c r="O613" s="2" t="n"/>
      <c r="P613" s="2" t="n">
        <v>50</v>
      </c>
      <c r="Q613" s="2" t="n"/>
      <c r="R613" s="2" t="n"/>
      <c r="S613" s="2" t="n"/>
      <c r="T613" s="2" t="n"/>
      <c r="U613" s="2" t="n"/>
      <c r="V613" s="2">
        <f>SUM(J613:U613)*G613</f>
        <v/>
      </c>
      <c r="W613" s="2">
        <f>MAX(J613:U613)</f>
        <v/>
      </c>
      <c r="X613" s="2">
        <f>W613*G613</f>
        <v/>
      </c>
    </row>
    <row r="614">
      <c r="A614" s="2" t="inlineStr">
        <is>
          <t>14-S-185</t>
        </is>
      </c>
      <c r="B614" s="3" t="inlineStr">
        <is>
          <t>SOJC-SM-SC/APC-SC/APC</t>
        </is>
      </c>
      <c r="C614" s="2" t="inlineStr">
        <is>
          <t>3M</t>
        </is>
      </c>
      <c r="D614" s="2" t="inlineStr">
        <is>
          <t>a1</t>
        </is>
      </c>
      <c r="E614" s="2" t="inlineStr">
        <is>
          <t>2.0mm</t>
        </is>
      </c>
      <c r="F614" s="2" t="n">
        <v>1</v>
      </c>
      <c r="G614" s="2" t="n">
        <v>3</v>
      </c>
      <c r="H614" s="2" t="inlineStr">
        <is>
          <t>SC/APC</t>
        </is>
      </c>
      <c r="I614" s="2" t="inlineStr">
        <is>
          <t>SC/APC</t>
        </is>
      </c>
      <c r="J614" s="2" t="n"/>
      <c r="K614" s="2" t="n"/>
      <c r="L614" s="2" t="n"/>
      <c r="M614" s="2" t="n">
        <v>20</v>
      </c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>
        <f>SUM(J614:U614)*G614</f>
        <v/>
      </c>
      <c r="W614" s="2">
        <f>MAX(J614:U614)</f>
        <v/>
      </c>
      <c r="X614" s="2">
        <f>W614*G614</f>
        <v/>
      </c>
    </row>
    <row r="615">
      <c r="A615" s="2" t="inlineStr">
        <is>
          <t>14-S-189</t>
        </is>
      </c>
      <c r="B615" s="3" t="inlineStr">
        <is>
          <t>SOJC-SM-SC/APC-SC/APC</t>
        </is>
      </c>
      <c r="C615" s="2" t="inlineStr">
        <is>
          <t>5M</t>
        </is>
      </c>
      <c r="D615" s="2" t="inlineStr">
        <is>
          <t>a1</t>
        </is>
      </c>
      <c r="E615" s="2" t="inlineStr">
        <is>
          <t>2.0mm</t>
        </is>
      </c>
      <c r="F615" s="2" t="n">
        <v>1</v>
      </c>
      <c r="G615" s="2" t="n">
        <v>5</v>
      </c>
      <c r="H615" s="2" t="inlineStr">
        <is>
          <t>SC/APC</t>
        </is>
      </c>
      <c r="I615" s="2" t="inlineStr">
        <is>
          <t>SC/APC</t>
        </is>
      </c>
      <c r="J615" s="2" t="n"/>
      <c r="K615" s="2" t="n"/>
      <c r="L615" s="2" t="n"/>
      <c r="M615" s="2" t="n"/>
      <c r="N615" s="2" t="n">
        <v>31</v>
      </c>
      <c r="O615" s="2" t="n"/>
      <c r="P615" s="2" t="n"/>
      <c r="Q615" s="2" t="n"/>
      <c r="R615" s="2" t="n"/>
      <c r="S615" s="2" t="n"/>
      <c r="T615" s="2" t="n"/>
      <c r="U615" s="2" t="n"/>
      <c r="V615" s="2">
        <f>SUM(J615:U615)*G615</f>
        <v/>
      </c>
      <c r="W615" s="2">
        <f>MAX(J615:U615)</f>
        <v/>
      </c>
      <c r="X615" s="2">
        <f>W615*G615</f>
        <v/>
      </c>
    </row>
    <row r="616">
      <c r="A616" s="2" t="inlineStr">
        <is>
          <t>14-S-214</t>
        </is>
      </c>
      <c r="B616" s="3" t="inlineStr">
        <is>
          <t>SOJC-SM-SC/PC-FC/APC</t>
        </is>
      </c>
      <c r="C616" s="2" t="inlineStr">
        <is>
          <t>8M</t>
        </is>
      </c>
      <c r="D616" s="2" t="inlineStr">
        <is>
          <t>a1</t>
        </is>
      </c>
      <c r="E616" s="2" t="inlineStr">
        <is>
          <t>2.0mm</t>
        </is>
      </c>
      <c r="F616" s="2" t="n">
        <v>1</v>
      </c>
      <c r="G616" s="2" t="n">
        <v>8</v>
      </c>
      <c r="H616" s="2" t="inlineStr">
        <is>
          <t>SC/PC</t>
        </is>
      </c>
      <c r="I616" s="2" t="inlineStr">
        <is>
          <t>FC/APC</t>
        </is>
      </c>
      <c r="J616" s="2" t="n"/>
      <c r="K616" s="2" t="n"/>
      <c r="L616" s="2" t="n">
        <v>5</v>
      </c>
      <c r="M616" s="2" t="n">
        <v>2</v>
      </c>
      <c r="N616" s="2" t="n"/>
      <c r="O616" s="2" t="n"/>
      <c r="P616" s="2" t="n">
        <v>3</v>
      </c>
      <c r="Q616" s="2" t="n"/>
      <c r="R616" s="2" t="n"/>
      <c r="S616" s="2" t="n"/>
      <c r="T616" s="2" t="n">
        <v>2</v>
      </c>
      <c r="U616" s="2" t="n"/>
      <c r="V616" s="2">
        <f>SUM(J616:U616)*G616</f>
        <v/>
      </c>
      <c r="W616" s="2">
        <f>MAX(J616:U616)</f>
        <v/>
      </c>
      <c r="X616" s="2">
        <f>W616*G616</f>
        <v/>
      </c>
    </row>
    <row r="617">
      <c r="A617" s="2" t="inlineStr">
        <is>
          <t>14-S-237</t>
        </is>
      </c>
      <c r="B617" s="3" t="inlineStr">
        <is>
          <t>SOJC-SM-SC/PC-SC/APC</t>
        </is>
      </c>
      <c r="C617" s="2" t="inlineStr">
        <is>
          <t>15M</t>
        </is>
      </c>
      <c r="D617" s="2" t="inlineStr">
        <is>
          <t>a1</t>
        </is>
      </c>
      <c r="E617" s="2" t="inlineStr">
        <is>
          <t>2.0mm</t>
        </is>
      </c>
      <c r="F617" s="2" t="n">
        <v>1</v>
      </c>
      <c r="G617" s="2" t="n">
        <v>15</v>
      </c>
      <c r="H617" s="2" t="inlineStr">
        <is>
          <t>SC/PC</t>
        </is>
      </c>
      <c r="I617" s="2" t="inlineStr">
        <is>
          <t>SC/APC</t>
        </is>
      </c>
      <c r="J617" s="2" t="n"/>
      <c r="K617" s="2" t="n"/>
      <c r="L617" s="2" t="n"/>
      <c r="M617" s="2" t="n"/>
      <c r="N617" s="2" t="n"/>
      <c r="O617" s="2" t="n"/>
      <c r="P617" s="2" t="n">
        <v>50</v>
      </c>
      <c r="Q617" s="2" t="n"/>
      <c r="R617" s="2" t="n"/>
      <c r="S617" s="2" t="n"/>
      <c r="T617" s="2" t="n"/>
      <c r="U617" s="2" t="n"/>
      <c r="V617" s="2">
        <f>SUM(J617:U617)*G617</f>
        <v/>
      </c>
      <c r="W617" s="2">
        <f>MAX(J617:U617)</f>
        <v/>
      </c>
      <c r="X617" s="2">
        <f>W617*G617</f>
        <v/>
      </c>
    </row>
    <row r="618">
      <c r="A618" s="2" t="inlineStr">
        <is>
          <t>14-S-241</t>
        </is>
      </c>
      <c r="B618" s="3" t="inlineStr">
        <is>
          <t>SOJC-SM-SC/PC-SC/APC</t>
        </is>
      </c>
      <c r="C618" s="2" t="inlineStr">
        <is>
          <t>20M</t>
        </is>
      </c>
      <c r="D618" s="2" t="inlineStr">
        <is>
          <t>a1</t>
        </is>
      </c>
      <c r="E618" s="2" t="inlineStr">
        <is>
          <t>2.0mm</t>
        </is>
      </c>
      <c r="F618" s="2" t="n">
        <v>1</v>
      </c>
      <c r="G618" s="2" t="n">
        <v>20</v>
      </c>
      <c r="H618" s="2" t="inlineStr">
        <is>
          <t>SC/PC</t>
        </is>
      </c>
      <c r="I618" s="2" t="inlineStr">
        <is>
          <t>SC/APC</t>
        </is>
      </c>
      <c r="J618" s="2" t="n"/>
      <c r="K618" s="2" t="n"/>
      <c r="L618" s="2" t="n"/>
      <c r="M618" s="2" t="n"/>
      <c r="N618" s="2" t="n"/>
      <c r="O618" s="2" t="n"/>
      <c r="P618" s="2" t="n">
        <v>50</v>
      </c>
      <c r="Q618" s="2" t="n"/>
      <c r="R618" s="2" t="n"/>
      <c r="S618" s="2" t="n"/>
      <c r="T618" s="2" t="n"/>
      <c r="U618" s="2" t="n"/>
      <c r="V618" s="2">
        <f>SUM(J618:U618)*G618</f>
        <v/>
      </c>
      <c r="W618" s="2">
        <f>MAX(J618:U618)</f>
        <v/>
      </c>
      <c r="X618" s="2">
        <f>W618*G618</f>
        <v/>
      </c>
    </row>
    <row r="619">
      <c r="A619" s="2" t="inlineStr">
        <is>
          <t>14-S-245</t>
        </is>
      </c>
      <c r="B619" s="3" t="inlineStr">
        <is>
          <t>SOJC-SM-SC/PC-SC/APC</t>
        </is>
      </c>
      <c r="C619" s="2" t="inlineStr">
        <is>
          <t>2M</t>
        </is>
      </c>
      <c r="D619" s="2" t="inlineStr">
        <is>
          <t>a1</t>
        </is>
      </c>
      <c r="E619" s="2" t="inlineStr">
        <is>
          <t>2.0mm</t>
        </is>
      </c>
      <c r="F619" s="2" t="n">
        <v>1</v>
      </c>
      <c r="G619" s="2" t="n">
        <v>2</v>
      </c>
      <c r="H619" s="2" t="inlineStr">
        <is>
          <t>SC/PC</t>
        </is>
      </c>
      <c r="I619" s="2" t="inlineStr">
        <is>
          <t>SC/APC</t>
        </is>
      </c>
      <c r="J619" s="2" t="n"/>
      <c r="K619" s="2" t="n"/>
      <c r="L619" s="2" t="n">
        <v>50</v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>
        <f>SUM(J619:U619)*G619</f>
        <v/>
      </c>
      <c r="W619" s="2">
        <f>MAX(J619:U619)</f>
        <v/>
      </c>
      <c r="X619" s="2">
        <f>W619*G619</f>
        <v/>
      </c>
    </row>
    <row r="620">
      <c r="A620" s="2" t="inlineStr">
        <is>
          <t>14-S-249</t>
        </is>
      </c>
      <c r="B620" s="3" t="inlineStr">
        <is>
          <t>SOJC-SM-SC/PC-SC/APC</t>
        </is>
      </c>
      <c r="C620" s="2" t="inlineStr">
        <is>
          <t>3M</t>
        </is>
      </c>
      <c r="D620" s="2" t="inlineStr">
        <is>
          <t>a1</t>
        </is>
      </c>
      <c r="E620" s="2" t="inlineStr">
        <is>
          <t>2.0mm</t>
        </is>
      </c>
      <c r="F620" s="2" t="n">
        <v>1</v>
      </c>
      <c r="G620" s="2" t="n">
        <v>3</v>
      </c>
      <c r="H620" s="2" t="inlineStr">
        <is>
          <t>SC/PC</t>
        </is>
      </c>
      <c r="I620" s="2" t="inlineStr">
        <is>
          <t>SC/APC</t>
        </is>
      </c>
      <c r="J620" s="2" t="n"/>
      <c r="K620" s="2" t="n"/>
      <c r="L620" s="2" t="n">
        <v>60</v>
      </c>
      <c r="M620" s="2" t="n"/>
      <c r="N620" s="2" t="n"/>
      <c r="O620" s="2" t="n"/>
      <c r="P620" s="2" t="n">
        <v>50</v>
      </c>
      <c r="Q620" s="2" t="n"/>
      <c r="R620" s="2" t="n"/>
      <c r="S620" s="2" t="n"/>
      <c r="T620" s="2" t="n">
        <v>140</v>
      </c>
      <c r="U620" s="2" t="n"/>
      <c r="V620" s="2">
        <f>SUM(J620:U620)*G620</f>
        <v/>
      </c>
      <c r="W620" s="2">
        <f>MAX(J620:U620)</f>
        <v/>
      </c>
      <c r="X620" s="2">
        <f>W620*G620</f>
        <v/>
      </c>
    </row>
    <row r="621">
      <c r="A621" s="2" t="inlineStr">
        <is>
          <t>14-S-251</t>
        </is>
      </c>
      <c r="B621" s="3" t="inlineStr">
        <is>
          <t>SOJC-SM-SC/PC-SC/APC</t>
        </is>
      </c>
      <c r="C621" s="2" t="inlineStr">
        <is>
          <t>5M</t>
        </is>
      </c>
      <c r="D621" s="2" t="inlineStr">
        <is>
          <t>a1</t>
        </is>
      </c>
      <c r="E621" s="2" t="inlineStr">
        <is>
          <t>2.0mm</t>
        </is>
      </c>
      <c r="F621" s="2" t="n">
        <v>1</v>
      </c>
      <c r="G621" s="2" t="n">
        <v>5</v>
      </c>
      <c r="H621" s="2" t="inlineStr">
        <is>
          <t>SC/PC</t>
        </is>
      </c>
      <c r="I621" s="2" t="inlineStr">
        <is>
          <t>SC/APC</t>
        </is>
      </c>
      <c r="J621" s="2" t="n"/>
      <c r="K621" s="2" t="n">
        <v>5</v>
      </c>
      <c r="L621" s="2" t="n"/>
      <c r="M621" s="2" t="n">
        <v>10</v>
      </c>
      <c r="N621" s="2" t="n">
        <v>2</v>
      </c>
      <c r="O621" s="2" t="n"/>
      <c r="P621" s="2" t="n"/>
      <c r="Q621" s="2" t="n"/>
      <c r="R621" s="2" t="n"/>
      <c r="S621" s="2" t="n"/>
      <c r="T621" s="2" t="n"/>
      <c r="U621" s="2" t="n"/>
      <c r="V621" s="2">
        <f>SUM(J621:U621)*G621</f>
        <v/>
      </c>
      <c r="W621" s="2">
        <f>MAX(J621:U621)</f>
        <v/>
      </c>
      <c r="X621" s="2">
        <f>W621*G621</f>
        <v/>
      </c>
    </row>
    <row r="622">
      <c r="A622" s="2" t="inlineStr">
        <is>
          <t>14-S-256</t>
        </is>
      </c>
      <c r="B622" s="3" t="inlineStr">
        <is>
          <t>SOJC-SM-SC/PC-SC/PC</t>
        </is>
      </c>
      <c r="C622" s="2" t="inlineStr">
        <is>
          <t>0.5M</t>
        </is>
      </c>
      <c r="D622" s="2" t="inlineStr">
        <is>
          <t>a1</t>
        </is>
      </c>
      <c r="E622" s="2" t="inlineStr">
        <is>
          <t>2.0mm</t>
        </is>
      </c>
      <c r="F622" s="2" t="n">
        <v>1</v>
      </c>
      <c r="G622" s="2" t="n">
        <v>0.5</v>
      </c>
      <c r="H622" s="2" t="inlineStr">
        <is>
          <t>SC/PC</t>
        </is>
      </c>
      <c r="I622" s="2" t="inlineStr">
        <is>
          <t>SC/PC</t>
        </is>
      </c>
      <c r="J622" s="2" t="n">
        <v>50</v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>
        <f>SUM(J622:U622)*G622</f>
        <v/>
      </c>
      <c r="W622" s="2">
        <f>MAX(J622:U622)</f>
        <v/>
      </c>
      <c r="X622" s="2">
        <f>W622*G622</f>
        <v/>
      </c>
    </row>
    <row r="623">
      <c r="A623" s="2" t="inlineStr">
        <is>
          <t>14-S-256</t>
        </is>
      </c>
      <c r="B623" s="3" t="inlineStr">
        <is>
          <t>SOJC-SM-SC/PC-SC/PC</t>
        </is>
      </c>
      <c r="C623" s="2" t="inlineStr">
        <is>
          <t>0.5M / B3 / 3MM</t>
        </is>
      </c>
      <c r="D623" s="2" t="inlineStr">
        <is>
          <t>b3</t>
        </is>
      </c>
      <c r="E623" s="2" t="inlineStr">
        <is>
          <t>3.0mm</t>
        </is>
      </c>
      <c r="F623" s="2" t="n">
        <v>1</v>
      </c>
      <c r="G623" s="2" t="n">
        <v>0.5</v>
      </c>
      <c r="H623" s="2" t="inlineStr">
        <is>
          <t>SC/PC</t>
        </is>
      </c>
      <c r="I623" s="2" t="inlineStr">
        <is>
          <t>SC/PC</t>
        </is>
      </c>
      <c r="J623" s="2" t="n"/>
      <c r="K623" s="2" t="n"/>
      <c r="L623" s="2" t="n"/>
      <c r="M623" s="2" t="n">
        <v>50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>
        <f>SUM(J623:U623)*G623</f>
        <v/>
      </c>
      <c r="W623" s="2">
        <f>MAX(J623:U623)</f>
        <v/>
      </c>
      <c r="X623" s="2">
        <f>W623*G623</f>
        <v/>
      </c>
    </row>
    <row r="624">
      <c r="A624" s="2" t="inlineStr">
        <is>
          <t>14-S-258</t>
        </is>
      </c>
      <c r="B624" s="3" t="inlineStr">
        <is>
          <t>SOJC-SM-SC/PC-SC/PC</t>
        </is>
      </c>
      <c r="C624" s="2" t="inlineStr">
        <is>
          <t>10M</t>
        </is>
      </c>
      <c r="D624" s="2" t="inlineStr">
        <is>
          <t>a1</t>
        </is>
      </c>
      <c r="E624" s="2" t="inlineStr">
        <is>
          <t>2.0mm</t>
        </is>
      </c>
      <c r="F624" s="2" t="n">
        <v>1</v>
      </c>
      <c r="G624" s="2" t="n">
        <v>10</v>
      </c>
      <c r="H624" s="2" t="inlineStr">
        <is>
          <t>SC/PC</t>
        </is>
      </c>
      <c r="I624" s="2" t="inlineStr">
        <is>
          <t>SC/PC</t>
        </is>
      </c>
      <c r="J624" s="2" t="n"/>
      <c r="K624" s="2" t="n"/>
      <c r="L624" s="2" t="n"/>
      <c r="M624" s="2" t="n"/>
      <c r="N624" s="2" t="n">
        <v>5</v>
      </c>
      <c r="O624" s="2" t="n"/>
      <c r="P624" s="2" t="n"/>
      <c r="Q624" s="2" t="n"/>
      <c r="R624" s="2" t="n"/>
      <c r="S624" s="2" t="n"/>
      <c r="T624" s="2" t="n"/>
      <c r="U624" s="2" t="n"/>
      <c r="V624" s="2">
        <f>SUM(J624:U624)*G624</f>
        <v/>
      </c>
      <c r="W624" s="2">
        <f>MAX(J624:U624)</f>
        <v/>
      </c>
      <c r="X624" s="2">
        <f>W624*G624</f>
        <v/>
      </c>
    </row>
    <row r="625">
      <c r="A625" s="2" t="inlineStr">
        <is>
          <t>14-S-260</t>
        </is>
      </c>
      <c r="B625" s="3" t="inlineStr">
        <is>
          <t>SOJC-SM-SC/PC-SC/PC</t>
        </is>
      </c>
      <c r="C625" s="2" t="inlineStr">
        <is>
          <t>15M</t>
        </is>
      </c>
      <c r="D625" s="2" t="inlineStr">
        <is>
          <t>a1</t>
        </is>
      </c>
      <c r="E625" s="2" t="inlineStr">
        <is>
          <t>2.0mm</t>
        </is>
      </c>
      <c r="F625" s="2" t="n">
        <v>1</v>
      </c>
      <c r="G625" s="2" t="n">
        <v>15</v>
      </c>
      <c r="H625" s="2" t="inlineStr">
        <is>
          <t>SC/PC</t>
        </is>
      </c>
      <c r="I625" s="2" t="inlineStr">
        <is>
          <t>SC/PC</t>
        </is>
      </c>
      <c r="J625" s="2" t="n"/>
      <c r="K625" s="2" t="n"/>
      <c r="L625" s="2" t="n"/>
      <c r="M625" s="2" t="n"/>
      <c r="N625" s="2" t="n">
        <v>5</v>
      </c>
      <c r="O625" s="2" t="n"/>
      <c r="P625" s="2" t="n"/>
      <c r="Q625" s="2" t="n"/>
      <c r="R625" s="2" t="n"/>
      <c r="S625" s="2" t="n"/>
      <c r="T625" s="2" t="n"/>
      <c r="U625" s="2" t="n"/>
      <c r="V625" s="2">
        <f>SUM(J625:U625)*G625</f>
        <v/>
      </c>
      <c r="W625" s="2">
        <f>MAX(J625:U625)</f>
        <v/>
      </c>
      <c r="X625" s="2">
        <f>W625*G625</f>
        <v/>
      </c>
    </row>
    <row r="626">
      <c r="A626" s="2" t="inlineStr">
        <is>
          <t>14-S-263</t>
        </is>
      </c>
      <c r="B626" s="3" t="inlineStr">
        <is>
          <t>SOJC-SM-SC/PC-SC/PC</t>
        </is>
      </c>
      <c r="C626" s="2" t="inlineStr">
        <is>
          <t>20M</t>
        </is>
      </c>
      <c r="D626" s="2" t="inlineStr">
        <is>
          <t>a1</t>
        </is>
      </c>
      <c r="E626" s="2" t="inlineStr">
        <is>
          <t>2.0mm</t>
        </is>
      </c>
      <c r="F626" s="2" t="n">
        <v>1</v>
      </c>
      <c r="G626" s="2" t="n">
        <v>20</v>
      </c>
      <c r="H626" s="2" t="inlineStr">
        <is>
          <t>SC/PC</t>
        </is>
      </c>
      <c r="I626" s="2" t="inlineStr">
        <is>
          <t>SC/PC</t>
        </is>
      </c>
      <c r="J626" s="2" t="n"/>
      <c r="K626" s="2" t="n"/>
      <c r="L626" s="2" t="n"/>
      <c r="M626" s="2" t="n"/>
      <c r="N626" s="2" t="n">
        <v>19</v>
      </c>
      <c r="O626" s="2" t="n"/>
      <c r="P626" s="2" t="n"/>
      <c r="Q626" s="2" t="n"/>
      <c r="R626" s="2" t="n"/>
      <c r="S626" s="2" t="n"/>
      <c r="T626" s="2" t="n"/>
      <c r="U626" s="2" t="n"/>
      <c r="V626" s="2">
        <f>SUM(J626:U626)*G626</f>
        <v/>
      </c>
      <c r="W626" s="2">
        <f>MAX(J626:U626)</f>
        <v/>
      </c>
      <c r="X626" s="2">
        <f>W626*G626</f>
        <v/>
      </c>
    </row>
    <row r="627">
      <c r="A627" s="2" t="inlineStr">
        <is>
          <t>14-S-268</t>
        </is>
      </c>
      <c r="B627" s="3" t="inlineStr">
        <is>
          <t>SOJC-SM-SC/PC-SC/PC</t>
        </is>
      </c>
      <c r="C627" s="2" t="inlineStr">
        <is>
          <t>3M</t>
        </is>
      </c>
      <c r="D627" s="2" t="inlineStr">
        <is>
          <t>a1</t>
        </is>
      </c>
      <c r="E627" s="2" t="inlineStr">
        <is>
          <t>2.0mm</t>
        </is>
      </c>
      <c r="F627" s="2" t="n">
        <v>1</v>
      </c>
      <c r="G627" s="2" t="n">
        <v>3</v>
      </c>
      <c r="H627" s="2" t="inlineStr">
        <is>
          <t>SC/PC</t>
        </is>
      </c>
      <c r="I627" s="2" t="inlineStr">
        <is>
          <t>SC/PC</t>
        </is>
      </c>
      <c r="J627" s="2" t="n"/>
      <c r="K627" s="2" t="n">
        <v>160</v>
      </c>
      <c r="L627" s="2" t="n">
        <v>100</v>
      </c>
      <c r="M627" s="2" t="n">
        <v>670</v>
      </c>
      <c r="N627" s="2" t="n">
        <v>20</v>
      </c>
      <c r="O627" s="2" t="n">
        <v>110</v>
      </c>
      <c r="P627" s="2" t="n">
        <v>50</v>
      </c>
      <c r="Q627" s="2" t="n">
        <v>125</v>
      </c>
      <c r="R627" s="2" t="n"/>
      <c r="S627" s="2" t="n"/>
      <c r="T627" s="2" t="n"/>
      <c r="U627" s="2" t="n"/>
      <c r="V627" s="2">
        <f>SUM(J627:U627)*G627</f>
        <v/>
      </c>
      <c r="W627" s="2">
        <f>MAX(J627:U627)</f>
        <v/>
      </c>
      <c r="X627" s="2">
        <f>W627*G627</f>
        <v/>
      </c>
    </row>
    <row r="628">
      <c r="A628" s="2" t="inlineStr">
        <is>
          <t>14-S-344</t>
        </is>
      </c>
      <c r="B628" s="3" t="inlineStr">
        <is>
          <t>SOJC-SM-LC/PC-LC/PC</t>
        </is>
      </c>
      <c r="C628" s="2" t="inlineStr">
        <is>
          <t>0.3M</t>
        </is>
      </c>
      <c r="D628" s="2" t="inlineStr">
        <is>
          <t>a1</t>
        </is>
      </c>
      <c r="E628" s="2" t="inlineStr">
        <is>
          <t>2.0mm</t>
        </is>
      </c>
      <c r="F628" s="2" t="n">
        <v>1</v>
      </c>
      <c r="G628" s="2" t="n">
        <v>0.3</v>
      </c>
      <c r="H628" s="2" t="inlineStr">
        <is>
          <t>LC/PC</t>
        </is>
      </c>
      <c r="I628" s="2" t="inlineStr">
        <is>
          <t>LC/PC</t>
        </is>
      </c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>
        <v>100</v>
      </c>
      <c r="V628" s="2">
        <f>SUM(J628:U628)*G628</f>
        <v/>
      </c>
      <c r="W628" s="2">
        <f>MAX(J628:U628)</f>
        <v/>
      </c>
      <c r="X628" s="2">
        <f>W628*G628</f>
        <v/>
      </c>
    </row>
    <row r="629">
      <c r="A629" s="2" t="inlineStr">
        <is>
          <t>14-S-382</t>
        </is>
      </c>
      <c r="B629" s="3" t="inlineStr">
        <is>
          <t>DOJC-MM(OM3)-LC/PC-LC/PC</t>
        </is>
      </c>
      <c r="C629" s="2" t="inlineStr">
        <is>
          <t>55M</t>
        </is>
      </c>
      <c r="D629" s="2" t="inlineStr">
        <is>
          <t>om3</t>
        </is>
      </c>
      <c r="E629" s="2" t="inlineStr">
        <is>
          <t>2.0mm</t>
        </is>
      </c>
      <c r="F629" s="2" t="n">
        <v>2</v>
      </c>
      <c r="G629" s="2" t="n">
        <v>55</v>
      </c>
      <c r="H629" s="2" t="inlineStr">
        <is>
          <t>LC/PC</t>
        </is>
      </c>
      <c r="I629" s="2" t="inlineStr">
        <is>
          <t>LC/PC</t>
        </is>
      </c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>
        <v>1</v>
      </c>
      <c r="U629" s="2" t="n"/>
      <c r="V629" s="2">
        <f>SUM(J629:U629)*G629</f>
        <v/>
      </c>
      <c r="W629" s="2">
        <f>MAX(J629:U629)</f>
        <v/>
      </c>
      <c r="X629" s="2">
        <f>W629*G629</f>
        <v/>
      </c>
    </row>
    <row r="630">
      <c r="A630" s="2" t="inlineStr">
        <is>
          <t>14-S-459</t>
        </is>
      </c>
      <c r="B630" s="3" t="inlineStr">
        <is>
          <t>SOJC-SM-LC/PC-FC/APC</t>
        </is>
      </c>
      <c r="C630" s="2" t="inlineStr">
        <is>
          <t>50M</t>
        </is>
      </c>
      <c r="D630" s="2" t="inlineStr">
        <is>
          <t>a1</t>
        </is>
      </c>
      <c r="E630" s="2" t="inlineStr">
        <is>
          <t>2.0mm</t>
        </is>
      </c>
      <c r="F630" s="2" t="n">
        <v>1</v>
      </c>
      <c r="G630" s="2" t="n">
        <v>50</v>
      </c>
      <c r="H630" s="2" t="inlineStr">
        <is>
          <t>LC/PC</t>
        </is>
      </c>
      <c r="I630" s="2" t="inlineStr">
        <is>
          <t>FC/APC</t>
        </is>
      </c>
      <c r="J630" s="2" t="n"/>
      <c r="K630" s="2" t="n"/>
      <c r="L630" s="2" t="n"/>
      <c r="M630" s="2" t="n"/>
      <c r="N630" s="2" t="n"/>
      <c r="O630" s="2" t="n"/>
      <c r="P630" s="2" t="n"/>
      <c r="Q630" s="2" t="n">
        <v>3</v>
      </c>
      <c r="R630" s="2" t="n"/>
      <c r="S630" s="2" t="n"/>
      <c r="T630" s="2" t="n"/>
      <c r="U630" s="2" t="n"/>
      <c r="V630" s="2">
        <f>SUM(J630:U630)*G630</f>
        <v/>
      </c>
      <c r="W630" s="2">
        <f>MAX(J630:U630)</f>
        <v/>
      </c>
      <c r="X630" s="2">
        <f>W630*G630</f>
        <v/>
      </c>
    </row>
    <row r="631">
      <c r="A631" s="2" t="inlineStr">
        <is>
          <t>14-S-472</t>
        </is>
      </c>
      <c r="B631" s="3" t="inlineStr">
        <is>
          <t>SOJC-SM-SC/APC-FC/PC</t>
        </is>
      </c>
      <c r="C631" s="2" t="inlineStr">
        <is>
          <t>1M</t>
        </is>
      </c>
      <c r="D631" s="2" t="inlineStr">
        <is>
          <t>a1</t>
        </is>
      </c>
      <c r="E631" s="2" t="inlineStr">
        <is>
          <t>2.0mm</t>
        </is>
      </c>
      <c r="F631" s="2" t="n">
        <v>1</v>
      </c>
      <c r="G631" s="2" t="n">
        <v>1</v>
      </c>
      <c r="H631" s="2" t="inlineStr">
        <is>
          <t>SC/APC</t>
        </is>
      </c>
      <c r="I631" s="2" t="inlineStr">
        <is>
          <t>FC/PC</t>
        </is>
      </c>
      <c r="J631" s="2" t="n"/>
      <c r="K631" s="2" t="n"/>
      <c r="L631" s="2" t="n"/>
      <c r="M631" s="2" t="n"/>
      <c r="N631" s="2" t="n"/>
      <c r="O631" s="2" t="n"/>
      <c r="P631" s="2" t="n">
        <v>2</v>
      </c>
      <c r="Q631" s="2" t="n"/>
      <c r="R631" s="2" t="n"/>
      <c r="S631" s="2" t="n"/>
      <c r="T631" s="2" t="n"/>
      <c r="U631" s="2" t="n"/>
      <c r="V631" s="2">
        <f>SUM(J631:U631)*G631</f>
        <v/>
      </c>
      <c r="W631" s="2">
        <f>MAX(J631:U631)</f>
        <v/>
      </c>
      <c r="X631" s="2">
        <f>W631*G631</f>
        <v/>
      </c>
    </row>
    <row r="632">
      <c r="A632" s="2" t="inlineStr">
        <is>
          <t>14-S-502</t>
        </is>
      </c>
      <c r="B632" s="3" t="inlineStr">
        <is>
          <t>SOJC-SM-LC/PC-LC/PC</t>
        </is>
      </c>
      <c r="C632" s="2" t="inlineStr">
        <is>
          <t>60M</t>
        </is>
      </c>
      <c r="D632" s="2" t="inlineStr">
        <is>
          <t>a1</t>
        </is>
      </c>
      <c r="E632" s="2" t="inlineStr">
        <is>
          <t>2.0mm</t>
        </is>
      </c>
      <c r="F632" s="2" t="n">
        <v>1</v>
      </c>
      <c r="G632" s="2" t="n">
        <v>60</v>
      </c>
      <c r="H632" s="2" t="inlineStr">
        <is>
          <t>LC/PC</t>
        </is>
      </c>
      <c r="I632" s="2" t="inlineStr">
        <is>
          <t>LC/PC</t>
        </is>
      </c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>
        <v>13</v>
      </c>
      <c r="U632" s="2" t="n"/>
      <c r="V632" s="2">
        <f>SUM(J632:U632)*G632</f>
        <v/>
      </c>
      <c r="W632" s="2">
        <f>MAX(J632:U632)</f>
        <v/>
      </c>
      <c r="X632" s="2">
        <f>W632*G632</f>
        <v/>
      </c>
    </row>
    <row r="633">
      <c r="A633" s="2" t="inlineStr">
        <is>
          <t>14-S-775</t>
        </is>
      </c>
      <c r="B633" s="3" t="inlineStr">
        <is>
          <t>SOJC-SM-LC/PC-FC/APC</t>
        </is>
      </c>
      <c r="C633" s="2" t="inlineStr">
        <is>
          <t>60M</t>
        </is>
      </c>
      <c r="D633" s="2" t="inlineStr">
        <is>
          <t>a1</t>
        </is>
      </c>
      <c r="E633" s="2" t="inlineStr">
        <is>
          <t>2.0mm</t>
        </is>
      </c>
      <c r="F633" s="2" t="n">
        <v>1</v>
      </c>
      <c r="G633" s="2" t="n">
        <v>60</v>
      </c>
      <c r="H633" s="2" t="inlineStr">
        <is>
          <t>LC/PC</t>
        </is>
      </c>
      <c r="I633" s="2" t="inlineStr">
        <is>
          <t>FC/APC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>
        <v>2</v>
      </c>
      <c r="U633" s="2" t="n"/>
      <c r="V633" s="2">
        <f>SUM(J633:U633)*G633</f>
        <v/>
      </c>
      <c r="W633" s="2">
        <f>MAX(J633:U633)</f>
        <v/>
      </c>
      <c r="X633" s="2">
        <f>W633*G633</f>
        <v/>
      </c>
    </row>
    <row r="634">
      <c r="A634" s="2" t="inlineStr">
        <is>
          <t>14-S-841</t>
        </is>
      </c>
      <c r="B634" s="3" t="inlineStr">
        <is>
          <t>SOJC-SM-LC/PC-SC/PC</t>
        </is>
      </c>
      <c r="C634" s="2" t="inlineStr">
        <is>
          <t>60M</t>
        </is>
      </c>
      <c r="D634" s="2" t="inlineStr">
        <is>
          <t>a1</t>
        </is>
      </c>
      <c r="E634" s="2" t="inlineStr">
        <is>
          <t>2.0mm</t>
        </is>
      </c>
      <c r="F634" s="2" t="n">
        <v>1</v>
      </c>
      <c r="G634" s="2" t="n">
        <v>60</v>
      </c>
      <c r="H634" s="2" t="inlineStr">
        <is>
          <t>LC/PC</t>
        </is>
      </c>
      <c r="I634" s="2" t="inlineStr">
        <is>
          <t>SC/PC</t>
        </is>
      </c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>
        <v>24</v>
      </c>
      <c r="U634" s="2" t="n"/>
      <c r="V634" s="2">
        <f>SUM(J634:U634)*G634</f>
        <v/>
      </c>
      <c r="W634" s="2">
        <f>MAX(J634:U634)</f>
        <v/>
      </c>
      <c r="X634" s="2">
        <f>W634*G634</f>
        <v/>
      </c>
    </row>
    <row r="635">
      <c r="A635" s="2" t="inlineStr">
        <is>
          <t>14-S-852</t>
        </is>
      </c>
      <c r="B635" s="3" t="inlineStr">
        <is>
          <t>OJC-A1-SC/SC-SM-3-PC/PC-SP</t>
        </is>
      </c>
      <c r="C635" s="2" t="inlineStr">
        <is>
          <t>K9088996_녹색</t>
        </is>
      </c>
      <c r="D635" s="2" t="inlineStr">
        <is>
          <t>a1-녹</t>
        </is>
      </c>
      <c r="E635" s="2" t="inlineStr">
        <is>
          <t>2.0mm</t>
        </is>
      </c>
      <c r="F635" s="2" t="n">
        <v>1</v>
      </c>
      <c r="G635" s="2" t="n">
        <v>3</v>
      </c>
      <c r="H635" s="2" t="inlineStr">
        <is>
          <t>SC/PC</t>
        </is>
      </c>
      <c r="I635" s="2" t="inlineStr">
        <is>
          <t>SC/PC</t>
        </is>
      </c>
      <c r="J635" s="2" t="n"/>
      <c r="K635" s="2" t="n"/>
      <c r="L635" s="2" t="n"/>
      <c r="M635" s="2" t="n"/>
      <c r="N635" s="2" t="n"/>
      <c r="O635" s="2" t="n"/>
      <c r="P635" s="2" t="n"/>
      <c r="Q635" s="2" t="n">
        <v>200</v>
      </c>
      <c r="R635" s="2" t="n"/>
      <c r="S635" s="2" t="n">
        <v>200</v>
      </c>
      <c r="T635" s="2" t="n">
        <v>100</v>
      </c>
      <c r="U635" s="2" t="n"/>
      <c r="V635" s="2">
        <f>SUM(J635:U635)*G635</f>
        <v/>
      </c>
      <c r="W635" s="2">
        <f>MAX(J635:U635)</f>
        <v/>
      </c>
      <c r="X635" s="2">
        <f>W635*G635</f>
        <v/>
      </c>
    </row>
    <row r="636">
      <c r="A636" s="2" t="inlineStr">
        <is>
          <t>14-S-852</t>
        </is>
      </c>
      <c r="B636" s="3" t="inlineStr">
        <is>
          <t>OJC-A1-SC/SC-SM-3-PC/PC-SP</t>
        </is>
      </c>
      <c r="C636" s="2" t="inlineStr">
        <is>
          <t>K9088996_녹색 포앤티</t>
        </is>
      </c>
      <c r="D636" s="2" t="inlineStr">
        <is>
          <t>a1-녹</t>
        </is>
      </c>
      <c r="E636" s="2" t="inlineStr">
        <is>
          <t>2.0mm</t>
        </is>
      </c>
      <c r="F636" s="2" t="n">
        <v>1</v>
      </c>
      <c r="G636" s="2" t="n">
        <v>3</v>
      </c>
      <c r="H636" s="2" t="inlineStr">
        <is>
          <t>SC/PC</t>
        </is>
      </c>
      <c r="I636" s="2" t="inlineStr">
        <is>
          <t>SC/PC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>
        <v>100</v>
      </c>
      <c r="S636" s="2" t="n"/>
      <c r="T636" s="2" t="n"/>
      <c r="U636" s="2" t="n"/>
      <c r="V636" s="2">
        <f>SUM(J636:U636)*G636</f>
        <v/>
      </c>
      <c r="W636" s="2">
        <f>MAX(J636:U636)</f>
        <v/>
      </c>
      <c r="X636" s="2">
        <f>W636*G636</f>
        <v/>
      </c>
    </row>
    <row r="637">
      <c r="A637" s="2" t="inlineStr">
        <is>
          <t>14-S-862</t>
        </is>
      </c>
      <c r="B637" s="3" t="inlineStr">
        <is>
          <t>OJC-A1-SC/LC-SM-2-APC/PC-SP</t>
        </is>
      </c>
      <c r="C637" s="2" t="inlineStr"/>
      <c r="D637" s="2" t="inlineStr">
        <is>
          <t>a1</t>
        </is>
      </c>
      <c r="E637" s="2" t="inlineStr">
        <is>
          <t>2.0mm</t>
        </is>
      </c>
      <c r="F637" s="2" t="n">
        <v>1</v>
      </c>
      <c r="G637" s="2" t="n">
        <v>2</v>
      </c>
      <c r="H637" s="2" t="inlineStr">
        <is>
          <t>SC/APC</t>
        </is>
      </c>
      <c r="I637" s="2" t="inlineStr">
        <is>
          <t>LC/PC</t>
        </is>
      </c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>
        <v>44</v>
      </c>
      <c r="V637" s="2">
        <f>SUM(J637:U637)*G637</f>
        <v/>
      </c>
      <c r="W637" s="2">
        <f>MAX(J637:U637)</f>
        <v/>
      </c>
      <c r="X637" s="2">
        <f>W637*G637</f>
        <v/>
      </c>
    </row>
    <row r="638">
      <c r="A638" s="2" t="inlineStr">
        <is>
          <t>14-S-A361</t>
        </is>
      </c>
      <c r="B638" s="3" t="inlineStr">
        <is>
          <t>SOJC-MM(OM3)-LC/PC-LC/PC</t>
        </is>
      </c>
      <c r="C638" s="2" t="inlineStr">
        <is>
          <t>1M</t>
        </is>
      </c>
      <c r="D638" s="2" t="inlineStr">
        <is>
          <t>om3</t>
        </is>
      </c>
      <c r="E638" s="2" t="inlineStr">
        <is>
          <t>2.0mm</t>
        </is>
      </c>
      <c r="F638" s="2" t="n">
        <v>1</v>
      </c>
      <c r="G638" s="2" t="n">
        <v>1</v>
      </c>
      <c r="H638" s="2" t="inlineStr">
        <is>
          <t>LC/PC</t>
        </is>
      </c>
      <c r="I638" s="2" t="inlineStr">
        <is>
          <t>LC/PC</t>
        </is>
      </c>
      <c r="J638" s="2" t="n"/>
      <c r="K638" s="2" t="n"/>
      <c r="L638" s="2" t="n"/>
      <c r="M638" s="2" t="n"/>
      <c r="N638" s="2" t="n"/>
      <c r="O638" s="2" t="n"/>
      <c r="P638" s="2" t="n"/>
      <c r="Q638" s="2" t="n">
        <v>1</v>
      </c>
      <c r="R638" s="2" t="n"/>
      <c r="S638" s="2" t="n"/>
      <c r="T638" s="2" t="n"/>
      <c r="U638" s="2" t="n"/>
      <c r="V638" s="2">
        <f>SUM(J638:U638)*G638</f>
        <v/>
      </c>
      <c r="W638" s="2">
        <f>MAX(J638:U638)</f>
        <v/>
      </c>
      <c r="X638" s="2">
        <f>W638*G638</f>
        <v/>
      </c>
    </row>
    <row r="639">
      <c r="A639" s="2" t="inlineStr">
        <is>
          <t>45-A-123</t>
        </is>
      </c>
      <c r="B639" s="3" t="inlineStr">
        <is>
          <t>MOJC-SM-6C</t>
        </is>
      </c>
      <c r="C639" s="2" t="inlineStr">
        <is>
          <t>커넥터 업체 별도 지정</t>
        </is>
      </c>
      <c r="D639" s="2" t="inlineStr">
        <is>
          <t>b3-6c</t>
        </is>
      </c>
      <c r="E639" s="2" t="inlineStr">
        <is>
          <t>2.0mm</t>
        </is>
      </c>
      <c r="F639" s="2" t="n">
        <v>6</v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>
        <v>3</v>
      </c>
      <c r="S639" s="2" t="n"/>
      <c r="T639" s="2" t="n"/>
      <c r="U639" s="2" t="n"/>
      <c r="V639" s="2">
        <f>SUM(J639:U639)*G639</f>
        <v/>
      </c>
      <c r="W639" s="2">
        <f>MAX(J639:U639)</f>
        <v/>
      </c>
      <c r="X639" s="2">
        <f>W639*G639</f>
        <v/>
      </c>
    </row>
    <row r="640">
      <c r="A640" s="2" t="inlineStr">
        <is>
          <t>A14-D-FA/FA-B-N-009</t>
        </is>
      </c>
      <c r="B640" s="3" t="inlineStr">
        <is>
          <t>DOJC-SM-FC/APC-FC/APC</t>
        </is>
      </c>
      <c r="C640" s="2" t="inlineStr">
        <is>
          <t>908040648, 3M, B3, 3.0mm</t>
        </is>
      </c>
      <c r="D640" s="2" t="inlineStr">
        <is>
          <t>b3</t>
        </is>
      </c>
      <c r="E640" s="2" t="inlineStr">
        <is>
          <t>3.0mm</t>
        </is>
      </c>
      <c r="F640" s="2" t="n">
        <v>2</v>
      </c>
      <c r="G640" s="2" t="n">
        <v>3</v>
      </c>
      <c r="H640" s="2" t="inlineStr">
        <is>
          <t>FC/APC</t>
        </is>
      </c>
      <c r="I640" s="2" t="inlineStr">
        <is>
          <t>FC/APC</t>
        </is>
      </c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>
        <v>10</v>
      </c>
      <c r="U640" s="2" t="n"/>
      <c r="V640" s="2">
        <f>SUM(J640:U640)*G640</f>
        <v/>
      </c>
      <c r="W640" s="2">
        <f>MAX(J640:U640)</f>
        <v/>
      </c>
      <c r="X640" s="2">
        <f>W640*G640</f>
        <v/>
      </c>
    </row>
    <row r="641">
      <c r="A641" s="2" t="inlineStr">
        <is>
          <t>A14-D-FP/FA-B-N-001</t>
        </is>
      </c>
      <c r="B641" s="3" t="inlineStr">
        <is>
          <t>DOJC-SM-FC/PC-FC/APC</t>
        </is>
      </c>
      <c r="C641" s="2" t="inlineStr">
        <is>
          <t>908040627, 10M, B3, 2.0mm</t>
        </is>
      </c>
      <c r="D641" s="2" t="inlineStr">
        <is>
          <t>b3</t>
        </is>
      </c>
      <c r="E641" s="2" t="inlineStr">
        <is>
          <t>2.0mm</t>
        </is>
      </c>
      <c r="F641" s="2" t="n">
        <v>2</v>
      </c>
      <c r="G641" s="2" t="n">
        <v>10</v>
      </c>
      <c r="H641" s="2" t="inlineStr">
        <is>
          <t>FC/PC</t>
        </is>
      </c>
      <c r="I641" s="2" t="inlineStr">
        <is>
          <t>FC/APC</t>
        </is>
      </c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>
        <v>10</v>
      </c>
      <c r="U641" s="2" t="n"/>
      <c r="V641" s="2">
        <f>SUM(J641:U641)*G641</f>
        <v/>
      </c>
      <c r="W641" s="2">
        <f>MAX(J641:U641)</f>
        <v/>
      </c>
      <c r="X641" s="2">
        <f>W641*G641</f>
        <v/>
      </c>
    </row>
    <row r="642">
      <c r="A642" s="2" t="inlineStr">
        <is>
          <t>A14-D-FP/FA-B-N-004</t>
        </is>
      </c>
      <c r="B642" s="3" t="inlineStr">
        <is>
          <t>DOJC-SM-FC/PC-FC/APC</t>
        </is>
      </c>
      <c r="C642" s="2" t="inlineStr">
        <is>
          <t>908040637, 20M, B3, 2.0mm</t>
        </is>
      </c>
      <c r="D642" s="2" t="inlineStr">
        <is>
          <t>b3</t>
        </is>
      </c>
      <c r="E642" s="2" t="inlineStr">
        <is>
          <t>2.0mm</t>
        </is>
      </c>
      <c r="F642" s="2" t="n">
        <v>2</v>
      </c>
      <c r="G642" s="2" t="n">
        <v>20</v>
      </c>
      <c r="H642" s="2" t="inlineStr">
        <is>
          <t>FC/PC</t>
        </is>
      </c>
      <c r="I642" s="2" t="inlineStr">
        <is>
          <t>FC/APC</t>
        </is>
      </c>
      <c r="J642" s="2" t="n"/>
      <c r="K642" s="2" t="n"/>
      <c r="L642" s="2" t="n">
        <v>10</v>
      </c>
      <c r="M642" s="2" t="n"/>
      <c r="N642" s="2" t="n"/>
      <c r="O642" s="2" t="n"/>
      <c r="P642" s="2" t="n"/>
      <c r="Q642" s="2" t="n">
        <v>10</v>
      </c>
      <c r="R642" s="2" t="n"/>
      <c r="S642" s="2" t="n"/>
      <c r="T642" s="2" t="n">
        <v>10</v>
      </c>
      <c r="U642" s="2" t="n"/>
      <c r="V642" s="2">
        <f>SUM(J642:U642)*G642</f>
        <v/>
      </c>
      <c r="W642" s="2">
        <f>MAX(J642:U642)</f>
        <v/>
      </c>
      <c r="X642" s="2">
        <f>W642*G642</f>
        <v/>
      </c>
    </row>
    <row r="643">
      <c r="A643" s="2" t="inlineStr">
        <is>
          <t>A14-D-FP/FA-B-N-005</t>
        </is>
      </c>
      <c r="B643" s="3" t="inlineStr">
        <is>
          <t>DOJC-SM-FC/PC-FC/APC</t>
        </is>
      </c>
      <c r="C643" s="2" t="inlineStr">
        <is>
          <t>908040642, 25M, B3, 2.0mm</t>
        </is>
      </c>
      <c r="D643" s="2" t="inlineStr">
        <is>
          <t>b3</t>
        </is>
      </c>
      <c r="E643" s="2" t="inlineStr">
        <is>
          <t>2.0mm</t>
        </is>
      </c>
      <c r="F643" s="2" t="n">
        <v>2</v>
      </c>
      <c r="G643" s="2" t="n">
        <v>25</v>
      </c>
      <c r="H643" s="2" t="inlineStr">
        <is>
          <t>FC/PC</t>
        </is>
      </c>
      <c r="I643" s="2" t="inlineStr">
        <is>
          <t>FC/APC</t>
        </is>
      </c>
      <c r="J643" s="2" t="n"/>
      <c r="K643" s="2" t="n"/>
      <c r="L643" s="2" t="n">
        <v>10</v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>
        <f>SUM(J643:U643)*G643</f>
        <v/>
      </c>
      <c r="W643" s="2">
        <f>MAX(J643:U643)</f>
        <v/>
      </c>
      <c r="X643" s="2">
        <f>W643*G643</f>
        <v/>
      </c>
    </row>
    <row r="644">
      <c r="A644" s="2" t="inlineStr">
        <is>
          <t>A14-D-FP/FA-B-N-007</t>
        </is>
      </c>
      <c r="B644" s="3" t="inlineStr">
        <is>
          <t>DOJC-SM-FC/PC-FC/APC</t>
        </is>
      </c>
      <c r="C644" s="2" t="inlineStr">
        <is>
          <t>908040647, 30M, B3, 2.0mm</t>
        </is>
      </c>
      <c r="D644" s="2" t="inlineStr">
        <is>
          <t>b3</t>
        </is>
      </c>
      <c r="E644" s="2" t="inlineStr">
        <is>
          <t>2.0mm</t>
        </is>
      </c>
      <c r="F644" s="2" t="n">
        <v>2</v>
      </c>
      <c r="G644" s="2" t="n">
        <v>30</v>
      </c>
      <c r="H644" s="2" t="inlineStr">
        <is>
          <t>FC/PC</t>
        </is>
      </c>
      <c r="I644" s="2" t="inlineStr">
        <is>
          <t>FC/APC</t>
        </is>
      </c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>
        <v>10</v>
      </c>
      <c r="U644" s="2" t="n"/>
      <c r="V644" s="2">
        <f>SUM(J644:U644)*G644</f>
        <v/>
      </c>
      <c r="W644" s="2">
        <f>MAX(J644:U644)</f>
        <v/>
      </c>
      <c r="X644" s="2">
        <f>W644*G644</f>
        <v/>
      </c>
    </row>
    <row r="645">
      <c r="A645" s="2" t="inlineStr">
        <is>
          <t>A14-D-FP/FA-B-N-010</t>
        </is>
      </c>
      <c r="B645" s="3" t="inlineStr">
        <is>
          <t>DOJC-SM-FC/PC-FC/APC</t>
        </is>
      </c>
      <c r="C645" s="2" t="inlineStr">
        <is>
          <t>908040622, 5M, B3, 3.0mm</t>
        </is>
      </c>
      <c r="D645" s="2" t="inlineStr">
        <is>
          <t>b3</t>
        </is>
      </c>
      <c r="E645" s="2" t="inlineStr">
        <is>
          <t>3.0mm</t>
        </is>
      </c>
      <c r="F645" s="2" t="n">
        <v>2</v>
      </c>
      <c r="G645" s="2" t="n">
        <v>5</v>
      </c>
      <c r="H645" s="2" t="inlineStr">
        <is>
          <t>FC/PC</t>
        </is>
      </c>
      <c r="I645" s="2" t="inlineStr">
        <is>
          <t>FC/APC</t>
        </is>
      </c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>
        <v>10</v>
      </c>
      <c r="U645" s="2" t="n"/>
      <c r="V645" s="2">
        <f>SUM(J645:U645)*G645</f>
        <v/>
      </c>
      <c r="W645" s="2">
        <f>MAX(J645:U645)</f>
        <v/>
      </c>
      <c r="X645" s="2">
        <f>W645*G645</f>
        <v/>
      </c>
    </row>
    <row r="646">
      <c r="A646" s="2" t="inlineStr">
        <is>
          <t>A14-D-FP/FP-B-N-004</t>
        </is>
      </c>
      <c r="B646" s="3" t="inlineStr">
        <is>
          <t>DOJC-SM-FC/PC-FC/PC</t>
        </is>
      </c>
      <c r="C646" s="2" t="inlineStr">
        <is>
          <t>908040607, 20M, B3, 2.0mm</t>
        </is>
      </c>
      <c r="D646" s="2" t="inlineStr">
        <is>
          <t>b3</t>
        </is>
      </c>
      <c r="E646" s="2" t="inlineStr">
        <is>
          <t>2.0mm</t>
        </is>
      </c>
      <c r="F646" s="2" t="n">
        <v>2</v>
      </c>
      <c r="G646" s="2" t="n">
        <v>20</v>
      </c>
      <c r="H646" s="2" t="inlineStr">
        <is>
          <t>FC/PC</t>
        </is>
      </c>
      <c r="I646" s="2" t="inlineStr">
        <is>
          <t>FC/PC</t>
        </is>
      </c>
      <c r="J646" s="2" t="n"/>
      <c r="K646" s="2" t="n"/>
      <c r="L646" s="2" t="n"/>
      <c r="M646" s="2" t="n"/>
      <c r="N646" s="2" t="n"/>
      <c r="O646" s="2" t="n"/>
      <c r="P646" s="2" t="n"/>
      <c r="Q646" s="2" t="n">
        <v>10</v>
      </c>
      <c r="R646" s="2" t="n"/>
      <c r="S646" s="2" t="n"/>
      <c r="T646" s="2" t="n"/>
      <c r="U646" s="2" t="n"/>
      <c r="V646" s="2">
        <f>SUM(J646:U646)*G646</f>
        <v/>
      </c>
      <c r="W646" s="2">
        <f>MAX(J646:U646)</f>
        <v/>
      </c>
      <c r="X646" s="2">
        <f>W646*G646</f>
        <v/>
      </c>
    </row>
    <row r="647">
      <c r="A647" s="2" t="inlineStr">
        <is>
          <t>A14-D-FP/FP-B-N-005</t>
        </is>
      </c>
      <c r="B647" s="3" t="inlineStr">
        <is>
          <t>DOJC-SM-FC/PC-FC/PC</t>
        </is>
      </c>
      <c r="C647" s="2" t="inlineStr">
        <is>
          <t>908040612, 25M, B3, 2.0mm</t>
        </is>
      </c>
      <c r="D647" s="2" t="inlineStr">
        <is>
          <t>b3</t>
        </is>
      </c>
      <c r="E647" s="2" t="inlineStr">
        <is>
          <t>2.0mm</t>
        </is>
      </c>
      <c r="F647" s="2" t="n">
        <v>2</v>
      </c>
      <c r="G647" s="2" t="n">
        <v>25</v>
      </c>
      <c r="H647" s="2" t="inlineStr">
        <is>
          <t>FC/PC</t>
        </is>
      </c>
      <c r="I647" s="2" t="inlineStr">
        <is>
          <t>FC/PC</t>
        </is>
      </c>
      <c r="J647" s="2" t="n"/>
      <c r="K647" s="2" t="n"/>
      <c r="L647" s="2" t="n"/>
      <c r="M647" s="2" t="n"/>
      <c r="N647" s="2" t="n">
        <v>30</v>
      </c>
      <c r="O647" s="2" t="n"/>
      <c r="P647" s="2" t="n"/>
      <c r="Q647" s="2" t="n"/>
      <c r="R647" s="2" t="n"/>
      <c r="S647" s="2" t="n"/>
      <c r="T647" s="2" t="n"/>
      <c r="U647" s="2" t="n"/>
      <c r="V647" s="2">
        <f>SUM(J647:U647)*G647</f>
        <v/>
      </c>
      <c r="W647" s="2">
        <f>MAX(J647:U647)</f>
        <v/>
      </c>
      <c r="X647" s="2">
        <f>W647*G647</f>
        <v/>
      </c>
    </row>
    <row r="648">
      <c r="A648" s="2" t="inlineStr">
        <is>
          <t>A14-D-FP/FP-B-N-006</t>
        </is>
      </c>
      <c r="B648" s="3" t="inlineStr">
        <is>
          <t>DOJC-SM-FC/PC-FC/PC</t>
        </is>
      </c>
      <c r="C648" s="2" t="inlineStr">
        <is>
          <t>908040590, 2M, B3, 3.0mm</t>
        </is>
      </c>
      <c r="D648" s="2" t="inlineStr">
        <is>
          <t>b3</t>
        </is>
      </c>
      <c r="E648" s="2" t="inlineStr">
        <is>
          <t>3.0mm</t>
        </is>
      </c>
      <c r="F648" s="2" t="n">
        <v>2</v>
      </c>
      <c r="G648" s="2" t="n">
        <v>2</v>
      </c>
      <c r="H648" s="2" t="inlineStr">
        <is>
          <t>FC/PC</t>
        </is>
      </c>
      <c r="I648" s="2" t="inlineStr">
        <is>
          <t>FC/PC</t>
        </is>
      </c>
      <c r="J648" s="2" t="n">
        <v>10</v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>
        <f>SUM(J648:U648)*G648</f>
        <v/>
      </c>
      <c r="W648" s="2">
        <f>MAX(J648:U648)</f>
        <v/>
      </c>
      <c r="X648" s="2">
        <f>W648*G648</f>
        <v/>
      </c>
    </row>
    <row r="649">
      <c r="A649" s="2" t="inlineStr">
        <is>
          <t>A14-D-FP/FP-B-N-008</t>
        </is>
      </c>
      <c r="B649" s="3" t="inlineStr">
        <is>
          <t>DOJC-SM-FC/PC-FC/PC</t>
        </is>
      </c>
      <c r="C649" s="2" t="inlineStr">
        <is>
          <t>908040588, 3M, B3, 3.0mm</t>
        </is>
      </c>
      <c r="D649" s="2" t="inlineStr">
        <is>
          <t>b3</t>
        </is>
      </c>
      <c r="E649" s="2" t="inlineStr">
        <is>
          <t>3.0mm</t>
        </is>
      </c>
      <c r="F649" s="2" t="n">
        <v>2</v>
      </c>
      <c r="G649" s="2" t="n">
        <v>3</v>
      </c>
      <c r="H649" s="2" t="inlineStr">
        <is>
          <t>FC/PC</t>
        </is>
      </c>
      <c r="I649" s="2" t="inlineStr">
        <is>
          <t>FC/PC</t>
        </is>
      </c>
      <c r="J649" s="2" t="n"/>
      <c r="K649" s="2" t="n"/>
      <c r="L649" s="2" t="n"/>
      <c r="M649" s="2" t="n"/>
      <c r="N649" s="2" t="n"/>
      <c r="O649" s="2" t="n">
        <v>10</v>
      </c>
      <c r="P649" s="2" t="n"/>
      <c r="Q649" s="2" t="n"/>
      <c r="R649" s="2" t="n"/>
      <c r="S649" s="2" t="n"/>
      <c r="T649" s="2" t="n"/>
      <c r="U649" s="2" t="n"/>
      <c r="V649" s="2">
        <f>SUM(J649:U649)*G649</f>
        <v/>
      </c>
      <c r="W649" s="2">
        <f>MAX(J649:U649)</f>
        <v/>
      </c>
      <c r="X649" s="2">
        <f>W649*G649</f>
        <v/>
      </c>
    </row>
    <row r="650">
      <c r="A650" s="2" t="inlineStr">
        <is>
          <t>A14-D-LA/LA-B-N-007</t>
        </is>
      </c>
      <c r="B650" s="3" t="inlineStr">
        <is>
          <t>DOJC-SM-LC/APC-LC/APC</t>
        </is>
      </c>
      <c r="C650" s="2" t="inlineStr">
        <is>
          <t>930003858, 5M, B3, 3.0mm</t>
        </is>
      </c>
      <c r="D650" s="2" t="inlineStr">
        <is>
          <t>b3</t>
        </is>
      </c>
      <c r="E650" s="2" t="inlineStr">
        <is>
          <t>3.0mm</t>
        </is>
      </c>
      <c r="F650" s="2" t="n">
        <v>2</v>
      </c>
      <c r="G650" s="2" t="n">
        <v>5</v>
      </c>
      <c r="H650" s="2" t="inlineStr">
        <is>
          <t>LC/APC</t>
        </is>
      </c>
      <c r="I650" s="2" t="inlineStr">
        <is>
          <t>LC/APC</t>
        </is>
      </c>
      <c r="J650" s="2" t="n"/>
      <c r="K650" s="2" t="n">
        <v>53</v>
      </c>
      <c r="L650" s="2" t="n"/>
      <c r="M650" s="2" t="n">
        <v>40</v>
      </c>
      <c r="N650" s="2" t="n">
        <v>30</v>
      </c>
      <c r="O650" s="2" t="n">
        <v>5</v>
      </c>
      <c r="P650" s="2" t="n">
        <v>40</v>
      </c>
      <c r="Q650" s="2" t="n"/>
      <c r="R650" s="2" t="n"/>
      <c r="S650" s="2" t="n"/>
      <c r="T650" s="2" t="n"/>
      <c r="U650" s="2" t="n"/>
      <c r="V650" s="2">
        <f>SUM(J650:U650)*G650</f>
        <v/>
      </c>
      <c r="W650" s="2">
        <f>MAX(J650:U650)</f>
        <v/>
      </c>
      <c r="X650" s="2">
        <f>W650*G650</f>
        <v/>
      </c>
    </row>
    <row r="651">
      <c r="A651" s="2" t="inlineStr">
        <is>
          <t>A14-D-LP/FA-B-N-004</t>
        </is>
      </c>
      <c r="B651" s="3" t="inlineStr">
        <is>
          <t>DOJC-SM-LC/PC-FC/APC</t>
        </is>
      </c>
      <c r="C651" s="2" t="inlineStr">
        <is>
          <t>908040524, 1M, B3, 3.0mm</t>
        </is>
      </c>
      <c r="D651" s="2" t="inlineStr">
        <is>
          <t>b3</t>
        </is>
      </c>
      <c r="E651" s="2" t="inlineStr">
        <is>
          <t>3.0mm</t>
        </is>
      </c>
      <c r="F651" s="2" t="n">
        <v>2</v>
      </c>
      <c r="G651" s="2" t="n">
        <v>1</v>
      </c>
      <c r="H651" s="2" t="inlineStr">
        <is>
          <t>LC/PC</t>
        </is>
      </c>
      <c r="I651" s="2" t="inlineStr">
        <is>
          <t>FC/APC</t>
        </is>
      </c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>
        <v>2</v>
      </c>
      <c r="U651" s="2" t="n"/>
      <c r="V651" s="2">
        <f>SUM(J651:U651)*G651</f>
        <v/>
      </c>
      <c r="W651" s="2">
        <f>MAX(J651:U651)</f>
        <v/>
      </c>
      <c r="X651" s="2">
        <f>W651*G651</f>
        <v/>
      </c>
    </row>
    <row r="652">
      <c r="A652" s="2" t="inlineStr">
        <is>
          <t>A14-D-LP/FP-B-N-007</t>
        </is>
      </c>
      <c r="B652" s="3" t="inlineStr">
        <is>
          <t>DOJC-SM-LC/PC-FC/PC</t>
        </is>
      </c>
      <c r="C652" s="2" t="inlineStr">
        <is>
          <t>908040715, 2M, B3, 3.0mm</t>
        </is>
      </c>
      <c r="D652" s="2" t="inlineStr">
        <is>
          <t>b3</t>
        </is>
      </c>
      <c r="E652" s="2" t="inlineStr">
        <is>
          <t>3.0mm</t>
        </is>
      </c>
      <c r="F652" s="2" t="n">
        <v>2</v>
      </c>
      <c r="G652" s="2" t="n">
        <v>2</v>
      </c>
      <c r="H652" s="2" t="inlineStr">
        <is>
          <t>LC/PC</t>
        </is>
      </c>
      <c r="I652" s="2" t="inlineStr">
        <is>
          <t>FC/PC</t>
        </is>
      </c>
      <c r="J652" s="2" t="n">
        <v>5</v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>
        <f>SUM(J652:U652)*G652</f>
        <v/>
      </c>
      <c r="W652" s="2">
        <f>MAX(J652:U652)</f>
        <v/>
      </c>
      <c r="X652" s="2">
        <f>W652*G652</f>
        <v/>
      </c>
    </row>
    <row r="653">
      <c r="A653" s="2" t="inlineStr">
        <is>
          <t>A14-D-LP/FP-B-N-009</t>
        </is>
      </c>
      <c r="B653" s="3" t="inlineStr">
        <is>
          <t>DOJC-SM-LC/PC-FC/PC</t>
        </is>
      </c>
      <c r="C653" s="2" t="inlineStr">
        <is>
          <t>908040713, 3M, B3, 3.0mm</t>
        </is>
      </c>
      <c r="D653" s="2" t="inlineStr">
        <is>
          <t>b3</t>
        </is>
      </c>
      <c r="E653" s="2" t="inlineStr">
        <is>
          <t>3.0mm</t>
        </is>
      </c>
      <c r="F653" s="2" t="n">
        <v>2</v>
      </c>
      <c r="G653" s="2" t="n">
        <v>3</v>
      </c>
      <c r="H653" s="2" t="inlineStr">
        <is>
          <t>LC/PC</t>
        </is>
      </c>
      <c r="I653" s="2" t="inlineStr">
        <is>
          <t>FC/PC</t>
        </is>
      </c>
      <c r="J653" s="2" t="n">
        <v>3</v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>
        <f>SUM(J653:U653)*G653</f>
        <v/>
      </c>
      <c r="W653" s="2">
        <f>MAX(J653:U653)</f>
        <v/>
      </c>
      <c r="X653" s="2">
        <f>W653*G653</f>
        <v/>
      </c>
    </row>
    <row r="654">
      <c r="A654" s="2" t="inlineStr">
        <is>
          <t>A14-D-LP/FP-B-N-012</t>
        </is>
      </c>
      <c r="B654" s="3" t="inlineStr">
        <is>
          <t>DOJC-SM-LC/PC-FC/PC</t>
        </is>
      </c>
      <c r="C654" s="2" t="inlineStr">
        <is>
          <t>908040719, 7M, B3, 2.0mm</t>
        </is>
      </c>
      <c r="D654" s="2" t="inlineStr">
        <is>
          <t>b3</t>
        </is>
      </c>
      <c r="E654" s="2" t="inlineStr">
        <is>
          <t>2.0mm</t>
        </is>
      </c>
      <c r="F654" s="2" t="n">
        <v>2</v>
      </c>
      <c r="G654" s="2" t="n">
        <v>7</v>
      </c>
      <c r="H654" s="2" t="inlineStr">
        <is>
          <t>LC/PC</t>
        </is>
      </c>
      <c r="I654" s="2" t="inlineStr">
        <is>
          <t>FC/PC</t>
        </is>
      </c>
      <c r="J654" s="2" t="n"/>
      <c r="K654" s="2" t="n"/>
      <c r="L654" s="2" t="n"/>
      <c r="M654" s="2" t="n"/>
      <c r="N654" s="2" t="n">
        <v>10</v>
      </c>
      <c r="O654" s="2" t="n"/>
      <c r="P654" s="2" t="n"/>
      <c r="Q654" s="2" t="n"/>
      <c r="R654" s="2" t="n"/>
      <c r="S654" s="2" t="n"/>
      <c r="T654" s="2" t="n"/>
      <c r="U654" s="2" t="n"/>
      <c r="V654" s="2">
        <f>SUM(J654:U654)*G654</f>
        <v/>
      </c>
      <c r="W654" s="2">
        <f>MAX(J654:U654)</f>
        <v/>
      </c>
      <c r="X654" s="2">
        <f>W654*G654</f>
        <v/>
      </c>
    </row>
    <row r="655">
      <c r="A655" s="2" t="inlineStr">
        <is>
          <t>A14-D-LP/LP-B-N-002</t>
        </is>
      </c>
      <c r="B655" s="3" t="inlineStr">
        <is>
          <t>DOJC-SM-LC/PC-LC/PC</t>
        </is>
      </c>
      <c r="C655" s="2" t="inlineStr">
        <is>
          <t>908040693, 11M, B3, 2.0mm</t>
        </is>
      </c>
      <c r="D655" s="2" t="inlineStr">
        <is>
          <t>b3</t>
        </is>
      </c>
      <c r="E655" s="2" t="inlineStr">
        <is>
          <t>2.0mm</t>
        </is>
      </c>
      <c r="F655" s="2" t="n">
        <v>2</v>
      </c>
      <c r="G655" s="2" t="n">
        <v>11</v>
      </c>
      <c r="H655" s="2" t="inlineStr">
        <is>
          <t>LC/PC</t>
        </is>
      </c>
      <c r="I655" s="2" t="inlineStr">
        <is>
          <t>LC/PC</t>
        </is>
      </c>
      <c r="J655" s="2" t="n"/>
      <c r="K655" s="2" t="n"/>
      <c r="L655" s="2" t="n"/>
      <c r="M655" s="2" t="n">
        <v>20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>
        <f>SUM(J655:U655)*G655</f>
        <v/>
      </c>
      <c r="W655" s="2">
        <f>MAX(J655:U655)</f>
        <v/>
      </c>
      <c r="X655" s="2">
        <f>W655*G655</f>
        <v/>
      </c>
    </row>
    <row r="656">
      <c r="A656" s="2" t="inlineStr">
        <is>
          <t>A14-D-LP/LP-B-N-019</t>
        </is>
      </c>
      <c r="B656" s="3" t="inlineStr">
        <is>
          <t>DOJC-SM-LC/PC-LC/PC</t>
        </is>
      </c>
      <c r="C656" s="2" t="inlineStr">
        <is>
          <t>908041005, 9M, B3, 2.0mm</t>
        </is>
      </c>
      <c r="D656" s="2" t="inlineStr">
        <is>
          <t>b3</t>
        </is>
      </c>
      <c r="E656" s="2" t="inlineStr">
        <is>
          <t>2.0mm</t>
        </is>
      </c>
      <c r="F656" s="2" t="n">
        <v>2</v>
      </c>
      <c r="G656" s="2" t="n">
        <v>9</v>
      </c>
      <c r="H656" s="2" t="inlineStr">
        <is>
          <t>LC/PC</t>
        </is>
      </c>
      <c r="I656" s="2" t="inlineStr">
        <is>
          <t>LC/PC</t>
        </is>
      </c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>
        <v>20</v>
      </c>
      <c r="U656" s="2" t="n"/>
      <c r="V656" s="2">
        <f>SUM(J656:U656)*G656</f>
        <v/>
      </c>
      <c r="W656" s="2">
        <f>MAX(J656:U656)</f>
        <v/>
      </c>
      <c r="X656" s="2">
        <f>W656*G656</f>
        <v/>
      </c>
    </row>
    <row r="657">
      <c r="A657" s="2" t="inlineStr">
        <is>
          <t>A14-D-LP/LP-B-N-020</t>
        </is>
      </c>
      <c r="B657" s="3" t="inlineStr">
        <is>
          <t>DOJC-SM-LC/PC-LC/PC</t>
        </is>
      </c>
      <c r="C657" s="2" t="inlineStr">
        <is>
          <t>45M, B3, 2.0mm</t>
        </is>
      </c>
      <c r="D657" s="2" t="inlineStr">
        <is>
          <t>b3</t>
        </is>
      </c>
      <c r="E657" s="2" t="inlineStr">
        <is>
          <t>2.0mm</t>
        </is>
      </c>
      <c r="F657" s="2" t="n">
        <v>2</v>
      </c>
      <c r="G657" s="2" t="n">
        <v>45</v>
      </c>
      <c r="H657" s="2" t="inlineStr">
        <is>
          <t>LC/PC</t>
        </is>
      </c>
      <c r="I657" s="2" t="inlineStr">
        <is>
          <t>LC/PC</t>
        </is>
      </c>
      <c r="J657" s="2" t="n"/>
      <c r="K657" s="2" t="n"/>
      <c r="L657" s="2" t="n"/>
      <c r="M657" s="2" t="n"/>
      <c r="N657" s="2" t="n"/>
      <c r="O657" s="2" t="n"/>
      <c r="P657" s="2" t="n">
        <v>10</v>
      </c>
      <c r="Q657" s="2" t="n"/>
      <c r="R657" s="2" t="n"/>
      <c r="S657" s="2" t="n"/>
      <c r="T657" s="2" t="n"/>
      <c r="U657" s="2" t="n"/>
      <c r="V657" s="2">
        <f>SUM(J657:U657)*G657</f>
        <v/>
      </c>
      <c r="W657" s="2">
        <f>MAX(J657:U657)</f>
        <v/>
      </c>
      <c r="X657" s="2">
        <f>W657*G657</f>
        <v/>
      </c>
    </row>
    <row r="658">
      <c r="A658" s="2" t="inlineStr">
        <is>
          <t>A14-D-LP/SA-B-N-012</t>
        </is>
      </c>
      <c r="B658" s="3" t="inlineStr">
        <is>
          <t>DOJC-SM-LC/PC-SC/APC</t>
        </is>
      </c>
      <c r="C658" s="2" t="inlineStr">
        <is>
          <t>908040912, 6M, B3, 2.0mm</t>
        </is>
      </c>
      <c r="D658" s="2" t="inlineStr">
        <is>
          <t>b3</t>
        </is>
      </c>
      <c r="E658" s="2" t="inlineStr">
        <is>
          <t>2.0mm</t>
        </is>
      </c>
      <c r="F658" s="2" t="n">
        <v>2</v>
      </c>
      <c r="G658" s="2" t="n">
        <v>6</v>
      </c>
      <c r="H658" s="2" t="inlineStr">
        <is>
          <t>LC/PC</t>
        </is>
      </c>
      <c r="I658" s="2" t="inlineStr">
        <is>
          <t>SC/APC</t>
        </is>
      </c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>
        <v>10</v>
      </c>
      <c r="V658" s="2">
        <f>SUM(J658:U658)*G658</f>
        <v/>
      </c>
      <c r="W658" s="2">
        <f>MAX(J658:U658)</f>
        <v/>
      </c>
      <c r="X658" s="2">
        <f>W658*G658</f>
        <v/>
      </c>
    </row>
    <row r="659">
      <c r="A659" s="2" t="inlineStr">
        <is>
          <t>A14-D-LP/SA-B-N-014</t>
        </is>
      </c>
      <c r="B659" s="3" t="inlineStr">
        <is>
          <t>DOJC-SM-LC/PC-SC/APC</t>
        </is>
      </c>
      <c r="C659" s="2" t="inlineStr">
        <is>
          <t>908040914, 8M, B3, 2.0mm</t>
        </is>
      </c>
      <c r="D659" s="2" t="inlineStr">
        <is>
          <t>b3</t>
        </is>
      </c>
      <c r="E659" s="2" t="inlineStr">
        <is>
          <t>2.0mm</t>
        </is>
      </c>
      <c r="F659" s="2" t="n">
        <v>2</v>
      </c>
      <c r="G659" s="2" t="n">
        <v>8</v>
      </c>
      <c r="H659" s="2" t="inlineStr">
        <is>
          <t>LC/PC</t>
        </is>
      </c>
      <c r="I659" s="2" t="inlineStr">
        <is>
          <t>SC/APC</t>
        </is>
      </c>
      <c r="J659" s="2" t="n"/>
      <c r="K659" s="2" t="n"/>
      <c r="L659" s="2" t="n">
        <v>2</v>
      </c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>
        <f>SUM(J659:U659)*G659</f>
        <v/>
      </c>
      <c r="W659" s="2">
        <f>MAX(J659:U659)</f>
        <v/>
      </c>
      <c r="X659" s="2">
        <f>W659*G659</f>
        <v/>
      </c>
    </row>
    <row r="660">
      <c r="A660" s="2" t="inlineStr">
        <is>
          <t>A14-D-LP/SP-1-N-007</t>
        </is>
      </c>
      <c r="B660" s="3" t="inlineStr">
        <is>
          <t>DOJC-MM-LC/PC-SC/PC</t>
        </is>
      </c>
      <c r="C660" s="2" t="inlineStr">
        <is>
          <t>908040764, 1M</t>
        </is>
      </c>
      <c r="D660" s="2" t="inlineStr">
        <is>
          <t>om1</t>
        </is>
      </c>
      <c r="E660" s="2" t="inlineStr">
        <is>
          <t>2.0mm</t>
        </is>
      </c>
      <c r="F660" s="2" t="n">
        <v>2</v>
      </c>
      <c r="G660" s="2" t="n">
        <v>1</v>
      </c>
      <c r="H660" s="2" t="inlineStr">
        <is>
          <t>LC/PC</t>
        </is>
      </c>
      <c r="I660" s="2" t="inlineStr">
        <is>
          <t>SC/PC</t>
        </is>
      </c>
      <c r="J660" s="2" t="n"/>
      <c r="K660" s="2" t="n"/>
      <c r="L660" s="2" t="n"/>
      <c r="M660" s="2" t="n"/>
      <c r="N660" s="2" t="n"/>
      <c r="O660" s="2" t="n"/>
      <c r="P660" s="2" t="n"/>
      <c r="Q660" s="2" t="n">
        <v>1</v>
      </c>
      <c r="R660" s="2" t="n"/>
      <c r="S660" s="2" t="n"/>
      <c r="T660" s="2" t="n"/>
      <c r="U660" s="2" t="n"/>
      <c r="V660" s="2">
        <f>SUM(J660:U660)*G660</f>
        <v/>
      </c>
      <c r="W660" s="2">
        <f>MAX(J660:U660)</f>
        <v/>
      </c>
      <c r="X660" s="2">
        <f>W660*G660</f>
        <v/>
      </c>
    </row>
    <row r="661">
      <c r="A661" s="2" t="inlineStr">
        <is>
          <t>A14-D-LP/SP-1-N-013</t>
        </is>
      </c>
      <c r="B661" s="3" t="inlineStr">
        <is>
          <t>DOJC-MM-LC/PC-SC/PC</t>
        </is>
      </c>
      <c r="C661" s="2" t="inlineStr">
        <is>
          <t>908040792, 30M</t>
        </is>
      </c>
      <c r="D661" s="2" t="inlineStr">
        <is>
          <t>om1</t>
        </is>
      </c>
      <c r="E661" s="2" t="inlineStr">
        <is>
          <t>2.0mm</t>
        </is>
      </c>
      <c r="F661" s="2" t="n">
        <v>2</v>
      </c>
      <c r="G661" s="2" t="n">
        <v>30</v>
      </c>
      <c r="H661" s="2" t="inlineStr">
        <is>
          <t>LC/PC</t>
        </is>
      </c>
      <c r="I661" s="2" t="inlineStr">
        <is>
          <t>SC/PC</t>
        </is>
      </c>
      <c r="J661" s="2" t="n"/>
      <c r="K661" s="2" t="n"/>
      <c r="L661" s="2" t="n"/>
      <c r="M661" s="2" t="n"/>
      <c r="N661" s="2" t="n"/>
      <c r="O661" s="2" t="n"/>
      <c r="P661" s="2" t="n">
        <v>22</v>
      </c>
      <c r="Q661" s="2" t="n"/>
      <c r="R661" s="2" t="n"/>
      <c r="S661" s="2" t="n"/>
      <c r="T661" s="2" t="n"/>
      <c r="U661" s="2" t="n"/>
      <c r="V661" s="2">
        <f>SUM(J661:U661)*G661</f>
        <v/>
      </c>
      <c r="W661" s="2">
        <f>MAX(J661:U661)</f>
        <v/>
      </c>
      <c r="X661" s="2">
        <f>W661*G661</f>
        <v/>
      </c>
    </row>
    <row r="662">
      <c r="A662" s="2" t="inlineStr">
        <is>
          <t>A14-D-LP/SP-1-N-014</t>
        </is>
      </c>
      <c r="B662" s="3" t="inlineStr">
        <is>
          <t>DOJC-MM-LC/PC-SC/PC</t>
        </is>
      </c>
      <c r="C662" s="2" t="inlineStr">
        <is>
          <t>920000723, 35M</t>
        </is>
      </c>
      <c r="D662" s="2" t="inlineStr">
        <is>
          <t>om1</t>
        </is>
      </c>
      <c r="E662" s="2" t="inlineStr">
        <is>
          <t>2.0mm</t>
        </is>
      </c>
      <c r="F662" s="2" t="n">
        <v>2</v>
      </c>
      <c r="G662" s="2" t="n">
        <v>35</v>
      </c>
      <c r="H662" s="2" t="inlineStr">
        <is>
          <t>LC/PC</t>
        </is>
      </c>
      <c r="I662" s="2" t="inlineStr">
        <is>
          <t>SC/PC</t>
        </is>
      </c>
      <c r="J662" s="2" t="n"/>
      <c r="K662" s="2" t="n"/>
      <c r="L662" s="2" t="n">
        <v>1</v>
      </c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>
        <f>SUM(J662:U662)*G662</f>
        <v/>
      </c>
      <c r="W662" s="2">
        <f>MAX(J662:U662)</f>
        <v/>
      </c>
      <c r="X662" s="2">
        <f>W662*G662</f>
        <v/>
      </c>
    </row>
    <row r="663">
      <c r="A663" s="2" t="inlineStr">
        <is>
          <t>A14-D-LP/SP-B-N-004</t>
        </is>
      </c>
      <c r="B663" s="3" t="inlineStr">
        <is>
          <t>DOJC-SM-LC/PC-SC/PC</t>
        </is>
      </c>
      <c r="C663" s="2" t="inlineStr">
        <is>
          <t>908040860, 1M, B3, 3.0mm</t>
        </is>
      </c>
      <c r="D663" s="2" t="inlineStr">
        <is>
          <t>b3</t>
        </is>
      </c>
      <c r="E663" s="2" t="inlineStr">
        <is>
          <t>3.0mm</t>
        </is>
      </c>
      <c r="F663" s="2" t="n">
        <v>2</v>
      </c>
      <c r="G663" s="2" t="n">
        <v>1</v>
      </c>
      <c r="H663" s="2" t="inlineStr">
        <is>
          <t>LC/PC</t>
        </is>
      </c>
      <c r="I663" s="2" t="inlineStr">
        <is>
          <t>SC/PC</t>
        </is>
      </c>
      <c r="J663" s="2" t="n"/>
      <c r="K663" s="2" t="n"/>
      <c r="L663" s="2" t="n"/>
      <c r="M663" s="2" t="n"/>
      <c r="N663" s="2" t="n"/>
      <c r="O663" s="2" t="n"/>
      <c r="P663" s="2" t="n">
        <v>30</v>
      </c>
      <c r="Q663" s="2" t="n">
        <v>1</v>
      </c>
      <c r="R663" s="2" t="n"/>
      <c r="S663" s="2" t="n"/>
      <c r="T663" s="2" t="n">
        <v>40</v>
      </c>
      <c r="U663" s="2" t="n">
        <v>2</v>
      </c>
      <c r="V663" s="2">
        <f>SUM(J663:U663)*G663</f>
        <v/>
      </c>
      <c r="W663" s="2">
        <f>MAX(J663:U663)</f>
        <v/>
      </c>
      <c r="X663" s="2">
        <f>W663*G663</f>
        <v/>
      </c>
    </row>
    <row r="664">
      <c r="A664" s="2" t="inlineStr">
        <is>
          <t>A14-D-LP/SP-B-N-006</t>
        </is>
      </c>
      <c r="B664" s="3" t="inlineStr">
        <is>
          <t>DOJC-SM-LC/PC-SC/PC</t>
        </is>
      </c>
      <c r="C664" s="2" t="inlineStr">
        <is>
          <t>908040880, 22M, B3, 2.0mm</t>
        </is>
      </c>
      <c r="D664" s="2" t="inlineStr">
        <is>
          <t>b3</t>
        </is>
      </c>
      <c r="E664" s="2" t="inlineStr">
        <is>
          <t>2.0mm</t>
        </is>
      </c>
      <c r="F664" s="2" t="n">
        <v>2</v>
      </c>
      <c r="G664" s="2" t="n">
        <v>22</v>
      </c>
      <c r="H664" s="2" t="inlineStr">
        <is>
          <t>LC/PC</t>
        </is>
      </c>
      <c r="I664" s="2" t="inlineStr">
        <is>
          <t>SC/PC</t>
        </is>
      </c>
      <c r="J664" s="2" t="n"/>
      <c r="K664" s="2" t="n"/>
      <c r="L664" s="2" t="n"/>
      <c r="M664" s="2" t="n">
        <v>20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SUM(J664:U664)*G664</f>
        <v/>
      </c>
      <c r="W664" s="2">
        <f>MAX(J664:U664)</f>
        <v/>
      </c>
      <c r="X664" s="2">
        <f>W664*G664</f>
        <v/>
      </c>
    </row>
    <row r="665">
      <c r="A665" s="2" t="inlineStr">
        <is>
          <t>A14-D-LP/SP-B-N-010</t>
        </is>
      </c>
      <c r="B665" s="3" t="inlineStr">
        <is>
          <t>DOJC-SM-LC/PC-SC/PC</t>
        </is>
      </c>
      <c r="C665" s="2" t="inlineStr">
        <is>
          <t>920000728, 35M, B3, 2.0mm</t>
        </is>
      </c>
      <c r="D665" s="2" t="inlineStr">
        <is>
          <t>b3</t>
        </is>
      </c>
      <c r="E665" s="2" t="inlineStr">
        <is>
          <t>2.0mm</t>
        </is>
      </c>
      <c r="F665" s="2" t="n">
        <v>2</v>
      </c>
      <c r="G665" s="2" t="n">
        <v>35</v>
      </c>
      <c r="H665" s="2" t="inlineStr">
        <is>
          <t>LC/PC</t>
        </is>
      </c>
      <c r="I665" s="2" t="inlineStr">
        <is>
          <t>SC/PC</t>
        </is>
      </c>
      <c r="J665" s="2" t="n"/>
      <c r="K665" s="2" t="n">
        <v>200</v>
      </c>
      <c r="L665" s="2" t="n"/>
      <c r="M665" s="2" t="n"/>
      <c r="N665" s="2" t="n">
        <v>2</v>
      </c>
      <c r="O665" s="2" t="n"/>
      <c r="P665" s="2" t="n">
        <v>10</v>
      </c>
      <c r="Q665" s="2" t="n">
        <v>20</v>
      </c>
      <c r="R665" s="2" t="n">
        <v>10</v>
      </c>
      <c r="S665" s="2" t="n"/>
      <c r="T665" s="2" t="n"/>
      <c r="U665" s="2" t="n"/>
      <c r="V665" s="2">
        <f>SUM(J665:U665)*G665</f>
        <v/>
      </c>
      <c r="W665" s="2">
        <f>MAX(J665:U665)</f>
        <v/>
      </c>
      <c r="X665" s="2">
        <f>W665*G665</f>
        <v/>
      </c>
    </row>
    <row r="666">
      <c r="A666" s="2" t="inlineStr">
        <is>
          <t>A14-D-LP/SP-B-N-019</t>
        </is>
      </c>
      <c r="B666" s="3" t="inlineStr">
        <is>
          <t>DOJC-SM-LC/PC-SC/PC</t>
        </is>
      </c>
      <c r="C666" s="2" t="inlineStr">
        <is>
          <t>45M, B3, 2.0mm</t>
        </is>
      </c>
      <c r="D666" s="2" t="inlineStr">
        <is>
          <t>b3</t>
        </is>
      </c>
      <c r="E666" s="2" t="inlineStr">
        <is>
          <t>2.0mm</t>
        </is>
      </c>
      <c r="F666" s="2" t="n">
        <v>2</v>
      </c>
      <c r="G666" s="2" t="n">
        <v>45</v>
      </c>
      <c r="H666" s="2" t="inlineStr">
        <is>
          <t>LC/PC</t>
        </is>
      </c>
      <c r="I666" s="2" t="inlineStr">
        <is>
          <t>SC/PC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>
        <v>2</v>
      </c>
      <c r="V666" s="2">
        <f>SUM(J666:U666)*G666</f>
        <v/>
      </c>
      <c r="W666" s="2">
        <f>MAX(J666:U666)</f>
        <v/>
      </c>
      <c r="X666" s="2">
        <f>W666*G666</f>
        <v/>
      </c>
    </row>
    <row r="667">
      <c r="A667" s="2" t="inlineStr">
        <is>
          <t>A14-D-SA/FP-B-N-005</t>
        </is>
      </c>
      <c r="B667" s="3" t="inlineStr">
        <is>
          <t>DOJC-SM-SC/APC-FC/PC</t>
        </is>
      </c>
      <c r="C667" s="2" t="inlineStr">
        <is>
          <t>908040482, 20M, B3, 2.0mm</t>
        </is>
      </c>
      <c r="D667" s="2" t="inlineStr">
        <is>
          <t>b3</t>
        </is>
      </c>
      <c r="E667" s="2" t="inlineStr">
        <is>
          <t>2.0mm</t>
        </is>
      </c>
      <c r="F667" s="2" t="n">
        <v>2</v>
      </c>
      <c r="G667" s="2" t="n">
        <v>20</v>
      </c>
      <c r="H667" s="2" t="inlineStr">
        <is>
          <t>SC/APC</t>
        </is>
      </c>
      <c r="I667" s="2" t="inlineStr">
        <is>
          <t>FC/PC</t>
        </is>
      </c>
      <c r="J667" s="2" t="n"/>
      <c r="K667" s="2" t="n"/>
      <c r="L667" s="2" t="n"/>
      <c r="M667" s="2" t="n"/>
      <c r="N667" s="2" t="n"/>
      <c r="O667" s="2" t="n"/>
      <c r="P667" s="2" t="n"/>
      <c r="Q667" s="2" t="n">
        <v>5</v>
      </c>
      <c r="R667" s="2" t="n"/>
      <c r="S667" s="2" t="n"/>
      <c r="T667" s="2" t="n"/>
      <c r="U667" s="2" t="n"/>
      <c r="V667" s="2">
        <f>SUM(J667:U667)*G667</f>
        <v/>
      </c>
      <c r="W667" s="2">
        <f>MAX(J667:U667)</f>
        <v/>
      </c>
      <c r="X667" s="2">
        <f>W667*G667</f>
        <v/>
      </c>
    </row>
    <row r="668">
      <c r="A668" s="2" t="inlineStr">
        <is>
          <t>A14-D-SA/SA-B-N-006</t>
        </is>
      </c>
      <c r="B668" s="3" t="inlineStr">
        <is>
          <t>DOJC-SM-SC/APC-SC/APC</t>
        </is>
      </c>
      <c r="C668" s="2" t="inlineStr">
        <is>
          <t>908040560, 2M, B3, 3.0mm</t>
        </is>
      </c>
      <c r="D668" s="2" t="inlineStr">
        <is>
          <t>b3</t>
        </is>
      </c>
      <c r="E668" s="2" t="inlineStr">
        <is>
          <t>3.0mm</t>
        </is>
      </c>
      <c r="F668" s="2" t="n">
        <v>2</v>
      </c>
      <c r="G668" s="2" t="n">
        <v>2</v>
      </c>
      <c r="H668" s="2" t="inlineStr">
        <is>
          <t>SC/APC</t>
        </is>
      </c>
      <c r="I668" s="2" t="inlineStr">
        <is>
          <t>SC/APC</t>
        </is>
      </c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>
        <v>45</v>
      </c>
      <c r="U668" s="2" t="n"/>
      <c r="V668" s="2">
        <f>SUM(J668:U668)*G668</f>
        <v/>
      </c>
      <c r="W668" s="2">
        <f>MAX(J668:U668)</f>
        <v/>
      </c>
      <c r="X668" s="2">
        <f>W668*G668</f>
        <v/>
      </c>
    </row>
    <row r="669">
      <c r="A669" s="2" t="inlineStr">
        <is>
          <t>A14-D-SA/SA-B-N-011</t>
        </is>
      </c>
      <c r="B669" s="3" t="inlineStr">
        <is>
          <t>DOJC-SM-SC/APC-SC/APC</t>
        </is>
      </c>
      <c r="C669" s="2" t="inlineStr">
        <is>
          <t>908040563, 6M, B3, 2.0mm</t>
        </is>
      </c>
      <c r="D669" s="2" t="inlineStr">
        <is>
          <t>b3</t>
        </is>
      </c>
      <c r="E669" s="2" t="inlineStr">
        <is>
          <t>2.0mm</t>
        </is>
      </c>
      <c r="F669" s="2" t="n">
        <v>2</v>
      </c>
      <c r="G669" s="2" t="n">
        <v>6</v>
      </c>
      <c r="H669" s="2" t="inlineStr">
        <is>
          <t>SC/APC</t>
        </is>
      </c>
      <c r="I669" s="2" t="inlineStr">
        <is>
          <t>SC/APC</t>
        </is>
      </c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>
        <v>120</v>
      </c>
      <c r="T669" s="2" t="n"/>
      <c r="U669" s="2" t="n"/>
      <c r="V669" s="2">
        <f>SUM(J669:U669)*G669</f>
        <v/>
      </c>
      <c r="W669" s="2">
        <f>MAX(J669:U669)</f>
        <v/>
      </c>
      <c r="X669" s="2">
        <f>W669*G669</f>
        <v/>
      </c>
    </row>
    <row r="670">
      <c r="A670" s="2" t="inlineStr">
        <is>
          <t>A14-D-SP/FA-B-N-003</t>
        </is>
      </c>
      <c r="B670" s="3" t="inlineStr">
        <is>
          <t>DOJC-SM-SC/PC-FC/APC</t>
        </is>
      </c>
      <c r="C670" s="2" t="inlineStr">
        <is>
          <t>908040451, 19M, B3, 2.0mm</t>
        </is>
      </c>
      <c r="D670" s="2" t="inlineStr">
        <is>
          <t>b3</t>
        </is>
      </c>
      <c r="E670" s="2" t="inlineStr">
        <is>
          <t>2.0mm</t>
        </is>
      </c>
      <c r="F670" s="2" t="n">
        <v>2</v>
      </c>
      <c r="G670" s="2" t="n">
        <v>19</v>
      </c>
      <c r="H670" s="2" t="inlineStr">
        <is>
          <t>SC/PC</t>
        </is>
      </c>
      <c r="I670" s="2" t="inlineStr">
        <is>
          <t>FC/APC</t>
        </is>
      </c>
      <c r="J670" s="2" t="n">
        <v>15</v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>
        <f>SUM(J670:U670)*G670</f>
        <v/>
      </c>
      <c r="W670" s="2">
        <f>MAX(J670:U670)</f>
        <v/>
      </c>
      <c r="X670" s="2">
        <f>W670*G670</f>
        <v/>
      </c>
    </row>
    <row r="671">
      <c r="A671" s="2" t="inlineStr">
        <is>
          <t>A14-D-SP/FA-B-N-004</t>
        </is>
      </c>
      <c r="B671" s="3" t="inlineStr">
        <is>
          <t>DOJC-SM-SC/PC-FC/APC</t>
        </is>
      </c>
      <c r="C671" s="2" t="inlineStr">
        <is>
          <t>908040434, 1M, B3, 3.0mm</t>
        </is>
      </c>
      <c r="D671" s="2" t="inlineStr">
        <is>
          <t>b3</t>
        </is>
      </c>
      <c r="E671" s="2" t="inlineStr">
        <is>
          <t>3.0mm</t>
        </is>
      </c>
      <c r="F671" s="2" t="n">
        <v>2</v>
      </c>
      <c r="G671" s="2" t="n">
        <v>1</v>
      </c>
      <c r="H671" s="2" t="inlineStr">
        <is>
          <t>SC/PC</t>
        </is>
      </c>
      <c r="I671" s="2" t="inlineStr">
        <is>
          <t>FC/APC</t>
        </is>
      </c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>
        <v>2</v>
      </c>
      <c r="V671" s="2">
        <f>SUM(J671:U671)*G671</f>
        <v/>
      </c>
      <c r="W671" s="2">
        <f>MAX(J671:U671)</f>
        <v/>
      </c>
      <c r="X671" s="2">
        <f>W671*G671</f>
        <v/>
      </c>
    </row>
    <row r="672">
      <c r="A672" s="2" t="inlineStr">
        <is>
          <t>A14-D-SP/FP-B-N-003</t>
        </is>
      </c>
      <c r="B672" s="3" t="inlineStr">
        <is>
          <t>DOJC-SM-SC/PC-FC/PC</t>
        </is>
      </c>
      <c r="C672" s="2" t="inlineStr">
        <is>
          <t>908040679, 1M, B3, 3.0mm</t>
        </is>
      </c>
      <c r="D672" s="2" t="inlineStr">
        <is>
          <t>b3</t>
        </is>
      </c>
      <c r="E672" s="2" t="inlineStr">
        <is>
          <t>3.0mm</t>
        </is>
      </c>
      <c r="F672" s="2" t="n">
        <v>2</v>
      </c>
      <c r="G672" s="2" t="n">
        <v>1</v>
      </c>
      <c r="H672" s="2" t="inlineStr">
        <is>
          <t>SC/PC</t>
        </is>
      </c>
      <c r="I672" s="2" t="inlineStr">
        <is>
          <t>FC/PC</t>
        </is>
      </c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>
        <v>2</v>
      </c>
      <c r="V672" s="2">
        <f>SUM(J672:U672)*G672</f>
        <v/>
      </c>
      <c r="W672" s="2">
        <f>MAX(J672:U672)</f>
        <v/>
      </c>
      <c r="X672" s="2">
        <f>W672*G672</f>
        <v/>
      </c>
    </row>
    <row r="673">
      <c r="A673" s="2" t="inlineStr">
        <is>
          <t>A14-D-SP/FP-B-N-007</t>
        </is>
      </c>
      <c r="B673" s="3" t="inlineStr">
        <is>
          <t>DOJC-SM-SC/PC-FC/PC</t>
        </is>
      </c>
      <c r="C673" s="2" t="inlineStr">
        <is>
          <t>908040432, 30M, B3, 2.0mm</t>
        </is>
      </c>
      <c r="D673" s="2" t="inlineStr">
        <is>
          <t>b3</t>
        </is>
      </c>
      <c r="E673" s="2" t="inlineStr">
        <is>
          <t>2.0mm</t>
        </is>
      </c>
      <c r="F673" s="2" t="n">
        <v>2</v>
      </c>
      <c r="G673" s="2" t="n">
        <v>30</v>
      </c>
      <c r="H673" s="2" t="inlineStr">
        <is>
          <t>SC/PC</t>
        </is>
      </c>
      <c r="I673" s="2" t="inlineStr">
        <is>
          <t>FC/PC</t>
        </is>
      </c>
      <c r="J673" s="2" t="n"/>
      <c r="K673" s="2" t="n"/>
      <c r="L673" s="2" t="n"/>
      <c r="M673" s="2" t="n"/>
      <c r="N673" s="2" t="n"/>
      <c r="O673" s="2" t="n"/>
      <c r="P673" s="2" t="n">
        <v>10</v>
      </c>
      <c r="Q673" s="2" t="n"/>
      <c r="R673" s="2" t="n"/>
      <c r="S673" s="2" t="n"/>
      <c r="T673" s="2" t="n"/>
      <c r="U673" s="2" t="n"/>
      <c r="V673" s="2">
        <f>SUM(J673:U673)*G673</f>
        <v/>
      </c>
      <c r="W673" s="2">
        <f>MAX(J673:U673)</f>
        <v/>
      </c>
      <c r="X673" s="2">
        <f>W673*G673</f>
        <v/>
      </c>
    </row>
    <row r="674">
      <c r="A674" s="2" t="inlineStr">
        <is>
          <t>A14-D-SP/FP-B-N-012</t>
        </is>
      </c>
      <c r="B674" s="3" t="inlineStr">
        <is>
          <t>DOJC-SM-SC/PC-FC/PC</t>
        </is>
      </c>
      <c r="C674" s="2" t="inlineStr">
        <is>
          <t>908040684, 7M, B3, 2.0mm</t>
        </is>
      </c>
      <c r="D674" s="2" t="inlineStr">
        <is>
          <t>b3</t>
        </is>
      </c>
      <c r="E674" s="2" t="inlineStr">
        <is>
          <t>2.0mm</t>
        </is>
      </c>
      <c r="F674" s="2" t="n">
        <v>2</v>
      </c>
      <c r="G674" s="2" t="n">
        <v>7</v>
      </c>
      <c r="H674" s="2" t="inlineStr">
        <is>
          <t>SC/PC</t>
        </is>
      </c>
      <c r="I674" s="2" t="inlineStr">
        <is>
          <t>FC/PC</t>
        </is>
      </c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>
        <v>5</v>
      </c>
      <c r="T674" s="2" t="n"/>
      <c r="U674" s="2" t="n"/>
      <c r="V674" s="2">
        <f>SUM(J674:U674)*G674</f>
        <v/>
      </c>
      <c r="W674" s="2">
        <f>MAX(J674:U674)</f>
        <v/>
      </c>
      <c r="X674" s="2">
        <f>W674*G674</f>
        <v/>
      </c>
    </row>
    <row r="675">
      <c r="A675" s="2" t="inlineStr">
        <is>
          <t>A14-D-SP/SA-B-N-005</t>
        </is>
      </c>
      <c r="B675" s="3" t="inlineStr">
        <is>
          <t>DOJC-SM-SC/PC-SC/APC</t>
        </is>
      </c>
      <c r="C675" s="2" t="inlineStr">
        <is>
          <t>908040552, 25M, B3, 2.0mm</t>
        </is>
      </c>
      <c r="D675" s="2" t="inlineStr">
        <is>
          <t>b3</t>
        </is>
      </c>
      <c r="E675" s="2" t="inlineStr">
        <is>
          <t>2.0mm</t>
        </is>
      </c>
      <c r="F675" s="2" t="n">
        <v>2</v>
      </c>
      <c r="G675" s="2" t="n">
        <v>25</v>
      </c>
      <c r="H675" s="2" t="inlineStr">
        <is>
          <t>SC/PC</t>
        </is>
      </c>
      <c r="I675" s="2" t="inlineStr">
        <is>
          <t>SC/APC</t>
        </is>
      </c>
      <c r="J675" s="2" t="n"/>
      <c r="K675" s="2" t="n">
        <v>20</v>
      </c>
      <c r="L675" s="2" t="n">
        <v>5</v>
      </c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>
        <f>SUM(J675:U675)*G675</f>
        <v/>
      </c>
      <c r="W675" s="2">
        <f>MAX(J675:U675)</f>
        <v/>
      </c>
      <c r="X675" s="2">
        <f>W675*G675</f>
        <v/>
      </c>
    </row>
    <row r="676">
      <c r="A676" s="2" t="inlineStr">
        <is>
          <t>A14-D-SP/SA-B-N-008</t>
        </is>
      </c>
      <c r="B676" s="3" t="inlineStr">
        <is>
          <t>DOJC-SM-SC/PC-SC/APC</t>
        </is>
      </c>
      <c r="C676" s="2" t="inlineStr">
        <is>
          <t>908040557, 30M, B3, 2.0mm</t>
        </is>
      </c>
      <c r="D676" s="2" t="inlineStr">
        <is>
          <t>b3</t>
        </is>
      </c>
      <c r="E676" s="2" t="inlineStr">
        <is>
          <t>2.0mm</t>
        </is>
      </c>
      <c r="F676" s="2" t="n">
        <v>2</v>
      </c>
      <c r="G676" s="2" t="n">
        <v>30</v>
      </c>
      <c r="H676" s="2" t="inlineStr">
        <is>
          <t>SC/PC</t>
        </is>
      </c>
      <c r="I676" s="2" t="inlineStr">
        <is>
          <t>SC/APC</t>
        </is>
      </c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>
        <v>30</v>
      </c>
      <c r="U676" s="2" t="n"/>
      <c r="V676" s="2">
        <f>SUM(J676:U676)*G676</f>
        <v/>
      </c>
      <c r="W676" s="2">
        <f>MAX(J676:U676)</f>
        <v/>
      </c>
      <c r="X676" s="2">
        <f>W676*G676</f>
        <v/>
      </c>
    </row>
    <row r="677">
      <c r="A677" s="2" t="inlineStr">
        <is>
          <t>A14-D-SP/SA-B-N-014</t>
        </is>
      </c>
      <c r="B677" s="3" t="inlineStr">
        <is>
          <t>DOJC-SM-SC/PC-SC/APC</t>
        </is>
      </c>
      <c r="C677" s="2" t="inlineStr">
        <is>
          <t>908040258, 8M, B3, 2.0mm</t>
        </is>
      </c>
      <c r="D677" s="2" t="inlineStr">
        <is>
          <t>b3</t>
        </is>
      </c>
      <c r="E677" s="2" t="inlineStr">
        <is>
          <t>2.0mm</t>
        </is>
      </c>
      <c r="F677" s="2" t="n">
        <v>2</v>
      </c>
      <c r="G677" s="2" t="n">
        <v>8</v>
      </c>
      <c r="H677" s="2" t="inlineStr">
        <is>
          <t>SC/PC</t>
        </is>
      </c>
      <c r="I677" s="2" t="inlineStr">
        <is>
          <t>SC/APC</t>
        </is>
      </c>
      <c r="J677" s="2" t="n"/>
      <c r="K677" s="2" t="n"/>
      <c r="L677" s="2" t="n"/>
      <c r="M677" s="2" t="n"/>
      <c r="N677" s="2" t="n"/>
      <c r="O677" s="2" t="n"/>
      <c r="P677" s="2" t="n">
        <v>15</v>
      </c>
      <c r="Q677" s="2" t="n"/>
      <c r="R677" s="2" t="n"/>
      <c r="S677" s="2" t="n"/>
      <c r="T677" s="2" t="n"/>
      <c r="U677" s="2" t="n"/>
      <c r="V677" s="2">
        <f>SUM(J677:U677)*G677</f>
        <v/>
      </c>
      <c r="W677" s="2">
        <f>MAX(J677:U677)</f>
        <v/>
      </c>
      <c r="X677" s="2">
        <f>W677*G677</f>
        <v/>
      </c>
    </row>
    <row r="678">
      <c r="A678" s="2" t="inlineStr">
        <is>
          <t>A14-D-SP/SP-B-N-002</t>
        </is>
      </c>
      <c r="B678" s="3" t="inlineStr">
        <is>
          <t>DOJC-SM-SC/PC-SC/PC</t>
        </is>
      </c>
      <c r="C678" s="2" t="inlineStr">
        <is>
          <t>908040232, 12M, B3, 2.0mm</t>
        </is>
      </c>
      <c r="D678" s="2" t="inlineStr">
        <is>
          <t>b3</t>
        </is>
      </c>
      <c r="E678" s="2" t="inlineStr">
        <is>
          <t>2.0mm</t>
        </is>
      </c>
      <c r="F678" s="2" t="n">
        <v>2</v>
      </c>
      <c r="G678" s="2" t="n">
        <v>12</v>
      </c>
      <c r="H678" s="2" t="inlineStr">
        <is>
          <t>SC/PC</t>
        </is>
      </c>
      <c r="I678" s="2" t="inlineStr">
        <is>
          <t>SC/PC</t>
        </is>
      </c>
      <c r="J678" s="2" t="n"/>
      <c r="K678" s="2" t="n"/>
      <c r="L678" s="2" t="n"/>
      <c r="M678" s="2" t="n"/>
      <c r="N678" s="2" t="n"/>
      <c r="O678" s="2" t="n">
        <v>10</v>
      </c>
      <c r="P678" s="2" t="n"/>
      <c r="Q678" s="2" t="n"/>
      <c r="R678" s="2" t="n"/>
      <c r="S678" s="2" t="n"/>
      <c r="T678" s="2" t="n">
        <v>20</v>
      </c>
      <c r="U678" s="2" t="n"/>
      <c r="V678" s="2">
        <f>SUM(J678:U678)*G678</f>
        <v/>
      </c>
      <c r="W678" s="2">
        <f>MAX(J678:U678)</f>
        <v/>
      </c>
      <c r="X678" s="2">
        <f>W678*G678</f>
        <v/>
      </c>
    </row>
    <row r="679">
      <c r="A679" s="2" t="inlineStr">
        <is>
          <t>A14-D-SP/SP-B-N-015</t>
        </is>
      </c>
      <c r="B679" s="3" t="inlineStr">
        <is>
          <t>DOJC-SM-SC/PC-SC/PC</t>
        </is>
      </c>
      <c r="C679" s="2" t="inlineStr">
        <is>
          <t>908040227, 7M, B3, 2.0mm</t>
        </is>
      </c>
      <c r="D679" s="2" t="inlineStr">
        <is>
          <t>b3</t>
        </is>
      </c>
      <c r="E679" s="2" t="inlineStr">
        <is>
          <t>2.0mm</t>
        </is>
      </c>
      <c r="F679" s="2" t="n">
        <v>2</v>
      </c>
      <c r="G679" s="2" t="n">
        <v>7</v>
      </c>
      <c r="H679" s="2" t="inlineStr">
        <is>
          <t>SC/PC</t>
        </is>
      </c>
      <c r="I679" s="2" t="inlineStr">
        <is>
          <t>SC/PC</t>
        </is>
      </c>
      <c r="J679" s="2" t="n">
        <v>20</v>
      </c>
      <c r="K679" s="2" t="n"/>
      <c r="L679" s="2" t="n"/>
      <c r="M679" s="2" t="n">
        <v>30</v>
      </c>
      <c r="N679" s="2" t="n"/>
      <c r="O679" s="2" t="n"/>
      <c r="P679" s="2" t="n">
        <v>20</v>
      </c>
      <c r="Q679" s="2" t="n"/>
      <c r="R679" s="2" t="n"/>
      <c r="S679" s="2" t="n"/>
      <c r="T679" s="2" t="n"/>
      <c r="U679" s="2" t="n"/>
      <c r="V679" s="2">
        <f>SUM(J679:U679)*G679</f>
        <v/>
      </c>
      <c r="W679" s="2">
        <f>MAX(J679:U679)</f>
        <v/>
      </c>
      <c r="X679" s="2">
        <f>W679*G679</f>
        <v/>
      </c>
    </row>
    <row r="680">
      <c r="A680" s="2" t="inlineStr">
        <is>
          <t>A14-D1-N001</t>
        </is>
      </c>
      <c r="B680" s="3" t="inlineStr">
        <is>
          <t>DOJC-MM-LC/PC-LC/PC</t>
        </is>
      </c>
      <c r="C680" s="2" t="inlineStr">
        <is>
          <t>920000784, 2M</t>
        </is>
      </c>
      <c r="D680" s="2" t="inlineStr">
        <is>
          <t>om1</t>
        </is>
      </c>
      <c r="E680" s="2" t="inlineStr">
        <is>
          <t>2.0mm</t>
        </is>
      </c>
      <c r="F680" s="2" t="n">
        <v>2</v>
      </c>
      <c r="G680" s="2" t="n">
        <v>2</v>
      </c>
      <c r="H680" s="2" t="inlineStr">
        <is>
          <t>LC/PC</t>
        </is>
      </c>
      <c r="I680" s="2" t="inlineStr">
        <is>
          <t>LC/PC</t>
        </is>
      </c>
      <c r="J680" s="2" t="n"/>
      <c r="K680" s="2" t="n"/>
      <c r="L680" s="2" t="n">
        <v>1</v>
      </c>
      <c r="M680" s="2" t="n">
        <v>2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>
        <f>SUM(J680:U680)*G680</f>
        <v/>
      </c>
      <c r="W680" s="2">
        <f>MAX(J680:U680)</f>
        <v/>
      </c>
      <c r="X680" s="2">
        <f>W680*G680</f>
        <v/>
      </c>
    </row>
    <row r="681">
      <c r="A681" s="2" t="inlineStr">
        <is>
          <t>A14-D1-N002</t>
        </is>
      </c>
      <c r="B681" s="3" t="inlineStr">
        <is>
          <t>DOJC-MM-LC/PC-LC/PC</t>
        </is>
      </c>
      <c r="C681" s="2" t="inlineStr">
        <is>
          <t>920000812, 30M</t>
        </is>
      </c>
      <c r="D681" s="2" t="inlineStr">
        <is>
          <t>om1</t>
        </is>
      </c>
      <c r="E681" s="2" t="inlineStr">
        <is>
          <t>2.0mm</t>
        </is>
      </c>
      <c r="F681" s="2" t="n">
        <v>2</v>
      </c>
      <c r="G681" s="2" t="n">
        <v>30</v>
      </c>
      <c r="H681" s="2" t="inlineStr">
        <is>
          <t>LC/PC</t>
        </is>
      </c>
      <c r="I681" s="2" t="inlineStr">
        <is>
          <t>LC/PC</t>
        </is>
      </c>
      <c r="J681" s="2" t="n"/>
      <c r="K681" s="2" t="n"/>
      <c r="L681" s="2" t="n">
        <v>10</v>
      </c>
      <c r="M681" s="2" t="n">
        <v>10</v>
      </c>
      <c r="N681" s="2" t="n"/>
      <c r="O681" s="2" t="n"/>
      <c r="P681" s="2" t="n">
        <v>54</v>
      </c>
      <c r="Q681" s="2" t="n">
        <v>22</v>
      </c>
      <c r="R681" s="2" t="n"/>
      <c r="S681" s="2" t="n">
        <v>20</v>
      </c>
      <c r="T681" s="2" t="n">
        <v>10</v>
      </c>
      <c r="U681" s="2" t="n"/>
      <c r="V681" s="2">
        <f>SUM(J681:U681)*G681</f>
        <v/>
      </c>
      <c r="W681" s="2">
        <f>MAX(J681:U681)</f>
        <v/>
      </c>
      <c r="X681" s="2">
        <f>W681*G681</f>
        <v/>
      </c>
    </row>
    <row r="682">
      <c r="A682" s="2" t="inlineStr">
        <is>
          <t>A14-D1-N003</t>
        </is>
      </c>
      <c r="B682" s="3" t="inlineStr">
        <is>
          <t>DOJC-MM-LC/PC-LC/PC</t>
        </is>
      </c>
      <c r="C682" s="2" t="inlineStr">
        <is>
          <t>920000788, 6M</t>
        </is>
      </c>
      <c r="D682" s="2" t="inlineStr">
        <is>
          <t>om1</t>
        </is>
      </c>
      <c r="E682" s="2" t="inlineStr">
        <is>
          <t>2.0mm</t>
        </is>
      </c>
      <c r="F682" s="2" t="n">
        <v>2</v>
      </c>
      <c r="G682" s="2" t="n">
        <v>6</v>
      </c>
      <c r="H682" s="2" t="inlineStr">
        <is>
          <t>LC/PC</t>
        </is>
      </c>
      <c r="I682" s="2" t="inlineStr">
        <is>
          <t>LC/PC</t>
        </is>
      </c>
      <c r="J682" s="2" t="n">
        <v>20</v>
      </c>
      <c r="K682" s="2" t="n"/>
      <c r="L682" s="2" t="n">
        <v>5</v>
      </c>
      <c r="M682" s="2" t="n"/>
      <c r="N682" s="2" t="n"/>
      <c r="O682" s="2" t="n"/>
      <c r="P682" s="2" t="n"/>
      <c r="Q682" s="2" t="n"/>
      <c r="R682" s="2" t="n">
        <v>2</v>
      </c>
      <c r="S682" s="2" t="n"/>
      <c r="T682" s="2" t="n"/>
      <c r="U682" s="2" t="n"/>
      <c r="V682" s="2">
        <f>SUM(J682:U682)*G682</f>
        <v/>
      </c>
      <c r="W682" s="2">
        <f>MAX(J682:U682)</f>
        <v/>
      </c>
      <c r="X682" s="2">
        <f>W682*G682</f>
        <v/>
      </c>
    </row>
    <row r="683">
      <c r="A683" s="2" t="inlineStr">
        <is>
          <t>A14-D1-N004</t>
        </is>
      </c>
      <c r="B683" s="3" t="inlineStr">
        <is>
          <t>DOJC-MM-LC/PC-LC/PC</t>
        </is>
      </c>
      <c r="C683" s="2" t="inlineStr">
        <is>
          <t>920000789, 7M</t>
        </is>
      </c>
      <c r="D683" s="2" t="inlineStr">
        <is>
          <t>om1</t>
        </is>
      </c>
      <c r="E683" s="2" t="inlineStr">
        <is>
          <t>2.0mm</t>
        </is>
      </c>
      <c r="F683" s="2" t="n">
        <v>2</v>
      </c>
      <c r="G683" s="2" t="n">
        <v>7</v>
      </c>
      <c r="H683" s="2" t="inlineStr">
        <is>
          <t>LC/PC</t>
        </is>
      </c>
      <c r="I683" s="2" t="inlineStr">
        <is>
          <t>LC/PC</t>
        </is>
      </c>
      <c r="J683" s="2" t="n">
        <v>2</v>
      </c>
      <c r="K683" s="2" t="n"/>
      <c r="L683" s="2" t="n">
        <v>28</v>
      </c>
      <c r="M683" s="2" t="n">
        <v>23</v>
      </c>
      <c r="N683" s="2" t="n"/>
      <c r="O683" s="2" t="n"/>
      <c r="P683" s="2" t="n"/>
      <c r="Q683" s="2" t="n">
        <v>24</v>
      </c>
      <c r="R683" s="2" t="n"/>
      <c r="S683" s="2" t="n">
        <v>4</v>
      </c>
      <c r="T683" s="2" t="n"/>
      <c r="U683" s="2" t="n"/>
      <c r="V683" s="2">
        <f>SUM(J683:U683)*G683</f>
        <v/>
      </c>
      <c r="W683" s="2">
        <f>MAX(J683:U683)</f>
        <v/>
      </c>
      <c r="X683" s="2">
        <f>W683*G683</f>
        <v/>
      </c>
    </row>
    <row r="684">
      <c r="A684" s="2" t="inlineStr">
        <is>
          <t>A14-D1-N006</t>
        </is>
      </c>
      <c r="B684" s="3" t="inlineStr">
        <is>
          <t>DOJC-MM-LC/PC-SC/PC</t>
        </is>
      </c>
      <c r="C684" s="2" t="inlineStr">
        <is>
          <t>908040777, 15M</t>
        </is>
      </c>
      <c r="D684" s="2" t="inlineStr">
        <is>
          <t>om1</t>
        </is>
      </c>
      <c r="E684" s="2" t="inlineStr">
        <is>
          <t>2.0mm</t>
        </is>
      </c>
      <c r="F684" s="2" t="n">
        <v>2</v>
      </c>
      <c r="G684" s="2" t="n">
        <v>15</v>
      </c>
      <c r="H684" s="2" t="inlineStr">
        <is>
          <t>LC/PC</t>
        </is>
      </c>
      <c r="I684" s="2" t="inlineStr">
        <is>
          <t>SC/PC</t>
        </is>
      </c>
      <c r="J684" s="2" t="n">
        <v>4</v>
      </c>
      <c r="K684" s="2" t="n"/>
      <c r="L684" s="2" t="n">
        <v>18</v>
      </c>
      <c r="M684" s="2" t="n"/>
      <c r="N684" s="2" t="n"/>
      <c r="O684" s="2" t="n"/>
      <c r="P684" s="2" t="n"/>
      <c r="Q684" s="2" t="n"/>
      <c r="R684" s="2" t="n">
        <v>20</v>
      </c>
      <c r="S684" s="2" t="n">
        <v>40</v>
      </c>
      <c r="T684" s="2" t="n"/>
      <c r="U684" s="2" t="n"/>
      <c r="V684" s="2">
        <f>SUM(J684:U684)*G684</f>
        <v/>
      </c>
      <c r="W684" s="2">
        <f>MAX(J684:U684)</f>
        <v/>
      </c>
      <c r="X684" s="2">
        <f>W684*G684</f>
        <v/>
      </c>
    </row>
    <row r="685">
      <c r="A685" s="2" t="inlineStr">
        <is>
          <t>A14-D1-N007</t>
        </is>
      </c>
      <c r="B685" s="3" t="inlineStr">
        <is>
          <t>DOJC-MM-LC/PC-SC/PC</t>
        </is>
      </c>
      <c r="C685" s="2" t="inlineStr">
        <is>
          <t>908040782, 20M</t>
        </is>
      </c>
      <c r="D685" s="2" t="inlineStr">
        <is>
          <t>om1</t>
        </is>
      </c>
      <c r="E685" s="2" t="inlineStr">
        <is>
          <t>2.0mm</t>
        </is>
      </c>
      <c r="F685" s="2" t="n">
        <v>2</v>
      </c>
      <c r="G685" s="2" t="n">
        <v>20</v>
      </c>
      <c r="H685" s="2" t="inlineStr">
        <is>
          <t>LC/PC</t>
        </is>
      </c>
      <c r="I685" s="2" t="inlineStr">
        <is>
          <t>SC/PC</t>
        </is>
      </c>
      <c r="J685" s="2" t="n"/>
      <c r="K685" s="2" t="n"/>
      <c r="L685" s="2" t="n"/>
      <c r="M685" s="2" t="n"/>
      <c r="N685" s="2" t="n"/>
      <c r="O685" s="2" t="n"/>
      <c r="P685" s="2" t="n">
        <v>40</v>
      </c>
      <c r="Q685" s="2" t="n"/>
      <c r="R685" s="2" t="n"/>
      <c r="S685" s="2" t="n"/>
      <c r="T685" s="2" t="n"/>
      <c r="U685" s="2" t="n"/>
      <c r="V685" s="2">
        <f>SUM(J685:U685)*G685</f>
        <v/>
      </c>
      <c r="W685" s="2">
        <f>MAX(J685:U685)</f>
        <v/>
      </c>
      <c r="X685" s="2">
        <f>W685*G685</f>
        <v/>
      </c>
    </row>
    <row r="686">
      <c r="A686" s="2" t="inlineStr">
        <is>
          <t>A14-D1-N009</t>
        </is>
      </c>
      <c r="B686" s="3" t="inlineStr">
        <is>
          <t>DOJC-MM-LC/PC-SC/PC</t>
        </is>
      </c>
      <c r="C686" s="2" t="inlineStr">
        <is>
          <t>908040765, 2M</t>
        </is>
      </c>
      <c r="D686" s="2" t="inlineStr">
        <is>
          <t>om1</t>
        </is>
      </c>
      <c r="E686" s="2" t="inlineStr">
        <is>
          <t>2.0mm</t>
        </is>
      </c>
      <c r="F686" s="2" t="n">
        <v>2</v>
      </c>
      <c r="G686" s="2" t="n">
        <v>2</v>
      </c>
      <c r="H686" s="2" t="inlineStr">
        <is>
          <t>LC/PC</t>
        </is>
      </c>
      <c r="I686" s="2" t="inlineStr">
        <is>
          <t>SC/PC</t>
        </is>
      </c>
      <c r="J686" s="2" t="n"/>
      <c r="K686" s="2" t="n"/>
      <c r="L686" s="2" t="n"/>
      <c r="M686" s="2" t="n"/>
      <c r="N686" s="2" t="n"/>
      <c r="O686" s="2" t="n"/>
      <c r="P686" s="2" t="n">
        <v>30</v>
      </c>
      <c r="Q686" s="2" t="n"/>
      <c r="R686" s="2" t="n"/>
      <c r="S686" s="2" t="n"/>
      <c r="T686" s="2" t="n"/>
      <c r="U686" s="2" t="n"/>
      <c r="V686" s="2">
        <f>SUM(J686:U686)*G686</f>
        <v/>
      </c>
      <c r="W686" s="2">
        <f>MAX(J686:U686)</f>
        <v/>
      </c>
      <c r="X686" s="2">
        <f>W686*G686</f>
        <v/>
      </c>
    </row>
    <row r="687">
      <c r="A687" s="2" t="inlineStr">
        <is>
          <t>A14-D1-N010</t>
        </is>
      </c>
      <c r="B687" s="3" t="inlineStr">
        <is>
          <t>DOJC-MM-LC/PC-SC/PC</t>
        </is>
      </c>
      <c r="C687" s="2" t="inlineStr">
        <is>
          <t>908040763, 3M</t>
        </is>
      </c>
      <c r="D687" s="2" t="inlineStr">
        <is>
          <t>om1</t>
        </is>
      </c>
      <c r="E687" s="2" t="inlineStr">
        <is>
          <t>2.0mm</t>
        </is>
      </c>
      <c r="F687" s="2" t="n">
        <v>2</v>
      </c>
      <c r="G687" s="2" t="n">
        <v>3</v>
      </c>
      <c r="H687" s="2" t="inlineStr">
        <is>
          <t>LC/PC</t>
        </is>
      </c>
      <c r="I687" s="2" t="inlineStr">
        <is>
          <t>SC/PC</t>
        </is>
      </c>
      <c r="J687" s="2" t="n"/>
      <c r="K687" s="2" t="n"/>
      <c r="L687" s="2" t="n"/>
      <c r="M687" s="2" t="n">
        <v>3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>
        <f>SUM(J687:U687)*G687</f>
        <v/>
      </c>
      <c r="W687" s="2">
        <f>MAX(J687:U687)</f>
        <v/>
      </c>
      <c r="X687" s="2">
        <f>W687*G687</f>
        <v/>
      </c>
    </row>
    <row r="688">
      <c r="A688" s="2" t="inlineStr">
        <is>
          <t>A14-D1-N012</t>
        </is>
      </c>
      <c r="B688" s="3" t="inlineStr">
        <is>
          <t>DOJC-MM-LC/PC-LC/PC</t>
        </is>
      </c>
      <c r="C688" s="2" t="inlineStr">
        <is>
          <t>920000790, 8M</t>
        </is>
      </c>
      <c r="D688" s="2" t="inlineStr">
        <is>
          <t>om1</t>
        </is>
      </c>
      <c r="E688" s="2" t="inlineStr">
        <is>
          <t>2.0mm</t>
        </is>
      </c>
      <c r="F688" s="2" t="n">
        <v>2</v>
      </c>
      <c r="G688" s="2" t="n">
        <v>8</v>
      </c>
      <c r="H688" s="2" t="inlineStr">
        <is>
          <t>LC/PC</t>
        </is>
      </c>
      <c r="I688" s="2" t="inlineStr">
        <is>
          <t>LC/PC</t>
        </is>
      </c>
      <c r="J688" s="2" t="n"/>
      <c r="K688" s="2" t="n"/>
      <c r="L688" s="2" t="n"/>
      <c r="M688" s="2" t="n"/>
      <c r="N688" s="2" t="n"/>
      <c r="O688" s="2" t="n">
        <v>2</v>
      </c>
      <c r="P688" s="2" t="n">
        <v>10</v>
      </c>
      <c r="Q688" s="2" t="n"/>
      <c r="R688" s="2" t="n">
        <v>6</v>
      </c>
      <c r="S688" s="2" t="n"/>
      <c r="T688" s="2" t="n"/>
      <c r="U688" s="2" t="n"/>
      <c r="V688" s="2">
        <f>SUM(J688:U688)*G688</f>
        <v/>
      </c>
      <c r="W688" s="2">
        <f>MAX(J688:U688)</f>
        <v/>
      </c>
      <c r="X688" s="2">
        <f>W688*G688</f>
        <v/>
      </c>
    </row>
    <row r="689">
      <c r="A689" s="2" t="inlineStr">
        <is>
          <t>A14-D1-N013</t>
        </is>
      </c>
      <c r="B689" s="3" t="inlineStr">
        <is>
          <t>DOJC-MM-LC/PC-SC/PC</t>
        </is>
      </c>
      <c r="C689" s="2" t="inlineStr">
        <is>
          <t>908040769, 7M</t>
        </is>
      </c>
      <c r="D689" s="2" t="inlineStr">
        <is>
          <t>om1</t>
        </is>
      </c>
      <c r="E689" s="2" t="inlineStr">
        <is>
          <t>2.0mm</t>
        </is>
      </c>
      <c r="F689" s="2" t="n">
        <v>2</v>
      </c>
      <c r="G689" s="2" t="n">
        <v>7</v>
      </c>
      <c r="H689" s="2" t="inlineStr">
        <is>
          <t>LC/PC</t>
        </is>
      </c>
      <c r="I689" s="2" t="inlineStr">
        <is>
          <t>SC/PC</t>
        </is>
      </c>
      <c r="J689" s="2" t="n"/>
      <c r="K689" s="2" t="n"/>
      <c r="L689" s="2" t="n"/>
      <c r="M689" s="2" t="n">
        <v>3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>
        <f>SUM(J689:U689)*G689</f>
        <v/>
      </c>
      <c r="W689" s="2">
        <f>MAX(J689:U689)</f>
        <v/>
      </c>
      <c r="X689" s="2">
        <f>W689*G689</f>
        <v/>
      </c>
    </row>
    <row r="690">
      <c r="A690" s="2" t="inlineStr">
        <is>
          <t>A14-D1-N035R</t>
        </is>
      </c>
      <c r="B690" s="3" t="inlineStr">
        <is>
          <t>DOJC-MM-LC/PC-LC/PC</t>
        </is>
      </c>
      <c r="C690" s="2" t="inlineStr">
        <is>
          <t>920000792, 10M</t>
        </is>
      </c>
      <c r="D690" s="2" t="inlineStr">
        <is>
          <t>om1</t>
        </is>
      </c>
      <c r="E690" s="2" t="inlineStr">
        <is>
          <t>2.0mm</t>
        </is>
      </c>
      <c r="F690" s="2" t="n">
        <v>2</v>
      </c>
      <c r="G690" s="2" t="n">
        <v>10</v>
      </c>
      <c r="H690" s="2" t="inlineStr">
        <is>
          <t>LC/PC</t>
        </is>
      </c>
      <c r="I690" s="2" t="inlineStr">
        <is>
          <t>LC/PC</t>
        </is>
      </c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>
        <v>22</v>
      </c>
      <c r="T690" s="2" t="n"/>
      <c r="U690" s="2" t="n"/>
      <c r="V690" s="2">
        <f>SUM(J690:U690)*G690</f>
        <v/>
      </c>
      <c r="W690" s="2">
        <f>MAX(J690:U690)</f>
        <v/>
      </c>
      <c r="X690" s="2">
        <f>W690*G690</f>
        <v/>
      </c>
    </row>
    <row r="691">
      <c r="A691" s="2" t="inlineStr">
        <is>
          <t>A14-D1-N040</t>
        </is>
      </c>
      <c r="B691" s="3" t="inlineStr">
        <is>
          <t>DOJC-MM-LC/PC-LC/PC</t>
        </is>
      </c>
      <c r="C691" s="2" t="inlineStr">
        <is>
          <t>920000797, 15M</t>
        </is>
      </c>
      <c r="D691" s="2" t="inlineStr">
        <is>
          <t>om1</t>
        </is>
      </c>
      <c r="E691" s="2" t="inlineStr">
        <is>
          <t>2.0mm</t>
        </is>
      </c>
      <c r="F691" s="2" t="n">
        <v>2</v>
      </c>
      <c r="G691" s="2" t="n">
        <v>15</v>
      </c>
      <c r="H691" s="2" t="inlineStr">
        <is>
          <t>LC/PC</t>
        </is>
      </c>
      <c r="I691" s="2" t="inlineStr">
        <is>
          <t>LC/PC</t>
        </is>
      </c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>
        <v>76</v>
      </c>
      <c r="T691" s="2" t="n">
        <v>18</v>
      </c>
      <c r="U691" s="2" t="n"/>
      <c r="V691" s="2">
        <f>SUM(J691:U691)*G691</f>
        <v/>
      </c>
      <c r="W691" s="2">
        <f>MAX(J691:U691)</f>
        <v/>
      </c>
      <c r="X691" s="2">
        <f>W691*G691</f>
        <v/>
      </c>
    </row>
    <row r="692">
      <c r="A692" s="2" t="inlineStr">
        <is>
          <t>A14-D1-N048</t>
        </is>
      </c>
      <c r="B692" s="3" t="inlineStr">
        <is>
          <t>DOJC-MM-LC/PC-LC/PC</t>
        </is>
      </c>
      <c r="C692" s="2" t="inlineStr">
        <is>
          <t>920000807, 25M</t>
        </is>
      </c>
      <c r="D692" s="2" t="inlineStr">
        <is>
          <t>om1</t>
        </is>
      </c>
      <c r="E692" s="2" t="inlineStr">
        <is>
          <t>2.0mm</t>
        </is>
      </c>
      <c r="F692" s="2" t="n">
        <v>2</v>
      </c>
      <c r="G692" s="2" t="n">
        <v>25</v>
      </c>
      <c r="H692" s="2" t="inlineStr">
        <is>
          <t>LC/PC</t>
        </is>
      </c>
      <c r="I692" s="2" t="inlineStr">
        <is>
          <t>LC/PC</t>
        </is>
      </c>
      <c r="J692" s="2" t="n"/>
      <c r="K692" s="2" t="n"/>
      <c r="L692" s="2" t="n"/>
      <c r="M692" s="2" t="n"/>
      <c r="N692" s="2" t="n"/>
      <c r="O692" s="2" t="n"/>
      <c r="P692" s="2" t="n"/>
      <c r="Q692" s="2" t="n">
        <v>27</v>
      </c>
      <c r="R692" s="2" t="n">
        <v>28</v>
      </c>
      <c r="S692" s="2" t="n">
        <v>8</v>
      </c>
      <c r="T692" s="2" t="n"/>
      <c r="U692" s="2" t="n">
        <v>12</v>
      </c>
      <c r="V692" s="2">
        <f>SUM(J692:U692)*G692</f>
        <v/>
      </c>
      <c r="W692" s="2">
        <f>MAX(J692:U692)</f>
        <v/>
      </c>
      <c r="X692" s="2">
        <f>W692*G692</f>
        <v/>
      </c>
    </row>
    <row r="693">
      <c r="A693" s="2" t="inlineStr">
        <is>
          <t>A14-D1-N052</t>
        </is>
      </c>
      <c r="B693" s="3" t="inlineStr">
        <is>
          <t>DOJC-MM-LC/PC-LC/PC</t>
        </is>
      </c>
      <c r="C693" s="2" t="inlineStr">
        <is>
          <t>920000785, 3M</t>
        </is>
      </c>
      <c r="D693" s="2" t="inlineStr">
        <is>
          <t>om1</t>
        </is>
      </c>
      <c r="E693" s="2" t="inlineStr">
        <is>
          <t>2.0mm</t>
        </is>
      </c>
      <c r="F693" s="2" t="n">
        <v>2</v>
      </c>
      <c r="G693" s="2" t="n">
        <v>3</v>
      </c>
      <c r="H693" s="2" t="inlineStr">
        <is>
          <t>LC/PC</t>
        </is>
      </c>
      <c r="I693" s="2" t="inlineStr">
        <is>
          <t>LC/PC</t>
        </is>
      </c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>
        <v>13</v>
      </c>
      <c r="T693" s="2" t="n"/>
      <c r="U693" s="2" t="n"/>
      <c r="V693" s="2">
        <f>SUM(J693:U693)*G693</f>
        <v/>
      </c>
      <c r="W693" s="2">
        <f>MAX(J693:U693)</f>
        <v/>
      </c>
      <c r="X693" s="2">
        <f>W693*G693</f>
        <v/>
      </c>
    </row>
    <row r="694">
      <c r="A694" s="2" t="inlineStr">
        <is>
          <t>A14-D3-N008</t>
        </is>
      </c>
      <c r="B694" s="3" t="inlineStr">
        <is>
          <t>DOJC-MM(OM3)-LC/PC-LC/PC</t>
        </is>
      </c>
      <c r="C694" s="2" t="inlineStr">
        <is>
          <t>10M</t>
        </is>
      </c>
      <c r="D694" s="2" t="inlineStr">
        <is>
          <t>om3</t>
        </is>
      </c>
      <c r="E694" s="2" t="inlineStr">
        <is>
          <t>2.0mm</t>
        </is>
      </c>
      <c r="F694" s="2" t="n">
        <v>2</v>
      </c>
      <c r="G694" s="2" t="n">
        <v>10</v>
      </c>
      <c r="H694" s="2" t="inlineStr">
        <is>
          <t>LC/PC</t>
        </is>
      </c>
      <c r="I694" s="2" t="inlineStr">
        <is>
          <t>LC/PC</t>
        </is>
      </c>
      <c r="J694" s="2" t="n">
        <v>12</v>
      </c>
      <c r="K694" s="2" t="n"/>
      <c r="L694" s="2" t="n">
        <v>6</v>
      </c>
      <c r="M694" s="2" t="n"/>
      <c r="N694" s="2" t="n">
        <v>7</v>
      </c>
      <c r="O694" s="2" t="n"/>
      <c r="P694" s="2" t="n"/>
      <c r="Q694" s="2" t="n"/>
      <c r="R694" s="2" t="n"/>
      <c r="S694" s="2" t="n">
        <v>4</v>
      </c>
      <c r="T694" s="2" t="n"/>
      <c r="U694" s="2" t="n"/>
      <c r="V694" s="2">
        <f>SUM(J694:U694)*G694</f>
        <v/>
      </c>
      <c r="W694" s="2">
        <f>MAX(J694:U694)</f>
        <v/>
      </c>
      <c r="X694" s="2">
        <f>W694*G694</f>
        <v/>
      </c>
    </row>
    <row r="695">
      <c r="A695" s="2" t="inlineStr">
        <is>
          <t>A14-D3-N010</t>
        </is>
      </c>
      <c r="B695" s="3" t="inlineStr">
        <is>
          <t>DOJC-MM(OM3)-LC/PC-LC/PC</t>
        </is>
      </c>
      <c r="C695" s="2" t="inlineStr">
        <is>
          <t>15M</t>
        </is>
      </c>
      <c r="D695" s="2" t="inlineStr">
        <is>
          <t>om3</t>
        </is>
      </c>
      <c r="E695" s="2" t="inlineStr">
        <is>
          <t>2.0mm</t>
        </is>
      </c>
      <c r="F695" s="2" t="n">
        <v>2</v>
      </c>
      <c r="G695" s="2" t="n">
        <v>15</v>
      </c>
      <c r="H695" s="2" t="inlineStr">
        <is>
          <t>LC/PC</t>
        </is>
      </c>
      <c r="I695" s="2" t="inlineStr">
        <is>
          <t>LC/PC</t>
        </is>
      </c>
      <c r="J695" s="2" t="n">
        <v>11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>
        <v>4</v>
      </c>
      <c r="T695" s="2" t="n">
        <v>30</v>
      </c>
      <c r="U695" s="2" t="n">
        <v>10</v>
      </c>
      <c r="V695" s="2">
        <f>SUM(J695:U695)*G695</f>
        <v/>
      </c>
      <c r="W695" s="2">
        <f>MAX(J695:U695)</f>
        <v/>
      </c>
      <c r="X695" s="2">
        <f>W695*G695</f>
        <v/>
      </c>
    </row>
    <row r="696">
      <c r="A696" s="2" t="inlineStr">
        <is>
          <t>A14-D3-N011</t>
        </is>
      </c>
      <c r="B696" s="3" t="inlineStr">
        <is>
          <t>DOJC-MM(OM3)-LC/PC-LC/PC</t>
        </is>
      </c>
      <c r="C696" s="2" t="inlineStr">
        <is>
          <t>20M</t>
        </is>
      </c>
      <c r="D696" s="2" t="inlineStr">
        <is>
          <t>om3</t>
        </is>
      </c>
      <c r="E696" s="2" t="inlineStr">
        <is>
          <t>2.0mm</t>
        </is>
      </c>
      <c r="F696" s="2" t="n">
        <v>2</v>
      </c>
      <c r="G696" s="2" t="n">
        <v>20</v>
      </c>
      <c r="H696" s="2" t="inlineStr">
        <is>
          <t>LC/PC</t>
        </is>
      </c>
      <c r="I696" s="2" t="inlineStr">
        <is>
          <t>LC/PC</t>
        </is>
      </c>
      <c r="J696" s="2" t="n">
        <v>3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>
        <v>10</v>
      </c>
      <c r="V696" s="2">
        <f>SUM(J696:U696)*G696</f>
        <v/>
      </c>
      <c r="W696" s="2">
        <f>MAX(J696:U696)</f>
        <v/>
      </c>
      <c r="X696" s="2">
        <f>W696*G696</f>
        <v/>
      </c>
    </row>
    <row r="697">
      <c r="A697" s="2" t="inlineStr">
        <is>
          <t>A14-D3-N016</t>
        </is>
      </c>
      <c r="B697" s="3" t="inlineStr">
        <is>
          <t>DOJC-MM(OM3)-LC/PC-LC/PC</t>
        </is>
      </c>
      <c r="C697" s="2" t="inlineStr">
        <is>
          <t>25M</t>
        </is>
      </c>
      <c r="D697" s="2" t="inlineStr">
        <is>
          <t>om3</t>
        </is>
      </c>
      <c r="E697" s="2" t="inlineStr">
        <is>
          <t>2.0mm</t>
        </is>
      </c>
      <c r="F697" s="2" t="n">
        <v>2</v>
      </c>
      <c r="G697" s="2" t="n">
        <v>25</v>
      </c>
      <c r="H697" s="2" t="inlineStr">
        <is>
          <t>LC/PC</t>
        </is>
      </c>
      <c r="I697" s="2" t="inlineStr">
        <is>
          <t>LC/PC</t>
        </is>
      </c>
      <c r="J697" s="2" t="n"/>
      <c r="K697" s="2" t="n"/>
      <c r="L697" s="2" t="n">
        <v>3</v>
      </c>
      <c r="M697" s="2" t="n"/>
      <c r="N697" s="2" t="n"/>
      <c r="O697" s="2" t="n"/>
      <c r="P697" s="2" t="n"/>
      <c r="Q697" s="2" t="n"/>
      <c r="R697" s="2" t="n"/>
      <c r="S697" s="2" t="n"/>
      <c r="T697" s="2" t="n">
        <v>1</v>
      </c>
      <c r="U697" s="2" t="n"/>
      <c r="V697" s="2">
        <f>SUM(J697:U697)*G697</f>
        <v/>
      </c>
      <c r="W697" s="2">
        <f>MAX(J697:U697)</f>
        <v/>
      </c>
      <c r="X697" s="2">
        <f>W697*G697</f>
        <v/>
      </c>
    </row>
    <row r="698">
      <c r="A698" s="2" t="inlineStr">
        <is>
          <t>A14-D3-N025</t>
        </is>
      </c>
      <c r="B698" s="3" t="inlineStr">
        <is>
          <t>DOJC-MM(OM3)-LC/PC-LC/PC</t>
        </is>
      </c>
      <c r="C698" s="2" t="inlineStr">
        <is>
          <t>5M</t>
        </is>
      </c>
      <c r="D698" s="2" t="inlineStr">
        <is>
          <t>om3</t>
        </is>
      </c>
      <c r="E698" s="2" t="inlineStr">
        <is>
          <t>2.0mm</t>
        </is>
      </c>
      <c r="F698" s="2" t="n">
        <v>2</v>
      </c>
      <c r="G698" s="2" t="n">
        <v>5</v>
      </c>
      <c r="H698" s="2" t="inlineStr">
        <is>
          <t>LC/PC</t>
        </is>
      </c>
      <c r="I698" s="2" t="inlineStr">
        <is>
          <t>LC/PC</t>
        </is>
      </c>
      <c r="J698" s="2" t="n">
        <v>4</v>
      </c>
      <c r="K698" s="2" t="n">
        <v>1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>
        <f>SUM(J698:U698)*G698</f>
        <v/>
      </c>
      <c r="W698" s="2">
        <f>MAX(J698:U698)</f>
        <v/>
      </c>
      <c r="X698" s="2">
        <f>W698*G698</f>
        <v/>
      </c>
    </row>
    <row r="699">
      <c r="A699" s="2" t="inlineStr">
        <is>
          <t>A14-D3-N036</t>
        </is>
      </c>
      <c r="B699" s="3" t="inlineStr">
        <is>
          <t>DOJC-MM(OM3)-LC/PC-LC/PC</t>
        </is>
      </c>
      <c r="C699" s="2" t="inlineStr">
        <is>
          <t>11M</t>
        </is>
      </c>
      <c r="D699" s="2" t="inlineStr">
        <is>
          <t>om3</t>
        </is>
      </c>
      <c r="E699" s="2" t="inlineStr">
        <is>
          <t>2.0mm</t>
        </is>
      </c>
      <c r="F699" s="2" t="n">
        <v>2</v>
      </c>
      <c r="G699" s="2" t="n">
        <v>11</v>
      </c>
      <c r="H699" s="2" t="inlineStr">
        <is>
          <t>LC/PC</t>
        </is>
      </c>
      <c r="I699" s="2" t="inlineStr">
        <is>
          <t>LC/PC</t>
        </is>
      </c>
      <c r="J699" s="2" t="n"/>
      <c r="K699" s="2" t="n"/>
      <c r="L699" s="2" t="n"/>
      <c r="M699" s="2" t="n"/>
      <c r="N699" s="2" t="n"/>
      <c r="O699" s="2" t="n">
        <v>16</v>
      </c>
      <c r="P699" s="2" t="n"/>
      <c r="Q699" s="2" t="n"/>
      <c r="R699" s="2" t="n"/>
      <c r="S699" s="2" t="n"/>
      <c r="T699" s="2" t="n"/>
      <c r="U699" s="2" t="n"/>
      <c r="V699" s="2">
        <f>SUM(J699:U699)*G699</f>
        <v/>
      </c>
      <c r="W699" s="2">
        <f>MAX(J699:U699)</f>
        <v/>
      </c>
      <c r="X699" s="2">
        <f>W699*G699</f>
        <v/>
      </c>
    </row>
    <row r="700">
      <c r="A700" s="2" t="inlineStr">
        <is>
          <t>A14-DA-N663</t>
        </is>
      </c>
      <c r="B700" s="3" t="inlineStr">
        <is>
          <t>DOJC-SM-LC/PC-LC/PC</t>
        </is>
      </c>
      <c r="C700" s="2" t="inlineStr">
        <is>
          <t>10M_적색케이블</t>
        </is>
      </c>
      <c r="D700" s="2" t="inlineStr">
        <is>
          <t>a1-적</t>
        </is>
      </c>
      <c r="E700" s="2" t="inlineStr">
        <is>
          <t>2.0mm</t>
        </is>
      </c>
      <c r="F700" s="2" t="n">
        <v>2</v>
      </c>
      <c r="G700" s="2" t="n">
        <v>10</v>
      </c>
      <c r="H700" s="2" t="inlineStr">
        <is>
          <t>LC/PC</t>
        </is>
      </c>
      <c r="I700" s="2" t="inlineStr">
        <is>
          <t>LC/PC</t>
        </is>
      </c>
      <c r="J700" s="2" t="n"/>
      <c r="K700" s="2" t="n">
        <v>20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>
        <f>SUM(J700:U700)*G700</f>
        <v/>
      </c>
      <c r="W700" s="2">
        <f>MAX(J700:U700)</f>
        <v/>
      </c>
      <c r="X700" s="2">
        <f>W700*G700</f>
        <v/>
      </c>
    </row>
    <row r="701">
      <c r="A701" s="2" t="inlineStr">
        <is>
          <t>A14-DB-N110</t>
        </is>
      </c>
      <c r="B701" s="3" t="inlineStr">
        <is>
          <t>DOJC-SM-FC/APC-FC/APC</t>
        </is>
      </c>
      <c r="C701" s="2" t="inlineStr">
        <is>
          <t>908040667, 20M, B3, 2.0mm</t>
        </is>
      </c>
      <c r="D701" s="2" t="inlineStr">
        <is>
          <t>b3</t>
        </is>
      </c>
      <c r="E701" s="2" t="inlineStr">
        <is>
          <t>2.0mm</t>
        </is>
      </c>
      <c r="F701" s="2" t="n">
        <v>2</v>
      </c>
      <c r="G701" s="2" t="n">
        <v>20</v>
      </c>
      <c r="H701" s="2" t="inlineStr">
        <is>
          <t>FC/APC</t>
        </is>
      </c>
      <c r="I701" s="2" t="inlineStr">
        <is>
          <t>FC/APC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>
        <v>7</v>
      </c>
      <c r="T701" s="2" t="n">
        <v>10</v>
      </c>
      <c r="U701" s="2" t="n"/>
      <c r="V701" s="2">
        <f>SUM(J701:U701)*G701</f>
        <v/>
      </c>
      <c r="W701" s="2">
        <f>MAX(J701:U701)</f>
        <v/>
      </c>
      <c r="X701" s="2">
        <f>W701*G701</f>
        <v/>
      </c>
    </row>
    <row r="702">
      <c r="A702" s="2" t="inlineStr">
        <is>
          <t>A14-DB-N113</t>
        </is>
      </c>
      <c r="B702" s="3" t="inlineStr">
        <is>
          <t>DOJC-SM-FC/APC-FC/APC</t>
        </is>
      </c>
      <c r="C702" s="2" t="inlineStr">
        <is>
          <t>908040672, 25M, B3, 2.0mm</t>
        </is>
      </c>
      <c r="D702" s="2" t="inlineStr">
        <is>
          <t>b3</t>
        </is>
      </c>
      <c r="E702" s="2" t="inlineStr">
        <is>
          <t>2.0mm</t>
        </is>
      </c>
      <c r="F702" s="2" t="n">
        <v>2</v>
      </c>
      <c r="G702" s="2" t="n">
        <v>25</v>
      </c>
      <c r="H702" s="2" t="inlineStr">
        <is>
          <t>FC/APC</t>
        </is>
      </c>
      <c r="I702" s="2" t="inlineStr">
        <is>
          <t>FC/APC</t>
        </is>
      </c>
      <c r="J702" s="2" t="n"/>
      <c r="K702" s="2" t="n"/>
      <c r="L702" s="2" t="n">
        <v>10</v>
      </c>
      <c r="M702" s="2" t="n"/>
      <c r="N702" s="2" t="n"/>
      <c r="O702" s="2" t="n"/>
      <c r="P702" s="2" t="n">
        <v>20</v>
      </c>
      <c r="Q702" s="2" t="n"/>
      <c r="R702" s="2" t="n"/>
      <c r="S702" s="2" t="n"/>
      <c r="T702" s="2" t="n"/>
      <c r="U702" s="2" t="n"/>
      <c r="V702" s="2">
        <f>SUM(J702:U702)*G702</f>
        <v/>
      </c>
      <c r="W702" s="2">
        <f>MAX(J702:U702)</f>
        <v/>
      </c>
      <c r="X702" s="2">
        <f>W702*G702</f>
        <v/>
      </c>
    </row>
    <row r="703">
      <c r="A703" s="2" t="inlineStr">
        <is>
          <t>A14-DB-N115</t>
        </is>
      </c>
      <c r="B703" s="3" t="inlineStr">
        <is>
          <t>DOJC-SM-FC/APC-FC/APC</t>
        </is>
      </c>
      <c r="C703" s="2" t="inlineStr">
        <is>
          <t>908040677, 30M, B3, 2.0mm</t>
        </is>
      </c>
      <c r="D703" s="2" t="inlineStr">
        <is>
          <t>b3</t>
        </is>
      </c>
      <c r="E703" s="2" t="inlineStr">
        <is>
          <t>2.0mm</t>
        </is>
      </c>
      <c r="F703" s="2" t="n">
        <v>2</v>
      </c>
      <c r="G703" s="2" t="n">
        <v>30</v>
      </c>
      <c r="H703" s="2" t="inlineStr">
        <is>
          <t>FC/APC</t>
        </is>
      </c>
      <c r="I703" s="2" t="inlineStr">
        <is>
          <t>FC/APC</t>
        </is>
      </c>
      <c r="J703" s="2" t="n"/>
      <c r="K703" s="2" t="n"/>
      <c r="L703" s="2" t="n">
        <v>12</v>
      </c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>
        <f>SUM(J703:U703)*G703</f>
        <v/>
      </c>
      <c r="W703" s="2">
        <f>MAX(J703:U703)</f>
        <v/>
      </c>
      <c r="X703" s="2">
        <f>W703*G703</f>
        <v/>
      </c>
    </row>
    <row r="704">
      <c r="A704" s="2" t="inlineStr">
        <is>
          <t>A14-DB-N140</t>
        </is>
      </c>
      <c r="B704" s="3" t="inlineStr">
        <is>
          <t>DOJC-SM-FC/PC-FC/PC</t>
        </is>
      </c>
      <c r="C704" s="2" t="inlineStr">
        <is>
          <t>908040597, 10M, B3, 2.0mm</t>
        </is>
      </c>
      <c r="D704" s="2" t="inlineStr">
        <is>
          <t>b3</t>
        </is>
      </c>
      <c r="E704" s="2" t="inlineStr">
        <is>
          <t>2.0mm</t>
        </is>
      </c>
      <c r="F704" s="2" t="n">
        <v>2</v>
      </c>
      <c r="G704" s="2" t="n">
        <v>10</v>
      </c>
      <c r="H704" s="2" t="inlineStr">
        <is>
          <t>FC/PC</t>
        </is>
      </c>
      <c r="I704" s="2" t="inlineStr">
        <is>
          <t>FC/PC</t>
        </is>
      </c>
      <c r="J704" s="2" t="n"/>
      <c r="K704" s="2" t="n"/>
      <c r="L704" s="2" t="n">
        <v>30</v>
      </c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>
        <f>SUM(J704:U704)*G704</f>
        <v/>
      </c>
      <c r="W704" s="2">
        <f>MAX(J704:U704)</f>
        <v/>
      </c>
      <c r="X704" s="2">
        <f>W704*G704</f>
        <v/>
      </c>
    </row>
    <row r="705">
      <c r="A705" s="2" t="inlineStr">
        <is>
          <t>A14-DB-N158</t>
        </is>
      </c>
      <c r="B705" s="3" t="inlineStr">
        <is>
          <t>DOJC-SM-LC/PC-FC/APC</t>
        </is>
      </c>
      <c r="C705" s="2" t="inlineStr">
        <is>
          <t>12M, B3, 2.0mm</t>
        </is>
      </c>
      <c r="D705" s="2" t="inlineStr">
        <is>
          <t>b3</t>
        </is>
      </c>
      <c r="E705" s="2" t="inlineStr">
        <is>
          <t>2.0mm</t>
        </is>
      </c>
      <c r="F705" s="2" t="n">
        <v>2</v>
      </c>
      <c r="G705" s="2" t="n">
        <v>12</v>
      </c>
      <c r="H705" s="2" t="inlineStr">
        <is>
          <t>LC/PC</t>
        </is>
      </c>
      <c r="I705" s="2" t="inlineStr">
        <is>
          <t>FC/APC</t>
        </is>
      </c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>
        <v>3</v>
      </c>
      <c r="S705" s="2" t="n"/>
      <c r="T705" s="2" t="n"/>
      <c r="U705" s="2" t="n"/>
      <c r="V705" s="2">
        <f>SUM(J705:U705)*G705</f>
        <v/>
      </c>
      <c r="W705" s="2">
        <f>MAX(J705:U705)</f>
        <v/>
      </c>
      <c r="X705" s="2">
        <f>W705*G705</f>
        <v/>
      </c>
    </row>
    <row r="706">
      <c r="A706" s="2" t="inlineStr">
        <is>
          <t>A14-DB-N164</t>
        </is>
      </c>
      <c r="B706" s="3" t="inlineStr">
        <is>
          <t>DOJC-SM-LC/PC-FC/APC</t>
        </is>
      </c>
      <c r="C706" s="2" t="inlineStr">
        <is>
          <t>18M, B3, 2.0mm</t>
        </is>
      </c>
      <c r="D706" s="2" t="inlineStr">
        <is>
          <t>b3</t>
        </is>
      </c>
      <c r="E706" s="2" t="inlineStr">
        <is>
          <t>2.0mm</t>
        </is>
      </c>
      <c r="F706" s="2" t="n">
        <v>2</v>
      </c>
      <c r="G706" s="2" t="n">
        <v>18</v>
      </c>
      <c r="H706" s="2" t="inlineStr">
        <is>
          <t>LC/PC</t>
        </is>
      </c>
      <c r="I706" s="2" t="inlineStr">
        <is>
          <t>FC/APC</t>
        </is>
      </c>
      <c r="J706" s="2" t="n"/>
      <c r="K706" s="2" t="n"/>
      <c r="L706" s="2" t="n"/>
      <c r="M706" s="2" t="n"/>
      <c r="N706" s="2" t="n">
        <v>12</v>
      </c>
      <c r="O706" s="2" t="n"/>
      <c r="P706" s="2" t="n"/>
      <c r="Q706" s="2" t="n"/>
      <c r="R706" s="2" t="n"/>
      <c r="S706" s="2" t="n"/>
      <c r="T706" s="2" t="n"/>
      <c r="U706" s="2" t="n"/>
      <c r="V706" s="2">
        <f>SUM(J706:U706)*G706</f>
        <v/>
      </c>
      <c r="W706" s="2">
        <f>MAX(J706:U706)</f>
        <v/>
      </c>
      <c r="X706" s="2">
        <f>W706*G706</f>
        <v/>
      </c>
    </row>
    <row r="707">
      <c r="A707" s="2" t="inlineStr">
        <is>
          <t>A14-DB-N166</t>
        </is>
      </c>
      <c r="B707" s="3" t="inlineStr">
        <is>
          <t>DOJC-SM-LC/PC-FC/APC</t>
        </is>
      </c>
      <c r="C707" s="2" t="inlineStr">
        <is>
          <t>908040896, 20M, B3, 2.0mm</t>
        </is>
      </c>
      <c r="D707" s="2" t="inlineStr">
        <is>
          <t>b3</t>
        </is>
      </c>
      <c r="E707" s="2" t="inlineStr">
        <is>
          <t>2.0mm</t>
        </is>
      </c>
      <c r="F707" s="2" t="n">
        <v>2</v>
      </c>
      <c r="G707" s="2" t="n">
        <v>20</v>
      </c>
      <c r="H707" s="2" t="inlineStr">
        <is>
          <t>LC/PC</t>
        </is>
      </c>
      <c r="I707" s="2" t="inlineStr">
        <is>
          <t>FC/APC</t>
        </is>
      </c>
      <c r="J707" s="2" t="n"/>
      <c r="K707" s="2" t="n"/>
      <c r="L707" s="2" t="n"/>
      <c r="M707" s="2" t="n"/>
      <c r="N707" s="2" t="n"/>
      <c r="O707" s="2" t="n"/>
      <c r="P707" s="2" t="n">
        <v>15</v>
      </c>
      <c r="Q707" s="2" t="n"/>
      <c r="R707" s="2" t="n"/>
      <c r="S707" s="2" t="n"/>
      <c r="T707" s="2" t="n"/>
      <c r="U707" s="2" t="n"/>
      <c r="V707" s="2">
        <f>SUM(J707:U707)*G707</f>
        <v/>
      </c>
      <c r="W707" s="2">
        <f>MAX(J707:U707)</f>
        <v/>
      </c>
      <c r="X707" s="2">
        <f>W707*G707</f>
        <v/>
      </c>
    </row>
    <row r="708">
      <c r="A708" s="2" t="inlineStr">
        <is>
          <t>A14-DB-N170</t>
        </is>
      </c>
      <c r="B708" s="3" t="inlineStr">
        <is>
          <t>DOJC-SM-LC/PC-FC/APC</t>
        </is>
      </c>
      <c r="C708" s="2" t="inlineStr">
        <is>
          <t>908040901, 25M, B3, 2.0mm</t>
        </is>
      </c>
      <c r="D708" s="2" t="inlineStr">
        <is>
          <t>b3</t>
        </is>
      </c>
      <c r="E708" s="2" t="inlineStr">
        <is>
          <t>2.0mm</t>
        </is>
      </c>
      <c r="F708" s="2" t="n">
        <v>2</v>
      </c>
      <c r="G708" s="2" t="n">
        <v>25</v>
      </c>
      <c r="H708" s="2" t="inlineStr">
        <is>
          <t>LC/PC</t>
        </is>
      </c>
      <c r="I708" s="2" t="inlineStr">
        <is>
          <t>FC/APC</t>
        </is>
      </c>
      <c r="J708" s="2" t="n"/>
      <c r="K708" s="2" t="n"/>
      <c r="L708" s="2" t="n"/>
      <c r="M708" s="2" t="n"/>
      <c r="N708" s="2" t="n"/>
      <c r="O708" s="2" t="n">
        <v>59</v>
      </c>
      <c r="P708" s="2" t="n">
        <v>40</v>
      </c>
      <c r="Q708" s="2" t="n"/>
      <c r="R708" s="2" t="n"/>
      <c r="S708" s="2" t="n"/>
      <c r="T708" s="2" t="n"/>
      <c r="U708" s="2" t="n"/>
      <c r="V708" s="2">
        <f>SUM(J708:U708)*G708</f>
        <v/>
      </c>
      <c r="W708" s="2">
        <f>MAX(J708:U708)</f>
        <v/>
      </c>
      <c r="X708" s="2">
        <f>W708*G708</f>
        <v/>
      </c>
    </row>
    <row r="709">
      <c r="A709" s="2" t="inlineStr">
        <is>
          <t>A14-DB-N173</t>
        </is>
      </c>
      <c r="B709" s="3" t="inlineStr">
        <is>
          <t>DOJC-SM-LC/PC-FC/APC</t>
        </is>
      </c>
      <c r="C709" s="2" t="inlineStr">
        <is>
          <t>908040906, 30M, B3, 2.0mm</t>
        </is>
      </c>
      <c r="D709" s="2" t="inlineStr">
        <is>
          <t>b3</t>
        </is>
      </c>
      <c r="E709" s="2" t="inlineStr">
        <is>
          <t>2.0mm</t>
        </is>
      </c>
      <c r="F709" s="2" t="n">
        <v>2</v>
      </c>
      <c r="G709" s="2" t="n">
        <v>30</v>
      </c>
      <c r="H709" s="2" t="inlineStr">
        <is>
          <t>LC/PC</t>
        </is>
      </c>
      <c r="I709" s="2" t="inlineStr">
        <is>
          <t>FC/APC</t>
        </is>
      </c>
      <c r="J709" s="2" t="n"/>
      <c r="K709" s="2" t="n"/>
      <c r="L709" s="2" t="n"/>
      <c r="M709" s="2" t="n"/>
      <c r="N709" s="2" t="n">
        <v>5</v>
      </c>
      <c r="O709" s="2" t="n">
        <v>5</v>
      </c>
      <c r="P709" s="2" t="n">
        <v>2</v>
      </c>
      <c r="Q709" s="2" t="n"/>
      <c r="R709" s="2" t="n"/>
      <c r="S709" s="2" t="n"/>
      <c r="T709" s="2" t="n"/>
      <c r="U709" s="2" t="n"/>
      <c r="V709" s="2">
        <f>SUM(J709:U709)*G709</f>
        <v/>
      </c>
      <c r="W709" s="2">
        <f>MAX(J709:U709)</f>
        <v/>
      </c>
      <c r="X709" s="2">
        <f>W709*G709</f>
        <v/>
      </c>
    </row>
    <row r="710">
      <c r="A710" s="2" t="inlineStr">
        <is>
          <t>A14-DB-N174</t>
        </is>
      </c>
      <c r="B710" s="3" t="inlineStr">
        <is>
          <t>DOJC-SM-LC/PC-FC/APC</t>
        </is>
      </c>
      <c r="C710" s="2" t="inlineStr">
        <is>
          <t>35M, B3, 2.0mm</t>
        </is>
      </c>
      <c r="D710" s="2" t="inlineStr">
        <is>
          <t>b3</t>
        </is>
      </c>
      <c r="E710" s="2" t="inlineStr">
        <is>
          <t>2.0mm</t>
        </is>
      </c>
      <c r="F710" s="2" t="n">
        <v>2</v>
      </c>
      <c r="G710" s="2" t="n">
        <v>35</v>
      </c>
      <c r="H710" s="2" t="inlineStr">
        <is>
          <t>LC/PC</t>
        </is>
      </c>
      <c r="I710" s="2" t="inlineStr">
        <is>
          <t>FC/APC</t>
        </is>
      </c>
      <c r="J710" s="2" t="n"/>
      <c r="K710" s="2" t="n"/>
      <c r="L710" s="2" t="n"/>
      <c r="M710" s="2" t="n">
        <v>10</v>
      </c>
      <c r="N710" s="2" t="n"/>
      <c r="O710" s="2" t="n">
        <v>8</v>
      </c>
      <c r="P710" s="2" t="n"/>
      <c r="Q710" s="2" t="n"/>
      <c r="R710" s="2" t="n"/>
      <c r="S710" s="2" t="n">
        <v>15</v>
      </c>
      <c r="T710" s="2" t="n"/>
      <c r="U710" s="2" t="n"/>
      <c r="V710" s="2">
        <f>SUM(J710:U710)*G710</f>
        <v/>
      </c>
      <c r="W710" s="2">
        <f>MAX(J710:U710)</f>
        <v/>
      </c>
      <c r="X710" s="2">
        <f>W710*G710</f>
        <v/>
      </c>
    </row>
    <row r="711">
      <c r="A711" s="2" t="inlineStr">
        <is>
          <t>A14-DB-N175</t>
        </is>
      </c>
      <c r="B711" s="3" t="inlineStr">
        <is>
          <t>DOJC-SM-LC/PC-FC/APC</t>
        </is>
      </c>
      <c r="C711" s="2" t="inlineStr">
        <is>
          <t>908040523, 3M, B3, 3.0mm</t>
        </is>
      </c>
      <c r="D711" s="2" t="inlineStr">
        <is>
          <t>b3</t>
        </is>
      </c>
      <c r="E711" s="2" t="inlineStr">
        <is>
          <t>3.0mm</t>
        </is>
      </c>
      <c r="F711" s="2" t="n">
        <v>2</v>
      </c>
      <c r="G711" s="2" t="n">
        <v>3</v>
      </c>
      <c r="H711" s="2" t="inlineStr">
        <is>
          <t>LC/PC</t>
        </is>
      </c>
      <c r="I711" s="2" t="inlineStr">
        <is>
          <t>FC/APC</t>
        </is>
      </c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>
        <v>25</v>
      </c>
      <c r="S711" s="2" t="n">
        <v>10</v>
      </c>
      <c r="T711" s="2" t="n"/>
      <c r="U711" s="2" t="n"/>
      <c r="V711" s="2">
        <f>SUM(J711:U711)*G711</f>
        <v/>
      </c>
      <c r="W711" s="2">
        <f>MAX(J711:U711)</f>
        <v/>
      </c>
      <c r="X711" s="2">
        <f>W711*G711</f>
        <v/>
      </c>
    </row>
    <row r="712">
      <c r="A712" s="2" t="inlineStr">
        <is>
          <t>A14-DB-N176</t>
        </is>
      </c>
      <c r="B712" s="3" t="inlineStr">
        <is>
          <t>DOJC-SM-LC/PC-FC/APC</t>
        </is>
      </c>
      <c r="C712" s="2" t="inlineStr">
        <is>
          <t>40M, B3, 2.0mm</t>
        </is>
      </c>
      <c r="D712" s="2" t="inlineStr">
        <is>
          <t>b3</t>
        </is>
      </c>
      <c r="E712" s="2" t="inlineStr">
        <is>
          <t>2.0mm</t>
        </is>
      </c>
      <c r="F712" s="2" t="n">
        <v>2</v>
      </c>
      <c r="G712" s="2" t="n">
        <v>40</v>
      </c>
      <c r="H712" s="2" t="inlineStr">
        <is>
          <t>LC/PC</t>
        </is>
      </c>
      <c r="I712" s="2" t="inlineStr">
        <is>
          <t>FC/APC</t>
        </is>
      </c>
      <c r="J712" s="2" t="n">
        <v>30</v>
      </c>
      <c r="K712" s="2" t="n"/>
      <c r="L712" s="2" t="n">
        <v>5</v>
      </c>
      <c r="M712" s="2" t="n"/>
      <c r="N712" s="2" t="n">
        <v>10</v>
      </c>
      <c r="O712" s="2" t="n"/>
      <c r="P712" s="2" t="n"/>
      <c r="Q712" s="2" t="n"/>
      <c r="R712" s="2" t="n">
        <v>10</v>
      </c>
      <c r="S712" s="2" t="n"/>
      <c r="T712" s="2" t="n"/>
      <c r="U712" s="2" t="n"/>
      <c r="V712" s="2">
        <f>SUM(J712:U712)*G712</f>
        <v/>
      </c>
      <c r="W712" s="2">
        <f>MAX(J712:U712)</f>
        <v/>
      </c>
      <c r="X712" s="2">
        <f>W712*G712</f>
        <v/>
      </c>
    </row>
    <row r="713">
      <c r="A713" s="2" t="inlineStr">
        <is>
          <t>A14-DB-N177</t>
        </is>
      </c>
      <c r="B713" s="3" t="inlineStr">
        <is>
          <t>DOJC-SM-LC/PC-FC/APC</t>
        </is>
      </c>
      <c r="C713" s="2" t="inlineStr">
        <is>
          <t>45M, B3, 2.0mm</t>
        </is>
      </c>
      <c r="D713" s="2" t="inlineStr">
        <is>
          <t>b3</t>
        </is>
      </c>
      <c r="E713" s="2" t="inlineStr">
        <is>
          <t>2.0mm</t>
        </is>
      </c>
      <c r="F713" s="2" t="n">
        <v>2</v>
      </c>
      <c r="G713" s="2" t="n">
        <v>45</v>
      </c>
      <c r="H713" s="2" t="inlineStr">
        <is>
          <t>LC/PC</t>
        </is>
      </c>
      <c r="I713" s="2" t="inlineStr">
        <is>
          <t>FC/APC</t>
        </is>
      </c>
      <c r="J713" s="2" t="n"/>
      <c r="K713" s="2" t="n"/>
      <c r="L713" s="2" t="n"/>
      <c r="M713" s="2" t="n"/>
      <c r="N713" s="2" t="n">
        <v>6</v>
      </c>
      <c r="O713" s="2" t="n">
        <v>5</v>
      </c>
      <c r="P713" s="2" t="n">
        <v>10</v>
      </c>
      <c r="Q713" s="2" t="n"/>
      <c r="R713" s="2" t="n"/>
      <c r="S713" s="2" t="n"/>
      <c r="T713" s="2" t="n"/>
      <c r="U713" s="2" t="n">
        <v>2</v>
      </c>
      <c r="V713" s="2">
        <f>SUM(J713:U713)*G713</f>
        <v/>
      </c>
      <c r="W713" s="2">
        <f>MAX(J713:U713)</f>
        <v/>
      </c>
      <c r="X713" s="2">
        <f>W713*G713</f>
        <v/>
      </c>
    </row>
    <row r="714">
      <c r="A714" s="2" t="inlineStr">
        <is>
          <t>A14-DB-N179</t>
        </is>
      </c>
      <c r="B714" s="3" t="inlineStr">
        <is>
          <t>DOJC-SM-LC/PC-FC/APC</t>
        </is>
      </c>
      <c r="C714" s="2" t="inlineStr">
        <is>
          <t>50M, B3, 2.0mm</t>
        </is>
      </c>
      <c r="D714" s="2" t="inlineStr">
        <is>
          <t>b3</t>
        </is>
      </c>
      <c r="E714" s="2" t="inlineStr">
        <is>
          <t>2.0mm</t>
        </is>
      </c>
      <c r="F714" s="2" t="n">
        <v>2</v>
      </c>
      <c r="G714" s="2" t="n">
        <v>50</v>
      </c>
      <c r="H714" s="2" t="inlineStr">
        <is>
          <t>LC/PC</t>
        </is>
      </c>
      <c r="I714" s="2" t="inlineStr">
        <is>
          <t>FC/APC</t>
        </is>
      </c>
      <c r="J714" s="2" t="n">
        <v>3</v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>
        <f>SUM(J714:U714)*G714</f>
        <v/>
      </c>
      <c r="W714" s="2">
        <f>MAX(J714:U714)</f>
        <v/>
      </c>
      <c r="X714" s="2">
        <f>W714*G714</f>
        <v/>
      </c>
    </row>
    <row r="715">
      <c r="A715" s="2" t="inlineStr">
        <is>
          <t>A14-DB-N180</t>
        </is>
      </c>
      <c r="B715" s="3" t="inlineStr">
        <is>
          <t>DOJC-SM-LC/PC-FC/APC</t>
        </is>
      </c>
      <c r="C715" s="2" t="inlineStr">
        <is>
          <t>55M, B3, 2.0mm</t>
        </is>
      </c>
      <c r="D715" s="2" t="inlineStr">
        <is>
          <t>b3</t>
        </is>
      </c>
      <c r="E715" s="2" t="inlineStr">
        <is>
          <t>2.0mm</t>
        </is>
      </c>
      <c r="F715" s="2" t="n">
        <v>2</v>
      </c>
      <c r="G715" s="2" t="n">
        <v>55</v>
      </c>
      <c r="H715" s="2" t="inlineStr">
        <is>
          <t>LC/PC</t>
        </is>
      </c>
      <c r="I715" s="2" t="inlineStr">
        <is>
          <t>FC/APC</t>
        </is>
      </c>
      <c r="J715" s="2" t="n">
        <v>2</v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>
        <f>SUM(J715:U715)*G715</f>
        <v/>
      </c>
      <c r="W715" s="2">
        <f>MAX(J715:U715)</f>
        <v/>
      </c>
      <c r="X715" s="2">
        <f>W715*G715</f>
        <v/>
      </c>
    </row>
    <row r="716">
      <c r="A716" s="2" t="inlineStr">
        <is>
          <t>A14-DB-N187</t>
        </is>
      </c>
      <c r="B716" s="3" t="inlineStr">
        <is>
          <t>DOJC-SM-LC/PC-FC/APC</t>
        </is>
      </c>
      <c r="C716" s="2" t="inlineStr">
        <is>
          <t>908040529, 7M, B3, 2.0mm</t>
        </is>
      </c>
      <c r="D716" s="2" t="inlineStr">
        <is>
          <t>b3</t>
        </is>
      </c>
      <c r="E716" s="2" t="inlineStr">
        <is>
          <t>2.0mm</t>
        </is>
      </c>
      <c r="F716" s="2" t="n">
        <v>2</v>
      </c>
      <c r="G716" s="2" t="n">
        <v>7</v>
      </c>
      <c r="H716" s="2" t="inlineStr">
        <is>
          <t>LC/PC</t>
        </is>
      </c>
      <c r="I716" s="2" t="inlineStr">
        <is>
          <t>FC/APC</t>
        </is>
      </c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>
        <v>10</v>
      </c>
      <c r="S716" s="2" t="n"/>
      <c r="T716" s="2" t="n"/>
      <c r="U716" s="2" t="n"/>
      <c r="V716" s="2">
        <f>SUM(J716:U716)*G716</f>
        <v/>
      </c>
      <c r="W716" s="2">
        <f>MAX(J716:U716)</f>
        <v/>
      </c>
      <c r="X716" s="2">
        <f>W716*G716</f>
        <v/>
      </c>
    </row>
    <row r="717">
      <c r="A717" s="2" t="inlineStr">
        <is>
          <t>A14-DB-N196</t>
        </is>
      </c>
      <c r="B717" s="3" t="inlineStr">
        <is>
          <t>DOJC-SM-LC/PC-FC/PC</t>
        </is>
      </c>
      <c r="C717" s="2" t="inlineStr">
        <is>
          <t>908040727, 15M, B3, 2.0mm</t>
        </is>
      </c>
      <c r="D717" s="2" t="inlineStr">
        <is>
          <t>b3</t>
        </is>
      </c>
      <c r="E717" s="2" t="inlineStr">
        <is>
          <t>2.0mm</t>
        </is>
      </c>
      <c r="F717" s="2" t="n">
        <v>2</v>
      </c>
      <c r="G717" s="2" t="n">
        <v>15</v>
      </c>
      <c r="H717" s="2" t="inlineStr">
        <is>
          <t>LC/PC</t>
        </is>
      </c>
      <c r="I717" s="2" t="inlineStr">
        <is>
          <t>FC/PC</t>
        </is>
      </c>
      <c r="J717" s="2" t="n">
        <v>24</v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>
        <f>SUM(J717:U717)*G717</f>
        <v/>
      </c>
      <c r="W717" s="2">
        <f>MAX(J717:U717)</f>
        <v/>
      </c>
      <c r="X717" s="2">
        <f>W717*G717</f>
        <v/>
      </c>
    </row>
    <row r="718">
      <c r="A718" s="2" t="inlineStr">
        <is>
          <t>A14-DB-N199</t>
        </is>
      </c>
      <c r="B718" s="3" t="inlineStr">
        <is>
          <t>DOJC-SM-LC/PC-FC/PC</t>
        </is>
      </c>
      <c r="C718" s="2" t="inlineStr">
        <is>
          <t>908040732, 20M, B3, 2.0mm</t>
        </is>
      </c>
      <c r="D718" s="2" t="inlineStr">
        <is>
          <t>b3</t>
        </is>
      </c>
      <c r="E718" s="2" t="inlineStr">
        <is>
          <t>2.0mm</t>
        </is>
      </c>
      <c r="F718" s="2" t="n">
        <v>2</v>
      </c>
      <c r="G718" s="2" t="n">
        <v>20</v>
      </c>
      <c r="H718" s="2" t="inlineStr">
        <is>
          <t>LC/PC</t>
        </is>
      </c>
      <c r="I718" s="2" t="inlineStr">
        <is>
          <t>FC/PC</t>
        </is>
      </c>
      <c r="J718" s="2" t="n"/>
      <c r="K718" s="2" t="n"/>
      <c r="L718" s="2" t="n"/>
      <c r="M718" s="2" t="n"/>
      <c r="N718" s="2" t="n"/>
      <c r="O718" s="2" t="n"/>
      <c r="P718" s="2" t="n">
        <v>6</v>
      </c>
      <c r="Q718" s="2" t="n">
        <v>5</v>
      </c>
      <c r="R718" s="2" t="n"/>
      <c r="S718" s="2" t="n"/>
      <c r="T718" s="2" t="n"/>
      <c r="U718" s="2" t="n"/>
      <c r="V718" s="2">
        <f>SUM(J718:U718)*G718</f>
        <v/>
      </c>
      <c r="W718" s="2">
        <f>MAX(J718:U718)</f>
        <v/>
      </c>
      <c r="X718" s="2">
        <f>W718*G718</f>
        <v/>
      </c>
    </row>
    <row r="719">
      <c r="A719" s="2" t="inlineStr">
        <is>
          <t>A14-DB-N202</t>
        </is>
      </c>
      <c r="B719" s="3" t="inlineStr">
        <is>
          <t>DOJC-SM-LC/PC-FC/PC</t>
        </is>
      </c>
      <c r="C719" s="2" t="inlineStr">
        <is>
          <t>908040853, 25M, B3, 2.0mm</t>
        </is>
      </c>
      <c r="D719" s="2" t="inlineStr">
        <is>
          <t>b3</t>
        </is>
      </c>
      <c r="E719" s="2" t="inlineStr">
        <is>
          <t>2.0mm</t>
        </is>
      </c>
      <c r="F719" s="2" t="n">
        <v>2</v>
      </c>
      <c r="G719" s="2" t="n">
        <v>25</v>
      </c>
      <c r="H719" s="2" t="inlineStr">
        <is>
          <t>LC/PC</t>
        </is>
      </c>
      <c r="I719" s="2" t="inlineStr">
        <is>
          <t>FC/PC</t>
        </is>
      </c>
      <c r="J719" s="2" t="n"/>
      <c r="K719" s="2" t="n"/>
      <c r="L719" s="2" t="n"/>
      <c r="M719" s="2" t="n"/>
      <c r="N719" s="2" t="n"/>
      <c r="O719" s="2" t="n"/>
      <c r="P719" s="2" t="n">
        <v>10</v>
      </c>
      <c r="Q719" s="2" t="n"/>
      <c r="R719" s="2" t="n"/>
      <c r="S719" s="2" t="n"/>
      <c r="T719" s="2" t="n"/>
      <c r="U719" s="2" t="n"/>
      <c r="V719" s="2">
        <f>SUM(J719:U719)*G719</f>
        <v/>
      </c>
      <c r="W719" s="2">
        <f>MAX(J719:U719)</f>
        <v/>
      </c>
      <c r="X719" s="2">
        <f>W719*G719</f>
        <v/>
      </c>
    </row>
    <row r="720">
      <c r="A720" s="2" t="inlineStr">
        <is>
          <t>A14-DB-N205</t>
        </is>
      </c>
      <c r="B720" s="3" t="inlineStr">
        <is>
          <t>DOJC-SM-LC/PC-FC/PC</t>
        </is>
      </c>
      <c r="C720" s="2" t="inlineStr">
        <is>
          <t>908040858, 30M, B3, 2.0mm</t>
        </is>
      </c>
      <c r="D720" s="2" t="inlineStr">
        <is>
          <t>b3</t>
        </is>
      </c>
      <c r="E720" s="2" t="inlineStr">
        <is>
          <t>2.0mm</t>
        </is>
      </c>
      <c r="F720" s="2" t="n">
        <v>2</v>
      </c>
      <c r="G720" s="2" t="n">
        <v>30</v>
      </c>
      <c r="H720" s="2" t="inlineStr">
        <is>
          <t>LC/PC</t>
        </is>
      </c>
      <c r="I720" s="2" t="inlineStr">
        <is>
          <t>FC/PC</t>
        </is>
      </c>
      <c r="J720" s="2" t="n">
        <v>1</v>
      </c>
      <c r="K720" s="2" t="n"/>
      <c r="L720" s="2" t="n">
        <v>33</v>
      </c>
      <c r="M720" s="2" t="n"/>
      <c r="N720" s="2" t="n"/>
      <c r="O720" s="2" t="n"/>
      <c r="P720" s="2" t="n"/>
      <c r="Q720" s="2" t="n"/>
      <c r="R720" s="2" t="n"/>
      <c r="S720" s="2" t="n">
        <v>12</v>
      </c>
      <c r="T720" s="2" t="n"/>
      <c r="U720" s="2" t="n">
        <v>3</v>
      </c>
      <c r="V720" s="2">
        <f>SUM(J720:U720)*G720</f>
        <v/>
      </c>
      <c r="W720" s="2">
        <f>MAX(J720:U720)</f>
        <v/>
      </c>
      <c r="X720" s="2">
        <f>W720*G720</f>
        <v/>
      </c>
    </row>
    <row r="721">
      <c r="A721" s="2" t="inlineStr">
        <is>
          <t>A14-DB-N206</t>
        </is>
      </c>
      <c r="B721" s="3" t="inlineStr">
        <is>
          <t>DOJC-SM-LC/PC-FC/PC</t>
        </is>
      </c>
      <c r="C721" s="2" t="inlineStr">
        <is>
          <t>35M, B3, 2.0mm</t>
        </is>
      </c>
      <c r="D721" s="2" t="inlineStr">
        <is>
          <t>b3</t>
        </is>
      </c>
      <c r="E721" s="2" t="inlineStr">
        <is>
          <t>2.0mm</t>
        </is>
      </c>
      <c r="F721" s="2" t="n">
        <v>2</v>
      </c>
      <c r="G721" s="2" t="n">
        <v>35</v>
      </c>
      <c r="H721" s="2" t="inlineStr">
        <is>
          <t>LC/PC</t>
        </is>
      </c>
      <c r="I721" s="2" t="inlineStr">
        <is>
          <t>FC/PC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>
        <v>15</v>
      </c>
      <c r="T721" s="2" t="n"/>
      <c r="U721" s="2" t="n"/>
      <c r="V721" s="2">
        <f>SUM(J721:U721)*G721</f>
        <v/>
      </c>
      <c r="W721" s="2">
        <f>MAX(J721:U721)</f>
        <v/>
      </c>
      <c r="X721" s="2">
        <f>W721*G721</f>
        <v/>
      </c>
    </row>
    <row r="722">
      <c r="A722" s="2" t="inlineStr">
        <is>
          <t>A14-DB-N208</t>
        </is>
      </c>
      <c r="B722" s="3" t="inlineStr">
        <is>
          <t>DOJC-SM-LC/PC-FC/PC</t>
        </is>
      </c>
      <c r="C722" s="2" t="inlineStr">
        <is>
          <t>40M, B3, 2.0mm</t>
        </is>
      </c>
      <c r="D722" s="2" t="inlineStr">
        <is>
          <t>b3</t>
        </is>
      </c>
      <c r="E722" s="2" t="inlineStr">
        <is>
          <t>2.0mm</t>
        </is>
      </c>
      <c r="F722" s="2" t="n">
        <v>2</v>
      </c>
      <c r="G722" s="2" t="n">
        <v>40</v>
      </c>
      <c r="H722" s="2" t="inlineStr">
        <is>
          <t>LC/PC</t>
        </is>
      </c>
      <c r="I722" s="2" t="inlineStr">
        <is>
          <t>FC/PC</t>
        </is>
      </c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>
        <v>22</v>
      </c>
      <c r="T722" s="2" t="n"/>
      <c r="U722" s="2" t="n">
        <v>5</v>
      </c>
      <c r="V722" s="2">
        <f>SUM(J722:U722)*G722</f>
        <v/>
      </c>
      <c r="W722" s="2">
        <f>MAX(J722:U722)</f>
        <v/>
      </c>
      <c r="X722" s="2">
        <f>W722*G722</f>
        <v/>
      </c>
    </row>
    <row r="723">
      <c r="A723" s="2" t="inlineStr">
        <is>
          <t>A14-DB-N223</t>
        </is>
      </c>
      <c r="B723" s="3" t="inlineStr">
        <is>
          <t>DOJC-SM-LC/PC-LC/PC</t>
        </is>
      </c>
      <c r="C723" s="2" t="inlineStr">
        <is>
          <t>908041006, 10M, B3, 2.0mm</t>
        </is>
      </c>
      <c r="D723" s="2" t="inlineStr">
        <is>
          <t>b3</t>
        </is>
      </c>
      <c r="E723" s="2" t="inlineStr">
        <is>
          <t>2.0mm</t>
        </is>
      </c>
      <c r="F723" s="2" t="n">
        <v>2</v>
      </c>
      <c r="G723" s="2" t="n">
        <v>10</v>
      </c>
      <c r="H723" s="2" t="inlineStr">
        <is>
          <t>LC/PC</t>
        </is>
      </c>
      <c r="I723" s="2" t="inlineStr">
        <is>
          <t>LC/PC</t>
        </is>
      </c>
      <c r="J723" s="2" t="n">
        <v>500</v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>
        <f>SUM(J723:U723)*G723</f>
        <v/>
      </c>
      <c r="W723" s="2">
        <f>MAX(J723:U723)</f>
        <v/>
      </c>
      <c r="X723" s="2">
        <f>W723*G723</f>
        <v/>
      </c>
    </row>
    <row r="724">
      <c r="A724" s="2" t="inlineStr">
        <is>
          <t>A14-DB-N225</t>
        </is>
      </c>
      <c r="B724" s="3" t="inlineStr">
        <is>
          <t>DOJC-SM-LC/PC-LC/PC</t>
        </is>
      </c>
      <c r="C724" s="2" t="inlineStr">
        <is>
          <t>908040694, 12M, B3, 2.0mm</t>
        </is>
      </c>
      <c r="D724" s="2" t="inlineStr">
        <is>
          <t>b3</t>
        </is>
      </c>
      <c r="E724" s="2" t="inlineStr">
        <is>
          <t>2.0mm</t>
        </is>
      </c>
      <c r="F724" s="2" t="n">
        <v>2</v>
      </c>
      <c r="G724" s="2" t="n">
        <v>12</v>
      </c>
      <c r="H724" s="2" t="inlineStr">
        <is>
          <t>LC/PC</t>
        </is>
      </c>
      <c r="I724" s="2" t="inlineStr">
        <is>
          <t>LC/PC</t>
        </is>
      </c>
      <c r="J724" s="2" t="n">
        <v>27</v>
      </c>
      <c r="K724" s="2" t="n">
        <v>160</v>
      </c>
      <c r="L724" s="2" t="n">
        <v>55</v>
      </c>
      <c r="M724" s="2" t="n"/>
      <c r="N724" s="2" t="n"/>
      <c r="O724" s="2" t="n"/>
      <c r="P724" s="2" t="n"/>
      <c r="Q724" s="2" t="n">
        <v>334</v>
      </c>
      <c r="R724" s="2" t="n">
        <v>32</v>
      </c>
      <c r="S724" s="2" t="n"/>
      <c r="T724" s="2" t="n">
        <v>20</v>
      </c>
      <c r="U724" s="2" t="n">
        <v>10</v>
      </c>
      <c r="V724" s="2">
        <f>SUM(J724:U724)*G724</f>
        <v/>
      </c>
      <c r="W724" s="2">
        <f>MAX(J724:U724)</f>
        <v/>
      </c>
      <c r="X724" s="2">
        <f>W724*G724</f>
        <v/>
      </c>
    </row>
    <row r="725">
      <c r="A725" s="2" t="inlineStr">
        <is>
          <t>A14-DB-N226</t>
        </is>
      </c>
      <c r="B725" s="3" t="inlineStr">
        <is>
          <t>DOJC-SM-LC/PC-LC/PC</t>
        </is>
      </c>
      <c r="C725" s="2" t="inlineStr">
        <is>
          <t>908040695, 13M, B3, 2.0mm</t>
        </is>
      </c>
      <c r="D725" s="2" t="inlineStr">
        <is>
          <t>b3</t>
        </is>
      </c>
      <c r="E725" s="2" t="inlineStr">
        <is>
          <t>2.0mm</t>
        </is>
      </c>
      <c r="F725" s="2" t="n">
        <v>2</v>
      </c>
      <c r="G725" s="2" t="n">
        <v>13</v>
      </c>
      <c r="H725" s="2" t="inlineStr">
        <is>
          <t>LC/PC</t>
        </is>
      </c>
      <c r="I725" s="2" t="inlineStr">
        <is>
          <t>LC/PC</t>
        </is>
      </c>
      <c r="J725" s="2" t="n">
        <v>600</v>
      </c>
      <c r="K725" s="2" t="n"/>
      <c r="L725" s="2" t="n"/>
      <c r="M725" s="2" t="n">
        <v>23</v>
      </c>
      <c r="N725" s="2" t="n"/>
      <c r="O725" s="2" t="n"/>
      <c r="P725" s="2" t="n"/>
      <c r="Q725" s="2" t="n"/>
      <c r="R725" s="2" t="n"/>
      <c r="S725" s="2" t="n">
        <v>30</v>
      </c>
      <c r="T725" s="2" t="n"/>
      <c r="U725" s="2" t="n"/>
      <c r="V725" s="2">
        <f>SUM(J725:U725)*G725</f>
        <v/>
      </c>
      <c r="W725" s="2">
        <f>MAX(J725:U725)</f>
        <v/>
      </c>
      <c r="X725" s="2">
        <f>W725*G725</f>
        <v/>
      </c>
    </row>
    <row r="726">
      <c r="A726" s="2" t="inlineStr">
        <is>
          <t>A14-DB-N228</t>
        </is>
      </c>
      <c r="B726" s="3" t="inlineStr">
        <is>
          <t>DOJC-SM-LC/PC-LC/PC</t>
        </is>
      </c>
      <c r="C726" s="2" t="inlineStr">
        <is>
          <t>908040697, 15M, B3, 2.0mm</t>
        </is>
      </c>
      <c r="D726" s="2" t="inlineStr">
        <is>
          <t>b3</t>
        </is>
      </c>
      <c r="E726" s="2" t="inlineStr">
        <is>
          <t>2.0mm</t>
        </is>
      </c>
      <c r="F726" s="2" t="n">
        <v>2</v>
      </c>
      <c r="G726" s="2" t="n">
        <v>15</v>
      </c>
      <c r="H726" s="2" t="inlineStr">
        <is>
          <t>LC/PC</t>
        </is>
      </c>
      <c r="I726" s="2" t="inlineStr">
        <is>
          <t>LC/PC</t>
        </is>
      </c>
      <c r="J726" s="2" t="n">
        <v>500</v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>
        <f>SUM(J726:U726)*G726</f>
        <v/>
      </c>
      <c r="W726" s="2">
        <f>MAX(J726:U726)</f>
        <v/>
      </c>
      <c r="X726" s="2">
        <f>W726*G726</f>
        <v/>
      </c>
    </row>
    <row r="727">
      <c r="A727" s="2" t="inlineStr">
        <is>
          <t>A14-DB-N231</t>
        </is>
      </c>
      <c r="B727" s="3" t="inlineStr">
        <is>
          <t>DOJC-SM-LC/PC-LC/PC</t>
        </is>
      </c>
      <c r="C727" s="2" t="inlineStr">
        <is>
          <t>18M, B3, 2.0mm</t>
        </is>
      </c>
      <c r="D727" s="2" t="inlineStr">
        <is>
          <t>b3</t>
        </is>
      </c>
      <c r="E727" s="2" t="inlineStr">
        <is>
          <t>2.0mm</t>
        </is>
      </c>
      <c r="F727" s="2" t="n">
        <v>2</v>
      </c>
      <c r="G727" s="2" t="n">
        <v>18</v>
      </c>
      <c r="H727" s="2" t="inlineStr">
        <is>
          <t>LC/PC</t>
        </is>
      </c>
      <c r="I727" s="2" t="inlineStr">
        <is>
          <t>LC/PC</t>
        </is>
      </c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>
        <v>30</v>
      </c>
      <c r="T727" s="2" t="n"/>
      <c r="U727" s="2" t="n"/>
      <c r="V727" s="2">
        <f>SUM(J727:U727)*G727</f>
        <v/>
      </c>
      <c r="W727" s="2">
        <f>MAX(J727:U727)</f>
        <v/>
      </c>
      <c r="X727" s="2">
        <f>W727*G727</f>
        <v/>
      </c>
    </row>
    <row r="728">
      <c r="A728" s="2" t="inlineStr">
        <is>
          <t>A14-DB-N234</t>
        </is>
      </c>
      <c r="B728" s="3" t="inlineStr">
        <is>
          <t>DOJC-SM-LC/PC-LC/PC</t>
        </is>
      </c>
      <c r="C728" s="2" t="inlineStr">
        <is>
          <t>908040702, 20M, B3, 2.0mm</t>
        </is>
      </c>
      <c r="D728" s="2" t="inlineStr">
        <is>
          <t>b3</t>
        </is>
      </c>
      <c r="E728" s="2" t="inlineStr">
        <is>
          <t>2.0mm</t>
        </is>
      </c>
      <c r="F728" s="2" t="n">
        <v>2</v>
      </c>
      <c r="G728" s="2" t="n">
        <v>20</v>
      </c>
      <c r="H728" s="2" t="inlineStr">
        <is>
          <t>LC/PC</t>
        </is>
      </c>
      <c r="I728" s="2" t="inlineStr">
        <is>
          <t>LC/PC</t>
        </is>
      </c>
      <c r="J728" s="2" t="n"/>
      <c r="K728" s="2" t="n"/>
      <c r="L728" s="2" t="n"/>
      <c r="M728" s="2" t="n">
        <v>265</v>
      </c>
      <c r="N728" s="2" t="n">
        <v>46</v>
      </c>
      <c r="O728" s="2" t="n"/>
      <c r="P728" s="2" t="n"/>
      <c r="Q728" s="2" t="n"/>
      <c r="R728" s="2" t="n"/>
      <c r="S728" s="2" t="n">
        <v>50</v>
      </c>
      <c r="T728" s="2" t="n"/>
      <c r="U728" s="2" t="n"/>
      <c r="V728" s="2">
        <f>SUM(J728:U728)*G728</f>
        <v/>
      </c>
      <c r="W728" s="2">
        <f>MAX(J728:U728)</f>
        <v/>
      </c>
      <c r="X728" s="2">
        <f>W728*G728</f>
        <v/>
      </c>
    </row>
    <row r="729">
      <c r="A729" s="2" t="inlineStr">
        <is>
          <t>A14-DB-N237</t>
        </is>
      </c>
      <c r="B729" s="3" t="inlineStr">
        <is>
          <t>DOJC-SM-LC/PC-LC/PC</t>
        </is>
      </c>
      <c r="C729" s="2" t="inlineStr">
        <is>
          <t>908040707, 25M, B3, 2.0mm</t>
        </is>
      </c>
      <c r="D729" s="2" t="inlineStr">
        <is>
          <t>b3</t>
        </is>
      </c>
      <c r="E729" s="2" t="inlineStr">
        <is>
          <t>2.0mm</t>
        </is>
      </c>
      <c r="F729" s="2" t="n">
        <v>2</v>
      </c>
      <c r="G729" s="2" t="n">
        <v>25</v>
      </c>
      <c r="H729" s="2" t="inlineStr">
        <is>
          <t>LC/PC</t>
        </is>
      </c>
      <c r="I729" s="2" t="inlineStr">
        <is>
          <t>LC/PC</t>
        </is>
      </c>
      <c r="J729" s="2" t="n"/>
      <c r="K729" s="2" t="n"/>
      <c r="L729" s="2" t="n"/>
      <c r="M729" s="2" t="n"/>
      <c r="N729" s="2" t="n"/>
      <c r="O729" s="2" t="n">
        <v>105</v>
      </c>
      <c r="P729" s="2" t="n">
        <v>154</v>
      </c>
      <c r="Q729" s="2" t="n">
        <v>18</v>
      </c>
      <c r="R729" s="2" t="n"/>
      <c r="S729" s="2" t="n"/>
      <c r="T729" s="2" t="n"/>
      <c r="U729" s="2" t="n"/>
      <c r="V729" s="2">
        <f>SUM(J729:U729)*G729</f>
        <v/>
      </c>
      <c r="W729" s="2">
        <f>MAX(J729:U729)</f>
        <v/>
      </c>
      <c r="X729" s="2">
        <f>W729*G729</f>
        <v/>
      </c>
    </row>
    <row r="730">
      <c r="A730" s="2" t="inlineStr">
        <is>
          <t>A14-DB-N240</t>
        </is>
      </c>
      <c r="B730" s="3" t="inlineStr">
        <is>
          <t>DOJC-SM-LC/PC-LC/PC</t>
        </is>
      </c>
      <c r="C730" s="2" t="inlineStr">
        <is>
          <t>908040999, 2M, B3, 3.0mm</t>
        </is>
      </c>
      <c r="D730" s="2" t="inlineStr">
        <is>
          <t>b3</t>
        </is>
      </c>
      <c r="E730" s="2" t="inlineStr">
        <is>
          <t>3.0mm</t>
        </is>
      </c>
      <c r="F730" s="2" t="n">
        <v>2</v>
      </c>
      <c r="G730" s="2" t="n">
        <v>2</v>
      </c>
      <c r="H730" s="2" t="inlineStr">
        <is>
          <t>LC/PC</t>
        </is>
      </c>
      <c r="I730" s="2" t="inlineStr">
        <is>
          <t>LC/PC</t>
        </is>
      </c>
      <c r="J730" s="2" t="n"/>
      <c r="K730" s="2" t="n"/>
      <c r="L730" s="2" t="n">
        <v>15</v>
      </c>
      <c r="M730" s="2" t="n">
        <v>40</v>
      </c>
      <c r="N730" s="2" t="n"/>
      <c r="O730" s="2" t="n"/>
      <c r="P730" s="2" t="n"/>
      <c r="Q730" s="2" t="n">
        <v>150</v>
      </c>
      <c r="R730" s="2" t="n"/>
      <c r="S730" s="2" t="n"/>
      <c r="T730" s="2" t="n"/>
      <c r="U730" s="2" t="n"/>
      <c r="V730" s="2">
        <f>SUM(J730:U730)*G730</f>
        <v/>
      </c>
      <c r="W730" s="2">
        <f>MAX(J730:U730)</f>
        <v/>
      </c>
      <c r="X730" s="2">
        <f>W730*G730</f>
        <v/>
      </c>
    </row>
    <row r="731">
      <c r="A731" s="2" t="inlineStr">
        <is>
          <t>A14-DB-N241</t>
        </is>
      </c>
      <c r="B731" s="3" t="inlineStr">
        <is>
          <t>DOJC-SM-LC/PC-LC/PC</t>
        </is>
      </c>
      <c r="C731" s="2" t="inlineStr">
        <is>
          <t>908040712, 30M, B3, 2.0mm</t>
        </is>
      </c>
      <c r="D731" s="2" t="inlineStr">
        <is>
          <t>b3</t>
        </is>
      </c>
      <c r="E731" s="2" t="inlineStr">
        <is>
          <t>2.0mm</t>
        </is>
      </c>
      <c r="F731" s="2" t="n">
        <v>2</v>
      </c>
      <c r="G731" s="2" t="n">
        <v>30</v>
      </c>
      <c r="H731" s="2" t="inlineStr">
        <is>
          <t>LC/PC</t>
        </is>
      </c>
      <c r="I731" s="2" t="inlineStr">
        <is>
          <t>LC/PC</t>
        </is>
      </c>
      <c r="J731" s="2" t="n"/>
      <c r="K731" s="2" t="n"/>
      <c r="L731" s="2" t="n"/>
      <c r="M731" s="2" t="n"/>
      <c r="N731" s="2" t="n"/>
      <c r="O731" s="2" t="n"/>
      <c r="P731" s="2" t="n">
        <v>33</v>
      </c>
      <c r="Q731" s="2" t="n">
        <v>92</v>
      </c>
      <c r="R731" s="2" t="n"/>
      <c r="S731" s="2" t="n">
        <v>84</v>
      </c>
      <c r="T731" s="2" t="n"/>
      <c r="U731" s="2" t="n"/>
      <c r="V731" s="2">
        <f>SUM(J731:U731)*G731</f>
        <v/>
      </c>
      <c r="W731" s="2">
        <f>MAX(J731:U731)</f>
        <v/>
      </c>
      <c r="X731" s="2">
        <f>W731*G731</f>
        <v/>
      </c>
    </row>
    <row r="732">
      <c r="A732" s="2" t="inlineStr">
        <is>
          <t>A14-DB-N243</t>
        </is>
      </c>
      <c r="B732" s="3" t="inlineStr">
        <is>
          <t>DOJC-SM-LC/PC-LC/PC</t>
        </is>
      </c>
      <c r="C732" s="2" t="inlineStr">
        <is>
          <t>920000726, 35M, B3, 2.0mm</t>
        </is>
      </c>
      <c r="D732" s="2" t="inlineStr">
        <is>
          <t>b3</t>
        </is>
      </c>
      <c r="E732" s="2" t="inlineStr">
        <is>
          <t>2.0mm</t>
        </is>
      </c>
      <c r="F732" s="2" t="n">
        <v>2</v>
      </c>
      <c r="G732" s="2" t="n">
        <v>35</v>
      </c>
      <c r="H732" s="2" t="inlineStr">
        <is>
          <t>LC/PC</t>
        </is>
      </c>
      <c r="I732" s="2" t="inlineStr">
        <is>
          <t>LC/PC</t>
        </is>
      </c>
      <c r="J732" s="2" t="n">
        <v>9</v>
      </c>
      <c r="K732" s="2" t="n">
        <v>190</v>
      </c>
      <c r="L732" s="2" t="n">
        <v>10</v>
      </c>
      <c r="M732" s="2" t="n">
        <v>43</v>
      </c>
      <c r="N732" s="2" t="n">
        <v>26</v>
      </c>
      <c r="O732" s="2" t="n">
        <v>24</v>
      </c>
      <c r="P732" s="2" t="n">
        <v>60</v>
      </c>
      <c r="Q732" s="2" t="n"/>
      <c r="R732" s="2" t="n">
        <v>30</v>
      </c>
      <c r="S732" s="2" t="n">
        <v>7</v>
      </c>
      <c r="T732" s="2" t="n"/>
      <c r="U732" s="2" t="n">
        <v>37</v>
      </c>
      <c r="V732" s="2">
        <f>SUM(J732:U732)*G732</f>
        <v/>
      </c>
      <c r="W732" s="2">
        <f>MAX(J732:U732)</f>
        <v/>
      </c>
      <c r="X732" s="2">
        <f>W732*G732</f>
        <v/>
      </c>
    </row>
    <row r="733">
      <c r="A733" s="2" t="inlineStr">
        <is>
          <t>A14-DB-N244</t>
        </is>
      </c>
      <c r="B733" s="3" t="inlineStr">
        <is>
          <t>DOJC-SM-LC/PC-LC/PC</t>
        </is>
      </c>
      <c r="C733" s="2" t="inlineStr">
        <is>
          <t>908040997, 3M, B3, 3.0mm</t>
        </is>
      </c>
      <c r="D733" s="2" t="inlineStr">
        <is>
          <t>b3</t>
        </is>
      </c>
      <c r="E733" s="2" t="inlineStr">
        <is>
          <t>3.0mm</t>
        </is>
      </c>
      <c r="F733" s="2" t="n">
        <v>2</v>
      </c>
      <c r="G733" s="2" t="n">
        <v>3</v>
      </c>
      <c r="H733" s="2" t="inlineStr">
        <is>
          <t>LC/PC</t>
        </is>
      </c>
      <c r="I733" s="2" t="inlineStr">
        <is>
          <t>LC/PC</t>
        </is>
      </c>
      <c r="J733" s="2" t="n"/>
      <c r="K733" s="2" t="n"/>
      <c r="L733" s="2" t="n"/>
      <c r="M733" s="2" t="n"/>
      <c r="N733" s="2" t="n"/>
      <c r="O733" s="2" t="n"/>
      <c r="P733" s="2" t="n"/>
      <c r="Q733" s="2" t="n">
        <v>15</v>
      </c>
      <c r="R733" s="2" t="n">
        <v>10</v>
      </c>
      <c r="S733" s="2" t="n">
        <v>50</v>
      </c>
      <c r="T733" s="2" t="n">
        <v>50</v>
      </c>
      <c r="U733" s="2" t="n">
        <v>60</v>
      </c>
      <c r="V733" s="2">
        <f>SUM(J733:U733)*G733</f>
        <v/>
      </c>
      <c r="W733" s="2">
        <f>MAX(J733:U733)</f>
        <v/>
      </c>
      <c r="X733" s="2">
        <f>W733*G733</f>
        <v/>
      </c>
    </row>
    <row r="734">
      <c r="A734" s="2" t="inlineStr">
        <is>
          <t>A14-DB-N246</t>
        </is>
      </c>
      <c r="B734" s="3" t="inlineStr">
        <is>
          <t>DOJC-SM-LC/PC-LC/PC</t>
        </is>
      </c>
      <c r="C734" s="2" t="inlineStr">
        <is>
          <t>920000727, 40M, B3, 2.0mm</t>
        </is>
      </c>
      <c r="D734" s="2" t="inlineStr">
        <is>
          <t>b3</t>
        </is>
      </c>
      <c r="E734" s="2" t="inlineStr">
        <is>
          <t>2.0mm</t>
        </is>
      </c>
      <c r="F734" s="2" t="n">
        <v>2</v>
      </c>
      <c r="G734" s="2" t="n">
        <v>40</v>
      </c>
      <c r="H734" s="2" t="inlineStr">
        <is>
          <t>LC/PC</t>
        </is>
      </c>
      <c r="I734" s="2" t="inlineStr">
        <is>
          <t>LC/PC</t>
        </is>
      </c>
      <c r="J734" s="2" t="n"/>
      <c r="K734" s="2" t="n">
        <v>22</v>
      </c>
      <c r="L734" s="2" t="n">
        <v>15</v>
      </c>
      <c r="M734" s="2" t="n">
        <v>25</v>
      </c>
      <c r="N734" s="2" t="n">
        <v>4</v>
      </c>
      <c r="O734" s="2" t="n">
        <v>95</v>
      </c>
      <c r="P734" s="2" t="n">
        <v>20</v>
      </c>
      <c r="Q734" s="2" t="n">
        <v>16</v>
      </c>
      <c r="R734" s="2" t="n">
        <v>10</v>
      </c>
      <c r="S734" s="2" t="n">
        <v>20</v>
      </c>
      <c r="T734" s="2" t="n">
        <v>6</v>
      </c>
      <c r="U734" s="2" t="n">
        <v>11</v>
      </c>
      <c r="V734" s="2">
        <f>SUM(J734:U734)*G734</f>
        <v/>
      </c>
      <c r="W734" s="2">
        <f>MAX(J734:U734)</f>
        <v/>
      </c>
      <c r="X734" s="2">
        <f>W734*G734</f>
        <v/>
      </c>
    </row>
    <row r="735">
      <c r="A735" s="2" t="inlineStr">
        <is>
          <t>A14-DB-N247</t>
        </is>
      </c>
      <c r="B735" s="3" t="inlineStr">
        <is>
          <t>DOJC-SM-LC/PC-LC/PC</t>
        </is>
      </c>
      <c r="C735" s="2" t="inlineStr">
        <is>
          <t>45M, B3, 2.0mm</t>
        </is>
      </c>
      <c r="D735" s="2" t="inlineStr">
        <is>
          <t>b3</t>
        </is>
      </c>
      <c r="E735" s="2" t="inlineStr">
        <is>
          <t>2.0mm</t>
        </is>
      </c>
      <c r="F735" s="2" t="n">
        <v>2</v>
      </c>
      <c r="G735" s="2" t="n">
        <v>45</v>
      </c>
      <c r="H735" s="2" t="inlineStr">
        <is>
          <t>LC/PC</t>
        </is>
      </c>
      <c r="I735" s="2" t="inlineStr">
        <is>
          <t>LC/PC</t>
        </is>
      </c>
      <c r="J735" s="2" t="n">
        <v>11</v>
      </c>
      <c r="K735" s="2" t="n"/>
      <c r="L735" s="2" t="n">
        <v>14</v>
      </c>
      <c r="M735" s="2" t="n">
        <v>20</v>
      </c>
      <c r="N735" s="2" t="n">
        <v>20</v>
      </c>
      <c r="O735" s="2" t="n"/>
      <c r="P735" s="2" t="n">
        <v>4</v>
      </c>
      <c r="Q735" s="2" t="n"/>
      <c r="R735" s="2" t="n"/>
      <c r="S735" s="2" t="n">
        <v>5</v>
      </c>
      <c r="T735" s="2" t="n">
        <v>20</v>
      </c>
      <c r="U735" s="2" t="n">
        <v>16</v>
      </c>
      <c r="V735" s="2">
        <f>SUM(J735:U735)*G735</f>
        <v/>
      </c>
      <c r="W735" s="2">
        <f>MAX(J735:U735)</f>
        <v/>
      </c>
      <c r="X735" s="2">
        <f>W735*G735</f>
        <v/>
      </c>
    </row>
    <row r="736">
      <c r="A736" s="2" t="inlineStr">
        <is>
          <t>A14-DB-N249</t>
        </is>
      </c>
      <c r="B736" s="3" t="inlineStr">
        <is>
          <t>DOJC-SM-LC/PC-LC/PC</t>
        </is>
      </c>
      <c r="C736" s="2" t="inlineStr">
        <is>
          <t>50M, B3, 2.0mm</t>
        </is>
      </c>
      <c r="D736" s="2" t="inlineStr">
        <is>
          <t>b3</t>
        </is>
      </c>
      <c r="E736" s="2" t="inlineStr">
        <is>
          <t>2.0mm</t>
        </is>
      </c>
      <c r="F736" s="2" t="n">
        <v>2</v>
      </c>
      <c r="G736" s="2" t="n">
        <v>50</v>
      </c>
      <c r="H736" s="2" t="inlineStr">
        <is>
          <t>LC/PC</t>
        </is>
      </c>
      <c r="I736" s="2" t="inlineStr">
        <is>
          <t>LC/PC</t>
        </is>
      </c>
      <c r="J736" s="2" t="n"/>
      <c r="K736" s="2" t="n"/>
      <c r="L736" s="2" t="n">
        <v>5</v>
      </c>
      <c r="M736" s="2" t="n">
        <v>10</v>
      </c>
      <c r="N736" s="2" t="n"/>
      <c r="O736" s="2" t="n">
        <v>20</v>
      </c>
      <c r="P736" s="2" t="n">
        <v>4</v>
      </c>
      <c r="Q736" s="2" t="n"/>
      <c r="R736" s="2" t="n">
        <v>6</v>
      </c>
      <c r="S736" s="2" t="n"/>
      <c r="T736" s="2" t="n"/>
      <c r="U736" s="2" t="n"/>
      <c r="V736" s="2">
        <f>SUM(J736:U736)*G736</f>
        <v/>
      </c>
      <c r="W736" s="2">
        <f>MAX(J736:U736)</f>
        <v/>
      </c>
      <c r="X736" s="2">
        <f>W736*G736</f>
        <v/>
      </c>
    </row>
    <row r="737">
      <c r="A737" s="2" t="inlineStr">
        <is>
          <t>A14-DB-N252</t>
        </is>
      </c>
      <c r="B737" s="3" t="inlineStr">
        <is>
          <t>DOJC-SM-LC/PC-LC/PC</t>
        </is>
      </c>
      <c r="C737" s="2" t="inlineStr">
        <is>
          <t>55M, B3, 2.0mm</t>
        </is>
      </c>
      <c r="D737" s="2" t="inlineStr">
        <is>
          <t>b3</t>
        </is>
      </c>
      <c r="E737" s="2" t="inlineStr">
        <is>
          <t>2.0mm</t>
        </is>
      </c>
      <c r="F737" s="2" t="n">
        <v>2</v>
      </c>
      <c r="G737" s="2" t="n">
        <v>55</v>
      </c>
      <c r="H737" s="2" t="inlineStr">
        <is>
          <t>LC/PC</t>
        </is>
      </c>
      <c r="I737" s="2" t="inlineStr">
        <is>
          <t>LC/PC</t>
        </is>
      </c>
      <c r="J737" s="2" t="n"/>
      <c r="K737" s="2" t="n"/>
      <c r="L737" s="2" t="n">
        <v>2</v>
      </c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>
        <f>SUM(J737:U737)*G737</f>
        <v/>
      </c>
      <c r="W737" s="2">
        <f>MAX(J737:U737)</f>
        <v/>
      </c>
      <c r="X737" s="2">
        <f>W737*G737</f>
        <v/>
      </c>
    </row>
    <row r="738">
      <c r="A738" s="2" t="inlineStr">
        <is>
          <t>A14-DB-N253</t>
        </is>
      </c>
      <c r="B738" s="3" t="inlineStr">
        <is>
          <t>DOJC-SM-LC/PC-LC/PC</t>
        </is>
      </c>
      <c r="C738" s="2" t="inlineStr">
        <is>
          <t>908041001, 5M, B3, 3.0mm</t>
        </is>
      </c>
      <c r="D738" s="2" t="inlineStr">
        <is>
          <t>b3</t>
        </is>
      </c>
      <c r="E738" s="2" t="inlineStr">
        <is>
          <t>3.0mm</t>
        </is>
      </c>
      <c r="F738" s="2" t="n">
        <v>2</v>
      </c>
      <c r="G738" s="2" t="n">
        <v>5</v>
      </c>
      <c r="H738" s="2" t="inlineStr">
        <is>
          <t>LC/PC</t>
        </is>
      </c>
      <c r="I738" s="2" t="inlineStr">
        <is>
          <t>LC/PC</t>
        </is>
      </c>
      <c r="J738" s="2" t="n"/>
      <c r="K738" s="2" t="n"/>
      <c r="L738" s="2" t="n"/>
      <c r="M738" s="2" t="n"/>
      <c r="N738" s="2" t="n"/>
      <c r="O738" s="2" t="n"/>
      <c r="P738" s="2" t="n"/>
      <c r="Q738" s="2" t="n">
        <v>10</v>
      </c>
      <c r="R738" s="2" t="n"/>
      <c r="S738" s="2" t="n"/>
      <c r="T738" s="2" t="n">
        <v>28</v>
      </c>
      <c r="U738" s="2" t="n"/>
      <c r="V738" s="2">
        <f>SUM(J738:U738)*G738</f>
        <v/>
      </c>
      <c r="W738" s="2">
        <f>MAX(J738:U738)</f>
        <v/>
      </c>
      <c r="X738" s="2">
        <f>W738*G738</f>
        <v/>
      </c>
    </row>
    <row r="739">
      <c r="A739" s="2" t="inlineStr">
        <is>
          <t>A14-DB-N254</t>
        </is>
      </c>
      <c r="B739" s="3" t="inlineStr">
        <is>
          <t>DOJC-SM-LC/PC-LC/PC</t>
        </is>
      </c>
      <c r="C739" s="2" t="inlineStr">
        <is>
          <t>60M, B3, 2.0mm</t>
        </is>
      </c>
      <c r="D739" s="2" t="inlineStr">
        <is>
          <t>b3</t>
        </is>
      </c>
      <c r="E739" s="2" t="inlineStr">
        <is>
          <t>2.0mm</t>
        </is>
      </c>
      <c r="F739" s="2" t="n">
        <v>2</v>
      </c>
      <c r="G739" s="2" t="n">
        <v>60</v>
      </c>
      <c r="H739" s="2" t="inlineStr">
        <is>
          <t>LC/PC</t>
        </is>
      </c>
      <c r="I739" s="2" t="inlineStr">
        <is>
          <t>LC/PC</t>
        </is>
      </c>
      <c r="J739" s="2" t="n"/>
      <c r="K739" s="2" t="n"/>
      <c r="L739" s="2" t="n"/>
      <c r="M739" s="2" t="n"/>
      <c r="N739" s="2" t="n"/>
      <c r="O739" s="2" t="n">
        <v>3</v>
      </c>
      <c r="P739" s="2" t="n"/>
      <c r="Q739" s="2" t="n"/>
      <c r="R739" s="2" t="n"/>
      <c r="S739" s="2" t="n"/>
      <c r="T739" s="2" t="n"/>
      <c r="U739" s="2" t="n"/>
      <c r="V739" s="2">
        <f>SUM(J739:U739)*G739</f>
        <v/>
      </c>
      <c r="W739" s="2">
        <f>MAX(J739:U739)</f>
        <v/>
      </c>
      <c r="X739" s="2">
        <f>W739*G739</f>
        <v/>
      </c>
    </row>
    <row r="740">
      <c r="A740" s="2" t="inlineStr">
        <is>
          <t>A14-DB-N256</t>
        </is>
      </c>
      <c r="B740" s="3" t="inlineStr">
        <is>
          <t>DOJC-SM-LC/PC-LC/PC</t>
        </is>
      </c>
      <c r="C740" s="2" t="inlineStr">
        <is>
          <t>908041002, 6M, B3, 2.0mm</t>
        </is>
      </c>
      <c r="D740" s="2" t="inlineStr">
        <is>
          <t>b3</t>
        </is>
      </c>
      <c r="E740" s="2" t="inlineStr">
        <is>
          <t>2.0mm</t>
        </is>
      </c>
      <c r="F740" s="2" t="n">
        <v>2</v>
      </c>
      <c r="G740" s="2" t="n">
        <v>6</v>
      </c>
      <c r="H740" s="2" t="inlineStr">
        <is>
          <t>LC/PC</t>
        </is>
      </c>
      <c r="I740" s="2" t="inlineStr">
        <is>
          <t>LC/PC</t>
        </is>
      </c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>
        <v>11</v>
      </c>
      <c r="V740" s="2">
        <f>SUM(J740:U740)*G740</f>
        <v/>
      </c>
      <c r="W740" s="2">
        <f>MAX(J740:U740)</f>
        <v/>
      </c>
      <c r="X740" s="2">
        <f>W740*G740</f>
        <v/>
      </c>
    </row>
    <row r="741">
      <c r="A741" s="2" t="inlineStr">
        <is>
          <t>A14-DB-N258</t>
        </is>
      </c>
      <c r="B741" s="3" t="inlineStr">
        <is>
          <t>DOJC-SM-LC/PC-LC/PC</t>
        </is>
      </c>
      <c r="C741" s="2" t="inlineStr">
        <is>
          <t>908041003, 7M, B3, 2.0mm</t>
        </is>
      </c>
      <c r="D741" s="2" t="inlineStr">
        <is>
          <t>b3</t>
        </is>
      </c>
      <c r="E741" s="2" t="inlineStr">
        <is>
          <t>2.0mm</t>
        </is>
      </c>
      <c r="F741" s="2" t="n">
        <v>2</v>
      </c>
      <c r="G741" s="2" t="n">
        <v>7</v>
      </c>
      <c r="H741" s="2" t="inlineStr">
        <is>
          <t>LC/PC</t>
        </is>
      </c>
      <c r="I741" s="2" t="inlineStr">
        <is>
          <t>LC/PC</t>
        </is>
      </c>
      <c r="J741" s="2" t="n">
        <v>500</v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>
        <v>200</v>
      </c>
      <c r="V741" s="2">
        <f>SUM(J741:U741)*G741</f>
        <v/>
      </c>
      <c r="W741" s="2">
        <f>MAX(J741:U741)</f>
        <v/>
      </c>
      <c r="X741" s="2">
        <f>W741*G741</f>
        <v/>
      </c>
    </row>
    <row r="742">
      <c r="A742" s="2" t="inlineStr">
        <is>
          <t>A14-DB-N260</t>
        </is>
      </c>
      <c r="B742" s="3" t="inlineStr">
        <is>
          <t>DOJC-SM-LC/PC-LC/PC</t>
        </is>
      </c>
      <c r="C742" s="2" t="inlineStr">
        <is>
          <t>908041004, 8M, B3, 2.0mm</t>
        </is>
      </c>
      <c r="D742" s="2" t="inlineStr">
        <is>
          <t>b3</t>
        </is>
      </c>
      <c r="E742" s="2" t="inlineStr">
        <is>
          <t>2.0mm</t>
        </is>
      </c>
      <c r="F742" s="2" t="n">
        <v>2</v>
      </c>
      <c r="G742" s="2" t="n">
        <v>8</v>
      </c>
      <c r="H742" s="2" t="inlineStr">
        <is>
          <t>LC/PC</t>
        </is>
      </c>
      <c r="I742" s="2" t="inlineStr">
        <is>
          <t>LC/PC</t>
        </is>
      </c>
      <c r="J742" s="2" t="n"/>
      <c r="K742" s="2" t="n"/>
      <c r="L742" s="2" t="n"/>
      <c r="M742" s="2" t="n"/>
      <c r="N742" s="2" t="n"/>
      <c r="O742" s="2" t="n"/>
      <c r="P742" s="2" t="n"/>
      <c r="Q742" s="2" t="n">
        <v>8</v>
      </c>
      <c r="R742" s="2" t="n">
        <v>64</v>
      </c>
      <c r="S742" s="2" t="n"/>
      <c r="T742" s="2" t="n">
        <v>4</v>
      </c>
      <c r="U742" s="2" t="n">
        <v>25</v>
      </c>
      <c r="V742" s="2">
        <f>SUM(J742:U742)*G742</f>
        <v/>
      </c>
      <c r="W742" s="2">
        <f>MAX(J742:U742)</f>
        <v/>
      </c>
      <c r="X742" s="2">
        <f>W742*G742</f>
        <v/>
      </c>
    </row>
    <row r="743">
      <c r="A743" s="2" t="inlineStr">
        <is>
          <t>A14-DB-N263</t>
        </is>
      </c>
      <c r="B743" s="3" t="inlineStr">
        <is>
          <t>DOJC-SM-LC/PC-SC/APC</t>
        </is>
      </c>
      <c r="C743" s="2" t="inlineStr">
        <is>
          <t>908040916, 10M, B3, 2.0mm</t>
        </is>
      </c>
      <c r="D743" s="2" t="inlineStr">
        <is>
          <t>b3</t>
        </is>
      </c>
      <c r="E743" s="2" t="inlineStr">
        <is>
          <t>2.0mm</t>
        </is>
      </c>
      <c r="F743" s="2" t="n">
        <v>2</v>
      </c>
      <c r="G743" s="2" t="n">
        <v>10</v>
      </c>
      <c r="H743" s="2" t="inlineStr">
        <is>
          <t>LC/PC</t>
        </is>
      </c>
      <c r="I743" s="2" t="inlineStr">
        <is>
          <t>SC/APC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>
        <v>46</v>
      </c>
      <c r="S743" s="2" t="n">
        <v>20</v>
      </c>
      <c r="T743" s="2" t="n"/>
      <c r="U743" s="2" t="n"/>
      <c r="V743" s="2">
        <f>SUM(J743:U743)*G743</f>
        <v/>
      </c>
      <c r="W743" s="2">
        <f>MAX(J743:U743)</f>
        <v/>
      </c>
      <c r="X743" s="2">
        <f>W743*G743</f>
        <v/>
      </c>
    </row>
    <row r="744">
      <c r="A744" s="2" t="inlineStr">
        <is>
          <t>A14-DB-N266</t>
        </is>
      </c>
      <c r="B744" s="3" t="inlineStr">
        <is>
          <t>DOJC-SM-LC/PC-SC/APC</t>
        </is>
      </c>
      <c r="C744" s="2" t="inlineStr">
        <is>
          <t>908040921, 15M, B3, 2.0mm</t>
        </is>
      </c>
      <c r="D744" s="2" t="inlineStr">
        <is>
          <t>b3</t>
        </is>
      </c>
      <c r="E744" s="2" t="inlineStr">
        <is>
          <t>2.0mm</t>
        </is>
      </c>
      <c r="F744" s="2" t="n">
        <v>2</v>
      </c>
      <c r="G744" s="2" t="n">
        <v>15</v>
      </c>
      <c r="H744" s="2" t="inlineStr">
        <is>
          <t>LC/PC</t>
        </is>
      </c>
      <c r="I744" s="2" t="inlineStr">
        <is>
          <t>SC/APC</t>
        </is>
      </c>
      <c r="J744" s="2" t="n"/>
      <c r="K744" s="2" t="n">
        <v>7</v>
      </c>
      <c r="L744" s="2" t="n">
        <v>24</v>
      </c>
      <c r="M744" s="2" t="n">
        <v>14</v>
      </c>
      <c r="N744" s="2" t="n">
        <v>2</v>
      </c>
      <c r="O744" s="2" t="n"/>
      <c r="P744" s="2" t="n"/>
      <c r="Q744" s="2" t="n">
        <v>26</v>
      </c>
      <c r="R744" s="2" t="n"/>
      <c r="S744" s="2" t="n"/>
      <c r="T744" s="2" t="n"/>
      <c r="U744" s="2" t="n">
        <v>30</v>
      </c>
      <c r="V744" s="2">
        <f>SUM(J744:U744)*G744</f>
        <v/>
      </c>
      <c r="W744" s="2">
        <f>MAX(J744:U744)</f>
        <v/>
      </c>
      <c r="X744" s="2">
        <f>W744*G744</f>
        <v/>
      </c>
    </row>
    <row r="745">
      <c r="A745" s="2" t="inlineStr">
        <is>
          <t>A14-DB-N267</t>
        </is>
      </c>
      <c r="B745" s="3" t="inlineStr">
        <is>
          <t>DOJC-SM-LC/PC-SC/APC</t>
        </is>
      </c>
      <c r="C745" s="2" t="inlineStr">
        <is>
          <t>908040908, 1M, B3, 3.0mm</t>
        </is>
      </c>
      <c r="D745" s="2" t="inlineStr">
        <is>
          <t>b3</t>
        </is>
      </c>
      <c r="E745" s="2" t="inlineStr">
        <is>
          <t>3.0mm</t>
        </is>
      </c>
      <c r="F745" s="2" t="n">
        <v>2</v>
      </c>
      <c r="G745" s="2" t="n">
        <v>1</v>
      </c>
      <c r="H745" s="2" t="inlineStr">
        <is>
          <t>LC/PC</t>
        </is>
      </c>
      <c r="I745" s="2" t="inlineStr">
        <is>
          <t>SC/APC</t>
        </is>
      </c>
      <c r="J745" s="2" t="n"/>
      <c r="K745" s="2" t="n"/>
      <c r="L745" s="2" t="n"/>
      <c r="M745" s="2" t="n"/>
      <c r="N745" s="2" t="n"/>
      <c r="O745" s="2" t="n"/>
      <c r="P745" s="2" t="n">
        <v>50</v>
      </c>
      <c r="Q745" s="2" t="n"/>
      <c r="R745" s="2" t="n"/>
      <c r="S745" s="2" t="n"/>
      <c r="T745" s="2" t="n">
        <v>30</v>
      </c>
      <c r="U745" s="2" t="n">
        <v>7</v>
      </c>
      <c r="V745" s="2">
        <f>SUM(J745:U745)*G745</f>
        <v/>
      </c>
      <c r="W745" s="2">
        <f>MAX(J745:U745)</f>
        <v/>
      </c>
      <c r="X745" s="2">
        <f>W745*G745</f>
        <v/>
      </c>
    </row>
    <row r="746">
      <c r="A746" s="2" t="inlineStr">
        <is>
          <t>A14-DB-N268</t>
        </is>
      </c>
      <c r="B746" s="3" t="inlineStr">
        <is>
          <t>DOJC-SM-LC/PC-SC/APC</t>
        </is>
      </c>
      <c r="C746" s="2" t="inlineStr">
        <is>
          <t>908040926, 20M, B3, 2.0mm</t>
        </is>
      </c>
      <c r="D746" s="2" t="inlineStr">
        <is>
          <t>b3</t>
        </is>
      </c>
      <c r="E746" s="2" t="inlineStr">
        <is>
          <t>2.0mm</t>
        </is>
      </c>
      <c r="F746" s="2" t="n">
        <v>2</v>
      </c>
      <c r="G746" s="2" t="n">
        <v>20</v>
      </c>
      <c r="H746" s="2" t="inlineStr">
        <is>
          <t>LC/PC</t>
        </is>
      </c>
      <c r="I746" s="2" t="inlineStr">
        <is>
          <t>SC/APC</t>
        </is>
      </c>
      <c r="J746" s="2" t="n">
        <v>5</v>
      </c>
      <c r="K746" s="2" t="n">
        <v>27</v>
      </c>
      <c r="L746" s="2" t="n">
        <v>30</v>
      </c>
      <c r="M746" s="2" t="n">
        <v>2</v>
      </c>
      <c r="N746" s="2" t="n">
        <v>5</v>
      </c>
      <c r="O746" s="2" t="n">
        <v>15</v>
      </c>
      <c r="P746" s="2" t="n"/>
      <c r="Q746" s="2" t="n">
        <v>25</v>
      </c>
      <c r="R746" s="2" t="n">
        <v>20</v>
      </c>
      <c r="S746" s="2" t="n"/>
      <c r="T746" s="2" t="n"/>
      <c r="U746" s="2" t="n"/>
      <c r="V746" s="2">
        <f>SUM(J746:U746)*G746</f>
        <v/>
      </c>
      <c r="W746" s="2">
        <f>MAX(J746:U746)</f>
        <v/>
      </c>
      <c r="X746" s="2">
        <f>W746*G746</f>
        <v/>
      </c>
    </row>
    <row r="747">
      <c r="A747" s="2" t="inlineStr">
        <is>
          <t>A14-DB-N270</t>
        </is>
      </c>
      <c r="B747" s="3" t="inlineStr">
        <is>
          <t>DOJC-SM-LC/PC-SC/APC</t>
        </is>
      </c>
      <c r="C747" s="2" t="inlineStr">
        <is>
          <t>908040931, 25M, B3, 2.0mm</t>
        </is>
      </c>
      <c r="D747" s="2" t="inlineStr">
        <is>
          <t>b3</t>
        </is>
      </c>
      <c r="E747" s="2" t="inlineStr">
        <is>
          <t>2.0mm</t>
        </is>
      </c>
      <c r="F747" s="2" t="n">
        <v>2</v>
      </c>
      <c r="G747" s="2" t="n">
        <v>25</v>
      </c>
      <c r="H747" s="2" t="inlineStr">
        <is>
          <t>LC/PC</t>
        </is>
      </c>
      <c r="I747" s="2" t="inlineStr">
        <is>
          <t>SC/APC</t>
        </is>
      </c>
      <c r="J747" s="2" t="n"/>
      <c r="K747" s="2" t="n">
        <v>5</v>
      </c>
      <c r="L747" s="2" t="n"/>
      <c r="M747" s="2" t="n"/>
      <c r="N747" s="2" t="n"/>
      <c r="O747" s="2" t="n"/>
      <c r="P747" s="2" t="n">
        <v>5</v>
      </c>
      <c r="Q747" s="2" t="n">
        <v>25</v>
      </c>
      <c r="R747" s="2" t="n">
        <v>20</v>
      </c>
      <c r="S747" s="2" t="n"/>
      <c r="T747" s="2" t="n">
        <v>2</v>
      </c>
      <c r="U747" s="2" t="n">
        <v>4</v>
      </c>
      <c r="V747" s="2">
        <f>SUM(J747:U747)*G747</f>
        <v/>
      </c>
      <c r="W747" s="2">
        <f>MAX(J747:U747)</f>
        <v/>
      </c>
      <c r="X747" s="2">
        <f>W747*G747</f>
        <v/>
      </c>
    </row>
    <row r="748">
      <c r="A748" s="2" t="inlineStr">
        <is>
          <t>A14-DB-N272</t>
        </is>
      </c>
      <c r="B748" s="3" t="inlineStr">
        <is>
          <t>DOJC-SM-LC/PC-SC/APC</t>
        </is>
      </c>
      <c r="C748" s="2" t="inlineStr">
        <is>
          <t>908040936, 30M, B3, 2.0mm</t>
        </is>
      </c>
      <c r="D748" s="2" t="inlineStr">
        <is>
          <t>b3</t>
        </is>
      </c>
      <c r="E748" s="2" t="inlineStr">
        <is>
          <t>2.0mm</t>
        </is>
      </c>
      <c r="F748" s="2" t="n">
        <v>2</v>
      </c>
      <c r="G748" s="2" t="n">
        <v>30</v>
      </c>
      <c r="H748" s="2" t="inlineStr">
        <is>
          <t>LC/PC</t>
        </is>
      </c>
      <c r="I748" s="2" t="inlineStr">
        <is>
          <t>SC/APC</t>
        </is>
      </c>
      <c r="J748" s="2" t="n"/>
      <c r="K748" s="2" t="n"/>
      <c r="L748" s="2" t="n"/>
      <c r="M748" s="2" t="n">
        <v>10</v>
      </c>
      <c r="N748" s="2" t="n"/>
      <c r="O748" s="2" t="n"/>
      <c r="P748" s="2" t="n"/>
      <c r="Q748" s="2" t="n"/>
      <c r="R748" s="2" t="n"/>
      <c r="S748" s="2" t="n">
        <v>4</v>
      </c>
      <c r="T748" s="2" t="n"/>
      <c r="U748" s="2" t="n"/>
      <c r="V748" s="2">
        <f>SUM(J748:U748)*G748</f>
        <v/>
      </c>
      <c r="W748" s="2">
        <f>MAX(J748:U748)</f>
        <v/>
      </c>
      <c r="X748" s="2">
        <f>W748*G748</f>
        <v/>
      </c>
    </row>
    <row r="749">
      <c r="A749" s="2" t="inlineStr">
        <is>
          <t>A14-DB-N273</t>
        </is>
      </c>
      <c r="B749" s="3" t="inlineStr">
        <is>
          <t>DOJC-SM-LC/PC-SC/APC</t>
        </is>
      </c>
      <c r="C749" s="2" t="inlineStr">
        <is>
          <t>35M, B3, 2.0mm</t>
        </is>
      </c>
      <c r="D749" s="2" t="inlineStr">
        <is>
          <t>b3</t>
        </is>
      </c>
      <c r="E749" s="2" t="inlineStr">
        <is>
          <t>2.0mm</t>
        </is>
      </c>
      <c r="F749" s="2" t="n">
        <v>2</v>
      </c>
      <c r="G749" s="2" t="n">
        <v>35</v>
      </c>
      <c r="H749" s="2" t="inlineStr">
        <is>
          <t>LC/PC</t>
        </is>
      </c>
      <c r="I749" s="2" t="inlineStr">
        <is>
          <t>SC/APC</t>
        </is>
      </c>
      <c r="J749" s="2" t="n"/>
      <c r="K749" s="2" t="n"/>
      <c r="L749" s="2" t="n"/>
      <c r="M749" s="2" t="n"/>
      <c r="N749" s="2" t="n"/>
      <c r="O749" s="2" t="n"/>
      <c r="P749" s="2" t="n"/>
      <c r="Q749" s="2" t="n">
        <v>20</v>
      </c>
      <c r="R749" s="2" t="n"/>
      <c r="S749" s="2" t="n"/>
      <c r="T749" s="2" t="n"/>
      <c r="U749" s="2" t="n"/>
      <c r="V749" s="2">
        <f>SUM(J749:U749)*G749</f>
        <v/>
      </c>
      <c r="W749" s="2">
        <f>MAX(J749:U749)</f>
        <v/>
      </c>
      <c r="X749" s="2">
        <f>W749*G749</f>
        <v/>
      </c>
    </row>
    <row r="750">
      <c r="A750" s="2" t="inlineStr">
        <is>
          <t>A14-DB-N274</t>
        </is>
      </c>
      <c r="B750" s="3" t="inlineStr">
        <is>
          <t>DOJC-SM-LC/PC-SC/APC</t>
        </is>
      </c>
      <c r="C750" s="2" t="inlineStr">
        <is>
          <t>908040907, 3M, B3, 3.0mm</t>
        </is>
      </c>
      <c r="D750" s="2" t="inlineStr">
        <is>
          <t>b3</t>
        </is>
      </c>
      <c r="E750" s="2" t="inlineStr">
        <is>
          <t>3.0mm</t>
        </is>
      </c>
      <c r="F750" s="2" t="n">
        <v>2</v>
      </c>
      <c r="G750" s="2" t="n">
        <v>3</v>
      </c>
      <c r="H750" s="2" t="inlineStr">
        <is>
          <t>LC/PC</t>
        </is>
      </c>
      <c r="I750" s="2" t="inlineStr">
        <is>
          <t>SC/APC</t>
        </is>
      </c>
      <c r="J750" s="2" t="n">
        <v>2</v>
      </c>
      <c r="K750" s="2" t="n"/>
      <c r="L750" s="2" t="n"/>
      <c r="M750" s="2" t="n"/>
      <c r="N750" s="2" t="n"/>
      <c r="O750" s="2" t="n"/>
      <c r="P750" s="2" t="n"/>
      <c r="Q750" s="2" t="n"/>
      <c r="R750" s="2" t="n">
        <v>10</v>
      </c>
      <c r="S750" s="2" t="n">
        <v>60</v>
      </c>
      <c r="T750" s="2" t="n">
        <v>10</v>
      </c>
      <c r="U750" s="2" t="n">
        <v>30</v>
      </c>
      <c r="V750" s="2">
        <f>SUM(J750:U750)*G750</f>
        <v/>
      </c>
      <c r="W750" s="2">
        <f>MAX(J750:U750)</f>
        <v/>
      </c>
      <c r="X750" s="2">
        <f>W750*G750</f>
        <v/>
      </c>
    </row>
    <row r="751">
      <c r="A751" s="2" t="inlineStr">
        <is>
          <t>A14-DB-N277</t>
        </is>
      </c>
      <c r="B751" s="3" t="inlineStr">
        <is>
          <t>DOJC-SM-LC/PC-SC/APC</t>
        </is>
      </c>
      <c r="C751" s="2" t="inlineStr">
        <is>
          <t>908040911, 5M, B3, 3.0mm</t>
        </is>
      </c>
      <c r="D751" s="2" t="inlineStr">
        <is>
          <t>b3</t>
        </is>
      </c>
      <c r="E751" s="2" t="inlineStr">
        <is>
          <t>3.0mm</t>
        </is>
      </c>
      <c r="F751" s="2" t="n">
        <v>2</v>
      </c>
      <c r="G751" s="2" t="n">
        <v>5</v>
      </c>
      <c r="H751" s="2" t="inlineStr">
        <is>
          <t>LC/PC</t>
        </is>
      </c>
      <c r="I751" s="2" t="inlineStr">
        <is>
          <t>SC/APC</t>
        </is>
      </c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>
        <v>15</v>
      </c>
      <c r="U751" s="2" t="n"/>
      <c r="V751" s="2">
        <f>SUM(J751:U751)*G751</f>
        <v/>
      </c>
      <c r="W751" s="2">
        <f>MAX(J751:U751)</f>
        <v/>
      </c>
      <c r="X751" s="2">
        <f>W751*G751</f>
        <v/>
      </c>
    </row>
    <row r="752">
      <c r="A752" s="2" t="inlineStr">
        <is>
          <t>A14-DB-N279</t>
        </is>
      </c>
      <c r="B752" s="3" t="inlineStr">
        <is>
          <t>DOJC-SM-LC/PC-SC/APC</t>
        </is>
      </c>
      <c r="C752" s="2" t="inlineStr">
        <is>
          <t>908040913, 7M, B3, 2.0mm</t>
        </is>
      </c>
      <c r="D752" s="2" t="inlineStr">
        <is>
          <t>b3</t>
        </is>
      </c>
      <c r="E752" s="2" t="inlineStr">
        <is>
          <t>2.0mm</t>
        </is>
      </c>
      <c r="F752" s="2" t="n">
        <v>2</v>
      </c>
      <c r="G752" s="2" t="n">
        <v>7</v>
      </c>
      <c r="H752" s="2" t="inlineStr">
        <is>
          <t>LC/PC</t>
        </is>
      </c>
      <c r="I752" s="2" t="inlineStr">
        <is>
          <t>SC/APC</t>
        </is>
      </c>
      <c r="J752" s="2" t="n"/>
      <c r="K752" s="2" t="n"/>
      <c r="L752" s="2" t="n"/>
      <c r="M752" s="2" t="n">
        <v>20</v>
      </c>
      <c r="N752" s="2" t="n"/>
      <c r="O752" s="2" t="n"/>
      <c r="P752" s="2" t="n"/>
      <c r="Q752" s="2" t="n"/>
      <c r="R752" s="2" t="n">
        <v>30</v>
      </c>
      <c r="S752" s="2" t="n">
        <v>30</v>
      </c>
      <c r="T752" s="2" t="n"/>
      <c r="U752" s="2" t="n"/>
      <c r="V752" s="2">
        <f>SUM(J752:U752)*G752</f>
        <v/>
      </c>
      <c r="W752" s="2">
        <f>MAX(J752:U752)</f>
        <v/>
      </c>
      <c r="X752" s="2">
        <f>W752*G752</f>
        <v/>
      </c>
    </row>
    <row r="753">
      <c r="A753" s="2" t="inlineStr">
        <is>
          <t>A14-DB-N284</t>
        </is>
      </c>
      <c r="B753" s="3" t="inlineStr">
        <is>
          <t>DOJC-SM-LC/PC-SC/PC</t>
        </is>
      </c>
      <c r="C753" s="2" t="inlineStr">
        <is>
          <t>908040868, 10M,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2</v>
      </c>
      <c r="G753" s="2" t="n">
        <v>10</v>
      </c>
      <c r="H753" s="2" t="inlineStr">
        <is>
          <t>LC/PC</t>
        </is>
      </c>
      <c r="I753" s="2" t="inlineStr">
        <is>
          <t>SC/PC</t>
        </is>
      </c>
      <c r="J753" s="2" t="n">
        <v>50</v>
      </c>
      <c r="K753" s="2" t="n"/>
      <c r="L753" s="2" t="n"/>
      <c r="M753" s="2" t="n"/>
      <c r="N753" s="2" t="n"/>
      <c r="O753" s="2" t="n"/>
      <c r="P753" s="2" t="n">
        <v>6</v>
      </c>
      <c r="Q753" s="2" t="n">
        <v>150</v>
      </c>
      <c r="R753" s="2" t="n"/>
      <c r="S753" s="2" t="n"/>
      <c r="T753" s="2" t="n"/>
      <c r="U753" s="2" t="n"/>
      <c r="V753" s="2">
        <f>SUM(J753:U753)*G753</f>
        <v/>
      </c>
      <c r="W753" s="2">
        <f>MAX(J753:U753)</f>
        <v/>
      </c>
      <c r="X753" s="2">
        <f>W753*G753</f>
        <v/>
      </c>
    </row>
    <row r="754">
      <c r="A754" s="2" t="inlineStr">
        <is>
          <t>A14-DB-N286</t>
        </is>
      </c>
      <c r="B754" s="3" t="inlineStr">
        <is>
          <t>DOJC-SM-LC/PC-SC/PC</t>
        </is>
      </c>
      <c r="C754" s="2" t="inlineStr">
        <is>
          <t>908040870, 12M,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2</v>
      </c>
      <c r="G754" s="2" t="n">
        <v>12</v>
      </c>
      <c r="H754" s="2" t="inlineStr">
        <is>
          <t>LC/PC</t>
        </is>
      </c>
      <c r="I754" s="2" t="inlineStr">
        <is>
          <t>SC/PC</t>
        </is>
      </c>
      <c r="J754" s="2" t="n"/>
      <c r="K754" s="2" t="n">
        <v>120</v>
      </c>
      <c r="L754" s="2" t="n"/>
      <c r="M754" s="2" t="n"/>
      <c r="N754" s="2" t="n"/>
      <c r="O754" s="2" t="n"/>
      <c r="P754" s="2" t="n"/>
      <c r="Q754" s="2" t="n"/>
      <c r="R754" s="2" t="n">
        <v>20</v>
      </c>
      <c r="S754" s="2" t="n">
        <v>50</v>
      </c>
      <c r="T754" s="2" t="n">
        <v>20</v>
      </c>
      <c r="U754" s="2" t="n"/>
      <c r="V754" s="2">
        <f>SUM(J754:U754)*G754</f>
        <v/>
      </c>
      <c r="W754" s="2">
        <f>MAX(J754:U754)</f>
        <v/>
      </c>
      <c r="X754" s="2">
        <f>W754*G754</f>
        <v/>
      </c>
    </row>
    <row r="755">
      <c r="A755" s="2" t="inlineStr">
        <is>
          <t>A14-DB-N291</t>
        </is>
      </c>
      <c r="B755" s="3" t="inlineStr">
        <is>
          <t>DOJC-SM-LC/PC-SC/PC</t>
        </is>
      </c>
      <c r="C755" s="2" t="inlineStr">
        <is>
          <t>17M,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2</v>
      </c>
      <c r="G755" s="2" t="n">
        <v>17</v>
      </c>
      <c r="H755" s="2" t="inlineStr">
        <is>
          <t>LC/PC</t>
        </is>
      </c>
      <c r="I755" s="2" t="inlineStr">
        <is>
          <t>SC/PC</t>
        </is>
      </c>
      <c r="J755" s="2" t="n"/>
      <c r="K755" s="2" t="n"/>
      <c r="L755" s="2" t="n"/>
      <c r="M755" s="2" t="n"/>
      <c r="N755" s="2" t="n"/>
      <c r="O755" s="2" t="n">
        <v>7</v>
      </c>
      <c r="P755" s="2" t="n"/>
      <c r="Q755" s="2" t="n"/>
      <c r="R755" s="2" t="n"/>
      <c r="S755" s="2" t="n"/>
      <c r="T755" s="2" t="n"/>
      <c r="U755" s="2" t="n"/>
      <c r="V755" s="2">
        <f>SUM(J755:U755)*G755</f>
        <v/>
      </c>
      <c r="W755" s="2">
        <f>MAX(J755:U755)</f>
        <v/>
      </c>
      <c r="X755" s="2">
        <f>W755*G755</f>
        <v/>
      </c>
    </row>
    <row r="756">
      <c r="A756" s="2" t="inlineStr">
        <is>
          <t>A14-DB-N304</t>
        </is>
      </c>
      <c r="B756" s="3" t="inlineStr">
        <is>
          <t>DOJC-SM-LC/PC-SC/PC</t>
        </is>
      </c>
      <c r="C756" s="2" t="inlineStr">
        <is>
          <t>908040888, 30M, B3, 2.0mm</t>
        </is>
      </c>
      <c r="D756" s="2" t="inlineStr">
        <is>
          <t>b3</t>
        </is>
      </c>
      <c r="E756" s="2" t="inlineStr">
        <is>
          <t>2.0mm</t>
        </is>
      </c>
      <c r="F756" s="2" t="n">
        <v>2</v>
      </c>
      <c r="G756" s="2" t="n">
        <v>30</v>
      </c>
      <c r="H756" s="2" t="inlineStr">
        <is>
          <t>LC/PC</t>
        </is>
      </c>
      <c r="I756" s="2" t="inlineStr">
        <is>
          <t>SC/PC</t>
        </is>
      </c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>
        <v>2</v>
      </c>
      <c r="S756" s="2" t="n">
        <v>10</v>
      </c>
      <c r="T756" s="2" t="n">
        <v>41</v>
      </c>
      <c r="U756" s="2" t="n">
        <v>51</v>
      </c>
      <c r="V756" s="2">
        <f>SUM(J756:U756)*G756</f>
        <v/>
      </c>
      <c r="W756" s="2">
        <f>MAX(J756:U756)</f>
        <v/>
      </c>
      <c r="X756" s="2">
        <f>W756*G756</f>
        <v/>
      </c>
    </row>
    <row r="757">
      <c r="A757" s="2" t="inlineStr">
        <is>
          <t>A14-DB-N307</t>
        </is>
      </c>
      <c r="B757" s="3" t="inlineStr">
        <is>
          <t>DOJC-SM-LC/PC-SC/PC</t>
        </is>
      </c>
      <c r="C757" s="2" t="inlineStr">
        <is>
          <t>908040859, 3M, B3, 3.0mm</t>
        </is>
      </c>
      <c r="D757" s="2" t="inlineStr">
        <is>
          <t>b3</t>
        </is>
      </c>
      <c r="E757" s="2" t="inlineStr">
        <is>
          <t>3.0mm</t>
        </is>
      </c>
      <c r="F757" s="2" t="n">
        <v>2</v>
      </c>
      <c r="G757" s="2" t="n">
        <v>3</v>
      </c>
      <c r="H757" s="2" t="inlineStr">
        <is>
          <t>LC/PC</t>
        </is>
      </c>
      <c r="I757" s="2" t="inlineStr">
        <is>
          <t>SC/PC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>
        <v>50</v>
      </c>
      <c r="S757" s="2" t="n"/>
      <c r="T757" s="2" t="n"/>
      <c r="U757" s="2" t="n"/>
      <c r="V757" s="2">
        <f>SUM(J757:U757)*G757</f>
        <v/>
      </c>
      <c r="W757" s="2">
        <f>MAX(J757:U757)</f>
        <v/>
      </c>
      <c r="X757" s="2">
        <f>W757*G757</f>
        <v/>
      </c>
    </row>
    <row r="758">
      <c r="A758" s="2" t="inlineStr">
        <is>
          <t>A14-DB-N308</t>
        </is>
      </c>
      <c r="B758" s="3" t="inlineStr">
        <is>
          <t>DOJC-SM-LC/PC-SC/PC</t>
        </is>
      </c>
      <c r="C758" s="2" t="inlineStr">
        <is>
          <t>920000729, 40M, B3, 2.0mm</t>
        </is>
      </c>
      <c r="D758" s="2" t="inlineStr">
        <is>
          <t>b3</t>
        </is>
      </c>
      <c r="E758" s="2" t="inlineStr">
        <is>
          <t>2.0mm</t>
        </is>
      </c>
      <c r="F758" s="2" t="n">
        <v>2</v>
      </c>
      <c r="G758" s="2" t="n">
        <v>40</v>
      </c>
      <c r="H758" s="2" t="inlineStr">
        <is>
          <t>LC/PC</t>
        </is>
      </c>
      <c r="I758" s="2" t="inlineStr">
        <is>
          <t>SC/PC</t>
        </is>
      </c>
      <c r="J758" s="2" t="n"/>
      <c r="K758" s="2" t="n"/>
      <c r="L758" s="2" t="n"/>
      <c r="M758" s="2" t="n"/>
      <c r="N758" s="2" t="n"/>
      <c r="O758" s="2" t="n"/>
      <c r="P758" s="2" t="n">
        <v>5</v>
      </c>
      <c r="Q758" s="2" t="n"/>
      <c r="R758" s="2" t="n">
        <v>10</v>
      </c>
      <c r="S758" s="2" t="n">
        <v>2</v>
      </c>
      <c r="T758" s="2" t="n">
        <v>7</v>
      </c>
      <c r="U758" s="2" t="n">
        <v>5</v>
      </c>
      <c r="V758" s="2">
        <f>SUM(J758:U758)*G758</f>
        <v/>
      </c>
      <c r="W758" s="2">
        <f>MAX(J758:U758)</f>
        <v/>
      </c>
      <c r="X758" s="2">
        <f>W758*G758</f>
        <v/>
      </c>
    </row>
    <row r="759">
      <c r="A759" s="2" t="inlineStr">
        <is>
          <t>A14-DB-N310</t>
        </is>
      </c>
      <c r="B759" s="3" t="inlineStr">
        <is>
          <t>DOJC-SM-LC/PC-SC/PC</t>
        </is>
      </c>
      <c r="C759" s="2" t="inlineStr">
        <is>
          <t>908040862, 4M, B3, 3.0mm</t>
        </is>
      </c>
      <c r="D759" s="2" t="inlineStr">
        <is>
          <t>b3</t>
        </is>
      </c>
      <c r="E759" s="2" t="inlineStr">
        <is>
          <t>3.0mm</t>
        </is>
      </c>
      <c r="F759" s="2" t="n">
        <v>2</v>
      </c>
      <c r="G759" s="2" t="n">
        <v>4</v>
      </c>
      <c r="H759" s="2" t="inlineStr">
        <is>
          <t>LC/PC</t>
        </is>
      </c>
      <c r="I759" s="2" t="inlineStr">
        <is>
          <t>SC/PC</t>
        </is>
      </c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>
        <v>15</v>
      </c>
      <c r="T759" s="2" t="n"/>
      <c r="U759" s="2" t="n"/>
      <c r="V759" s="2">
        <f>SUM(J759:U759)*G759</f>
        <v/>
      </c>
      <c r="W759" s="2">
        <f>MAX(J759:U759)</f>
        <v/>
      </c>
      <c r="X759" s="2">
        <f>W759*G759</f>
        <v/>
      </c>
    </row>
    <row r="760">
      <c r="A760" s="2" t="inlineStr">
        <is>
          <t>A14-DB-N313</t>
        </is>
      </c>
      <c r="B760" s="3" t="inlineStr">
        <is>
          <t>DOJC-SM-LC/PC-SC/PC</t>
        </is>
      </c>
      <c r="C760" s="2" t="inlineStr">
        <is>
          <t>908040863, 5M, B3, 3.0mm</t>
        </is>
      </c>
      <c r="D760" s="2" t="inlineStr">
        <is>
          <t>b3</t>
        </is>
      </c>
      <c r="E760" s="2" t="inlineStr">
        <is>
          <t>3.0mm</t>
        </is>
      </c>
      <c r="F760" s="2" t="n">
        <v>2</v>
      </c>
      <c r="G760" s="2" t="n">
        <v>5</v>
      </c>
      <c r="H760" s="2" t="inlineStr">
        <is>
          <t>LC/PC</t>
        </is>
      </c>
      <c r="I760" s="2" t="inlineStr">
        <is>
          <t>SC/PC</t>
        </is>
      </c>
      <c r="J760" s="2" t="n"/>
      <c r="K760" s="2" t="n"/>
      <c r="L760" s="2" t="n">
        <v>55</v>
      </c>
      <c r="M760" s="2" t="n">
        <v>10</v>
      </c>
      <c r="N760" s="2" t="n">
        <v>10</v>
      </c>
      <c r="O760" s="2" t="n"/>
      <c r="P760" s="2" t="n"/>
      <c r="Q760" s="2" t="n">
        <v>10</v>
      </c>
      <c r="R760" s="2" t="n"/>
      <c r="S760" s="2" t="n"/>
      <c r="T760" s="2" t="n">
        <v>15</v>
      </c>
      <c r="U760" s="2" t="n"/>
      <c r="V760" s="2">
        <f>SUM(J760:U760)*G760</f>
        <v/>
      </c>
      <c r="W760" s="2">
        <f>MAX(J760:U760)</f>
        <v/>
      </c>
      <c r="X760" s="2">
        <f>W760*G760</f>
        <v/>
      </c>
    </row>
    <row r="761">
      <c r="A761" s="2" t="inlineStr">
        <is>
          <t>A14-DB-N315</t>
        </is>
      </c>
      <c r="B761" s="3" t="inlineStr">
        <is>
          <t>DOJC-SM-FC/APC-FC/APC</t>
        </is>
      </c>
      <c r="C761" s="2" t="inlineStr">
        <is>
          <t>50m, B3, 2.0mm</t>
        </is>
      </c>
      <c r="D761" s="2" t="inlineStr">
        <is>
          <t>b3</t>
        </is>
      </c>
      <c r="E761" s="2" t="inlineStr">
        <is>
          <t>2.0mm</t>
        </is>
      </c>
      <c r="F761" s="2" t="n">
        <v>2</v>
      </c>
      <c r="G761" s="2" t="n">
        <v>50</v>
      </c>
      <c r="H761" s="2" t="inlineStr">
        <is>
          <t>FC/APC</t>
        </is>
      </c>
      <c r="I761" s="2" t="inlineStr">
        <is>
          <t>FC/APC</t>
        </is>
      </c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>
        <v>10</v>
      </c>
      <c r="T761" s="2" t="n"/>
      <c r="U761" s="2" t="n"/>
      <c r="V761" s="2">
        <f>SUM(J761:U761)*G761</f>
        <v/>
      </c>
      <c r="W761" s="2">
        <f>MAX(J761:U761)</f>
        <v/>
      </c>
      <c r="X761" s="2">
        <f>W761*G761</f>
        <v/>
      </c>
    </row>
    <row r="762">
      <c r="A762" s="2" t="inlineStr">
        <is>
          <t>A14-DB-N316</t>
        </is>
      </c>
      <c r="B762" s="3" t="inlineStr">
        <is>
          <t>DOJC-SM-LC/PC-SC/PC</t>
        </is>
      </c>
      <c r="C762" s="2" t="inlineStr">
        <is>
          <t>908040864, 6M,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2</v>
      </c>
      <c r="G762" s="2" t="n">
        <v>6</v>
      </c>
      <c r="H762" s="2" t="inlineStr">
        <is>
          <t>LC/PC</t>
        </is>
      </c>
      <c r="I762" s="2" t="inlineStr">
        <is>
          <t>SC/PC</t>
        </is>
      </c>
      <c r="J762" s="2" t="n"/>
      <c r="K762" s="2" t="n"/>
      <c r="L762" s="2" t="n"/>
      <c r="M762" s="2" t="n"/>
      <c r="N762" s="2" t="n"/>
      <c r="O762" s="2" t="n">
        <v>50</v>
      </c>
      <c r="P762" s="2" t="n"/>
      <c r="Q762" s="2" t="n"/>
      <c r="R762" s="2" t="n"/>
      <c r="S762" s="2" t="n"/>
      <c r="T762" s="2" t="n">
        <v>10</v>
      </c>
      <c r="U762" s="2" t="n"/>
      <c r="V762" s="2">
        <f>SUM(J762:U762)*G762</f>
        <v/>
      </c>
      <c r="W762" s="2">
        <f>MAX(J762:U762)</f>
        <v/>
      </c>
      <c r="X762" s="2">
        <f>W762*G762</f>
        <v/>
      </c>
    </row>
    <row r="763">
      <c r="A763" s="2" t="inlineStr">
        <is>
          <t>A14-DB-N318</t>
        </is>
      </c>
      <c r="B763" s="3" t="inlineStr">
        <is>
          <t>DOJC-SM-LC/PC-SC/PC</t>
        </is>
      </c>
      <c r="C763" s="2" t="inlineStr">
        <is>
          <t>908040865, 7M,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2</v>
      </c>
      <c r="G763" s="2" t="n">
        <v>7</v>
      </c>
      <c r="H763" s="2" t="inlineStr">
        <is>
          <t>LC/PC</t>
        </is>
      </c>
      <c r="I763" s="2" t="inlineStr">
        <is>
          <t>SC/PC</t>
        </is>
      </c>
      <c r="J763" s="2" t="n">
        <v>60</v>
      </c>
      <c r="K763" s="2" t="n">
        <v>5</v>
      </c>
      <c r="L763" s="2" t="n">
        <v>50</v>
      </c>
      <c r="M763" s="2" t="n">
        <v>60</v>
      </c>
      <c r="N763" s="2" t="n">
        <v>5</v>
      </c>
      <c r="O763" s="2" t="n">
        <v>30</v>
      </c>
      <c r="P763" s="2" t="n">
        <v>50</v>
      </c>
      <c r="Q763" s="2" t="n"/>
      <c r="R763" s="2" t="n"/>
      <c r="S763" s="2" t="n">
        <v>90</v>
      </c>
      <c r="T763" s="2" t="n">
        <v>20</v>
      </c>
      <c r="U763" s="2" t="n"/>
      <c r="V763" s="2">
        <f>SUM(J763:U763)*G763</f>
        <v/>
      </c>
      <c r="W763" s="2">
        <f>MAX(J763:U763)</f>
        <v/>
      </c>
      <c r="X763" s="2">
        <f>W763*G763</f>
        <v/>
      </c>
    </row>
    <row r="764">
      <c r="A764" s="2" t="inlineStr">
        <is>
          <t>A14-DB-N320</t>
        </is>
      </c>
      <c r="B764" s="3" t="inlineStr">
        <is>
          <t>DOJC-SM-LC/PC-SC/PC</t>
        </is>
      </c>
      <c r="C764" s="2" t="inlineStr">
        <is>
          <t>908040866, 8M, B3, 2.0mm</t>
        </is>
      </c>
      <c r="D764" s="2" t="inlineStr">
        <is>
          <t>b3</t>
        </is>
      </c>
      <c r="E764" s="2" t="inlineStr">
        <is>
          <t>2.0mm</t>
        </is>
      </c>
      <c r="F764" s="2" t="n">
        <v>2</v>
      </c>
      <c r="G764" s="2" t="n">
        <v>8</v>
      </c>
      <c r="H764" s="2" t="inlineStr">
        <is>
          <t>LC/PC</t>
        </is>
      </c>
      <c r="I764" s="2" t="inlineStr">
        <is>
          <t>SC/PC</t>
        </is>
      </c>
      <c r="J764" s="2" t="n"/>
      <c r="K764" s="2" t="n"/>
      <c r="L764" s="2" t="n">
        <v>1</v>
      </c>
      <c r="M764" s="2" t="n">
        <v>30</v>
      </c>
      <c r="N764" s="2" t="n"/>
      <c r="O764" s="2" t="n"/>
      <c r="P764" s="2" t="n"/>
      <c r="Q764" s="2" t="n"/>
      <c r="R764" s="2" t="n">
        <v>20</v>
      </c>
      <c r="S764" s="2" t="n"/>
      <c r="T764" s="2" t="n"/>
      <c r="U764" s="2" t="n"/>
      <c r="V764" s="2">
        <f>SUM(J764:U764)*G764</f>
        <v/>
      </c>
      <c r="W764" s="2">
        <f>MAX(J764:U764)</f>
        <v/>
      </c>
      <c r="X764" s="2">
        <f>W764*G764</f>
        <v/>
      </c>
    </row>
    <row r="765">
      <c r="A765" s="2" t="inlineStr">
        <is>
          <t>A14-DB-N379</t>
        </is>
      </c>
      <c r="B765" s="3" t="inlineStr">
        <is>
          <t>DOJC-SM-SC/APC-SC/APC</t>
        </is>
      </c>
      <c r="C765" s="2" t="inlineStr">
        <is>
          <t>908040567, 10M,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2</v>
      </c>
      <c r="G765" s="2" t="n">
        <v>10</v>
      </c>
      <c r="H765" s="2" t="inlineStr">
        <is>
          <t>SC/APC</t>
        </is>
      </c>
      <c r="I765" s="2" t="inlineStr">
        <is>
          <t>SC/APC</t>
        </is>
      </c>
      <c r="J765" s="2" t="n"/>
      <c r="K765" s="2" t="n"/>
      <c r="L765" s="2" t="n"/>
      <c r="M765" s="2" t="n"/>
      <c r="N765" s="2" t="n"/>
      <c r="O765" s="2" t="n">
        <v>5</v>
      </c>
      <c r="P765" s="2" t="n"/>
      <c r="Q765" s="2" t="n"/>
      <c r="R765" s="2" t="n">
        <v>10</v>
      </c>
      <c r="S765" s="2" t="n"/>
      <c r="T765" s="2" t="n"/>
      <c r="U765" s="2" t="n"/>
      <c r="V765" s="2">
        <f>SUM(J765:U765)*G765</f>
        <v/>
      </c>
      <c r="W765" s="2">
        <f>MAX(J765:U765)</f>
        <v/>
      </c>
      <c r="X765" s="2">
        <f>W765*G765</f>
        <v/>
      </c>
    </row>
    <row r="766">
      <c r="A766" s="2" t="inlineStr">
        <is>
          <t>A14-DB-N381</t>
        </is>
      </c>
      <c r="B766" s="3" t="inlineStr">
        <is>
          <t>DOJC-SM-SC/APC-SC/APC</t>
        </is>
      </c>
      <c r="C766" s="2" t="inlineStr">
        <is>
          <t>908040572, 15M,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2</v>
      </c>
      <c r="G766" s="2" t="n">
        <v>15</v>
      </c>
      <c r="H766" s="2" t="inlineStr">
        <is>
          <t>SC/APC</t>
        </is>
      </c>
      <c r="I766" s="2" t="inlineStr">
        <is>
          <t>SC/APC</t>
        </is>
      </c>
      <c r="J766" s="2" t="n"/>
      <c r="K766" s="2" t="n">
        <v>10</v>
      </c>
      <c r="L766" s="2" t="n"/>
      <c r="M766" s="2" t="n"/>
      <c r="N766" s="2" t="n"/>
      <c r="O766" s="2" t="n"/>
      <c r="P766" s="2" t="n"/>
      <c r="Q766" s="2" t="n"/>
      <c r="R766" s="2" t="n">
        <v>10</v>
      </c>
      <c r="S766" s="2" t="n"/>
      <c r="T766" s="2" t="n">
        <v>20</v>
      </c>
      <c r="U766" s="2" t="n"/>
      <c r="V766" s="2">
        <f>SUM(J766:U766)*G766</f>
        <v/>
      </c>
      <c r="W766" s="2">
        <f>MAX(J766:U766)</f>
        <v/>
      </c>
      <c r="X766" s="2">
        <f>W766*G766</f>
        <v/>
      </c>
    </row>
    <row r="767">
      <c r="A767" s="2" t="inlineStr">
        <is>
          <t>A14-DB-N383</t>
        </is>
      </c>
      <c r="B767" s="3" t="inlineStr">
        <is>
          <t>DOJC-SM-SC/APC-SC/APC</t>
        </is>
      </c>
      <c r="C767" s="2" t="inlineStr">
        <is>
          <t>908040577, 20M,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2</v>
      </c>
      <c r="G767" s="2" t="n">
        <v>20</v>
      </c>
      <c r="H767" s="2" t="inlineStr">
        <is>
          <t>SC/APC</t>
        </is>
      </c>
      <c r="I767" s="2" t="inlineStr">
        <is>
          <t>SC/APC</t>
        </is>
      </c>
      <c r="J767" s="2" t="n"/>
      <c r="K767" s="2" t="n"/>
      <c r="L767" s="2" t="n"/>
      <c r="M767" s="2" t="n"/>
      <c r="N767" s="2" t="n">
        <v>7</v>
      </c>
      <c r="O767" s="2" t="n"/>
      <c r="P767" s="2" t="n"/>
      <c r="Q767" s="2" t="n"/>
      <c r="R767" s="2" t="n"/>
      <c r="S767" s="2" t="n"/>
      <c r="T767" s="2" t="n"/>
      <c r="U767" s="2" t="n"/>
      <c r="V767" s="2">
        <f>SUM(J767:U767)*G767</f>
        <v/>
      </c>
      <c r="W767" s="2">
        <f>MAX(J767:U767)</f>
        <v/>
      </c>
      <c r="X767" s="2">
        <f>W767*G767</f>
        <v/>
      </c>
    </row>
    <row r="768">
      <c r="A768" s="2" t="inlineStr">
        <is>
          <t>A14-DB-N388</t>
        </is>
      </c>
      <c r="B768" s="3" t="inlineStr">
        <is>
          <t>DOJC-SM-SC/APC-SC/APC</t>
        </is>
      </c>
      <c r="C768" s="2" t="inlineStr">
        <is>
          <t>908040558, 3M, B3, 3.0mm</t>
        </is>
      </c>
      <c r="D768" s="2" t="inlineStr">
        <is>
          <t>b3</t>
        </is>
      </c>
      <c r="E768" s="2" t="inlineStr">
        <is>
          <t>3.0mm</t>
        </is>
      </c>
      <c r="F768" s="2" t="n">
        <v>2</v>
      </c>
      <c r="G768" s="2" t="n">
        <v>3</v>
      </c>
      <c r="H768" s="2" t="inlineStr">
        <is>
          <t>SC/APC</t>
        </is>
      </c>
      <c r="I768" s="2" t="inlineStr">
        <is>
          <t>SC/APC</t>
        </is>
      </c>
      <c r="J768" s="2" t="n">
        <v>73</v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>
        <v>62</v>
      </c>
      <c r="T768" s="2" t="n"/>
      <c r="U768" s="2" t="n"/>
      <c r="V768" s="2">
        <f>SUM(J768:U768)*G768</f>
        <v/>
      </c>
      <c r="W768" s="2">
        <f>MAX(J768:U768)</f>
        <v/>
      </c>
      <c r="X768" s="2">
        <f>W768*G768</f>
        <v/>
      </c>
    </row>
    <row r="769">
      <c r="A769" s="2" t="inlineStr">
        <is>
          <t>A14-DB-N392</t>
        </is>
      </c>
      <c r="B769" s="3" t="inlineStr">
        <is>
          <t>DOJC-SM-SC/APC-SC/APC</t>
        </is>
      </c>
      <c r="C769" s="2" t="inlineStr">
        <is>
          <t>908040562, 5M, B3, 3.0mm</t>
        </is>
      </c>
      <c r="D769" s="2" t="inlineStr">
        <is>
          <t>b3</t>
        </is>
      </c>
      <c r="E769" s="2" t="inlineStr">
        <is>
          <t>3.0mm</t>
        </is>
      </c>
      <c r="F769" s="2" t="n">
        <v>2</v>
      </c>
      <c r="G769" s="2" t="n">
        <v>5</v>
      </c>
      <c r="H769" s="2" t="inlineStr">
        <is>
          <t>SC/APC</t>
        </is>
      </c>
      <c r="I769" s="2" t="inlineStr">
        <is>
          <t>SC/APC</t>
        </is>
      </c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>
        <v>10</v>
      </c>
      <c r="S769" s="2" t="n"/>
      <c r="T769" s="2" t="n"/>
      <c r="U769" s="2" t="n"/>
      <c r="V769" s="2">
        <f>SUM(J769:U769)*G769</f>
        <v/>
      </c>
      <c r="W769" s="2">
        <f>MAX(J769:U769)</f>
        <v/>
      </c>
      <c r="X769" s="2">
        <f>W769*G769</f>
        <v/>
      </c>
    </row>
    <row r="770">
      <c r="A770" s="2" t="inlineStr">
        <is>
          <t>A14-DB-N400</t>
        </is>
      </c>
      <c r="B770" s="3" t="inlineStr">
        <is>
          <t>DOJC-SM-SC/PC-FC/APC</t>
        </is>
      </c>
      <c r="C770" s="2" t="inlineStr">
        <is>
          <t>908040447, 15M,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2</v>
      </c>
      <c r="G770" s="2" t="n">
        <v>15</v>
      </c>
      <c r="H770" s="2" t="inlineStr">
        <is>
          <t>SC/PC</t>
        </is>
      </c>
      <c r="I770" s="2" t="inlineStr">
        <is>
          <t>FC/APC</t>
        </is>
      </c>
      <c r="J770" s="2" t="n">
        <v>20</v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>
        <f>SUM(J770:U770)*G770</f>
        <v/>
      </c>
      <c r="W770" s="2">
        <f>MAX(J770:U770)</f>
        <v/>
      </c>
      <c r="X770" s="2">
        <f>W770*G770</f>
        <v/>
      </c>
    </row>
    <row r="771">
      <c r="A771" s="2" t="inlineStr">
        <is>
          <t>A14-DB-N407</t>
        </is>
      </c>
      <c r="B771" s="3" t="inlineStr">
        <is>
          <t>DOJC-SM-SC/PC-FC/APC</t>
        </is>
      </c>
      <c r="C771" s="2" t="inlineStr">
        <is>
          <t>908040457, 25M,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2</v>
      </c>
      <c r="G771" s="2" t="n">
        <v>25</v>
      </c>
      <c r="H771" s="2" t="inlineStr">
        <is>
          <t>SC/PC</t>
        </is>
      </c>
      <c r="I771" s="2" t="inlineStr">
        <is>
          <t>FC/APC</t>
        </is>
      </c>
      <c r="J771" s="2" t="n"/>
      <c r="K771" s="2" t="n">
        <v>14</v>
      </c>
      <c r="L771" s="2" t="n">
        <v>20</v>
      </c>
      <c r="M771" s="2" t="n"/>
      <c r="N771" s="2" t="n"/>
      <c r="O771" s="2" t="n"/>
      <c r="P771" s="2" t="n">
        <v>5</v>
      </c>
      <c r="Q771" s="2" t="n">
        <v>21</v>
      </c>
      <c r="R771" s="2" t="n"/>
      <c r="S771" s="2" t="n"/>
      <c r="T771" s="2" t="n"/>
      <c r="U771" s="2" t="n"/>
      <c r="V771" s="2">
        <f>SUM(J771:U771)*G771</f>
        <v/>
      </c>
      <c r="W771" s="2">
        <f>MAX(J771:U771)</f>
        <v/>
      </c>
      <c r="X771" s="2">
        <f>W771*G771</f>
        <v/>
      </c>
    </row>
    <row r="772">
      <c r="A772" s="2" t="inlineStr">
        <is>
          <t>A14-DB-N409</t>
        </is>
      </c>
      <c r="B772" s="3" t="inlineStr">
        <is>
          <t>DOJC-SM-SC/PC-FC/APC</t>
        </is>
      </c>
      <c r="C772" s="2" t="inlineStr">
        <is>
          <t>908040462, 30M,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2</v>
      </c>
      <c r="G772" s="2" t="n">
        <v>30</v>
      </c>
      <c r="H772" s="2" t="inlineStr">
        <is>
          <t>SC/PC</t>
        </is>
      </c>
      <c r="I772" s="2" t="inlineStr">
        <is>
          <t>FC/APC</t>
        </is>
      </c>
      <c r="J772" s="2" t="n">
        <v>10</v>
      </c>
      <c r="K772" s="2" t="n">
        <v>5</v>
      </c>
      <c r="L772" s="2" t="n"/>
      <c r="M772" s="2" t="n">
        <v>10</v>
      </c>
      <c r="N772" s="2" t="n">
        <v>10</v>
      </c>
      <c r="O772" s="2" t="n"/>
      <c r="P772" s="2" t="n"/>
      <c r="Q772" s="2" t="n"/>
      <c r="R772" s="2" t="n"/>
      <c r="S772" s="2" t="n"/>
      <c r="T772" s="2" t="n"/>
      <c r="U772" s="2" t="n"/>
      <c r="V772" s="2">
        <f>SUM(J772:U772)*G772</f>
        <v/>
      </c>
      <c r="W772" s="2">
        <f>MAX(J772:U772)</f>
        <v/>
      </c>
      <c r="X772" s="2">
        <f>W772*G772</f>
        <v/>
      </c>
    </row>
    <row r="773">
      <c r="A773" s="2" t="inlineStr">
        <is>
          <t>A14-DB-N426</t>
        </is>
      </c>
      <c r="B773" s="3" t="inlineStr">
        <is>
          <t>DOJC-SM-SC/PC-FC/PC</t>
        </is>
      </c>
      <c r="C773" s="2" t="inlineStr">
        <is>
          <t>908040687, 10M,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2</v>
      </c>
      <c r="G773" s="2" t="n">
        <v>10</v>
      </c>
      <c r="H773" s="2" t="inlineStr">
        <is>
          <t>SC/PC</t>
        </is>
      </c>
      <c r="I773" s="2" t="inlineStr">
        <is>
          <t>FC/PC</t>
        </is>
      </c>
      <c r="J773" s="2" t="n"/>
      <c r="K773" s="2" t="n">
        <v>15</v>
      </c>
      <c r="L773" s="2" t="n"/>
      <c r="M773" s="2" t="n"/>
      <c r="N773" s="2" t="n">
        <v>5</v>
      </c>
      <c r="O773" s="2" t="n"/>
      <c r="P773" s="2" t="n"/>
      <c r="Q773" s="2" t="n">
        <v>5</v>
      </c>
      <c r="R773" s="2" t="n"/>
      <c r="S773" s="2" t="n"/>
      <c r="T773" s="2" t="n"/>
      <c r="U773" s="2" t="n">
        <v>5</v>
      </c>
      <c r="V773" s="2">
        <f>SUM(J773:U773)*G773</f>
        <v/>
      </c>
      <c r="W773" s="2">
        <f>MAX(J773:U773)</f>
        <v/>
      </c>
      <c r="X773" s="2">
        <f>W773*G773</f>
        <v/>
      </c>
    </row>
    <row r="774">
      <c r="A774" s="2" t="inlineStr">
        <is>
          <t>A14-DB-N444</t>
        </is>
      </c>
      <c r="B774" s="3" t="inlineStr">
        <is>
          <t>DOJC-SM-SC/PC-SC/APC</t>
        </is>
      </c>
      <c r="C774" s="2" t="inlineStr">
        <is>
          <t>908040537, 10M, B3, 2.0mm</t>
        </is>
      </c>
      <c r="D774" s="2" t="inlineStr">
        <is>
          <t>b3</t>
        </is>
      </c>
      <c r="E774" s="2" t="inlineStr">
        <is>
          <t>2.0mm</t>
        </is>
      </c>
      <c r="F774" s="2" t="n">
        <v>2</v>
      </c>
      <c r="G774" s="2" t="n">
        <v>10</v>
      </c>
      <c r="H774" s="2" t="inlineStr">
        <is>
          <t>SC/PC</t>
        </is>
      </c>
      <c r="I774" s="2" t="inlineStr">
        <is>
          <t>SC/APC</t>
        </is>
      </c>
      <c r="J774" s="2" t="n"/>
      <c r="K774" s="2" t="n">
        <v>50</v>
      </c>
      <c r="L774" s="2" t="n">
        <v>22</v>
      </c>
      <c r="M774" s="2" t="n">
        <v>30</v>
      </c>
      <c r="N774" s="2" t="n">
        <v>25</v>
      </c>
      <c r="O774" s="2" t="n"/>
      <c r="P774" s="2" t="n"/>
      <c r="Q774" s="2" t="n"/>
      <c r="R774" s="2" t="n"/>
      <c r="S774" s="2" t="n"/>
      <c r="T774" s="2" t="n"/>
      <c r="U774" s="2" t="n"/>
      <c r="V774" s="2">
        <f>SUM(J774:U774)*G774</f>
        <v/>
      </c>
      <c r="W774" s="2">
        <f>MAX(J774:U774)</f>
        <v/>
      </c>
      <c r="X774" s="2">
        <f>W774*G774</f>
        <v/>
      </c>
    </row>
    <row r="775">
      <c r="A775" s="2" t="inlineStr">
        <is>
          <t>A14-DB-N447</t>
        </is>
      </c>
      <c r="B775" s="3" t="inlineStr">
        <is>
          <t>DOJC-SM-SC/PC-SC/APC</t>
        </is>
      </c>
      <c r="C775" s="2" t="inlineStr">
        <is>
          <t>908040542, 15M, B3, 2.0mm</t>
        </is>
      </c>
      <c r="D775" s="2" t="inlineStr">
        <is>
          <t>b3</t>
        </is>
      </c>
      <c r="E775" s="2" t="inlineStr">
        <is>
          <t>2.0mm</t>
        </is>
      </c>
      <c r="F775" s="2" t="n">
        <v>2</v>
      </c>
      <c r="G775" s="2" t="n">
        <v>15</v>
      </c>
      <c r="H775" s="2" t="inlineStr">
        <is>
          <t>SC/PC</t>
        </is>
      </c>
      <c r="I775" s="2" t="inlineStr">
        <is>
          <t>SC/APC</t>
        </is>
      </c>
      <c r="J775" s="2" t="n"/>
      <c r="K775" s="2" t="n">
        <v>20</v>
      </c>
      <c r="L775" s="2" t="n">
        <v>10</v>
      </c>
      <c r="M775" s="2" t="n"/>
      <c r="N775" s="2" t="n">
        <v>2</v>
      </c>
      <c r="O775" s="2" t="n"/>
      <c r="P775" s="2" t="n">
        <v>5</v>
      </c>
      <c r="Q775" s="2" t="n">
        <v>1</v>
      </c>
      <c r="R775" s="2" t="n"/>
      <c r="S775" s="2" t="n">
        <v>1</v>
      </c>
      <c r="T775" s="2" t="n"/>
      <c r="U775" s="2" t="n">
        <v>20</v>
      </c>
      <c r="V775" s="2">
        <f>SUM(J775:U775)*G775</f>
        <v/>
      </c>
      <c r="W775" s="2">
        <f>MAX(J775:U775)</f>
        <v/>
      </c>
      <c r="X775" s="2">
        <f>W775*G775</f>
        <v/>
      </c>
    </row>
    <row r="776">
      <c r="A776" s="2" t="inlineStr">
        <is>
          <t>A14-DB-N448</t>
        </is>
      </c>
      <c r="B776" s="3" t="inlineStr">
        <is>
          <t>DOJC-SM-SC/PC-SC/APC</t>
        </is>
      </c>
      <c r="C776" s="2" t="inlineStr">
        <is>
          <t>908040252, 1M, B3, 3.0mm</t>
        </is>
      </c>
      <c r="D776" s="2" t="inlineStr">
        <is>
          <t>b3</t>
        </is>
      </c>
      <c r="E776" s="2" t="inlineStr">
        <is>
          <t>3.0mm</t>
        </is>
      </c>
      <c r="F776" s="2" t="n">
        <v>2</v>
      </c>
      <c r="G776" s="2" t="n">
        <v>1</v>
      </c>
      <c r="H776" s="2" t="inlineStr">
        <is>
          <t>SC/PC</t>
        </is>
      </c>
      <c r="I776" s="2" t="inlineStr">
        <is>
          <t>SC/APC</t>
        </is>
      </c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>
        <v>25</v>
      </c>
      <c r="T776" s="2" t="n">
        <v>10</v>
      </c>
      <c r="U776" s="2" t="n">
        <v>2</v>
      </c>
      <c r="V776" s="2">
        <f>SUM(J776:U776)*G776</f>
        <v/>
      </c>
      <c r="W776" s="2">
        <f>MAX(J776:U776)</f>
        <v/>
      </c>
      <c r="X776" s="2">
        <f>W776*G776</f>
        <v/>
      </c>
    </row>
    <row r="777">
      <c r="A777" s="2" t="inlineStr">
        <is>
          <t>A14-DB-N449</t>
        </is>
      </c>
      <c r="B777" s="3" t="inlineStr">
        <is>
          <t>DOJC-SM-SC/PC-SC/APC</t>
        </is>
      </c>
      <c r="C777" s="2" t="inlineStr">
        <is>
          <t>908040547, 20M, B3, 2.0mm</t>
        </is>
      </c>
      <c r="D777" s="2" t="inlineStr">
        <is>
          <t>b3</t>
        </is>
      </c>
      <c r="E777" s="2" t="inlineStr">
        <is>
          <t>2.0mm</t>
        </is>
      </c>
      <c r="F777" s="2" t="n">
        <v>2</v>
      </c>
      <c r="G777" s="2" t="n">
        <v>20</v>
      </c>
      <c r="H777" s="2" t="inlineStr">
        <is>
          <t>SC/PC</t>
        </is>
      </c>
      <c r="I777" s="2" t="inlineStr">
        <is>
          <t>SC/APC</t>
        </is>
      </c>
      <c r="J777" s="2" t="n"/>
      <c r="K777" s="2" t="n">
        <v>20</v>
      </c>
      <c r="L777" s="2" t="n">
        <v>10</v>
      </c>
      <c r="M777" s="2" t="n"/>
      <c r="N777" s="2" t="n">
        <v>8</v>
      </c>
      <c r="O777" s="2" t="n"/>
      <c r="P777" s="2" t="n"/>
      <c r="Q777" s="2" t="n"/>
      <c r="R777" s="2" t="n">
        <v>20</v>
      </c>
      <c r="S777" s="2" t="n"/>
      <c r="T777" s="2" t="n"/>
      <c r="U777" s="2" t="n">
        <v>10</v>
      </c>
      <c r="V777" s="2">
        <f>SUM(J777:U777)*G777</f>
        <v/>
      </c>
      <c r="W777" s="2">
        <f>MAX(J777:U777)</f>
        <v/>
      </c>
      <c r="X777" s="2">
        <f>W777*G777</f>
        <v/>
      </c>
    </row>
    <row r="778">
      <c r="A778" s="2" t="inlineStr">
        <is>
          <t>A14-DB-N451</t>
        </is>
      </c>
      <c r="B778" s="3" t="inlineStr">
        <is>
          <t>DOJC-SM-SC/PC-SC/APC</t>
        </is>
      </c>
      <c r="C778" s="2" t="inlineStr">
        <is>
          <t>908040253, 2M, B3, 3.0mm</t>
        </is>
      </c>
      <c r="D778" s="2" t="inlineStr">
        <is>
          <t>b3</t>
        </is>
      </c>
      <c r="E778" s="2" t="inlineStr">
        <is>
          <t>3.0mm</t>
        </is>
      </c>
      <c r="F778" s="2" t="n">
        <v>2</v>
      </c>
      <c r="G778" s="2" t="n">
        <v>2</v>
      </c>
      <c r="H778" s="2" t="inlineStr">
        <is>
          <t>SC/PC</t>
        </is>
      </c>
      <c r="I778" s="2" t="inlineStr">
        <is>
          <t>SC/APC</t>
        </is>
      </c>
      <c r="J778" s="2" t="n"/>
      <c r="K778" s="2" t="n"/>
      <c r="L778" s="2" t="n"/>
      <c r="M778" s="2" t="n"/>
      <c r="N778" s="2" t="n"/>
      <c r="O778" s="2" t="n"/>
      <c r="P778" s="2" t="n">
        <v>42</v>
      </c>
      <c r="Q778" s="2" t="n"/>
      <c r="R778" s="2" t="n"/>
      <c r="S778" s="2" t="n"/>
      <c r="T778" s="2" t="n">
        <v>135</v>
      </c>
      <c r="U778" s="2" t="n"/>
      <c r="V778" s="2">
        <f>SUM(J778:U778)*G778</f>
        <v/>
      </c>
      <c r="W778" s="2">
        <f>MAX(J778:U778)</f>
        <v/>
      </c>
      <c r="X778" s="2">
        <f>W778*G778</f>
        <v/>
      </c>
    </row>
    <row r="779">
      <c r="A779" s="2" t="inlineStr">
        <is>
          <t>A14-DB-N455</t>
        </is>
      </c>
      <c r="B779" s="3" t="inlineStr">
        <is>
          <t>DOJC-SM-SC/PC-SC/APC</t>
        </is>
      </c>
      <c r="C779" s="2" t="inlineStr">
        <is>
          <t>908040251, 3M, B3, 3.0mm</t>
        </is>
      </c>
      <c r="D779" s="2" t="inlineStr">
        <is>
          <t>b3</t>
        </is>
      </c>
      <c r="E779" s="2" t="inlineStr">
        <is>
          <t>3.0mm</t>
        </is>
      </c>
      <c r="F779" s="2" t="n">
        <v>2</v>
      </c>
      <c r="G779" s="2" t="n">
        <v>3</v>
      </c>
      <c r="H779" s="2" t="inlineStr">
        <is>
          <t>SC/PC</t>
        </is>
      </c>
      <c r="I779" s="2" t="inlineStr">
        <is>
          <t>SC/APC</t>
        </is>
      </c>
      <c r="J779" s="2" t="n"/>
      <c r="K779" s="2" t="n"/>
      <c r="L779" s="2" t="n"/>
      <c r="M779" s="2" t="n"/>
      <c r="N779" s="2" t="n"/>
      <c r="O779" s="2" t="n"/>
      <c r="P779" s="2" t="n">
        <v>200</v>
      </c>
      <c r="Q779" s="2" t="n">
        <v>80</v>
      </c>
      <c r="R779" s="2" t="n"/>
      <c r="S779" s="2" t="n">
        <v>20</v>
      </c>
      <c r="T779" s="2" t="n"/>
      <c r="U779" s="2" t="n">
        <v>108</v>
      </c>
      <c r="V779" s="2">
        <f>SUM(J779:U779)*G779</f>
        <v/>
      </c>
      <c r="W779" s="2">
        <f>MAX(J779:U779)</f>
        <v/>
      </c>
      <c r="X779" s="2">
        <f>W779*G779</f>
        <v/>
      </c>
    </row>
    <row r="780">
      <c r="A780" s="2" t="inlineStr">
        <is>
          <t>A14-DB-N458</t>
        </is>
      </c>
      <c r="B780" s="3" t="inlineStr">
        <is>
          <t>DOJC-SM-SC/PC-SC/APC</t>
        </is>
      </c>
      <c r="C780" s="2" t="inlineStr">
        <is>
          <t>908040254, 4M, B3, 3.0mm</t>
        </is>
      </c>
      <c r="D780" s="2" t="inlineStr">
        <is>
          <t>b3</t>
        </is>
      </c>
      <c r="E780" s="2" t="inlineStr">
        <is>
          <t>3.0mm</t>
        </is>
      </c>
      <c r="F780" s="2" t="n">
        <v>2</v>
      </c>
      <c r="G780" s="2" t="n">
        <v>4</v>
      </c>
      <c r="H780" s="2" t="inlineStr">
        <is>
          <t>SC/PC</t>
        </is>
      </c>
      <c r="I780" s="2" t="inlineStr">
        <is>
          <t>SC/APC</t>
        </is>
      </c>
      <c r="J780" s="2" t="n"/>
      <c r="K780" s="2" t="n"/>
      <c r="L780" s="2" t="n"/>
      <c r="M780" s="2" t="n"/>
      <c r="N780" s="2" t="n"/>
      <c r="O780" s="2" t="n"/>
      <c r="P780" s="2" t="n">
        <v>10</v>
      </c>
      <c r="Q780" s="2" t="n"/>
      <c r="R780" s="2" t="n"/>
      <c r="S780" s="2" t="n">
        <v>30</v>
      </c>
      <c r="T780" s="2" t="n"/>
      <c r="U780" s="2" t="n"/>
      <c r="V780" s="2">
        <f>SUM(J780:U780)*G780</f>
        <v/>
      </c>
      <c r="W780" s="2">
        <f>MAX(J780:U780)</f>
        <v/>
      </c>
      <c r="X780" s="2">
        <f>W780*G780</f>
        <v/>
      </c>
    </row>
    <row r="781">
      <c r="A781" s="2" t="inlineStr">
        <is>
          <t>A14-DB-N459</t>
        </is>
      </c>
      <c r="B781" s="3" t="inlineStr">
        <is>
          <t>DOJC-SM-SC/PC-SC/APC</t>
        </is>
      </c>
      <c r="C781" s="2" t="inlineStr">
        <is>
          <t>908040255, 5M, B3, 3.0mm</t>
        </is>
      </c>
      <c r="D781" s="2" t="inlineStr">
        <is>
          <t>b3</t>
        </is>
      </c>
      <c r="E781" s="2" t="inlineStr">
        <is>
          <t>3.0mm</t>
        </is>
      </c>
      <c r="F781" s="2" t="n">
        <v>2</v>
      </c>
      <c r="G781" s="2" t="n">
        <v>5</v>
      </c>
      <c r="H781" s="2" t="inlineStr">
        <is>
          <t>SC/PC</t>
        </is>
      </c>
      <c r="I781" s="2" t="inlineStr">
        <is>
          <t>SC/APC</t>
        </is>
      </c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>
        <v>25</v>
      </c>
      <c r="U781" s="2" t="n"/>
      <c r="V781" s="2">
        <f>SUM(J781:U781)*G781</f>
        <v/>
      </c>
      <c r="W781" s="2">
        <f>MAX(J781:U781)</f>
        <v/>
      </c>
      <c r="X781" s="2">
        <f>W781*G781</f>
        <v/>
      </c>
    </row>
    <row r="782">
      <c r="A782" s="2" t="inlineStr">
        <is>
          <t>A14-DB-N461</t>
        </is>
      </c>
      <c r="B782" s="3" t="inlineStr">
        <is>
          <t>DOJC-SM-SC/PC-SC/APC</t>
        </is>
      </c>
      <c r="C782" s="2" t="inlineStr">
        <is>
          <t>908040257, 7M, B3, 2.0mm</t>
        </is>
      </c>
      <c r="D782" s="2" t="inlineStr">
        <is>
          <t>b3</t>
        </is>
      </c>
      <c r="E782" s="2" t="inlineStr">
        <is>
          <t>2.0mm</t>
        </is>
      </c>
      <c r="F782" s="2" t="n">
        <v>2</v>
      </c>
      <c r="G782" s="2" t="n">
        <v>7</v>
      </c>
      <c r="H782" s="2" t="inlineStr">
        <is>
          <t>SC/PC</t>
        </is>
      </c>
      <c r="I782" s="2" t="inlineStr">
        <is>
          <t>SC/APC</t>
        </is>
      </c>
      <c r="J782" s="2" t="n"/>
      <c r="K782" s="2" t="n"/>
      <c r="L782" s="2" t="n"/>
      <c r="M782" s="2" t="n"/>
      <c r="N782" s="2" t="n"/>
      <c r="O782" s="2" t="n"/>
      <c r="P782" s="2" t="n">
        <v>10</v>
      </c>
      <c r="Q782" s="2" t="n"/>
      <c r="R782" s="2" t="n"/>
      <c r="S782" s="2" t="n"/>
      <c r="T782" s="2" t="n"/>
      <c r="U782" s="2" t="n"/>
      <c r="V782" s="2">
        <f>SUM(J782:U782)*G782</f>
        <v/>
      </c>
      <c r="W782" s="2">
        <f>MAX(J782:U782)</f>
        <v/>
      </c>
      <c r="X782" s="2">
        <f>W782*G782</f>
        <v/>
      </c>
    </row>
    <row r="783">
      <c r="A783" s="2" t="inlineStr">
        <is>
          <t>A14-DB-N464</t>
        </is>
      </c>
      <c r="B783" s="3" t="inlineStr">
        <is>
          <t>DOJC-SM-SC/PC-SC/PC</t>
        </is>
      </c>
      <c r="C783" s="2" t="inlineStr">
        <is>
          <t>908040230, 10M, B3, 2.0mm</t>
        </is>
      </c>
      <c r="D783" s="2" t="inlineStr">
        <is>
          <t>b3</t>
        </is>
      </c>
      <c r="E783" s="2" t="inlineStr">
        <is>
          <t>2.0mm</t>
        </is>
      </c>
      <c r="F783" s="2" t="n">
        <v>2</v>
      </c>
      <c r="G783" s="2" t="n">
        <v>10</v>
      </c>
      <c r="H783" s="2" t="inlineStr">
        <is>
          <t>SC/PC</t>
        </is>
      </c>
      <c r="I783" s="2" t="inlineStr">
        <is>
          <t>SC/PC</t>
        </is>
      </c>
      <c r="J783" s="2" t="n">
        <v>20</v>
      </c>
      <c r="K783" s="2" t="n"/>
      <c r="L783" s="2" t="n">
        <v>31</v>
      </c>
      <c r="M783" s="2" t="n">
        <v>145</v>
      </c>
      <c r="N783" s="2" t="n">
        <v>2</v>
      </c>
      <c r="O783" s="2" t="n">
        <v>120</v>
      </c>
      <c r="P783" s="2" t="n">
        <v>95</v>
      </c>
      <c r="Q783" s="2" t="n">
        <v>86</v>
      </c>
      <c r="R783" s="2" t="n"/>
      <c r="S783" s="2" t="n"/>
      <c r="T783" s="2" t="n"/>
      <c r="U783" s="2" t="n">
        <v>210</v>
      </c>
      <c r="V783" s="2">
        <f>SUM(J783:U783)*G783</f>
        <v/>
      </c>
      <c r="W783" s="2">
        <f>MAX(J783:U783)</f>
        <v/>
      </c>
      <c r="X783" s="2">
        <f>W783*G783</f>
        <v/>
      </c>
    </row>
    <row r="784">
      <c r="A784" s="2" t="inlineStr">
        <is>
          <t>A14-DB-N466</t>
        </is>
      </c>
      <c r="B784" s="3" t="inlineStr">
        <is>
          <t>DOJC-SM-SC/PC-SC/PC</t>
        </is>
      </c>
      <c r="C784" s="2" t="inlineStr">
        <is>
          <t>908040235, 15M, B3, 2.0mm</t>
        </is>
      </c>
      <c r="D784" s="2" t="inlineStr">
        <is>
          <t>b3</t>
        </is>
      </c>
      <c r="E784" s="2" t="inlineStr">
        <is>
          <t>2.0mm</t>
        </is>
      </c>
      <c r="F784" s="2" t="n">
        <v>2</v>
      </c>
      <c r="G784" s="2" t="n">
        <v>15</v>
      </c>
      <c r="H784" s="2" t="inlineStr">
        <is>
          <t>SC/PC</t>
        </is>
      </c>
      <c r="I784" s="2" t="inlineStr">
        <is>
          <t>SC/PC</t>
        </is>
      </c>
      <c r="J784" s="2" t="n">
        <v>100</v>
      </c>
      <c r="K784" s="2" t="n"/>
      <c r="L784" s="2" t="n"/>
      <c r="M784" s="2" t="n"/>
      <c r="N784" s="2" t="n">
        <v>3</v>
      </c>
      <c r="O784" s="2" t="n"/>
      <c r="P784" s="2" t="n"/>
      <c r="Q784" s="2" t="n"/>
      <c r="R784" s="2" t="n"/>
      <c r="S784" s="2" t="n"/>
      <c r="T784" s="2" t="n"/>
      <c r="U784" s="2" t="n"/>
      <c r="V784" s="2">
        <f>SUM(J784:U784)*G784</f>
        <v/>
      </c>
      <c r="W784" s="2">
        <f>MAX(J784:U784)</f>
        <v/>
      </c>
      <c r="X784" s="2">
        <f>W784*G784</f>
        <v/>
      </c>
    </row>
    <row r="785">
      <c r="A785" s="2" t="inlineStr">
        <is>
          <t>A14-DB-N467</t>
        </is>
      </c>
      <c r="B785" s="3" t="inlineStr">
        <is>
          <t>DOJC-SM-SC/PC-SC/PC</t>
        </is>
      </c>
      <c r="C785" s="2" t="inlineStr">
        <is>
          <t>908040222, 1M, B3, 3.0mm</t>
        </is>
      </c>
      <c r="D785" s="2" t="inlineStr">
        <is>
          <t>b3</t>
        </is>
      </c>
      <c r="E785" s="2" t="inlineStr">
        <is>
          <t>3.0mm</t>
        </is>
      </c>
      <c r="F785" s="2" t="n">
        <v>2</v>
      </c>
      <c r="G785" s="2" t="n">
        <v>1</v>
      </c>
      <c r="H785" s="2" t="inlineStr">
        <is>
          <t>SC/PC</t>
        </is>
      </c>
      <c r="I785" s="2" t="inlineStr">
        <is>
          <t>SC/PC</t>
        </is>
      </c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>
        <v>34</v>
      </c>
      <c r="V785" s="2">
        <f>SUM(J785:U785)*G785</f>
        <v/>
      </c>
      <c r="W785" s="2">
        <f>MAX(J785:U785)</f>
        <v/>
      </c>
      <c r="X785" s="2">
        <f>W785*G785</f>
        <v/>
      </c>
    </row>
    <row r="786">
      <c r="A786" s="2" t="inlineStr">
        <is>
          <t>A14-DB-N468</t>
        </is>
      </c>
      <c r="B786" s="3" t="inlineStr">
        <is>
          <t>DOJC-SM-SC/PC-SC/PC</t>
        </is>
      </c>
      <c r="C786" s="2" t="inlineStr">
        <is>
          <t>908040240, 20M, B3, 2.0mm</t>
        </is>
      </c>
      <c r="D786" s="2" t="inlineStr">
        <is>
          <t>b3</t>
        </is>
      </c>
      <c r="E786" s="2" t="inlineStr">
        <is>
          <t>2.0mm</t>
        </is>
      </c>
      <c r="F786" s="2" t="n">
        <v>2</v>
      </c>
      <c r="G786" s="2" t="n">
        <v>20</v>
      </c>
      <c r="H786" s="2" t="inlineStr">
        <is>
          <t>SC/PC</t>
        </is>
      </c>
      <c r="I786" s="2" t="inlineStr">
        <is>
          <t>SC/PC</t>
        </is>
      </c>
      <c r="J786" s="2" t="n">
        <v>10</v>
      </c>
      <c r="K786" s="2" t="n"/>
      <c r="L786" s="2" t="n"/>
      <c r="M786" s="2" t="n"/>
      <c r="N786" s="2" t="n"/>
      <c r="O786" s="2" t="n"/>
      <c r="P786" s="2" t="n">
        <v>15</v>
      </c>
      <c r="Q786" s="2" t="n">
        <v>4</v>
      </c>
      <c r="R786" s="2" t="n"/>
      <c r="S786" s="2" t="n">
        <v>10</v>
      </c>
      <c r="T786" s="2" t="n">
        <v>50</v>
      </c>
      <c r="U786" s="2" t="n"/>
      <c r="V786" s="2">
        <f>SUM(J786:U786)*G786</f>
        <v/>
      </c>
      <c r="W786" s="2">
        <f>MAX(J786:U786)</f>
        <v/>
      </c>
      <c r="X786" s="2">
        <f>W786*G786</f>
        <v/>
      </c>
    </row>
    <row r="787">
      <c r="A787" s="2" t="inlineStr">
        <is>
          <t>A14-DB-N470</t>
        </is>
      </c>
      <c r="B787" s="3" t="inlineStr">
        <is>
          <t>DOJC-SM-SC/PC-SC/PC</t>
        </is>
      </c>
      <c r="C787" s="2" t="inlineStr">
        <is>
          <t>908040245, 25M, B3, 2.0mm</t>
        </is>
      </c>
      <c r="D787" s="2" t="inlineStr">
        <is>
          <t>b3</t>
        </is>
      </c>
      <c r="E787" s="2" t="inlineStr">
        <is>
          <t>2.0mm</t>
        </is>
      </c>
      <c r="F787" s="2" t="n">
        <v>2</v>
      </c>
      <c r="G787" s="2" t="n">
        <v>25</v>
      </c>
      <c r="H787" s="2" t="inlineStr">
        <is>
          <t>SC/PC</t>
        </is>
      </c>
      <c r="I787" s="2" t="inlineStr">
        <is>
          <t>SC/PC</t>
        </is>
      </c>
      <c r="J787" s="2" t="n"/>
      <c r="K787" s="2" t="n"/>
      <c r="L787" s="2" t="n"/>
      <c r="M787" s="2" t="n"/>
      <c r="N787" s="2" t="n"/>
      <c r="O787" s="2" t="n"/>
      <c r="P787" s="2" t="n"/>
      <c r="Q787" s="2" t="n">
        <v>4</v>
      </c>
      <c r="R787" s="2" t="n"/>
      <c r="S787" s="2" t="n">
        <v>10</v>
      </c>
      <c r="T787" s="2" t="n"/>
      <c r="U787" s="2" t="n"/>
      <c r="V787" s="2">
        <f>SUM(J787:U787)*G787</f>
        <v/>
      </c>
      <c r="W787" s="2">
        <f>MAX(J787:U787)</f>
        <v/>
      </c>
      <c r="X787" s="2">
        <f>W787*G787</f>
        <v/>
      </c>
    </row>
    <row r="788">
      <c r="A788" s="2" t="inlineStr">
        <is>
          <t>A14-DB-N471</t>
        </is>
      </c>
      <c r="B788" s="3" t="inlineStr">
        <is>
          <t>DOJC-SM-SC/PC-SC/PC</t>
        </is>
      </c>
      <c r="C788" s="2" t="inlineStr">
        <is>
          <t>908040223, 2M, B3, 3.0mm</t>
        </is>
      </c>
      <c r="D788" s="2" t="inlineStr">
        <is>
          <t>b3</t>
        </is>
      </c>
      <c r="E788" s="2" t="inlineStr">
        <is>
          <t>3.0mm</t>
        </is>
      </c>
      <c r="F788" s="2" t="n">
        <v>2</v>
      </c>
      <c r="G788" s="2" t="n">
        <v>2</v>
      </c>
      <c r="H788" s="2" t="inlineStr">
        <is>
          <t>SC/PC</t>
        </is>
      </c>
      <c r="I788" s="2" t="inlineStr">
        <is>
          <t>SC/PC</t>
        </is>
      </c>
      <c r="J788" s="2" t="n"/>
      <c r="K788" s="2" t="n"/>
      <c r="L788" s="2" t="n"/>
      <c r="M788" s="2" t="n"/>
      <c r="N788" s="2" t="n">
        <v>14</v>
      </c>
      <c r="O788" s="2" t="n">
        <v>120</v>
      </c>
      <c r="P788" s="2" t="n"/>
      <c r="Q788" s="2" t="n"/>
      <c r="R788" s="2" t="n"/>
      <c r="S788" s="2" t="n">
        <v>81</v>
      </c>
      <c r="T788" s="2" t="n">
        <v>20</v>
      </c>
      <c r="U788" s="2" t="n"/>
      <c r="V788" s="2">
        <f>SUM(J788:U788)*G788</f>
        <v/>
      </c>
      <c r="W788" s="2">
        <f>MAX(J788:U788)</f>
        <v/>
      </c>
      <c r="X788" s="2">
        <f>W788*G788</f>
        <v/>
      </c>
    </row>
    <row r="789">
      <c r="A789" s="2" t="inlineStr">
        <is>
          <t>A14-DB-N472</t>
        </is>
      </c>
      <c r="B789" s="3" t="inlineStr">
        <is>
          <t>DOJC-SM-SC/PC-SC/PC</t>
        </is>
      </c>
      <c r="C789" s="2" t="inlineStr">
        <is>
          <t>908040250, 30M, B3, 2.0mm</t>
        </is>
      </c>
      <c r="D789" s="2" t="inlineStr">
        <is>
          <t>b3</t>
        </is>
      </c>
      <c r="E789" s="2" t="inlineStr">
        <is>
          <t>2.0mm</t>
        </is>
      </c>
      <c r="F789" s="2" t="n">
        <v>2</v>
      </c>
      <c r="G789" s="2" t="n">
        <v>30</v>
      </c>
      <c r="H789" s="2" t="inlineStr">
        <is>
          <t>SC/PC</t>
        </is>
      </c>
      <c r="I789" s="2" t="inlineStr">
        <is>
          <t>SC/PC</t>
        </is>
      </c>
      <c r="J789" s="2" t="n"/>
      <c r="K789" s="2" t="n"/>
      <c r="L789" s="2" t="n"/>
      <c r="M789" s="2" t="n">
        <v>20</v>
      </c>
      <c r="N789" s="2" t="n"/>
      <c r="O789" s="2" t="n"/>
      <c r="P789" s="2" t="n"/>
      <c r="Q789" s="2" t="n"/>
      <c r="R789" s="2" t="n"/>
      <c r="S789" s="2" t="n">
        <v>10</v>
      </c>
      <c r="T789" s="2" t="n"/>
      <c r="U789" s="2" t="n"/>
      <c r="V789" s="2">
        <f>SUM(J789:U789)*G789</f>
        <v/>
      </c>
      <c r="W789" s="2">
        <f>MAX(J789:U789)</f>
        <v/>
      </c>
      <c r="X789" s="2">
        <f>W789*G789</f>
        <v/>
      </c>
    </row>
    <row r="790">
      <c r="A790" s="2" t="inlineStr">
        <is>
          <t>A14-DB-N474</t>
        </is>
      </c>
      <c r="B790" s="3" t="inlineStr">
        <is>
          <t>DOJC-SM-SC/PC-SC/PC</t>
        </is>
      </c>
      <c r="C790" s="2" t="inlineStr">
        <is>
          <t>908040221, 3M, B3, 3.0mm</t>
        </is>
      </c>
      <c r="D790" s="2" t="inlineStr">
        <is>
          <t>b3</t>
        </is>
      </c>
      <c r="E790" s="2" t="inlineStr">
        <is>
          <t>3.0mm</t>
        </is>
      </c>
      <c r="F790" s="2" t="n">
        <v>2</v>
      </c>
      <c r="G790" s="2" t="n">
        <v>3</v>
      </c>
      <c r="H790" s="2" t="inlineStr">
        <is>
          <t>SC/PC</t>
        </is>
      </c>
      <c r="I790" s="2" t="inlineStr">
        <is>
          <t>SC/PC</t>
        </is>
      </c>
      <c r="J790" s="2" t="n"/>
      <c r="K790" s="2" t="n"/>
      <c r="L790" s="2" t="n"/>
      <c r="M790" s="2" t="n"/>
      <c r="N790" s="2" t="n"/>
      <c r="O790" s="2" t="n"/>
      <c r="P790" s="2" t="n"/>
      <c r="Q790" s="2" t="n">
        <v>50</v>
      </c>
      <c r="R790" s="2" t="n">
        <v>50</v>
      </c>
      <c r="S790" s="2" t="n">
        <v>15</v>
      </c>
      <c r="T790" s="2" t="n"/>
      <c r="U790" s="2" t="n">
        <v>180</v>
      </c>
      <c r="V790" s="2">
        <f>SUM(J790:U790)*G790</f>
        <v/>
      </c>
      <c r="W790" s="2">
        <f>MAX(J790:U790)</f>
        <v/>
      </c>
      <c r="X790" s="2">
        <f>W790*G790</f>
        <v/>
      </c>
    </row>
    <row r="791">
      <c r="A791" s="2" t="inlineStr">
        <is>
          <t>A14-DB-N481</t>
        </is>
      </c>
      <c r="B791" s="3" t="inlineStr">
        <is>
          <t>DOJC-SM-SC/PC-SC/PC</t>
        </is>
      </c>
      <c r="C791" s="2" t="inlineStr">
        <is>
          <t>908040225, 5M, B3, 3.0mm</t>
        </is>
      </c>
      <c r="D791" s="2" t="inlineStr">
        <is>
          <t>b3</t>
        </is>
      </c>
      <c r="E791" s="2" t="inlineStr">
        <is>
          <t>3.0mm</t>
        </is>
      </c>
      <c r="F791" s="2" t="n">
        <v>2</v>
      </c>
      <c r="G791" s="2" t="n">
        <v>5</v>
      </c>
      <c r="H791" s="2" t="inlineStr">
        <is>
          <t>SC/PC</t>
        </is>
      </c>
      <c r="I791" s="2" t="inlineStr">
        <is>
          <t>SC/PC</t>
        </is>
      </c>
      <c r="J791" s="2" t="n"/>
      <c r="K791" s="2" t="n"/>
      <c r="L791" s="2" t="n"/>
      <c r="M791" s="2" t="n"/>
      <c r="N791" s="2" t="n"/>
      <c r="O791" s="2" t="n">
        <v>59</v>
      </c>
      <c r="P791" s="2" t="n"/>
      <c r="Q791" s="2" t="n"/>
      <c r="R791" s="2" t="n"/>
      <c r="S791" s="2" t="n"/>
      <c r="T791" s="2" t="n"/>
      <c r="U791" s="2" t="n"/>
      <c r="V791" s="2">
        <f>SUM(J791:U791)*G791</f>
        <v/>
      </c>
      <c r="W791" s="2">
        <f>MAX(J791:U791)</f>
        <v/>
      </c>
      <c r="X791" s="2">
        <f>W791*G791</f>
        <v/>
      </c>
    </row>
    <row r="792">
      <c r="A792" s="2" t="inlineStr">
        <is>
          <t>A14-DB-N487</t>
        </is>
      </c>
      <c r="B792" s="3" t="inlineStr">
        <is>
          <t>DOJC-SM-SC/PC-SC/PC</t>
        </is>
      </c>
      <c r="C792" s="2" t="inlineStr">
        <is>
          <t>908040228, 8M, B3, 2.0mm</t>
        </is>
      </c>
      <c r="D792" s="2" t="inlineStr">
        <is>
          <t>b3</t>
        </is>
      </c>
      <c r="E792" s="2" t="inlineStr">
        <is>
          <t>2.0mm</t>
        </is>
      </c>
      <c r="F792" s="2" t="n">
        <v>2</v>
      </c>
      <c r="G792" s="2" t="n">
        <v>8</v>
      </c>
      <c r="H792" s="2" t="inlineStr">
        <is>
          <t>SC/PC</t>
        </is>
      </c>
      <c r="I792" s="2" t="inlineStr">
        <is>
          <t>SC/PC</t>
        </is>
      </c>
      <c r="J792" s="2" t="n"/>
      <c r="K792" s="2" t="n"/>
      <c r="L792" s="2" t="n"/>
      <c r="M792" s="2" t="n"/>
      <c r="N792" s="2" t="n">
        <v>20</v>
      </c>
      <c r="O792" s="2" t="n"/>
      <c r="P792" s="2" t="n"/>
      <c r="Q792" s="2" t="n"/>
      <c r="R792" s="2" t="n"/>
      <c r="S792" s="2" t="n"/>
      <c r="T792" s="2" t="n">
        <v>20</v>
      </c>
      <c r="U792" s="2" t="n">
        <v>40</v>
      </c>
      <c r="V792" s="2">
        <f>SUM(J792:U792)*G792</f>
        <v/>
      </c>
      <c r="W792" s="2">
        <f>MAX(J792:U792)</f>
        <v/>
      </c>
      <c r="X792" s="2">
        <f>W792*G792</f>
        <v/>
      </c>
    </row>
    <row r="793">
      <c r="A793" s="2" t="inlineStr">
        <is>
          <t>A14-DB-N540</t>
        </is>
      </c>
      <c r="B793" s="3" t="inlineStr">
        <is>
          <t>DOJC-SM-LC/APC-LC/APC</t>
        </is>
      </c>
      <c r="C793" s="2" t="inlineStr">
        <is>
          <t>930003860, 15M, B3, 2.0mm</t>
        </is>
      </c>
      <c r="D793" s="2" t="inlineStr">
        <is>
          <t>b3</t>
        </is>
      </c>
      <c r="E793" s="2" t="inlineStr">
        <is>
          <t>2.0mm</t>
        </is>
      </c>
      <c r="F793" s="2" t="n">
        <v>2</v>
      </c>
      <c r="G793" s="2" t="n">
        <v>15</v>
      </c>
      <c r="H793" s="2" t="inlineStr">
        <is>
          <t>LC/APC</t>
        </is>
      </c>
      <c r="I793" s="2" t="inlineStr">
        <is>
          <t>LC/APC</t>
        </is>
      </c>
      <c r="J793" s="2" t="n"/>
      <c r="K793" s="2" t="n"/>
      <c r="L793" s="2" t="n"/>
      <c r="M793" s="2" t="n"/>
      <c r="N793" s="2" t="n">
        <v>53</v>
      </c>
      <c r="O793" s="2" t="n">
        <v>73</v>
      </c>
      <c r="P793" s="2" t="n">
        <v>60</v>
      </c>
      <c r="Q793" s="2" t="n"/>
      <c r="R793" s="2" t="n"/>
      <c r="S793" s="2" t="n"/>
      <c r="T793" s="2" t="n"/>
      <c r="U793" s="2" t="n"/>
      <c r="V793" s="2">
        <f>SUM(J793:U793)*G793</f>
        <v/>
      </c>
      <c r="W793" s="2">
        <f>MAX(J793:U793)</f>
        <v/>
      </c>
      <c r="X793" s="2">
        <f>W793*G793</f>
        <v/>
      </c>
    </row>
    <row r="794">
      <c r="A794" s="2" t="inlineStr">
        <is>
          <t>A14-DB-N541</t>
        </is>
      </c>
      <c r="B794" s="3" t="inlineStr">
        <is>
          <t>DOJC-SM-LC/APC-LC/APC</t>
        </is>
      </c>
      <c r="C794" s="2" t="inlineStr">
        <is>
          <t>930003861, 20M, B3, 2.0mm</t>
        </is>
      </c>
      <c r="D794" s="2" t="inlineStr">
        <is>
          <t>b3</t>
        </is>
      </c>
      <c r="E794" s="2" t="inlineStr">
        <is>
          <t>2.0mm</t>
        </is>
      </c>
      <c r="F794" s="2" t="n">
        <v>2</v>
      </c>
      <c r="G794" s="2" t="n">
        <v>20</v>
      </c>
      <c r="H794" s="2" t="inlineStr">
        <is>
          <t>LC/APC</t>
        </is>
      </c>
      <c r="I794" s="2" t="inlineStr">
        <is>
          <t>LC/APC</t>
        </is>
      </c>
      <c r="J794" s="2" t="n"/>
      <c r="K794" s="2" t="n">
        <v>11</v>
      </c>
      <c r="L794" s="2" t="n">
        <v>165</v>
      </c>
      <c r="M794" s="2" t="n">
        <v>3</v>
      </c>
      <c r="N794" s="2" t="n">
        <v>155</v>
      </c>
      <c r="O794" s="2" t="n">
        <v>12</v>
      </c>
      <c r="P794" s="2" t="n">
        <v>20</v>
      </c>
      <c r="Q794" s="2" t="n">
        <v>100</v>
      </c>
      <c r="R794" s="2" t="n"/>
      <c r="S794" s="2" t="n"/>
      <c r="T794" s="2" t="n"/>
      <c r="U794" s="2" t="n"/>
      <c r="V794" s="2">
        <f>SUM(J794:U794)*G794</f>
        <v/>
      </c>
      <c r="W794" s="2">
        <f>MAX(J794:U794)</f>
        <v/>
      </c>
      <c r="X794" s="2">
        <f>W794*G794</f>
        <v/>
      </c>
    </row>
    <row r="795">
      <c r="A795" s="2" t="inlineStr">
        <is>
          <t>A14-DB-N542</t>
        </is>
      </c>
      <c r="B795" s="3" t="inlineStr">
        <is>
          <t>DOJC-SM-LC/APC-LC/APC</t>
        </is>
      </c>
      <c r="C795" s="2" t="inlineStr">
        <is>
          <t>25M, B3, 2.0mm</t>
        </is>
      </c>
      <c r="D795" s="2" t="inlineStr">
        <is>
          <t>b3</t>
        </is>
      </c>
      <c r="E795" s="2" t="inlineStr">
        <is>
          <t>2.0mm</t>
        </is>
      </c>
      <c r="F795" s="2" t="n">
        <v>2</v>
      </c>
      <c r="G795" s="2" t="n">
        <v>25</v>
      </c>
      <c r="H795" s="2" t="inlineStr">
        <is>
          <t>LC/APC</t>
        </is>
      </c>
      <c r="I795" s="2" t="inlineStr">
        <is>
          <t>LC/APC</t>
        </is>
      </c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>
        <v>92</v>
      </c>
      <c r="S795" s="2" t="n"/>
      <c r="T795" s="2" t="n"/>
      <c r="U795" s="2" t="n"/>
      <c r="V795" s="2">
        <f>SUM(J795:U795)*G795</f>
        <v/>
      </c>
      <c r="W795" s="2">
        <f>MAX(J795:U795)</f>
        <v/>
      </c>
      <c r="X795" s="2">
        <f>W795*G795</f>
        <v/>
      </c>
    </row>
    <row r="796">
      <c r="A796" s="2" t="inlineStr">
        <is>
          <t>A14-DB-N609</t>
        </is>
      </c>
      <c r="B796" s="3" t="inlineStr">
        <is>
          <t>DOJC-SM-LC/PC-LC/APC</t>
        </is>
      </c>
      <c r="C796" s="2" t="inlineStr">
        <is>
          <t>10M,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2</v>
      </c>
      <c r="G796" s="2" t="n">
        <v>10</v>
      </c>
      <c r="H796" s="2" t="inlineStr">
        <is>
          <t>LC/PC</t>
        </is>
      </c>
      <c r="I796" s="2" t="inlineStr">
        <is>
          <t>LC/APC</t>
        </is>
      </c>
      <c r="J796" s="2" t="n"/>
      <c r="K796" s="2" t="n"/>
      <c r="L796" s="2" t="n">
        <v>40</v>
      </c>
      <c r="M796" s="2" t="n"/>
      <c r="N796" s="2" t="n"/>
      <c r="O796" s="2" t="n"/>
      <c r="P796" s="2" t="n"/>
      <c r="Q796" s="2" t="n"/>
      <c r="R796" s="2" t="n">
        <v>32</v>
      </c>
      <c r="S796" s="2" t="n"/>
      <c r="T796" s="2" t="n"/>
      <c r="U796" s="2" t="n"/>
      <c r="V796" s="2">
        <f>SUM(J796:U796)*G796</f>
        <v/>
      </c>
      <c r="W796" s="2">
        <f>MAX(J796:U796)</f>
        <v/>
      </c>
      <c r="X796" s="2">
        <f>W796*G796</f>
        <v/>
      </c>
    </row>
    <row r="797">
      <c r="A797" s="2" t="inlineStr">
        <is>
          <t>A14-DB-N610</t>
        </is>
      </c>
      <c r="B797" s="3" t="inlineStr">
        <is>
          <t>DOJC-SM-LC/PC-LC/APC</t>
        </is>
      </c>
      <c r="C797" s="2" t="inlineStr">
        <is>
          <t>15M, B3, 2.0mm</t>
        </is>
      </c>
      <c r="D797" s="2" t="inlineStr">
        <is>
          <t>b3</t>
        </is>
      </c>
      <c r="E797" s="2" t="inlineStr">
        <is>
          <t>2.0mm</t>
        </is>
      </c>
      <c r="F797" s="2" t="n">
        <v>2</v>
      </c>
      <c r="G797" s="2" t="n">
        <v>15</v>
      </c>
      <c r="H797" s="2" t="inlineStr">
        <is>
          <t>LC/PC</t>
        </is>
      </c>
      <c r="I797" s="2" t="inlineStr">
        <is>
          <t>LC/APC</t>
        </is>
      </c>
      <c r="J797" s="2" t="n"/>
      <c r="K797" s="2" t="n">
        <v>10</v>
      </c>
      <c r="L797" s="2" t="n">
        <v>50</v>
      </c>
      <c r="M797" s="2" t="n"/>
      <c r="N797" s="2" t="n"/>
      <c r="O797" s="2" t="n">
        <v>5</v>
      </c>
      <c r="P797" s="2" t="n"/>
      <c r="Q797" s="2" t="n"/>
      <c r="R797" s="2" t="n"/>
      <c r="S797" s="2" t="n"/>
      <c r="T797" s="2" t="n"/>
      <c r="U797" s="2" t="n"/>
      <c r="V797" s="2">
        <f>SUM(J797:U797)*G797</f>
        <v/>
      </c>
      <c r="W797" s="2">
        <f>MAX(J797:U797)</f>
        <v/>
      </c>
      <c r="X797" s="2">
        <f>W797*G797</f>
        <v/>
      </c>
    </row>
    <row r="798">
      <c r="A798" s="2" t="inlineStr">
        <is>
          <t>A14-DB-N611</t>
        </is>
      </c>
      <c r="B798" s="3" t="inlineStr">
        <is>
          <t>DOJC-SM-LC/PC-LC/APC</t>
        </is>
      </c>
      <c r="C798" s="2" t="inlineStr">
        <is>
          <t>20M,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2</v>
      </c>
      <c r="G798" s="2" t="n">
        <v>20</v>
      </c>
      <c r="H798" s="2" t="inlineStr">
        <is>
          <t>LC/PC</t>
        </is>
      </c>
      <c r="I798" s="2" t="inlineStr">
        <is>
          <t>LC/APC</t>
        </is>
      </c>
      <c r="J798" s="2" t="n"/>
      <c r="K798" s="2" t="n"/>
      <c r="L798" s="2" t="n">
        <v>47</v>
      </c>
      <c r="M798" s="2" t="n"/>
      <c r="N798" s="2" t="n">
        <v>4</v>
      </c>
      <c r="O798" s="2" t="n">
        <v>2</v>
      </c>
      <c r="P798" s="2" t="n"/>
      <c r="Q798" s="2" t="n"/>
      <c r="R798" s="2" t="n"/>
      <c r="S798" s="2" t="n"/>
      <c r="T798" s="2" t="n"/>
      <c r="U798" s="2" t="n"/>
      <c r="V798" s="2">
        <f>SUM(J798:U798)*G798</f>
        <v/>
      </c>
      <c r="W798" s="2">
        <f>MAX(J798:U798)</f>
        <v/>
      </c>
      <c r="X798" s="2">
        <f>W798*G798</f>
        <v/>
      </c>
    </row>
    <row r="799">
      <c r="A799" s="2" t="inlineStr">
        <is>
          <t>A14-DB-N612</t>
        </is>
      </c>
      <c r="B799" s="3" t="inlineStr">
        <is>
          <t>DOJC-SM-LC/PC-LC/APC</t>
        </is>
      </c>
      <c r="C799" s="2" t="inlineStr">
        <is>
          <t>25M, B3, 2.0mm</t>
        </is>
      </c>
      <c r="D799" s="2" t="inlineStr">
        <is>
          <t>b3</t>
        </is>
      </c>
      <c r="E799" s="2" t="inlineStr">
        <is>
          <t>2.0mm</t>
        </is>
      </c>
      <c r="F799" s="2" t="n">
        <v>2</v>
      </c>
      <c r="G799" s="2" t="n">
        <v>25</v>
      </c>
      <c r="H799" s="2" t="inlineStr">
        <is>
          <t>LC/PC</t>
        </is>
      </c>
      <c r="I799" s="2" t="inlineStr">
        <is>
          <t>LC/APC</t>
        </is>
      </c>
      <c r="J799" s="2" t="n"/>
      <c r="K799" s="2" t="n"/>
      <c r="L799" s="2" t="n">
        <v>20</v>
      </c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>
        <f>SUM(J799:U799)*G799</f>
        <v/>
      </c>
      <c r="W799" s="2">
        <f>MAX(J799:U799)</f>
        <v/>
      </c>
      <c r="X799" s="2">
        <f>W799*G799</f>
        <v/>
      </c>
    </row>
    <row r="800">
      <c r="A800" s="2" t="inlineStr">
        <is>
          <t>A14-DB-N653</t>
        </is>
      </c>
      <c r="B800" s="3" t="inlineStr">
        <is>
          <t>DOJC-SM-LC/PC-SC/APC</t>
        </is>
      </c>
      <c r="C800" s="2" t="inlineStr">
        <is>
          <t>50M,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2</v>
      </c>
      <c r="G800" s="2" t="n">
        <v>50</v>
      </c>
      <c r="H800" s="2" t="inlineStr">
        <is>
          <t>LC/PC</t>
        </is>
      </c>
      <c r="I800" s="2" t="inlineStr">
        <is>
          <t>SC/APC</t>
        </is>
      </c>
      <c r="J800" s="2" t="n"/>
      <c r="K800" s="2" t="n"/>
      <c r="L800" s="2" t="n"/>
      <c r="M800" s="2" t="n"/>
      <c r="N800" s="2" t="n"/>
      <c r="O800" s="2" t="n"/>
      <c r="P800" s="2" t="n"/>
      <c r="Q800" s="2" t="n">
        <v>20</v>
      </c>
      <c r="R800" s="2" t="n"/>
      <c r="S800" s="2" t="n"/>
      <c r="T800" s="2" t="n"/>
      <c r="U800" s="2" t="n"/>
      <c r="V800" s="2">
        <f>SUM(J800:U800)*G800</f>
        <v/>
      </c>
      <c r="W800" s="2">
        <f>MAX(J800:U800)</f>
        <v/>
      </c>
      <c r="X800" s="2">
        <f>W800*G800</f>
        <v/>
      </c>
    </row>
    <row r="801">
      <c r="A801" s="2" t="inlineStr">
        <is>
          <t>A14-DB-N676</t>
        </is>
      </c>
      <c r="B801" s="3" t="inlineStr">
        <is>
          <t>DOJC-SM-LC/PC-FC/PC</t>
        </is>
      </c>
      <c r="C801" s="2" t="inlineStr">
        <is>
          <t>45M,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2</v>
      </c>
      <c r="G801" s="2" t="n">
        <v>45</v>
      </c>
      <c r="H801" s="2" t="inlineStr">
        <is>
          <t>LC/PC</t>
        </is>
      </c>
      <c r="I801" s="2" t="inlineStr">
        <is>
          <t>FC/PC</t>
        </is>
      </c>
      <c r="J801" s="2" t="n"/>
      <c r="K801" s="2" t="n"/>
      <c r="L801" s="2" t="n">
        <v>2</v>
      </c>
      <c r="M801" s="2" t="n">
        <v>10</v>
      </c>
      <c r="N801" s="2" t="n"/>
      <c r="O801" s="2" t="n"/>
      <c r="P801" s="2" t="n"/>
      <c r="Q801" s="2" t="n"/>
      <c r="R801" s="2" t="n"/>
      <c r="S801" s="2" t="n">
        <v>20</v>
      </c>
      <c r="T801" s="2" t="n"/>
      <c r="U801" s="2" t="n">
        <v>2</v>
      </c>
      <c r="V801" s="2">
        <f>SUM(J801:U801)*G801</f>
        <v/>
      </c>
      <c r="W801" s="2">
        <f>MAX(J801:U801)</f>
        <v/>
      </c>
      <c r="X801" s="2">
        <f>W801*G801</f>
        <v/>
      </c>
    </row>
    <row r="802">
      <c r="A802" s="2" t="inlineStr">
        <is>
          <t>A14-DB-N677</t>
        </is>
      </c>
      <c r="B802" s="3" t="inlineStr">
        <is>
          <t>DOJC-SM-LC/PC-LC/PC</t>
        </is>
      </c>
      <c r="C802" s="2" t="inlineStr">
        <is>
          <t>2.5M, B3, 3.0mm</t>
        </is>
      </c>
      <c r="D802" s="2" t="inlineStr">
        <is>
          <t>b3</t>
        </is>
      </c>
      <c r="E802" s="2" t="inlineStr">
        <is>
          <t>3.0mm</t>
        </is>
      </c>
      <c r="F802" s="2" t="n">
        <v>2</v>
      </c>
      <c r="G802" s="2" t="n">
        <v>2.5</v>
      </c>
      <c r="H802" s="2" t="inlineStr">
        <is>
          <t>LC/PC</t>
        </is>
      </c>
      <c r="I802" s="2" t="inlineStr">
        <is>
          <t>LC/PC</t>
        </is>
      </c>
      <c r="J802" s="2" t="n"/>
      <c r="K802" s="2" t="n"/>
      <c r="L802" s="2" t="n"/>
      <c r="M802" s="2" t="n"/>
      <c r="N802" s="2" t="n"/>
      <c r="O802" s="2" t="n"/>
      <c r="P802" s="2" t="n">
        <v>40</v>
      </c>
      <c r="Q802" s="2" t="n"/>
      <c r="R802" s="2" t="n"/>
      <c r="S802" s="2" t="n"/>
      <c r="T802" s="2" t="n"/>
      <c r="U802" s="2" t="n"/>
      <c r="V802" s="2">
        <f>SUM(J802:U802)*G802</f>
        <v/>
      </c>
      <c r="W802" s="2">
        <f>MAX(J802:U802)</f>
        <v/>
      </c>
      <c r="X802" s="2">
        <f>W802*G802</f>
        <v/>
      </c>
    </row>
    <row r="803">
      <c r="A803" s="2" t="inlineStr">
        <is>
          <t>A14-DB-N726</t>
        </is>
      </c>
      <c r="B803" s="3" t="inlineStr">
        <is>
          <t>DOJC-SM-SC/PC-SC/PC</t>
        </is>
      </c>
      <c r="C803" s="2" t="inlineStr">
        <is>
          <t>0.5M,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2</v>
      </c>
      <c r="G803" s="2" t="n">
        <v>0.5</v>
      </c>
      <c r="H803" s="2" t="inlineStr">
        <is>
          <t>SC/PC</t>
        </is>
      </c>
      <c r="I803" s="2" t="inlineStr">
        <is>
          <t>SC/PC</t>
        </is>
      </c>
      <c r="J803" s="2" t="n">
        <v>100</v>
      </c>
      <c r="K803" s="2" t="n"/>
      <c r="L803" s="2" t="n"/>
      <c r="M803" s="2" t="n"/>
      <c r="N803" s="2" t="n"/>
      <c r="O803" s="2" t="n"/>
      <c r="P803" s="2" t="n"/>
      <c r="Q803" s="2" t="n"/>
      <c r="R803" s="2" t="n">
        <v>200</v>
      </c>
      <c r="S803" s="2" t="n"/>
      <c r="T803" s="2" t="n"/>
      <c r="U803" s="2" t="n"/>
      <c r="V803" s="2">
        <f>SUM(J803:U803)*G803</f>
        <v/>
      </c>
      <c r="W803" s="2">
        <f>MAX(J803:U803)</f>
        <v/>
      </c>
      <c r="X803" s="2">
        <f>W803*G803</f>
        <v/>
      </c>
    </row>
    <row r="804">
      <c r="A804" s="2" t="inlineStr">
        <is>
          <t>A14-DB-N891</t>
        </is>
      </c>
      <c r="B804" s="3" t="inlineStr">
        <is>
          <t>DOJC-SM-LC/APC-LC/APC</t>
        </is>
      </c>
      <c r="C804" s="2" t="inlineStr">
        <is>
          <t>930003857, 3M, B3, 3.0mm</t>
        </is>
      </c>
      <c r="D804" s="2" t="inlineStr">
        <is>
          <t>b3</t>
        </is>
      </c>
      <c r="E804" s="2" t="inlineStr">
        <is>
          <t>3.0mm</t>
        </is>
      </c>
      <c r="F804" s="2" t="n">
        <v>2</v>
      </c>
      <c r="G804" s="2" t="n">
        <v>3</v>
      </c>
      <c r="H804" s="2" t="inlineStr">
        <is>
          <t>LC/APC</t>
        </is>
      </c>
      <c r="I804" s="2" t="inlineStr">
        <is>
          <t>LC/APC</t>
        </is>
      </c>
      <c r="J804" s="2" t="n">
        <v>20</v>
      </c>
      <c r="K804" s="2" t="n"/>
      <c r="L804" s="2" t="n"/>
      <c r="M804" s="2" t="n"/>
      <c r="N804" s="2" t="n"/>
      <c r="O804" s="2" t="n"/>
      <c r="P804" s="2" t="n">
        <v>20</v>
      </c>
      <c r="Q804" s="2" t="n">
        <v>5</v>
      </c>
      <c r="R804" s="2" t="n"/>
      <c r="S804" s="2" t="n">
        <v>100</v>
      </c>
      <c r="T804" s="2" t="n"/>
      <c r="U804" s="2" t="n">
        <v>40</v>
      </c>
      <c r="V804" s="2">
        <f>SUM(J804:U804)*G804</f>
        <v/>
      </c>
      <c r="W804" s="2">
        <f>MAX(J804:U804)</f>
        <v/>
      </c>
      <c r="X804" s="2">
        <f>W804*G804</f>
        <v/>
      </c>
    </row>
    <row r="805">
      <c r="A805" s="2" t="inlineStr">
        <is>
          <t>A14-DB-N902</t>
        </is>
      </c>
      <c r="B805" s="3" t="inlineStr">
        <is>
          <t>DOJC-SM-LC/APC-LC/APC</t>
        </is>
      </c>
      <c r="C805" s="2" t="inlineStr">
        <is>
          <t>30M,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2</v>
      </c>
      <c r="G805" s="2" t="n">
        <v>30</v>
      </c>
      <c r="H805" s="2" t="inlineStr">
        <is>
          <t>LC/APC</t>
        </is>
      </c>
      <c r="I805" s="2" t="inlineStr">
        <is>
          <t>LC/APC</t>
        </is>
      </c>
      <c r="J805" s="2" t="n"/>
      <c r="K805" s="2" t="n"/>
      <c r="L805" s="2" t="n"/>
      <c r="M805" s="2" t="n"/>
      <c r="N805" s="2" t="n">
        <v>7</v>
      </c>
      <c r="O805" s="2" t="n"/>
      <c r="P805" s="2" t="n"/>
      <c r="Q805" s="2" t="n"/>
      <c r="R805" s="2" t="n"/>
      <c r="S805" s="2" t="n"/>
      <c r="T805" s="2" t="n"/>
      <c r="U805" s="2" t="n"/>
      <c r="V805" s="2">
        <f>SUM(J805:U805)*G805</f>
        <v/>
      </c>
      <c r="W805" s="2">
        <f>MAX(J805:U805)</f>
        <v/>
      </c>
      <c r="X805" s="2">
        <f>W805*G805</f>
        <v/>
      </c>
    </row>
    <row r="806">
      <c r="A806" s="2" t="inlineStr">
        <is>
          <t>A14-DB-N903</t>
        </is>
      </c>
      <c r="B806" s="3" t="inlineStr">
        <is>
          <t>DOJC-SM-LC/APC-LC/APC</t>
        </is>
      </c>
      <c r="C806" s="2" t="inlineStr">
        <is>
          <t>35M,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2</v>
      </c>
      <c r="G806" s="2" t="n">
        <v>35</v>
      </c>
      <c r="H806" s="2" t="inlineStr">
        <is>
          <t>LC/APC</t>
        </is>
      </c>
      <c r="I806" s="2" t="inlineStr">
        <is>
          <t>LC/APC</t>
        </is>
      </c>
      <c r="J806" s="2" t="n"/>
      <c r="K806" s="2" t="n"/>
      <c r="L806" s="2" t="n"/>
      <c r="M806" s="2" t="n"/>
      <c r="N806" s="2" t="n">
        <v>7</v>
      </c>
      <c r="O806" s="2" t="n"/>
      <c r="P806" s="2" t="n"/>
      <c r="Q806" s="2" t="n"/>
      <c r="R806" s="2" t="n"/>
      <c r="S806" s="2" t="n"/>
      <c r="T806" s="2" t="n"/>
      <c r="U806" s="2" t="n"/>
      <c r="V806" s="2">
        <f>SUM(J806:U806)*G806</f>
        <v/>
      </c>
      <c r="W806" s="2">
        <f>MAX(J806:U806)</f>
        <v/>
      </c>
      <c r="X806" s="2">
        <f>W806*G806</f>
        <v/>
      </c>
    </row>
    <row r="807">
      <c r="A807" s="2" t="inlineStr">
        <is>
          <t>A14-DB-N905</t>
        </is>
      </c>
      <c r="B807" s="3" t="inlineStr">
        <is>
          <t>DOJC-SM-LC/APC-SC/PC</t>
        </is>
      </c>
      <c r="C807" s="2" t="inlineStr">
        <is>
          <t>1M, B3, 3.0mm</t>
        </is>
      </c>
      <c r="D807" s="2" t="inlineStr">
        <is>
          <t>b3</t>
        </is>
      </c>
      <c r="E807" s="2" t="inlineStr">
        <is>
          <t>3.0mm</t>
        </is>
      </c>
      <c r="F807" s="2" t="n">
        <v>2</v>
      </c>
      <c r="G807" s="2" t="n">
        <v>1</v>
      </c>
      <c r="H807" s="2" t="inlineStr">
        <is>
          <t>LC/APC</t>
        </is>
      </c>
      <c r="I807" s="2" t="inlineStr">
        <is>
          <t>SC/PC</t>
        </is>
      </c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>
        <v>2</v>
      </c>
      <c r="V807" s="2">
        <f>SUM(J807:U807)*G807</f>
        <v/>
      </c>
      <c r="W807" s="2">
        <f>MAX(J807:U807)</f>
        <v/>
      </c>
      <c r="X807" s="2">
        <f>W807*G807</f>
        <v/>
      </c>
    </row>
    <row r="808">
      <c r="A808" s="2" t="inlineStr">
        <is>
          <t>A14-DB-NA124</t>
        </is>
      </c>
      <c r="B808" s="3" t="inlineStr">
        <is>
          <t>DOJC-SM-LC/APC-FC/APC</t>
        </is>
      </c>
      <c r="C808" s="2" t="inlineStr">
        <is>
          <t>15M, B3, 2.0mm</t>
        </is>
      </c>
      <c r="D808" s="2" t="inlineStr">
        <is>
          <t>b3</t>
        </is>
      </c>
      <c r="E808" s="2" t="inlineStr">
        <is>
          <t>2.0mm</t>
        </is>
      </c>
      <c r="F808" s="2" t="n">
        <v>2</v>
      </c>
      <c r="G808" s="2" t="n">
        <v>15</v>
      </c>
      <c r="H808" s="2" t="inlineStr">
        <is>
          <t>LC/APC</t>
        </is>
      </c>
      <c r="I808" s="2" t="inlineStr">
        <is>
          <t>FC/APC</t>
        </is>
      </c>
      <c r="J808" s="2" t="n"/>
      <c r="K808" s="2" t="n"/>
      <c r="L808" s="2" t="n"/>
      <c r="M808" s="2" t="n"/>
      <c r="N808" s="2" t="n"/>
      <c r="O808" s="2" t="n">
        <v>15</v>
      </c>
      <c r="P808" s="2" t="n"/>
      <c r="Q808" s="2" t="n">
        <v>2</v>
      </c>
      <c r="R808" s="2" t="n"/>
      <c r="S808" s="2" t="n"/>
      <c r="T808" s="2" t="n"/>
      <c r="U808" s="2" t="n"/>
      <c r="V808" s="2">
        <f>SUM(J808:U808)*G808</f>
        <v/>
      </c>
      <c r="W808" s="2">
        <f>MAX(J808:U808)</f>
        <v/>
      </c>
      <c r="X808" s="2">
        <f>W808*G808</f>
        <v/>
      </c>
    </row>
    <row r="809">
      <c r="A809" s="2" t="inlineStr">
        <is>
          <t>A14-DB-NA142</t>
        </is>
      </c>
      <c r="B809" s="3" t="inlineStr">
        <is>
          <t>DOJC-SM-LC/APC-LC/APC</t>
        </is>
      </c>
      <c r="C809" s="2" t="inlineStr">
        <is>
          <t>7M, B3, 2.0mm</t>
        </is>
      </c>
      <c r="D809" s="2" t="inlineStr">
        <is>
          <t>b3</t>
        </is>
      </c>
      <c r="E809" s="2" t="inlineStr">
        <is>
          <t>2.0mm</t>
        </is>
      </c>
      <c r="F809" s="2" t="n">
        <v>2</v>
      </c>
      <c r="G809" s="2" t="n">
        <v>7</v>
      </c>
      <c r="H809" s="2" t="inlineStr">
        <is>
          <t>LC/APC</t>
        </is>
      </c>
      <c r="I809" s="2" t="inlineStr">
        <is>
          <t>LC/APC</t>
        </is>
      </c>
      <c r="J809" s="2" t="n"/>
      <c r="K809" s="2" t="n">
        <v>20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>
        <f>SUM(J809:U809)*G809</f>
        <v/>
      </c>
      <c r="W809" s="2">
        <f>MAX(J809:U809)</f>
        <v/>
      </c>
      <c r="X809" s="2">
        <f>W809*G809</f>
        <v/>
      </c>
    </row>
    <row r="810">
      <c r="A810" s="2" t="inlineStr">
        <is>
          <t>A14-DB-NA55</t>
        </is>
      </c>
      <c r="B810" s="3" t="inlineStr">
        <is>
          <t>DOJC-SM-LC/APC-FC/PC</t>
        </is>
      </c>
      <c r="C810" s="2" t="inlineStr">
        <is>
          <t>20M,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2</v>
      </c>
      <c r="G810" s="2" t="n">
        <v>20</v>
      </c>
      <c r="H810" s="2" t="inlineStr">
        <is>
          <t>LC/APC</t>
        </is>
      </c>
      <c r="I810" s="2" t="inlineStr">
        <is>
          <t>FC/PC</t>
        </is>
      </c>
      <c r="J810" s="2" t="n">
        <v>5</v>
      </c>
      <c r="K810" s="2" t="n"/>
      <c r="L810" s="2" t="n">
        <v>21</v>
      </c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>
        <f>SUM(J810:U810)*G810</f>
        <v/>
      </c>
      <c r="W810" s="2">
        <f>MAX(J810:U810)</f>
        <v/>
      </c>
      <c r="X810" s="2">
        <f>W810*G810</f>
        <v/>
      </c>
    </row>
    <row r="811">
      <c r="A811" s="2" t="inlineStr">
        <is>
          <t>A14-DB-NA56</t>
        </is>
      </c>
      <c r="B811" s="3" t="inlineStr">
        <is>
          <t>DOJC-SM-LC/APC-FC/PC</t>
        </is>
      </c>
      <c r="C811" s="2" t="inlineStr">
        <is>
          <t>15M,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2</v>
      </c>
      <c r="G811" s="2" t="n">
        <v>15</v>
      </c>
      <c r="H811" s="2" t="inlineStr">
        <is>
          <t>LC/APC</t>
        </is>
      </c>
      <c r="I811" s="2" t="inlineStr">
        <is>
          <t>FC/PC</t>
        </is>
      </c>
      <c r="J811" s="2" t="n"/>
      <c r="K811" s="2" t="n"/>
      <c r="L811" s="2" t="n">
        <v>20</v>
      </c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>
        <f>SUM(J811:U811)*G811</f>
        <v/>
      </c>
      <c r="W811" s="2">
        <f>MAX(J811:U811)</f>
        <v/>
      </c>
      <c r="X811" s="2">
        <f>W811*G811</f>
        <v/>
      </c>
    </row>
    <row r="812">
      <c r="A812" s="2" t="inlineStr">
        <is>
          <t>A14-DB-NA68</t>
        </is>
      </c>
      <c r="B812" s="3" t="inlineStr">
        <is>
          <t>DOJC-SM-LC/APC-LC/APC</t>
        </is>
      </c>
      <c r="C812" s="2" t="inlineStr">
        <is>
          <t>930003859, 10M,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2</v>
      </c>
      <c r="G812" s="2" t="n">
        <v>10</v>
      </c>
      <c r="H812" s="2" t="inlineStr">
        <is>
          <t>LC/APC</t>
        </is>
      </c>
      <c r="I812" s="2" t="inlineStr">
        <is>
          <t>LC/APC</t>
        </is>
      </c>
      <c r="J812" s="2" t="n"/>
      <c r="K812" s="2" t="n"/>
      <c r="L812" s="2" t="n"/>
      <c r="M812" s="2" t="n">
        <v>48</v>
      </c>
      <c r="N812" s="2" t="n">
        <v>130</v>
      </c>
      <c r="O812" s="2" t="n">
        <v>42</v>
      </c>
      <c r="P812" s="2" t="n">
        <v>40</v>
      </c>
      <c r="Q812" s="2" t="n"/>
      <c r="R812" s="2" t="n"/>
      <c r="S812" s="2" t="n"/>
      <c r="T812" s="2" t="n"/>
      <c r="U812" s="2" t="n"/>
      <c r="V812" s="2">
        <f>SUM(J812:U812)*G812</f>
        <v/>
      </c>
      <c r="W812" s="2">
        <f>MAX(J812:U812)</f>
        <v/>
      </c>
      <c r="X812" s="2">
        <f>W812*G812</f>
        <v/>
      </c>
    </row>
    <row r="813">
      <c r="A813" s="2" t="inlineStr">
        <is>
          <t>A14-DB-NA95</t>
        </is>
      </c>
      <c r="B813" s="3" t="inlineStr">
        <is>
          <t>DOJC-SM-LC/APC-LC/APC</t>
        </is>
      </c>
      <c r="C813" s="2" t="inlineStr">
        <is>
          <t>13M,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2</v>
      </c>
      <c r="G813" s="2" t="n">
        <v>13</v>
      </c>
      <c r="H813" s="2" t="inlineStr">
        <is>
          <t>LC/APC</t>
        </is>
      </c>
      <c r="I813" s="2" t="inlineStr">
        <is>
          <t>LC/APC</t>
        </is>
      </c>
      <c r="J813" s="2" t="n"/>
      <c r="K813" s="2" t="n">
        <v>30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>
        <f>SUM(J813:U813)*G813</f>
        <v/>
      </c>
      <c r="W813" s="2">
        <f>MAX(J813:U813)</f>
        <v/>
      </c>
      <c r="X813" s="2">
        <f>W813*G813</f>
        <v/>
      </c>
    </row>
    <row r="814">
      <c r="A814" s="2" t="inlineStr">
        <is>
          <t>A14-DB-NAN8</t>
        </is>
      </c>
      <c r="B814" s="3" t="inlineStr">
        <is>
          <t>DOJC-SM-LC/APC-FC/APC</t>
        </is>
      </c>
      <c r="C814" s="2" t="inlineStr">
        <is>
          <t>10M, B3, 2.0mm</t>
        </is>
      </c>
      <c r="D814" s="2" t="inlineStr">
        <is>
          <t>b3</t>
        </is>
      </c>
      <c r="E814" s="2" t="inlineStr">
        <is>
          <t>2.0mm</t>
        </is>
      </c>
      <c r="F814" s="2" t="n">
        <v>2</v>
      </c>
      <c r="G814" s="2" t="n">
        <v>10</v>
      </c>
      <c r="H814" s="2" t="inlineStr">
        <is>
          <t>LC/APC</t>
        </is>
      </c>
      <c r="I814" s="2" t="inlineStr">
        <is>
          <t>FC/APC</t>
        </is>
      </c>
      <c r="J814" s="2" t="n"/>
      <c r="K814" s="2" t="n">
        <v>4</v>
      </c>
      <c r="L814" s="2" t="n"/>
      <c r="M814" s="2" t="n"/>
      <c r="N814" s="2" t="n"/>
      <c r="O814" s="2" t="n">
        <v>10</v>
      </c>
      <c r="P814" s="2" t="n"/>
      <c r="Q814" s="2" t="n"/>
      <c r="R814" s="2" t="n"/>
      <c r="S814" s="2" t="n"/>
      <c r="T814" s="2" t="n"/>
      <c r="U814" s="2" t="n"/>
      <c r="V814" s="2">
        <f>SUM(J814:U814)*G814</f>
        <v/>
      </c>
      <c r="W814" s="2">
        <f>MAX(J814:U814)</f>
        <v/>
      </c>
      <c r="X814" s="2">
        <f>W814*G814</f>
        <v/>
      </c>
    </row>
    <row r="815">
      <c r="A815" s="2" t="inlineStr">
        <is>
          <t>A14-DB-NAN9</t>
        </is>
      </c>
      <c r="B815" s="3" t="inlineStr">
        <is>
          <t>DOJC-SM-LC/APC-FC/APC</t>
        </is>
      </c>
      <c r="C815" s="2" t="inlineStr">
        <is>
          <t>20M, B3, 2.0mm</t>
        </is>
      </c>
      <c r="D815" s="2" t="inlineStr">
        <is>
          <t>b3</t>
        </is>
      </c>
      <c r="E815" s="2" t="inlineStr">
        <is>
          <t>2.0mm</t>
        </is>
      </c>
      <c r="F815" s="2" t="n">
        <v>2</v>
      </c>
      <c r="G815" s="2" t="n">
        <v>20</v>
      </c>
      <c r="H815" s="2" t="inlineStr">
        <is>
          <t>LC/APC</t>
        </is>
      </c>
      <c r="I815" s="2" t="inlineStr">
        <is>
          <t>FC/APC</t>
        </is>
      </c>
      <c r="J815" s="2" t="n">
        <v>5</v>
      </c>
      <c r="K815" s="2" t="n"/>
      <c r="L815" s="2" t="n">
        <v>20</v>
      </c>
      <c r="M815" s="2" t="n"/>
      <c r="N815" s="2" t="n">
        <v>10</v>
      </c>
      <c r="O815" s="2" t="n"/>
      <c r="P815" s="2" t="n"/>
      <c r="Q815" s="2" t="n">
        <v>1</v>
      </c>
      <c r="R815" s="2" t="n"/>
      <c r="S815" s="2" t="n"/>
      <c r="T815" s="2" t="n"/>
      <c r="U815" s="2" t="n"/>
      <c r="V815" s="2">
        <f>SUM(J815:U815)*G815</f>
        <v/>
      </c>
      <c r="W815" s="2">
        <f>MAX(J815:U815)</f>
        <v/>
      </c>
      <c r="X815" s="2">
        <f>W815*G815</f>
        <v/>
      </c>
    </row>
    <row r="816">
      <c r="A816" s="2" t="inlineStr">
        <is>
          <t>A14-DB-NAP2</t>
        </is>
      </c>
      <c r="B816" s="3" t="inlineStr">
        <is>
          <t>DOJC-SM-LC/APC-LC/APC</t>
        </is>
      </c>
      <c r="C816" s="2" t="inlineStr">
        <is>
          <t>6M,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2</v>
      </c>
      <c r="G816" s="2" t="n">
        <v>6</v>
      </c>
      <c r="H816" s="2" t="inlineStr">
        <is>
          <t>LC/APC</t>
        </is>
      </c>
      <c r="I816" s="2" t="inlineStr">
        <is>
          <t>LC/APC</t>
        </is>
      </c>
      <c r="J816" s="2" t="n">
        <v>10</v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>
        <f>SUM(J816:U816)*G816</f>
        <v/>
      </c>
      <c r="W816" s="2">
        <f>MAX(J816:U816)</f>
        <v/>
      </c>
      <c r="X816" s="2">
        <f>W816*G816</f>
        <v/>
      </c>
    </row>
    <row r="817">
      <c r="A817" s="2" t="inlineStr">
        <is>
          <t>A14-DB-NC14</t>
        </is>
      </c>
      <c r="B817" s="3" t="inlineStr">
        <is>
          <t>DOJC-SM-LC/APC-LC/APC</t>
        </is>
      </c>
      <c r="C817" s="2" t="inlineStr">
        <is>
          <t>930003855, 1M, B3, 3.0mm</t>
        </is>
      </c>
      <c r="D817" s="2" t="inlineStr">
        <is>
          <t>b3</t>
        </is>
      </c>
      <c r="E817" s="2" t="inlineStr">
        <is>
          <t>3.0mm</t>
        </is>
      </c>
      <c r="F817" s="2" t="n">
        <v>2</v>
      </c>
      <c r="G817" s="2" t="n">
        <v>1</v>
      </c>
      <c r="H817" s="2" t="inlineStr">
        <is>
          <t>LC/APC</t>
        </is>
      </c>
      <c r="I817" s="2" t="inlineStr">
        <is>
          <t>LC/APC</t>
        </is>
      </c>
      <c r="J817" s="2" t="n"/>
      <c r="K817" s="2" t="n"/>
      <c r="L817" s="2" t="n"/>
      <c r="M817" s="2" t="n"/>
      <c r="N817" s="2" t="n">
        <v>20</v>
      </c>
      <c r="O817" s="2" t="n"/>
      <c r="P817" s="2" t="n"/>
      <c r="Q817" s="2" t="n"/>
      <c r="R817" s="2" t="n"/>
      <c r="S817" s="2" t="n"/>
      <c r="T817" s="2" t="n"/>
      <c r="U817" s="2" t="n"/>
      <c r="V817" s="2">
        <f>SUM(J817:U817)*G817</f>
        <v/>
      </c>
      <c r="W817" s="2">
        <f>MAX(J817:U817)</f>
        <v/>
      </c>
      <c r="X817" s="2">
        <f>W817*G817</f>
        <v/>
      </c>
    </row>
    <row r="818">
      <c r="A818" s="2" t="inlineStr">
        <is>
          <t>A14-DB-NC34</t>
        </is>
      </c>
      <c r="B818" s="3" t="inlineStr">
        <is>
          <t>DOJC-SM-LC/APC-SC/APC</t>
        </is>
      </c>
      <c r="C818" s="2" t="inlineStr">
        <is>
          <t>15M,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2</v>
      </c>
      <c r="G818" s="2" t="n">
        <v>15</v>
      </c>
      <c r="H818" s="2" t="inlineStr">
        <is>
          <t>LC/APC</t>
        </is>
      </c>
      <c r="I818" s="2" t="inlineStr">
        <is>
          <t>SC/APC</t>
        </is>
      </c>
      <c r="J818" s="2" t="n"/>
      <c r="K818" s="2" t="n"/>
      <c r="L818" s="2" t="n">
        <v>10</v>
      </c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>
        <f>SUM(J818:U818)*G818</f>
        <v/>
      </c>
      <c r="W818" s="2">
        <f>MAX(J818:U818)</f>
        <v/>
      </c>
      <c r="X818" s="2">
        <f>W818*G818</f>
        <v/>
      </c>
    </row>
    <row r="819">
      <c r="A819" s="2" t="inlineStr">
        <is>
          <t>A14-DB-NC60</t>
        </is>
      </c>
      <c r="B819" s="3" t="inlineStr">
        <is>
          <t>DOJC-SM-LC/APC-FC/PC</t>
        </is>
      </c>
      <c r="C819" s="2" t="inlineStr">
        <is>
          <t>10M,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2</v>
      </c>
      <c r="G819" s="2" t="n">
        <v>10</v>
      </c>
      <c r="H819" s="2" t="inlineStr">
        <is>
          <t>LC/APC</t>
        </is>
      </c>
      <c r="I819" s="2" t="inlineStr">
        <is>
          <t>FC/PC</t>
        </is>
      </c>
      <c r="J819" s="2" t="n"/>
      <c r="K819" s="2" t="n"/>
      <c r="L819" s="2" t="n">
        <v>3</v>
      </c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>
        <f>SUM(J819:U819)*G819</f>
        <v/>
      </c>
      <c r="W819" s="2">
        <f>MAX(J819:U819)</f>
        <v/>
      </c>
      <c r="X819" s="2">
        <f>W819*G819</f>
        <v/>
      </c>
    </row>
    <row r="820">
      <c r="A820" s="2" t="inlineStr">
        <is>
          <t>A14-DB-NC79</t>
        </is>
      </c>
      <c r="B820" s="3" t="inlineStr">
        <is>
          <t>DOJC-SM-LC/APC-LC/APC</t>
        </is>
      </c>
      <c r="C820" s="2" t="inlineStr">
        <is>
          <t>930003856, 2M, B3, 3.0mm</t>
        </is>
      </c>
      <c r="D820" s="2" t="inlineStr">
        <is>
          <t>b3</t>
        </is>
      </c>
      <c r="E820" s="2" t="inlineStr">
        <is>
          <t>3.0mm</t>
        </is>
      </c>
      <c r="F820" s="2" t="n">
        <v>2</v>
      </c>
      <c r="G820" s="2" t="n">
        <v>2</v>
      </c>
      <c r="H820" s="2" t="inlineStr">
        <is>
          <t>LC/APC</t>
        </is>
      </c>
      <c r="I820" s="2" t="inlineStr">
        <is>
          <t>LC/APC</t>
        </is>
      </c>
      <c r="J820" s="2" t="n">
        <v>100</v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>
        <f>SUM(J820:U820)*G820</f>
        <v/>
      </c>
      <c r="W820" s="2">
        <f>MAX(J820:U820)</f>
        <v/>
      </c>
      <c r="X820" s="2">
        <f>W820*G820</f>
        <v/>
      </c>
    </row>
    <row r="821">
      <c r="A821" s="2" t="inlineStr">
        <is>
          <t>A14-DB-ND42</t>
        </is>
      </c>
      <c r="B821" s="3" t="inlineStr">
        <is>
          <t>DOJC-SM-LC/APC-SC/PC</t>
        </is>
      </c>
      <c r="C821" s="2" t="inlineStr">
        <is>
          <t>10M, B3, 2.0mm</t>
        </is>
      </c>
      <c r="D821" s="2" t="inlineStr">
        <is>
          <t>b3</t>
        </is>
      </c>
      <c r="E821" s="2" t="inlineStr">
        <is>
          <t>2.0mm</t>
        </is>
      </c>
      <c r="F821" s="2" t="n">
        <v>2</v>
      </c>
      <c r="G821" s="2" t="n">
        <v>10</v>
      </c>
      <c r="H821" s="2" t="inlineStr">
        <is>
          <t>LC/APC</t>
        </is>
      </c>
      <c r="I821" s="2" t="inlineStr">
        <is>
          <t>SC/PC</t>
        </is>
      </c>
      <c r="J821" s="2" t="n"/>
      <c r="K821" s="2" t="n"/>
      <c r="L821" s="2" t="n">
        <v>1</v>
      </c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>
        <f>SUM(J821:U821)*G821</f>
        <v/>
      </c>
      <c r="W821" s="2">
        <f>MAX(J821:U821)</f>
        <v/>
      </c>
      <c r="X821" s="2">
        <f>W821*G821</f>
        <v/>
      </c>
    </row>
    <row r="822">
      <c r="A822" s="2" t="inlineStr">
        <is>
          <t>A14-DB-ND98</t>
        </is>
      </c>
      <c r="B822" s="3" t="inlineStr">
        <is>
          <t>DOJC-SM-SC/APC-SC/APC</t>
        </is>
      </c>
      <c r="C822" s="2" t="inlineStr">
        <is>
          <t>60M,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2</v>
      </c>
      <c r="G822" s="2" t="n">
        <v>60</v>
      </c>
      <c r="H822" s="2" t="inlineStr">
        <is>
          <t>SC/APC</t>
        </is>
      </c>
      <c r="I822" s="2" t="inlineStr">
        <is>
          <t>SC/APC</t>
        </is>
      </c>
      <c r="J822" s="2" t="n"/>
      <c r="K822" s="2" t="n"/>
      <c r="L822" s="2" t="n"/>
      <c r="M822" s="2" t="n"/>
      <c r="N822" s="2" t="n">
        <v>3</v>
      </c>
      <c r="O822" s="2" t="n"/>
      <c r="P822" s="2" t="n"/>
      <c r="Q822" s="2" t="n"/>
      <c r="R822" s="2" t="n"/>
      <c r="S822" s="2" t="n"/>
      <c r="T822" s="2" t="n"/>
      <c r="U822" s="2" t="n"/>
      <c r="V822" s="2">
        <f>SUM(J822:U822)*G822</f>
        <v/>
      </c>
      <c r="W822" s="2">
        <f>MAX(J822:U822)</f>
        <v/>
      </c>
      <c r="X822" s="2">
        <f>W822*G822</f>
        <v/>
      </c>
    </row>
    <row r="823">
      <c r="A823" s="2" t="inlineStr">
        <is>
          <t>A14-DB-ND99</t>
        </is>
      </c>
      <c r="B823" s="3" t="inlineStr">
        <is>
          <t>DOJC-SM-LC/APC-SC/PC</t>
        </is>
      </c>
      <c r="C823" s="2" t="inlineStr">
        <is>
          <t>20M, B3, 2.0mm</t>
        </is>
      </c>
      <c r="D823" s="2" t="inlineStr">
        <is>
          <t>b3</t>
        </is>
      </c>
      <c r="E823" s="2" t="inlineStr">
        <is>
          <t>2.0mm</t>
        </is>
      </c>
      <c r="F823" s="2" t="n">
        <v>2</v>
      </c>
      <c r="G823" s="2" t="n">
        <v>20</v>
      </c>
      <c r="H823" s="2" t="inlineStr">
        <is>
          <t>LC/APC</t>
        </is>
      </c>
      <c r="I823" s="2" t="inlineStr">
        <is>
          <t>SC/PC</t>
        </is>
      </c>
      <c r="J823" s="2" t="n">
        <v>5</v>
      </c>
      <c r="K823" s="2" t="n"/>
      <c r="L823" s="2" t="n">
        <v>1</v>
      </c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>
        <f>SUM(J823:U823)*G823</f>
        <v/>
      </c>
      <c r="W823" s="2">
        <f>MAX(J823:U823)</f>
        <v/>
      </c>
      <c r="X823" s="2">
        <f>W823*G823</f>
        <v/>
      </c>
    </row>
    <row r="824">
      <c r="A824" s="2" t="inlineStr">
        <is>
          <t>A14-DB-NF46</t>
        </is>
      </c>
      <c r="B824" s="3" t="inlineStr">
        <is>
          <t>DOJC-SM-LC/APC-FC/PC</t>
        </is>
      </c>
      <c r="C824" s="2" t="inlineStr">
        <is>
          <t>25M, B3, 2.0mm</t>
        </is>
      </c>
      <c r="D824" s="2" t="inlineStr">
        <is>
          <t>b3</t>
        </is>
      </c>
      <c r="E824" s="2" t="inlineStr">
        <is>
          <t>2.0mm</t>
        </is>
      </c>
      <c r="F824" s="2" t="n">
        <v>2</v>
      </c>
      <c r="G824" s="2" t="n">
        <v>25</v>
      </c>
      <c r="H824" s="2" t="inlineStr">
        <is>
          <t>LC/APC</t>
        </is>
      </c>
      <c r="I824" s="2" t="inlineStr">
        <is>
          <t>FC/PC</t>
        </is>
      </c>
      <c r="J824" s="2" t="n"/>
      <c r="K824" s="2" t="n"/>
      <c r="L824" s="2" t="n"/>
      <c r="M824" s="2" t="n"/>
      <c r="N824" s="2" t="n"/>
      <c r="O824" s="2" t="n"/>
      <c r="P824" s="2" t="n"/>
      <c r="Q824" s="2" t="n">
        <v>5</v>
      </c>
      <c r="R824" s="2" t="n"/>
      <c r="S824" s="2" t="n"/>
      <c r="T824" s="2" t="n"/>
      <c r="U824" s="2" t="n"/>
      <c r="V824" s="2">
        <f>SUM(J824:U824)*G824</f>
        <v/>
      </c>
      <c r="W824" s="2">
        <f>MAX(J824:U824)</f>
        <v/>
      </c>
      <c r="X824" s="2">
        <f>W824*G824</f>
        <v/>
      </c>
    </row>
    <row r="825">
      <c r="A825" s="2" t="inlineStr">
        <is>
          <t>A14-M-LP/LP-B-N-001</t>
        </is>
      </c>
      <c r="B825" s="3" t="inlineStr">
        <is>
          <t>MOJC-SM-12C-LC/PC-LC/PC</t>
        </is>
      </c>
      <c r="C825" s="2" t="inlineStr">
        <is>
          <t>920001090, 3M, B3</t>
        </is>
      </c>
      <c r="D825" s="2" t="inlineStr">
        <is>
          <t>b3-12c</t>
        </is>
      </c>
      <c r="E825" s="2" t="inlineStr">
        <is>
          <t>2.0mm</t>
        </is>
      </c>
      <c r="F825" s="2" t="n">
        <v>12</v>
      </c>
      <c r="G825" s="2" t="n">
        <v>3</v>
      </c>
      <c r="H825" s="2" t="inlineStr">
        <is>
          <t>LC/PC</t>
        </is>
      </c>
      <c r="I825" s="2" t="inlineStr">
        <is>
          <t>LC/PC</t>
        </is>
      </c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>
        <v>8</v>
      </c>
      <c r="U825" s="2" t="n">
        <v>2</v>
      </c>
      <c r="V825" s="2">
        <f>SUM(J825:U825)*G825</f>
        <v/>
      </c>
      <c r="W825" s="2">
        <f>MAX(J825:U825)</f>
        <v/>
      </c>
      <c r="X825" s="2">
        <f>W825*G825</f>
        <v/>
      </c>
    </row>
    <row r="826">
      <c r="A826" s="2" t="inlineStr">
        <is>
          <t>A14-M-LP/LP-B-N-003</t>
        </is>
      </c>
      <c r="B826" s="3" t="inlineStr">
        <is>
          <t>MOJC-SM-12C-LC/PC-LC/PC</t>
        </is>
      </c>
      <c r="C826" s="2" t="inlineStr">
        <is>
          <t>930003872, 20M, B3</t>
        </is>
      </c>
      <c r="D826" s="2" t="inlineStr">
        <is>
          <t>b3-12c</t>
        </is>
      </c>
      <c r="E826" s="2" t="inlineStr">
        <is>
          <t>2.0mm</t>
        </is>
      </c>
      <c r="F826" s="2" t="n">
        <v>12</v>
      </c>
      <c r="G826" s="2" t="n">
        <v>20</v>
      </c>
      <c r="H826" s="2" t="inlineStr">
        <is>
          <t>LC/PC</t>
        </is>
      </c>
      <c r="I826" s="2" t="inlineStr">
        <is>
          <t>LC/PC</t>
        </is>
      </c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>
        <v>2</v>
      </c>
      <c r="U826" s="2" t="n"/>
      <c r="V826" s="2">
        <f>SUM(J826:U826)*G826</f>
        <v/>
      </c>
      <c r="W826" s="2">
        <f>MAX(J826:U826)</f>
        <v/>
      </c>
      <c r="X826" s="2">
        <f>W826*G826</f>
        <v/>
      </c>
    </row>
    <row r="827">
      <c r="A827" s="2" t="inlineStr">
        <is>
          <t>A14-M-SP/LP-B-N-010</t>
        </is>
      </c>
      <c r="B827" s="3" t="inlineStr">
        <is>
          <t>MOJC-SM-12C-SC/PC-LC/PC</t>
        </is>
      </c>
      <c r="C827" s="2" t="inlineStr">
        <is>
          <t>920000612, 10M, B3</t>
        </is>
      </c>
      <c r="D827" s="2" t="inlineStr">
        <is>
          <t>b3-12c</t>
        </is>
      </c>
      <c r="E827" s="2" t="inlineStr">
        <is>
          <t>2.0mm</t>
        </is>
      </c>
      <c r="F827" s="2" t="n">
        <v>12</v>
      </c>
      <c r="G827" s="2" t="n">
        <v>10</v>
      </c>
      <c r="H827" s="2" t="inlineStr">
        <is>
          <t>SC/PC</t>
        </is>
      </c>
      <c r="I827" s="2" t="inlineStr">
        <is>
          <t>LC/PC</t>
        </is>
      </c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>
        <v>4</v>
      </c>
      <c r="U827" s="2" t="n"/>
      <c r="V827" s="2">
        <f>SUM(J827:U827)*G827</f>
        <v/>
      </c>
      <c r="W827" s="2">
        <f>MAX(J827:U827)</f>
        <v/>
      </c>
      <c r="X827" s="2">
        <f>W827*G827</f>
        <v/>
      </c>
    </row>
    <row r="828">
      <c r="A828" s="2" t="inlineStr">
        <is>
          <t>A14-M-SP/LP-B-N-026</t>
        </is>
      </c>
      <c r="B828" s="3" t="inlineStr">
        <is>
          <t>MOJC-SM-6C-SC/PC-LC/PC</t>
        </is>
      </c>
      <c r="C828" s="2" t="inlineStr">
        <is>
          <t>920000492, 10M, B3</t>
        </is>
      </c>
      <c r="D828" s="2" t="inlineStr">
        <is>
          <t>b3-6c</t>
        </is>
      </c>
      <c r="E828" s="2" t="inlineStr">
        <is>
          <t>2.0mm</t>
        </is>
      </c>
      <c r="F828" s="2" t="n">
        <v>6</v>
      </c>
      <c r="G828" s="2" t="n">
        <v>10</v>
      </c>
      <c r="H828" s="2" t="inlineStr">
        <is>
          <t>SC/PC</t>
        </is>
      </c>
      <c r="I828" s="2" t="inlineStr">
        <is>
          <t>LC/PC</t>
        </is>
      </c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>
        <v>2</v>
      </c>
      <c r="U828" s="2" t="n"/>
      <c r="V828" s="2">
        <f>SUM(J828:U828)*G828</f>
        <v/>
      </c>
      <c r="W828" s="2">
        <f>MAX(J828:U828)</f>
        <v/>
      </c>
      <c r="X828" s="2">
        <f>W828*G828</f>
        <v/>
      </c>
    </row>
    <row r="829">
      <c r="A829" s="2" t="inlineStr">
        <is>
          <t>A14-M-SP/SP-B-N-003</t>
        </is>
      </c>
      <c r="B829" s="3" t="inlineStr">
        <is>
          <t>MOJC-SM-12C-SC/PC-SC/PC</t>
        </is>
      </c>
      <c r="C829" s="2" t="inlineStr">
        <is>
          <t>908040793, 3M, B3</t>
        </is>
      </c>
      <c r="D829" s="2" t="inlineStr">
        <is>
          <t>b3-12c</t>
        </is>
      </c>
      <c r="E829" s="2" t="inlineStr">
        <is>
          <t>2.0mm</t>
        </is>
      </c>
      <c r="F829" s="2" t="n">
        <v>12</v>
      </c>
      <c r="G829" s="2" t="n">
        <v>3</v>
      </c>
      <c r="H829" s="2" t="inlineStr">
        <is>
          <t>SC/PC</t>
        </is>
      </c>
      <c r="I829" s="2" t="inlineStr">
        <is>
          <t>SC/PC</t>
        </is>
      </c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>
        <v>36</v>
      </c>
      <c r="S829" s="2" t="n"/>
      <c r="T829" s="2" t="n"/>
      <c r="U829" s="2" t="n"/>
      <c r="V829" s="2">
        <f>SUM(J829:U829)*G829</f>
        <v/>
      </c>
      <c r="W829" s="2">
        <f>MAX(J829:U829)</f>
        <v/>
      </c>
      <c r="X829" s="2">
        <f>W829*G829</f>
        <v/>
      </c>
    </row>
    <row r="830">
      <c r="A830" s="2" t="inlineStr">
        <is>
          <t>A14-M-SP/SP-B-N-007</t>
        </is>
      </c>
      <c r="B830" s="3" t="inlineStr">
        <is>
          <t>MOJC-SM-12C-SC/PC-SC/PC</t>
        </is>
      </c>
      <c r="C830" s="2" t="inlineStr">
        <is>
          <t>908040799, 7M, B3</t>
        </is>
      </c>
      <c r="D830" s="2" t="inlineStr">
        <is>
          <t>b3-12c</t>
        </is>
      </c>
      <c r="E830" s="2" t="inlineStr">
        <is>
          <t>2.0mm</t>
        </is>
      </c>
      <c r="F830" s="2" t="n">
        <v>12</v>
      </c>
      <c r="G830" s="2" t="n">
        <v>7</v>
      </c>
      <c r="H830" s="2" t="inlineStr">
        <is>
          <t>SC/PC</t>
        </is>
      </c>
      <c r="I830" s="2" t="inlineStr">
        <is>
          <t>SC/PC</t>
        </is>
      </c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>
        <v>35</v>
      </c>
      <c r="T830" s="2" t="n"/>
      <c r="U830" s="2" t="n"/>
      <c r="V830" s="2">
        <f>SUM(J830:U830)*G830</f>
        <v/>
      </c>
      <c r="W830" s="2">
        <f>MAX(J830:U830)</f>
        <v/>
      </c>
      <c r="X830" s="2">
        <f>W830*G830</f>
        <v/>
      </c>
    </row>
    <row r="831">
      <c r="A831" s="2" t="inlineStr">
        <is>
          <t>A14-M-SP/SP-B-N-008</t>
        </is>
      </c>
      <c r="B831" s="3" t="inlineStr">
        <is>
          <t>MOJC-SM-12C-SC/PC-SC/PC</t>
        </is>
      </c>
      <c r="C831" s="2" t="inlineStr">
        <is>
          <t>908040800, 8M, B3</t>
        </is>
      </c>
      <c r="D831" s="2" t="inlineStr">
        <is>
          <t>b3-12c</t>
        </is>
      </c>
      <c r="E831" s="2" t="inlineStr">
        <is>
          <t>2.0mm</t>
        </is>
      </c>
      <c r="F831" s="2" t="n">
        <v>12</v>
      </c>
      <c r="G831" s="2" t="n">
        <v>8</v>
      </c>
      <c r="H831" s="2" t="inlineStr">
        <is>
          <t>SC/PC</t>
        </is>
      </c>
      <c r="I831" s="2" t="inlineStr">
        <is>
          <t>SC/PC</t>
        </is>
      </c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>
        <v>50</v>
      </c>
      <c r="T831" s="2" t="n">
        <v>6</v>
      </c>
      <c r="U831" s="2" t="n">
        <v>35</v>
      </c>
      <c r="V831" s="2">
        <f>SUM(J831:U831)*G831</f>
        <v/>
      </c>
      <c r="W831" s="2">
        <f>MAX(J831:U831)</f>
        <v/>
      </c>
      <c r="X831" s="2">
        <f>W831*G831</f>
        <v/>
      </c>
    </row>
    <row r="832">
      <c r="A832" s="2" t="inlineStr">
        <is>
          <t>A14-M-SP/SP-B-N-011</t>
        </is>
      </c>
      <c r="B832" s="3" t="inlineStr">
        <is>
          <t>MOJC-SM-12C-SC/PC-SC/PC</t>
        </is>
      </c>
      <c r="C832" s="2" t="inlineStr">
        <is>
          <t>908040804, 12M, B3</t>
        </is>
      </c>
      <c r="D832" s="2" t="inlineStr">
        <is>
          <t>b3-12c</t>
        </is>
      </c>
      <c r="E832" s="2" t="inlineStr">
        <is>
          <t>2.0mm</t>
        </is>
      </c>
      <c r="F832" s="2" t="n">
        <v>12</v>
      </c>
      <c r="G832" s="2" t="n">
        <v>12</v>
      </c>
      <c r="H832" s="2" t="inlineStr">
        <is>
          <t>SC/PC</t>
        </is>
      </c>
      <c r="I832" s="2" t="inlineStr">
        <is>
          <t>SC/PC</t>
        </is>
      </c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>
        <v>6</v>
      </c>
      <c r="V832" s="2">
        <f>SUM(J832:U832)*G832</f>
        <v/>
      </c>
      <c r="W832" s="2">
        <f>MAX(J832:U832)</f>
        <v/>
      </c>
      <c r="X832" s="2">
        <f>W832*G832</f>
        <v/>
      </c>
    </row>
    <row r="833">
      <c r="A833" s="2" t="inlineStr">
        <is>
          <t>A14-M-SP/SP-B-N-012</t>
        </is>
      </c>
      <c r="B833" s="3" t="inlineStr">
        <is>
          <t>MOJC-SM-12C-SC/PC-SC/PC</t>
        </is>
      </c>
      <c r="C833" s="2" t="inlineStr">
        <is>
          <t>908040807, 15M, B3</t>
        </is>
      </c>
      <c r="D833" s="2" t="inlineStr">
        <is>
          <t>b3-12c</t>
        </is>
      </c>
      <c r="E833" s="2" t="inlineStr">
        <is>
          <t>2.0mm</t>
        </is>
      </c>
      <c r="F833" s="2" t="n">
        <v>12</v>
      </c>
      <c r="G833" s="2" t="n">
        <v>15</v>
      </c>
      <c r="H833" s="2" t="inlineStr">
        <is>
          <t>SC/PC</t>
        </is>
      </c>
      <c r="I833" s="2" t="inlineStr">
        <is>
          <t>SC/PC</t>
        </is>
      </c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>
        <v>11</v>
      </c>
      <c r="S833" s="2" t="n"/>
      <c r="T833" s="2" t="n"/>
      <c r="U833" s="2" t="n">
        <v>2</v>
      </c>
      <c r="V833" s="2">
        <f>SUM(J833:U833)*G833</f>
        <v/>
      </c>
      <c r="W833" s="2">
        <f>MAX(J833:U833)</f>
        <v/>
      </c>
      <c r="X833" s="2">
        <f>W833*G833</f>
        <v/>
      </c>
    </row>
    <row r="834">
      <c r="A834" s="2" t="inlineStr">
        <is>
          <t>A14-M-SP/SP-B-N-024</t>
        </is>
      </c>
      <c r="B834" s="3" t="inlineStr">
        <is>
          <t>MOJC-SM-6C-SC/PC-SC/PC</t>
        </is>
      </c>
      <c r="C834" s="2" t="inlineStr">
        <is>
          <t>920000159, 7M, B3</t>
        </is>
      </c>
      <c r="D834" s="2" t="inlineStr">
        <is>
          <t>b3-6c</t>
        </is>
      </c>
      <c r="E834" s="2" t="inlineStr">
        <is>
          <t>2.0mm</t>
        </is>
      </c>
      <c r="F834" s="2" t="n">
        <v>6</v>
      </c>
      <c r="G834" s="2" t="n">
        <v>7</v>
      </c>
      <c r="H834" s="2" t="inlineStr">
        <is>
          <t>SC/PC</t>
        </is>
      </c>
      <c r="I834" s="2" t="inlineStr">
        <is>
          <t>SC/PC</t>
        </is>
      </c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>
        <v>4</v>
      </c>
      <c r="V834" s="2">
        <f>SUM(J834:U834)*G834</f>
        <v/>
      </c>
      <c r="W834" s="2">
        <f>MAX(J834:U834)</f>
        <v/>
      </c>
      <c r="X834" s="2">
        <f>W834*G834</f>
        <v/>
      </c>
    </row>
    <row r="835">
      <c r="A835" s="2" t="inlineStr">
        <is>
          <t>A14-M-SP/SP-B-N-026</t>
        </is>
      </c>
      <c r="B835" s="3" t="inlineStr">
        <is>
          <t>MOJC-SM-6C-SC/PC-SC/PC</t>
        </is>
      </c>
      <c r="C835" s="2" t="inlineStr">
        <is>
          <t>920000162, 10M, B3</t>
        </is>
      </c>
      <c r="D835" s="2" t="inlineStr">
        <is>
          <t>b3-6c</t>
        </is>
      </c>
      <c r="E835" s="2" t="inlineStr">
        <is>
          <t>2.0mm</t>
        </is>
      </c>
      <c r="F835" s="2" t="n">
        <v>6</v>
      </c>
      <c r="G835" s="2" t="n">
        <v>10</v>
      </c>
      <c r="H835" s="2" t="inlineStr">
        <is>
          <t>SC/PC</t>
        </is>
      </c>
      <c r="I835" s="2" t="inlineStr">
        <is>
          <t>SC/PC</t>
        </is>
      </c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>
        <v>10</v>
      </c>
      <c r="T835" s="2" t="n"/>
      <c r="U835" s="2" t="n"/>
      <c r="V835" s="2">
        <f>SUM(J835:U835)*G835</f>
        <v/>
      </c>
      <c r="W835" s="2">
        <f>MAX(J835:U835)</f>
        <v/>
      </c>
      <c r="X835" s="2">
        <f>W835*G835</f>
        <v/>
      </c>
    </row>
    <row r="836">
      <c r="A836" s="2" t="inlineStr">
        <is>
          <t>A14-MB-N043</t>
        </is>
      </c>
      <c r="B836" s="3" t="inlineStr">
        <is>
          <t>MOJC-SM-12C-SC/PC-SC/PC</t>
        </is>
      </c>
      <c r="C836" s="2" t="inlineStr">
        <is>
          <t>908040802, 10M, B3</t>
        </is>
      </c>
      <c r="D836" s="2" t="inlineStr">
        <is>
          <t>b3-12c</t>
        </is>
      </c>
      <c r="E836" s="2" t="inlineStr">
        <is>
          <t>2.0mm</t>
        </is>
      </c>
      <c r="F836" s="2" t="n">
        <v>12</v>
      </c>
      <c r="G836" s="2" t="n">
        <v>10</v>
      </c>
      <c r="H836" s="2" t="inlineStr">
        <is>
          <t>SC/PC</t>
        </is>
      </c>
      <c r="I836" s="2" t="inlineStr">
        <is>
          <t>SC/PC</t>
        </is>
      </c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>
        <v>50</v>
      </c>
      <c r="T836" s="2" t="n">
        <v>50</v>
      </c>
      <c r="U836" s="2" t="n">
        <v>10</v>
      </c>
      <c r="V836" s="2">
        <f>SUM(J836:U836)*G836</f>
        <v/>
      </c>
      <c r="W836" s="2">
        <f>MAX(J836:U836)</f>
        <v/>
      </c>
      <c r="X836" s="2">
        <f>W836*G836</f>
        <v/>
      </c>
    </row>
    <row r="837">
      <c r="A837" s="2" t="inlineStr">
        <is>
          <t>A14-S-FA/FA-B-N-004</t>
        </is>
      </c>
      <c r="B837" s="3" t="inlineStr">
        <is>
          <t>SOJC-SM-FC/APC-FC/APC</t>
        </is>
      </c>
      <c r="C837" s="2" t="inlineStr">
        <is>
          <t>908041360, 20M, B3, 2.0mm</t>
        </is>
      </c>
      <c r="D837" s="2" t="inlineStr">
        <is>
          <t>b3</t>
        </is>
      </c>
      <c r="E837" s="2" t="inlineStr">
        <is>
          <t>2.0mm</t>
        </is>
      </c>
      <c r="F837" s="2" t="n">
        <v>1</v>
      </c>
      <c r="G837" s="2" t="n">
        <v>20</v>
      </c>
      <c r="H837" s="2" t="inlineStr">
        <is>
          <t>FC/APC</t>
        </is>
      </c>
      <c r="I837" s="2" t="inlineStr">
        <is>
          <t>FC/APC</t>
        </is>
      </c>
      <c r="J837" s="2" t="n"/>
      <c r="K837" s="2" t="n"/>
      <c r="L837" s="2" t="n"/>
      <c r="M837" s="2" t="n">
        <v>10</v>
      </c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>
        <f>SUM(J837:U837)*G837</f>
        <v/>
      </c>
      <c r="W837" s="2">
        <f>MAX(J837:U837)</f>
        <v/>
      </c>
      <c r="X837" s="2">
        <f>W837*G837</f>
        <v/>
      </c>
    </row>
    <row r="838">
      <c r="A838" s="2" t="inlineStr">
        <is>
          <t>A14-S-LP/FA-B-N-006</t>
        </is>
      </c>
      <c r="B838" s="3" t="inlineStr">
        <is>
          <t>SOJC-SM-LC/PC-FC/APC</t>
        </is>
      </c>
      <c r="C838" s="2" t="inlineStr">
        <is>
          <t>930001517, 30M, B3, 2.0mm</t>
        </is>
      </c>
      <c r="D838" s="2" t="inlineStr">
        <is>
          <t>b3</t>
        </is>
      </c>
      <c r="E838" s="2" t="inlineStr">
        <is>
          <t>2.0mm</t>
        </is>
      </c>
      <c r="F838" s="2" t="n">
        <v>1</v>
      </c>
      <c r="G838" s="2" t="n">
        <v>30</v>
      </c>
      <c r="H838" s="2" t="inlineStr">
        <is>
          <t>LC/PC</t>
        </is>
      </c>
      <c r="I838" s="2" t="inlineStr">
        <is>
          <t>FC/APC</t>
        </is>
      </c>
      <c r="J838" s="2" t="n"/>
      <c r="K838" s="2" t="n"/>
      <c r="L838" s="2" t="n"/>
      <c r="M838" s="2" t="n"/>
      <c r="N838" s="2" t="n"/>
      <c r="O838" s="2" t="n">
        <v>10</v>
      </c>
      <c r="P838" s="2" t="n"/>
      <c r="Q838" s="2" t="n"/>
      <c r="R838" s="2" t="n"/>
      <c r="S838" s="2" t="n"/>
      <c r="T838" s="2" t="n">
        <v>20</v>
      </c>
      <c r="U838" s="2" t="n">
        <v>30</v>
      </c>
      <c r="V838" s="2">
        <f>SUM(J838:U838)*G838</f>
        <v/>
      </c>
      <c r="W838" s="2">
        <f>MAX(J838:U838)</f>
        <v/>
      </c>
      <c r="X838" s="2">
        <f>W838*G838</f>
        <v/>
      </c>
    </row>
    <row r="839">
      <c r="A839" s="2" t="inlineStr">
        <is>
          <t>A14-S-LP/FA-B-N-007</t>
        </is>
      </c>
      <c r="B839" s="3" t="inlineStr">
        <is>
          <t>SOJC-SM-LC/PC-FC/APC</t>
        </is>
      </c>
      <c r="C839" s="2" t="inlineStr">
        <is>
          <t>930001518, 35M,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1</v>
      </c>
      <c r="G839" s="2" t="n">
        <v>35</v>
      </c>
      <c r="H839" s="2" t="inlineStr">
        <is>
          <t>LC/PC</t>
        </is>
      </c>
      <c r="I839" s="2" t="inlineStr">
        <is>
          <t>FC/APC</t>
        </is>
      </c>
      <c r="J839" s="2" t="n"/>
      <c r="K839" s="2" t="n"/>
      <c r="L839" s="2" t="n">
        <v>70</v>
      </c>
      <c r="M839" s="2" t="n">
        <v>5</v>
      </c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>
        <f>SUM(J839:U839)*G839</f>
        <v/>
      </c>
      <c r="W839" s="2">
        <f>MAX(J839:U839)</f>
        <v/>
      </c>
      <c r="X839" s="2">
        <f>W839*G839</f>
        <v/>
      </c>
    </row>
    <row r="840">
      <c r="A840" s="2" t="inlineStr">
        <is>
          <t>A14-S-LP/FA-B-N-008</t>
        </is>
      </c>
      <c r="B840" s="3" t="inlineStr">
        <is>
          <t>SOJC-SM-LC/PC-FC/APC</t>
        </is>
      </c>
      <c r="C840" s="2" t="inlineStr">
        <is>
          <t>920001071, 3M, B3, 3.0mm</t>
        </is>
      </c>
      <c r="D840" s="2" t="inlineStr">
        <is>
          <t>b3</t>
        </is>
      </c>
      <c r="E840" s="2" t="inlineStr">
        <is>
          <t>3.0mm</t>
        </is>
      </c>
      <c r="F840" s="2" t="n">
        <v>1</v>
      </c>
      <c r="G840" s="2" t="n">
        <v>3</v>
      </c>
      <c r="H840" s="2" t="inlineStr">
        <is>
          <t>LC/PC</t>
        </is>
      </c>
      <c r="I840" s="2" t="inlineStr">
        <is>
          <t>FC/APC</t>
        </is>
      </c>
      <c r="J840" s="2" t="n">
        <v>20</v>
      </c>
      <c r="K840" s="2" t="n"/>
      <c r="L840" s="2" t="n"/>
      <c r="M840" s="2" t="n"/>
      <c r="N840" s="2" t="n"/>
      <c r="O840" s="2" t="n">
        <v>5</v>
      </c>
      <c r="P840" s="2" t="n"/>
      <c r="Q840" s="2" t="n"/>
      <c r="R840" s="2" t="n"/>
      <c r="S840" s="2" t="n"/>
      <c r="T840" s="2" t="n"/>
      <c r="U840" s="2" t="n"/>
      <c r="V840" s="2">
        <f>SUM(J840:U840)*G840</f>
        <v/>
      </c>
      <c r="W840" s="2">
        <f>MAX(J840:U840)</f>
        <v/>
      </c>
      <c r="X840" s="2">
        <f>W840*G840</f>
        <v/>
      </c>
    </row>
    <row r="841">
      <c r="A841" s="2" t="inlineStr">
        <is>
          <t>A14-S-LP/FP-B-N-007</t>
        </is>
      </c>
      <c r="B841" s="3" t="inlineStr">
        <is>
          <t>SOJC-SM-LC/PC-FC/PC</t>
        </is>
      </c>
      <c r="C841" s="2" t="inlineStr">
        <is>
          <t>908040160, 30M,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1</v>
      </c>
      <c r="G841" s="2" t="n">
        <v>30</v>
      </c>
      <c r="H841" s="2" t="inlineStr">
        <is>
          <t>LC/PC</t>
        </is>
      </c>
      <c r="I841" s="2" t="inlineStr">
        <is>
          <t>FC/PC</t>
        </is>
      </c>
      <c r="J841" s="2" t="n"/>
      <c r="K841" s="2" t="n"/>
      <c r="L841" s="2" t="n"/>
      <c r="M841" s="2" t="n"/>
      <c r="N841" s="2" t="n"/>
      <c r="O841" s="2" t="n">
        <v>5</v>
      </c>
      <c r="P841" s="2" t="n"/>
      <c r="Q841" s="2" t="n"/>
      <c r="R841" s="2" t="n"/>
      <c r="S841" s="2" t="n"/>
      <c r="T841" s="2" t="n"/>
      <c r="U841" s="2" t="n"/>
      <c r="V841" s="2">
        <f>SUM(J841:U841)*G841</f>
        <v/>
      </c>
      <c r="W841" s="2">
        <f>MAX(J841:U841)</f>
        <v/>
      </c>
      <c r="X841" s="2">
        <f>W841*G841</f>
        <v/>
      </c>
    </row>
    <row r="842">
      <c r="A842" s="2" t="inlineStr">
        <is>
          <t>A14-S-LP/FP-B-N-010</t>
        </is>
      </c>
      <c r="B842" s="3" t="inlineStr">
        <is>
          <t>SOJC-SM-LC/PC-FC/PC</t>
        </is>
      </c>
      <c r="C842" s="2" t="inlineStr">
        <is>
          <t>908040294, 5M, B3, 3.0mm</t>
        </is>
      </c>
      <c r="D842" s="2" t="inlineStr">
        <is>
          <t>b3</t>
        </is>
      </c>
      <c r="E842" s="2" t="inlineStr">
        <is>
          <t>3.0mm</t>
        </is>
      </c>
      <c r="F842" s="2" t="n">
        <v>1</v>
      </c>
      <c r="G842" s="2" t="n">
        <v>5</v>
      </c>
      <c r="H842" s="2" t="inlineStr">
        <is>
          <t>LC/PC</t>
        </is>
      </c>
      <c r="I842" s="2" t="inlineStr">
        <is>
          <t>FC/PC</t>
        </is>
      </c>
      <c r="J842" s="2" t="n"/>
      <c r="K842" s="2" t="n"/>
      <c r="L842" s="2" t="n"/>
      <c r="M842" s="2" t="n"/>
      <c r="N842" s="2" t="n">
        <v>15</v>
      </c>
      <c r="O842" s="2" t="n"/>
      <c r="P842" s="2" t="n"/>
      <c r="Q842" s="2" t="n"/>
      <c r="R842" s="2" t="n"/>
      <c r="S842" s="2" t="n"/>
      <c r="T842" s="2" t="n"/>
      <c r="U842" s="2" t="n"/>
      <c r="V842" s="2">
        <f>SUM(J842:U842)*G842</f>
        <v/>
      </c>
      <c r="W842" s="2">
        <f>MAX(J842:U842)</f>
        <v/>
      </c>
      <c r="X842" s="2">
        <f>W842*G842</f>
        <v/>
      </c>
    </row>
    <row r="843">
      <c r="A843" s="2" t="inlineStr">
        <is>
          <t>A14-S-LP/FP-B-N-011</t>
        </is>
      </c>
      <c r="B843" s="3" t="inlineStr">
        <is>
          <t>SOJC-SM-LC/PC-FC/PC</t>
        </is>
      </c>
      <c r="C843" s="2" t="inlineStr">
        <is>
          <t>908040295, 6M,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1</v>
      </c>
      <c r="G843" s="2" t="n">
        <v>6</v>
      </c>
      <c r="H843" s="2" t="inlineStr">
        <is>
          <t>LC/PC</t>
        </is>
      </c>
      <c r="I843" s="2" t="inlineStr">
        <is>
          <t>FC/PC</t>
        </is>
      </c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>
        <v>35</v>
      </c>
      <c r="S843" s="2" t="n"/>
      <c r="T843" s="2" t="n"/>
      <c r="U843" s="2" t="n"/>
      <c r="V843" s="2">
        <f>SUM(J843:U843)*G843</f>
        <v/>
      </c>
      <c r="W843" s="2">
        <f>MAX(J843:U843)</f>
        <v/>
      </c>
      <c r="X843" s="2">
        <f>W843*G843</f>
        <v/>
      </c>
    </row>
    <row r="844">
      <c r="A844" s="2" t="inlineStr">
        <is>
          <t>A14-S-SA/FA-B-N-002</t>
        </is>
      </c>
      <c r="B844" s="3" t="inlineStr">
        <is>
          <t>SOJC-SM-SC/APC-FC/APC</t>
        </is>
      </c>
      <c r="C844" s="2" t="inlineStr">
        <is>
          <t>908040381, 12M, B3, 2.0mm</t>
        </is>
      </c>
      <c r="D844" s="2" t="inlineStr">
        <is>
          <t>b3</t>
        </is>
      </c>
      <c r="E844" s="2" t="inlineStr">
        <is>
          <t>2.0mm</t>
        </is>
      </c>
      <c r="F844" s="2" t="n">
        <v>1</v>
      </c>
      <c r="G844" s="2" t="n">
        <v>12</v>
      </c>
      <c r="H844" s="2" t="inlineStr">
        <is>
          <t>SC/APC</t>
        </is>
      </c>
      <c r="I844" s="2" t="inlineStr">
        <is>
          <t>FC/APC</t>
        </is>
      </c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>
        <v>24</v>
      </c>
      <c r="S844" s="2" t="n"/>
      <c r="T844" s="2" t="n"/>
      <c r="U844" s="2" t="n"/>
      <c r="V844" s="2">
        <f>SUM(J844:U844)*G844</f>
        <v/>
      </c>
      <c r="W844" s="2">
        <f>MAX(J844:U844)</f>
        <v/>
      </c>
      <c r="X844" s="2">
        <f>W844*G844</f>
        <v/>
      </c>
    </row>
    <row r="845">
      <c r="A845" s="2" t="inlineStr">
        <is>
          <t>A14-S-SA/FA-B-N-006</t>
        </is>
      </c>
      <c r="B845" s="3" t="inlineStr">
        <is>
          <t>SOJC-SM-SC/APC-FC/APC</t>
        </is>
      </c>
      <c r="C845" s="2" t="inlineStr">
        <is>
          <t>908040389, 20M,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1</v>
      </c>
      <c r="G845" s="2" t="n">
        <v>20</v>
      </c>
      <c r="H845" s="2" t="inlineStr">
        <is>
          <t>SC/APC</t>
        </is>
      </c>
      <c r="I845" s="2" t="inlineStr">
        <is>
          <t>FC/APC</t>
        </is>
      </c>
      <c r="J845" s="2" t="n"/>
      <c r="K845" s="2" t="n"/>
      <c r="L845" s="2" t="n"/>
      <c r="M845" s="2" t="n"/>
      <c r="N845" s="2" t="n"/>
      <c r="O845" s="2" t="n"/>
      <c r="P845" s="2" t="n">
        <v>10</v>
      </c>
      <c r="Q845" s="2" t="n"/>
      <c r="R845" s="2" t="n"/>
      <c r="S845" s="2" t="n"/>
      <c r="T845" s="2" t="n"/>
      <c r="U845" s="2" t="n"/>
      <c r="V845" s="2">
        <f>SUM(J845:U845)*G845</f>
        <v/>
      </c>
      <c r="W845" s="2">
        <f>MAX(J845:U845)</f>
        <v/>
      </c>
      <c r="X845" s="2">
        <f>W845*G845</f>
        <v/>
      </c>
    </row>
    <row r="846">
      <c r="A846" s="2" t="inlineStr">
        <is>
          <t>A14-S-SA/FA-B-N-008</t>
        </is>
      </c>
      <c r="B846" s="3" t="inlineStr">
        <is>
          <t>SOJC-SM-SC/APC-FC/APC</t>
        </is>
      </c>
      <c r="C846" s="2" t="inlineStr">
        <is>
          <t>908040372, 2M, B3, 3.0mm</t>
        </is>
      </c>
      <c r="D846" s="2" t="inlineStr">
        <is>
          <t>b3</t>
        </is>
      </c>
      <c r="E846" s="2" t="inlineStr">
        <is>
          <t>3.0mm</t>
        </is>
      </c>
      <c r="F846" s="2" t="n">
        <v>1</v>
      </c>
      <c r="G846" s="2" t="n">
        <v>2</v>
      </c>
      <c r="H846" s="2" t="inlineStr">
        <is>
          <t>SC/APC</t>
        </is>
      </c>
      <c r="I846" s="2" t="inlineStr">
        <is>
          <t>FC/APC</t>
        </is>
      </c>
      <c r="J846" s="2" t="n">
        <v>20</v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>
        <f>SUM(J846:U846)*G846</f>
        <v/>
      </c>
      <c r="W846" s="2">
        <f>MAX(J846:U846)</f>
        <v/>
      </c>
      <c r="X846" s="2">
        <f>W846*G846</f>
        <v/>
      </c>
    </row>
    <row r="847">
      <c r="A847" s="2" t="inlineStr">
        <is>
          <t>A14-S-SA/FA-B-N-010</t>
        </is>
      </c>
      <c r="B847" s="3" t="inlineStr">
        <is>
          <t>SOJC-SM-SC/APC-FC/APC</t>
        </is>
      </c>
      <c r="C847" s="2" t="inlineStr">
        <is>
          <t>908040370, 3M, B3, 3.0mm</t>
        </is>
      </c>
      <c r="D847" s="2" t="inlineStr">
        <is>
          <t>b3</t>
        </is>
      </c>
      <c r="E847" s="2" t="inlineStr">
        <is>
          <t>3.0mm</t>
        </is>
      </c>
      <c r="F847" s="2" t="n">
        <v>1</v>
      </c>
      <c r="G847" s="2" t="n">
        <v>3</v>
      </c>
      <c r="H847" s="2" t="inlineStr">
        <is>
          <t>SC/APC</t>
        </is>
      </c>
      <c r="I847" s="2" t="inlineStr">
        <is>
          <t>FC/APC</t>
        </is>
      </c>
      <c r="J847" s="2" t="n">
        <v>5</v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>
        <f>SUM(J847:U847)*G847</f>
        <v/>
      </c>
      <c r="W847" s="2">
        <f>MAX(J847:U847)</f>
        <v/>
      </c>
      <c r="X847" s="2">
        <f>W847*G847</f>
        <v/>
      </c>
    </row>
    <row r="848">
      <c r="A848" s="2" t="inlineStr">
        <is>
          <t>A14-S-SP/FA-B-N-007</t>
        </is>
      </c>
      <c r="B848" s="3" t="inlineStr">
        <is>
          <t>SOJC-SM-SC/PC-FC/APC</t>
        </is>
      </c>
      <c r="C848" s="2" t="inlineStr">
        <is>
          <t>908040312, 2M, B3, 3.0mm</t>
        </is>
      </c>
      <c r="D848" s="2" t="inlineStr">
        <is>
          <t>b3</t>
        </is>
      </c>
      <c r="E848" s="2" t="inlineStr">
        <is>
          <t>3.0mm</t>
        </is>
      </c>
      <c r="F848" s="2" t="n">
        <v>1</v>
      </c>
      <c r="G848" s="2" t="n">
        <v>2</v>
      </c>
      <c r="H848" s="2" t="inlineStr">
        <is>
          <t>SC/PC</t>
        </is>
      </c>
      <c r="I848" s="2" t="inlineStr">
        <is>
          <t>FC/APC</t>
        </is>
      </c>
      <c r="J848" s="2" t="n">
        <v>20</v>
      </c>
      <c r="K848" s="2" t="n"/>
      <c r="L848" s="2" t="n"/>
      <c r="M848" s="2" t="n">
        <v>10</v>
      </c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>
        <f>SUM(J848:U848)*G848</f>
        <v/>
      </c>
      <c r="W848" s="2">
        <f>MAX(J848:U848)</f>
        <v/>
      </c>
      <c r="X848" s="2">
        <f>W848*G848</f>
        <v/>
      </c>
    </row>
    <row r="849">
      <c r="A849" s="2" t="inlineStr">
        <is>
          <t>A14-S-SP/FA-B-N-008</t>
        </is>
      </c>
      <c r="B849" s="3" t="inlineStr">
        <is>
          <t>SOJC-SM-SC/PC-FC/APC</t>
        </is>
      </c>
      <c r="C849" s="2" t="inlineStr">
        <is>
          <t>908040339, 30M,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1</v>
      </c>
      <c r="G849" s="2" t="n">
        <v>30</v>
      </c>
      <c r="H849" s="2" t="inlineStr">
        <is>
          <t>SC/PC</t>
        </is>
      </c>
      <c r="I849" s="2" t="inlineStr">
        <is>
          <t>FC/APC</t>
        </is>
      </c>
      <c r="J849" s="2" t="n"/>
      <c r="K849" s="2" t="n"/>
      <c r="L849" s="2" t="n"/>
      <c r="M849" s="2" t="n"/>
      <c r="N849" s="2" t="n"/>
      <c r="O849" s="2" t="n">
        <v>10</v>
      </c>
      <c r="P849" s="2" t="n"/>
      <c r="Q849" s="2" t="n"/>
      <c r="R849" s="2" t="n"/>
      <c r="S849" s="2" t="n"/>
      <c r="T849" s="2" t="n"/>
      <c r="U849" s="2" t="n"/>
      <c r="V849" s="2">
        <f>SUM(J849:U849)*G849</f>
        <v/>
      </c>
      <c r="W849" s="2">
        <f>MAX(J849:U849)</f>
        <v/>
      </c>
      <c r="X849" s="2">
        <f>W849*G849</f>
        <v/>
      </c>
    </row>
    <row r="850">
      <c r="A850" s="2" t="inlineStr">
        <is>
          <t>A14-S-SP/FP-B-N-007</t>
        </is>
      </c>
      <c r="B850" s="3" t="inlineStr">
        <is>
          <t>SOJC-SM-SC/PC-FC/PC</t>
        </is>
      </c>
      <c r="C850" s="2" t="inlineStr">
        <is>
          <t>908040309, 30M, B3, 2.0mm</t>
        </is>
      </c>
      <c r="D850" s="2" t="inlineStr">
        <is>
          <t>b3</t>
        </is>
      </c>
      <c r="E850" s="2" t="inlineStr">
        <is>
          <t>2.0mm</t>
        </is>
      </c>
      <c r="F850" s="2" t="n">
        <v>1</v>
      </c>
      <c r="G850" s="2" t="n">
        <v>30</v>
      </c>
      <c r="H850" s="2" t="inlineStr">
        <is>
          <t>SC/PC</t>
        </is>
      </c>
      <c r="I850" s="2" t="inlineStr">
        <is>
          <t>FC/PC</t>
        </is>
      </c>
      <c r="J850" s="2" t="n"/>
      <c r="K850" s="2" t="n"/>
      <c r="L850" s="2" t="n"/>
      <c r="M850" s="2" t="n"/>
      <c r="N850" s="2" t="n">
        <v>3</v>
      </c>
      <c r="O850" s="2" t="n"/>
      <c r="P850" s="2" t="n">
        <v>5</v>
      </c>
      <c r="Q850" s="2" t="n"/>
      <c r="R850" s="2" t="n"/>
      <c r="S850" s="2" t="n"/>
      <c r="T850" s="2" t="n"/>
      <c r="U850" s="2" t="n"/>
      <c r="V850" s="2">
        <f>SUM(J850:U850)*G850</f>
        <v/>
      </c>
      <c r="W850" s="2">
        <f>MAX(J850:U850)</f>
        <v/>
      </c>
      <c r="X850" s="2">
        <f>W850*G850</f>
        <v/>
      </c>
    </row>
    <row r="851">
      <c r="A851" s="2" t="inlineStr">
        <is>
          <t>A14-S-SP/FP-B-N-012</t>
        </is>
      </c>
      <c r="B851" s="3" t="inlineStr">
        <is>
          <t>SOJC-SM-SC/PC-FC/PC</t>
        </is>
      </c>
      <c r="C851" s="2" t="inlineStr">
        <is>
          <t>908041377, 7M,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1</v>
      </c>
      <c r="G851" s="2" t="n">
        <v>7</v>
      </c>
      <c r="H851" s="2" t="inlineStr">
        <is>
          <t>SC/PC</t>
        </is>
      </c>
      <c r="I851" s="2" t="inlineStr">
        <is>
          <t>FC/PC</t>
        </is>
      </c>
      <c r="J851" s="2" t="n"/>
      <c r="K851" s="2" t="n"/>
      <c r="L851" s="2" t="n"/>
      <c r="M851" s="2" t="n"/>
      <c r="N851" s="2" t="n">
        <v>25</v>
      </c>
      <c r="O851" s="2" t="n"/>
      <c r="P851" s="2" t="n"/>
      <c r="Q851" s="2" t="n"/>
      <c r="R851" s="2" t="n"/>
      <c r="S851" s="2" t="n"/>
      <c r="T851" s="2" t="n"/>
      <c r="U851" s="2" t="n"/>
      <c r="V851" s="2">
        <f>SUM(J851:U851)*G851</f>
        <v/>
      </c>
      <c r="W851" s="2">
        <f>MAX(J851:U851)</f>
        <v/>
      </c>
      <c r="X851" s="2">
        <f>W851*G851</f>
        <v/>
      </c>
    </row>
    <row r="852">
      <c r="A852" s="2" t="inlineStr">
        <is>
          <t>A14-S-SP/SA-B-N-006</t>
        </is>
      </c>
      <c r="B852" s="3" t="inlineStr">
        <is>
          <t>SOJC-SM-SC/PC-SC/APC</t>
        </is>
      </c>
      <c r="C852" s="2" t="inlineStr">
        <is>
          <t>908041444, 25M, B3, 2.0mm</t>
        </is>
      </c>
      <c r="D852" s="2" t="inlineStr">
        <is>
          <t>b3</t>
        </is>
      </c>
      <c r="E852" s="2" t="inlineStr">
        <is>
          <t>2.0mm</t>
        </is>
      </c>
      <c r="F852" s="2" t="n">
        <v>1</v>
      </c>
      <c r="G852" s="2" t="n">
        <v>25</v>
      </c>
      <c r="H852" s="2" t="inlineStr">
        <is>
          <t>SC/PC</t>
        </is>
      </c>
      <c r="I852" s="2" t="inlineStr">
        <is>
          <t>SC/APC</t>
        </is>
      </c>
      <c r="J852" s="2" t="n"/>
      <c r="K852" s="2" t="n">
        <v>5</v>
      </c>
      <c r="L852" s="2" t="n"/>
      <c r="M852" s="2" t="n"/>
      <c r="N852" s="2" t="n">
        <v>4</v>
      </c>
      <c r="O852" s="2" t="n"/>
      <c r="P852" s="2" t="n"/>
      <c r="Q852" s="2" t="n"/>
      <c r="R852" s="2" t="n"/>
      <c r="S852" s="2" t="n"/>
      <c r="T852" s="2" t="n"/>
      <c r="U852" s="2" t="n"/>
      <c r="V852" s="2">
        <f>SUM(J852:U852)*G852</f>
        <v/>
      </c>
      <c r="W852" s="2">
        <f>MAX(J852:U852)</f>
        <v/>
      </c>
      <c r="X852" s="2">
        <f>W852*G852</f>
        <v/>
      </c>
    </row>
    <row r="853">
      <c r="A853" s="2" t="inlineStr">
        <is>
          <t>A14-S-SP/SA-B-N-010</t>
        </is>
      </c>
      <c r="B853" s="3" t="inlineStr">
        <is>
          <t>SOJC-SM-SC/PC-SC/APC</t>
        </is>
      </c>
      <c r="C853" s="2" t="inlineStr">
        <is>
          <t>908041423, 4M, B3, 3.0mm</t>
        </is>
      </c>
      <c r="D853" s="2" t="inlineStr">
        <is>
          <t>b3</t>
        </is>
      </c>
      <c r="E853" s="2" t="inlineStr">
        <is>
          <t>3.0mm</t>
        </is>
      </c>
      <c r="F853" s="2" t="n">
        <v>1</v>
      </c>
      <c r="G853" s="2" t="n">
        <v>4</v>
      </c>
      <c r="H853" s="2" t="inlineStr">
        <is>
          <t>SC/PC</t>
        </is>
      </c>
      <c r="I853" s="2" t="inlineStr">
        <is>
          <t>SC/APC</t>
        </is>
      </c>
      <c r="J853" s="2" t="n"/>
      <c r="K853" s="2" t="n"/>
      <c r="L853" s="2" t="n">
        <v>12</v>
      </c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>
        <f>SUM(J853:U853)*G853</f>
        <v/>
      </c>
      <c r="W853" s="2">
        <f>MAX(J853:U853)</f>
        <v/>
      </c>
      <c r="X853" s="2">
        <f>W853*G853</f>
        <v/>
      </c>
    </row>
    <row r="854">
      <c r="A854" s="2" t="inlineStr">
        <is>
          <t>A14-S-SP/SA-B-N-012</t>
        </is>
      </c>
      <c r="B854" s="3" t="inlineStr">
        <is>
          <t>SOJC-SM-SC/PC-SC/APC</t>
        </is>
      </c>
      <c r="C854" s="2" t="inlineStr">
        <is>
          <t>908041425, 6M, B3, 2.0mm</t>
        </is>
      </c>
      <c r="D854" s="2" t="inlineStr">
        <is>
          <t>b3</t>
        </is>
      </c>
      <c r="E854" s="2" t="inlineStr">
        <is>
          <t>2.0mm</t>
        </is>
      </c>
      <c r="F854" s="2" t="n">
        <v>1</v>
      </c>
      <c r="G854" s="2" t="n">
        <v>6</v>
      </c>
      <c r="H854" s="2" t="inlineStr">
        <is>
          <t>SC/PC</t>
        </is>
      </c>
      <c r="I854" s="2" t="inlineStr">
        <is>
          <t>SC/APC</t>
        </is>
      </c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>
        <v>40</v>
      </c>
      <c r="V854" s="2">
        <f>SUM(J854:U854)*G854</f>
        <v/>
      </c>
      <c r="W854" s="2">
        <f>MAX(J854:U854)</f>
        <v/>
      </c>
      <c r="X854" s="2">
        <f>W854*G854</f>
        <v/>
      </c>
    </row>
    <row r="855">
      <c r="A855" s="2" t="inlineStr">
        <is>
          <t>A14-S-SP/SP-1-N-001</t>
        </is>
      </c>
      <c r="B855" s="3" t="inlineStr">
        <is>
          <t>SOJC-MM-SC/PC-SC/PC</t>
        </is>
      </c>
      <c r="C855" s="2" t="inlineStr">
        <is>
          <t>908040120, 10M</t>
        </is>
      </c>
      <c r="D855" s="2" t="inlineStr">
        <is>
          <t>om1</t>
        </is>
      </c>
      <c r="E855" s="2" t="inlineStr">
        <is>
          <t>2.0mm</t>
        </is>
      </c>
      <c r="F855" s="2" t="n">
        <v>1</v>
      </c>
      <c r="G855" s="2" t="n">
        <v>10</v>
      </c>
      <c r="H855" s="2" t="inlineStr">
        <is>
          <t>SC/PC</t>
        </is>
      </c>
      <c r="I855" s="2" t="inlineStr">
        <is>
          <t>SC/PC</t>
        </is>
      </c>
      <c r="J855" s="2" t="n"/>
      <c r="K855" s="2" t="n"/>
      <c r="L855" s="2" t="n"/>
      <c r="M855" s="2" t="n"/>
      <c r="N855" s="2" t="n"/>
      <c r="O855" s="2" t="n">
        <v>10</v>
      </c>
      <c r="P855" s="2" t="n"/>
      <c r="Q855" s="2" t="n"/>
      <c r="R855" s="2" t="n"/>
      <c r="S855" s="2" t="n"/>
      <c r="T855" s="2" t="n"/>
      <c r="U855" s="2" t="n"/>
      <c r="V855" s="2">
        <f>SUM(J855:U855)*G855</f>
        <v/>
      </c>
      <c r="W855" s="2">
        <f>MAX(J855:U855)</f>
        <v/>
      </c>
      <c r="X855" s="2">
        <f>W855*G855</f>
        <v/>
      </c>
    </row>
    <row r="856">
      <c r="A856" s="2" t="inlineStr">
        <is>
          <t>A14-S-SP/SP-1-N-002</t>
        </is>
      </c>
      <c r="B856" s="3" t="inlineStr">
        <is>
          <t>SOJC-MM-SC/PC-SC/PC</t>
        </is>
      </c>
      <c r="C856" s="2" t="inlineStr">
        <is>
          <t>908040112, 1M</t>
        </is>
      </c>
      <c r="D856" s="2" t="inlineStr">
        <is>
          <t>om1</t>
        </is>
      </c>
      <c r="E856" s="2" t="inlineStr">
        <is>
          <t>2.0mm</t>
        </is>
      </c>
      <c r="F856" s="2" t="n">
        <v>1</v>
      </c>
      <c r="G856" s="2" t="n">
        <v>1</v>
      </c>
      <c r="H856" s="2" t="inlineStr">
        <is>
          <t>SC/PC</t>
        </is>
      </c>
      <c r="I856" s="2" t="inlineStr">
        <is>
          <t>SC/PC</t>
        </is>
      </c>
      <c r="J856" s="2" t="n"/>
      <c r="K856" s="2" t="n"/>
      <c r="L856" s="2" t="n"/>
      <c r="M856" s="2" t="n"/>
      <c r="N856" s="2" t="n"/>
      <c r="O856" s="2" t="n">
        <v>5</v>
      </c>
      <c r="P856" s="2" t="n">
        <v>20</v>
      </c>
      <c r="Q856" s="2" t="n"/>
      <c r="R856" s="2" t="n"/>
      <c r="S856" s="2" t="n"/>
      <c r="T856" s="2" t="n"/>
      <c r="U856" s="2" t="n"/>
      <c r="V856" s="2">
        <f>SUM(J856:U856)*G856</f>
        <v/>
      </c>
      <c r="W856" s="2">
        <f>MAX(J856:U856)</f>
        <v/>
      </c>
      <c r="X856" s="2">
        <f>W856*G856</f>
        <v/>
      </c>
    </row>
    <row r="857">
      <c r="A857" s="2" t="inlineStr">
        <is>
          <t>A14-S-SP/SP-1-N-003</t>
        </is>
      </c>
      <c r="B857" s="3" t="inlineStr">
        <is>
          <t>SOJC-MM-SC/PC-SC/PC</t>
        </is>
      </c>
      <c r="C857" s="2" t="inlineStr">
        <is>
          <t>908040130, 20M</t>
        </is>
      </c>
      <c r="D857" s="2" t="inlineStr">
        <is>
          <t>om1</t>
        </is>
      </c>
      <c r="E857" s="2" t="inlineStr">
        <is>
          <t>2.0mm</t>
        </is>
      </c>
      <c r="F857" s="2" t="n">
        <v>1</v>
      </c>
      <c r="G857" s="2" t="n">
        <v>20</v>
      </c>
      <c r="H857" s="2" t="inlineStr">
        <is>
          <t>SC/PC</t>
        </is>
      </c>
      <c r="I857" s="2" t="inlineStr">
        <is>
          <t>SC/PC</t>
        </is>
      </c>
      <c r="J857" s="2" t="n"/>
      <c r="K857" s="2" t="n"/>
      <c r="L857" s="2" t="n"/>
      <c r="M857" s="2" t="n"/>
      <c r="N857" s="2" t="n"/>
      <c r="O857" s="2" t="n"/>
      <c r="P857" s="2" t="n">
        <v>25</v>
      </c>
      <c r="Q857" s="2" t="n"/>
      <c r="R857" s="2" t="n"/>
      <c r="S857" s="2" t="n"/>
      <c r="T857" s="2" t="n"/>
      <c r="U857" s="2" t="n"/>
      <c r="V857" s="2">
        <f>SUM(J857:U857)*G857</f>
        <v/>
      </c>
      <c r="W857" s="2">
        <f>MAX(J857:U857)</f>
        <v/>
      </c>
      <c r="X857" s="2">
        <f>W857*G857</f>
        <v/>
      </c>
    </row>
    <row r="858">
      <c r="A858" s="2" t="inlineStr">
        <is>
          <t>A14-S-SP/SP-1-N-006</t>
        </is>
      </c>
      <c r="B858" s="3" t="inlineStr">
        <is>
          <t>SOJC-MM-SC/PC-SC/PC</t>
        </is>
      </c>
      <c r="C858" s="2" t="inlineStr">
        <is>
          <t>908040115, 5M</t>
        </is>
      </c>
      <c r="D858" s="2" t="inlineStr">
        <is>
          <t>om1</t>
        </is>
      </c>
      <c r="E858" s="2" t="inlineStr">
        <is>
          <t>2.0mm</t>
        </is>
      </c>
      <c r="F858" s="2" t="n">
        <v>1</v>
      </c>
      <c r="G858" s="2" t="n">
        <v>5</v>
      </c>
      <c r="H858" s="2" t="inlineStr">
        <is>
          <t>SC/PC</t>
        </is>
      </c>
      <c r="I858" s="2" t="inlineStr">
        <is>
          <t>SC/PC</t>
        </is>
      </c>
      <c r="J858" s="2" t="n"/>
      <c r="K858" s="2" t="n"/>
      <c r="L858" s="2" t="n"/>
      <c r="M858" s="2" t="n"/>
      <c r="N858" s="2" t="n"/>
      <c r="O858" s="2" t="n">
        <v>10</v>
      </c>
      <c r="P858" s="2" t="n"/>
      <c r="Q858" s="2" t="n"/>
      <c r="R858" s="2" t="n"/>
      <c r="S858" s="2" t="n"/>
      <c r="T858" s="2" t="n"/>
      <c r="U858" s="2" t="n"/>
      <c r="V858" s="2">
        <f>SUM(J858:U858)*G858</f>
        <v/>
      </c>
      <c r="W858" s="2">
        <f>MAX(J858:U858)</f>
        <v/>
      </c>
      <c r="X858" s="2">
        <f>W858*G858</f>
        <v/>
      </c>
    </row>
    <row r="859">
      <c r="A859" s="2" t="inlineStr">
        <is>
          <t>A14-S-SP/SP-1-N-011</t>
        </is>
      </c>
      <c r="B859" s="3" t="inlineStr">
        <is>
          <t>SOJC-MM-SC/PC-SC/PC</t>
        </is>
      </c>
      <c r="C859" s="2" t="inlineStr">
        <is>
          <t>908040117, 7M</t>
        </is>
      </c>
      <c r="D859" s="2" t="inlineStr">
        <is>
          <t>om1</t>
        </is>
      </c>
      <c r="E859" s="2" t="inlineStr">
        <is>
          <t>2.0mm</t>
        </is>
      </c>
      <c r="F859" s="2" t="n">
        <v>1</v>
      </c>
      <c r="G859" s="2" t="n">
        <v>7</v>
      </c>
      <c r="H859" s="2" t="inlineStr">
        <is>
          <t>SC/PC</t>
        </is>
      </c>
      <c r="I859" s="2" t="inlineStr">
        <is>
          <t>SC/PC</t>
        </is>
      </c>
      <c r="J859" s="2" t="n"/>
      <c r="K859" s="2" t="n"/>
      <c r="L859" s="2" t="n"/>
      <c r="M859" s="2" t="n"/>
      <c r="N859" s="2" t="n"/>
      <c r="O859" s="2" t="n">
        <v>10</v>
      </c>
      <c r="P859" s="2" t="n"/>
      <c r="Q859" s="2" t="n"/>
      <c r="R859" s="2" t="n"/>
      <c r="S859" s="2" t="n"/>
      <c r="T859" s="2" t="n"/>
      <c r="U859" s="2" t="n"/>
      <c r="V859" s="2">
        <f>SUM(J859:U859)*G859</f>
        <v/>
      </c>
      <c r="W859" s="2">
        <f>MAX(J859:U859)</f>
        <v/>
      </c>
      <c r="X859" s="2">
        <f>W859*G859</f>
        <v/>
      </c>
    </row>
    <row r="860">
      <c r="A860" s="2" t="inlineStr">
        <is>
          <t>A14-SB-N048</t>
        </is>
      </c>
      <c r="B860" s="3" t="inlineStr">
        <is>
          <t>SOJC-SM-LC/PC-FC/APC</t>
        </is>
      </c>
      <c r="C860" s="2" t="inlineStr">
        <is>
          <t>930001505, 10M, B3, 2.0mm</t>
        </is>
      </c>
      <c r="D860" s="2" t="inlineStr">
        <is>
          <t>b3</t>
        </is>
      </c>
      <c r="E860" s="2" t="inlineStr">
        <is>
          <t>2.0mm</t>
        </is>
      </c>
      <c r="F860" s="2" t="n">
        <v>1</v>
      </c>
      <c r="G860" s="2" t="n">
        <v>10</v>
      </c>
      <c r="H860" s="2" t="inlineStr">
        <is>
          <t>LC/PC</t>
        </is>
      </c>
      <c r="I860" s="2" t="inlineStr">
        <is>
          <t>FC/APC</t>
        </is>
      </c>
      <c r="J860" s="2" t="n"/>
      <c r="K860" s="2" t="n"/>
      <c r="L860" s="2" t="n"/>
      <c r="M860" s="2" t="n"/>
      <c r="N860" s="2" t="n"/>
      <c r="O860" s="2" t="n"/>
      <c r="P860" s="2" t="n"/>
      <c r="Q860" s="2" t="n">
        <v>5</v>
      </c>
      <c r="R860" s="2" t="n"/>
      <c r="S860" s="2" t="n"/>
      <c r="T860" s="2" t="n">
        <v>10</v>
      </c>
      <c r="U860" s="2" t="n"/>
      <c r="V860" s="2">
        <f>SUM(J860:U860)*G860</f>
        <v/>
      </c>
      <c r="W860" s="2">
        <f>MAX(J860:U860)</f>
        <v/>
      </c>
      <c r="X860" s="2">
        <f>W860*G860</f>
        <v/>
      </c>
    </row>
    <row r="861">
      <c r="A861" s="2" t="inlineStr">
        <is>
          <t>A14-SB-N052</t>
        </is>
      </c>
      <c r="B861" s="3" t="inlineStr">
        <is>
          <t>SOJC-SM-LC/PC-FC/APC</t>
        </is>
      </c>
      <c r="C861" s="2" t="inlineStr">
        <is>
          <t>930001510, 15M, B3, 2.0mm</t>
        </is>
      </c>
      <c r="D861" s="2" t="inlineStr">
        <is>
          <t>b3</t>
        </is>
      </c>
      <c r="E861" s="2" t="inlineStr">
        <is>
          <t>2.0mm</t>
        </is>
      </c>
      <c r="F861" s="2" t="n">
        <v>1</v>
      </c>
      <c r="G861" s="2" t="n">
        <v>15</v>
      </c>
      <c r="H861" s="2" t="inlineStr">
        <is>
          <t>LC/PC</t>
        </is>
      </c>
      <c r="I861" s="2" t="inlineStr">
        <is>
          <t>FC/APC</t>
        </is>
      </c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>
        <v>7</v>
      </c>
      <c r="V861" s="2">
        <f>SUM(J861:U861)*G861</f>
        <v/>
      </c>
      <c r="W861" s="2">
        <f>MAX(J861:U861)</f>
        <v/>
      </c>
      <c r="X861" s="2">
        <f>W861*G861</f>
        <v/>
      </c>
    </row>
    <row r="862">
      <c r="A862" s="2" t="inlineStr">
        <is>
          <t>A14-SB-N056</t>
        </is>
      </c>
      <c r="B862" s="3" t="inlineStr">
        <is>
          <t>SOJC-SM-LC/PC-FC/APC</t>
        </is>
      </c>
      <c r="C862" s="2" t="inlineStr">
        <is>
          <t>930001515, 20M, B3, 2.0mm</t>
        </is>
      </c>
      <c r="D862" s="2" t="inlineStr">
        <is>
          <t>b3</t>
        </is>
      </c>
      <c r="E862" s="2" t="inlineStr">
        <is>
          <t>2.0mm</t>
        </is>
      </c>
      <c r="F862" s="2" t="n">
        <v>1</v>
      </c>
      <c r="G862" s="2" t="n">
        <v>20</v>
      </c>
      <c r="H862" s="2" t="inlineStr">
        <is>
          <t>LC/PC</t>
        </is>
      </c>
      <c r="I862" s="2" t="inlineStr">
        <is>
          <t>FC/APC</t>
        </is>
      </c>
      <c r="J862" s="2" t="n"/>
      <c r="K862" s="2" t="n"/>
      <c r="L862" s="2" t="n"/>
      <c r="M862" s="2" t="n"/>
      <c r="N862" s="2" t="n"/>
      <c r="O862" s="2" t="n">
        <v>20</v>
      </c>
      <c r="P862" s="2" t="n"/>
      <c r="Q862" s="2" t="n"/>
      <c r="R862" s="2" t="n"/>
      <c r="S862" s="2" t="n"/>
      <c r="T862" s="2" t="n"/>
      <c r="U862" s="2" t="n"/>
      <c r="V862" s="2">
        <f>SUM(J862:U862)*G862</f>
        <v/>
      </c>
      <c r="W862" s="2">
        <f>MAX(J862:U862)</f>
        <v/>
      </c>
      <c r="X862" s="2">
        <f>W862*G862</f>
        <v/>
      </c>
    </row>
    <row r="863">
      <c r="A863" s="2" t="inlineStr">
        <is>
          <t>A14-SB-N057</t>
        </is>
      </c>
      <c r="B863" s="3" t="inlineStr">
        <is>
          <t>SOJC-SM-LC/PC-FC/APC</t>
        </is>
      </c>
      <c r="C863" s="2" t="inlineStr">
        <is>
          <t>930001516, 25M, B3, 2.0mm</t>
        </is>
      </c>
      <c r="D863" s="2" t="inlineStr">
        <is>
          <t>b3</t>
        </is>
      </c>
      <c r="E863" s="2" t="inlineStr">
        <is>
          <t>2.0mm</t>
        </is>
      </c>
      <c r="F863" s="2" t="n">
        <v>1</v>
      </c>
      <c r="G863" s="2" t="n">
        <v>25</v>
      </c>
      <c r="H863" s="2" t="inlineStr">
        <is>
          <t>LC/PC</t>
        </is>
      </c>
      <c r="I863" s="2" t="inlineStr">
        <is>
          <t>FC/APC</t>
        </is>
      </c>
      <c r="J863" s="2" t="n"/>
      <c r="K863" s="2" t="n"/>
      <c r="L863" s="2" t="n"/>
      <c r="M863" s="2" t="n">
        <v>18</v>
      </c>
      <c r="N863" s="2" t="n"/>
      <c r="O863" s="2" t="n">
        <v>20</v>
      </c>
      <c r="P863" s="2" t="n"/>
      <c r="Q863" s="2" t="n"/>
      <c r="R863" s="2" t="n"/>
      <c r="S863" s="2" t="n"/>
      <c r="T863" s="2" t="n"/>
      <c r="U863" s="2" t="n"/>
      <c r="V863" s="2">
        <f>SUM(J863:U863)*G863</f>
        <v/>
      </c>
      <c r="W863" s="2">
        <f>MAX(J863:U863)</f>
        <v/>
      </c>
      <c r="X863" s="2">
        <f>W863*G863</f>
        <v/>
      </c>
    </row>
    <row r="864">
      <c r="A864" s="2" t="inlineStr">
        <is>
          <t>A14-SB-N069</t>
        </is>
      </c>
      <c r="B864" s="3" t="inlineStr">
        <is>
          <t>SOJC-SM-LC/PC-FC/PC</t>
        </is>
      </c>
      <c r="C864" s="2" t="inlineStr">
        <is>
          <t>908040145, 15M, B3, 2.0mm</t>
        </is>
      </c>
      <c r="D864" s="2" t="inlineStr">
        <is>
          <t>b3</t>
        </is>
      </c>
      <c r="E864" s="2" t="inlineStr">
        <is>
          <t>2.0mm</t>
        </is>
      </c>
      <c r="F864" s="2" t="n">
        <v>1</v>
      </c>
      <c r="G864" s="2" t="n">
        <v>15</v>
      </c>
      <c r="H864" s="2" t="inlineStr">
        <is>
          <t>LC/PC</t>
        </is>
      </c>
      <c r="I864" s="2" t="inlineStr">
        <is>
          <t>FC/PC</t>
        </is>
      </c>
      <c r="J864" s="2" t="n"/>
      <c r="K864" s="2" t="n">
        <v>8</v>
      </c>
      <c r="L864" s="2" t="n"/>
      <c r="M864" s="2" t="n"/>
      <c r="N864" s="2" t="n">
        <v>30</v>
      </c>
      <c r="O864" s="2" t="n"/>
      <c r="P864" s="2" t="n"/>
      <c r="Q864" s="2" t="n"/>
      <c r="R864" s="2" t="n"/>
      <c r="S864" s="2" t="n"/>
      <c r="T864" s="2" t="n"/>
      <c r="U864" s="2" t="n"/>
      <c r="V864" s="2">
        <f>SUM(J864:U864)*G864</f>
        <v/>
      </c>
      <c r="W864" s="2">
        <f>MAX(J864:U864)</f>
        <v/>
      </c>
      <c r="X864" s="2">
        <f>W864*G864</f>
        <v/>
      </c>
    </row>
    <row r="865">
      <c r="A865" s="2" t="inlineStr">
        <is>
          <t>A14-SB-N071</t>
        </is>
      </c>
      <c r="B865" s="3" t="inlineStr">
        <is>
          <t>SOJC-SM-LC/PC-FC/PC</t>
        </is>
      </c>
      <c r="C865" s="2" t="inlineStr">
        <is>
          <t>908040150, 20M, B3, 2.0mm</t>
        </is>
      </c>
      <c r="D865" s="2" t="inlineStr">
        <is>
          <t>b3</t>
        </is>
      </c>
      <c r="E865" s="2" t="inlineStr">
        <is>
          <t>2.0mm</t>
        </is>
      </c>
      <c r="F865" s="2" t="n">
        <v>1</v>
      </c>
      <c r="G865" s="2" t="n">
        <v>20</v>
      </c>
      <c r="H865" s="2" t="inlineStr">
        <is>
          <t>LC/PC</t>
        </is>
      </c>
      <c r="I865" s="2" t="inlineStr">
        <is>
          <t>FC/PC</t>
        </is>
      </c>
      <c r="J865" s="2" t="n">
        <v>20</v>
      </c>
      <c r="K865" s="2" t="n"/>
      <c r="L865" s="2" t="n">
        <v>2</v>
      </c>
      <c r="M865" s="2" t="n"/>
      <c r="N865" s="2" t="n">
        <v>30</v>
      </c>
      <c r="O865" s="2" t="n"/>
      <c r="P865" s="2" t="n"/>
      <c r="Q865" s="2" t="n"/>
      <c r="R865" s="2" t="n"/>
      <c r="S865" s="2" t="n"/>
      <c r="T865" s="2" t="n"/>
      <c r="U865" s="2" t="n"/>
      <c r="V865" s="2">
        <f>SUM(J865:U865)*G865</f>
        <v/>
      </c>
      <c r="W865" s="2">
        <f>MAX(J865:U865)</f>
        <v/>
      </c>
      <c r="X865" s="2">
        <f>W865*G865</f>
        <v/>
      </c>
    </row>
    <row r="866">
      <c r="A866" s="2" t="inlineStr">
        <is>
          <t>A14-SB-N080</t>
        </is>
      </c>
      <c r="B866" s="3" t="inlineStr">
        <is>
          <t>SOJC-SM-LC/PC-LC/APC</t>
        </is>
      </c>
      <c r="C866" s="2" t="inlineStr">
        <is>
          <t>15M, B3, 2.0mm</t>
        </is>
      </c>
      <c r="D866" s="2" t="inlineStr">
        <is>
          <t>b3</t>
        </is>
      </c>
      <c r="E866" s="2" t="inlineStr">
        <is>
          <t>2.0mm</t>
        </is>
      </c>
      <c r="F866" s="2" t="n">
        <v>1</v>
      </c>
      <c r="G866" s="2" t="n">
        <v>15</v>
      </c>
      <c r="H866" s="2" t="inlineStr">
        <is>
          <t>LC/PC</t>
        </is>
      </c>
      <c r="I866" s="2" t="inlineStr">
        <is>
          <t>LC/APC</t>
        </is>
      </c>
      <c r="J866" s="2" t="n"/>
      <c r="K866" s="2" t="n"/>
      <c r="L866" s="2" t="n"/>
      <c r="M866" s="2" t="n"/>
      <c r="N866" s="2" t="n"/>
      <c r="O866" s="2" t="n">
        <v>35</v>
      </c>
      <c r="P866" s="2" t="n"/>
      <c r="Q866" s="2" t="n"/>
      <c r="R866" s="2" t="n"/>
      <c r="S866" s="2" t="n"/>
      <c r="T866" s="2" t="n"/>
      <c r="U866" s="2" t="n"/>
      <c r="V866" s="2">
        <f>SUM(J866:U866)*G866</f>
        <v/>
      </c>
      <c r="W866" s="2">
        <f>MAX(J866:U866)</f>
        <v/>
      </c>
      <c r="X866" s="2">
        <f>W866*G866</f>
        <v/>
      </c>
    </row>
    <row r="867">
      <c r="A867" s="2" t="inlineStr">
        <is>
          <t>A14-SB-N081</t>
        </is>
      </c>
      <c r="B867" s="3" t="inlineStr">
        <is>
          <t>SOJC-SM-LC/PC-LC/APC</t>
        </is>
      </c>
      <c r="C867" s="2" t="inlineStr">
        <is>
          <t>20M, B3, 2.0mm</t>
        </is>
      </c>
      <c r="D867" s="2" t="inlineStr">
        <is>
          <t>b3</t>
        </is>
      </c>
      <c r="E867" s="2" t="inlineStr">
        <is>
          <t>2.0mm</t>
        </is>
      </c>
      <c r="F867" s="2" t="n">
        <v>1</v>
      </c>
      <c r="G867" s="2" t="n">
        <v>20</v>
      </c>
      <c r="H867" s="2" t="inlineStr">
        <is>
          <t>LC/PC</t>
        </is>
      </c>
      <c r="I867" s="2" t="inlineStr">
        <is>
          <t>LC/APC</t>
        </is>
      </c>
      <c r="J867" s="2" t="n"/>
      <c r="K867" s="2" t="n"/>
      <c r="L867" s="2" t="n">
        <v>11</v>
      </c>
      <c r="M867" s="2" t="n"/>
      <c r="N867" s="2" t="n">
        <v>6</v>
      </c>
      <c r="O867" s="2" t="n">
        <v>25</v>
      </c>
      <c r="P867" s="2" t="n"/>
      <c r="Q867" s="2" t="n"/>
      <c r="R867" s="2" t="n"/>
      <c r="S867" s="2" t="n"/>
      <c r="T867" s="2" t="n"/>
      <c r="U867" s="2" t="n"/>
      <c r="V867" s="2">
        <f>SUM(J867:U867)*G867</f>
        <v/>
      </c>
      <c r="W867" s="2">
        <f>MAX(J867:U867)</f>
        <v/>
      </c>
      <c r="X867" s="2">
        <f>W867*G867</f>
        <v/>
      </c>
    </row>
    <row r="868">
      <c r="A868" s="2" t="inlineStr">
        <is>
          <t>A14-SB-N082</t>
        </is>
      </c>
      <c r="B868" s="3" t="inlineStr">
        <is>
          <t>SOJC-SM-LC/PC-LC/APC</t>
        </is>
      </c>
      <c r="C868" s="2" t="inlineStr">
        <is>
          <t>25M, B3, 2.0mm</t>
        </is>
      </c>
      <c r="D868" s="2" t="inlineStr">
        <is>
          <t>b3</t>
        </is>
      </c>
      <c r="E868" s="2" t="inlineStr">
        <is>
          <t>2.0mm</t>
        </is>
      </c>
      <c r="F868" s="2" t="n">
        <v>1</v>
      </c>
      <c r="G868" s="2" t="n">
        <v>25</v>
      </c>
      <c r="H868" s="2" t="inlineStr">
        <is>
          <t>LC/PC</t>
        </is>
      </c>
      <c r="I868" s="2" t="inlineStr">
        <is>
          <t>LC/APC</t>
        </is>
      </c>
      <c r="J868" s="2" t="n"/>
      <c r="K868" s="2" t="n">
        <v>10</v>
      </c>
      <c r="L868" s="2" t="n"/>
      <c r="M868" s="2" t="n"/>
      <c r="N868" s="2" t="n"/>
      <c r="O868" s="2" t="n"/>
      <c r="P868" s="2" t="n"/>
      <c r="Q868" s="2" t="n"/>
      <c r="R868" s="2" t="n">
        <v>5</v>
      </c>
      <c r="S868" s="2" t="n"/>
      <c r="T868" s="2" t="n"/>
      <c r="U868" s="2" t="n"/>
      <c r="V868" s="2">
        <f>SUM(J868:U868)*G868</f>
        <v/>
      </c>
      <c r="W868" s="2">
        <f>MAX(J868:U868)</f>
        <v/>
      </c>
      <c r="X868" s="2">
        <f>W868*G868</f>
        <v/>
      </c>
    </row>
    <row r="869">
      <c r="A869" s="2" t="inlineStr">
        <is>
          <t>A14-SB-N086</t>
        </is>
      </c>
      <c r="B869" s="3" t="inlineStr">
        <is>
          <t>SOJC-SM-LC/PC-LC/PC</t>
        </is>
      </c>
      <c r="C869" s="2" t="inlineStr">
        <is>
          <t>908040269, 10M, B3, 2.0mm</t>
        </is>
      </c>
      <c r="D869" s="2" t="inlineStr">
        <is>
          <t>b3</t>
        </is>
      </c>
      <c r="E869" s="2" t="inlineStr">
        <is>
          <t>2.0mm</t>
        </is>
      </c>
      <c r="F869" s="2" t="n">
        <v>1</v>
      </c>
      <c r="G869" s="2" t="n">
        <v>10</v>
      </c>
      <c r="H869" s="2" t="inlineStr">
        <is>
          <t>LC/PC</t>
        </is>
      </c>
      <c r="I869" s="2" t="inlineStr">
        <is>
          <t>LC/PC</t>
        </is>
      </c>
      <c r="J869" s="2" t="n">
        <v>100</v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>
        <v>17</v>
      </c>
      <c r="T869" s="2" t="n"/>
      <c r="U869" s="2" t="n"/>
      <c r="V869" s="2">
        <f>SUM(J869:U869)*G869</f>
        <v/>
      </c>
      <c r="W869" s="2">
        <f>MAX(J869:U869)</f>
        <v/>
      </c>
      <c r="X869" s="2">
        <f>W869*G869</f>
        <v/>
      </c>
    </row>
    <row r="870">
      <c r="A870" s="2" t="inlineStr">
        <is>
          <t>A14-SB-N087</t>
        </is>
      </c>
      <c r="B870" s="3" t="inlineStr">
        <is>
          <t>SOJC-SM-LC/PC-LC/PC</t>
        </is>
      </c>
      <c r="C870" s="2" t="inlineStr">
        <is>
          <t>12M, B3, 2.0mm</t>
        </is>
      </c>
      <c r="D870" s="2" t="inlineStr">
        <is>
          <t>b3</t>
        </is>
      </c>
      <c r="E870" s="2" t="inlineStr">
        <is>
          <t>2.0mm</t>
        </is>
      </c>
      <c r="F870" s="2" t="n">
        <v>1</v>
      </c>
      <c r="G870" s="2" t="n">
        <v>12</v>
      </c>
      <c r="H870" s="2" t="inlineStr">
        <is>
          <t>LC/PC</t>
        </is>
      </c>
      <c r="I870" s="2" t="inlineStr">
        <is>
          <t>LC/PC</t>
        </is>
      </c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>
        <v>20</v>
      </c>
      <c r="S870" s="2" t="n"/>
      <c r="T870" s="2" t="n"/>
      <c r="U870" s="2" t="n">
        <v>150</v>
      </c>
      <c r="V870" s="2">
        <f>SUM(J870:U870)*G870</f>
        <v/>
      </c>
      <c r="W870" s="2">
        <f>MAX(J870:U870)</f>
        <v/>
      </c>
      <c r="X870" s="2">
        <f>W870*G870</f>
        <v/>
      </c>
    </row>
    <row r="871">
      <c r="A871" s="2" t="inlineStr">
        <is>
          <t>A14-SB-N088</t>
        </is>
      </c>
      <c r="B871" s="3" t="inlineStr">
        <is>
          <t>SOJC-SM-LC/PC-LC/PC</t>
        </is>
      </c>
      <c r="C871" s="2" t="inlineStr">
        <is>
          <t>13M, B3, 2.0mm</t>
        </is>
      </c>
      <c r="D871" s="2" t="inlineStr">
        <is>
          <t>b3</t>
        </is>
      </c>
      <c r="E871" s="2" t="inlineStr">
        <is>
          <t>2.0mm</t>
        </is>
      </c>
      <c r="F871" s="2" t="n">
        <v>1</v>
      </c>
      <c r="G871" s="2" t="n">
        <v>13</v>
      </c>
      <c r="H871" s="2" t="inlineStr">
        <is>
          <t>LC/PC</t>
        </is>
      </c>
      <c r="I871" s="2" t="inlineStr">
        <is>
          <t>LC/PC</t>
        </is>
      </c>
      <c r="J871" s="2" t="n">
        <v>110</v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>
        <f>SUM(J871:U871)*G871</f>
        <v/>
      </c>
      <c r="W871" s="2">
        <f>MAX(J871:U871)</f>
        <v/>
      </c>
      <c r="X871" s="2">
        <f>W871*G871</f>
        <v/>
      </c>
    </row>
    <row r="872">
      <c r="A872" s="2" t="inlineStr">
        <is>
          <t>A14-SB-N089</t>
        </is>
      </c>
      <c r="B872" s="3" t="inlineStr">
        <is>
          <t>SOJC-SM-LC/PC-LC/PC</t>
        </is>
      </c>
      <c r="C872" s="2" t="inlineStr">
        <is>
          <t>908040274, 15M, B3, 2.0mm</t>
        </is>
      </c>
      <c r="D872" s="2" t="inlineStr">
        <is>
          <t>b3</t>
        </is>
      </c>
      <c r="E872" s="2" t="inlineStr">
        <is>
          <t>2.0mm</t>
        </is>
      </c>
      <c r="F872" s="2" t="n">
        <v>1</v>
      </c>
      <c r="G872" s="2" t="n">
        <v>15</v>
      </c>
      <c r="H872" s="2" t="inlineStr">
        <is>
          <t>LC/PC</t>
        </is>
      </c>
      <c r="I872" s="2" t="inlineStr">
        <is>
          <t>LC/PC</t>
        </is>
      </c>
      <c r="J872" s="2" t="n">
        <v>220</v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>
        <f>SUM(J872:U872)*G872</f>
        <v/>
      </c>
      <c r="W872" s="2">
        <f>MAX(J872:U872)</f>
        <v/>
      </c>
      <c r="X872" s="2">
        <f>W872*G872</f>
        <v/>
      </c>
    </row>
    <row r="873">
      <c r="A873" s="2" t="inlineStr">
        <is>
          <t>A14-SB-N093</t>
        </is>
      </c>
      <c r="B873" s="3" t="inlineStr">
        <is>
          <t>SOJC-SM-LC/PC-LC/PC</t>
        </is>
      </c>
      <c r="C873" s="2" t="inlineStr">
        <is>
          <t>908040261, 1M, B3, 3.0mm</t>
        </is>
      </c>
      <c r="D873" s="2" t="inlineStr">
        <is>
          <t>b3</t>
        </is>
      </c>
      <c r="E873" s="2" t="inlineStr">
        <is>
          <t>3.0mm</t>
        </is>
      </c>
      <c r="F873" s="2" t="n">
        <v>1</v>
      </c>
      <c r="G873" s="2" t="n">
        <v>1</v>
      </c>
      <c r="H873" s="2" t="inlineStr">
        <is>
          <t>LC/PC</t>
        </is>
      </c>
      <c r="I873" s="2" t="inlineStr">
        <is>
          <t>LC/PC</t>
        </is>
      </c>
      <c r="J873" s="2" t="n">
        <v>40</v>
      </c>
      <c r="K873" s="2" t="n">
        <v>30</v>
      </c>
      <c r="L873" s="2" t="n">
        <v>5</v>
      </c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>
        <f>SUM(J873:U873)*G873</f>
        <v/>
      </c>
      <c r="W873" s="2">
        <f>MAX(J873:U873)</f>
        <v/>
      </c>
      <c r="X873" s="2">
        <f>W873*G873</f>
        <v/>
      </c>
    </row>
    <row r="874">
      <c r="A874" s="2" t="inlineStr">
        <is>
          <t>A14-SB-N094</t>
        </is>
      </c>
      <c r="B874" s="3" t="inlineStr">
        <is>
          <t>SOJC-SM-LC/PC-LC/PC</t>
        </is>
      </c>
      <c r="C874" s="2" t="inlineStr">
        <is>
          <t>908040279, 20M, B3, 2.0mm</t>
        </is>
      </c>
      <c r="D874" s="2" t="inlineStr">
        <is>
          <t>b3</t>
        </is>
      </c>
      <c r="E874" s="2" t="inlineStr">
        <is>
          <t>2.0mm</t>
        </is>
      </c>
      <c r="F874" s="2" t="n">
        <v>1</v>
      </c>
      <c r="G874" s="2" t="n">
        <v>20</v>
      </c>
      <c r="H874" s="2" t="inlineStr">
        <is>
          <t>LC/PC</t>
        </is>
      </c>
      <c r="I874" s="2" t="inlineStr">
        <is>
          <t>LC/PC</t>
        </is>
      </c>
      <c r="J874" s="2" t="n">
        <v>80</v>
      </c>
      <c r="K874" s="2" t="n"/>
      <c r="L874" s="2" t="n"/>
      <c r="M874" s="2" t="n"/>
      <c r="N874" s="2" t="n"/>
      <c r="O874" s="2" t="n">
        <v>18</v>
      </c>
      <c r="P874" s="2" t="n">
        <v>10</v>
      </c>
      <c r="Q874" s="2" t="n"/>
      <c r="R874" s="2" t="n"/>
      <c r="S874" s="2" t="n"/>
      <c r="T874" s="2" t="n"/>
      <c r="U874" s="2" t="n"/>
      <c r="V874" s="2">
        <f>SUM(J874:U874)*G874</f>
        <v/>
      </c>
      <c r="W874" s="2">
        <f>MAX(J874:U874)</f>
        <v/>
      </c>
      <c r="X874" s="2">
        <f>W874*G874</f>
        <v/>
      </c>
    </row>
    <row r="875">
      <c r="A875" s="2" t="inlineStr">
        <is>
          <t>A14-SB-N096</t>
        </is>
      </c>
      <c r="B875" s="3" t="inlineStr">
        <is>
          <t>SOJC-SM-LC/PC-LC/PC</t>
        </is>
      </c>
      <c r="C875" s="2" t="inlineStr">
        <is>
          <t>908040284, 25M, B3, 2.0mm</t>
        </is>
      </c>
      <c r="D875" s="2" t="inlineStr">
        <is>
          <t>b3</t>
        </is>
      </c>
      <c r="E875" s="2" t="inlineStr">
        <is>
          <t>2.0mm</t>
        </is>
      </c>
      <c r="F875" s="2" t="n">
        <v>1</v>
      </c>
      <c r="G875" s="2" t="n">
        <v>25</v>
      </c>
      <c r="H875" s="2" t="inlineStr">
        <is>
          <t>LC/PC</t>
        </is>
      </c>
      <c r="I875" s="2" t="inlineStr">
        <is>
          <t>LC/PC</t>
        </is>
      </c>
      <c r="J875" s="2" t="n"/>
      <c r="K875" s="2" t="n"/>
      <c r="L875" s="2" t="n"/>
      <c r="M875" s="2" t="n"/>
      <c r="N875" s="2" t="n"/>
      <c r="O875" s="2" t="n"/>
      <c r="P875" s="2" t="n">
        <v>58</v>
      </c>
      <c r="Q875" s="2" t="n"/>
      <c r="R875" s="2" t="n"/>
      <c r="S875" s="2" t="n">
        <v>5</v>
      </c>
      <c r="T875" s="2" t="n"/>
      <c r="U875" s="2" t="n"/>
      <c r="V875" s="2">
        <f>SUM(J875:U875)*G875</f>
        <v/>
      </c>
      <c r="W875" s="2">
        <f>MAX(J875:U875)</f>
        <v/>
      </c>
      <c r="X875" s="2">
        <f>W875*G875</f>
        <v/>
      </c>
    </row>
    <row r="876">
      <c r="A876" s="2" t="inlineStr">
        <is>
          <t>A14-SB-N099</t>
        </is>
      </c>
      <c r="B876" s="3" t="inlineStr">
        <is>
          <t>SOJC-SM-LC/PC-LC/PC</t>
        </is>
      </c>
      <c r="C876" s="2" t="inlineStr">
        <is>
          <t>908040260, 3M, B3, 3.0mm</t>
        </is>
      </c>
      <c r="D876" s="2" t="inlineStr">
        <is>
          <t>b3</t>
        </is>
      </c>
      <c r="E876" s="2" t="inlineStr">
        <is>
          <t>3.0mm</t>
        </is>
      </c>
      <c r="F876" s="2" t="n">
        <v>1</v>
      </c>
      <c r="G876" s="2" t="n">
        <v>3</v>
      </c>
      <c r="H876" s="2" t="inlineStr">
        <is>
          <t>LC/PC</t>
        </is>
      </c>
      <c r="I876" s="2" t="inlineStr">
        <is>
          <t>LC/PC</t>
        </is>
      </c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>
        <v>25</v>
      </c>
      <c r="U876" s="2" t="n"/>
      <c r="V876" s="2">
        <f>SUM(J876:U876)*G876</f>
        <v/>
      </c>
      <c r="W876" s="2">
        <f>MAX(J876:U876)</f>
        <v/>
      </c>
      <c r="X876" s="2">
        <f>W876*G876</f>
        <v/>
      </c>
    </row>
    <row r="877">
      <c r="A877" s="2" t="inlineStr">
        <is>
          <t>A14-SB-N104</t>
        </is>
      </c>
      <c r="B877" s="3" t="inlineStr">
        <is>
          <t>SOJC-SM-LC/PC-LC/PC</t>
        </is>
      </c>
      <c r="C877" s="2" t="inlineStr">
        <is>
          <t>908040264, 5M, B3, 3.0mm</t>
        </is>
      </c>
      <c r="D877" s="2" t="inlineStr">
        <is>
          <t>b3</t>
        </is>
      </c>
      <c r="E877" s="2" t="inlineStr">
        <is>
          <t>3.0mm</t>
        </is>
      </c>
      <c r="F877" s="2" t="n">
        <v>1</v>
      </c>
      <c r="G877" s="2" t="n">
        <v>5</v>
      </c>
      <c r="H877" s="2" t="inlineStr">
        <is>
          <t>LC/PC</t>
        </is>
      </c>
      <c r="I877" s="2" t="inlineStr">
        <is>
          <t>LC/PC</t>
        </is>
      </c>
      <c r="J877" s="2" t="n">
        <v>20</v>
      </c>
      <c r="K877" s="2" t="n">
        <v>76</v>
      </c>
      <c r="L877" s="2" t="n"/>
      <c r="M877" s="2" t="n">
        <v>10</v>
      </c>
      <c r="N877" s="2" t="n"/>
      <c r="O877" s="2" t="n"/>
      <c r="P877" s="2" t="n">
        <v>26</v>
      </c>
      <c r="Q877" s="2" t="n">
        <v>50</v>
      </c>
      <c r="R877" s="2" t="n"/>
      <c r="S877" s="2" t="n"/>
      <c r="T877" s="2" t="n"/>
      <c r="U877" s="2" t="n"/>
      <c r="V877" s="2">
        <f>SUM(J877:U877)*G877</f>
        <v/>
      </c>
      <c r="W877" s="2">
        <f>MAX(J877:U877)</f>
        <v/>
      </c>
      <c r="X877" s="2">
        <f>W877*G877</f>
        <v/>
      </c>
    </row>
    <row r="878">
      <c r="A878" s="2" t="inlineStr">
        <is>
          <t>A14-SB-N105</t>
        </is>
      </c>
      <c r="B878" s="3" t="inlineStr">
        <is>
          <t>SOJC-SM-LC/PC-LC/PC</t>
        </is>
      </c>
      <c r="C878" s="2" t="inlineStr">
        <is>
          <t>908040265, 6M, B3, 2.0mm</t>
        </is>
      </c>
      <c r="D878" s="2" t="inlineStr">
        <is>
          <t>b3</t>
        </is>
      </c>
      <c r="E878" s="2" t="inlineStr">
        <is>
          <t>2.0mm</t>
        </is>
      </c>
      <c r="F878" s="2" t="n">
        <v>1</v>
      </c>
      <c r="G878" s="2" t="n">
        <v>6</v>
      </c>
      <c r="H878" s="2" t="inlineStr">
        <is>
          <t>LC/PC</t>
        </is>
      </c>
      <c r="I878" s="2" t="inlineStr">
        <is>
          <t>LC/PC</t>
        </is>
      </c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>
        <v>3</v>
      </c>
      <c r="U878" s="2" t="n"/>
      <c r="V878" s="2">
        <f>SUM(J878:U878)*G878</f>
        <v/>
      </c>
      <c r="W878" s="2">
        <f>MAX(J878:U878)</f>
        <v/>
      </c>
      <c r="X878" s="2">
        <f>W878*G878</f>
        <v/>
      </c>
    </row>
    <row r="879">
      <c r="A879" s="2" t="inlineStr">
        <is>
          <t>A14-SB-N106</t>
        </is>
      </c>
      <c r="B879" s="3" t="inlineStr">
        <is>
          <t>SOJC-SM-LC/PC-LC/PC</t>
        </is>
      </c>
      <c r="C879" s="2" t="inlineStr">
        <is>
          <t>908040266, 7M, B3, 2.0mm</t>
        </is>
      </c>
      <c r="D879" s="2" t="inlineStr">
        <is>
          <t>b3</t>
        </is>
      </c>
      <c r="E879" s="2" t="inlineStr">
        <is>
          <t>2.0mm</t>
        </is>
      </c>
      <c r="F879" s="2" t="n">
        <v>1</v>
      </c>
      <c r="G879" s="2" t="n">
        <v>7</v>
      </c>
      <c r="H879" s="2" t="inlineStr">
        <is>
          <t>LC/PC</t>
        </is>
      </c>
      <c r="I879" s="2" t="inlineStr">
        <is>
          <t>LC/PC</t>
        </is>
      </c>
      <c r="J879" s="2" t="n">
        <v>230</v>
      </c>
      <c r="K879" s="2" t="n">
        <v>90</v>
      </c>
      <c r="L879" s="2" t="n"/>
      <c r="M879" s="2" t="n"/>
      <c r="N879" s="2" t="n">
        <v>25</v>
      </c>
      <c r="O879" s="2" t="n"/>
      <c r="P879" s="2" t="n"/>
      <c r="Q879" s="2" t="n"/>
      <c r="R879" s="2" t="n"/>
      <c r="S879" s="2" t="n"/>
      <c r="T879" s="2" t="n"/>
      <c r="U879" s="2" t="n"/>
      <c r="V879" s="2">
        <f>SUM(J879:U879)*G879</f>
        <v/>
      </c>
      <c r="W879" s="2">
        <f>MAX(J879:U879)</f>
        <v/>
      </c>
      <c r="X879" s="2">
        <f>W879*G879</f>
        <v/>
      </c>
    </row>
    <row r="880">
      <c r="A880" s="2" t="inlineStr">
        <is>
          <t>A14-SB-N107</t>
        </is>
      </c>
      <c r="B880" s="3" t="inlineStr">
        <is>
          <t>SOJC-SM-LC/PC-LC/PC</t>
        </is>
      </c>
      <c r="C880" s="2" t="inlineStr">
        <is>
          <t>908040267, 8M, B3, 2.0mm</t>
        </is>
      </c>
      <c r="D880" s="2" t="inlineStr">
        <is>
          <t>b3</t>
        </is>
      </c>
      <c r="E880" s="2" t="inlineStr">
        <is>
          <t>2.0mm</t>
        </is>
      </c>
      <c r="F880" s="2" t="n">
        <v>1</v>
      </c>
      <c r="G880" s="2" t="n">
        <v>8</v>
      </c>
      <c r="H880" s="2" t="inlineStr">
        <is>
          <t>LC/PC</t>
        </is>
      </c>
      <c r="I880" s="2" t="inlineStr">
        <is>
          <t>LC/PC</t>
        </is>
      </c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>
        <v>80</v>
      </c>
      <c r="S880" s="2" t="n"/>
      <c r="T880" s="2" t="n"/>
      <c r="U880" s="2" t="n"/>
      <c r="V880" s="2">
        <f>SUM(J880:U880)*G880</f>
        <v/>
      </c>
      <c r="W880" s="2">
        <f>MAX(J880:U880)</f>
        <v/>
      </c>
      <c r="X880" s="2">
        <f>W880*G880</f>
        <v/>
      </c>
    </row>
    <row r="881">
      <c r="A881" s="2" t="inlineStr">
        <is>
          <t>A14-SB-N109</t>
        </is>
      </c>
      <c r="B881" s="3" t="inlineStr">
        <is>
          <t>SOJC-SM-LC/PC-LC/PC</t>
        </is>
      </c>
      <c r="C881" s="2" t="inlineStr">
        <is>
          <t>1.5M, B3, 3.0mm</t>
        </is>
      </c>
      <c r="D881" s="2" t="inlineStr">
        <is>
          <t>b3</t>
        </is>
      </c>
      <c r="E881" s="2" t="inlineStr">
        <is>
          <t>3.0mm</t>
        </is>
      </c>
      <c r="F881" s="2" t="n">
        <v>1</v>
      </c>
      <c r="G881" s="2" t="n">
        <v>1.5</v>
      </c>
      <c r="H881" s="2" t="inlineStr">
        <is>
          <t>LC/PC</t>
        </is>
      </c>
      <c r="I881" s="2" t="inlineStr">
        <is>
          <t>LC/PC</t>
        </is>
      </c>
      <c r="J881" s="2" t="n"/>
      <c r="K881" s="2" t="n"/>
      <c r="L881" s="2" t="n"/>
      <c r="M881" s="2" t="n"/>
      <c r="N881" s="2" t="n">
        <v>30</v>
      </c>
      <c r="O881" s="2" t="n"/>
      <c r="P881" s="2" t="n"/>
      <c r="Q881" s="2" t="n"/>
      <c r="R881" s="2" t="n"/>
      <c r="S881" s="2" t="n"/>
      <c r="T881" s="2" t="n"/>
      <c r="U881" s="2" t="n"/>
      <c r="V881" s="2">
        <f>SUM(J881:U881)*G881</f>
        <v/>
      </c>
      <c r="W881" s="2">
        <f>MAX(J881:U881)</f>
        <v/>
      </c>
      <c r="X881" s="2">
        <f>W881*G881</f>
        <v/>
      </c>
    </row>
    <row r="882">
      <c r="A882" s="2" t="inlineStr">
        <is>
          <t>A14-SB-N110</t>
        </is>
      </c>
      <c r="B882" s="3" t="inlineStr">
        <is>
          <t>SOJC-SM-LC/PC-SC/PC</t>
        </is>
      </c>
      <c r="C882" s="2" t="inlineStr">
        <is>
          <t>1.5M, B3, 3.0mm</t>
        </is>
      </c>
      <c r="D882" s="2" t="inlineStr">
        <is>
          <t>b3</t>
        </is>
      </c>
      <c r="E882" s="2" t="inlineStr">
        <is>
          <t>3.0mm</t>
        </is>
      </c>
      <c r="F882" s="2" t="n">
        <v>1</v>
      </c>
      <c r="G882" s="2" t="n">
        <v>1.5</v>
      </c>
      <c r="H882" s="2" t="inlineStr">
        <is>
          <t>LC/PC</t>
        </is>
      </c>
      <c r="I882" s="2" t="inlineStr">
        <is>
          <t>SC/PC</t>
        </is>
      </c>
      <c r="J882" s="2" t="n"/>
      <c r="K882" s="2" t="n"/>
      <c r="L882" s="2" t="n"/>
      <c r="M882" s="2" t="n"/>
      <c r="N882" s="2" t="n"/>
      <c r="O882" s="2" t="n"/>
      <c r="P882" s="2" t="n">
        <v>20</v>
      </c>
      <c r="Q882" s="2" t="n"/>
      <c r="R882" s="2" t="n"/>
      <c r="S882" s="2" t="n"/>
      <c r="T882" s="2" t="n"/>
      <c r="U882" s="2" t="n"/>
      <c r="V882" s="2">
        <f>SUM(J882:U882)*G882</f>
        <v/>
      </c>
      <c r="W882" s="2">
        <f>MAX(J882:U882)</f>
        <v/>
      </c>
      <c r="X882" s="2">
        <f>W882*G882</f>
        <v/>
      </c>
    </row>
    <row r="883">
      <c r="A883" s="2" t="inlineStr">
        <is>
          <t>A14-SB-N111</t>
        </is>
      </c>
      <c r="B883" s="3" t="inlineStr">
        <is>
          <t>SOJC-SM-LC/PC-SC/APC</t>
        </is>
      </c>
      <c r="C883" s="2" t="inlineStr">
        <is>
          <t>920000744, 10M, B3, 2.0mm</t>
        </is>
      </c>
      <c r="D883" s="2" t="inlineStr">
        <is>
          <t>b3</t>
        </is>
      </c>
      <c r="E883" s="2" t="inlineStr">
        <is>
          <t>2.0mm</t>
        </is>
      </c>
      <c r="F883" s="2" t="n">
        <v>1</v>
      </c>
      <c r="G883" s="2" t="n">
        <v>10</v>
      </c>
      <c r="H883" s="2" t="inlineStr">
        <is>
          <t>LC/PC</t>
        </is>
      </c>
      <c r="I883" s="2" t="inlineStr">
        <is>
          <t>SC/APC</t>
        </is>
      </c>
      <c r="J883" s="2" t="n"/>
      <c r="K883" s="2" t="n"/>
      <c r="L883" s="2" t="n">
        <v>21</v>
      </c>
      <c r="M883" s="2" t="n"/>
      <c r="N883" s="2" t="n">
        <v>10</v>
      </c>
      <c r="O883" s="2" t="n"/>
      <c r="P883" s="2" t="n"/>
      <c r="Q883" s="2" t="n"/>
      <c r="R883" s="2" t="n"/>
      <c r="S883" s="2" t="n"/>
      <c r="T883" s="2" t="n"/>
      <c r="U883" s="2" t="n"/>
      <c r="V883" s="2">
        <f>SUM(J883:U883)*G883</f>
        <v/>
      </c>
      <c r="W883" s="2">
        <f>MAX(J883:U883)</f>
        <v/>
      </c>
      <c r="X883" s="2">
        <f>W883*G883</f>
        <v/>
      </c>
    </row>
    <row r="884">
      <c r="A884" s="2" t="inlineStr">
        <is>
          <t>A14-SB-N114</t>
        </is>
      </c>
      <c r="B884" s="3" t="inlineStr">
        <is>
          <t>SOJC-SM-LC/PC-SC/APC</t>
        </is>
      </c>
      <c r="C884" s="2" t="inlineStr">
        <is>
          <t>920000749, 15M, B3, 2.0mm</t>
        </is>
      </c>
      <c r="D884" s="2" t="inlineStr">
        <is>
          <t>b3</t>
        </is>
      </c>
      <c r="E884" s="2" t="inlineStr">
        <is>
          <t>2.0mm</t>
        </is>
      </c>
      <c r="F884" s="2" t="n">
        <v>1</v>
      </c>
      <c r="G884" s="2" t="n">
        <v>15</v>
      </c>
      <c r="H884" s="2" t="inlineStr">
        <is>
          <t>LC/PC</t>
        </is>
      </c>
      <c r="I884" s="2" t="inlineStr">
        <is>
          <t>SC/APC</t>
        </is>
      </c>
      <c r="J884" s="2" t="n"/>
      <c r="K884" s="2" t="n"/>
      <c r="L884" s="2" t="n"/>
      <c r="M884" s="2" t="n"/>
      <c r="N884" s="2" t="n">
        <v>20</v>
      </c>
      <c r="O884" s="2" t="n">
        <v>10</v>
      </c>
      <c r="P884" s="2" t="n">
        <v>40</v>
      </c>
      <c r="Q884" s="2" t="n"/>
      <c r="R884" s="2" t="n"/>
      <c r="S884" s="2" t="n">
        <v>20</v>
      </c>
      <c r="T884" s="2" t="n">
        <v>30</v>
      </c>
      <c r="U884" s="2" t="n">
        <v>60</v>
      </c>
      <c r="V884" s="2">
        <f>SUM(J884:U884)*G884</f>
        <v/>
      </c>
      <c r="W884" s="2">
        <f>MAX(J884:U884)</f>
        <v/>
      </c>
      <c r="X884" s="2">
        <f>W884*G884</f>
        <v/>
      </c>
    </row>
    <row r="885">
      <c r="A885" s="2" t="inlineStr">
        <is>
          <t>A14-SB-N117</t>
        </is>
      </c>
      <c r="B885" s="3" t="inlineStr">
        <is>
          <t>SOJC-SM-LC/PC-SC/APC</t>
        </is>
      </c>
      <c r="C885" s="2" t="inlineStr">
        <is>
          <t>920000754, 20M, B3, 2.0mm</t>
        </is>
      </c>
      <c r="D885" s="2" t="inlineStr">
        <is>
          <t>b3</t>
        </is>
      </c>
      <c r="E885" s="2" t="inlineStr">
        <is>
          <t>2.0mm</t>
        </is>
      </c>
      <c r="F885" s="2" t="n">
        <v>1</v>
      </c>
      <c r="G885" s="2" t="n">
        <v>20</v>
      </c>
      <c r="H885" s="2" t="inlineStr">
        <is>
          <t>LC/PC</t>
        </is>
      </c>
      <c r="I885" s="2" t="inlineStr">
        <is>
          <t>SC/APC</t>
        </is>
      </c>
      <c r="J885" s="2" t="n"/>
      <c r="K885" s="2" t="n"/>
      <c r="L885" s="2" t="n">
        <v>1</v>
      </c>
      <c r="M885" s="2" t="n">
        <v>20</v>
      </c>
      <c r="N885" s="2" t="n">
        <v>10</v>
      </c>
      <c r="O885" s="2" t="n"/>
      <c r="P885" s="2" t="n">
        <v>20</v>
      </c>
      <c r="Q885" s="2" t="n"/>
      <c r="R885" s="2" t="n"/>
      <c r="S885" s="2" t="n">
        <v>5</v>
      </c>
      <c r="T885" s="2" t="n">
        <v>10</v>
      </c>
      <c r="U885" s="2" t="n"/>
      <c r="V885" s="2">
        <f>SUM(J885:U885)*G885</f>
        <v/>
      </c>
      <c r="W885" s="2">
        <f>MAX(J885:U885)</f>
        <v/>
      </c>
      <c r="X885" s="2">
        <f>W885*G885</f>
        <v/>
      </c>
    </row>
    <row r="886">
      <c r="A886" s="2" t="inlineStr">
        <is>
          <t>A14-SB-N120</t>
        </is>
      </c>
      <c r="B886" s="3" t="inlineStr">
        <is>
          <t>SOJC-SM-LC/PC-SC/APC</t>
        </is>
      </c>
      <c r="C886" s="2" t="inlineStr">
        <is>
          <t>920000764, 30M, B3, 2.0mm</t>
        </is>
      </c>
      <c r="D886" s="2" t="inlineStr">
        <is>
          <t>b3</t>
        </is>
      </c>
      <c r="E886" s="2" t="inlineStr">
        <is>
          <t>2.0mm</t>
        </is>
      </c>
      <c r="F886" s="2" t="n">
        <v>1</v>
      </c>
      <c r="G886" s="2" t="n">
        <v>30</v>
      </c>
      <c r="H886" s="2" t="inlineStr">
        <is>
          <t>LC/PC</t>
        </is>
      </c>
      <c r="I886" s="2" t="inlineStr">
        <is>
          <t>SC/APC</t>
        </is>
      </c>
      <c r="J886" s="2" t="n"/>
      <c r="K886" s="2" t="n"/>
      <c r="L886" s="2" t="n">
        <v>57</v>
      </c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>
        <f>SUM(J886:U886)*G886</f>
        <v/>
      </c>
      <c r="W886" s="2">
        <f>MAX(J886:U886)</f>
        <v/>
      </c>
      <c r="X886" s="2">
        <f>W886*G886</f>
        <v/>
      </c>
    </row>
    <row r="887">
      <c r="A887" s="2" t="inlineStr">
        <is>
          <t>A14-SB-N130</t>
        </is>
      </c>
      <c r="B887" s="3" t="inlineStr">
        <is>
          <t>SOJC-SM-LC/PC-SC/PC</t>
        </is>
      </c>
      <c r="C887" s="2" t="inlineStr">
        <is>
          <t>908040170, 10M, B3, 2.0mm</t>
        </is>
      </c>
      <c r="D887" s="2" t="inlineStr">
        <is>
          <t>b3</t>
        </is>
      </c>
      <c r="E887" s="2" t="inlineStr">
        <is>
          <t>2.0mm</t>
        </is>
      </c>
      <c r="F887" s="2" t="n">
        <v>1</v>
      </c>
      <c r="G887" s="2" t="n">
        <v>10</v>
      </c>
      <c r="H887" s="2" t="inlineStr">
        <is>
          <t>LC/PC</t>
        </is>
      </c>
      <c r="I887" s="2" t="inlineStr">
        <is>
          <t>SC/PC</t>
        </is>
      </c>
      <c r="J887" s="2" t="n">
        <v>500</v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>
        <v>28</v>
      </c>
      <c r="V887" s="2">
        <f>SUM(J887:U887)*G887</f>
        <v/>
      </c>
      <c r="W887" s="2">
        <f>MAX(J887:U887)</f>
        <v/>
      </c>
      <c r="X887" s="2">
        <f>W887*G887</f>
        <v/>
      </c>
    </row>
    <row r="888">
      <c r="A888" s="2" t="inlineStr">
        <is>
          <t>A14-SB-N132</t>
        </is>
      </c>
      <c r="B888" s="3" t="inlineStr">
        <is>
          <t>SOJC-SM-LC/PC-SC/PC</t>
        </is>
      </c>
      <c r="C888" s="2" t="inlineStr">
        <is>
          <t>12M, B3, 2.0mm</t>
        </is>
      </c>
      <c r="D888" s="2" t="inlineStr">
        <is>
          <t>b3</t>
        </is>
      </c>
      <c r="E888" s="2" t="inlineStr">
        <is>
          <t>2.0mm</t>
        </is>
      </c>
      <c r="F888" s="2" t="n">
        <v>1</v>
      </c>
      <c r="G888" s="2" t="n">
        <v>12</v>
      </c>
      <c r="H888" s="2" t="inlineStr">
        <is>
          <t>LC/PC</t>
        </is>
      </c>
      <c r="I888" s="2" t="inlineStr">
        <is>
          <t>SC/PC</t>
        </is>
      </c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>
        <v>10</v>
      </c>
      <c r="S888" s="2" t="n"/>
      <c r="T888" s="2" t="n"/>
      <c r="U888" s="2" t="n"/>
      <c r="V888" s="2">
        <f>SUM(J888:U888)*G888</f>
        <v/>
      </c>
      <c r="W888" s="2">
        <f>MAX(J888:U888)</f>
        <v/>
      </c>
      <c r="X888" s="2">
        <f>W888*G888</f>
        <v/>
      </c>
    </row>
    <row r="889">
      <c r="A889" s="2" t="inlineStr">
        <is>
          <t>A14-SB-N134</t>
        </is>
      </c>
      <c r="B889" s="3" t="inlineStr">
        <is>
          <t>SOJC-SM-LC/PC-SC/PC</t>
        </is>
      </c>
      <c r="C889" s="2" t="inlineStr">
        <is>
          <t>15M, B3, 2.0mm</t>
        </is>
      </c>
      <c r="D889" s="2" t="inlineStr">
        <is>
          <t>b3</t>
        </is>
      </c>
      <c r="E889" s="2" t="inlineStr">
        <is>
          <t>2.0mm</t>
        </is>
      </c>
      <c r="F889" s="2" t="n">
        <v>1</v>
      </c>
      <c r="G889" s="2" t="n">
        <v>15</v>
      </c>
      <c r="H889" s="2" t="inlineStr">
        <is>
          <t>LC/PC</t>
        </is>
      </c>
      <c r="I889" s="2" t="inlineStr">
        <is>
          <t>SC/PC</t>
        </is>
      </c>
      <c r="J889" s="2" t="n">
        <v>500</v>
      </c>
      <c r="K889" s="2" t="n"/>
      <c r="L889" s="2" t="n"/>
      <c r="M889" s="2" t="n"/>
      <c r="N889" s="2" t="n"/>
      <c r="O889" s="2" t="n"/>
      <c r="P889" s="2" t="n">
        <v>150</v>
      </c>
      <c r="Q889" s="2" t="n"/>
      <c r="R889" s="2" t="n"/>
      <c r="S889" s="2" t="n"/>
      <c r="T889" s="2" t="n"/>
      <c r="U889" s="2" t="n"/>
      <c r="V889" s="2">
        <f>SUM(J889:U889)*G889</f>
        <v/>
      </c>
      <c r="W889" s="2">
        <f>MAX(J889:U889)</f>
        <v/>
      </c>
      <c r="X889" s="2">
        <f>W889*G889</f>
        <v/>
      </c>
    </row>
    <row r="890">
      <c r="A890" s="2" t="inlineStr">
        <is>
          <t>A14-SB-N138</t>
        </is>
      </c>
      <c r="B890" s="3" t="inlineStr">
        <is>
          <t>SOJC-SM-LC/PC-SC/PC</t>
        </is>
      </c>
      <c r="C890" s="2" t="inlineStr">
        <is>
          <t>908040162, 1M, B3, 3.0mm</t>
        </is>
      </c>
      <c r="D890" s="2" t="inlineStr">
        <is>
          <t>b3</t>
        </is>
      </c>
      <c r="E890" s="2" t="inlineStr">
        <is>
          <t>3.0mm</t>
        </is>
      </c>
      <c r="F890" s="2" t="n">
        <v>1</v>
      </c>
      <c r="G890" s="2" t="n">
        <v>1</v>
      </c>
      <c r="H890" s="2" t="inlineStr">
        <is>
          <t>LC/PC</t>
        </is>
      </c>
      <c r="I890" s="2" t="inlineStr">
        <is>
          <t>SC/PC</t>
        </is>
      </c>
      <c r="J890" s="2" t="n">
        <v>70</v>
      </c>
      <c r="K890" s="2" t="n">
        <v>115</v>
      </c>
      <c r="L890" s="2" t="n">
        <v>111</v>
      </c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>
        <f>SUM(J890:U890)*G890</f>
        <v/>
      </c>
      <c r="W890" s="2">
        <f>MAX(J890:U890)</f>
        <v/>
      </c>
      <c r="X890" s="2">
        <f>W890*G890</f>
        <v/>
      </c>
    </row>
    <row r="891">
      <c r="A891" s="2" t="inlineStr">
        <is>
          <t>A14-SB-N139</t>
        </is>
      </c>
      <c r="B891" s="3" t="inlineStr">
        <is>
          <t>SOJC-SM-LC/PC-SC/PC</t>
        </is>
      </c>
      <c r="C891" s="2" t="inlineStr">
        <is>
          <t>908040180, 20M, B3, 2.0mm</t>
        </is>
      </c>
      <c r="D891" s="2" t="inlineStr">
        <is>
          <t>b3</t>
        </is>
      </c>
      <c r="E891" s="2" t="inlineStr">
        <is>
          <t>2.0mm</t>
        </is>
      </c>
      <c r="F891" s="2" t="n">
        <v>1</v>
      </c>
      <c r="G891" s="2" t="n">
        <v>20</v>
      </c>
      <c r="H891" s="2" t="inlineStr">
        <is>
          <t>LC/PC</t>
        </is>
      </c>
      <c r="I891" s="2" t="inlineStr">
        <is>
          <t>SC/PC</t>
        </is>
      </c>
      <c r="J891" s="2" t="n"/>
      <c r="K891" s="2" t="n"/>
      <c r="L891" s="2" t="n"/>
      <c r="M891" s="2" t="n"/>
      <c r="N891" s="2" t="n"/>
      <c r="O891" s="2" t="n">
        <v>30</v>
      </c>
      <c r="P891" s="2" t="n">
        <v>10</v>
      </c>
      <c r="Q891" s="2" t="n"/>
      <c r="R891" s="2" t="n"/>
      <c r="S891" s="2" t="n">
        <v>29</v>
      </c>
      <c r="T891" s="2" t="n"/>
      <c r="U891" s="2" t="n"/>
      <c r="V891" s="2">
        <f>SUM(J891:U891)*G891</f>
        <v/>
      </c>
      <c r="W891" s="2">
        <f>MAX(J891:U891)</f>
        <v/>
      </c>
      <c r="X891" s="2">
        <f>W891*G891</f>
        <v/>
      </c>
    </row>
    <row r="892">
      <c r="A892" s="2" t="inlineStr">
        <is>
          <t>A14-SB-N141</t>
        </is>
      </c>
      <c r="B892" s="3" t="inlineStr">
        <is>
          <t>SOJC-SM-LC/PC-SC/PC</t>
        </is>
      </c>
      <c r="C892" s="2" t="inlineStr">
        <is>
          <t>908040185, 25M, B3, 2.0mm</t>
        </is>
      </c>
      <c r="D892" s="2" t="inlineStr">
        <is>
          <t>b3</t>
        </is>
      </c>
      <c r="E892" s="2" t="inlineStr">
        <is>
          <t>2.0mm</t>
        </is>
      </c>
      <c r="F892" s="2" t="n">
        <v>1</v>
      </c>
      <c r="G892" s="2" t="n">
        <v>25</v>
      </c>
      <c r="H892" s="2" t="inlineStr">
        <is>
          <t>LC/PC</t>
        </is>
      </c>
      <c r="I892" s="2" t="inlineStr">
        <is>
          <t>SC/PC</t>
        </is>
      </c>
      <c r="J892" s="2" t="n">
        <v>1</v>
      </c>
      <c r="K892" s="2" t="n">
        <v>5</v>
      </c>
      <c r="L892" s="2" t="n">
        <v>12</v>
      </c>
      <c r="M892" s="2" t="n"/>
      <c r="N892" s="2" t="n">
        <v>50</v>
      </c>
      <c r="O892" s="2" t="n">
        <v>40</v>
      </c>
      <c r="P892" s="2" t="n">
        <v>55</v>
      </c>
      <c r="Q892" s="2" t="n"/>
      <c r="R892" s="2" t="n">
        <v>12</v>
      </c>
      <c r="S892" s="2" t="n">
        <v>18</v>
      </c>
      <c r="T892" s="2" t="n">
        <v>40</v>
      </c>
      <c r="U892" s="2" t="n">
        <v>10</v>
      </c>
      <c r="V892" s="2">
        <f>SUM(J892:U892)*G892</f>
        <v/>
      </c>
      <c r="W892" s="2">
        <f>MAX(J892:U892)</f>
        <v/>
      </c>
      <c r="X892" s="2">
        <f>W892*G892</f>
        <v/>
      </c>
    </row>
    <row r="893">
      <c r="A893" s="2" t="inlineStr">
        <is>
          <t>A14-SB-N143</t>
        </is>
      </c>
      <c r="B893" s="3" t="inlineStr">
        <is>
          <t>SOJC-SM-LC/PC-SC/PC</t>
        </is>
      </c>
      <c r="C893" s="2" t="inlineStr">
        <is>
          <t>908040163, 2M, B3, 3.0mm</t>
        </is>
      </c>
      <c r="D893" s="2" t="inlineStr">
        <is>
          <t>b3</t>
        </is>
      </c>
      <c r="E893" s="2" t="inlineStr">
        <is>
          <t>3.0mm</t>
        </is>
      </c>
      <c r="F893" s="2" t="n">
        <v>1</v>
      </c>
      <c r="G893" s="2" t="n">
        <v>2</v>
      </c>
      <c r="H893" s="2" t="inlineStr">
        <is>
          <t>LC/PC</t>
        </is>
      </c>
      <c r="I893" s="2" t="inlineStr">
        <is>
          <t>SC/PC</t>
        </is>
      </c>
      <c r="J893" s="2" t="n"/>
      <c r="K893" s="2" t="n">
        <v>113</v>
      </c>
      <c r="L893" s="2" t="n">
        <v>10</v>
      </c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>
        <f>SUM(J893:U893)*G893</f>
        <v/>
      </c>
      <c r="W893" s="2">
        <f>MAX(J893:U893)</f>
        <v/>
      </c>
      <c r="X893" s="2">
        <f>W893*G893</f>
        <v/>
      </c>
    </row>
    <row r="894">
      <c r="A894" s="2" t="inlineStr">
        <is>
          <t>A14-SB-N144</t>
        </is>
      </c>
      <c r="B894" s="3" t="inlineStr">
        <is>
          <t>SOJC-SM-LC/PC-SC/PC</t>
        </is>
      </c>
      <c r="C894" s="2" t="inlineStr">
        <is>
          <t>908040190, 30M, B3, 2.0mm</t>
        </is>
      </c>
      <c r="D894" s="2" t="inlineStr">
        <is>
          <t>b3</t>
        </is>
      </c>
      <c r="E894" s="2" t="inlineStr">
        <is>
          <t>2.0mm</t>
        </is>
      </c>
      <c r="F894" s="2" t="n">
        <v>1</v>
      </c>
      <c r="G894" s="2" t="n">
        <v>30</v>
      </c>
      <c r="H894" s="2" t="inlineStr">
        <is>
          <t>LC/PC</t>
        </is>
      </c>
      <c r="I894" s="2" t="inlineStr">
        <is>
          <t>SC/PC</t>
        </is>
      </c>
      <c r="J894" s="2" t="n"/>
      <c r="K894" s="2" t="n"/>
      <c r="L894" s="2" t="n"/>
      <c r="M894" s="2" t="n"/>
      <c r="N894" s="2" t="n">
        <v>20</v>
      </c>
      <c r="O894" s="2" t="n">
        <v>1</v>
      </c>
      <c r="P894" s="2" t="n">
        <v>10</v>
      </c>
      <c r="Q894" s="2" t="n">
        <v>10</v>
      </c>
      <c r="R894" s="2" t="n">
        <v>10</v>
      </c>
      <c r="S894" s="2" t="n">
        <v>1</v>
      </c>
      <c r="T894" s="2" t="n"/>
      <c r="U894" s="2" t="n"/>
      <c r="V894" s="2">
        <f>SUM(J894:U894)*G894</f>
        <v/>
      </c>
      <c r="W894" s="2">
        <f>MAX(J894:U894)</f>
        <v/>
      </c>
      <c r="X894" s="2">
        <f>W894*G894</f>
        <v/>
      </c>
    </row>
    <row r="895">
      <c r="A895" s="2" t="inlineStr">
        <is>
          <t>A14-SB-N146</t>
        </is>
      </c>
      <c r="B895" s="3" t="inlineStr">
        <is>
          <t>SOJC-SM-LC/PC-SC/PC</t>
        </is>
      </c>
      <c r="C895" s="2" t="inlineStr">
        <is>
          <t>908040161, 3M, B3, 3.0mm</t>
        </is>
      </c>
      <c r="D895" s="2" t="inlineStr">
        <is>
          <t>b3</t>
        </is>
      </c>
      <c r="E895" s="2" t="inlineStr">
        <is>
          <t>3.0mm</t>
        </is>
      </c>
      <c r="F895" s="2" t="n">
        <v>1</v>
      </c>
      <c r="G895" s="2" t="n">
        <v>3</v>
      </c>
      <c r="H895" s="2" t="inlineStr">
        <is>
          <t>LC/PC</t>
        </is>
      </c>
      <c r="I895" s="2" t="inlineStr">
        <is>
          <t>SC/PC</t>
        </is>
      </c>
      <c r="J895" s="2" t="n"/>
      <c r="K895" s="2" t="n">
        <v>16</v>
      </c>
      <c r="L895" s="2" t="n">
        <v>50</v>
      </c>
      <c r="M895" s="2" t="n"/>
      <c r="N895" s="2" t="n"/>
      <c r="O895" s="2" t="n"/>
      <c r="P895" s="2" t="n"/>
      <c r="Q895" s="2" t="n"/>
      <c r="R895" s="2" t="n"/>
      <c r="S895" s="2" t="n"/>
      <c r="T895" s="2" t="n">
        <v>30</v>
      </c>
      <c r="U895" s="2" t="n"/>
      <c r="V895" s="2">
        <f>SUM(J895:U895)*G895</f>
        <v/>
      </c>
      <c r="W895" s="2">
        <f>MAX(J895:U895)</f>
        <v/>
      </c>
      <c r="X895" s="2">
        <f>W895*G895</f>
        <v/>
      </c>
    </row>
    <row r="896">
      <c r="A896" s="2" t="inlineStr">
        <is>
          <t>A14-SB-N148</t>
        </is>
      </c>
      <c r="B896" s="3" t="inlineStr">
        <is>
          <t>SOJC-SM-LC/PC-SC/PC</t>
        </is>
      </c>
      <c r="C896" s="2" t="inlineStr">
        <is>
          <t>908040165, 5M, B3, 3.0mm</t>
        </is>
      </c>
      <c r="D896" s="2" t="inlineStr">
        <is>
          <t>b3</t>
        </is>
      </c>
      <c r="E896" s="2" t="inlineStr">
        <is>
          <t>3.0mm</t>
        </is>
      </c>
      <c r="F896" s="2" t="n">
        <v>1</v>
      </c>
      <c r="G896" s="2" t="n">
        <v>5</v>
      </c>
      <c r="H896" s="2" t="inlineStr">
        <is>
          <t>LC/PC</t>
        </is>
      </c>
      <c r="I896" s="2" t="inlineStr">
        <is>
          <t>SC/PC</t>
        </is>
      </c>
      <c r="J896" s="2" t="n"/>
      <c r="K896" s="2" t="n">
        <v>152</v>
      </c>
      <c r="L896" s="2" t="n"/>
      <c r="M896" s="2" t="n">
        <v>20</v>
      </c>
      <c r="N896" s="2" t="n">
        <v>10</v>
      </c>
      <c r="O896" s="2" t="n"/>
      <c r="P896" s="2" t="n"/>
      <c r="Q896" s="2" t="n"/>
      <c r="R896" s="2" t="n"/>
      <c r="S896" s="2" t="n">
        <v>60</v>
      </c>
      <c r="T896" s="2" t="n"/>
      <c r="U896" s="2" t="n"/>
      <c r="V896" s="2">
        <f>SUM(J896:U896)*G896</f>
        <v/>
      </c>
      <c r="W896" s="2">
        <f>MAX(J896:U896)</f>
        <v/>
      </c>
      <c r="X896" s="2">
        <f>W896*G896</f>
        <v/>
      </c>
    </row>
    <row r="897">
      <c r="A897" s="2" t="inlineStr">
        <is>
          <t>A14-SB-N149</t>
        </is>
      </c>
      <c r="B897" s="3" t="inlineStr">
        <is>
          <t>SOJC-SM-LC/PC-SC/PC</t>
        </is>
      </c>
      <c r="C897" s="2" t="inlineStr">
        <is>
          <t>908040166, 6M, B3, 2.0mm</t>
        </is>
      </c>
      <c r="D897" s="2" t="inlineStr">
        <is>
          <t>b3</t>
        </is>
      </c>
      <c r="E897" s="2" t="inlineStr">
        <is>
          <t>2.0mm</t>
        </is>
      </c>
      <c r="F897" s="2" t="n">
        <v>1</v>
      </c>
      <c r="G897" s="2" t="n">
        <v>6</v>
      </c>
      <c r="H897" s="2" t="inlineStr">
        <is>
          <t>LC/PC</t>
        </is>
      </c>
      <c r="I897" s="2" t="inlineStr">
        <is>
          <t>SC/PC</t>
        </is>
      </c>
      <c r="J897" s="2" t="n"/>
      <c r="K897" s="2" t="n"/>
      <c r="L897" s="2" t="n"/>
      <c r="M897" s="2" t="n"/>
      <c r="N897" s="2" t="n"/>
      <c r="O897" s="2" t="n"/>
      <c r="P897" s="2" t="n">
        <v>20</v>
      </c>
      <c r="Q897" s="2" t="n"/>
      <c r="R897" s="2" t="n">
        <v>3</v>
      </c>
      <c r="S897" s="2" t="n"/>
      <c r="T897" s="2" t="n">
        <v>5</v>
      </c>
      <c r="U897" s="2" t="n"/>
      <c r="V897" s="2">
        <f>SUM(J897:U897)*G897</f>
        <v/>
      </c>
      <c r="W897" s="2">
        <f>MAX(J897:U897)</f>
        <v/>
      </c>
      <c r="X897" s="2">
        <f>W897*G897</f>
        <v/>
      </c>
    </row>
    <row r="898">
      <c r="A898" s="2" t="inlineStr">
        <is>
          <t>A14-SB-N151</t>
        </is>
      </c>
      <c r="B898" s="3" t="inlineStr">
        <is>
          <t>SOJC-SM-LC/PC-SC/PC</t>
        </is>
      </c>
      <c r="C898" s="2" t="inlineStr">
        <is>
          <t>908040167, 7M, B3, 2.0mm</t>
        </is>
      </c>
      <c r="D898" s="2" t="inlineStr">
        <is>
          <t>b3</t>
        </is>
      </c>
      <c r="E898" s="2" t="inlineStr">
        <is>
          <t>2.0mm</t>
        </is>
      </c>
      <c r="F898" s="2" t="n">
        <v>1</v>
      </c>
      <c r="G898" s="2" t="n">
        <v>7</v>
      </c>
      <c r="H898" s="2" t="inlineStr">
        <is>
          <t>LC/PC</t>
        </is>
      </c>
      <c r="I898" s="2" t="inlineStr">
        <is>
          <t>SC/PC</t>
        </is>
      </c>
      <c r="J898" s="2" t="n"/>
      <c r="K898" s="2" t="n"/>
      <c r="L898" s="2" t="n"/>
      <c r="M898" s="2" t="n">
        <v>50</v>
      </c>
      <c r="N898" s="2" t="n">
        <v>20</v>
      </c>
      <c r="O898" s="2" t="n"/>
      <c r="P898" s="2" t="n">
        <v>20</v>
      </c>
      <c r="Q898" s="2" t="n"/>
      <c r="R898" s="2" t="n">
        <v>10</v>
      </c>
      <c r="S898" s="2" t="n">
        <v>20</v>
      </c>
      <c r="T898" s="2" t="n"/>
      <c r="U898" s="2" t="n"/>
      <c r="V898" s="2">
        <f>SUM(J898:U898)*G898</f>
        <v/>
      </c>
      <c r="W898" s="2">
        <f>MAX(J898:U898)</f>
        <v/>
      </c>
      <c r="X898" s="2">
        <f>W898*G898</f>
        <v/>
      </c>
    </row>
    <row r="899">
      <c r="A899" s="2" t="inlineStr">
        <is>
          <t>A14-SB-N152</t>
        </is>
      </c>
      <c r="B899" s="3" t="inlineStr">
        <is>
          <t>SOJC-SM-LC/PC-SC/PC</t>
        </is>
      </c>
      <c r="C899" s="2" t="inlineStr">
        <is>
          <t>908040168, 8M, B3, 2.0mm</t>
        </is>
      </c>
      <c r="D899" s="2" t="inlineStr">
        <is>
          <t>b3</t>
        </is>
      </c>
      <c r="E899" s="2" t="inlineStr">
        <is>
          <t>2.0mm</t>
        </is>
      </c>
      <c r="F899" s="2" t="n">
        <v>1</v>
      </c>
      <c r="G899" s="2" t="n">
        <v>8</v>
      </c>
      <c r="H899" s="2" t="inlineStr">
        <is>
          <t>LC/PC</t>
        </is>
      </c>
      <c r="I899" s="2" t="inlineStr">
        <is>
          <t>SC/PC</t>
        </is>
      </c>
      <c r="J899" s="2" t="n">
        <v>20</v>
      </c>
      <c r="K899" s="2" t="n"/>
      <c r="L899" s="2" t="n"/>
      <c r="M899" s="2" t="n"/>
      <c r="N899" s="2" t="n"/>
      <c r="O899" s="2" t="n"/>
      <c r="P899" s="2" t="n"/>
      <c r="Q899" s="2" t="n">
        <v>50</v>
      </c>
      <c r="R899" s="2" t="n">
        <v>40</v>
      </c>
      <c r="S899" s="2" t="n"/>
      <c r="T899" s="2" t="n">
        <v>28</v>
      </c>
      <c r="U899" s="2" t="n"/>
      <c r="V899" s="2">
        <f>SUM(J899:U899)*G899</f>
        <v/>
      </c>
      <c r="W899" s="2">
        <f>MAX(J899:U899)</f>
        <v/>
      </c>
      <c r="X899" s="2">
        <f>W899*G899</f>
        <v/>
      </c>
    </row>
    <row r="900">
      <c r="A900" s="2" t="inlineStr">
        <is>
          <t>A14-SB-N176</t>
        </is>
      </c>
      <c r="B900" s="3" t="inlineStr">
        <is>
          <t>SOJC-SM-SC/APC-SC/APC</t>
        </is>
      </c>
      <c r="C900" s="2" t="inlineStr">
        <is>
          <t>908041459, 10M, B3, 2.0mm</t>
        </is>
      </c>
      <c r="D900" s="2" t="inlineStr">
        <is>
          <t>b3</t>
        </is>
      </c>
      <c r="E900" s="2" t="inlineStr">
        <is>
          <t>2.0mm</t>
        </is>
      </c>
      <c r="F900" s="2" t="n">
        <v>1</v>
      </c>
      <c r="G900" s="2" t="n">
        <v>10</v>
      </c>
      <c r="H900" s="2" t="inlineStr">
        <is>
          <t>SC/APC</t>
        </is>
      </c>
      <c r="I900" s="2" t="inlineStr">
        <is>
          <t>SC/APC</t>
        </is>
      </c>
      <c r="J900" s="2" t="n"/>
      <c r="K900" s="2" t="n"/>
      <c r="L900" s="2" t="n"/>
      <c r="M900" s="2" t="n"/>
      <c r="N900" s="2" t="n">
        <v>50</v>
      </c>
      <c r="O900" s="2" t="n"/>
      <c r="P900" s="2" t="n">
        <v>50</v>
      </c>
      <c r="Q900" s="2" t="n"/>
      <c r="R900" s="2" t="n">
        <v>90</v>
      </c>
      <c r="S900" s="2" t="n"/>
      <c r="T900" s="2" t="n">
        <v>118</v>
      </c>
      <c r="U900" s="2" t="n">
        <v>45</v>
      </c>
      <c r="V900" s="2">
        <f>SUM(J900:U900)*G900</f>
        <v/>
      </c>
      <c r="W900" s="2">
        <f>MAX(J900:U900)</f>
        <v/>
      </c>
      <c r="X900" s="2">
        <f>W900*G900</f>
        <v/>
      </c>
    </row>
    <row r="901">
      <c r="A901" s="2" t="inlineStr">
        <is>
          <t>A14-SB-N177</t>
        </is>
      </c>
      <c r="B901" s="3" t="inlineStr">
        <is>
          <t>SOJC-SM-SC/APC-SC/APC</t>
        </is>
      </c>
      <c r="C901" s="2" t="inlineStr">
        <is>
          <t>12M, B3, 2.0mm</t>
        </is>
      </c>
      <c r="D901" s="2" t="inlineStr">
        <is>
          <t>b3</t>
        </is>
      </c>
      <c r="E901" s="2" t="inlineStr">
        <is>
          <t>2.0mm</t>
        </is>
      </c>
      <c r="F901" s="2" t="n">
        <v>1</v>
      </c>
      <c r="G901" s="2" t="n">
        <v>12</v>
      </c>
      <c r="H901" s="2" t="inlineStr">
        <is>
          <t>SC/APC</t>
        </is>
      </c>
      <c r="I901" s="2" t="inlineStr">
        <is>
          <t>SC/APC</t>
        </is>
      </c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>
        <v>12</v>
      </c>
      <c r="S901" s="2" t="n"/>
      <c r="T901" s="2" t="n"/>
      <c r="U901" s="2" t="n"/>
      <c r="V901" s="2">
        <f>SUM(J901:U901)*G901</f>
        <v/>
      </c>
      <c r="W901" s="2">
        <f>MAX(J901:U901)</f>
        <v/>
      </c>
      <c r="X901" s="2">
        <f>W901*G901</f>
        <v/>
      </c>
    </row>
    <row r="902">
      <c r="A902" s="2" t="inlineStr">
        <is>
          <t>A14-SB-N179</t>
        </is>
      </c>
      <c r="B902" s="3" t="inlineStr">
        <is>
          <t>SOJC-SM-SC/APC-SC/APC</t>
        </is>
      </c>
      <c r="C902" s="2" t="inlineStr">
        <is>
          <t>908041464, 15M, B3, 2.0mm</t>
        </is>
      </c>
      <c r="D902" s="2" t="inlineStr">
        <is>
          <t>b3</t>
        </is>
      </c>
      <c r="E902" s="2" t="inlineStr">
        <is>
          <t>2.0mm</t>
        </is>
      </c>
      <c r="F902" s="2" t="n">
        <v>1</v>
      </c>
      <c r="G902" s="2" t="n">
        <v>15</v>
      </c>
      <c r="H902" s="2" t="inlineStr">
        <is>
          <t>SC/APC</t>
        </is>
      </c>
      <c r="I902" s="2" t="inlineStr">
        <is>
          <t>SC/APC</t>
        </is>
      </c>
      <c r="J902" s="2" t="n"/>
      <c r="K902" s="2" t="n"/>
      <c r="L902" s="2" t="n"/>
      <c r="M902" s="2" t="n"/>
      <c r="N902" s="2" t="n">
        <v>65</v>
      </c>
      <c r="O902" s="2" t="n"/>
      <c r="P902" s="2" t="n"/>
      <c r="Q902" s="2" t="n"/>
      <c r="R902" s="2" t="n"/>
      <c r="S902" s="2" t="n"/>
      <c r="T902" s="2" t="n"/>
      <c r="U902" s="2" t="n"/>
      <c r="V902" s="2">
        <f>SUM(J902:U902)*G902</f>
        <v/>
      </c>
      <c r="W902" s="2">
        <f>MAX(J902:U902)</f>
        <v/>
      </c>
      <c r="X902" s="2">
        <f>W902*G902</f>
        <v/>
      </c>
    </row>
    <row r="903">
      <c r="A903" s="2" t="inlineStr">
        <is>
          <t>A14-SB-N183</t>
        </is>
      </c>
      <c r="B903" s="3" t="inlineStr">
        <is>
          <t>SOJC-SM-SC/APC-SC/APC</t>
        </is>
      </c>
      <c r="C903" s="2" t="inlineStr">
        <is>
          <t>908041452, 2M, B3, 3.0mm</t>
        </is>
      </c>
      <c r="D903" s="2" t="inlineStr">
        <is>
          <t>b3</t>
        </is>
      </c>
      <c r="E903" s="2" t="inlineStr">
        <is>
          <t>3.0mm</t>
        </is>
      </c>
      <c r="F903" s="2" t="n">
        <v>1</v>
      </c>
      <c r="G903" s="2" t="n">
        <v>2</v>
      </c>
      <c r="H903" s="2" t="inlineStr">
        <is>
          <t>SC/APC</t>
        </is>
      </c>
      <c r="I903" s="2" t="inlineStr">
        <is>
          <t>SC/APC</t>
        </is>
      </c>
      <c r="J903" s="2" t="n">
        <v>20</v>
      </c>
      <c r="K903" s="2" t="n">
        <v>136</v>
      </c>
      <c r="L903" s="2" t="n">
        <v>10</v>
      </c>
      <c r="M903" s="2" t="n">
        <v>15</v>
      </c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>
        <f>SUM(J903:U903)*G903</f>
        <v/>
      </c>
      <c r="W903" s="2">
        <f>MAX(J903:U903)</f>
        <v/>
      </c>
      <c r="X903" s="2">
        <f>W903*G903</f>
        <v/>
      </c>
    </row>
    <row r="904">
      <c r="A904" s="2" t="inlineStr">
        <is>
          <t>A14-SB-N185</t>
        </is>
      </c>
      <c r="B904" s="3" t="inlineStr">
        <is>
          <t>SOJC-SM-SC/APC-SC/APC</t>
        </is>
      </c>
      <c r="C904" s="2" t="inlineStr">
        <is>
          <t>908041450, 3M, B3, 3.0mm</t>
        </is>
      </c>
      <c r="D904" s="2" t="inlineStr">
        <is>
          <t>b3</t>
        </is>
      </c>
      <c r="E904" s="2" t="inlineStr">
        <is>
          <t>3.0mm</t>
        </is>
      </c>
      <c r="F904" s="2" t="n">
        <v>1</v>
      </c>
      <c r="G904" s="2" t="n">
        <v>3</v>
      </c>
      <c r="H904" s="2" t="inlineStr">
        <is>
          <t>SC/APC</t>
        </is>
      </c>
      <c r="I904" s="2" t="inlineStr">
        <is>
          <t>SC/APC</t>
        </is>
      </c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>
        <v>100</v>
      </c>
      <c r="U904" s="2" t="n"/>
      <c r="V904" s="2">
        <f>SUM(J904:U904)*G904</f>
        <v/>
      </c>
      <c r="W904" s="2">
        <f>MAX(J904:U904)</f>
        <v/>
      </c>
      <c r="X904" s="2">
        <f>W904*G904</f>
        <v/>
      </c>
    </row>
    <row r="905">
      <c r="A905" s="2" t="inlineStr">
        <is>
          <t>A14-SB-N189</t>
        </is>
      </c>
      <c r="B905" s="3" t="inlineStr">
        <is>
          <t>SOJC-SM-SC/APC-SC/APC</t>
        </is>
      </c>
      <c r="C905" s="2" t="inlineStr">
        <is>
          <t>908041454, 5M, B3, 3.0mm</t>
        </is>
      </c>
      <c r="D905" s="2" t="inlineStr">
        <is>
          <t>b3</t>
        </is>
      </c>
      <c r="E905" s="2" t="inlineStr">
        <is>
          <t>3.0mm</t>
        </is>
      </c>
      <c r="F905" s="2" t="n">
        <v>1</v>
      </c>
      <c r="G905" s="2" t="n">
        <v>5</v>
      </c>
      <c r="H905" s="2" t="inlineStr">
        <is>
          <t>SC/APC</t>
        </is>
      </c>
      <c r="I905" s="2" t="inlineStr">
        <is>
          <t>SC/APC</t>
        </is>
      </c>
      <c r="J905" s="2" t="n"/>
      <c r="K905" s="2" t="n"/>
      <c r="L905" s="2" t="n"/>
      <c r="M905" s="2" t="n"/>
      <c r="N905" s="2" t="n">
        <v>5</v>
      </c>
      <c r="O905" s="2" t="n"/>
      <c r="P905" s="2" t="n"/>
      <c r="Q905" s="2" t="n"/>
      <c r="R905" s="2" t="n"/>
      <c r="S905" s="2" t="n"/>
      <c r="T905" s="2" t="n">
        <v>30</v>
      </c>
      <c r="U905" s="2" t="n"/>
      <c r="V905" s="2">
        <f>SUM(J905:U905)*G905</f>
        <v/>
      </c>
      <c r="W905" s="2">
        <f>MAX(J905:U905)</f>
        <v/>
      </c>
      <c r="X905" s="2">
        <f>W905*G905</f>
        <v/>
      </c>
    </row>
    <row r="906">
      <c r="A906" s="2" t="inlineStr">
        <is>
          <t>A14-SB-N193</t>
        </is>
      </c>
      <c r="B906" s="3" t="inlineStr">
        <is>
          <t>SOJC-SM-SC/PC-FC/APC</t>
        </is>
      </c>
      <c r="C906" s="2" t="inlineStr">
        <is>
          <t>908040319, 10M, B3, 2.0mm</t>
        </is>
      </c>
      <c r="D906" s="2" t="inlineStr">
        <is>
          <t>b3</t>
        </is>
      </c>
      <c r="E906" s="2" t="inlineStr">
        <is>
          <t>2.0mm</t>
        </is>
      </c>
      <c r="F906" s="2" t="n">
        <v>1</v>
      </c>
      <c r="G906" s="2" t="n">
        <v>10</v>
      </c>
      <c r="H906" s="2" t="inlineStr">
        <is>
          <t>SC/PC</t>
        </is>
      </c>
      <c r="I906" s="2" t="inlineStr">
        <is>
          <t>FC/APC</t>
        </is>
      </c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>
        <v>42</v>
      </c>
      <c r="T906" s="2" t="n">
        <v>10</v>
      </c>
      <c r="U906" s="2" t="n"/>
      <c r="V906" s="2">
        <f>SUM(J906:U906)*G906</f>
        <v/>
      </c>
      <c r="W906" s="2">
        <f>MAX(J906:U906)</f>
        <v/>
      </c>
      <c r="X906" s="2">
        <f>W906*G906</f>
        <v/>
      </c>
    </row>
    <row r="907">
      <c r="A907" s="2" t="inlineStr">
        <is>
          <t>A14-SB-N198</t>
        </is>
      </c>
      <c r="B907" s="3" t="inlineStr">
        <is>
          <t>SOJC-SM-SC/PC-FC/APC</t>
        </is>
      </c>
      <c r="C907" s="2" t="inlineStr">
        <is>
          <t>908040324, 15M, B3, 2.0mm</t>
        </is>
      </c>
      <c r="D907" s="2" t="inlineStr">
        <is>
          <t>b3</t>
        </is>
      </c>
      <c r="E907" s="2" t="inlineStr">
        <is>
          <t>2.0mm</t>
        </is>
      </c>
      <c r="F907" s="2" t="n">
        <v>1</v>
      </c>
      <c r="G907" s="2" t="n">
        <v>15</v>
      </c>
      <c r="H907" s="2" t="inlineStr">
        <is>
          <t>SC/PC</t>
        </is>
      </c>
      <c r="I907" s="2" t="inlineStr">
        <is>
          <t>FC/APC</t>
        </is>
      </c>
      <c r="J907" s="2" t="n"/>
      <c r="K907" s="2" t="n"/>
      <c r="L907" s="2" t="n"/>
      <c r="M907" s="2" t="n"/>
      <c r="N907" s="2" t="n"/>
      <c r="O907" s="2" t="n"/>
      <c r="P907" s="2" t="n">
        <v>13</v>
      </c>
      <c r="Q907" s="2" t="n"/>
      <c r="R907" s="2" t="n"/>
      <c r="S907" s="2" t="n"/>
      <c r="T907" s="2" t="n"/>
      <c r="U907" s="2" t="n"/>
      <c r="V907" s="2">
        <f>SUM(J907:U907)*G907</f>
        <v/>
      </c>
      <c r="W907" s="2">
        <f>MAX(J907:U907)</f>
        <v/>
      </c>
      <c r="X907" s="2">
        <f>W907*G907</f>
        <v/>
      </c>
    </row>
    <row r="908">
      <c r="A908" s="2" t="inlineStr">
        <is>
          <t>A14-SB-N200</t>
        </is>
      </c>
      <c r="B908" s="3" t="inlineStr">
        <is>
          <t>SOJC-SM-SC/PC-FC/APC</t>
        </is>
      </c>
      <c r="C908" s="2" t="inlineStr">
        <is>
          <t>908040329, 20M, B3, 2.0mm</t>
        </is>
      </c>
      <c r="D908" s="2" t="inlineStr">
        <is>
          <t>b3</t>
        </is>
      </c>
      <c r="E908" s="2" t="inlineStr">
        <is>
          <t>2.0mm</t>
        </is>
      </c>
      <c r="F908" s="2" t="n">
        <v>1</v>
      </c>
      <c r="G908" s="2" t="n">
        <v>20</v>
      </c>
      <c r="H908" s="2" t="inlineStr">
        <is>
          <t>SC/PC</t>
        </is>
      </c>
      <c r="I908" s="2" t="inlineStr">
        <is>
          <t>FC/APC</t>
        </is>
      </c>
      <c r="J908" s="2" t="n"/>
      <c r="K908" s="2" t="n">
        <v>8</v>
      </c>
      <c r="L908" s="2" t="n">
        <v>30</v>
      </c>
      <c r="M908" s="2" t="n"/>
      <c r="N908" s="2" t="n">
        <v>20</v>
      </c>
      <c r="O908" s="2" t="n">
        <v>32</v>
      </c>
      <c r="P908" s="2" t="n">
        <v>1</v>
      </c>
      <c r="Q908" s="2" t="n">
        <v>20</v>
      </c>
      <c r="R908" s="2" t="n"/>
      <c r="S908" s="2" t="n"/>
      <c r="T908" s="2" t="n"/>
      <c r="U908" s="2" t="n">
        <v>19</v>
      </c>
      <c r="V908" s="2">
        <f>SUM(J908:U908)*G908</f>
        <v/>
      </c>
      <c r="W908" s="2">
        <f>MAX(J908:U908)</f>
        <v/>
      </c>
      <c r="X908" s="2">
        <f>W908*G908</f>
        <v/>
      </c>
    </row>
    <row r="909">
      <c r="A909" s="2" t="inlineStr">
        <is>
          <t>A14-SB-N203</t>
        </is>
      </c>
      <c r="B909" s="3" t="inlineStr">
        <is>
          <t>SOJC-SM-SC/PC-FC/APC</t>
        </is>
      </c>
      <c r="C909" s="2" t="inlineStr">
        <is>
          <t>908040334, 25M, B3, 2.0mm</t>
        </is>
      </c>
      <c r="D909" s="2" t="inlineStr">
        <is>
          <t>b3</t>
        </is>
      </c>
      <c r="E909" s="2" t="inlineStr">
        <is>
          <t>2.0mm</t>
        </is>
      </c>
      <c r="F909" s="2" t="n">
        <v>1</v>
      </c>
      <c r="G909" s="2" t="n">
        <v>25</v>
      </c>
      <c r="H909" s="2" t="inlineStr">
        <is>
          <t>SC/PC</t>
        </is>
      </c>
      <c r="I909" s="2" t="inlineStr">
        <is>
          <t>FC/APC</t>
        </is>
      </c>
      <c r="J909" s="2" t="n">
        <v>7</v>
      </c>
      <c r="K909" s="2" t="n">
        <v>5</v>
      </c>
      <c r="L909" s="2" t="n"/>
      <c r="M909" s="2" t="n"/>
      <c r="N909" s="2" t="n"/>
      <c r="O909" s="2" t="n"/>
      <c r="P909" s="2" t="n"/>
      <c r="Q909" s="2" t="n"/>
      <c r="R909" s="2" t="n">
        <v>4</v>
      </c>
      <c r="S909" s="2" t="n"/>
      <c r="T909" s="2" t="n"/>
      <c r="U909" s="2" t="n"/>
      <c r="V909" s="2">
        <f>SUM(J909:U909)*G909</f>
        <v/>
      </c>
      <c r="W909" s="2">
        <f>MAX(J909:U909)</f>
        <v/>
      </c>
      <c r="X909" s="2">
        <f>W909*G909</f>
        <v/>
      </c>
    </row>
    <row r="910">
      <c r="A910" s="2" t="inlineStr">
        <is>
          <t>A14-SB-N207</t>
        </is>
      </c>
      <c r="B910" s="3" t="inlineStr">
        <is>
          <t>SOJC-SM-SC/PC-FC/APC</t>
        </is>
      </c>
      <c r="C910" s="2" t="inlineStr">
        <is>
          <t>908040310, 3M, B3, 3.0mm</t>
        </is>
      </c>
      <c r="D910" s="2" t="inlineStr">
        <is>
          <t>b3</t>
        </is>
      </c>
      <c r="E910" s="2" t="inlineStr">
        <is>
          <t>3.0mm</t>
        </is>
      </c>
      <c r="F910" s="2" t="n">
        <v>1</v>
      </c>
      <c r="G910" s="2" t="n">
        <v>3</v>
      </c>
      <c r="H910" s="2" t="inlineStr">
        <is>
          <t>SC/PC</t>
        </is>
      </c>
      <c r="I910" s="2" t="inlineStr">
        <is>
          <t>FC/APC</t>
        </is>
      </c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>
        <v>100</v>
      </c>
      <c r="T910" s="2" t="n"/>
      <c r="U910" s="2" t="n"/>
      <c r="V910" s="2">
        <f>SUM(J910:U910)*G910</f>
        <v/>
      </c>
      <c r="W910" s="2">
        <f>MAX(J910:U910)</f>
        <v/>
      </c>
      <c r="X910" s="2">
        <f>W910*G910</f>
        <v/>
      </c>
    </row>
    <row r="911">
      <c r="A911" s="2" t="inlineStr">
        <is>
          <t>A14-SB-N210</t>
        </is>
      </c>
      <c r="B911" s="3" t="inlineStr">
        <is>
          <t>SOJC-SM-SC/PC-FC/APC</t>
        </is>
      </c>
      <c r="C911" s="2" t="inlineStr">
        <is>
          <t>908040314, 5M, B3, 3.0mm</t>
        </is>
      </c>
      <c r="D911" s="2" t="inlineStr">
        <is>
          <t>b3</t>
        </is>
      </c>
      <c r="E911" s="2" t="inlineStr">
        <is>
          <t>3.0mm</t>
        </is>
      </c>
      <c r="F911" s="2" t="n">
        <v>1</v>
      </c>
      <c r="G911" s="2" t="n">
        <v>5</v>
      </c>
      <c r="H911" s="2" t="inlineStr">
        <is>
          <t>SC/PC</t>
        </is>
      </c>
      <c r="I911" s="2" t="inlineStr">
        <is>
          <t>FC/APC</t>
        </is>
      </c>
      <c r="J911" s="2" t="n"/>
      <c r="K911" s="2" t="n"/>
      <c r="L911" s="2" t="n">
        <v>15</v>
      </c>
      <c r="M911" s="2" t="n"/>
      <c r="N911" s="2" t="n"/>
      <c r="O911" s="2" t="n"/>
      <c r="P911" s="2" t="n">
        <v>5</v>
      </c>
      <c r="Q911" s="2" t="n"/>
      <c r="R911" s="2" t="n"/>
      <c r="S911" s="2" t="n"/>
      <c r="T911" s="2" t="n"/>
      <c r="U911" s="2" t="n"/>
      <c r="V911" s="2">
        <f>SUM(J911:U911)*G911</f>
        <v/>
      </c>
      <c r="W911" s="2">
        <f>MAX(J911:U911)</f>
        <v/>
      </c>
      <c r="X911" s="2">
        <f>W911*G911</f>
        <v/>
      </c>
    </row>
    <row r="912">
      <c r="A912" s="2" t="inlineStr">
        <is>
          <t>A14-SB-N215</t>
        </is>
      </c>
      <c r="B912" s="3" t="inlineStr">
        <is>
          <t>SOJC-SM-SC/PC-FC/PC</t>
        </is>
      </c>
      <c r="C912" s="2" t="inlineStr">
        <is>
          <t>908041380, 10M, B3, 2.0mm</t>
        </is>
      </c>
      <c r="D912" s="2" t="inlineStr">
        <is>
          <t>b3</t>
        </is>
      </c>
      <c r="E912" s="2" t="inlineStr">
        <is>
          <t>2.0mm</t>
        </is>
      </c>
      <c r="F912" s="2" t="n">
        <v>1</v>
      </c>
      <c r="G912" s="2" t="n">
        <v>10</v>
      </c>
      <c r="H912" s="2" t="inlineStr">
        <is>
          <t>SC/PC</t>
        </is>
      </c>
      <c r="I912" s="2" t="inlineStr">
        <is>
          <t>FC/PC</t>
        </is>
      </c>
      <c r="J912" s="2" t="n"/>
      <c r="K912" s="2" t="n">
        <v>5</v>
      </c>
      <c r="L912" s="2" t="n"/>
      <c r="M912" s="2" t="n"/>
      <c r="N912" s="2" t="n"/>
      <c r="O912" s="2" t="n"/>
      <c r="P912" s="2" t="n">
        <v>20</v>
      </c>
      <c r="Q912" s="2" t="n">
        <v>5</v>
      </c>
      <c r="R912" s="2" t="n"/>
      <c r="S912" s="2" t="n"/>
      <c r="T912" s="2" t="n"/>
      <c r="U912" s="2" t="n">
        <v>40</v>
      </c>
      <c r="V912" s="2">
        <f>SUM(J912:U912)*G912</f>
        <v/>
      </c>
      <c r="W912" s="2">
        <f>MAX(J912:U912)</f>
        <v/>
      </c>
      <c r="X912" s="2">
        <f>W912*G912</f>
        <v/>
      </c>
    </row>
    <row r="913">
      <c r="A913" s="2" t="inlineStr">
        <is>
          <t>A14-SB-N218</t>
        </is>
      </c>
      <c r="B913" s="3" t="inlineStr">
        <is>
          <t>SOJC-SM-SC/PC-FC/PC</t>
        </is>
      </c>
      <c r="C913" s="2" t="inlineStr">
        <is>
          <t>908041385, 15M, B3, 2.0mm</t>
        </is>
      </c>
      <c r="D913" s="2" t="inlineStr">
        <is>
          <t>b3</t>
        </is>
      </c>
      <c r="E913" s="2" t="inlineStr">
        <is>
          <t>2.0mm</t>
        </is>
      </c>
      <c r="F913" s="2" t="n">
        <v>1</v>
      </c>
      <c r="G913" s="2" t="n">
        <v>15</v>
      </c>
      <c r="H913" s="2" t="inlineStr">
        <is>
          <t>SC/PC</t>
        </is>
      </c>
      <c r="I913" s="2" t="inlineStr">
        <is>
          <t>FC/PC</t>
        </is>
      </c>
      <c r="J913" s="2" t="n"/>
      <c r="K913" s="2" t="n">
        <v>5</v>
      </c>
      <c r="L913" s="2" t="n"/>
      <c r="M913" s="2" t="n"/>
      <c r="N913" s="2" t="n"/>
      <c r="O913" s="2" t="n"/>
      <c r="P913" s="2" t="n"/>
      <c r="Q913" s="2" t="n"/>
      <c r="R913" s="2" t="n">
        <v>5</v>
      </c>
      <c r="S913" s="2" t="n"/>
      <c r="T913" s="2" t="n"/>
      <c r="U913" s="2" t="n">
        <v>40</v>
      </c>
      <c r="V913" s="2">
        <f>SUM(J913:U913)*G913</f>
        <v/>
      </c>
      <c r="W913" s="2">
        <f>MAX(J913:U913)</f>
        <v/>
      </c>
      <c r="X913" s="2">
        <f>W913*G913</f>
        <v/>
      </c>
    </row>
    <row r="914">
      <c r="A914" s="2" t="inlineStr">
        <is>
          <t>A14-SB-N220</t>
        </is>
      </c>
      <c r="B914" s="3" t="inlineStr">
        <is>
          <t>SOJC-SM-SC/PC-FC/PC</t>
        </is>
      </c>
      <c r="C914" s="2" t="inlineStr">
        <is>
          <t>908040299, 20M, B3, 2.0mm</t>
        </is>
      </c>
      <c r="D914" s="2" t="inlineStr">
        <is>
          <t>b3</t>
        </is>
      </c>
      <c r="E914" s="2" t="inlineStr">
        <is>
          <t>2.0mm</t>
        </is>
      </c>
      <c r="F914" s="2" t="n">
        <v>1</v>
      </c>
      <c r="G914" s="2" t="n">
        <v>20</v>
      </c>
      <c r="H914" s="2" t="inlineStr">
        <is>
          <t>SC/PC</t>
        </is>
      </c>
      <c r="I914" s="2" t="inlineStr">
        <is>
          <t>FC/PC</t>
        </is>
      </c>
      <c r="J914" s="2" t="n"/>
      <c r="K914" s="2" t="n">
        <v>5</v>
      </c>
      <c r="L914" s="2" t="n"/>
      <c r="M914" s="2" t="n"/>
      <c r="N914" s="2" t="n"/>
      <c r="O914" s="2" t="n"/>
      <c r="P914" s="2" t="n"/>
      <c r="Q914" s="2" t="n">
        <v>25</v>
      </c>
      <c r="R914" s="2" t="n"/>
      <c r="S914" s="2" t="n"/>
      <c r="T914" s="2" t="n"/>
      <c r="U914" s="2" t="n">
        <v>20</v>
      </c>
      <c r="V914" s="2">
        <f>SUM(J914:U914)*G914</f>
        <v/>
      </c>
      <c r="W914" s="2">
        <f>MAX(J914:U914)</f>
        <v/>
      </c>
      <c r="X914" s="2">
        <f>W914*G914</f>
        <v/>
      </c>
    </row>
    <row r="915">
      <c r="A915" s="2" t="inlineStr">
        <is>
          <t>A14-SB-N221</t>
        </is>
      </c>
      <c r="B915" s="3" t="inlineStr">
        <is>
          <t>SOJC-SM-SC/PC-FC/PC</t>
        </is>
      </c>
      <c r="C915" s="2" t="inlineStr">
        <is>
          <t>908040304, 25M, B3, 2.0mm</t>
        </is>
      </c>
      <c r="D915" s="2" t="inlineStr">
        <is>
          <t>b3</t>
        </is>
      </c>
      <c r="E915" s="2" t="inlineStr">
        <is>
          <t>2.0mm</t>
        </is>
      </c>
      <c r="F915" s="2" t="n">
        <v>1</v>
      </c>
      <c r="G915" s="2" t="n">
        <v>25</v>
      </c>
      <c r="H915" s="2" t="inlineStr">
        <is>
          <t>SC/PC</t>
        </is>
      </c>
      <c r="I915" s="2" t="inlineStr">
        <is>
          <t>FC/PC</t>
        </is>
      </c>
      <c r="J915" s="2" t="n"/>
      <c r="K915" s="2" t="n">
        <v>10</v>
      </c>
      <c r="L915" s="2" t="n"/>
      <c r="M915" s="2" t="n"/>
      <c r="N915" s="2" t="n">
        <v>8</v>
      </c>
      <c r="O915" s="2" t="n"/>
      <c r="P915" s="2" t="n">
        <v>30</v>
      </c>
      <c r="Q915" s="2" t="n">
        <v>25</v>
      </c>
      <c r="R915" s="2" t="n"/>
      <c r="S915" s="2" t="n"/>
      <c r="T915" s="2" t="n"/>
      <c r="U915" s="2" t="n"/>
      <c r="V915" s="2">
        <f>SUM(J915:U915)*G915</f>
        <v/>
      </c>
      <c r="W915" s="2">
        <f>MAX(J915:U915)</f>
        <v/>
      </c>
      <c r="X915" s="2">
        <f>W915*G915</f>
        <v/>
      </c>
    </row>
    <row r="916">
      <c r="A916" s="2" t="inlineStr">
        <is>
          <t>A14-SB-N232</t>
        </is>
      </c>
      <c r="B916" s="3" t="inlineStr">
        <is>
          <t>SOJC-SM-SC/PC-SC/APC</t>
        </is>
      </c>
      <c r="C916" s="2" t="inlineStr">
        <is>
          <t>B3, 0.5M, 3.0mm</t>
        </is>
      </c>
      <c r="D916" s="2" t="inlineStr">
        <is>
          <t>b3</t>
        </is>
      </c>
      <c r="E916" s="2" t="inlineStr">
        <is>
          <t>3.0mm</t>
        </is>
      </c>
      <c r="F916" s="2" t="n">
        <v>1</v>
      </c>
      <c r="G916" s="2" t="n">
        <v>0.5</v>
      </c>
      <c r="H916" s="2" t="inlineStr">
        <is>
          <t>SC/PC</t>
        </is>
      </c>
      <c r="I916" s="2" t="inlineStr">
        <is>
          <t>SC/APC</t>
        </is>
      </c>
      <c r="J916" s="2" t="n"/>
      <c r="K916" s="2" t="n"/>
      <c r="L916" s="2" t="n">
        <v>351</v>
      </c>
      <c r="M916" s="2" t="n">
        <v>970</v>
      </c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>
        <f>SUM(J916:U916)*G916</f>
        <v/>
      </c>
      <c r="W916" s="2">
        <f>MAX(J916:U916)</f>
        <v/>
      </c>
      <c r="X916" s="2">
        <f>W916*G916</f>
        <v/>
      </c>
    </row>
    <row r="917">
      <c r="A917" s="2" t="inlineStr">
        <is>
          <t>A14-SB-N234</t>
        </is>
      </c>
      <c r="B917" s="3" t="inlineStr">
        <is>
          <t>SOJC-SM-SC/PC-SC/APC</t>
        </is>
      </c>
      <c r="C917" s="2" t="inlineStr">
        <is>
          <t>908041429, 10M, B3, 2.0mm</t>
        </is>
      </c>
      <c r="D917" s="2" t="inlineStr">
        <is>
          <t>b3</t>
        </is>
      </c>
      <c r="E917" s="2" t="inlineStr">
        <is>
          <t>2.0mm</t>
        </is>
      </c>
      <c r="F917" s="2" t="n">
        <v>1</v>
      </c>
      <c r="G917" s="2" t="n">
        <v>10</v>
      </c>
      <c r="H917" s="2" t="inlineStr">
        <is>
          <t>SC/PC</t>
        </is>
      </c>
      <c r="I917" s="2" t="inlineStr">
        <is>
          <t>SC/APC</t>
        </is>
      </c>
      <c r="J917" s="2" t="n"/>
      <c r="K917" s="2" t="n"/>
      <c r="L917" s="2" t="n"/>
      <c r="M917" s="2" t="n"/>
      <c r="N917" s="2" t="n"/>
      <c r="O917" s="2" t="n">
        <v>10</v>
      </c>
      <c r="P917" s="2" t="n"/>
      <c r="Q917" s="2" t="n"/>
      <c r="R917" s="2" t="n">
        <v>20</v>
      </c>
      <c r="S917" s="2" t="n"/>
      <c r="T917" s="2" t="n"/>
      <c r="U917" s="2" t="n"/>
      <c r="V917" s="2">
        <f>SUM(J917:U917)*G917</f>
        <v/>
      </c>
      <c r="W917" s="2">
        <f>MAX(J917:U917)</f>
        <v/>
      </c>
      <c r="X917" s="2">
        <f>W917*G917</f>
        <v/>
      </c>
    </row>
    <row r="918">
      <c r="A918" s="2" t="inlineStr">
        <is>
          <t>A14-SB-N237</t>
        </is>
      </c>
      <c r="B918" s="3" t="inlineStr">
        <is>
          <t>SOJC-SM-SC/PC-SC/APC</t>
        </is>
      </c>
      <c r="C918" s="2" t="inlineStr">
        <is>
          <t>908041434, 15M, B3, 2.0mm</t>
        </is>
      </c>
      <c r="D918" s="2" t="inlineStr">
        <is>
          <t>b3</t>
        </is>
      </c>
      <c r="E918" s="2" t="inlineStr">
        <is>
          <t>2.0mm</t>
        </is>
      </c>
      <c r="F918" s="2" t="n">
        <v>1</v>
      </c>
      <c r="G918" s="2" t="n">
        <v>15</v>
      </c>
      <c r="H918" s="2" t="inlineStr">
        <is>
          <t>SC/PC</t>
        </is>
      </c>
      <c r="I918" s="2" t="inlineStr">
        <is>
          <t>SC/APC</t>
        </is>
      </c>
      <c r="J918" s="2" t="n"/>
      <c r="K918" s="2" t="n"/>
      <c r="L918" s="2" t="n"/>
      <c r="M918" s="2" t="n"/>
      <c r="N918" s="2" t="n"/>
      <c r="O918" s="2" t="n">
        <v>10</v>
      </c>
      <c r="P918" s="2" t="n"/>
      <c r="Q918" s="2" t="n"/>
      <c r="R918" s="2" t="n"/>
      <c r="S918" s="2" t="n"/>
      <c r="T918" s="2" t="n">
        <v>43</v>
      </c>
      <c r="U918" s="2" t="n"/>
      <c r="V918" s="2">
        <f>SUM(J918:U918)*G918</f>
        <v/>
      </c>
      <c r="W918" s="2">
        <f>MAX(J918:U918)</f>
        <v/>
      </c>
      <c r="X918" s="2">
        <f>W918*G918</f>
        <v/>
      </c>
    </row>
    <row r="919">
      <c r="A919" s="2" t="inlineStr">
        <is>
          <t>A14-SB-N239</t>
        </is>
      </c>
      <c r="B919" s="3" t="inlineStr">
        <is>
          <t>SOJC-SM-SC/PC-SC/APC</t>
        </is>
      </c>
      <c r="C919" s="2" t="inlineStr">
        <is>
          <t>908041421, 1M, B3, 3.0mm</t>
        </is>
      </c>
      <c r="D919" s="2" t="inlineStr">
        <is>
          <t>b3</t>
        </is>
      </c>
      <c r="E919" s="2" t="inlineStr">
        <is>
          <t>3.0mm</t>
        </is>
      </c>
      <c r="F919" s="2" t="n">
        <v>1</v>
      </c>
      <c r="G919" s="2" t="n">
        <v>1</v>
      </c>
      <c r="H919" s="2" t="inlineStr">
        <is>
          <t>SC/PC</t>
        </is>
      </c>
      <c r="I919" s="2" t="inlineStr">
        <is>
          <t>SC/APC</t>
        </is>
      </c>
      <c r="J919" s="2" t="n">
        <v>100</v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>
        <f>SUM(J919:U919)*G919</f>
        <v/>
      </c>
      <c r="W919" s="2">
        <f>MAX(J919:U919)</f>
        <v/>
      </c>
      <c r="X919" s="2">
        <f>W919*G919</f>
        <v/>
      </c>
    </row>
    <row r="920">
      <c r="A920" s="2" t="inlineStr">
        <is>
          <t>A14-SB-N241</t>
        </is>
      </c>
      <c r="B920" s="3" t="inlineStr">
        <is>
          <t>SOJC-SM-SC/PC-SC/APC</t>
        </is>
      </c>
      <c r="C920" s="2" t="inlineStr">
        <is>
          <t>908041439, 20M, B3, 2.0mm</t>
        </is>
      </c>
      <c r="D920" s="2" t="inlineStr">
        <is>
          <t>b3</t>
        </is>
      </c>
      <c r="E920" s="2" t="inlineStr">
        <is>
          <t>2.0mm</t>
        </is>
      </c>
      <c r="F920" s="2" t="n">
        <v>1</v>
      </c>
      <c r="G920" s="2" t="n">
        <v>20</v>
      </c>
      <c r="H920" s="2" t="inlineStr">
        <is>
          <t>SC/PC</t>
        </is>
      </c>
      <c r="I920" s="2" t="inlineStr">
        <is>
          <t>SC/APC</t>
        </is>
      </c>
      <c r="J920" s="2" t="n"/>
      <c r="K920" s="2" t="n"/>
      <c r="L920" s="2" t="n"/>
      <c r="M920" s="2" t="n"/>
      <c r="N920" s="2" t="n">
        <v>8</v>
      </c>
      <c r="O920" s="2" t="n">
        <v>10</v>
      </c>
      <c r="P920" s="2" t="n">
        <v>15</v>
      </c>
      <c r="Q920" s="2" t="n"/>
      <c r="R920" s="2" t="n">
        <v>5</v>
      </c>
      <c r="S920" s="2" t="n"/>
      <c r="T920" s="2" t="n"/>
      <c r="U920" s="2" t="n"/>
      <c r="V920" s="2">
        <f>SUM(J920:U920)*G920</f>
        <v/>
      </c>
      <c r="W920" s="2">
        <f>MAX(J920:U920)</f>
        <v/>
      </c>
      <c r="X920" s="2">
        <f>W920*G920</f>
        <v/>
      </c>
    </row>
    <row r="921">
      <c r="A921" s="2" t="inlineStr">
        <is>
          <t>A14-SB-N245</t>
        </is>
      </c>
      <c r="B921" s="3" t="inlineStr">
        <is>
          <t>SOJC-SM-SC/PC-SC/APC</t>
        </is>
      </c>
      <c r="C921" s="2" t="inlineStr">
        <is>
          <t>908041422, 2M, B3, 3.0mm</t>
        </is>
      </c>
      <c r="D921" s="2" t="inlineStr">
        <is>
          <t>b3</t>
        </is>
      </c>
      <c r="E921" s="2" t="inlineStr">
        <is>
          <t>3.0mm</t>
        </is>
      </c>
      <c r="F921" s="2" t="n">
        <v>1</v>
      </c>
      <c r="G921" s="2" t="n">
        <v>2</v>
      </c>
      <c r="H921" s="2" t="inlineStr">
        <is>
          <t>SC/PC</t>
        </is>
      </c>
      <c r="I921" s="2" t="inlineStr">
        <is>
          <t>SC/APC</t>
        </is>
      </c>
      <c r="J921" s="2" t="n">
        <v>17</v>
      </c>
      <c r="K921" s="2" t="n"/>
      <c r="L921" s="2" t="n"/>
      <c r="M921" s="2" t="n">
        <v>58</v>
      </c>
      <c r="N921" s="2" t="n"/>
      <c r="O921" s="2" t="n"/>
      <c r="P921" s="2" t="n"/>
      <c r="Q921" s="2" t="n"/>
      <c r="R921" s="2" t="n"/>
      <c r="S921" s="2" t="n"/>
      <c r="T921" s="2" t="n"/>
      <c r="U921" s="2" t="n">
        <v>50</v>
      </c>
      <c r="V921" s="2">
        <f>SUM(J921:U921)*G921</f>
        <v/>
      </c>
      <c r="W921" s="2">
        <f>MAX(J921:U921)</f>
        <v/>
      </c>
      <c r="X921" s="2">
        <f>W921*G921</f>
        <v/>
      </c>
    </row>
    <row r="922">
      <c r="A922" s="2" t="inlineStr">
        <is>
          <t>A14-SB-N249</t>
        </is>
      </c>
      <c r="B922" s="3" t="inlineStr">
        <is>
          <t>SOJC-SM-SC/PC-SC/APC</t>
        </is>
      </c>
      <c r="C922" s="2" t="inlineStr">
        <is>
          <t>908041420, 3M, B3, 3.0mm</t>
        </is>
      </c>
      <c r="D922" s="2" t="inlineStr">
        <is>
          <t>b3</t>
        </is>
      </c>
      <c r="E922" s="2" t="inlineStr">
        <is>
          <t>3.0mm</t>
        </is>
      </c>
      <c r="F922" s="2" t="n">
        <v>1</v>
      </c>
      <c r="G922" s="2" t="n">
        <v>3</v>
      </c>
      <c r="H922" s="2" t="inlineStr">
        <is>
          <t>SC/PC</t>
        </is>
      </c>
      <c r="I922" s="2" t="inlineStr">
        <is>
          <t>SC/APC</t>
        </is>
      </c>
      <c r="J922" s="2" t="n">
        <v>100</v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>
        <f>SUM(J922:U922)*G922</f>
        <v/>
      </c>
      <c r="W922" s="2">
        <f>MAX(J922:U922)</f>
        <v/>
      </c>
      <c r="X922" s="2">
        <f>W922*G922</f>
        <v/>
      </c>
    </row>
    <row r="923">
      <c r="A923" s="2" t="inlineStr">
        <is>
          <t>A14-SB-N251</t>
        </is>
      </c>
      <c r="B923" s="3" t="inlineStr">
        <is>
          <t>SOJC-SM-SC/PC-SC/APC</t>
        </is>
      </c>
      <c r="C923" s="2" t="inlineStr">
        <is>
          <t>908041424, 5M, B3, 3.0mm</t>
        </is>
      </c>
      <c r="D923" s="2" t="inlineStr">
        <is>
          <t>b3</t>
        </is>
      </c>
      <c r="E923" s="2" t="inlineStr">
        <is>
          <t>3.0mm</t>
        </is>
      </c>
      <c r="F923" s="2" t="n">
        <v>1</v>
      </c>
      <c r="G923" s="2" t="n">
        <v>5</v>
      </c>
      <c r="H923" s="2" t="inlineStr">
        <is>
          <t>SC/PC</t>
        </is>
      </c>
      <c r="I923" s="2" t="inlineStr">
        <is>
          <t>SC/APC</t>
        </is>
      </c>
      <c r="J923" s="2" t="n"/>
      <c r="K923" s="2" t="n"/>
      <c r="L923" s="2" t="n">
        <v>26</v>
      </c>
      <c r="M923" s="2" t="n">
        <v>30</v>
      </c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>
        <f>SUM(J923:U923)*G923</f>
        <v/>
      </c>
      <c r="W923" s="2">
        <f>MAX(J923:U923)</f>
        <v/>
      </c>
      <c r="X923" s="2">
        <f>W923*G923</f>
        <v/>
      </c>
    </row>
    <row r="924">
      <c r="A924" s="2" t="inlineStr">
        <is>
          <t>A14-SB-N253</t>
        </is>
      </c>
      <c r="B924" s="3" t="inlineStr">
        <is>
          <t>SOJC-SM-SC/PC-SC/APC</t>
        </is>
      </c>
      <c r="C924" s="2" t="inlineStr">
        <is>
          <t>908041427, 8M, B3, 2.0mm</t>
        </is>
      </c>
      <c r="D924" s="2" t="inlineStr">
        <is>
          <t>b3</t>
        </is>
      </c>
      <c r="E924" s="2" t="inlineStr">
        <is>
          <t>2.0mm</t>
        </is>
      </c>
      <c r="F924" s="2" t="n">
        <v>1</v>
      </c>
      <c r="G924" s="2" t="n">
        <v>8</v>
      </c>
      <c r="H924" s="2" t="inlineStr">
        <is>
          <t>SC/PC</t>
        </is>
      </c>
      <c r="I924" s="2" t="inlineStr">
        <is>
          <t>SC/APC</t>
        </is>
      </c>
      <c r="J924" s="2" t="n"/>
      <c r="K924" s="2" t="n"/>
      <c r="L924" s="2" t="n"/>
      <c r="M924" s="2" t="n"/>
      <c r="N924" s="2" t="n"/>
      <c r="O924" s="2" t="n"/>
      <c r="P924" s="2" t="n"/>
      <c r="Q924" s="2" t="n">
        <v>30</v>
      </c>
      <c r="R924" s="2" t="n"/>
      <c r="S924" s="2" t="n"/>
      <c r="T924" s="2" t="n"/>
      <c r="U924" s="2" t="n"/>
      <c r="V924" s="2">
        <f>SUM(J924:U924)*G924</f>
        <v/>
      </c>
      <c r="W924" s="2">
        <f>MAX(J924:U924)</f>
        <v/>
      </c>
      <c r="X924" s="2">
        <f>W924*G924</f>
        <v/>
      </c>
    </row>
    <row r="925">
      <c r="A925" s="2" t="inlineStr">
        <is>
          <t>A14-SB-N257</t>
        </is>
      </c>
      <c r="B925" s="3" t="inlineStr">
        <is>
          <t>SOJC-SM-SC/PC-SC/PC</t>
        </is>
      </c>
      <c r="C925" s="2" t="inlineStr">
        <is>
          <t>1.5M, B3, 3.0mm</t>
        </is>
      </c>
      <c r="D925" s="2" t="inlineStr">
        <is>
          <t>b3</t>
        </is>
      </c>
      <c r="E925" s="2" t="inlineStr">
        <is>
          <t>3.0mm</t>
        </is>
      </c>
      <c r="F925" s="2" t="n">
        <v>1</v>
      </c>
      <c r="G925" s="2" t="n">
        <v>1.5</v>
      </c>
      <c r="H925" s="2" t="inlineStr">
        <is>
          <t>SC/PC</t>
        </is>
      </c>
      <c r="I925" s="2" t="inlineStr">
        <is>
          <t>SC/PC</t>
        </is>
      </c>
      <c r="J925" s="2" t="n"/>
      <c r="K925" s="2" t="n">
        <v>50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>
        <f>SUM(J925:U925)*G925</f>
        <v/>
      </c>
      <c r="W925" s="2">
        <f>MAX(J925:U925)</f>
        <v/>
      </c>
      <c r="X925" s="2">
        <f>W925*G925</f>
        <v/>
      </c>
    </row>
    <row r="926">
      <c r="A926" s="2" t="inlineStr">
        <is>
          <t>A14-SB-N259</t>
        </is>
      </c>
      <c r="B926" s="3" t="inlineStr">
        <is>
          <t>SOJC-SM-SC/PC-SC/PC</t>
        </is>
      </c>
      <c r="C926" s="2" t="inlineStr">
        <is>
          <t>12M, B3, 2.0mm</t>
        </is>
      </c>
      <c r="D926" s="2" t="inlineStr">
        <is>
          <t>b3</t>
        </is>
      </c>
      <c r="E926" s="2" t="inlineStr">
        <is>
          <t>2.0mm</t>
        </is>
      </c>
      <c r="F926" s="2" t="n">
        <v>1</v>
      </c>
      <c r="G926" s="2" t="n">
        <v>12</v>
      </c>
      <c r="H926" s="2" t="inlineStr">
        <is>
          <t>SC/PC</t>
        </is>
      </c>
      <c r="I926" s="2" t="inlineStr">
        <is>
          <t>SC/PC</t>
        </is>
      </c>
      <c r="J926" s="2" t="n"/>
      <c r="K926" s="2" t="n"/>
      <c r="L926" s="2" t="n"/>
      <c r="M926" s="2" t="n">
        <v>50</v>
      </c>
      <c r="N926" s="2" t="n"/>
      <c r="O926" s="2" t="n">
        <v>100</v>
      </c>
      <c r="P926" s="2" t="n"/>
      <c r="Q926" s="2" t="n"/>
      <c r="R926" s="2" t="n"/>
      <c r="S926" s="2" t="n">
        <v>50</v>
      </c>
      <c r="T926" s="2" t="n"/>
      <c r="U926" s="2" t="n"/>
      <c r="V926" s="2">
        <f>SUM(J926:U926)*G926</f>
        <v/>
      </c>
      <c r="W926" s="2">
        <f>MAX(J926:U926)</f>
        <v/>
      </c>
      <c r="X926" s="2">
        <f>W926*G926</f>
        <v/>
      </c>
    </row>
    <row r="927">
      <c r="A927" s="2" t="inlineStr">
        <is>
          <t>A14-SB-N263</t>
        </is>
      </c>
      <c r="B927" s="3" t="inlineStr">
        <is>
          <t>SOJC-SM-SC/PC-SC/PC</t>
        </is>
      </c>
      <c r="C927" s="2" t="inlineStr">
        <is>
          <t>908041409, 20M, B3, 2.0mm</t>
        </is>
      </c>
      <c r="D927" s="2" t="inlineStr">
        <is>
          <t>b3</t>
        </is>
      </c>
      <c r="E927" s="2" t="inlineStr">
        <is>
          <t>2.0mm</t>
        </is>
      </c>
      <c r="F927" s="2" t="n">
        <v>1</v>
      </c>
      <c r="G927" s="2" t="n">
        <v>20</v>
      </c>
      <c r="H927" s="2" t="inlineStr">
        <is>
          <t>SC/PC</t>
        </is>
      </c>
      <c r="I927" s="2" t="inlineStr">
        <is>
          <t>SC/PC</t>
        </is>
      </c>
      <c r="J927" s="2" t="n">
        <v>50</v>
      </c>
      <c r="K927" s="2" t="n"/>
      <c r="L927" s="2" t="n">
        <v>20</v>
      </c>
      <c r="M927" s="2" t="n">
        <v>3</v>
      </c>
      <c r="N927" s="2" t="n"/>
      <c r="O927" s="2" t="n"/>
      <c r="P927" s="2" t="n"/>
      <c r="Q927" s="2" t="n"/>
      <c r="R927" s="2" t="n"/>
      <c r="S927" s="2" t="n">
        <v>6</v>
      </c>
      <c r="T927" s="2" t="n"/>
      <c r="U927" s="2" t="n"/>
      <c r="V927" s="2">
        <f>SUM(J927:U927)*G927</f>
        <v/>
      </c>
      <c r="W927" s="2">
        <f>MAX(J927:U927)</f>
        <v/>
      </c>
      <c r="X927" s="2">
        <f>W927*G927</f>
        <v/>
      </c>
    </row>
    <row r="928">
      <c r="A928" s="2" t="inlineStr">
        <is>
          <t>A14-SB-N264</t>
        </is>
      </c>
      <c r="B928" s="3" t="inlineStr">
        <is>
          <t>SOJC-SM-SC/PC-SC/PC</t>
        </is>
      </c>
      <c r="C928" s="2" t="inlineStr">
        <is>
          <t>908041414, 25M, B3, 2.0mm</t>
        </is>
      </c>
      <c r="D928" s="2" t="inlineStr">
        <is>
          <t>b3</t>
        </is>
      </c>
      <c r="E928" s="2" t="inlineStr">
        <is>
          <t>2.0mm</t>
        </is>
      </c>
      <c r="F928" s="2" t="n">
        <v>1</v>
      </c>
      <c r="G928" s="2" t="n">
        <v>25</v>
      </c>
      <c r="H928" s="2" t="inlineStr">
        <is>
          <t>SC/PC</t>
        </is>
      </c>
      <c r="I928" s="2" t="inlineStr">
        <is>
          <t>SC/PC</t>
        </is>
      </c>
      <c r="J928" s="2" t="n"/>
      <c r="K928" s="2" t="n"/>
      <c r="L928" s="2" t="n"/>
      <c r="M928" s="2" t="n">
        <v>50</v>
      </c>
      <c r="N928" s="2" t="n"/>
      <c r="O928" s="2" t="n"/>
      <c r="P928" s="2" t="n"/>
      <c r="Q928" s="2" t="n"/>
      <c r="R928" s="2" t="n"/>
      <c r="S928" s="2" t="n">
        <v>24</v>
      </c>
      <c r="T928" s="2" t="n"/>
      <c r="U928" s="2" t="n"/>
      <c r="V928" s="2">
        <f>SUM(J928:U928)*G928</f>
        <v/>
      </c>
      <c r="W928" s="2">
        <f>MAX(J928:U928)</f>
        <v/>
      </c>
      <c r="X928" s="2">
        <f>W928*G928</f>
        <v/>
      </c>
    </row>
    <row r="929">
      <c r="A929" s="2" t="inlineStr">
        <is>
          <t>A14-SB-N268</t>
        </is>
      </c>
      <c r="B929" s="3" t="inlineStr">
        <is>
          <t>SOJC-SM-SC/PC-SC/PC</t>
        </is>
      </c>
      <c r="C929" s="2" t="inlineStr">
        <is>
          <t>908041390, 3M, B3, 3.0mm</t>
        </is>
      </c>
      <c r="D929" s="2" t="inlineStr">
        <is>
          <t>b3</t>
        </is>
      </c>
      <c r="E929" s="2" t="inlineStr">
        <is>
          <t>3.0mm</t>
        </is>
      </c>
      <c r="F929" s="2" t="n">
        <v>1</v>
      </c>
      <c r="G929" s="2" t="n">
        <v>3</v>
      </c>
      <c r="H929" s="2" t="inlineStr">
        <is>
          <t>SC/PC</t>
        </is>
      </c>
      <c r="I929" s="2" t="inlineStr">
        <is>
          <t>SC/PC</t>
        </is>
      </c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>
        <v>1760</v>
      </c>
      <c r="S929" s="2" t="n">
        <v>250</v>
      </c>
      <c r="T929" s="2" t="n">
        <v>115</v>
      </c>
      <c r="U929" s="2" t="n">
        <v>120</v>
      </c>
      <c r="V929" s="2">
        <f>SUM(J929:U929)*G929</f>
        <v/>
      </c>
      <c r="W929" s="2">
        <f>MAX(J929:U929)</f>
        <v/>
      </c>
      <c r="X929" s="2">
        <f>W929*G929</f>
        <v/>
      </c>
    </row>
    <row r="930">
      <c r="A930" s="2" t="inlineStr">
        <is>
          <t>A14-SB-N273</t>
        </is>
      </c>
      <c r="B930" s="3" t="inlineStr">
        <is>
          <t>SOJC-SM-SC/PC-SC/PC</t>
        </is>
      </c>
      <c r="C930" s="2" t="inlineStr">
        <is>
          <t>908041396, 7M, B3, 2.0mm</t>
        </is>
      </c>
      <c r="D930" s="2" t="inlineStr">
        <is>
          <t>b3</t>
        </is>
      </c>
      <c r="E930" s="2" t="inlineStr">
        <is>
          <t>2.0mm</t>
        </is>
      </c>
      <c r="F930" s="2" t="n">
        <v>1</v>
      </c>
      <c r="G930" s="2" t="n">
        <v>7</v>
      </c>
      <c r="H930" s="2" t="inlineStr">
        <is>
          <t>SC/PC</t>
        </is>
      </c>
      <c r="I930" s="2" t="inlineStr">
        <is>
          <t>SC/PC</t>
        </is>
      </c>
      <c r="J930" s="2" t="n">
        <v>100</v>
      </c>
      <c r="K930" s="2" t="n">
        <v>10</v>
      </c>
      <c r="L930" s="2" t="n">
        <v>10</v>
      </c>
      <c r="M930" s="2" t="n"/>
      <c r="N930" s="2" t="n">
        <v>100</v>
      </c>
      <c r="O930" s="2" t="n"/>
      <c r="P930" s="2" t="n"/>
      <c r="Q930" s="2" t="n"/>
      <c r="R930" s="2" t="n"/>
      <c r="S930" s="2" t="n">
        <v>40</v>
      </c>
      <c r="T930" s="2" t="n"/>
      <c r="U930" s="2" t="n"/>
      <c r="V930" s="2">
        <f>SUM(J930:U930)*G930</f>
        <v/>
      </c>
      <c r="W930" s="2">
        <f>MAX(J930:U930)</f>
        <v/>
      </c>
      <c r="X930" s="2">
        <f>W930*G930</f>
        <v/>
      </c>
    </row>
    <row r="931">
      <c r="A931" s="2" t="inlineStr">
        <is>
          <t>A14-SB-N285</t>
        </is>
      </c>
      <c r="B931" s="3" t="inlineStr">
        <is>
          <t>SOJC-SM-SC/PC-SC/PC</t>
        </is>
      </c>
      <c r="C931" s="2" t="inlineStr">
        <is>
          <t>908041395, 6M, B3, 2.0mm</t>
        </is>
      </c>
      <c r="D931" s="2" t="inlineStr">
        <is>
          <t>b3</t>
        </is>
      </c>
      <c r="E931" s="2" t="inlineStr">
        <is>
          <t>2.0mm</t>
        </is>
      </c>
      <c r="F931" s="2" t="n">
        <v>1</v>
      </c>
      <c r="G931" s="2" t="n">
        <v>6</v>
      </c>
      <c r="H931" s="2" t="inlineStr">
        <is>
          <t>SC/PC</t>
        </is>
      </c>
      <c r="I931" s="2" t="inlineStr">
        <is>
          <t>SC/PC</t>
        </is>
      </c>
      <c r="J931" s="2" t="n"/>
      <c r="K931" s="2" t="n"/>
      <c r="L931" s="2" t="n">
        <v>165</v>
      </c>
      <c r="M931" s="2" t="n">
        <v>50</v>
      </c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>
        <f>SUM(J931:U931)*G931</f>
        <v/>
      </c>
      <c r="W931" s="2">
        <f>MAX(J931:U931)</f>
        <v/>
      </c>
      <c r="X931" s="2">
        <f>W931*G931</f>
        <v/>
      </c>
    </row>
    <row r="932">
      <c r="A932" s="2" t="inlineStr">
        <is>
          <t>A14-SB-N299</t>
        </is>
      </c>
      <c r="B932" s="3" t="inlineStr">
        <is>
          <t>SOJC-SM-LC/APC-FC/APC</t>
        </is>
      </c>
      <c r="C932" s="2" t="inlineStr">
        <is>
          <t>20M, B3, 2.0mm</t>
        </is>
      </c>
      <c r="D932" s="2" t="inlineStr">
        <is>
          <t>b3</t>
        </is>
      </c>
      <c r="E932" s="2" t="inlineStr">
        <is>
          <t>2.0mm</t>
        </is>
      </c>
      <c r="F932" s="2" t="n">
        <v>1</v>
      </c>
      <c r="G932" s="2" t="n">
        <v>20</v>
      </c>
      <c r="H932" s="2" t="inlineStr">
        <is>
          <t>LC/APC</t>
        </is>
      </c>
      <c r="I932" s="2" t="inlineStr">
        <is>
          <t>FC/APC</t>
        </is>
      </c>
      <c r="J932" s="2" t="n"/>
      <c r="K932" s="2" t="n"/>
      <c r="L932" s="2" t="n"/>
      <c r="M932" s="2" t="n"/>
      <c r="N932" s="2" t="n"/>
      <c r="O932" s="2" t="n"/>
      <c r="P932" s="2" t="n"/>
      <c r="Q932" s="2" t="n">
        <v>20</v>
      </c>
      <c r="R932" s="2" t="n"/>
      <c r="S932" s="2" t="n"/>
      <c r="T932" s="2" t="n"/>
      <c r="U932" s="2" t="n"/>
      <c r="V932" s="2">
        <f>SUM(J932:U932)*G932</f>
        <v/>
      </c>
      <c r="W932" s="2">
        <f>MAX(J932:U932)</f>
        <v/>
      </c>
      <c r="X932" s="2">
        <f>W932*G932</f>
        <v/>
      </c>
    </row>
    <row r="933">
      <c r="A933" s="2" t="inlineStr">
        <is>
          <t>A14-SB-N302</t>
        </is>
      </c>
      <c r="B933" s="3" t="inlineStr">
        <is>
          <t>SOJC-SM-LC/APC-SC/APC</t>
        </is>
      </c>
      <c r="C933" s="2" t="inlineStr">
        <is>
          <t>2M, B3, 3.0mm</t>
        </is>
      </c>
      <c r="D933" s="2" t="inlineStr">
        <is>
          <t>b3</t>
        </is>
      </c>
      <c r="E933" s="2" t="inlineStr">
        <is>
          <t>3.0mm</t>
        </is>
      </c>
      <c r="F933" s="2" t="n">
        <v>1</v>
      </c>
      <c r="G933" s="2" t="n">
        <v>2</v>
      </c>
      <c r="H933" s="2" t="inlineStr">
        <is>
          <t>LC/APC</t>
        </is>
      </c>
      <c r="I933" s="2" t="inlineStr">
        <is>
          <t>SC/APC</t>
        </is>
      </c>
      <c r="J933" s="2" t="n"/>
      <c r="K933" s="2" t="n">
        <v>16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>
        <f>SUM(J933:U933)*G933</f>
        <v/>
      </c>
      <c r="W933" s="2">
        <f>MAX(J933:U933)</f>
        <v/>
      </c>
      <c r="X933" s="2">
        <f>W933*G933</f>
        <v/>
      </c>
    </row>
    <row r="934">
      <c r="A934" s="2" t="inlineStr">
        <is>
          <t>A14-SB-N308</t>
        </is>
      </c>
      <c r="B934" s="3" t="inlineStr">
        <is>
          <t>SOJC-SM-LC/PC-SC/PC</t>
        </is>
      </c>
      <c r="C934" s="2" t="inlineStr">
        <is>
          <t>0.5M, B3, 3.0mm</t>
        </is>
      </c>
      <c r="D934" s="2" t="inlineStr">
        <is>
          <t>b3</t>
        </is>
      </c>
      <c r="E934" s="2" t="inlineStr">
        <is>
          <t>3.0mm</t>
        </is>
      </c>
      <c r="F934" s="2" t="n">
        <v>1</v>
      </c>
      <c r="G934" s="2" t="n">
        <v>0.5</v>
      </c>
      <c r="H934" s="2" t="inlineStr">
        <is>
          <t>LC/PC</t>
        </is>
      </c>
      <c r="I934" s="2" t="inlineStr">
        <is>
          <t>SC/PC</t>
        </is>
      </c>
      <c r="J934" s="2" t="n"/>
      <c r="K934" s="2" t="n"/>
      <c r="L934" s="2" t="n"/>
      <c r="M934" s="2" t="n"/>
      <c r="N934" s="2" t="n"/>
      <c r="O934" s="2" t="n">
        <v>5</v>
      </c>
      <c r="P934" s="2" t="n"/>
      <c r="Q934" s="2" t="n"/>
      <c r="R934" s="2" t="n"/>
      <c r="S934" s="2" t="n"/>
      <c r="T934" s="2" t="n"/>
      <c r="U934" s="2" t="n"/>
      <c r="V934" s="2">
        <f>SUM(J934:U934)*G934</f>
        <v/>
      </c>
      <c r="W934" s="2">
        <f>MAX(J934:U934)</f>
        <v/>
      </c>
      <c r="X934" s="2">
        <f>W934*G934</f>
        <v/>
      </c>
    </row>
    <row r="935">
      <c r="A935" s="2" t="inlineStr">
        <is>
          <t>A14-SB-N361</t>
        </is>
      </c>
      <c r="B935" s="3" t="inlineStr">
        <is>
          <t>SOJC-SM-LC/APC-FC/APC</t>
        </is>
      </c>
      <c r="C935" s="2" t="inlineStr">
        <is>
          <t>10M, B3, 2.0mm</t>
        </is>
      </c>
      <c r="D935" s="2" t="inlineStr">
        <is>
          <t>b3</t>
        </is>
      </c>
      <c r="E935" s="2" t="inlineStr">
        <is>
          <t>2.0mm</t>
        </is>
      </c>
      <c r="F935" s="2" t="n">
        <v>1</v>
      </c>
      <c r="G935" s="2" t="n">
        <v>10</v>
      </c>
      <c r="H935" s="2" t="inlineStr">
        <is>
          <t>LC/APC</t>
        </is>
      </c>
      <c r="I935" s="2" t="inlineStr">
        <is>
          <t>FC/APC</t>
        </is>
      </c>
      <c r="J935" s="2" t="n">
        <v>6</v>
      </c>
      <c r="K935" s="2" t="n"/>
      <c r="L935" s="2" t="n"/>
      <c r="M935" s="2" t="n"/>
      <c r="N935" s="2" t="n"/>
      <c r="O935" s="2" t="n">
        <v>16</v>
      </c>
      <c r="P935" s="2" t="n"/>
      <c r="Q935" s="2" t="n"/>
      <c r="R935" s="2" t="n"/>
      <c r="S935" s="2" t="n"/>
      <c r="T935" s="2" t="n"/>
      <c r="U935" s="2" t="n"/>
      <c r="V935" s="2">
        <f>SUM(J935:U935)*G935</f>
        <v/>
      </c>
      <c r="W935" s="2">
        <f>MAX(J935:U935)</f>
        <v/>
      </c>
      <c r="X935" s="2">
        <f>W935*G935</f>
        <v/>
      </c>
    </row>
    <row r="936">
      <c r="A936" s="2" t="inlineStr">
        <is>
          <t>A14-SB-N381</t>
        </is>
      </c>
      <c r="B936" s="3" t="inlineStr">
        <is>
          <t>SOJC-SM-LC/PC-SC/APC</t>
        </is>
      </c>
      <c r="C936" s="2" t="inlineStr">
        <is>
          <t>0.5M, B3, 3.0mm</t>
        </is>
      </c>
      <c r="D936" s="2" t="inlineStr">
        <is>
          <t>b3</t>
        </is>
      </c>
      <c r="E936" s="2" t="inlineStr">
        <is>
          <t>3.0mm</t>
        </is>
      </c>
      <c r="F936" s="2" t="n">
        <v>1</v>
      </c>
      <c r="G936" s="2" t="n">
        <v>0.5</v>
      </c>
      <c r="H936" s="2" t="inlineStr">
        <is>
          <t>LC/PC</t>
        </is>
      </c>
      <c r="I936" s="2" t="inlineStr">
        <is>
          <t>SC/APC</t>
        </is>
      </c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>
        <v>50</v>
      </c>
      <c r="T936" s="2" t="n"/>
      <c r="U936" s="2" t="n"/>
      <c r="V936" s="2">
        <f>SUM(J936:U936)*G936</f>
        <v/>
      </c>
      <c r="W936" s="2">
        <f>MAX(J936:U936)</f>
        <v/>
      </c>
      <c r="X936" s="2">
        <f>W936*G936</f>
        <v/>
      </c>
    </row>
    <row r="937">
      <c r="A937" s="2" t="inlineStr">
        <is>
          <t>A14-SB-N455</t>
        </is>
      </c>
      <c r="B937" s="3" t="inlineStr">
        <is>
          <t>SOJC-SM-LC/APC-SC/PC</t>
        </is>
      </c>
      <c r="C937" s="2" t="inlineStr">
        <is>
          <t>10M, B3, 2.0mm</t>
        </is>
      </c>
      <c r="D937" s="2" t="inlineStr">
        <is>
          <t>b3</t>
        </is>
      </c>
      <c r="E937" s="2" t="inlineStr">
        <is>
          <t>2.0mm</t>
        </is>
      </c>
      <c r="F937" s="2" t="n">
        <v>1</v>
      </c>
      <c r="G937" s="2" t="n">
        <v>10</v>
      </c>
      <c r="H937" s="2" t="inlineStr">
        <is>
          <t>LC/APC</t>
        </is>
      </c>
      <c r="I937" s="2" t="inlineStr">
        <is>
          <t>SC/PC</t>
        </is>
      </c>
      <c r="J937" s="2" t="n"/>
      <c r="K937" s="2" t="n"/>
      <c r="L937" s="2" t="n">
        <v>1</v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>
        <f>SUM(J937:U937)*G937</f>
        <v/>
      </c>
      <c r="W937" s="2">
        <f>MAX(J937:U937)</f>
        <v/>
      </c>
      <c r="X937" s="2">
        <f>W937*G937</f>
        <v/>
      </c>
    </row>
    <row r="938">
      <c r="A938" s="2" t="inlineStr">
        <is>
          <t>A14-SB-N456</t>
        </is>
      </c>
      <c r="B938" s="3" t="inlineStr">
        <is>
          <t>SOJC-SM-LC/APC-SC/PC</t>
        </is>
      </c>
      <c r="C938" s="2" t="inlineStr">
        <is>
          <t>15M, B3, 2.0mm</t>
        </is>
      </c>
      <c r="D938" s="2" t="inlineStr">
        <is>
          <t>b3</t>
        </is>
      </c>
      <c r="E938" s="2" t="inlineStr">
        <is>
          <t>2.0mm</t>
        </is>
      </c>
      <c r="F938" s="2" t="n">
        <v>1</v>
      </c>
      <c r="G938" s="2" t="n">
        <v>15</v>
      </c>
      <c r="H938" s="2" t="inlineStr">
        <is>
          <t>LC/APC</t>
        </is>
      </c>
      <c r="I938" s="2" t="inlineStr">
        <is>
          <t>SC/PC</t>
        </is>
      </c>
      <c r="J938" s="2" t="n"/>
      <c r="K938" s="2" t="n"/>
      <c r="L938" s="2" t="n">
        <v>3</v>
      </c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>
        <f>SUM(J938:U938)*G938</f>
        <v/>
      </c>
      <c r="W938" s="2">
        <f>MAX(J938:U938)</f>
        <v/>
      </c>
      <c r="X938" s="2">
        <f>W938*G938</f>
        <v/>
      </c>
    </row>
    <row r="939">
      <c r="A939" s="2" t="inlineStr">
        <is>
          <t>A14-SB-N488</t>
        </is>
      </c>
      <c r="B939" s="3" t="inlineStr">
        <is>
          <t>SOJC-SM-LC/PC-LC/PC</t>
        </is>
      </c>
      <c r="C939" s="2" t="inlineStr">
        <is>
          <t>22M, B3, 2.0mm</t>
        </is>
      </c>
      <c r="D939" s="2" t="inlineStr">
        <is>
          <t>b3</t>
        </is>
      </c>
      <c r="E939" s="2" t="inlineStr">
        <is>
          <t>2.0mm</t>
        </is>
      </c>
      <c r="F939" s="2" t="n">
        <v>1</v>
      </c>
      <c r="G939" s="2" t="n">
        <v>22</v>
      </c>
      <c r="H939" s="2" t="inlineStr">
        <is>
          <t>LC/PC</t>
        </is>
      </c>
      <c r="I939" s="2" t="inlineStr">
        <is>
          <t>LC/PC</t>
        </is>
      </c>
      <c r="J939" s="2" t="n"/>
      <c r="K939" s="2" t="n"/>
      <c r="L939" s="2" t="n"/>
      <c r="M939" s="2" t="n">
        <v>3</v>
      </c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>
        <f>SUM(J939:U939)*G939</f>
        <v/>
      </c>
      <c r="W939" s="2">
        <f>MAX(J939:U939)</f>
        <v/>
      </c>
      <c r="X939" s="2">
        <f>W939*G939</f>
        <v/>
      </c>
    </row>
    <row r="940">
      <c r="A940" s="2" t="inlineStr">
        <is>
          <t>A14-SB-N657</t>
        </is>
      </c>
      <c r="B940" s="3" t="inlineStr">
        <is>
          <t>SOJC-SM-LC/PC-LC/APC</t>
        </is>
      </c>
      <c r="C940" s="2" t="inlineStr">
        <is>
          <t>920001072, 3M, B3, 3.0mm</t>
        </is>
      </c>
      <c r="D940" s="2" t="inlineStr">
        <is>
          <t>b3</t>
        </is>
      </c>
      <c r="E940" s="2" t="inlineStr">
        <is>
          <t>3.0mm</t>
        </is>
      </c>
      <c r="F940" s="2" t="n">
        <v>1</v>
      </c>
      <c r="G940" s="2" t="n">
        <v>3</v>
      </c>
      <c r="H940" s="2" t="inlineStr">
        <is>
          <t>LC/PC</t>
        </is>
      </c>
      <c r="I940" s="2" t="inlineStr">
        <is>
          <t>LC/APC</t>
        </is>
      </c>
      <c r="J940" s="2" t="n"/>
      <c r="K940" s="2" t="n">
        <v>5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>
        <f>SUM(J940:U940)*G940</f>
        <v/>
      </c>
      <c r="W940" s="2">
        <f>MAX(J940:U940)</f>
        <v/>
      </c>
      <c r="X940" s="2">
        <f>W940*G940</f>
        <v/>
      </c>
    </row>
    <row r="941">
      <c r="A941" s="2" t="inlineStr">
        <is>
          <t>A14-SB-N816</t>
        </is>
      </c>
      <c r="B941" s="3" t="inlineStr">
        <is>
          <t>SOJC-SM-LC/PC-FC/PC</t>
        </is>
      </c>
      <c r="C941" s="2" t="inlineStr">
        <is>
          <t>12M, B3, 2.0mm</t>
        </is>
      </c>
      <c r="D941" s="2" t="inlineStr">
        <is>
          <t>b3</t>
        </is>
      </c>
      <c r="E941" s="2" t="inlineStr">
        <is>
          <t>2.0mm</t>
        </is>
      </c>
      <c r="F941" s="2" t="n">
        <v>1</v>
      </c>
      <c r="G941" s="2" t="n">
        <v>12</v>
      </c>
      <c r="H941" s="2" t="inlineStr">
        <is>
          <t>LC/PC</t>
        </is>
      </c>
      <c r="I941" s="2" t="inlineStr">
        <is>
          <t>FC/PC</t>
        </is>
      </c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>
        <v>3</v>
      </c>
      <c r="S941" s="2" t="n"/>
      <c r="T941" s="2" t="n"/>
      <c r="U941" s="2" t="n"/>
      <c r="V941" s="2">
        <f>SUM(J941:U941)*G941</f>
        <v/>
      </c>
      <c r="W941" s="2">
        <f>MAX(J941:U941)</f>
        <v/>
      </c>
      <c r="X941" s="2">
        <f>W941*G941</f>
        <v/>
      </c>
    </row>
    <row r="942">
      <c r="A942" s="2" t="inlineStr">
        <is>
          <t>A14-SB-N822</t>
        </is>
      </c>
      <c r="B942" s="3" t="inlineStr">
        <is>
          <t>SOJC-SM-LC/PC-LC/PC</t>
        </is>
      </c>
      <c r="C942" s="2" t="inlineStr">
        <is>
          <t>45M, B3, 2.0mm</t>
        </is>
      </c>
      <c r="D942" s="2" t="inlineStr">
        <is>
          <t>b3</t>
        </is>
      </c>
      <c r="E942" s="2" t="inlineStr">
        <is>
          <t>2.0mm</t>
        </is>
      </c>
      <c r="F942" s="2" t="n">
        <v>1</v>
      </c>
      <c r="G942" s="2" t="n">
        <v>45</v>
      </c>
      <c r="H942" s="2" t="inlineStr">
        <is>
          <t>LC/PC</t>
        </is>
      </c>
      <c r="I942" s="2" t="inlineStr">
        <is>
          <t>LC/PC</t>
        </is>
      </c>
      <c r="J942" s="2" t="n"/>
      <c r="K942" s="2" t="n"/>
      <c r="L942" s="2" t="n"/>
      <c r="M942" s="2" t="n"/>
      <c r="N942" s="2" t="n"/>
      <c r="O942" s="2" t="n"/>
      <c r="P942" s="2" t="n"/>
      <c r="Q942" s="2" t="n">
        <v>15</v>
      </c>
      <c r="R942" s="2" t="n"/>
      <c r="S942" s="2" t="n"/>
      <c r="T942" s="2" t="n"/>
      <c r="U942" s="2" t="n"/>
      <c r="V942" s="2">
        <f>SUM(J942:U942)*G942</f>
        <v/>
      </c>
      <c r="W942" s="2">
        <f>MAX(J942:U942)</f>
        <v/>
      </c>
      <c r="X942" s="2">
        <f>W942*G942</f>
        <v/>
      </c>
    </row>
    <row r="943">
      <c r="A943" s="2" t="inlineStr">
        <is>
          <t>A14-SB-N834</t>
        </is>
      </c>
      <c r="B943" s="3" t="inlineStr">
        <is>
          <t>SOJC-SM-LC/APC-FC/APC</t>
        </is>
      </c>
      <c r="C943" s="2" t="inlineStr">
        <is>
          <t>15M, B3, 2.0mm</t>
        </is>
      </c>
      <c r="D943" s="2" t="inlineStr">
        <is>
          <t>b3</t>
        </is>
      </c>
      <c r="E943" s="2" t="inlineStr">
        <is>
          <t>2.0mm</t>
        </is>
      </c>
      <c r="F943" s="2" t="n">
        <v>1</v>
      </c>
      <c r="G943" s="2" t="n">
        <v>15</v>
      </c>
      <c r="H943" s="2" t="inlineStr">
        <is>
          <t>LC/APC</t>
        </is>
      </c>
      <c r="I943" s="2" t="inlineStr">
        <is>
          <t>FC/APC</t>
        </is>
      </c>
      <c r="J943" s="2" t="n">
        <v>6</v>
      </c>
      <c r="K943" s="2" t="n"/>
      <c r="L943" s="2" t="n"/>
      <c r="M943" s="2" t="n"/>
      <c r="N943" s="2" t="n">
        <v>20</v>
      </c>
      <c r="O943" s="2" t="n">
        <v>25</v>
      </c>
      <c r="P943" s="2" t="n"/>
      <c r="Q943" s="2" t="n"/>
      <c r="R943" s="2" t="n"/>
      <c r="S943" s="2" t="n"/>
      <c r="T943" s="2" t="n"/>
      <c r="U943" s="2" t="n"/>
      <c r="V943" s="2">
        <f>SUM(J943:U943)*G943</f>
        <v/>
      </c>
      <c r="W943" s="2">
        <f>MAX(J943:U943)</f>
        <v/>
      </c>
      <c r="X943" s="2">
        <f>W943*G943</f>
        <v/>
      </c>
    </row>
    <row r="944">
      <c r="A944" s="2" t="inlineStr">
        <is>
          <t>A14-SB-N835</t>
        </is>
      </c>
      <c r="B944" s="3" t="inlineStr">
        <is>
          <t>SOJC-SM-LC/APC-FC/PC</t>
        </is>
      </c>
      <c r="C944" s="2" t="inlineStr">
        <is>
          <t>15M, B3, 2.0mm</t>
        </is>
      </c>
      <c r="D944" s="2" t="inlineStr">
        <is>
          <t>b3</t>
        </is>
      </c>
      <c r="E944" s="2" t="inlineStr">
        <is>
          <t>2.0mm</t>
        </is>
      </c>
      <c r="F944" s="2" t="n">
        <v>1</v>
      </c>
      <c r="G944" s="2" t="n">
        <v>15</v>
      </c>
      <c r="H944" s="2" t="inlineStr">
        <is>
          <t>LC/APC</t>
        </is>
      </c>
      <c r="I944" s="2" t="inlineStr">
        <is>
          <t>FC/PC</t>
        </is>
      </c>
      <c r="J944" s="2" t="n"/>
      <c r="K944" s="2" t="n"/>
      <c r="L944" s="2" t="n">
        <v>3</v>
      </c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>
        <f>SUM(J944:U944)*G944</f>
        <v/>
      </c>
      <c r="W944" s="2">
        <f>MAX(J944:U944)</f>
        <v/>
      </c>
      <c r="X944" s="2">
        <f>W944*G944</f>
        <v/>
      </c>
    </row>
    <row r="945">
      <c r="A945" s="2" t="inlineStr">
        <is>
          <t>A14-SB-N836</t>
        </is>
      </c>
      <c r="B945" s="3" t="inlineStr">
        <is>
          <t>SOJC-SM-LC/APC-FC/PC</t>
        </is>
      </c>
      <c r="C945" s="2" t="inlineStr">
        <is>
          <t>20M, B3, 2.0mm</t>
        </is>
      </c>
      <c r="D945" s="2" t="inlineStr">
        <is>
          <t>b3</t>
        </is>
      </c>
      <c r="E945" s="2" t="inlineStr">
        <is>
          <t>2.0mm</t>
        </is>
      </c>
      <c r="F945" s="2" t="n">
        <v>1</v>
      </c>
      <c r="G945" s="2" t="n">
        <v>20</v>
      </c>
      <c r="H945" s="2" t="inlineStr">
        <is>
          <t>LC/APC</t>
        </is>
      </c>
      <c r="I945" s="2" t="inlineStr">
        <is>
          <t>FC/PC</t>
        </is>
      </c>
      <c r="J945" s="2" t="n"/>
      <c r="K945" s="2" t="n"/>
      <c r="L945" s="2" t="n">
        <v>2</v>
      </c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>
        <f>SUM(J945:U945)*G945</f>
        <v/>
      </c>
      <c r="W945" s="2">
        <f>MAX(J945:U945)</f>
        <v/>
      </c>
      <c r="X945" s="2">
        <f>W945*G945</f>
        <v/>
      </c>
    </row>
    <row r="946">
      <c r="A946" s="2" t="inlineStr">
        <is>
          <t>A14-SB-N843</t>
        </is>
      </c>
      <c r="B946" s="3" t="inlineStr">
        <is>
          <t>SOJC-SM-LC/APC-LC/APC</t>
        </is>
      </c>
      <c r="C946" s="2" t="inlineStr">
        <is>
          <t>15M, B3, 2.0mm</t>
        </is>
      </c>
      <c r="D946" s="2" t="inlineStr">
        <is>
          <t>b3</t>
        </is>
      </c>
      <c r="E946" s="2" t="inlineStr">
        <is>
          <t>2.0mm</t>
        </is>
      </c>
      <c r="F946" s="2" t="n">
        <v>1</v>
      </c>
      <c r="G946" s="2" t="n">
        <v>15</v>
      </c>
      <c r="H946" s="2" t="inlineStr">
        <is>
          <t>LC/APC</t>
        </is>
      </c>
      <c r="I946" s="2" t="inlineStr">
        <is>
          <t>LC/APC</t>
        </is>
      </c>
      <c r="J946" s="2" t="n"/>
      <c r="K946" s="2" t="n"/>
      <c r="L946" s="2" t="n"/>
      <c r="M946" s="2" t="n"/>
      <c r="N946" s="2" t="n">
        <v>20</v>
      </c>
      <c r="O946" s="2" t="n"/>
      <c r="P946" s="2" t="n"/>
      <c r="Q946" s="2" t="n"/>
      <c r="R946" s="2" t="n"/>
      <c r="S946" s="2" t="n"/>
      <c r="T946" s="2" t="n"/>
      <c r="U946" s="2" t="n"/>
      <c r="V946" s="2">
        <f>SUM(J946:U946)*G946</f>
        <v/>
      </c>
      <c r="W946" s="2">
        <f>MAX(J946:U946)</f>
        <v/>
      </c>
      <c r="X946" s="2">
        <f>W946*G946</f>
        <v/>
      </c>
    </row>
    <row r="947">
      <c r="A947" s="2" t="inlineStr">
        <is>
          <t>A14-SB-N860</t>
        </is>
      </c>
      <c r="B947" s="3" t="inlineStr">
        <is>
          <t>SOJC-SM-LC/PC-LC/APC</t>
        </is>
      </c>
      <c r="C947" s="2" t="inlineStr">
        <is>
          <t>10M, B3, 2.0mm</t>
        </is>
      </c>
      <c r="D947" s="2" t="inlineStr">
        <is>
          <t>b3</t>
        </is>
      </c>
      <c r="E947" s="2" t="inlineStr">
        <is>
          <t>2.0mm</t>
        </is>
      </c>
      <c r="F947" s="2" t="n">
        <v>1</v>
      </c>
      <c r="G947" s="2" t="n">
        <v>10</v>
      </c>
      <c r="H947" s="2" t="inlineStr">
        <is>
          <t>LC/PC</t>
        </is>
      </c>
      <c r="I947" s="2" t="inlineStr">
        <is>
          <t>LC/APC</t>
        </is>
      </c>
      <c r="J947" s="2" t="n"/>
      <c r="K947" s="2" t="n"/>
      <c r="L947" s="2" t="n">
        <v>11</v>
      </c>
      <c r="M947" s="2" t="n"/>
      <c r="N947" s="2" t="n"/>
      <c r="O947" s="2" t="n">
        <v>10</v>
      </c>
      <c r="P947" s="2" t="n"/>
      <c r="Q947" s="2" t="n"/>
      <c r="R947" s="2" t="n"/>
      <c r="S947" s="2" t="n"/>
      <c r="T947" s="2" t="n"/>
      <c r="U947" s="2" t="n"/>
      <c r="V947" s="2">
        <f>SUM(J947:U947)*G947</f>
        <v/>
      </c>
      <c r="W947" s="2">
        <f>MAX(J947:U947)</f>
        <v/>
      </c>
      <c r="X947" s="2">
        <f>W947*G947</f>
        <v/>
      </c>
    </row>
    <row r="948">
      <c r="A948" s="2" t="inlineStr">
        <is>
          <t>A14-SB-N971</t>
        </is>
      </c>
      <c r="B948" s="3" t="inlineStr">
        <is>
          <t>SOJC-SM-LC/PC-LC/APC</t>
        </is>
      </c>
      <c r="C948" s="2" t="inlineStr">
        <is>
          <t>7M, B3, 2.0mm</t>
        </is>
      </c>
      <c r="D948" s="2" t="inlineStr">
        <is>
          <t>b3</t>
        </is>
      </c>
      <c r="E948" s="2" t="inlineStr">
        <is>
          <t>2.0mm</t>
        </is>
      </c>
      <c r="F948" s="2" t="n">
        <v>1</v>
      </c>
      <c r="G948" s="2" t="n">
        <v>7</v>
      </c>
      <c r="H948" s="2" t="inlineStr">
        <is>
          <t>LC/PC</t>
        </is>
      </c>
      <c r="I948" s="2" t="inlineStr">
        <is>
          <t>LC/APC</t>
        </is>
      </c>
      <c r="J948" s="2" t="n"/>
      <c r="K948" s="2" t="n"/>
      <c r="L948" s="2" t="n">
        <v>8</v>
      </c>
      <c r="M948" s="2" t="n"/>
      <c r="N948" s="2" t="n"/>
      <c r="O948" s="2" t="n">
        <v>2</v>
      </c>
      <c r="P948" s="2" t="n"/>
      <c r="Q948" s="2" t="n"/>
      <c r="R948" s="2" t="n"/>
      <c r="S948" s="2" t="n"/>
      <c r="T948" s="2" t="n"/>
      <c r="U948" s="2" t="n"/>
      <c r="V948" s="2">
        <f>SUM(J948:U948)*G948</f>
        <v/>
      </c>
      <c r="W948" s="2">
        <f>MAX(J948:U948)</f>
        <v/>
      </c>
      <c r="X948" s="2">
        <f>W948*G948</f>
        <v/>
      </c>
    </row>
    <row r="949">
      <c r="A949" s="2" t="inlineStr">
        <is>
          <t>A14-SB-N972</t>
        </is>
      </c>
      <c r="B949" s="3" t="inlineStr">
        <is>
          <t>SOJC-SM-LC/APC-FC/PC</t>
        </is>
      </c>
      <c r="C949" s="2" t="inlineStr">
        <is>
          <t>10M, B3, 2.0mm</t>
        </is>
      </c>
      <c r="D949" s="2" t="inlineStr">
        <is>
          <t>b3</t>
        </is>
      </c>
      <c r="E949" s="2" t="inlineStr">
        <is>
          <t>2.0mm</t>
        </is>
      </c>
      <c r="F949" s="2" t="n">
        <v>1</v>
      </c>
      <c r="G949" s="2" t="n">
        <v>10</v>
      </c>
      <c r="H949" s="2" t="inlineStr">
        <is>
          <t>LC/APC</t>
        </is>
      </c>
      <c r="I949" s="2" t="inlineStr">
        <is>
          <t>FC/PC</t>
        </is>
      </c>
      <c r="J949" s="2" t="n"/>
      <c r="K949" s="2" t="n"/>
      <c r="L949" s="2" t="n">
        <v>2</v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>
        <f>SUM(J949:U949)*G949</f>
        <v/>
      </c>
      <c r="W949" s="2">
        <f>MAX(J949:U949)</f>
        <v/>
      </c>
      <c r="X949" s="2">
        <f>W949*G949</f>
        <v/>
      </c>
    </row>
    <row r="950">
      <c r="A950" s="2" t="inlineStr">
        <is>
          <t>A14-SB-N973</t>
        </is>
      </c>
      <c r="B950" s="3" t="inlineStr">
        <is>
          <t>SOJC-SM-LC/APC-LC/APC</t>
        </is>
      </c>
      <c r="C950" s="2" t="inlineStr">
        <is>
          <t>20M, B3, 2.0mm</t>
        </is>
      </c>
      <c r="D950" s="2" t="inlineStr">
        <is>
          <t>b3</t>
        </is>
      </c>
      <c r="E950" s="2" t="inlineStr">
        <is>
          <t>2.0mm</t>
        </is>
      </c>
      <c r="F950" s="2" t="n">
        <v>1</v>
      </c>
      <c r="G950" s="2" t="n">
        <v>20</v>
      </c>
      <c r="H950" s="2" t="inlineStr">
        <is>
          <t>LC/APC</t>
        </is>
      </c>
      <c r="I950" s="2" t="inlineStr">
        <is>
          <t>LC/APC</t>
        </is>
      </c>
      <c r="J950" s="2" t="n"/>
      <c r="K950" s="2" t="n"/>
      <c r="L950" s="2" t="n">
        <v>15</v>
      </c>
      <c r="M950" s="2" t="n"/>
      <c r="N950" s="2" t="n"/>
      <c r="O950" s="2" t="n">
        <v>1</v>
      </c>
      <c r="P950" s="2" t="n"/>
      <c r="Q950" s="2" t="n"/>
      <c r="R950" s="2" t="n"/>
      <c r="S950" s="2" t="n"/>
      <c r="T950" s="2" t="n"/>
      <c r="U950" s="2" t="n"/>
      <c r="V950" s="2">
        <f>SUM(J950:U950)*G950</f>
        <v/>
      </c>
      <c r="W950" s="2">
        <f>MAX(J950:U950)</f>
        <v/>
      </c>
      <c r="X950" s="2">
        <f>W950*G950</f>
        <v/>
      </c>
    </row>
    <row r="951">
      <c r="A951" s="2" t="inlineStr">
        <is>
          <t>A14-SB-N974</t>
        </is>
      </c>
      <c r="B951" s="3" t="inlineStr">
        <is>
          <t>SOJC-SM-LC/APC-SC/PC</t>
        </is>
      </c>
      <c r="C951" s="2" t="inlineStr">
        <is>
          <t>20M, B3, 2.0mm</t>
        </is>
      </c>
      <c r="D951" s="2" t="inlineStr">
        <is>
          <t>b3</t>
        </is>
      </c>
      <c r="E951" s="2" t="inlineStr">
        <is>
          <t>2.0mm</t>
        </is>
      </c>
      <c r="F951" s="2" t="n">
        <v>1</v>
      </c>
      <c r="G951" s="2" t="n">
        <v>20</v>
      </c>
      <c r="H951" s="2" t="inlineStr">
        <is>
          <t>LC/APC</t>
        </is>
      </c>
      <c r="I951" s="2" t="inlineStr">
        <is>
          <t>SC/PC</t>
        </is>
      </c>
      <c r="J951" s="2" t="n"/>
      <c r="K951" s="2" t="n"/>
      <c r="L951" s="2" t="n">
        <v>1</v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>
        <f>SUM(J951:U951)*G951</f>
        <v/>
      </c>
      <c r="W951" s="2">
        <f>MAX(J951:U951)</f>
        <v/>
      </c>
      <c r="X951" s="2">
        <f>W951*G951</f>
        <v/>
      </c>
    </row>
    <row r="952">
      <c r="A952" s="2" t="inlineStr">
        <is>
          <t>A14-SB-N976</t>
        </is>
      </c>
      <c r="B952" s="3" t="inlineStr">
        <is>
          <t>SOJC-SM-LC/PC-LC/APC</t>
        </is>
      </c>
      <c r="C952" s="2" t="inlineStr">
        <is>
          <t>30M, B3, 2mm</t>
        </is>
      </c>
      <c r="D952" s="2" t="inlineStr">
        <is>
          <t>b3</t>
        </is>
      </c>
      <c r="E952" s="2" t="inlineStr">
        <is>
          <t>2.0mm</t>
        </is>
      </c>
      <c r="F952" s="2" t="n">
        <v>1</v>
      </c>
      <c r="G952" s="2" t="n">
        <v>30</v>
      </c>
      <c r="H952" s="2" t="inlineStr">
        <is>
          <t>LC/PC</t>
        </is>
      </c>
      <c r="I952" s="2" t="inlineStr">
        <is>
          <t>LC/APC</t>
        </is>
      </c>
      <c r="J952" s="2" t="n"/>
      <c r="K952" s="2" t="n"/>
      <c r="L952" s="2" t="n"/>
      <c r="M952" s="2" t="n"/>
      <c r="N952" s="2" t="n">
        <v>1</v>
      </c>
      <c r="O952" s="2" t="n">
        <v>15</v>
      </c>
      <c r="P952" s="2" t="n"/>
      <c r="Q952" s="2" t="n"/>
      <c r="R952" s="2" t="n"/>
      <c r="S952" s="2" t="n"/>
      <c r="T952" s="2" t="n"/>
      <c r="U952" s="2" t="n"/>
      <c r="V952" s="2">
        <f>SUM(J952:U952)*G952</f>
        <v/>
      </c>
      <c r="W952" s="2">
        <f>MAX(J952:U952)</f>
        <v/>
      </c>
      <c r="X952" s="2">
        <f>W952*G952</f>
        <v/>
      </c>
    </row>
    <row r="953">
      <c r="A953" s="2" t="inlineStr">
        <is>
          <t>A14-SB-N979</t>
        </is>
      </c>
      <c r="B953" s="3" t="inlineStr">
        <is>
          <t>SOJC-SM-LC/APC-LC/APC</t>
        </is>
      </c>
      <c r="C953" s="2" t="inlineStr">
        <is>
          <t>25M, B3, 2.0mm</t>
        </is>
      </c>
      <c r="D953" s="2" t="inlineStr">
        <is>
          <t>b3</t>
        </is>
      </c>
      <c r="E953" s="2" t="inlineStr">
        <is>
          <t>2.0mm</t>
        </is>
      </c>
      <c r="F953" s="2" t="n">
        <v>1</v>
      </c>
      <c r="G953" s="2" t="n">
        <v>25</v>
      </c>
      <c r="H953" s="2" t="inlineStr">
        <is>
          <t>LC/APC</t>
        </is>
      </c>
      <c r="I953" s="2" t="inlineStr">
        <is>
          <t>LC/APC</t>
        </is>
      </c>
      <c r="J953" s="2" t="n"/>
      <c r="K953" s="2" t="n"/>
      <c r="L953" s="2" t="n"/>
      <c r="M953" s="2" t="n"/>
      <c r="N953" s="2" t="n"/>
      <c r="O953" s="2" t="n">
        <v>1</v>
      </c>
      <c r="P953" s="2" t="n"/>
      <c r="Q953" s="2" t="n"/>
      <c r="R953" s="2" t="n"/>
      <c r="S953" s="2" t="n"/>
      <c r="T953" s="2" t="n"/>
      <c r="U953" s="2" t="n"/>
      <c r="V953" s="2">
        <f>SUM(J953:U953)*G953</f>
        <v/>
      </c>
      <c r="W953" s="2">
        <f>MAX(J953:U953)</f>
        <v/>
      </c>
      <c r="X953" s="2">
        <f>W953*G953</f>
        <v/>
      </c>
    </row>
    <row r="954">
      <c r="A954" s="2" t="inlineStr">
        <is>
          <t>A14-SB-N980</t>
        </is>
      </c>
      <c r="B954" s="3" t="inlineStr">
        <is>
          <t>SOJC-SM-​LC/APC-FC/APC</t>
        </is>
      </c>
      <c r="C954" s="2" t="inlineStr">
        <is>
          <t>7M, B3, 2.0mm</t>
        </is>
      </c>
      <c r="D954" s="2" t="inlineStr">
        <is>
          <t>b3</t>
        </is>
      </c>
      <c r="E954" s="2" t="inlineStr">
        <is>
          <t>2.0mm</t>
        </is>
      </c>
      <c r="F954" s="2" t="n">
        <v>1</v>
      </c>
      <c r="G954" s="2" t="n">
        <v>7</v>
      </c>
      <c r="H954" s="2" t="inlineStr">
        <is>
          <t>LC/APC</t>
        </is>
      </c>
      <c r="I954" s="2" t="inlineStr">
        <is>
          <t>FC/APC</t>
        </is>
      </c>
      <c r="J954" s="2" t="n"/>
      <c r="K954" s="2" t="n"/>
      <c r="L954" s="2" t="n"/>
      <c r="M954" s="2" t="n"/>
      <c r="N954" s="2" t="n"/>
      <c r="O954" s="2" t="n">
        <v>10</v>
      </c>
      <c r="P954" s="2" t="n"/>
      <c r="Q954" s="2" t="n"/>
      <c r="R954" s="2" t="n"/>
      <c r="S954" s="2" t="n"/>
      <c r="T954" s="2" t="n"/>
      <c r="U954" s="2" t="n"/>
      <c r="V954" s="2">
        <f>SUM(J954:U954)*G954</f>
        <v/>
      </c>
      <c r="W954" s="2">
        <f>MAX(J954:U954)</f>
        <v/>
      </c>
      <c r="X954" s="2">
        <f>W954*G954</f>
        <v/>
      </c>
    </row>
    <row r="955">
      <c r="A955" s="2" t="inlineStr">
        <is>
          <t>A14-SB-N981</t>
        </is>
      </c>
      <c r="B955" s="3" t="inlineStr">
        <is>
          <t>SOJC-SM-​LC/APC-FC/APC</t>
        </is>
      </c>
      <c r="C955" s="2" t="inlineStr">
        <is>
          <t>8M, B3, 2.0mm</t>
        </is>
      </c>
      <c r="D955" s="2" t="inlineStr">
        <is>
          <t>b3</t>
        </is>
      </c>
      <c r="E955" s="2" t="inlineStr">
        <is>
          <t>2.0mm</t>
        </is>
      </c>
      <c r="F955" s="2" t="n">
        <v>1</v>
      </c>
      <c r="G955" s="2" t="n">
        <v>8</v>
      </c>
      <c r="H955" s="2" t="inlineStr">
        <is>
          <t>LC/APC</t>
        </is>
      </c>
      <c r="I955" s="2" t="inlineStr">
        <is>
          <t>FC/APC</t>
        </is>
      </c>
      <c r="J955" s="2" t="n"/>
      <c r="K955" s="2" t="n"/>
      <c r="L955" s="2" t="n"/>
      <c r="M955" s="2" t="n"/>
      <c r="N955" s="2" t="n"/>
      <c r="O955" s="2" t="n">
        <v>8</v>
      </c>
      <c r="P955" s="2" t="n"/>
      <c r="Q955" s="2" t="n"/>
      <c r="R955" s="2" t="n"/>
      <c r="S955" s="2" t="n"/>
      <c r="T955" s="2" t="n"/>
      <c r="U955" s="2" t="n"/>
      <c r="V955" s="2">
        <f>SUM(J955:U955)*G955</f>
        <v/>
      </c>
      <c r="W955" s="2">
        <f>MAX(J955:U955)</f>
        <v/>
      </c>
      <c r="X955" s="2">
        <f>W955*G955</f>
        <v/>
      </c>
    </row>
    <row r="956">
      <c r="A956" s="2" t="inlineStr">
        <is>
          <t>A14-SB-N982</t>
        </is>
      </c>
      <c r="B956" s="3" t="inlineStr">
        <is>
          <t>SOJC-SM-LC/PC-LC/PC</t>
        </is>
      </c>
      <c r="C956" s="2" t="inlineStr">
        <is>
          <t>0.5M,B3,2.0mm</t>
        </is>
      </c>
      <c r="D956" s="2" t="inlineStr">
        <is>
          <t>b3</t>
        </is>
      </c>
      <c r="E956" s="2" t="inlineStr">
        <is>
          <t>2.0mm</t>
        </is>
      </c>
      <c r="F956" s="2" t="n">
        <v>1</v>
      </c>
      <c r="G956" s="2" t="n">
        <v>0.5</v>
      </c>
      <c r="H956" s="2" t="inlineStr">
        <is>
          <t>LC/PC</t>
        </is>
      </c>
      <c r="I956" s="2" t="inlineStr">
        <is>
          <t>LC/PC</t>
        </is>
      </c>
      <c r="J956" s="2" t="n"/>
      <c r="K956" s="2" t="n"/>
      <c r="L956" s="2" t="n"/>
      <c r="M956" s="2" t="n"/>
      <c r="N956" s="2" t="n"/>
      <c r="O956" s="2" t="n">
        <v>55</v>
      </c>
      <c r="P956" s="2" t="n">
        <v>50</v>
      </c>
      <c r="Q956" s="2" t="n"/>
      <c r="R956" s="2" t="n"/>
      <c r="S956" s="2" t="n"/>
      <c r="T956" s="2" t="n"/>
      <c r="U956" s="2" t="n"/>
      <c r="V956" s="2">
        <f>SUM(J956:U956)*G956</f>
        <v/>
      </c>
      <c r="W956" s="2">
        <f>MAX(J956:U956)</f>
        <v/>
      </c>
      <c r="X956" s="2">
        <f>W956*G956</f>
        <v/>
      </c>
    </row>
    <row r="957">
      <c r="A957" s="2" t="inlineStr">
        <is>
          <t>A14-SB-N983</t>
        </is>
      </c>
      <c r="B957" s="3" t="inlineStr">
        <is>
          <t>DOJC-SM-LC/APC-LC/APC</t>
        </is>
      </c>
      <c r="C957" s="2" t="inlineStr">
        <is>
          <t>50M, B3, 2.0mm</t>
        </is>
      </c>
      <c r="D957" s="2" t="inlineStr">
        <is>
          <t>b3</t>
        </is>
      </c>
      <c r="E957" s="2" t="inlineStr">
        <is>
          <t>2.0mm</t>
        </is>
      </c>
      <c r="F957" s="2" t="n">
        <v>2</v>
      </c>
      <c r="G957" s="2" t="n">
        <v>50</v>
      </c>
      <c r="H957" s="2" t="inlineStr">
        <is>
          <t>LC/APC</t>
        </is>
      </c>
      <c r="I957" s="2" t="inlineStr">
        <is>
          <t>LC/APC</t>
        </is>
      </c>
      <c r="J957" s="2" t="n"/>
      <c r="K957" s="2" t="n"/>
      <c r="L957" s="2" t="n"/>
      <c r="M957" s="2" t="n"/>
      <c r="N957" s="2" t="n"/>
      <c r="O957" s="2" t="n">
        <v>60</v>
      </c>
      <c r="P957" s="2" t="n"/>
      <c r="Q957" s="2" t="n"/>
      <c r="R957" s="2" t="n"/>
      <c r="S957" s="2" t="n"/>
      <c r="T957" s="2" t="n"/>
      <c r="U957" s="2" t="n"/>
      <c r="V957" s="2">
        <f>SUM(J957:U957)*G957</f>
        <v/>
      </c>
      <c r="W957" s="2">
        <f>MAX(J957:U957)</f>
        <v/>
      </c>
      <c r="X957" s="2">
        <f>W957*G957</f>
        <v/>
      </c>
    </row>
    <row r="958">
      <c r="A958" s="2" t="inlineStr">
        <is>
          <t>A14-SB-N984</t>
        </is>
      </c>
      <c r="B958" s="3" t="inlineStr">
        <is>
          <t>DOJC-SM-LC/APC-FC/APC</t>
        </is>
      </c>
      <c r="C958" s="2" t="inlineStr">
        <is>
          <t>22M, B3, 2.0mm</t>
        </is>
      </c>
      <c r="D958" s="2" t="inlineStr">
        <is>
          <t>b3</t>
        </is>
      </c>
      <c r="E958" s="2" t="inlineStr">
        <is>
          <t>2.0mm</t>
        </is>
      </c>
      <c r="F958" s="2" t="n">
        <v>2</v>
      </c>
      <c r="G958" s="2" t="n">
        <v>22</v>
      </c>
      <c r="H958" s="2" t="inlineStr">
        <is>
          <t>LC/APC</t>
        </is>
      </c>
      <c r="I958" s="2" t="inlineStr">
        <is>
          <t>FC/APC</t>
        </is>
      </c>
      <c r="J958" s="2" t="n"/>
      <c r="K958" s="2" t="n"/>
      <c r="L958" s="2" t="n"/>
      <c r="M958" s="2" t="n"/>
      <c r="N958" s="2" t="n"/>
      <c r="O958" s="2" t="n">
        <v>2</v>
      </c>
      <c r="P958" s="2" t="n"/>
      <c r="Q958" s="2" t="n"/>
      <c r="R958" s="2" t="n"/>
      <c r="S958" s="2" t="n"/>
      <c r="T958" s="2" t="n"/>
      <c r="U958" s="2" t="n"/>
      <c r="V958" s="2">
        <f>SUM(J958:U958)*G958</f>
        <v/>
      </c>
      <c r="W958" s="2">
        <f>MAX(J958:U958)</f>
        <v/>
      </c>
      <c r="X958" s="2">
        <f>W958*G958</f>
        <v/>
      </c>
    </row>
    <row r="959">
      <c r="A959" s="2" t="inlineStr">
        <is>
          <t>A14-SB-N985</t>
        </is>
      </c>
      <c r="B959" s="3" t="inlineStr">
        <is>
          <t>DOJC-SM-LC/APC-LC/APC</t>
        </is>
      </c>
      <c r="C959" s="2" t="inlineStr">
        <is>
          <t>16M, B3, 2.0mm</t>
        </is>
      </c>
      <c r="D959" s="2" t="inlineStr">
        <is>
          <t>b3</t>
        </is>
      </c>
      <c r="E959" s="2" t="inlineStr">
        <is>
          <t>2.0mm</t>
        </is>
      </c>
      <c r="F959" s="2" t="n">
        <v>2</v>
      </c>
      <c r="G959" s="2" t="n">
        <v>16</v>
      </c>
      <c r="H959" s="2" t="inlineStr">
        <is>
          <t>LC/APC</t>
        </is>
      </c>
      <c r="I959" s="2" t="inlineStr">
        <is>
          <t>LC/APC</t>
        </is>
      </c>
      <c r="J959" s="2" t="n"/>
      <c r="K959" s="2" t="n"/>
      <c r="L959" s="2" t="n"/>
      <c r="M959" s="2" t="n"/>
      <c r="N959" s="2" t="n"/>
      <c r="O959" s="2" t="n">
        <v>33</v>
      </c>
      <c r="P959" s="2" t="n">
        <v>30</v>
      </c>
      <c r="Q959" s="2" t="n"/>
      <c r="R959" s="2" t="n"/>
      <c r="S959" s="2" t="n"/>
      <c r="T959" s="2" t="n"/>
      <c r="U959" s="2" t="n"/>
      <c r="V959" s="2">
        <f>SUM(J959:U959)*G959</f>
        <v/>
      </c>
      <c r="W959" s="2">
        <f>MAX(J959:U959)</f>
        <v/>
      </c>
      <c r="X959" s="2">
        <f>W959*G959</f>
        <v/>
      </c>
    </row>
    <row r="960">
      <c r="A960" s="2" t="inlineStr">
        <is>
          <t>A14-SB-NA06</t>
        </is>
      </c>
      <c r="B960" s="3" t="inlineStr">
        <is>
          <t>SOJC-SM-LC/PC-LC/APC</t>
        </is>
      </c>
      <c r="C960" s="2" t="inlineStr">
        <is>
          <t>12M, B3, 2.0mm</t>
        </is>
      </c>
      <c r="D960" s="2" t="inlineStr">
        <is>
          <t>b3</t>
        </is>
      </c>
      <c r="E960" s="2" t="inlineStr">
        <is>
          <t>2.0mm</t>
        </is>
      </c>
      <c r="F960" s="2" t="n">
        <v>1</v>
      </c>
      <c r="G960" s="2" t="n">
        <v>12</v>
      </c>
      <c r="H960" s="2" t="inlineStr">
        <is>
          <t>LC/PC</t>
        </is>
      </c>
      <c r="I960" s="2" t="inlineStr">
        <is>
          <t>LC/APC</t>
        </is>
      </c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>
        <v>2</v>
      </c>
      <c r="S960" s="2" t="n"/>
      <c r="T960" s="2" t="n"/>
      <c r="U960" s="2" t="n"/>
      <c r="V960" s="2">
        <f>SUM(J960:U960)*G960</f>
        <v/>
      </c>
      <c r="W960" s="2">
        <f>MAX(J960:U960)</f>
        <v/>
      </c>
      <c r="X960" s="2">
        <f>W960*G960</f>
        <v/>
      </c>
    </row>
    <row r="961">
      <c r="A961" s="2" t="inlineStr">
        <is>
          <t>A14-SB-NA31</t>
        </is>
      </c>
      <c r="B961" s="3" t="inlineStr">
        <is>
          <t>SOJC-SM-SC/PC-FC/APC</t>
        </is>
      </c>
      <c r="C961" s="2" t="inlineStr">
        <is>
          <t>17M, B3, 2.0mm</t>
        </is>
      </c>
      <c r="D961" s="2" t="inlineStr">
        <is>
          <t>b3</t>
        </is>
      </c>
      <c r="E961" s="2" t="inlineStr">
        <is>
          <t>2.0mm</t>
        </is>
      </c>
      <c r="F961" s="2" t="n">
        <v>1</v>
      </c>
      <c r="G961" s="2" t="n">
        <v>17</v>
      </c>
      <c r="H961" s="2" t="inlineStr">
        <is>
          <t>SC/PC</t>
        </is>
      </c>
      <c r="I961" s="2" t="inlineStr">
        <is>
          <t>FC/APC</t>
        </is>
      </c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>
        <v>21</v>
      </c>
      <c r="S961" s="2" t="n"/>
      <c r="T961" s="2" t="n"/>
      <c r="U961" s="2" t="n"/>
      <c r="V961" s="2">
        <f>SUM(J961:U961)*G961</f>
        <v/>
      </c>
      <c r="W961" s="2">
        <f>MAX(J961:U961)</f>
        <v/>
      </c>
      <c r="X961" s="2">
        <f>W961*G961</f>
        <v/>
      </c>
    </row>
    <row r="962">
      <c r="A962" s="2" t="inlineStr">
        <is>
          <t>A14-SB-NA32</t>
        </is>
      </c>
      <c r="B962" s="3" t="inlineStr">
        <is>
          <t>SOJC-SM-SC/PC-SC/PC</t>
        </is>
      </c>
      <c r="C962" s="2" t="inlineStr">
        <is>
          <t>0.5M, B3, 2.0mm</t>
        </is>
      </c>
      <c r="D962" s="2" t="inlineStr">
        <is>
          <t>b3</t>
        </is>
      </c>
      <c r="E962" s="2" t="inlineStr">
        <is>
          <t>2.0mm</t>
        </is>
      </c>
      <c r="F962" s="2" t="n">
        <v>1</v>
      </c>
      <c r="G962" s="2" t="n">
        <v>0.5</v>
      </c>
      <c r="H962" s="2" t="inlineStr">
        <is>
          <t>SC/PC</t>
        </is>
      </c>
      <c r="I962" s="2" t="inlineStr">
        <is>
          <t>SC/PC</t>
        </is>
      </c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>
        <v>100</v>
      </c>
      <c r="V962" s="2">
        <f>SUM(J962:U962)*G962</f>
        <v/>
      </c>
      <c r="W962" s="2">
        <f>MAX(J962:U962)</f>
        <v/>
      </c>
      <c r="X962" s="2">
        <f>W962*G962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9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24년01월</t>
        </is>
      </c>
      <c r="K1" s="1" t="inlineStr">
        <is>
          <t>24년02월</t>
        </is>
      </c>
      <c r="L1" s="1" t="inlineStr">
        <is>
          <t>24년03월</t>
        </is>
      </c>
      <c r="M1" s="1" t="inlineStr">
        <is>
          <t>24년04월</t>
        </is>
      </c>
      <c r="N1" s="1" t="inlineStr">
        <is>
          <t>24년05월</t>
        </is>
      </c>
      <c r="O1" s="1" t="inlineStr">
        <is>
          <t>24년06월</t>
        </is>
      </c>
      <c r="P1" s="1" t="inlineStr">
        <is>
          <t>24년07월</t>
        </is>
      </c>
      <c r="Q1" s="1" t="inlineStr">
        <is>
          <t>24년08월</t>
        </is>
      </c>
      <c r="R1" s="1" t="inlineStr">
        <is>
          <t>24년09월</t>
        </is>
      </c>
      <c r="S1" s="1" t="inlineStr">
        <is>
          <t>24년10월</t>
        </is>
      </c>
      <c r="T1" s="1" t="inlineStr">
        <is>
          <t>24년11월</t>
        </is>
      </c>
      <c r="U1" s="1" t="inlineStr">
        <is>
          <t>24년12월</t>
        </is>
      </c>
      <c r="V1" s="1" t="inlineStr">
        <is>
          <t>합계</t>
        </is>
      </c>
      <c r="W1" s="1" t="inlineStr">
        <is>
          <t>2.0MM - LC/PC(청색 하우징 키트)</t>
        </is>
      </c>
      <c r="X1" s="1" t="inlineStr">
        <is>
          <t>2.0MM - LC/PC(적색 하우징 키트)</t>
        </is>
      </c>
      <c r="Y1" s="1" t="inlineStr">
        <is>
          <t>2.0MM - LC/APC(녹색 하우징 키트)</t>
        </is>
      </c>
      <c r="Z1" s="1" t="inlineStr">
        <is>
          <t>2.0MM - LC/APC(적색 하우징 키트)</t>
        </is>
      </c>
      <c r="AA1" s="1" t="inlineStr">
        <is>
          <t>2.0MM - SC/PC(청) 하우징키트</t>
        </is>
      </c>
      <c r="AB1" s="1" t="inlineStr">
        <is>
          <t>2.0MM - SC/PC(적 부트) 하우징키트</t>
        </is>
      </c>
      <c r="AC1" s="1" t="inlineStr">
        <is>
          <t>2.0MM - SC/APC(녹)하우징키트</t>
        </is>
      </c>
      <c r="AD1" s="1" t="inlineStr">
        <is>
          <t>2.0MM - SC/APC(적)하우징키트</t>
        </is>
      </c>
      <c r="AE1" s="1" t="inlineStr">
        <is>
          <t>2.0MM - FC/PC(흑색 하우징키트)</t>
        </is>
      </c>
      <c r="AF1" s="1" t="inlineStr">
        <is>
          <t>2.0MM - FC/PC(적색 하우징키트)</t>
        </is>
      </c>
      <c r="AG1" s="1" t="inlineStr">
        <is>
          <t>2.0MM - FC/APC(녹색 하우징 키트)</t>
        </is>
      </c>
      <c r="AH1" s="1" t="inlineStr">
        <is>
          <t>2.0MM - FC/APC(적색 하우징 키트)</t>
        </is>
      </c>
      <c r="AI1" s="1" t="inlineStr">
        <is>
          <t>2.0MM - OJC LC/PC-MM 2.0 BEIGE</t>
        </is>
      </c>
      <c r="AJ1" s="1" t="inlineStr">
        <is>
          <t>3.0MM - LC/PC(청색 하우징 키트)</t>
        </is>
      </c>
      <c r="AK1" s="1" t="inlineStr">
        <is>
          <t>3.0MM - LC/PC(적색 하우징 키트)</t>
        </is>
      </c>
      <c r="AL1" s="1" t="inlineStr">
        <is>
          <t>3.0MM - LC/APC(녹색 하우징 키트)</t>
        </is>
      </c>
      <c r="AM1" s="1" t="inlineStr">
        <is>
          <t>3.0MM - LC/APC(적색 하우징 키트)</t>
        </is>
      </c>
      <c r="AN1" s="1" t="inlineStr">
        <is>
          <t>3.0MM - SC/PC(청) 하우징키트</t>
        </is>
      </c>
      <c r="AO1" s="1" t="inlineStr">
        <is>
          <t>3.0MM - SC/PC(적) 하우징키트</t>
        </is>
      </c>
      <c r="AP1" s="1" t="inlineStr">
        <is>
          <t>3.0MM - SC/APC(녹)</t>
        </is>
      </c>
      <c r="AQ1" s="1" t="inlineStr">
        <is>
          <t>3.0MM - SC/APC(적)</t>
        </is>
      </c>
      <c r="AR1" s="1" t="inlineStr">
        <is>
          <t>3.0MM - FC/PC(흑색 하우징키트)</t>
        </is>
      </c>
      <c r="AS1" s="1" t="inlineStr">
        <is>
          <t>3.0MM - FC/PC(적색 하우징키트)</t>
        </is>
      </c>
      <c r="AT1" s="1" t="inlineStr">
        <is>
          <t>3.0MM - FC/APC(녹색 하우징 키트)</t>
        </is>
      </c>
      <c r="AU1" s="1" t="inlineStr">
        <is>
          <t>3.0MM - FC/APC(적색 하우징 키트)</t>
        </is>
      </c>
      <c r="AV1" s="1" t="inlineStr">
        <is>
          <t>검증(하우징 필요수량)</t>
        </is>
      </c>
      <c r="AW1" s="1" t="inlineStr">
        <is>
          <t>하우징 계산 수량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/>
      <c r="K2" s="2" t="n">
        <v>20</v>
      </c>
      <c r="L2" s="2" t="n">
        <v>30</v>
      </c>
      <c r="M2" s="2" t="n"/>
      <c r="N2" s="2" t="n">
        <v>30</v>
      </c>
      <c r="O2" s="2" t="n">
        <v>80</v>
      </c>
      <c r="P2" s="2" t="n"/>
      <c r="Q2" s="2" t="n">
        <v>150</v>
      </c>
      <c r="R2" s="2" t="n"/>
      <c r="S2" s="2" t="n"/>
      <c r="T2" s="2" t="n"/>
      <c r="U2" s="2" t="n">
        <v>20</v>
      </c>
      <c r="V2" s="2">
        <f>SUM(J2:U2)</f>
        <v/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>
        <v>660</v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>
        <f>IF(F2=1,V2*2,IF(F2=2,V2*F2*2,IF(F2&gt;2,F2*2*V2)))</f>
        <v/>
      </c>
      <c r="AW2" s="2">
        <f>SUM(W2:AU2)</f>
        <v/>
      </c>
    </row>
    <row r="3">
      <c r="A3" s="2" t="inlineStr">
        <is>
          <t>14-C-003</t>
        </is>
      </c>
      <c r="B3" s="3" t="inlineStr">
        <is>
          <t>DROP-CABLE(LC/PC)</t>
        </is>
      </c>
      <c r="C3" s="2" t="inlineStr">
        <is>
          <t>20M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20</v>
      </c>
      <c r="H3" s="2" t="inlineStr">
        <is>
          <t>LC/PC</t>
        </is>
      </c>
      <c r="I3" s="2" t="inlineStr">
        <is>
          <t>LC/PC</t>
        </is>
      </c>
      <c r="J3" s="2" t="n"/>
      <c r="K3" s="2" t="n"/>
      <c r="L3" s="2" t="n"/>
      <c r="M3" s="2" t="n"/>
      <c r="N3" s="2" t="n">
        <v>100</v>
      </c>
      <c r="O3" s="2" t="n">
        <v>100</v>
      </c>
      <c r="P3" s="2" t="n"/>
      <c r="Q3" s="2" t="n"/>
      <c r="R3" s="2" t="n"/>
      <c r="S3" s="2" t="n"/>
      <c r="T3" s="2" t="n">
        <v>30</v>
      </c>
      <c r="U3" s="2" t="n"/>
      <c r="V3" s="2">
        <f>SUM(J3:U3)</f>
        <v/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>
        <v>460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>
        <f>IF(F3=1,V3*2,IF(F3=2,V3*F3*2,IF(F3&gt;2,F3*2*V3)))</f>
        <v/>
      </c>
      <c r="AW3" s="2">
        <f>SUM(W3:AU3)</f>
        <v/>
      </c>
    </row>
    <row r="4">
      <c r="A4" s="2" t="inlineStr">
        <is>
          <t>14-C-005</t>
        </is>
      </c>
      <c r="B4" s="3" t="inlineStr">
        <is>
          <t>DROP-CABLE(LC/PC)</t>
        </is>
      </c>
      <c r="C4" s="2" t="inlineStr">
        <is>
          <t>3M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3</v>
      </c>
      <c r="H4" s="2" t="inlineStr">
        <is>
          <t>LC/PC</t>
        </is>
      </c>
      <c r="I4" s="2" t="inlineStr">
        <is>
          <t>LC/PC</t>
        </is>
      </c>
      <c r="J4" s="2" t="n">
        <v>50</v>
      </c>
      <c r="K4" s="2" t="n">
        <v>30</v>
      </c>
      <c r="L4" s="2" t="n">
        <v>200</v>
      </c>
      <c r="M4" s="2" t="n"/>
      <c r="N4" s="2" t="n">
        <v>470</v>
      </c>
      <c r="O4" s="2" t="n"/>
      <c r="P4" s="2" t="n"/>
      <c r="Q4" s="2" t="n"/>
      <c r="R4" s="2" t="n">
        <v>50</v>
      </c>
      <c r="S4" s="2" t="n">
        <v>50</v>
      </c>
      <c r="T4" s="2" t="n">
        <v>30</v>
      </c>
      <c r="U4" s="2" t="n"/>
      <c r="V4" s="2">
        <f>SUM(J4:U4)</f>
        <v/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>
        <v>1760</v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>
        <f>IF(F4=1,V4*2,IF(F4=2,V4*F4*2,IF(F4&gt;2,F4*2*V4)))</f>
        <v/>
      </c>
      <c r="AW4" s="2">
        <f>SUM(W4:AU4)</f>
        <v/>
      </c>
    </row>
    <row r="5">
      <c r="A5" s="2" t="inlineStr">
        <is>
          <t>14-C-006</t>
        </is>
      </c>
      <c r="B5" s="3" t="inlineStr">
        <is>
          <t>DROP-CABLE(LC/PC)</t>
        </is>
      </c>
      <c r="C5" s="2" t="inlineStr">
        <is>
          <t>5M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5</v>
      </c>
      <c r="H5" s="2" t="inlineStr">
        <is>
          <t>LC/PC</t>
        </is>
      </c>
      <c r="I5" s="2" t="inlineStr">
        <is>
          <t>LC/PC</t>
        </is>
      </c>
      <c r="J5" s="2" t="n">
        <v>30</v>
      </c>
      <c r="K5" s="2" t="n">
        <v>50</v>
      </c>
      <c r="L5" s="2" t="n">
        <v>200</v>
      </c>
      <c r="M5" s="2" t="n"/>
      <c r="N5" s="2" t="n"/>
      <c r="O5" s="2" t="n"/>
      <c r="P5" s="2" t="n"/>
      <c r="Q5" s="2" t="n">
        <v>50</v>
      </c>
      <c r="R5" s="2" t="n">
        <v>30</v>
      </c>
      <c r="S5" s="2" t="n">
        <v>110</v>
      </c>
      <c r="T5" s="2" t="n">
        <v>10</v>
      </c>
      <c r="U5" s="2" t="n"/>
      <c r="V5" s="2">
        <f>SUM(J5:U5)</f>
        <v/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>
        <v>960</v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>
        <f>IF(F5=1,V5*2,IF(F5=2,V5*F5*2,IF(F5&gt;2,F5*2*V5)))</f>
        <v/>
      </c>
      <c r="AW5" s="2">
        <f>SUM(W5:AU5)</f>
        <v/>
      </c>
    </row>
    <row r="6">
      <c r="A6" s="2" t="inlineStr">
        <is>
          <t>14-C-009</t>
        </is>
      </c>
      <c r="B6" s="3" t="inlineStr">
        <is>
          <t>DROP-CABLE(LC/PC-SC/APC)</t>
        </is>
      </c>
      <c r="C6" s="2" t="inlineStr">
        <is>
          <t>10M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10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>
        <v>30</v>
      </c>
      <c r="O6" s="2" t="n"/>
      <c r="P6" s="2" t="n">
        <v>100</v>
      </c>
      <c r="Q6" s="2" t="n"/>
      <c r="R6" s="2" t="n"/>
      <c r="S6" s="2" t="n"/>
      <c r="T6" s="2" t="n"/>
      <c r="U6" s="2" t="n"/>
      <c r="V6" s="2">
        <f>SUM(J6:U6)</f>
        <v/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>
        <v>130</v>
      </c>
      <c r="AK6" s="2" t="n"/>
      <c r="AL6" s="2" t="n"/>
      <c r="AM6" s="2" t="n"/>
      <c r="AN6" s="2" t="n"/>
      <c r="AO6" s="2" t="n"/>
      <c r="AP6" s="2" t="n">
        <v>130</v>
      </c>
      <c r="AQ6" s="2" t="n"/>
      <c r="AR6" s="2" t="n"/>
      <c r="AS6" s="2" t="n"/>
      <c r="AT6" s="2" t="n"/>
      <c r="AU6" s="2" t="n"/>
      <c r="AV6" s="2">
        <f>IF(F6=1,V6*2,IF(F6=2,V6*F6*2,IF(F6&gt;2,F6*2*V6)))</f>
        <v/>
      </c>
      <c r="AW6" s="2">
        <f>SUM(W6:AU6)</f>
        <v/>
      </c>
    </row>
    <row r="7">
      <c r="A7" s="2" t="inlineStr">
        <is>
          <t>14-C-010</t>
        </is>
      </c>
      <c r="B7" s="3" t="inlineStr">
        <is>
          <t>DROP-CABLE(LC/PC-SC/APC)</t>
        </is>
      </c>
      <c r="C7" s="2" t="inlineStr">
        <is>
          <t>20M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20</v>
      </c>
      <c r="H7" s="2" t="inlineStr">
        <is>
          <t>LC/PC</t>
        </is>
      </c>
      <c r="I7" s="2" t="inlineStr">
        <is>
          <t>SC/APC</t>
        </is>
      </c>
      <c r="J7" s="2" t="n"/>
      <c r="K7" s="2" t="n"/>
      <c r="L7" s="2" t="n"/>
      <c r="M7" s="2" t="n">
        <v>30</v>
      </c>
      <c r="N7" s="2" t="n"/>
      <c r="O7" s="2" t="n"/>
      <c r="P7" s="2" t="n"/>
      <c r="Q7" s="2" t="n"/>
      <c r="R7" s="2" t="n"/>
      <c r="S7" s="2" t="n"/>
      <c r="T7" s="2" t="n"/>
      <c r="U7" s="2" t="n"/>
      <c r="V7" s="2">
        <f>SUM(J7:U7)</f>
        <v/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>
        <v>30</v>
      </c>
      <c r="AK7" s="2" t="n"/>
      <c r="AL7" s="2" t="n"/>
      <c r="AM7" s="2" t="n"/>
      <c r="AN7" s="2" t="n"/>
      <c r="AO7" s="2" t="n"/>
      <c r="AP7" s="2" t="n">
        <v>30</v>
      </c>
      <c r="AQ7" s="2" t="n"/>
      <c r="AR7" s="2" t="n"/>
      <c r="AS7" s="2" t="n"/>
      <c r="AT7" s="2" t="n"/>
      <c r="AU7" s="2" t="n"/>
      <c r="AV7" s="2">
        <f>IF(F7=1,V7*2,IF(F7=2,V7*F7*2,IF(F7&gt;2,F7*2*V7)))</f>
        <v/>
      </c>
      <c r="AW7" s="2">
        <f>SUM(W7:AU7)</f>
        <v/>
      </c>
    </row>
    <row r="8">
      <c r="A8" s="2" t="inlineStr">
        <is>
          <t>14-C-013</t>
        </is>
      </c>
      <c r="B8" s="3" t="inlineStr">
        <is>
          <t>DROP-CABLE(SC/APC)</t>
        </is>
      </c>
      <c r="C8" s="2" t="inlineStr">
        <is>
          <t>10M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10</v>
      </c>
      <c r="H8" s="2" t="inlineStr">
        <is>
          <t>SC/APC</t>
        </is>
      </c>
      <c r="I8" s="2" t="inlineStr">
        <is>
          <t>SC/APC</t>
        </is>
      </c>
      <c r="J8" s="2" t="n"/>
      <c r="K8" s="2" t="n"/>
      <c r="L8" s="2" t="n"/>
      <c r="M8" s="2" t="n"/>
      <c r="N8" s="2" t="n"/>
      <c r="O8" s="2" t="n"/>
      <c r="P8" s="2" t="n"/>
      <c r="Q8" s="2" t="n">
        <v>50</v>
      </c>
      <c r="R8" s="2" t="n"/>
      <c r="S8" s="2" t="n">
        <v>15</v>
      </c>
      <c r="T8" s="2" t="n"/>
      <c r="U8" s="2" t="n">
        <v>20</v>
      </c>
      <c r="V8" s="2">
        <f>SUM(J8:U8)</f>
        <v/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>
        <v>170</v>
      </c>
      <c r="AQ8" s="2" t="n"/>
      <c r="AR8" s="2" t="n"/>
      <c r="AS8" s="2" t="n"/>
      <c r="AT8" s="2" t="n"/>
      <c r="AU8" s="2" t="n"/>
      <c r="AV8" s="2">
        <f>IF(F8=1,V8*2,IF(F8=2,V8*F8*2,IF(F8&gt;2,F8*2*V8)))</f>
        <v/>
      </c>
      <c r="AW8" s="2">
        <f>SUM(W8:AU8)</f>
        <v/>
      </c>
    </row>
    <row r="9">
      <c r="A9" s="2" t="inlineStr">
        <is>
          <t>14-C-015</t>
        </is>
      </c>
      <c r="B9" s="3" t="inlineStr">
        <is>
          <t>DROP-CABLE(SC/APC)</t>
        </is>
      </c>
      <c r="C9" s="2" t="inlineStr">
        <is>
          <t>15M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15</v>
      </c>
      <c r="H9" s="2" t="inlineStr">
        <is>
          <t>SC/APC</t>
        </is>
      </c>
      <c r="I9" s="2" t="inlineStr">
        <is>
          <t>SC/APC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>
        <v>20</v>
      </c>
      <c r="V9" s="2">
        <f>SUM(J9:U9)</f>
        <v/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>
        <v>40</v>
      </c>
      <c r="AQ9" s="2" t="n"/>
      <c r="AR9" s="2" t="n"/>
      <c r="AS9" s="2" t="n"/>
      <c r="AT9" s="2" t="n"/>
      <c r="AU9" s="2" t="n"/>
      <c r="AV9" s="2">
        <f>IF(F9=1,V9*2,IF(F9=2,V9*F9*2,IF(F9&gt;2,F9*2*V9)))</f>
        <v/>
      </c>
      <c r="AW9" s="2">
        <f>SUM(W9:AU9)</f>
        <v/>
      </c>
    </row>
    <row r="10">
      <c r="A10" s="2" t="inlineStr">
        <is>
          <t>14-C-018</t>
        </is>
      </c>
      <c r="B10" s="3" t="inlineStr">
        <is>
          <t>DROP-CABLE(SC/APC)</t>
        </is>
      </c>
      <c r="C10" s="2" t="inlineStr">
        <is>
          <t>25M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25</v>
      </c>
      <c r="H10" s="2" t="inlineStr">
        <is>
          <t>SC/APC</t>
        </is>
      </c>
      <c r="I10" s="2" t="inlineStr">
        <is>
          <t>SC/APC</t>
        </is>
      </c>
      <c r="J10" s="2" t="n"/>
      <c r="K10" s="2" t="n"/>
      <c r="L10" s="2" t="n"/>
      <c r="M10" s="2" t="n"/>
      <c r="N10" s="2" t="n"/>
      <c r="O10" s="2" t="n">
        <v>5</v>
      </c>
      <c r="P10" s="2" t="n"/>
      <c r="Q10" s="2" t="n"/>
      <c r="R10" s="2" t="n"/>
      <c r="S10" s="2" t="n"/>
      <c r="T10" s="2" t="n"/>
      <c r="U10" s="2" t="n"/>
      <c r="V10" s="2">
        <f>SUM(J10:U10)</f>
        <v/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>
        <v>10</v>
      </c>
      <c r="AQ10" s="2" t="n"/>
      <c r="AR10" s="2" t="n"/>
      <c r="AS10" s="2" t="n"/>
      <c r="AT10" s="2" t="n"/>
      <c r="AU10" s="2" t="n"/>
      <c r="AV10" s="2">
        <f>IF(F10=1,V10*2,IF(F10=2,V10*F10*2,IF(F10&gt;2,F10*2*V10)))</f>
        <v/>
      </c>
      <c r="AW10" s="2">
        <f>SUM(W10:AU10)</f>
        <v/>
      </c>
    </row>
    <row r="11">
      <c r="A11" s="2" t="inlineStr">
        <is>
          <t>14-C-024</t>
        </is>
      </c>
      <c r="B11" s="3" t="inlineStr">
        <is>
          <t>DROP-CABLE(SC/APC)</t>
        </is>
      </c>
      <c r="C11" s="2" t="inlineStr">
        <is>
          <t>50M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50</v>
      </c>
      <c r="H11" s="2" t="inlineStr">
        <is>
          <t>SC/APC</t>
        </is>
      </c>
      <c r="I11" s="2" t="inlineStr">
        <is>
          <t>SC/APC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>
        <v>10</v>
      </c>
      <c r="V11" s="2">
        <f>SUM(J11:U11)</f>
        <v/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>
        <v>20</v>
      </c>
      <c r="AQ11" s="2" t="n"/>
      <c r="AR11" s="2" t="n"/>
      <c r="AS11" s="2" t="n"/>
      <c r="AT11" s="2" t="n"/>
      <c r="AU11" s="2" t="n"/>
      <c r="AV11" s="2">
        <f>IF(F11=1,V11*2,IF(F11=2,V11*F11*2,IF(F11&gt;2,F11*2*V11)))</f>
        <v/>
      </c>
      <c r="AW11" s="2">
        <f>SUM(W11:AU11)</f>
        <v/>
      </c>
    </row>
    <row r="12">
      <c r="A12" s="2" t="inlineStr">
        <is>
          <t>14-C-026</t>
        </is>
      </c>
      <c r="B12" s="3" t="inlineStr">
        <is>
          <t>DROP-CABLE(SC/APC)</t>
        </is>
      </c>
      <c r="C12" s="2" t="inlineStr">
        <is>
          <t>5M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5</v>
      </c>
      <c r="H12" s="2" t="inlineStr">
        <is>
          <t>SC/APC</t>
        </is>
      </c>
      <c r="I12" s="2" t="inlineStr">
        <is>
          <t>SC/APC</t>
        </is>
      </c>
      <c r="J12" s="2" t="n">
        <v>10</v>
      </c>
      <c r="K12" s="2" t="n">
        <v>121</v>
      </c>
      <c r="L12" s="2" t="n"/>
      <c r="M12" s="2" t="n"/>
      <c r="N12" s="2" t="n">
        <v>200</v>
      </c>
      <c r="O12" s="2" t="n"/>
      <c r="P12" s="2" t="n">
        <v>10</v>
      </c>
      <c r="Q12" s="2" t="n">
        <v>50</v>
      </c>
      <c r="R12" s="2" t="n"/>
      <c r="S12" s="2" t="n"/>
      <c r="T12" s="2" t="n"/>
      <c r="U12" s="2" t="n">
        <v>10</v>
      </c>
      <c r="V12" s="2">
        <f>SUM(J12:U12)</f>
        <v/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>
        <v>802</v>
      </c>
      <c r="AQ12" s="2" t="n"/>
      <c r="AR12" s="2" t="n"/>
      <c r="AS12" s="2" t="n"/>
      <c r="AT12" s="2" t="n"/>
      <c r="AU12" s="2" t="n"/>
      <c r="AV12" s="2">
        <f>IF(F12=1,V12*2,IF(F12=2,V12*F12*2,IF(F12&gt;2,F12*2*V12)))</f>
        <v/>
      </c>
      <c r="AW12" s="2">
        <f>SUM(W12:AU12)</f>
        <v/>
      </c>
    </row>
    <row r="13">
      <c r="A13" s="2" t="inlineStr">
        <is>
          <t>14-C-029</t>
        </is>
      </c>
      <c r="B13" s="3" t="inlineStr">
        <is>
          <t>DROP-CABLE(SC/APC)</t>
        </is>
      </c>
      <c r="C13" s="2" t="inlineStr">
        <is>
          <t>70M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70</v>
      </c>
      <c r="H13" s="2" t="inlineStr">
        <is>
          <t>SC/APC</t>
        </is>
      </c>
      <c r="I13" s="2" t="inlineStr">
        <is>
          <t>SC/APC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>
        <v>6</v>
      </c>
      <c r="T13" s="2" t="n"/>
      <c r="U13" s="2" t="n">
        <v>1</v>
      </c>
      <c r="V13" s="2">
        <f>SUM(J13:U13)</f>
        <v/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>
        <v>14</v>
      </c>
      <c r="AQ13" s="2" t="n"/>
      <c r="AR13" s="2" t="n"/>
      <c r="AS13" s="2" t="n"/>
      <c r="AT13" s="2" t="n"/>
      <c r="AU13" s="2" t="n"/>
      <c r="AV13" s="2">
        <f>IF(F13=1,V13*2,IF(F13=2,V13*F13*2,IF(F13&gt;2,F13*2*V13)))</f>
        <v/>
      </c>
      <c r="AW13" s="2">
        <f>SUM(W13:AU13)</f>
        <v/>
      </c>
    </row>
    <row r="14">
      <c r="A14" s="2" t="inlineStr">
        <is>
          <t>14-C-040</t>
        </is>
      </c>
      <c r="B14" s="3" t="inlineStr">
        <is>
          <t>DROP-CABLE(SC/PC)</t>
        </is>
      </c>
      <c r="C14" s="2" t="inlineStr">
        <is>
          <t>120M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120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/>
      <c r="O14" s="2" t="n"/>
      <c r="P14" s="2" t="n"/>
      <c r="Q14" s="2" t="n">
        <v>10</v>
      </c>
      <c r="R14" s="2" t="n"/>
      <c r="S14" s="2" t="n"/>
      <c r="T14" s="2" t="n"/>
      <c r="U14" s="2" t="n"/>
      <c r="V14" s="2">
        <f>SUM(J14:U14)</f>
        <v/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>
        <v>20</v>
      </c>
      <c r="AO14" s="2" t="n"/>
      <c r="AP14" s="2" t="n"/>
      <c r="AQ14" s="2" t="n"/>
      <c r="AR14" s="2" t="n"/>
      <c r="AS14" s="2" t="n"/>
      <c r="AT14" s="2" t="n"/>
      <c r="AU14" s="2" t="n"/>
      <c r="AV14" s="2">
        <f>IF(F14=1,V14*2,IF(F14=2,V14*F14*2,IF(F14&gt;2,F14*2*V14)))</f>
        <v/>
      </c>
      <c r="AW14" s="2">
        <f>SUM(W14:AU14)</f>
        <v/>
      </c>
    </row>
    <row r="15">
      <c r="A15" s="2" t="inlineStr">
        <is>
          <t>14-C-048</t>
        </is>
      </c>
      <c r="B15" s="3" t="inlineStr">
        <is>
          <t>DROP-CABLE(SC/PC)</t>
        </is>
      </c>
      <c r="C15" s="2" t="inlineStr">
        <is>
          <t>1M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1</v>
      </c>
      <c r="H15" s="2" t="inlineStr">
        <is>
          <t>SC/PC</t>
        </is>
      </c>
      <c r="I15" s="2" t="inlineStr">
        <is>
          <t>SC/PC</t>
        </is>
      </c>
      <c r="J15" s="2" t="n">
        <v>30</v>
      </c>
      <c r="K15" s="2" t="n">
        <v>60</v>
      </c>
      <c r="L15" s="2" t="n"/>
      <c r="M15" s="2" t="n"/>
      <c r="N15" s="2" t="n">
        <v>110</v>
      </c>
      <c r="O15" s="2" t="n">
        <v>10</v>
      </c>
      <c r="P15" s="2" t="n">
        <v>30</v>
      </c>
      <c r="Q15" s="2" t="n">
        <v>10</v>
      </c>
      <c r="R15" s="2" t="n">
        <v>30</v>
      </c>
      <c r="S15" s="2" t="n">
        <v>230</v>
      </c>
      <c r="T15" s="2" t="n"/>
      <c r="U15" s="2" t="n"/>
      <c r="V15" s="2">
        <f>SUM(J15:U15)</f>
        <v/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>
        <v>1020</v>
      </c>
      <c r="AO15" s="2" t="n"/>
      <c r="AP15" s="2" t="n"/>
      <c r="AQ15" s="2" t="n"/>
      <c r="AR15" s="2" t="n"/>
      <c r="AS15" s="2" t="n"/>
      <c r="AT15" s="2" t="n"/>
      <c r="AU15" s="2" t="n"/>
      <c r="AV15" s="2">
        <f>IF(F15=1,V15*2,IF(F15=2,V15*F15*2,IF(F15&gt;2,F15*2*V15)))</f>
        <v/>
      </c>
      <c r="AW15" s="2">
        <f>SUM(W15:AU15)</f>
        <v/>
      </c>
    </row>
    <row r="16">
      <c r="A16" s="2" t="inlineStr">
        <is>
          <t>14-C-053</t>
        </is>
      </c>
      <c r="B16" s="3" t="inlineStr">
        <is>
          <t>DROP-CABLE(SC/PC)</t>
        </is>
      </c>
      <c r="C16" s="2" t="inlineStr">
        <is>
          <t>30M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30</v>
      </c>
      <c r="H16" s="2" t="inlineStr">
        <is>
          <t>SC/PC</t>
        </is>
      </c>
      <c r="I16" s="2" t="inlineStr">
        <is>
          <t>SC/PC</t>
        </is>
      </c>
      <c r="J16" s="2" t="n"/>
      <c r="K16" s="2" t="n"/>
      <c r="L16" s="2" t="n"/>
      <c r="M16" s="2" t="n"/>
      <c r="N16" s="2" t="n"/>
      <c r="O16" s="2" t="n"/>
      <c r="P16" s="2" t="n">
        <v>2</v>
      </c>
      <c r="Q16" s="2" t="n"/>
      <c r="R16" s="2" t="n"/>
      <c r="S16" s="2" t="n"/>
      <c r="T16" s="2" t="n"/>
      <c r="U16" s="2" t="n"/>
      <c r="V16" s="2">
        <f>SUM(J16:U16)</f>
        <v/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>
        <v>4</v>
      </c>
      <c r="AO16" s="2" t="n"/>
      <c r="AP16" s="2" t="n"/>
      <c r="AQ16" s="2" t="n"/>
      <c r="AR16" s="2" t="n"/>
      <c r="AS16" s="2" t="n"/>
      <c r="AT16" s="2" t="n"/>
      <c r="AU16" s="2" t="n"/>
      <c r="AV16" s="2">
        <f>IF(F16=1,V16*2,IF(F16=2,V16*F16*2,IF(F16&gt;2,F16*2*V16)))</f>
        <v/>
      </c>
      <c r="AW16" s="2">
        <f>SUM(W16:AU16)</f>
        <v/>
      </c>
    </row>
    <row r="17">
      <c r="A17" s="2" t="inlineStr">
        <is>
          <t>14-C-055</t>
        </is>
      </c>
      <c r="B17" s="3" t="inlineStr">
        <is>
          <t>DROP-CABLE(SC/PC)</t>
        </is>
      </c>
      <c r="C17" s="2" t="inlineStr">
        <is>
          <t>3M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</v>
      </c>
      <c r="H17" s="2" t="inlineStr">
        <is>
          <t>SC/PC</t>
        </is>
      </c>
      <c r="I17" s="2" t="inlineStr">
        <is>
          <t>SC/PC</t>
        </is>
      </c>
      <c r="J17" s="2" t="n">
        <v>10</v>
      </c>
      <c r="K17" s="2" t="n"/>
      <c r="L17" s="2" t="n">
        <v>10</v>
      </c>
      <c r="M17" s="2" t="n"/>
      <c r="N17" s="2" t="n"/>
      <c r="O17" s="2" t="n"/>
      <c r="P17" s="2" t="n"/>
      <c r="Q17" s="2" t="n"/>
      <c r="R17" s="2" t="n">
        <v>10</v>
      </c>
      <c r="S17" s="2" t="n"/>
      <c r="T17" s="2" t="n"/>
      <c r="U17" s="2" t="n"/>
      <c r="V17" s="2">
        <f>SUM(J17:U17)</f>
        <v/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>
        <v>60</v>
      </c>
      <c r="AO17" s="2" t="n"/>
      <c r="AP17" s="2" t="n"/>
      <c r="AQ17" s="2" t="n"/>
      <c r="AR17" s="2" t="n"/>
      <c r="AS17" s="2" t="n"/>
      <c r="AT17" s="2" t="n"/>
      <c r="AU17" s="2" t="n"/>
      <c r="AV17" s="2">
        <f>IF(F17=1,V17*2,IF(F17=2,V17*F17*2,IF(F17&gt;2,F17*2*V17)))</f>
        <v/>
      </c>
      <c r="AW17" s="2">
        <f>SUM(W17:AU17)</f>
        <v/>
      </c>
    </row>
    <row r="18">
      <c r="A18" s="2" t="inlineStr">
        <is>
          <t>14-C-059</t>
        </is>
      </c>
      <c r="B18" s="3" t="inlineStr">
        <is>
          <t>DROP-CABLE(SC/PC)</t>
        </is>
      </c>
      <c r="C18" s="2" t="inlineStr">
        <is>
          <t>50M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50</v>
      </c>
      <c r="H18" s="2" t="inlineStr">
        <is>
          <t>SC/PC</t>
        </is>
      </c>
      <c r="I18" s="2" t="inlineStr">
        <is>
          <t>SC/PC</t>
        </is>
      </c>
      <c r="J18" s="2" t="n"/>
      <c r="K18" s="2" t="n"/>
      <c r="L18" s="2" t="n"/>
      <c r="M18" s="2" t="n"/>
      <c r="N18" s="2" t="n">
        <v>1</v>
      </c>
      <c r="O18" s="2" t="n"/>
      <c r="P18" s="2" t="n"/>
      <c r="Q18" s="2" t="n">
        <v>20</v>
      </c>
      <c r="R18" s="2" t="n"/>
      <c r="S18" s="2" t="n"/>
      <c r="T18" s="2" t="n"/>
      <c r="U18" s="2" t="n"/>
      <c r="V18" s="2">
        <f>SUM(J18:U18)</f>
        <v/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>
        <v>42</v>
      </c>
      <c r="AO18" s="2" t="n"/>
      <c r="AP18" s="2" t="n"/>
      <c r="AQ18" s="2" t="n"/>
      <c r="AR18" s="2" t="n"/>
      <c r="AS18" s="2" t="n"/>
      <c r="AT18" s="2" t="n"/>
      <c r="AU18" s="2" t="n"/>
      <c r="AV18" s="2">
        <f>IF(F18=1,V18*2,IF(F18=2,V18*F18*2,IF(F18&gt;2,F18*2*V18)))</f>
        <v/>
      </c>
      <c r="AW18" s="2">
        <f>SUM(W18:AU18)</f>
        <v/>
      </c>
    </row>
    <row r="19">
      <c r="A19" s="2" t="inlineStr">
        <is>
          <t>14-C-062</t>
        </is>
      </c>
      <c r="B19" s="3" t="inlineStr">
        <is>
          <t>DROP-CABLE(SC/PC)</t>
        </is>
      </c>
      <c r="C19" s="2" t="inlineStr">
        <is>
          <t>60M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60</v>
      </c>
      <c r="H19" s="2" t="inlineStr">
        <is>
          <t>SC/PC</t>
        </is>
      </c>
      <c r="I19" s="2" t="inlineStr">
        <is>
          <t>SC/PC</t>
        </is>
      </c>
      <c r="J19" s="2" t="n"/>
      <c r="K19" s="2" t="n"/>
      <c r="L19" s="2" t="n"/>
      <c r="M19" s="2" t="n"/>
      <c r="N19" s="2" t="n"/>
      <c r="O19" s="2" t="n"/>
      <c r="P19" s="2" t="n"/>
      <c r="Q19" s="2" t="n">
        <v>20</v>
      </c>
      <c r="R19" s="2" t="n"/>
      <c r="S19" s="2" t="n"/>
      <c r="T19" s="2" t="n"/>
      <c r="U19" s="2" t="n"/>
      <c r="V19" s="2">
        <f>SUM(J19:U19)</f>
        <v/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>
        <v>40</v>
      </c>
      <c r="AO19" s="2" t="n"/>
      <c r="AP19" s="2" t="n"/>
      <c r="AQ19" s="2" t="n"/>
      <c r="AR19" s="2" t="n"/>
      <c r="AS19" s="2" t="n"/>
      <c r="AT19" s="2" t="n"/>
      <c r="AU19" s="2" t="n"/>
      <c r="AV19" s="2">
        <f>IF(F19=1,V19*2,IF(F19=2,V19*F19*2,IF(F19&gt;2,F19*2*V19)))</f>
        <v/>
      </c>
      <c r="AW19" s="2">
        <f>SUM(W19:AU19)</f>
        <v/>
      </c>
    </row>
    <row r="20">
      <c r="A20" s="2" t="inlineStr">
        <is>
          <t>14-C-065</t>
        </is>
      </c>
      <c r="B20" s="3" t="inlineStr">
        <is>
          <t>DROP-CABLE(SC/PC)</t>
        </is>
      </c>
      <c r="C20" s="2" t="inlineStr">
        <is>
          <t>70M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70</v>
      </c>
      <c r="H20" s="2" t="inlineStr">
        <is>
          <t>SC/PC</t>
        </is>
      </c>
      <c r="I20" s="2" t="inlineStr">
        <is>
          <t>SC/PC</t>
        </is>
      </c>
      <c r="J20" s="2" t="n"/>
      <c r="K20" s="2" t="n"/>
      <c r="L20" s="2" t="n">
        <v>10</v>
      </c>
      <c r="M20" s="2" t="n"/>
      <c r="N20" s="2" t="n"/>
      <c r="O20" s="2" t="n"/>
      <c r="P20" s="2" t="n"/>
      <c r="Q20" s="2" t="n">
        <v>20</v>
      </c>
      <c r="R20" s="2" t="n"/>
      <c r="S20" s="2" t="n"/>
      <c r="T20" s="2" t="n"/>
      <c r="U20" s="2" t="n"/>
      <c r="V20" s="2">
        <f>SUM(J20:U20)</f>
        <v/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>
        <v>60</v>
      </c>
      <c r="AO20" s="2" t="n"/>
      <c r="AP20" s="2" t="n"/>
      <c r="AQ20" s="2" t="n"/>
      <c r="AR20" s="2" t="n"/>
      <c r="AS20" s="2" t="n"/>
      <c r="AT20" s="2" t="n"/>
      <c r="AU20" s="2" t="n"/>
      <c r="AV20" s="2">
        <f>IF(F20=1,V20*2,IF(F20=2,V20*F20*2,IF(F20&gt;2,F20*2*V20)))</f>
        <v/>
      </c>
      <c r="AW20" s="2">
        <f>SUM(W20:AU20)</f>
        <v/>
      </c>
    </row>
    <row r="21">
      <c r="A21" s="2" t="inlineStr">
        <is>
          <t>14-C-067</t>
        </is>
      </c>
      <c r="B21" s="3" t="inlineStr">
        <is>
          <t>DROP-CABLE(SC/PC)</t>
        </is>
      </c>
      <c r="C21" s="2" t="inlineStr">
        <is>
          <t>7M</t>
        </is>
      </c>
      <c r="D21" s="2" t="inlineStr">
        <is>
          <t>drop</t>
        </is>
      </c>
      <c r="E21" s="2" t="inlineStr">
        <is>
          <t>3.0mm</t>
        </is>
      </c>
      <c r="F21" s="2" t="n">
        <v>1</v>
      </c>
      <c r="G21" s="2" t="n">
        <v>7</v>
      </c>
      <c r="H21" s="2" t="inlineStr">
        <is>
          <t>SC/PC</t>
        </is>
      </c>
      <c r="I21" s="2" t="inlineStr">
        <is>
          <t>SC/PC</t>
        </is>
      </c>
      <c r="J21" s="2" t="n"/>
      <c r="K21" s="2" t="n"/>
      <c r="L21" s="2" t="n">
        <v>50</v>
      </c>
      <c r="M21" s="2" t="n">
        <v>50</v>
      </c>
      <c r="N21" s="2" t="n"/>
      <c r="O21" s="2" t="n">
        <v>50</v>
      </c>
      <c r="P21" s="2" t="n">
        <v>100</v>
      </c>
      <c r="Q21" s="2" t="n">
        <v>200</v>
      </c>
      <c r="R21" s="2" t="n">
        <v>50</v>
      </c>
      <c r="S21" s="2" t="n"/>
      <c r="T21" s="2" t="n"/>
      <c r="U21" s="2" t="n"/>
      <c r="V21" s="2">
        <f>SUM(J21:U21)</f>
        <v/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>
        <v>1000</v>
      </c>
      <c r="AO21" s="2" t="n"/>
      <c r="AP21" s="2" t="n"/>
      <c r="AQ21" s="2" t="n"/>
      <c r="AR21" s="2" t="n"/>
      <c r="AS21" s="2" t="n"/>
      <c r="AT21" s="2" t="n"/>
      <c r="AU21" s="2" t="n"/>
      <c r="AV21" s="2">
        <f>IF(F21=1,V21*2,IF(F21=2,V21*F21*2,IF(F21&gt;2,F21*2*V21)))</f>
        <v/>
      </c>
      <c r="AW21" s="2">
        <f>SUM(W21:AU21)</f>
        <v/>
      </c>
    </row>
    <row r="22">
      <c r="A22" s="2" t="inlineStr">
        <is>
          <t>14-C-068</t>
        </is>
      </c>
      <c r="B22" s="3" t="inlineStr">
        <is>
          <t>DROP-CABLE(SC/PC)</t>
        </is>
      </c>
      <c r="C22" s="2" t="inlineStr">
        <is>
          <t>80M</t>
        </is>
      </c>
      <c r="D22" s="2" t="inlineStr">
        <is>
          <t>drop</t>
        </is>
      </c>
      <c r="E22" s="2" t="inlineStr">
        <is>
          <t>3.0mm</t>
        </is>
      </c>
      <c r="F22" s="2" t="n">
        <v>1</v>
      </c>
      <c r="G22" s="2" t="n">
        <v>80</v>
      </c>
      <c r="H22" s="2" t="inlineStr">
        <is>
          <t>SC/PC</t>
        </is>
      </c>
      <c r="I22" s="2" t="inlineStr">
        <is>
          <t>SC/PC</t>
        </is>
      </c>
      <c r="J22" s="2" t="n"/>
      <c r="K22" s="2" t="n"/>
      <c r="L22" s="2" t="n">
        <v>10</v>
      </c>
      <c r="M22" s="2" t="n"/>
      <c r="N22" s="2" t="n"/>
      <c r="O22" s="2" t="n"/>
      <c r="P22" s="2" t="n"/>
      <c r="Q22" s="2" t="n">
        <v>10</v>
      </c>
      <c r="R22" s="2" t="n"/>
      <c r="S22" s="2" t="n"/>
      <c r="T22" s="2" t="n"/>
      <c r="U22" s="2" t="n"/>
      <c r="V22" s="2">
        <f>SUM(J22:U22)</f>
        <v/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>
        <v>40</v>
      </c>
      <c r="AO22" s="2" t="n"/>
      <c r="AP22" s="2" t="n"/>
      <c r="AQ22" s="2" t="n"/>
      <c r="AR22" s="2" t="n"/>
      <c r="AS22" s="2" t="n"/>
      <c r="AT22" s="2" t="n"/>
      <c r="AU22" s="2" t="n"/>
      <c r="AV22" s="2">
        <f>IF(F22=1,V22*2,IF(F22=2,V22*F22*2,IF(F22&gt;2,F22*2*V22)))</f>
        <v/>
      </c>
      <c r="AW22" s="2">
        <f>SUM(W22:AU22)</f>
        <v/>
      </c>
    </row>
    <row r="23">
      <c r="A23" s="2" t="inlineStr">
        <is>
          <t>14-C-072</t>
        </is>
      </c>
      <c r="B23" s="3" t="inlineStr">
        <is>
          <t>DROP-CABLE(SC/PC)</t>
        </is>
      </c>
      <c r="C23" s="2" t="inlineStr">
        <is>
          <t>90M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90</v>
      </c>
      <c r="H23" s="2" t="inlineStr">
        <is>
          <t>SC/PC</t>
        </is>
      </c>
      <c r="I23" s="2" t="inlineStr">
        <is>
          <t>SC/PC</t>
        </is>
      </c>
      <c r="J23" s="2" t="n"/>
      <c r="K23" s="2" t="n"/>
      <c r="L23" s="2" t="n">
        <v>10</v>
      </c>
      <c r="M23" s="2" t="n"/>
      <c r="N23" s="2" t="n"/>
      <c r="O23" s="2" t="n"/>
      <c r="P23" s="2" t="n"/>
      <c r="Q23" s="2" t="n">
        <v>10</v>
      </c>
      <c r="R23" s="2" t="n"/>
      <c r="S23" s="2" t="n"/>
      <c r="T23" s="2" t="n"/>
      <c r="U23" s="2" t="n"/>
      <c r="V23" s="2">
        <f>SUM(J23:U23)</f>
        <v/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>
        <v>40</v>
      </c>
      <c r="AO23" s="2" t="n"/>
      <c r="AP23" s="2" t="n"/>
      <c r="AQ23" s="2" t="n"/>
      <c r="AR23" s="2" t="n"/>
      <c r="AS23" s="2" t="n"/>
      <c r="AT23" s="2" t="n"/>
      <c r="AU23" s="2" t="n"/>
      <c r="AV23" s="2">
        <f>IF(F23=1,V23*2,IF(F23=2,V23*F23*2,IF(F23&gt;2,F23*2*V23)))</f>
        <v/>
      </c>
      <c r="AW23" s="2">
        <f>SUM(W23:AU23)</f>
        <v/>
      </c>
    </row>
    <row r="24">
      <c r="A24" s="2" t="inlineStr">
        <is>
          <t>14-C-079</t>
        </is>
      </c>
      <c r="B24" s="3" t="inlineStr">
        <is>
          <t>DROP-CABLE(SC/PC-SC/APC)</t>
        </is>
      </c>
      <c r="C24" s="2" t="inlineStr">
        <is>
          <t>40M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40</v>
      </c>
      <c r="H24" s="2" t="inlineStr">
        <is>
          <t>SC/PC</t>
        </is>
      </c>
      <c r="I24" s="2" t="inlineStr">
        <is>
          <t>SC/APC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>
        <v>4</v>
      </c>
      <c r="T24" s="2" t="n"/>
      <c r="U24" s="2" t="n"/>
      <c r="V24" s="2">
        <f>SUM(J24:U24)</f>
        <v/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>
        <v>4</v>
      </c>
      <c r="AO24" s="2" t="n"/>
      <c r="AP24" s="2" t="n">
        <v>4</v>
      </c>
      <c r="AQ24" s="2" t="n"/>
      <c r="AR24" s="2" t="n"/>
      <c r="AS24" s="2" t="n"/>
      <c r="AT24" s="2" t="n"/>
      <c r="AU24" s="2" t="n"/>
      <c r="AV24" s="2">
        <f>IF(F24=1,V24*2,IF(F24=2,V24*F24*2,IF(F24&gt;2,F24*2*V24)))</f>
        <v/>
      </c>
      <c r="AW24" s="2">
        <f>SUM(W24:AU24)</f>
        <v/>
      </c>
    </row>
    <row r="25">
      <c r="A25" s="2" t="inlineStr">
        <is>
          <t>14-C-087</t>
        </is>
      </c>
      <c r="B25" s="3" t="inlineStr">
        <is>
          <t>DROP-CABLE(SC/APC)</t>
        </is>
      </c>
      <c r="C25" s="2" t="inlineStr">
        <is>
          <t>3M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3</v>
      </c>
      <c r="H25" s="2" t="inlineStr">
        <is>
          <t>SC/APC</t>
        </is>
      </c>
      <c r="I25" s="2" t="inlineStr">
        <is>
          <t>SC/APC</t>
        </is>
      </c>
      <c r="J25" s="2" t="n">
        <v>40</v>
      </c>
      <c r="K25" s="2" t="n"/>
      <c r="L25" s="2" t="n"/>
      <c r="M25" s="2" t="n"/>
      <c r="N25" s="2" t="n">
        <v>200</v>
      </c>
      <c r="O25" s="2" t="n"/>
      <c r="P25" s="2" t="n">
        <v>200</v>
      </c>
      <c r="Q25" s="2" t="n"/>
      <c r="R25" s="2" t="n"/>
      <c r="S25" s="2" t="n"/>
      <c r="T25" s="2" t="n"/>
      <c r="U25" s="2" t="n"/>
      <c r="V25" s="2">
        <f>SUM(J25:U25)</f>
        <v/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>
        <v>880</v>
      </c>
      <c r="AQ25" s="2" t="n"/>
      <c r="AR25" s="2" t="n"/>
      <c r="AS25" s="2" t="n"/>
      <c r="AT25" s="2" t="n"/>
      <c r="AU25" s="2" t="n"/>
      <c r="AV25" s="2">
        <f>IF(F25=1,V25*2,IF(F25=2,V25*F25*2,IF(F25&gt;2,F25*2*V25)))</f>
        <v/>
      </c>
      <c r="AW25" s="2">
        <f>SUM(W25:AU25)</f>
        <v/>
      </c>
    </row>
    <row r="26">
      <c r="A26" s="2" t="inlineStr">
        <is>
          <t>14-C-089</t>
        </is>
      </c>
      <c r="B26" s="3" t="inlineStr">
        <is>
          <t>DROP-CABLE(SC/APC)</t>
        </is>
      </c>
      <c r="C26" s="2" t="inlineStr">
        <is>
          <t>7M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7</v>
      </c>
      <c r="H26" s="2" t="inlineStr">
        <is>
          <t>SC/APC</t>
        </is>
      </c>
      <c r="I26" s="2" t="inlineStr">
        <is>
          <t>SC/APC</t>
        </is>
      </c>
      <c r="J26" s="2" t="n">
        <v>10</v>
      </c>
      <c r="K26" s="2" t="n"/>
      <c r="L26" s="2" t="n"/>
      <c r="M26" s="2" t="n"/>
      <c r="N26" s="2" t="n"/>
      <c r="O26" s="2" t="n"/>
      <c r="P26" s="2" t="n"/>
      <c r="Q26" s="2" t="n">
        <v>70</v>
      </c>
      <c r="R26" s="2" t="n"/>
      <c r="S26" s="2" t="n"/>
      <c r="T26" s="2" t="n"/>
      <c r="U26" s="2" t="n">
        <v>20</v>
      </c>
      <c r="V26" s="2">
        <f>SUM(J26:U26)</f>
        <v/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>
        <v>200</v>
      </c>
      <c r="AQ26" s="2" t="n"/>
      <c r="AR26" s="2" t="n"/>
      <c r="AS26" s="2" t="n"/>
      <c r="AT26" s="2" t="n"/>
      <c r="AU26" s="2" t="n"/>
      <c r="AV26" s="2">
        <f>IF(F26=1,V26*2,IF(F26=2,V26*F26*2,IF(F26&gt;2,F26*2*V26)))</f>
        <v/>
      </c>
      <c r="AW26" s="2">
        <f>SUM(W26:AU26)</f>
        <v/>
      </c>
    </row>
    <row r="27">
      <c r="A27" s="2" t="inlineStr">
        <is>
          <t>14-C-091</t>
        </is>
      </c>
      <c r="B27" s="3" t="inlineStr">
        <is>
          <t>DROP-CABLE(SC/APC)</t>
        </is>
      </c>
      <c r="C27" s="2" t="inlineStr">
        <is>
          <t>12M</t>
        </is>
      </c>
      <c r="D27" s="2" t="inlineStr">
        <is>
          <t>drop</t>
        </is>
      </c>
      <c r="E27" s="2" t="inlineStr">
        <is>
          <t>3.0mm</t>
        </is>
      </c>
      <c r="F27" s="2" t="n">
        <v>1</v>
      </c>
      <c r="G27" s="2" t="n">
        <v>12</v>
      </c>
      <c r="H27" s="2" t="inlineStr">
        <is>
          <t>SC/APC</t>
        </is>
      </c>
      <c r="I27" s="2" t="inlineStr">
        <is>
          <t>SC/APC</t>
        </is>
      </c>
      <c r="J27" s="2" t="n">
        <v>10</v>
      </c>
      <c r="K27" s="2" t="n"/>
      <c r="L27" s="2" t="n"/>
      <c r="M27" s="2" t="n">
        <v>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>
        <f>SUM(J27:U27)</f>
        <v/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>
        <v>26</v>
      </c>
      <c r="AQ27" s="2" t="n"/>
      <c r="AR27" s="2" t="n"/>
      <c r="AS27" s="2" t="n"/>
      <c r="AT27" s="2" t="n"/>
      <c r="AU27" s="2" t="n"/>
      <c r="AV27" s="2">
        <f>IF(F27=1,V27*2,IF(F27=2,V27*F27*2,IF(F27&gt;2,F27*2*V27)))</f>
        <v/>
      </c>
      <c r="AW27" s="2">
        <f>SUM(W27:AU27)</f>
        <v/>
      </c>
    </row>
    <row r="28">
      <c r="A28" s="2" t="inlineStr">
        <is>
          <t>14-C-121</t>
        </is>
      </c>
      <c r="B28" s="3" t="inlineStr">
        <is>
          <t>DROP-CABLE(LC/PC)-2C</t>
        </is>
      </c>
      <c r="C28" s="2" t="inlineStr">
        <is>
          <t>3M</t>
        </is>
      </c>
      <c r="D28" s="2" t="inlineStr">
        <is>
          <t>drop</t>
        </is>
      </c>
      <c r="E28" s="2" t="inlineStr">
        <is>
          <t>3.0mm</t>
        </is>
      </c>
      <c r="F28" s="2" t="n">
        <v>2</v>
      </c>
      <c r="G28" s="2" t="n">
        <v>3</v>
      </c>
      <c r="H28" s="2" t="inlineStr">
        <is>
          <t>LC/PC</t>
        </is>
      </c>
      <c r="I28" s="2" t="inlineStr">
        <is>
          <t>LC/PC</t>
        </is>
      </c>
      <c r="J28" s="2" t="n"/>
      <c r="K28" s="2" t="n"/>
      <c r="L28" s="2" t="n"/>
      <c r="M28" s="2" t="n"/>
      <c r="N28" s="2" t="n">
        <v>30</v>
      </c>
      <c r="O28" s="2" t="n"/>
      <c r="P28" s="2" t="n"/>
      <c r="Q28" s="2" t="n"/>
      <c r="R28" s="2" t="n"/>
      <c r="S28" s="2" t="n"/>
      <c r="T28" s="2" t="n"/>
      <c r="U28" s="2" t="n"/>
      <c r="V28" s="2">
        <f>SUM(J28:U28)</f>
        <v/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>
        <v>60</v>
      </c>
      <c r="AK28" s="2" t="n">
        <v>60</v>
      </c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>
        <f>IF(F28=1,V28*2,IF(F28=2,V28*F28*2,IF(F28&gt;2,F28*2*V28)))</f>
        <v/>
      </c>
      <c r="AW28" s="2">
        <f>SUM(W28:AU28)</f>
        <v/>
      </c>
    </row>
    <row r="29">
      <c r="A29" s="2" t="inlineStr">
        <is>
          <t>14-C-126</t>
        </is>
      </c>
      <c r="B29" s="3" t="inlineStr">
        <is>
          <t>DROP-CABLE(LC/PC)-2C</t>
        </is>
      </c>
      <c r="C29" s="2" t="inlineStr">
        <is>
          <t>6M</t>
        </is>
      </c>
      <c r="D29" s="2" t="inlineStr">
        <is>
          <t>drop</t>
        </is>
      </c>
      <c r="E29" s="2" t="inlineStr">
        <is>
          <t>3.0mm</t>
        </is>
      </c>
      <c r="F29" s="2" t="n">
        <v>2</v>
      </c>
      <c r="G29" s="2" t="n">
        <v>6</v>
      </c>
      <c r="H29" s="2" t="inlineStr">
        <is>
          <t>LC/PC</t>
        </is>
      </c>
      <c r="I29" s="2" t="inlineStr">
        <is>
          <t>LC/PC</t>
        </is>
      </c>
      <c r="J29" s="2" t="n"/>
      <c r="K29" s="2" t="n"/>
      <c r="L29" s="2" t="n"/>
      <c r="M29" s="2" t="n"/>
      <c r="N29" s="2" t="n">
        <v>30</v>
      </c>
      <c r="O29" s="2" t="n"/>
      <c r="P29" s="2" t="n"/>
      <c r="Q29" s="2" t="n"/>
      <c r="R29" s="2" t="n"/>
      <c r="S29" s="2" t="n"/>
      <c r="T29" s="2" t="n"/>
      <c r="U29" s="2" t="n"/>
      <c r="V29" s="2">
        <f>SUM(J29:U29)</f>
        <v/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>
        <v>60</v>
      </c>
      <c r="AK29" s="2" t="n">
        <v>60</v>
      </c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>
        <f>IF(F29=1,V29*2,IF(F29=2,V29*F29*2,IF(F29&gt;2,F29*2*V29)))</f>
        <v/>
      </c>
      <c r="AW29" s="2">
        <f>SUM(W29:AU29)</f>
        <v/>
      </c>
    </row>
    <row r="30">
      <c r="A30" s="2" t="inlineStr">
        <is>
          <t>14-C-127</t>
        </is>
      </c>
      <c r="B30" s="3" t="inlineStr">
        <is>
          <t>DROP-CABLE(LC/PC)</t>
        </is>
      </c>
      <c r="C30" s="2" t="inlineStr">
        <is>
          <t>1M</t>
        </is>
      </c>
      <c r="D30" s="2" t="inlineStr">
        <is>
          <t>drop</t>
        </is>
      </c>
      <c r="E30" s="2" t="inlineStr">
        <is>
          <t>3.0mm</t>
        </is>
      </c>
      <c r="F30" s="2" t="n">
        <v>1</v>
      </c>
      <c r="G30" s="2" t="n">
        <v>1</v>
      </c>
      <c r="H30" s="2" t="inlineStr">
        <is>
          <t>LC/PC</t>
        </is>
      </c>
      <c r="I30" s="2" t="inlineStr">
        <is>
          <t>LC/PC</t>
        </is>
      </c>
      <c r="J30" s="2" t="n"/>
      <c r="K30" s="2" t="n">
        <v>100</v>
      </c>
      <c r="L30" s="2" t="n"/>
      <c r="M30" s="2" t="n"/>
      <c r="N30" s="2" t="n">
        <v>100</v>
      </c>
      <c r="O30" s="2" t="n"/>
      <c r="P30" s="2" t="n"/>
      <c r="Q30" s="2" t="n"/>
      <c r="R30" s="2" t="n">
        <v>200</v>
      </c>
      <c r="S30" s="2" t="n">
        <v>50</v>
      </c>
      <c r="T30" s="2" t="n"/>
      <c r="U30" s="2" t="n"/>
      <c r="V30" s="2">
        <f>SUM(J30:U30)</f>
        <v/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>
        <v>900</v>
      </c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>
        <f>IF(F30=1,V30*2,IF(F30=2,V30*F30*2,IF(F30&gt;2,F30*2*V30)))</f>
        <v/>
      </c>
      <c r="AW30" s="2">
        <f>SUM(W30:AU30)</f>
        <v/>
      </c>
    </row>
    <row r="31">
      <c r="A31" s="2" t="inlineStr">
        <is>
          <t>14-C-128</t>
        </is>
      </c>
      <c r="B31" s="3" t="inlineStr">
        <is>
          <t>DROP-CABLE(SC/APC)</t>
        </is>
      </c>
      <c r="C31" s="2" t="inlineStr">
        <is>
          <t>8M</t>
        </is>
      </c>
      <c r="D31" s="2" t="inlineStr">
        <is>
          <t>drop</t>
        </is>
      </c>
      <c r="E31" s="2" t="inlineStr">
        <is>
          <t>3.0mm</t>
        </is>
      </c>
      <c r="F31" s="2" t="n">
        <v>1</v>
      </c>
      <c r="G31" s="2" t="n">
        <v>8</v>
      </c>
      <c r="H31" s="2" t="inlineStr">
        <is>
          <t>SC/APC</t>
        </is>
      </c>
      <c r="I31" s="2" t="inlineStr">
        <is>
          <t>SC/APC</t>
        </is>
      </c>
      <c r="J31" s="2" t="n"/>
      <c r="K31" s="2" t="n"/>
      <c r="L31" s="2" t="n"/>
      <c r="M31" s="2" t="n">
        <v>2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>
        <f>SUM(J31:U31)</f>
        <v/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>
        <v>4</v>
      </c>
      <c r="AQ31" s="2" t="n"/>
      <c r="AR31" s="2" t="n"/>
      <c r="AS31" s="2" t="n"/>
      <c r="AT31" s="2" t="n"/>
      <c r="AU31" s="2" t="n"/>
      <c r="AV31" s="2">
        <f>IF(F31=1,V31*2,IF(F31=2,V31*F31*2,IF(F31&gt;2,F31*2*V31)))</f>
        <v/>
      </c>
      <c r="AW31" s="2">
        <f>SUM(W31:AU31)</f>
        <v/>
      </c>
    </row>
    <row r="32">
      <c r="A32" s="2" t="inlineStr">
        <is>
          <t>14-C-130</t>
        </is>
      </c>
      <c r="B32" s="3" t="inlineStr">
        <is>
          <t>DROP-CABLE(LC/PC-SC/APC)</t>
        </is>
      </c>
      <c r="C32" s="2" t="inlineStr">
        <is>
          <t>15M</t>
        </is>
      </c>
      <c r="D32" s="2" t="inlineStr">
        <is>
          <t>drop</t>
        </is>
      </c>
      <c r="E32" s="2" t="inlineStr">
        <is>
          <t>3.0mm</t>
        </is>
      </c>
      <c r="F32" s="2" t="n">
        <v>1</v>
      </c>
      <c r="G32" s="2" t="n">
        <v>15</v>
      </c>
      <c r="H32" s="2" t="inlineStr">
        <is>
          <t>LC/PC</t>
        </is>
      </c>
      <c r="I32" s="2" t="inlineStr">
        <is>
          <t>SC/APC</t>
        </is>
      </c>
      <c r="J32" s="2" t="n"/>
      <c r="K32" s="2" t="n"/>
      <c r="L32" s="2" t="n"/>
      <c r="M32" s="2" t="n"/>
      <c r="N32" s="2" t="n"/>
      <c r="O32" s="2" t="n"/>
      <c r="P32" s="2" t="n"/>
      <c r="Q32" s="2" t="n">
        <v>5</v>
      </c>
      <c r="R32" s="2" t="n"/>
      <c r="S32" s="2" t="n"/>
      <c r="T32" s="2" t="n">
        <v>5</v>
      </c>
      <c r="U32" s="2" t="n"/>
      <c r="V32" s="2">
        <f>SUM(J32:U32)</f>
        <v/>
      </c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>
        <v>10</v>
      </c>
      <c r="AK32" s="2" t="n"/>
      <c r="AL32" s="2" t="n"/>
      <c r="AM32" s="2" t="n"/>
      <c r="AN32" s="2" t="n"/>
      <c r="AO32" s="2" t="n"/>
      <c r="AP32" s="2" t="n">
        <v>10</v>
      </c>
      <c r="AQ32" s="2" t="n"/>
      <c r="AR32" s="2" t="n"/>
      <c r="AS32" s="2" t="n"/>
      <c r="AT32" s="2" t="n"/>
      <c r="AU32" s="2" t="n"/>
      <c r="AV32" s="2">
        <f>IF(F32=1,V32*2,IF(F32=2,V32*F32*2,IF(F32&gt;2,F32*2*V32)))</f>
        <v/>
      </c>
      <c r="AW32" s="2">
        <f>SUM(W32:AU32)</f>
        <v/>
      </c>
    </row>
    <row r="33">
      <c r="A33" s="2" t="inlineStr">
        <is>
          <t>14-C-134</t>
        </is>
      </c>
      <c r="B33" s="3" t="inlineStr">
        <is>
          <t>DROP-CABLE(LC/PC)</t>
        </is>
      </c>
      <c r="C33" s="2" t="inlineStr">
        <is>
          <t>15M</t>
        </is>
      </c>
      <c r="D33" s="2" t="inlineStr">
        <is>
          <t>drop</t>
        </is>
      </c>
      <c r="E33" s="2" t="inlineStr">
        <is>
          <t>3.0mm</t>
        </is>
      </c>
      <c r="F33" s="2" t="n">
        <v>1</v>
      </c>
      <c r="G33" s="2" t="n">
        <v>15</v>
      </c>
      <c r="H33" s="2" t="inlineStr">
        <is>
          <t>LC/PC</t>
        </is>
      </c>
      <c r="I33" s="2" t="inlineStr">
        <is>
          <t>LC/PC</t>
        </is>
      </c>
      <c r="J33" s="2" t="n"/>
      <c r="K33" s="2" t="n"/>
      <c r="L33" s="2" t="n">
        <v>30</v>
      </c>
      <c r="M33" s="2" t="n"/>
      <c r="N33" s="2" t="n">
        <v>50</v>
      </c>
      <c r="O33" s="2" t="n"/>
      <c r="P33" s="2" t="n"/>
      <c r="Q33" s="2" t="n"/>
      <c r="R33" s="2" t="n"/>
      <c r="S33" s="2" t="n"/>
      <c r="T33" s="2" t="n">
        <v>180</v>
      </c>
      <c r="U33" s="2" t="n"/>
      <c r="V33" s="2">
        <f>SUM(J33:U33)</f>
        <v/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>
        <v>520</v>
      </c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>
        <f>IF(F33=1,V33*2,IF(F33=2,V33*F33*2,IF(F33&gt;2,F33*2*V33)))</f>
        <v/>
      </c>
      <c r="AW33" s="2">
        <f>SUM(W33:AU33)</f>
        <v/>
      </c>
    </row>
    <row r="34">
      <c r="A34" s="2" t="inlineStr">
        <is>
          <t>14-C-135</t>
        </is>
      </c>
      <c r="B34" s="3" t="inlineStr">
        <is>
          <t>DROP-CABLE(LC/PC-SC/PC)</t>
        </is>
      </c>
      <c r="C34" s="2" t="inlineStr">
        <is>
          <t>5M</t>
        </is>
      </c>
      <c r="D34" s="2" t="inlineStr">
        <is>
          <t>drop</t>
        </is>
      </c>
      <c r="E34" s="2" t="inlineStr">
        <is>
          <t>3.0mm</t>
        </is>
      </c>
      <c r="F34" s="2" t="n">
        <v>1</v>
      </c>
      <c r="G34" s="2" t="n">
        <v>5</v>
      </c>
      <c r="H34" s="2" t="inlineStr">
        <is>
          <t>LC/PC</t>
        </is>
      </c>
      <c r="I34" s="2" t="inlineStr">
        <is>
          <t>SC/PC</t>
        </is>
      </c>
      <c r="J34" s="2" t="n"/>
      <c r="K34" s="2" t="n"/>
      <c r="L34" s="2" t="n"/>
      <c r="M34" s="2" t="n"/>
      <c r="N34" s="2" t="n"/>
      <c r="O34" s="2" t="n">
        <v>10</v>
      </c>
      <c r="P34" s="2" t="n"/>
      <c r="Q34" s="2" t="n"/>
      <c r="R34" s="2" t="n"/>
      <c r="S34" s="2" t="n"/>
      <c r="T34" s="2" t="n"/>
      <c r="U34" s="2" t="n"/>
      <c r="V34" s="2">
        <f>SUM(J34:U34)</f>
        <v/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>
        <v>10</v>
      </c>
      <c r="AK34" s="2" t="n"/>
      <c r="AL34" s="2" t="n"/>
      <c r="AM34" s="2" t="n"/>
      <c r="AN34" s="2" t="n">
        <v>10</v>
      </c>
      <c r="AO34" s="2" t="n"/>
      <c r="AP34" s="2" t="n"/>
      <c r="AQ34" s="2" t="n"/>
      <c r="AR34" s="2" t="n"/>
      <c r="AS34" s="2" t="n"/>
      <c r="AT34" s="2" t="n"/>
      <c r="AU34" s="2" t="n"/>
      <c r="AV34" s="2">
        <f>IF(F34=1,V34*2,IF(F34=2,V34*F34*2,IF(F34&gt;2,F34*2*V34)))</f>
        <v/>
      </c>
      <c r="AW34" s="2">
        <f>SUM(W34:AU34)</f>
        <v/>
      </c>
    </row>
    <row r="35">
      <c r="A35" s="2" t="inlineStr">
        <is>
          <t>14-C-138</t>
        </is>
      </c>
      <c r="B35" s="3" t="inlineStr">
        <is>
          <t>DROP-CABLE(LC/PC-SC/PC)</t>
        </is>
      </c>
      <c r="C35" s="2" t="inlineStr">
        <is>
          <t>30M</t>
        </is>
      </c>
      <c r="D35" s="2" t="inlineStr">
        <is>
          <t>drop</t>
        </is>
      </c>
      <c r="E35" s="2" t="inlineStr">
        <is>
          <t>3.0mm</t>
        </is>
      </c>
      <c r="F35" s="2" t="n">
        <v>1</v>
      </c>
      <c r="G35" s="2" t="n">
        <v>30</v>
      </c>
      <c r="H35" s="2" t="inlineStr">
        <is>
          <t>LC/PC</t>
        </is>
      </c>
      <c r="I35" s="2" t="inlineStr">
        <is>
          <t>SC/PC</t>
        </is>
      </c>
      <c r="J35" s="2" t="n"/>
      <c r="K35" s="2" t="n"/>
      <c r="L35" s="2" t="n"/>
      <c r="M35" s="2" t="n">
        <v>4</v>
      </c>
      <c r="N35" s="2" t="n"/>
      <c r="O35" s="2" t="n"/>
      <c r="P35" s="2" t="n"/>
      <c r="Q35" s="2" t="n"/>
      <c r="R35" s="2" t="n"/>
      <c r="S35" s="2" t="n">
        <v>2</v>
      </c>
      <c r="T35" s="2" t="n"/>
      <c r="U35" s="2" t="n">
        <v>2</v>
      </c>
      <c r="V35" s="2">
        <f>SUM(J35:U35)</f>
        <v/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>
        <v>8</v>
      </c>
      <c r="AK35" s="2" t="n"/>
      <c r="AL35" s="2" t="n"/>
      <c r="AM35" s="2" t="n"/>
      <c r="AN35" s="2" t="n">
        <v>8</v>
      </c>
      <c r="AO35" s="2" t="n"/>
      <c r="AP35" s="2" t="n"/>
      <c r="AQ35" s="2" t="n"/>
      <c r="AR35" s="2" t="n"/>
      <c r="AS35" s="2" t="n"/>
      <c r="AT35" s="2" t="n"/>
      <c r="AU35" s="2" t="n"/>
      <c r="AV35" s="2">
        <f>IF(F35=1,V35*2,IF(F35=2,V35*F35*2,IF(F35&gt;2,F35*2*V35)))</f>
        <v/>
      </c>
      <c r="AW35" s="2">
        <f>SUM(W35:AU35)</f>
        <v/>
      </c>
    </row>
    <row r="36">
      <c r="A36" s="2" t="inlineStr">
        <is>
          <t>14-C-361</t>
        </is>
      </c>
      <c r="B36" s="3" t="inlineStr">
        <is>
          <t>DROP-CABLE(LC/PC-SC/APC)</t>
        </is>
      </c>
      <c r="C36" s="2" t="inlineStr">
        <is>
          <t>5M</t>
        </is>
      </c>
      <c r="D36" s="2" t="inlineStr">
        <is>
          <t>drop</t>
        </is>
      </c>
      <c r="E36" s="2" t="inlineStr">
        <is>
          <t>3.0mm</t>
        </is>
      </c>
      <c r="F36" s="2" t="n">
        <v>1</v>
      </c>
      <c r="G36" s="2" t="n">
        <v>5</v>
      </c>
      <c r="H36" s="2" t="inlineStr">
        <is>
          <t>LC/PC</t>
        </is>
      </c>
      <c r="I36" s="2" t="inlineStr">
        <is>
          <t>SC/APC</t>
        </is>
      </c>
      <c r="J36" s="2" t="n"/>
      <c r="K36" s="2" t="n"/>
      <c r="L36" s="2" t="n">
        <v>5</v>
      </c>
      <c r="M36" s="2" t="n"/>
      <c r="N36" s="2" t="n"/>
      <c r="O36" s="2" t="n"/>
      <c r="P36" s="2" t="n">
        <v>70</v>
      </c>
      <c r="Q36" s="2" t="n"/>
      <c r="R36" s="2" t="n"/>
      <c r="S36" s="2" t="n"/>
      <c r="T36" s="2" t="n"/>
      <c r="U36" s="2" t="n"/>
      <c r="V36" s="2">
        <f>SUM(J36:U36)</f>
        <v/>
      </c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>
        <v>75</v>
      </c>
      <c r="AK36" s="2" t="n"/>
      <c r="AL36" s="2" t="n"/>
      <c r="AM36" s="2" t="n"/>
      <c r="AN36" s="2" t="n"/>
      <c r="AO36" s="2" t="n"/>
      <c r="AP36" s="2" t="n">
        <v>75</v>
      </c>
      <c r="AQ36" s="2" t="n"/>
      <c r="AR36" s="2" t="n"/>
      <c r="AS36" s="2" t="n"/>
      <c r="AT36" s="2" t="n"/>
      <c r="AU36" s="2" t="n"/>
      <c r="AV36" s="2">
        <f>IF(F36=1,V36*2,IF(F36=2,V36*F36*2,IF(F36&gt;2,F36*2*V36)))</f>
        <v/>
      </c>
      <c r="AW36" s="2">
        <f>SUM(W36:AU36)</f>
        <v/>
      </c>
    </row>
    <row r="37">
      <c r="A37" s="2" t="inlineStr">
        <is>
          <t>14-C-363</t>
        </is>
      </c>
      <c r="B37" s="3" t="inlineStr">
        <is>
          <t>DROP-CABLE(LC/PC)</t>
        </is>
      </c>
      <c r="C37" s="2" t="inlineStr">
        <is>
          <t>30M</t>
        </is>
      </c>
      <c r="D37" s="2" t="inlineStr">
        <is>
          <t>drop</t>
        </is>
      </c>
      <c r="E37" s="2" t="inlineStr">
        <is>
          <t>3.0mm</t>
        </is>
      </c>
      <c r="F37" s="2" t="n">
        <v>1</v>
      </c>
      <c r="G37" s="2" t="n">
        <v>30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20</v>
      </c>
      <c r="U37" s="2" t="n"/>
      <c r="V37" s="2">
        <f>SUM(J37:U37)</f>
        <v/>
      </c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>
        <v>40</v>
      </c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>
        <f>IF(F37=1,V37*2,IF(F37=2,V37*F37*2,IF(F37&gt;2,F37*2*V37)))</f>
        <v/>
      </c>
      <c r="AW37" s="2">
        <f>SUM(W37:AU37)</f>
        <v/>
      </c>
    </row>
    <row r="38">
      <c r="A38" s="2" t="inlineStr">
        <is>
          <t>14-C-389</t>
        </is>
      </c>
      <c r="B38" s="3" t="inlineStr">
        <is>
          <t>DROP-CABLE(LC/PC-SC/PC)</t>
        </is>
      </c>
      <c r="C38" s="2" t="inlineStr">
        <is>
          <t>20M</t>
        </is>
      </c>
      <c r="D38" s="2" t="inlineStr">
        <is>
          <t>drop</t>
        </is>
      </c>
      <c r="E38" s="2" t="inlineStr">
        <is>
          <t>3.0mm</t>
        </is>
      </c>
      <c r="F38" s="2" t="n">
        <v>1</v>
      </c>
      <c r="G38" s="2" t="n">
        <v>20</v>
      </c>
      <c r="H38" s="2" t="inlineStr">
        <is>
          <t>LC/PC</t>
        </is>
      </c>
      <c r="I38" s="2" t="inlineStr">
        <is>
          <t>SC/PC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>
        <v>1</v>
      </c>
      <c r="T38" s="2" t="n"/>
      <c r="U38" s="2" t="n">
        <v>1</v>
      </c>
      <c r="V38" s="2">
        <f>SUM(J38:U38)</f>
        <v/>
      </c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>
        <v>2</v>
      </c>
      <c r="AK38" s="2" t="n"/>
      <c r="AL38" s="2" t="n"/>
      <c r="AM38" s="2" t="n"/>
      <c r="AN38" s="2" t="n">
        <v>2</v>
      </c>
      <c r="AO38" s="2" t="n"/>
      <c r="AP38" s="2" t="n"/>
      <c r="AQ38" s="2" t="n"/>
      <c r="AR38" s="2" t="n"/>
      <c r="AS38" s="2" t="n"/>
      <c r="AT38" s="2" t="n"/>
      <c r="AU38" s="2" t="n"/>
      <c r="AV38" s="2">
        <f>IF(F38=1,V38*2,IF(F38=2,V38*F38*2,IF(F38&gt;2,F38*2*V38)))</f>
        <v/>
      </c>
      <c r="AW38" s="2">
        <f>SUM(W38:AU38)</f>
        <v/>
      </c>
    </row>
    <row r="39">
      <c r="A39" s="2" t="inlineStr">
        <is>
          <t>14-C-402</t>
        </is>
      </c>
      <c r="B39" s="3" t="inlineStr">
        <is>
          <t>DROP-CABLE(LC/PC)-2C</t>
        </is>
      </c>
      <c r="C39" s="2" t="inlineStr">
        <is>
          <t>30M</t>
        </is>
      </c>
      <c r="D39" s="2" t="inlineStr">
        <is>
          <t>drop</t>
        </is>
      </c>
      <c r="E39" s="2" t="inlineStr">
        <is>
          <t>3.0mm</t>
        </is>
      </c>
      <c r="F39" s="2" t="n">
        <v>2</v>
      </c>
      <c r="G39" s="2" t="n">
        <v>30</v>
      </c>
      <c r="H39" s="2" t="inlineStr">
        <is>
          <t>LC/PC</t>
        </is>
      </c>
      <c r="I39" s="2" t="inlineStr">
        <is>
          <t>LC/PC</t>
        </is>
      </c>
      <c r="J39" s="2" t="n"/>
      <c r="K39" s="2" t="n"/>
      <c r="L39" s="2" t="n">
        <v>6</v>
      </c>
      <c r="M39" s="2" t="n"/>
      <c r="N39" s="2" t="n"/>
      <c r="O39" s="2" t="n"/>
      <c r="P39" s="2" t="n">
        <v>40</v>
      </c>
      <c r="Q39" s="2" t="n"/>
      <c r="R39" s="2" t="n"/>
      <c r="S39" s="2" t="n">
        <v>2</v>
      </c>
      <c r="T39" s="2" t="n">
        <v>20</v>
      </c>
      <c r="U39" s="2" t="n"/>
      <c r="V39" s="2">
        <f>SUM(J39:U39)</f>
        <v/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>
        <v>136</v>
      </c>
      <c r="AK39" s="2" t="n">
        <v>136</v>
      </c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>
        <f>IF(F39=1,V39*2,IF(F39=2,V39*F39*2,IF(F39&gt;2,F39*2*V39)))</f>
        <v/>
      </c>
      <c r="AW39" s="2">
        <f>SUM(W39:AU39)</f>
        <v/>
      </c>
    </row>
    <row r="40">
      <c r="A40" s="2" t="inlineStr">
        <is>
          <t>14-C-403</t>
        </is>
      </c>
      <c r="B40" s="3" t="inlineStr">
        <is>
          <t>DROP-CABLE(LC/PC)-2C</t>
        </is>
      </c>
      <c r="C40" s="2" t="inlineStr">
        <is>
          <t>40M</t>
        </is>
      </c>
      <c r="D40" s="2" t="inlineStr">
        <is>
          <t>drop</t>
        </is>
      </c>
      <c r="E40" s="2" t="inlineStr">
        <is>
          <t>3.0mm</t>
        </is>
      </c>
      <c r="F40" s="2" t="n">
        <v>2</v>
      </c>
      <c r="G40" s="2" t="n">
        <v>40</v>
      </c>
      <c r="H40" s="2" t="inlineStr">
        <is>
          <t>LC/PC</t>
        </is>
      </c>
      <c r="I40" s="2" t="inlineStr">
        <is>
          <t>LC/PC</t>
        </is>
      </c>
      <c r="J40" s="2" t="n"/>
      <c r="K40" s="2" t="n"/>
      <c r="L40" s="2" t="n"/>
      <c r="M40" s="2" t="n"/>
      <c r="N40" s="2" t="n"/>
      <c r="O40" s="2" t="n"/>
      <c r="P40" s="2" t="n">
        <v>10</v>
      </c>
      <c r="Q40" s="2" t="n"/>
      <c r="R40" s="2" t="n"/>
      <c r="S40" s="2" t="n">
        <v>20</v>
      </c>
      <c r="T40" s="2" t="n"/>
      <c r="U40" s="2" t="n"/>
      <c r="V40" s="2">
        <f>SUM(J40:U40)</f>
        <v/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>
        <v>60</v>
      </c>
      <c r="AK40" s="2" t="n">
        <v>60</v>
      </c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>
        <f>IF(F40=1,V40*2,IF(F40=2,V40*F40*2,IF(F40&gt;2,F40*2*V40)))</f>
        <v/>
      </c>
      <c r="AW40" s="2">
        <f>SUM(W40:AU40)</f>
        <v/>
      </c>
    </row>
    <row r="41">
      <c r="A41" s="2" t="inlineStr">
        <is>
          <t>14-C-404</t>
        </is>
      </c>
      <c r="B41" s="3" t="inlineStr">
        <is>
          <t>Optical Cable Parts,LC/PC-LC/PC-Single mode-10m-2Core</t>
        </is>
      </c>
      <c r="C41" s="2" t="inlineStr">
        <is>
          <t>657A2 , LSZH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10</v>
      </c>
      <c r="H41" s="2" t="inlineStr">
        <is>
          <t>LC/PC</t>
        </is>
      </c>
      <c r="I41" s="2" t="inlineStr">
        <is>
          <t>LC/PC</t>
        </is>
      </c>
      <c r="J41" s="2" t="n"/>
      <c r="K41" s="2" t="n"/>
      <c r="L41" s="2" t="n"/>
      <c r="M41" s="2" t="n"/>
      <c r="N41" s="2" t="n"/>
      <c r="O41" s="2" t="n"/>
      <c r="P41" s="2" t="n"/>
      <c r="Q41" s="2" t="n">
        <v>200</v>
      </c>
      <c r="R41" s="2" t="n"/>
      <c r="S41" s="2" t="n"/>
      <c r="T41" s="2" t="n"/>
      <c r="U41" s="2" t="n"/>
      <c r="V41" s="2">
        <f>SUM(J41:U41)</f>
        <v/>
      </c>
      <c r="W41" s="2" t="n">
        <v>400</v>
      </c>
      <c r="X41" s="2" t="n">
        <v>400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>
        <f>IF(F41=1,V41*2,IF(F41=2,V41*F41*2,IF(F41&gt;2,F41*2*V41)))</f>
        <v/>
      </c>
      <c r="AW41" s="2">
        <f>SUM(W41:AU41)</f>
        <v/>
      </c>
    </row>
    <row r="42">
      <c r="A42" s="2" t="inlineStr">
        <is>
          <t>14-C-425</t>
        </is>
      </c>
      <c r="B42" s="3" t="inlineStr">
        <is>
          <t>DROP-CABLE(LC/PC-SC/APC)</t>
        </is>
      </c>
      <c r="C42" s="2" t="inlineStr">
        <is>
          <t>7M</t>
        </is>
      </c>
      <c r="D42" s="2" t="inlineStr">
        <is>
          <t>drop</t>
        </is>
      </c>
      <c r="E42" s="2" t="inlineStr">
        <is>
          <t>3.0mm</t>
        </is>
      </c>
      <c r="F42" s="2" t="n">
        <v>1</v>
      </c>
      <c r="G42" s="2" t="n">
        <v>7</v>
      </c>
      <c r="H42" s="2" t="inlineStr">
        <is>
          <t>LC/PC</t>
        </is>
      </c>
      <c r="I42" s="2" t="inlineStr">
        <is>
          <t>SC/APC</t>
        </is>
      </c>
      <c r="J42" s="2" t="n"/>
      <c r="K42" s="2" t="n"/>
      <c r="L42" s="2" t="n"/>
      <c r="M42" s="2" t="n"/>
      <c r="N42" s="2" t="n"/>
      <c r="O42" s="2" t="n"/>
      <c r="P42" s="2" t="n">
        <v>70</v>
      </c>
      <c r="Q42" s="2" t="n"/>
      <c r="R42" s="2" t="n"/>
      <c r="S42" s="2" t="n"/>
      <c r="T42" s="2" t="n"/>
      <c r="U42" s="2" t="n"/>
      <c r="V42" s="2">
        <f>SUM(J42:U42)</f>
        <v/>
      </c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>
        <v>70</v>
      </c>
      <c r="AK42" s="2" t="n"/>
      <c r="AL42" s="2" t="n"/>
      <c r="AM42" s="2" t="n"/>
      <c r="AN42" s="2" t="n"/>
      <c r="AO42" s="2" t="n"/>
      <c r="AP42" s="2" t="n">
        <v>70</v>
      </c>
      <c r="AQ42" s="2" t="n"/>
      <c r="AR42" s="2" t="n"/>
      <c r="AS42" s="2" t="n"/>
      <c r="AT42" s="2" t="n"/>
      <c r="AU42" s="2" t="n"/>
      <c r="AV42" s="2">
        <f>IF(F42=1,V42*2,IF(F42=2,V42*F42*2,IF(F42&gt;2,F42*2*V42)))</f>
        <v/>
      </c>
      <c r="AW42" s="2">
        <f>SUM(W42:AU42)</f>
        <v/>
      </c>
    </row>
    <row r="43">
      <c r="A43" s="2" t="inlineStr">
        <is>
          <t>14-C-426</t>
        </is>
      </c>
      <c r="B43" s="3" t="inlineStr">
        <is>
          <t>DROP-CABLE(LC/PC-SC/PC)</t>
        </is>
      </c>
      <c r="C43" s="2" t="inlineStr">
        <is>
          <t>40M</t>
        </is>
      </c>
      <c r="D43" s="2" t="inlineStr">
        <is>
          <t>drop</t>
        </is>
      </c>
      <c r="E43" s="2" t="inlineStr">
        <is>
          <t>3.0mm</t>
        </is>
      </c>
      <c r="F43" s="2" t="n">
        <v>1</v>
      </c>
      <c r="G43" s="2" t="n">
        <v>40</v>
      </c>
      <c r="H43" s="2" t="inlineStr">
        <is>
          <t>LC/PC</t>
        </is>
      </c>
      <c r="I43" s="2" t="inlineStr">
        <is>
          <t>SC/PC</t>
        </is>
      </c>
      <c r="J43" s="2" t="n"/>
      <c r="K43" s="2" t="n"/>
      <c r="L43" s="2" t="n"/>
      <c r="M43" s="2" t="n">
        <v>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>
        <f>SUM(J43:U43)</f>
        <v/>
      </c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>
        <v>1</v>
      </c>
      <c r="AK43" s="2" t="n"/>
      <c r="AL43" s="2" t="n"/>
      <c r="AM43" s="2" t="n"/>
      <c r="AN43" s="2" t="n">
        <v>1</v>
      </c>
      <c r="AO43" s="2" t="n"/>
      <c r="AP43" s="2" t="n"/>
      <c r="AQ43" s="2" t="n"/>
      <c r="AR43" s="2" t="n"/>
      <c r="AS43" s="2" t="n"/>
      <c r="AT43" s="2" t="n"/>
      <c r="AU43" s="2" t="n"/>
      <c r="AV43" s="2">
        <f>IF(F43=1,V43*2,IF(F43=2,V43*F43*2,IF(F43&gt;2,F43*2*V43)))</f>
        <v/>
      </c>
      <c r="AW43" s="2">
        <f>SUM(W43:AU43)</f>
        <v/>
      </c>
    </row>
    <row r="44">
      <c r="A44" s="2" t="inlineStr">
        <is>
          <t>14-C-427</t>
        </is>
      </c>
      <c r="B44" s="3" t="inlineStr">
        <is>
          <t>DROP-CABLE(LC/PC)-2C</t>
        </is>
      </c>
      <c r="C44" s="2" t="inlineStr">
        <is>
          <t>60M</t>
        </is>
      </c>
      <c r="D44" s="2" t="inlineStr">
        <is>
          <t>drop</t>
        </is>
      </c>
      <c r="E44" s="2" t="inlineStr">
        <is>
          <t>3.0mm</t>
        </is>
      </c>
      <c r="F44" s="2" t="n">
        <v>2</v>
      </c>
      <c r="G44" s="2" t="n">
        <v>60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>
        <v>10</v>
      </c>
      <c r="T44" s="2" t="n"/>
      <c r="U44" s="2" t="n"/>
      <c r="V44" s="2">
        <f>SUM(J44:U44)</f>
        <v/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>
        <v>20</v>
      </c>
      <c r="AK44" s="2" t="n">
        <v>20</v>
      </c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>
        <f>IF(F44=1,V44*2,IF(F44=2,V44*F44*2,IF(F44&gt;2,F44*2*V44)))</f>
        <v/>
      </c>
      <c r="AW44" s="2">
        <f>SUM(W44:AU44)</f>
        <v/>
      </c>
    </row>
    <row r="45">
      <c r="A45" s="2" t="inlineStr">
        <is>
          <t>14-C-439</t>
        </is>
      </c>
      <c r="B45" s="3" t="inlineStr">
        <is>
          <t>Optical Cable Parts,LC/PC-LC/PC-Single mode-3m-2Core</t>
        </is>
      </c>
      <c r="C45" s="2" t="inlineStr">
        <is>
          <t>657A2 , LSZH , LC DUPLEX KIT(CLIP), 95MM/ 500MM</t>
        </is>
      </c>
      <c r="D45" s="2" t="inlineStr">
        <is>
          <t>a2</t>
        </is>
      </c>
      <c r="E45" s="2" t="inlineStr">
        <is>
          <t>2.0mm</t>
        </is>
      </c>
      <c r="F45" s="2" t="n">
        <v>2</v>
      </c>
      <c r="G45" s="2" t="n">
        <v>3</v>
      </c>
      <c r="H45" s="2" t="inlineStr">
        <is>
          <t>LC/PC</t>
        </is>
      </c>
      <c r="I45" s="2" t="inlineStr">
        <is>
          <t>LC/PC</t>
        </is>
      </c>
      <c r="J45" s="2" t="n"/>
      <c r="K45" s="2" t="n"/>
      <c r="L45" s="2" t="n"/>
      <c r="M45" s="2" t="n"/>
      <c r="N45" s="2" t="n"/>
      <c r="O45" s="2" t="n"/>
      <c r="P45" s="2" t="n">
        <v>100</v>
      </c>
      <c r="Q45" s="2" t="n"/>
      <c r="R45" s="2" t="n"/>
      <c r="S45" s="2" t="n"/>
      <c r="T45" s="2" t="n"/>
      <c r="U45" s="2" t="n"/>
      <c r="V45" s="2">
        <f>SUM(J45:U45)</f>
        <v/>
      </c>
      <c r="W45" s="2" t="n">
        <v>200</v>
      </c>
      <c r="X45" s="2" t="n">
        <v>200</v>
      </c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>
        <f>IF(F45=1,V45*2,IF(F45=2,V45*F45*2,IF(F45&gt;2,F45*2*V45)))</f>
        <v/>
      </c>
      <c r="AW45" s="2">
        <f>SUM(W45:AU45)</f>
        <v/>
      </c>
    </row>
    <row r="46">
      <c r="A46" s="2" t="inlineStr">
        <is>
          <t>14-C-440</t>
        </is>
      </c>
      <c r="B46" s="3" t="inlineStr">
        <is>
          <t>Optical Cable Parts,LC/PC-LC/PC-Single mode-10m-2Core</t>
        </is>
      </c>
      <c r="C46" s="2" t="inlineStr">
        <is>
          <t>657A2 , LSZH , LC DUPLEX KIT(CLIP), 95MM/ 500MM</t>
        </is>
      </c>
      <c r="D46" s="2" t="inlineStr">
        <is>
          <t>a2</t>
        </is>
      </c>
      <c r="E46" s="2" t="inlineStr">
        <is>
          <t>2.0mm</t>
        </is>
      </c>
      <c r="F46" s="2" t="n">
        <v>2</v>
      </c>
      <c r="G46" s="2" t="n">
        <v>10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>
        <v>30</v>
      </c>
      <c r="M46" s="2" t="n"/>
      <c r="N46" s="2" t="n"/>
      <c r="O46" s="2" t="n">
        <v>1</v>
      </c>
      <c r="P46" s="2" t="n"/>
      <c r="Q46" s="2" t="n"/>
      <c r="R46" s="2" t="n">
        <v>30</v>
      </c>
      <c r="S46" s="2" t="n">
        <v>20</v>
      </c>
      <c r="T46" s="2" t="n"/>
      <c r="U46" s="2" t="n"/>
      <c r="V46" s="2">
        <f>SUM(J46:U46)</f>
        <v/>
      </c>
      <c r="W46" s="2" t="n">
        <v>162</v>
      </c>
      <c r="X46" s="2" t="n">
        <v>162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>
        <f>IF(F46=1,V46*2,IF(F46=2,V46*F46*2,IF(F46&gt;2,F46*2*V46)))</f>
        <v/>
      </c>
      <c r="AW46" s="2">
        <f>SUM(W46:AU46)</f>
        <v/>
      </c>
    </row>
    <row r="47">
      <c r="A47" s="2" t="inlineStr">
        <is>
          <t>14-C-441</t>
        </is>
      </c>
      <c r="B47" s="3" t="inlineStr">
        <is>
          <t>Optical Cable Parts,LC/PC-LC/PC-Single mode-15m-2Core</t>
        </is>
      </c>
      <c r="C47" s="2" t="inlineStr">
        <is>
          <t>657A2 , LSZH , LC DUPLEX KIT(CLIP), 95MM/ 500MM</t>
        </is>
      </c>
      <c r="D47" s="2" t="inlineStr">
        <is>
          <t>a2</t>
        </is>
      </c>
      <c r="E47" s="2" t="inlineStr">
        <is>
          <t>2.0mm</t>
        </is>
      </c>
      <c r="F47" s="2" t="n">
        <v>2</v>
      </c>
      <c r="G47" s="2" t="n">
        <v>15</v>
      </c>
      <c r="H47" s="2" t="inlineStr">
        <is>
          <t>LC/PC</t>
        </is>
      </c>
      <c r="I47" s="2" t="inlineStr">
        <is>
          <t>LC/PC</t>
        </is>
      </c>
      <c r="J47" s="2" t="n"/>
      <c r="K47" s="2" t="n"/>
      <c r="L47" s="2" t="n"/>
      <c r="M47" s="2" t="n"/>
      <c r="N47" s="2" t="n">
        <v>30</v>
      </c>
      <c r="O47" s="2" t="n"/>
      <c r="P47" s="2" t="n"/>
      <c r="Q47" s="2" t="n"/>
      <c r="R47" s="2" t="n"/>
      <c r="S47" s="2" t="n"/>
      <c r="T47" s="2" t="n"/>
      <c r="U47" s="2" t="n"/>
      <c r="V47" s="2">
        <f>SUM(J47:U47)</f>
        <v/>
      </c>
      <c r="W47" s="2" t="n">
        <v>60</v>
      </c>
      <c r="X47" s="2" t="n">
        <v>60</v>
      </c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>
        <f>IF(F47=1,V47*2,IF(F47=2,V47*F47*2,IF(F47&gt;2,F47*2*V47)))</f>
        <v/>
      </c>
      <c r="AW47" s="2">
        <f>SUM(W47:AU47)</f>
        <v/>
      </c>
    </row>
    <row r="48">
      <c r="A48" s="2" t="inlineStr">
        <is>
          <t>14-C-462</t>
        </is>
      </c>
      <c r="B48" s="3" t="inlineStr">
        <is>
          <t>Optical Cable Parts,LC/PC-LC/PC-Single mode-4m-2Core</t>
        </is>
      </c>
      <c r="C48" s="2" t="inlineStr">
        <is>
          <t>657A2 , LSZH , LC DUPLEX KIT(CLIP)</t>
        </is>
      </c>
      <c r="D48" s="2" t="inlineStr">
        <is>
          <t>a2</t>
        </is>
      </c>
      <c r="E48" s="2" t="inlineStr">
        <is>
          <t>2.0mm</t>
        </is>
      </c>
      <c r="F48" s="2" t="n">
        <v>2</v>
      </c>
      <c r="G48" s="2" t="n">
        <v>4</v>
      </c>
      <c r="H48" s="2" t="inlineStr">
        <is>
          <t>LC/PC</t>
        </is>
      </c>
      <c r="I48" s="2" t="inlineStr">
        <is>
          <t>LC/PC</t>
        </is>
      </c>
      <c r="J48" s="2" t="n"/>
      <c r="K48" s="2" t="n"/>
      <c r="L48" s="2" t="n"/>
      <c r="M48" s="2" t="n"/>
      <c r="N48" s="2" t="n">
        <v>20</v>
      </c>
      <c r="O48" s="2" t="n"/>
      <c r="P48" s="2" t="n"/>
      <c r="Q48" s="2" t="n"/>
      <c r="R48" s="2" t="n"/>
      <c r="S48" s="2" t="n"/>
      <c r="T48" s="2" t="n"/>
      <c r="U48" s="2" t="n"/>
      <c r="V48" s="2">
        <f>SUM(J48:U48)</f>
        <v/>
      </c>
      <c r="W48" s="2" t="n">
        <v>40</v>
      </c>
      <c r="X48" s="2" t="n">
        <v>40</v>
      </c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>
        <f>IF(F48=1,V48*2,IF(F48=2,V48*F48*2,IF(F48&gt;2,F48*2*V48)))</f>
        <v/>
      </c>
      <c r="AW48" s="2">
        <f>SUM(W48:AU48)</f>
        <v/>
      </c>
    </row>
    <row r="49">
      <c r="A49" s="2" t="inlineStr">
        <is>
          <t>14-C-466</t>
        </is>
      </c>
      <c r="B49" s="3" t="inlineStr">
        <is>
          <t>Optical Cable Parts,LC/PC-LC/PC-Single mode-5m-2Core</t>
        </is>
      </c>
      <c r="C49" s="2" t="inlineStr">
        <is>
          <t>657A2 , LSZH , LC DUPLEX KIT(CLIP), 95MM/ 500MM</t>
        </is>
      </c>
      <c r="D49" s="2" t="inlineStr">
        <is>
          <t>a2</t>
        </is>
      </c>
      <c r="E49" s="2" t="inlineStr">
        <is>
          <t>2.0mm</t>
        </is>
      </c>
      <c r="F49" s="2" t="n">
        <v>2</v>
      </c>
      <c r="G49" s="2" t="n">
        <v>5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>
        <v>30</v>
      </c>
      <c r="M49" s="2" t="n"/>
      <c r="N49" s="2" t="n"/>
      <c r="O49" s="2" t="n"/>
      <c r="P49" s="2" t="n"/>
      <c r="Q49" s="2" t="n"/>
      <c r="R49" s="2" t="n">
        <v>50</v>
      </c>
      <c r="S49" s="2" t="n"/>
      <c r="T49" s="2" t="n"/>
      <c r="U49" s="2" t="n"/>
      <c r="V49" s="2">
        <f>SUM(J49:U49)</f>
        <v/>
      </c>
      <c r="W49" s="2" t="n">
        <v>160</v>
      </c>
      <c r="X49" s="2" t="n">
        <v>160</v>
      </c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>
        <f>IF(F49=1,V49*2,IF(F49=2,V49*F49*2,IF(F49&gt;2,F49*2*V49)))</f>
        <v/>
      </c>
      <c r="AW49" s="2">
        <f>SUM(W49:AU49)</f>
        <v/>
      </c>
    </row>
    <row r="50">
      <c r="A50" s="2" t="inlineStr">
        <is>
          <t>14-C-486</t>
        </is>
      </c>
      <c r="B50" s="3" t="inlineStr">
        <is>
          <t>DROP-CABLE(LC/APC)-2C</t>
        </is>
      </c>
      <c r="C50" s="2" t="inlineStr">
        <is>
          <t>5M</t>
        </is>
      </c>
      <c r="D50" s="2" t="inlineStr">
        <is>
          <t>drop</t>
        </is>
      </c>
      <c r="E50" s="2" t="inlineStr">
        <is>
          <t>3.0mm</t>
        </is>
      </c>
      <c r="F50" s="2" t="n">
        <v>2</v>
      </c>
      <c r="G50" s="2" t="n">
        <v>5</v>
      </c>
      <c r="H50" s="2" t="inlineStr">
        <is>
          <t>LC/APC</t>
        </is>
      </c>
      <c r="I50" s="2" t="inlineStr">
        <is>
          <t>LC/APC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40</v>
      </c>
      <c r="U50" s="2" t="n"/>
      <c r="V50" s="2">
        <f>SUM(J50:U50)</f>
        <v/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>
        <v>80</v>
      </c>
      <c r="AM50" s="2" t="n">
        <v>80</v>
      </c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>
        <f>IF(F50=1,V50*2,IF(F50=2,V50*F50*2,IF(F50&gt;2,F50*2*V50)))</f>
        <v/>
      </c>
      <c r="AW50" s="2">
        <f>SUM(W50:AU50)</f>
        <v/>
      </c>
    </row>
    <row r="51">
      <c r="A51" s="2" t="inlineStr">
        <is>
          <t>14-C-486</t>
        </is>
      </c>
      <c r="B51" s="3" t="inlineStr">
        <is>
          <t>DROP-CABLE(LC/APC)-2C</t>
        </is>
      </c>
      <c r="C51" s="2" t="inlineStr">
        <is>
          <t>5M / 분기부:30cm</t>
        </is>
      </c>
      <c r="D51" s="2" t="inlineStr">
        <is>
          <t>drop</t>
        </is>
      </c>
      <c r="E51" s="2" t="inlineStr">
        <is>
          <t>3.0mm</t>
        </is>
      </c>
      <c r="F51" s="2" t="n">
        <v>2</v>
      </c>
      <c r="G51" s="2" t="n">
        <v>5</v>
      </c>
      <c r="H51" s="2" t="inlineStr">
        <is>
          <t>LC/APC</t>
        </is>
      </c>
      <c r="I51" s="2" t="inlineStr">
        <is>
          <t>LC/APC</t>
        </is>
      </c>
      <c r="J51" s="2" t="n"/>
      <c r="K51" s="2" t="n">
        <v>35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>
        <f>SUM(J51:U51)</f>
        <v/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>
        <v>70</v>
      </c>
      <c r="AM51" s="2" t="n">
        <v>70</v>
      </c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>
        <f>IF(F51=1,V51*2,IF(F51=2,V51*F51*2,IF(F51&gt;2,F51*2*V51)))</f>
        <v/>
      </c>
      <c r="AW51" s="2">
        <f>SUM(W51:AU51)</f>
        <v/>
      </c>
    </row>
    <row r="52">
      <c r="A52" s="2" t="inlineStr">
        <is>
          <t>14-C-488</t>
        </is>
      </c>
      <c r="B52" s="3" t="inlineStr">
        <is>
          <t>DROP-CABLE(LC/APC)-2C</t>
        </is>
      </c>
      <c r="C52" s="2" t="inlineStr">
        <is>
          <t>7M</t>
        </is>
      </c>
      <c r="D52" s="2" t="inlineStr">
        <is>
          <t>drop</t>
        </is>
      </c>
      <c r="E52" s="2" t="inlineStr">
        <is>
          <t>3.0mm</t>
        </is>
      </c>
      <c r="F52" s="2" t="n">
        <v>2</v>
      </c>
      <c r="G52" s="2" t="n">
        <v>7</v>
      </c>
      <c r="H52" s="2" t="inlineStr">
        <is>
          <t>LC/APC</t>
        </is>
      </c>
      <c r="I52" s="2" t="inlineStr">
        <is>
          <t>LC/APC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30</v>
      </c>
      <c r="U52" s="2" t="n"/>
      <c r="V52" s="2">
        <f>SUM(J52:U52)</f>
        <v/>
      </c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>
        <v>60</v>
      </c>
      <c r="AM52" s="2" t="n">
        <v>60</v>
      </c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>
        <f>IF(F52=1,V52*2,IF(F52=2,V52*F52*2,IF(F52&gt;2,F52*2*V52)))</f>
        <v/>
      </c>
      <c r="AW52" s="2">
        <f>SUM(W52:AU52)</f>
        <v/>
      </c>
    </row>
    <row r="53">
      <c r="A53" s="2" t="inlineStr">
        <is>
          <t>14-C-488</t>
        </is>
      </c>
      <c r="B53" s="3" t="inlineStr">
        <is>
          <t>DROP-CABLE(LC/APC)-2C</t>
        </is>
      </c>
      <c r="C53" s="2" t="inlineStr">
        <is>
          <t>7M / 분기부:30cm</t>
        </is>
      </c>
      <c r="D53" s="2" t="inlineStr">
        <is>
          <t>drop</t>
        </is>
      </c>
      <c r="E53" s="2" t="inlineStr">
        <is>
          <t>3.0mm</t>
        </is>
      </c>
      <c r="F53" s="2" t="n">
        <v>2</v>
      </c>
      <c r="G53" s="2" t="n">
        <v>7</v>
      </c>
      <c r="H53" s="2" t="inlineStr">
        <is>
          <t>LC/APC</t>
        </is>
      </c>
      <c r="I53" s="2" t="inlineStr">
        <is>
          <t>LC/APC</t>
        </is>
      </c>
      <c r="J53" s="2" t="n"/>
      <c r="K53" s="2" t="n"/>
      <c r="L53" s="2" t="n"/>
      <c r="M53" s="2" t="n">
        <v>30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>
        <f>SUM(J53:U53)</f>
        <v/>
      </c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>
        <v>60</v>
      </c>
      <c r="AM53" s="2" t="n">
        <v>60</v>
      </c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>
        <f>IF(F53=1,V53*2,IF(F53=2,V53*F53*2,IF(F53&gt;2,F53*2*V53)))</f>
        <v/>
      </c>
      <c r="AW53" s="2">
        <f>SUM(W53:AU53)</f>
        <v/>
      </c>
    </row>
    <row r="54">
      <c r="A54" s="2" t="inlineStr">
        <is>
          <t>14-C-490</t>
        </is>
      </c>
      <c r="B54" s="3" t="inlineStr">
        <is>
          <t>Optical Cable Parts,LC/PC-LC/PC-Single mode-30m-2Core</t>
        </is>
      </c>
      <c r="C54" s="2" t="inlineStr">
        <is>
          <t>657A2 , LSZH , LC DUPLEX KIT(CLIP),95MM/ 500MM</t>
        </is>
      </c>
      <c r="D54" s="2" t="inlineStr">
        <is>
          <t>a2</t>
        </is>
      </c>
      <c r="E54" s="2" t="inlineStr">
        <is>
          <t>2.0mm</t>
        </is>
      </c>
      <c r="F54" s="2" t="n">
        <v>2</v>
      </c>
      <c r="G54" s="2" t="n">
        <v>30</v>
      </c>
      <c r="H54" s="2" t="inlineStr">
        <is>
          <t>LC/PC</t>
        </is>
      </c>
      <c r="I54" s="2" t="inlineStr">
        <is>
          <t>LC/PC</t>
        </is>
      </c>
      <c r="J54" s="2" t="n">
        <v>2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>
        <f>SUM(J54:U54)</f>
        <v/>
      </c>
      <c r="W54" s="2" t="n">
        <v>4</v>
      </c>
      <c r="X54" s="2" t="n">
        <v>4</v>
      </c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>
        <f>IF(F54=1,V54*2,IF(F54=2,V54*F54*2,IF(F54&gt;2,F54*2*V54)))</f>
        <v/>
      </c>
      <c r="AW54" s="2">
        <f>SUM(W54:AU54)</f>
        <v/>
      </c>
    </row>
    <row r="55">
      <c r="A55" s="2" t="inlineStr">
        <is>
          <t>14-C-491</t>
        </is>
      </c>
      <c r="B55" s="3" t="inlineStr">
        <is>
          <t>Optical Cable Parts,LC/PC-LC/PC-Single mode-40m-2Core</t>
        </is>
      </c>
      <c r="C55" s="2" t="inlineStr">
        <is>
          <t>657A2 , LSZH , LC DUPLEX KIT(CLIP),95MM/ 500MM</t>
        </is>
      </c>
      <c r="D55" s="2" t="inlineStr">
        <is>
          <t>a2</t>
        </is>
      </c>
      <c r="E55" s="2" t="inlineStr">
        <is>
          <t>2.0mm</t>
        </is>
      </c>
      <c r="F55" s="2" t="n">
        <v>2</v>
      </c>
      <c r="G55" s="2" t="n">
        <v>40</v>
      </c>
      <c r="H55" s="2" t="inlineStr">
        <is>
          <t>LC/PC</t>
        </is>
      </c>
      <c r="I55" s="2" t="inlineStr">
        <is>
          <t>LC/PC</t>
        </is>
      </c>
      <c r="J55" s="2" t="n">
        <v>50</v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>
        <v>20</v>
      </c>
      <c r="U55" s="2" t="n"/>
      <c r="V55" s="2">
        <f>SUM(J55:U55)</f>
        <v/>
      </c>
      <c r="W55" s="2" t="n">
        <v>140</v>
      </c>
      <c r="X55" s="2" t="n">
        <v>140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>
        <f>IF(F55=1,V55*2,IF(F55=2,V55*F55*2,IF(F55&gt;2,F55*2*V55)))</f>
        <v/>
      </c>
      <c r="AW55" s="2">
        <f>SUM(W55:AU55)</f>
        <v/>
      </c>
    </row>
    <row r="56">
      <c r="A56" s="2" t="inlineStr">
        <is>
          <t>14-C-492</t>
        </is>
      </c>
      <c r="B56" s="3" t="inlineStr">
        <is>
          <t>Optical Cable Parts,LC/PC-LC/PC-Single mode-50m-2Core</t>
        </is>
      </c>
      <c r="C56" s="2" t="inlineStr">
        <is>
          <t>657A2 , LSZH , LC DUPLEX KIT(CLIP),95MM/ 500MM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50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10</v>
      </c>
      <c r="U56" s="2" t="n"/>
      <c r="V56" s="2">
        <f>SUM(J56:U56)</f>
        <v/>
      </c>
      <c r="W56" s="2" t="n">
        <v>20</v>
      </c>
      <c r="X56" s="2" t="n">
        <v>20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>
        <f>IF(F56=1,V56*2,IF(F56=2,V56*F56*2,IF(F56&gt;2,F56*2*V56)))</f>
        <v/>
      </c>
      <c r="AW56" s="2">
        <f>SUM(W56:AU56)</f>
        <v/>
      </c>
    </row>
    <row r="57">
      <c r="A57" s="2" t="inlineStr">
        <is>
          <t>14-C-493</t>
        </is>
      </c>
      <c r="B57" s="3" t="inlineStr">
        <is>
          <t>Optical Cable Parts,LC/PC-LC/PC-Single mode-60m-2Core</t>
        </is>
      </c>
      <c r="C57" s="2" t="inlineStr">
        <is>
          <t>657A2 , LSZH , LC DUPLEX KIT(CLIP),95MM/ 500MM</t>
        </is>
      </c>
      <c r="D57" s="2" t="inlineStr">
        <is>
          <t>a2</t>
        </is>
      </c>
      <c r="E57" s="2" t="inlineStr">
        <is>
          <t>2.0mm</t>
        </is>
      </c>
      <c r="F57" s="2" t="n">
        <v>2</v>
      </c>
      <c r="G57" s="2" t="n">
        <v>60</v>
      </c>
      <c r="H57" s="2" t="inlineStr">
        <is>
          <t>LC/PC</t>
        </is>
      </c>
      <c r="I57" s="2" t="inlineStr">
        <is>
          <t>LC/PC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4</v>
      </c>
      <c r="U57" s="2" t="n"/>
      <c r="V57" s="2">
        <f>SUM(J57:U57)</f>
        <v/>
      </c>
      <c r="W57" s="2" t="n">
        <v>8</v>
      </c>
      <c r="X57" s="2" t="n">
        <v>8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>
        <f>IF(F57=1,V57*2,IF(F57=2,V57*F57*2,IF(F57&gt;2,F57*2*V57)))</f>
        <v/>
      </c>
      <c r="AW57" s="2">
        <f>SUM(W57:AU57)</f>
        <v/>
      </c>
    </row>
    <row r="58">
      <c r="A58" s="2" t="inlineStr">
        <is>
          <t>14-C-496</t>
        </is>
      </c>
      <c r="B58" s="3" t="inlineStr">
        <is>
          <t>DROP-CABLE(LC/PC)-2C</t>
        </is>
      </c>
      <c r="C58" s="2" t="inlineStr">
        <is>
          <t>10M</t>
        </is>
      </c>
      <c r="D58" s="2" t="inlineStr">
        <is>
          <t>drop</t>
        </is>
      </c>
      <c r="E58" s="2" t="inlineStr">
        <is>
          <t>3.0mm</t>
        </is>
      </c>
      <c r="F58" s="2" t="n">
        <v>2</v>
      </c>
      <c r="G58" s="2" t="n">
        <v>10</v>
      </c>
      <c r="H58" s="2" t="inlineStr">
        <is>
          <t>LC/PC</t>
        </is>
      </c>
      <c r="I58" s="2" t="inlineStr">
        <is>
          <t>LC/PC</t>
        </is>
      </c>
      <c r="J58" s="2" t="n"/>
      <c r="K58" s="2" t="n">
        <v>10</v>
      </c>
      <c r="L58" s="2" t="n"/>
      <c r="M58" s="2" t="n"/>
      <c r="N58" s="2" t="n"/>
      <c r="O58" s="2" t="n">
        <v>80</v>
      </c>
      <c r="P58" s="2" t="n">
        <v>20</v>
      </c>
      <c r="Q58" s="2" t="n">
        <v>30</v>
      </c>
      <c r="R58" s="2" t="n"/>
      <c r="S58" s="2" t="n"/>
      <c r="T58" s="2" t="n"/>
      <c r="U58" s="2" t="n">
        <v>21</v>
      </c>
      <c r="V58" s="2">
        <f>SUM(J58:U58)</f>
        <v/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>
        <v>322</v>
      </c>
      <c r="AK58" s="2" t="n">
        <v>322</v>
      </c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>
        <f>IF(F58=1,V58*2,IF(F58=2,V58*F58*2,IF(F58&gt;2,F58*2*V58)))</f>
        <v/>
      </c>
      <c r="AW58" s="2">
        <f>SUM(W58:AU58)</f>
        <v/>
      </c>
    </row>
    <row r="59">
      <c r="A59" s="2" t="inlineStr">
        <is>
          <t>14-C-497</t>
        </is>
      </c>
      <c r="B59" s="3" t="inlineStr">
        <is>
          <t>DROP-CABLE(LC/PC)-2C</t>
        </is>
      </c>
      <c r="C59" s="2" t="inlineStr">
        <is>
          <t>4M</t>
        </is>
      </c>
      <c r="D59" s="2" t="inlineStr">
        <is>
          <t>drop</t>
        </is>
      </c>
      <c r="E59" s="2" t="inlineStr">
        <is>
          <t>3.0mm</t>
        </is>
      </c>
      <c r="F59" s="2" t="n">
        <v>2</v>
      </c>
      <c r="G59" s="2" t="n">
        <v>4</v>
      </c>
      <c r="H59" s="2" t="inlineStr">
        <is>
          <t>LC/PC</t>
        </is>
      </c>
      <c r="I59" s="2" t="inlineStr">
        <is>
          <t>LC/PC</t>
        </is>
      </c>
      <c r="J59" s="2" t="n">
        <v>100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>
        <v>30</v>
      </c>
      <c r="T59" s="2" t="n">
        <v>100</v>
      </c>
      <c r="U59" s="2" t="n">
        <v>20</v>
      </c>
      <c r="V59" s="2">
        <f>SUM(J59:U59)</f>
        <v/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>
        <v>500</v>
      </c>
      <c r="AK59" s="2" t="n">
        <v>500</v>
      </c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>
        <f>IF(F59=1,V59*2,IF(F59=2,V59*F59*2,IF(F59&gt;2,F59*2*V59)))</f>
        <v/>
      </c>
      <c r="AW59" s="2">
        <f>SUM(W59:AU59)</f>
        <v/>
      </c>
    </row>
    <row r="60">
      <c r="A60" s="2" t="inlineStr">
        <is>
          <t>14-C-506</t>
        </is>
      </c>
      <c r="B60" s="3" t="inlineStr">
        <is>
          <t>Optical Cable Parts,SC/PC-LC/PC-Single mode-5m-2Core</t>
        </is>
      </c>
      <c r="C60" s="2" t="inlineStr">
        <is>
          <t>657A2 , LSZH , LC DUPLEX KIT(CLIP),95MM/ 500MM</t>
        </is>
      </c>
      <c r="D60" s="2" t="inlineStr">
        <is>
          <t>a2</t>
        </is>
      </c>
      <c r="E60" s="2" t="inlineStr">
        <is>
          <t>2.0mm</t>
        </is>
      </c>
      <c r="F60" s="2" t="n">
        <v>2</v>
      </c>
      <c r="G60" s="2" t="n">
        <v>5</v>
      </c>
      <c r="H60" s="2" t="inlineStr">
        <is>
          <t>SC/PC</t>
        </is>
      </c>
      <c r="I60" s="2" t="inlineStr">
        <is>
          <t>LC/PC</t>
        </is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18</v>
      </c>
      <c r="U60" s="2" t="n"/>
      <c r="V60" s="2">
        <f>SUM(J60:U60)</f>
        <v/>
      </c>
      <c r="W60" s="2" t="n"/>
      <c r="X60" s="2" t="n">
        <v>36</v>
      </c>
      <c r="Y60" s="2" t="n"/>
      <c r="Z60" s="2" t="n"/>
      <c r="AA60" s="2" t="n">
        <v>36</v>
      </c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>
        <f>IF(F60=1,V60*2,IF(F60=2,V60*F60*2,IF(F60&gt;2,F60*2*V60)))</f>
        <v/>
      </c>
      <c r="AW60" s="2">
        <f>SUM(W60:AU60)</f>
        <v/>
      </c>
    </row>
    <row r="61">
      <c r="A61" s="2" t="inlineStr">
        <is>
          <t>14-C-534</t>
        </is>
      </c>
      <c r="B61" s="3" t="inlineStr">
        <is>
          <t>DROP-CABLE(LC/PC-SC/APC)</t>
        </is>
      </c>
      <c r="C61" s="2" t="inlineStr">
        <is>
          <t>25M</t>
        </is>
      </c>
      <c r="D61" s="2" t="inlineStr">
        <is>
          <t>drop</t>
        </is>
      </c>
      <c r="E61" s="2" t="inlineStr">
        <is>
          <t>3.0mm</t>
        </is>
      </c>
      <c r="F61" s="2" t="n">
        <v>1</v>
      </c>
      <c r="G61" s="2" t="n">
        <v>25</v>
      </c>
      <c r="H61" s="2" t="inlineStr">
        <is>
          <t>LC/PC</t>
        </is>
      </c>
      <c r="I61" s="2" t="inlineStr">
        <is>
          <t>SC/APC</t>
        </is>
      </c>
      <c r="J61" s="2" t="n"/>
      <c r="K61" s="2" t="n"/>
      <c r="L61" s="2" t="n"/>
      <c r="M61" s="2" t="n"/>
      <c r="N61" s="2" t="n"/>
      <c r="O61" s="2" t="n">
        <v>5</v>
      </c>
      <c r="P61" s="2" t="n"/>
      <c r="Q61" s="2" t="n"/>
      <c r="R61" s="2" t="n"/>
      <c r="S61" s="2" t="n"/>
      <c r="T61" s="2" t="n"/>
      <c r="U61" s="2" t="n"/>
      <c r="V61" s="2">
        <f>SUM(J61:U61)</f>
        <v/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>
        <v>5</v>
      </c>
      <c r="AK61" s="2" t="n"/>
      <c r="AL61" s="2" t="n"/>
      <c r="AM61" s="2" t="n"/>
      <c r="AN61" s="2" t="n"/>
      <c r="AO61" s="2" t="n"/>
      <c r="AP61" s="2" t="n">
        <v>5</v>
      </c>
      <c r="AQ61" s="2" t="n"/>
      <c r="AR61" s="2" t="n"/>
      <c r="AS61" s="2" t="n"/>
      <c r="AT61" s="2" t="n"/>
      <c r="AU61" s="2" t="n"/>
      <c r="AV61" s="2">
        <f>IF(F61=1,V61*2,IF(F61=2,V61*F61*2,IF(F61&gt;2,F61*2*V61)))</f>
        <v/>
      </c>
      <c r="AW61" s="2">
        <f>SUM(W61:AU61)</f>
        <v/>
      </c>
    </row>
    <row r="62">
      <c r="A62" s="2" t="inlineStr">
        <is>
          <t>14-C-535</t>
        </is>
      </c>
      <c r="B62" s="3" t="inlineStr">
        <is>
          <t>Optical Cable Parts,LC/PC-LC/PC-Single mode-15m-2Core</t>
        </is>
      </c>
      <c r="C62" s="2" t="inlineStr">
        <is>
          <t>657A2 , LSZH , LC DUPLEX KIT(CLIP), 300MM/ 300MM</t>
        </is>
      </c>
      <c r="D62" s="2" t="inlineStr">
        <is>
          <t>a2</t>
        </is>
      </c>
      <c r="E62" s="2" t="inlineStr">
        <is>
          <t>2.0mm</t>
        </is>
      </c>
      <c r="F62" s="2" t="n">
        <v>2</v>
      </c>
      <c r="G62" s="2" t="n">
        <v>15</v>
      </c>
      <c r="H62" s="2" t="inlineStr">
        <is>
          <t>LC/PC</t>
        </is>
      </c>
      <c r="I62" s="2" t="inlineStr">
        <is>
          <t>LC/PC</t>
        </is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>
        <v>50</v>
      </c>
      <c r="S62" s="2" t="n"/>
      <c r="T62" s="2" t="n">
        <v>50</v>
      </c>
      <c r="U62" s="2" t="n">
        <v>50</v>
      </c>
      <c r="V62" s="2">
        <f>SUM(J62:U62)</f>
        <v/>
      </c>
      <c r="W62" s="2" t="n">
        <v>300</v>
      </c>
      <c r="X62" s="2" t="n">
        <v>300</v>
      </c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>
        <f>IF(F62=1,V62*2,IF(F62=2,V62*F62*2,IF(F62&gt;2,F62*2*V62)))</f>
        <v/>
      </c>
      <c r="AW62" s="2">
        <f>SUM(W62:AU62)</f>
        <v/>
      </c>
    </row>
    <row r="63">
      <c r="A63" s="2" t="inlineStr">
        <is>
          <t>14-C-552</t>
        </is>
      </c>
      <c r="B63" s="3" t="inlineStr">
        <is>
          <t>Optical Cable Parts,LC/PC-LC/PC-Single mode-10m-2Core</t>
        </is>
      </c>
      <c r="C63" s="2" t="inlineStr">
        <is>
          <t>657A2 , LSZH , LC DUPLEX KIT(CLIP), 0MM/ 300MM</t>
        </is>
      </c>
      <c r="D63" s="2" t="inlineStr">
        <is>
          <t>a2</t>
        </is>
      </c>
      <c r="E63" s="2" t="inlineStr">
        <is>
          <t>2.0mm</t>
        </is>
      </c>
      <c r="F63" s="2" t="n">
        <v>2</v>
      </c>
      <c r="G63" s="2" t="n">
        <v>10</v>
      </c>
      <c r="H63" s="2" t="inlineStr">
        <is>
          <t>LC/PC</t>
        </is>
      </c>
      <c r="I63" s="2" t="inlineStr">
        <is>
          <t>LC/PC</t>
        </is>
      </c>
      <c r="J63" s="2" t="n"/>
      <c r="K63" s="2" t="n"/>
      <c r="L63" s="2" t="n"/>
      <c r="M63" s="2" t="n"/>
      <c r="N63" s="2" t="n"/>
      <c r="O63" s="2" t="n">
        <v>50</v>
      </c>
      <c r="P63" s="2" t="n"/>
      <c r="Q63" s="2" t="n"/>
      <c r="R63" s="2" t="n"/>
      <c r="S63" s="2" t="n"/>
      <c r="T63" s="2" t="n"/>
      <c r="U63" s="2" t="n"/>
      <c r="V63" s="2">
        <f>SUM(J63:U63)</f>
        <v/>
      </c>
      <c r="W63" s="2" t="n">
        <v>100</v>
      </c>
      <c r="X63" s="2" t="n">
        <v>100</v>
      </c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>
        <f>IF(F63=1,V63*2,IF(F63=2,V63*F63*2,IF(F63&gt;2,F63*2*V63)))</f>
        <v/>
      </c>
      <c r="AW63" s="2">
        <f>SUM(W63:AU63)</f>
        <v/>
      </c>
    </row>
    <row r="64">
      <c r="A64" s="2" t="inlineStr">
        <is>
          <t>14-C-553</t>
        </is>
      </c>
      <c r="B64" s="3" t="inlineStr">
        <is>
          <t>Optical Cable Parts,LC/PC-LC/PC-Single mode-15m-2Core</t>
        </is>
      </c>
      <c r="C64" s="2" t="inlineStr">
        <is>
          <t>657A2 , LSZH , LC DUPLEX KIT(CLIP), 0MM/ 300MM</t>
        </is>
      </c>
      <c r="D64" s="2" t="inlineStr">
        <is>
          <t>a2</t>
        </is>
      </c>
      <c r="E64" s="2" t="inlineStr">
        <is>
          <t>2.0mm</t>
        </is>
      </c>
      <c r="F64" s="2" t="n">
        <v>2</v>
      </c>
      <c r="G64" s="2" t="n">
        <v>15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>
        <v>50</v>
      </c>
      <c r="S64" s="2" t="n"/>
      <c r="T64" s="2" t="n"/>
      <c r="U64" s="2" t="n"/>
      <c r="V64" s="2">
        <f>SUM(J64:U64)</f>
        <v/>
      </c>
      <c r="W64" s="2" t="n">
        <v>100</v>
      </c>
      <c r="X64" s="2" t="n">
        <v>100</v>
      </c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>
        <f>IF(F64=1,V64*2,IF(F64=2,V64*F64*2,IF(F64&gt;2,F64*2*V64)))</f>
        <v/>
      </c>
      <c r="AW64" s="2">
        <f>SUM(W64:AU64)</f>
        <v/>
      </c>
    </row>
    <row r="65">
      <c r="A65" s="2" t="inlineStr">
        <is>
          <t>14-C-555</t>
        </is>
      </c>
      <c r="B65" s="3" t="inlineStr">
        <is>
          <t>Optical Cable Parts,LC/PC-LC/PC-Single mode-25m-2Core</t>
        </is>
      </c>
      <c r="C65" s="2" t="inlineStr">
        <is>
          <t>657A2 , LSZH , LC DUPLEX KIT(CLIP), 0MM/ 300MM</t>
        </is>
      </c>
      <c r="D65" s="2" t="inlineStr">
        <is>
          <t>a2</t>
        </is>
      </c>
      <c r="E65" s="2" t="inlineStr">
        <is>
          <t>2.0mm</t>
        </is>
      </c>
      <c r="F65" s="2" t="n">
        <v>2</v>
      </c>
      <c r="G65" s="2" t="n">
        <v>25</v>
      </c>
      <c r="H65" s="2" t="inlineStr">
        <is>
          <t>LC/PC</t>
        </is>
      </c>
      <c r="I65" s="2" t="inlineStr">
        <is>
          <t>LC/PC</t>
        </is>
      </c>
      <c r="J65" s="2" t="n">
        <v>100</v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>
        <f>SUM(J65:U65)</f>
        <v/>
      </c>
      <c r="W65" s="2" t="n">
        <v>200</v>
      </c>
      <c r="X65" s="2" t="n">
        <v>200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>
        <f>IF(F65=1,V65*2,IF(F65=2,V65*F65*2,IF(F65&gt;2,F65*2*V65)))</f>
        <v/>
      </c>
      <c r="AW65" s="2">
        <f>SUM(W65:AU65)</f>
        <v/>
      </c>
    </row>
    <row r="66">
      <c r="A66" s="2" t="inlineStr">
        <is>
          <t>14-C-560</t>
        </is>
      </c>
      <c r="B66" s="3" t="inlineStr">
        <is>
          <t>DROP-CABLE(LC/PC)-2C</t>
        </is>
      </c>
      <c r="C66" s="2" t="inlineStr">
        <is>
          <t>5M</t>
        </is>
      </c>
      <c r="D66" s="2" t="inlineStr">
        <is>
          <t>drop</t>
        </is>
      </c>
      <c r="E66" s="2" t="inlineStr">
        <is>
          <t>3.0mm</t>
        </is>
      </c>
      <c r="F66" s="2" t="n">
        <v>2</v>
      </c>
      <c r="G66" s="2" t="n">
        <v>5</v>
      </c>
      <c r="H66" s="2" t="inlineStr">
        <is>
          <t>LC/PC</t>
        </is>
      </c>
      <c r="I66" s="2" t="inlineStr">
        <is>
          <t>LC/PC</t>
        </is>
      </c>
      <c r="J66" s="2" t="n"/>
      <c r="K66" s="2" t="n"/>
      <c r="L66" s="2" t="n">
        <v>20</v>
      </c>
      <c r="M66" s="2" t="n"/>
      <c r="N66" s="2" t="n"/>
      <c r="O66" s="2" t="n">
        <v>20</v>
      </c>
      <c r="P66" s="2" t="n">
        <v>20</v>
      </c>
      <c r="Q66" s="2" t="n">
        <v>50</v>
      </c>
      <c r="R66" s="2" t="n"/>
      <c r="S66" s="2" t="n"/>
      <c r="T66" s="2" t="n"/>
      <c r="U66" s="2" t="n"/>
      <c r="V66" s="2">
        <f>SUM(J66:U66)</f>
        <v/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>
        <v>220</v>
      </c>
      <c r="AK66" s="2" t="n">
        <v>220</v>
      </c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>
        <f>IF(F66=1,V66*2,IF(F66=2,V66*F66*2,IF(F66&gt;2,F66*2*V66)))</f>
        <v/>
      </c>
      <c r="AW66" s="2">
        <f>SUM(W66:AU66)</f>
        <v/>
      </c>
    </row>
    <row r="67">
      <c r="A67" s="2" t="inlineStr">
        <is>
          <t>14-C-562</t>
        </is>
      </c>
      <c r="B67" s="3" t="inlineStr">
        <is>
          <t>DROP-CABLE(SC/APC)</t>
        </is>
      </c>
      <c r="C67" s="2" t="inlineStr">
        <is>
          <t>2M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2</v>
      </c>
      <c r="H67" s="2" t="inlineStr">
        <is>
          <t>SC/APC</t>
        </is>
      </c>
      <c r="I67" s="2" t="inlineStr">
        <is>
          <t>SC/APC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>
        <v>30</v>
      </c>
      <c r="T67" s="2" t="n"/>
      <c r="U67" s="2" t="n"/>
      <c r="V67" s="2">
        <f>SUM(J67:U67)</f>
        <v/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>
        <v>60</v>
      </c>
      <c r="AQ67" s="2" t="n"/>
      <c r="AR67" s="2" t="n"/>
      <c r="AS67" s="2" t="n"/>
      <c r="AT67" s="2" t="n"/>
      <c r="AU67" s="2" t="n"/>
      <c r="AV67" s="2">
        <f>IF(F67=1,V67*2,IF(F67=2,V67*F67*2,IF(F67&gt;2,F67*2*V67)))</f>
        <v/>
      </c>
      <c r="AW67" s="2">
        <f>SUM(W67:AU67)</f>
        <v/>
      </c>
    </row>
    <row r="68">
      <c r="A68" s="2" t="inlineStr">
        <is>
          <t>14-C-565</t>
        </is>
      </c>
      <c r="B68" s="3" t="inlineStr">
        <is>
          <t>DROP-CABLE(LC/PC-FC/PC)</t>
        </is>
      </c>
      <c r="C68" s="2" t="inlineStr">
        <is>
          <t>15M</t>
        </is>
      </c>
      <c r="D68" s="2" t="inlineStr">
        <is>
          <t>drop</t>
        </is>
      </c>
      <c r="E68" s="2" t="inlineStr">
        <is>
          <t>3.0mm</t>
        </is>
      </c>
      <c r="F68" s="2" t="n">
        <v>1</v>
      </c>
      <c r="G68" s="2" t="n">
        <v>15</v>
      </c>
      <c r="H68" s="2" t="inlineStr">
        <is>
          <t>LC/PC</t>
        </is>
      </c>
      <c r="I68" s="2" t="inlineStr">
        <is>
          <t>FC/PC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>
        <v>10</v>
      </c>
      <c r="S68" s="2" t="n"/>
      <c r="T68" s="2" t="n"/>
      <c r="U68" s="2" t="n"/>
      <c r="V68" s="2">
        <f>SUM(J68:U68)</f>
        <v/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>
        <v>10</v>
      </c>
      <c r="AK68" s="2" t="n"/>
      <c r="AL68" s="2" t="n"/>
      <c r="AM68" s="2" t="n"/>
      <c r="AN68" s="2" t="n"/>
      <c r="AO68" s="2" t="n"/>
      <c r="AP68" s="2" t="n"/>
      <c r="AQ68" s="2" t="n"/>
      <c r="AR68" s="2" t="n">
        <v>10</v>
      </c>
      <c r="AS68" s="2" t="n"/>
      <c r="AT68" s="2" t="n"/>
      <c r="AU68" s="2" t="n"/>
      <c r="AV68" s="2">
        <f>IF(F68=1,V68*2,IF(F68=2,V68*F68*2,IF(F68&gt;2,F68*2*V68)))</f>
        <v/>
      </c>
      <c r="AW68" s="2">
        <f>SUM(W68:AU68)</f>
        <v/>
      </c>
    </row>
    <row r="69">
      <c r="A69" s="2" t="inlineStr">
        <is>
          <t>14-C-568</t>
        </is>
      </c>
      <c r="B69" s="3" t="inlineStr">
        <is>
          <t>DROP-CABLE(SC/PC)-2C</t>
        </is>
      </c>
      <c r="C69" s="2" t="inlineStr">
        <is>
          <t>20M</t>
        </is>
      </c>
      <c r="D69" s="2" t="inlineStr">
        <is>
          <t>drop</t>
        </is>
      </c>
      <c r="E69" s="2" t="inlineStr">
        <is>
          <t>3.0mm</t>
        </is>
      </c>
      <c r="F69" s="2" t="n">
        <v>2</v>
      </c>
      <c r="G69" s="2" t="n">
        <v>20</v>
      </c>
      <c r="H69" s="2" t="inlineStr">
        <is>
          <t>SC/PC</t>
        </is>
      </c>
      <c r="I69" s="2" t="inlineStr">
        <is>
          <t>SC/PC</t>
        </is>
      </c>
      <c r="J69" s="2" t="n"/>
      <c r="K69" s="2" t="n"/>
      <c r="L69" s="2" t="n"/>
      <c r="M69" s="2" t="n"/>
      <c r="N69" s="2" t="n">
        <v>2</v>
      </c>
      <c r="O69" s="2" t="n"/>
      <c r="P69" s="2" t="n"/>
      <c r="Q69" s="2" t="n">
        <v>20</v>
      </c>
      <c r="R69" s="2" t="n"/>
      <c r="S69" s="2" t="n"/>
      <c r="T69" s="2" t="n"/>
      <c r="U69" s="2" t="n"/>
      <c r="V69" s="2">
        <f>SUM(J69:U69)</f>
        <v/>
      </c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>
        <v>44</v>
      </c>
      <c r="AO69" s="2" t="n">
        <v>44</v>
      </c>
      <c r="AP69" s="2" t="n"/>
      <c r="AQ69" s="2" t="n"/>
      <c r="AR69" s="2" t="n"/>
      <c r="AS69" s="2" t="n"/>
      <c r="AT69" s="2" t="n"/>
      <c r="AU69" s="2" t="n"/>
      <c r="AV69" s="2">
        <f>IF(F69=1,V69*2,IF(F69=2,V69*F69*2,IF(F69&gt;2,F69*2*V69)))</f>
        <v/>
      </c>
      <c r="AW69" s="2">
        <f>SUM(W69:AU69)</f>
        <v/>
      </c>
    </row>
    <row r="70">
      <c r="A70" s="2" t="inlineStr">
        <is>
          <t>14-C-583</t>
        </is>
      </c>
      <c r="B70" s="3" t="inlineStr">
        <is>
          <t>DROP-CABLE(LC/PC)-2C</t>
        </is>
      </c>
      <c r="C70" s="2" t="inlineStr">
        <is>
          <t>15m</t>
        </is>
      </c>
      <c r="D70" s="2" t="inlineStr">
        <is>
          <t>drop</t>
        </is>
      </c>
      <c r="E70" s="2" t="inlineStr">
        <is>
          <t>3.0mm</t>
        </is>
      </c>
      <c r="F70" s="2" t="n">
        <v>2</v>
      </c>
      <c r="G70" s="2" t="n">
        <v>15</v>
      </c>
      <c r="H70" s="2" t="inlineStr">
        <is>
          <t>LC/PC</t>
        </is>
      </c>
      <c r="I70" s="2" t="inlineStr">
        <is>
          <t>LC/PC</t>
        </is>
      </c>
      <c r="J70" s="2" t="n"/>
      <c r="K70" s="2" t="n"/>
      <c r="L70" s="2" t="n"/>
      <c r="M70" s="2" t="n"/>
      <c r="N70" s="2" t="n"/>
      <c r="O70" s="2" t="n">
        <v>30</v>
      </c>
      <c r="P70" s="2" t="n">
        <v>20</v>
      </c>
      <c r="Q70" s="2" t="n"/>
      <c r="R70" s="2" t="n">
        <v>20</v>
      </c>
      <c r="S70" s="2" t="n"/>
      <c r="T70" s="2" t="n"/>
      <c r="U70" s="2" t="n"/>
      <c r="V70" s="2">
        <f>SUM(J70:U70)</f>
        <v/>
      </c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>
        <v>140</v>
      </c>
      <c r="AK70" s="2" t="n">
        <v>140</v>
      </c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>
        <f>IF(F70=1,V70*2,IF(F70=2,V70*F70*2,IF(F70&gt;2,F70*2*V70)))</f>
        <v/>
      </c>
      <c r="AW70" s="2">
        <f>SUM(W70:AU70)</f>
        <v/>
      </c>
    </row>
    <row r="71">
      <c r="A71" s="2" t="inlineStr">
        <is>
          <t>14-C-600</t>
        </is>
      </c>
      <c r="B71" s="3" t="inlineStr">
        <is>
          <t>DROP-CABLE(LC/PC)-2C</t>
        </is>
      </c>
      <c r="C71" s="2" t="inlineStr">
        <is>
          <t>20M</t>
        </is>
      </c>
      <c r="D71" s="2" t="inlineStr">
        <is>
          <t>drop</t>
        </is>
      </c>
      <c r="E71" s="2" t="inlineStr">
        <is>
          <t>3.0mm</t>
        </is>
      </c>
      <c r="F71" s="2" t="n">
        <v>2</v>
      </c>
      <c r="G71" s="2" t="n">
        <v>20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/>
      <c r="M71" s="2" t="n"/>
      <c r="N71" s="2" t="n"/>
      <c r="O71" s="2" t="n"/>
      <c r="P71" s="2" t="n">
        <v>20</v>
      </c>
      <c r="Q71" s="2" t="n"/>
      <c r="R71" s="2" t="n"/>
      <c r="S71" s="2" t="n">
        <v>25</v>
      </c>
      <c r="T71" s="2" t="n">
        <v>30</v>
      </c>
      <c r="U71" s="2" t="n"/>
      <c r="V71" s="2">
        <f>SUM(J71:U71)</f>
        <v/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>
        <v>150</v>
      </c>
      <c r="AK71" s="2" t="n">
        <v>150</v>
      </c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>
        <f>IF(F71=1,V71*2,IF(F71=2,V71*F71*2,IF(F71&gt;2,F71*2*V71)))</f>
        <v/>
      </c>
      <c r="AW71" s="2">
        <f>SUM(W71:AU71)</f>
        <v/>
      </c>
    </row>
    <row r="72">
      <c r="A72" s="2" t="inlineStr">
        <is>
          <t>14-C-614</t>
        </is>
      </c>
      <c r="B72" s="3" t="inlineStr">
        <is>
          <t>Optical Cable Parts,LC/PC-LC/PC-Single mode-10m-2Core</t>
        </is>
      </c>
      <c r="C72" s="2" t="inlineStr">
        <is>
          <t>657A2 , LSZH , LC DUPLEX KIT(CLIP), 1,000MM/1,000MM</t>
        </is>
      </c>
      <c r="D72" s="2" t="inlineStr">
        <is>
          <t>a2</t>
        </is>
      </c>
      <c r="E72" s="2" t="inlineStr">
        <is>
          <t>2.0mm</t>
        </is>
      </c>
      <c r="F72" s="2" t="n">
        <v>2</v>
      </c>
      <c r="G72" s="2" t="n">
        <v>10</v>
      </c>
      <c r="H72" s="2" t="inlineStr">
        <is>
          <t>LC/PC</t>
        </is>
      </c>
      <c r="I72" s="2" t="inlineStr">
        <is>
          <t>LC/PC</t>
        </is>
      </c>
      <c r="J72" s="2" t="n"/>
      <c r="K72" s="2" t="n"/>
      <c r="L72" s="2" t="n">
        <v>50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>
        <f>SUM(J72:U72)</f>
        <v/>
      </c>
      <c r="W72" s="2" t="n">
        <v>100</v>
      </c>
      <c r="X72" s="2" t="n">
        <v>100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>
        <f>IF(F72=1,V72*2,IF(F72=2,V72*F72*2,IF(F72&gt;2,F72*2*V72)))</f>
        <v/>
      </c>
      <c r="AW72" s="2">
        <f>SUM(W72:AU72)</f>
        <v/>
      </c>
    </row>
    <row r="73">
      <c r="A73" s="2" t="inlineStr">
        <is>
          <t>14-C-615</t>
        </is>
      </c>
      <c r="B73" s="3" t="inlineStr">
        <is>
          <t>Optical Cable Parts,LC/PC-LC/PC-Single mode-15m-2Core</t>
        </is>
      </c>
      <c r="C73" s="2" t="inlineStr">
        <is>
          <t>657A2 , LSZH , LC DUPLEX KIT(CLIP), 1,000MM/1,000MM</t>
        </is>
      </c>
      <c r="D73" s="2" t="inlineStr">
        <is>
          <t>a2</t>
        </is>
      </c>
      <c r="E73" s="2" t="inlineStr">
        <is>
          <t>2.0mm</t>
        </is>
      </c>
      <c r="F73" s="2" t="n">
        <v>2</v>
      </c>
      <c r="G73" s="2" t="n">
        <v>15</v>
      </c>
      <c r="H73" s="2" t="inlineStr">
        <is>
          <t>LC/PC</t>
        </is>
      </c>
      <c r="I73" s="2" t="inlineStr">
        <is>
          <t>LC/PC</t>
        </is>
      </c>
      <c r="J73" s="2" t="n"/>
      <c r="K73" s="2" t="n"/>
      <c r="L73" s="2" t="n">
        <v>50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>
        <f>SUM(J73:U73)</f>
        <v/>
      </c>
      <c r="W73" s="2" t="n">
        <v>100</v>
      </c>
      <c r="X73" s="2" t="n">
        <v>100</v>
      </c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>
        <f>IF(F73=1,V73*2,IF(F73=2,V73*F73*2,IF(F73&gt;2,F73*2*V73)))</f>
        <v/>
      </c>
      <c r="AW73" s="2">
        <f>SUM(W73:AU73)</f>
        <v/>
      </c>
    </row>
    <row r="74">
      <c r="A74" s="2" t="inlineStr">
        <is>
          <t>14-C-628</t>
        </is>
      </c>
      <c r="B74" s="3" t="inlineStr">
        <is>
          <t>DROP-CABLE(LC/PC-SC/PC)-2C</t>
        </is>
      </c>
      <c r="C74" s="2" t="inlineStr">
        <is>
          <t>70M</t>
        </is>
      </c>
      <c r="D74" s="2" t="inlineStr">
        <is>
          <t>drop</t>
        </is>
      </c>
      <c r="E74" s="2" t="inlineStr">
        <is>
          <t>3.0mm</t>
        </is>
      </c>
      <c r="F74" s="2" t="n">
        <v>2</v>
      </c>
      <c r="G74" s="2" t="n">
        <v>70</v>
      </c>
      <c r="H74" s="2" t="inlineStr">
        <is>
          <t>LC/PC</t>
        </is>
      </c>
      <c r="I74" s="2" t="inlineStr">
        <is>
          <t>SC/PC</t>
        </is>
      </c>
      <c r="J74" s="2" t="n"/>
      <c r="K74" s="2" t="n">
        <v>1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>
        <f>SUM(J74:U74)</f>
        <v/>
      </c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>
        <v>2</v>
      </c>
      <c r="AK74" s="2" t="n"/>
      <c r="AL74" s="2" t="n"/>
      <c r="AM74" s="2" t="n"/>
      <c r="AN74" s="2" t="n"/>
      <c r="AO74" s="2" t="n">
        <v>2</v>
      </c>
      <c r="AP74" s="2" t="n"/>
      <c r="AQ74" s="2" t="n"/>
      <c r="AR74" s="2" t="n"/>
      <c r="AS74" s="2" t="n"/>
      <c r="AT74" s="2" t="n"/>
      <c r="AU74" s="2" t="n"/>
      <c r="AV74" s="2">
        <f>IF(F74=1,V74*2,IF(F74=2,V74*F74*2,IF(F74&gt;2,F74*2*V74)))</f>
        <v/>
      </c>
      <c r="AW74" s="2">
        <f>SUM(W74:AU74)</f>
        <v/>
      </c>
    </row>
    <row r="75">
      <c r="A75" s="2" t="inlineStr">
        <is>
          <t>14-C-630</t>
        </is>
      </c>
      <c r="B75" s="3" t="inlineStr">
        <is>
          <t>DROP-CABLE(LC/PC-LC/APC)-2C</t>
        </is>
      </c>
      <c r="C75" s="2" t="inlineStr">
        <is>
          <t>30M</t>
        </is>
      </c>
      <c r="D75" s="2" t="inlineStr">
        <is>
          <t>drop</t>
        </is>
      </c>
      <c r="E75" s="2" t="inlineStr">
        <is>
          <t>3.0mm</t>
        </is>
      </c>
      <c r="F75" s="2" t="n">
        <v>2</v>
      </c>
      <c r="G75" s="2" t="n">
        <v>30</v>
      </c>
      <c r="H75" s="2" t="inlineStr">
        <is>
          <t>LC/PC</t>
        </is>
      </c>
      <c r="I75" s="2" t="inlineStr">
        <is>
          <t>LC/APC</t>
        </is>
      </c>
      <c r="J75" s="2" t="n"/>
      <c r="K75" s="2" t="n">
        <v>5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>
        <f>SUM(J75:U75)</f>
        <v/>
      </c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>
        <v>10</v>
      </c>
      <c r="AK75" s="2" t="n"/>
      <c r="AL75" s="2" t="n"/>
      <c r="AM75" s="2" t="n">
        <v>10</v>
      </c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>
        <f>IF(F75=1,V75*2,IF(F75=2,V75*F75*2,IF(F75&gt;2,F75*2*V75)))</f>
        <v/>
      </c>
      <c r="AW75" s="2">
        <f>SUM(W75:AU75)</f>
        <v/>
      </c>
    </row>
    <row r="76">
      <c r="A76" s="2" t="inlineStr">
        <is>
          <t>14-C-631</t>
        </is>
      </c>
      <c r="B76" s="3" t="inlineStr">
        <is>
          <t>Optical Cable Parts,LC/PC-LC/PC-Single mode-5m-2Core</t>
        </is>
      </c>
      <c r="C76" s="2" t="inlineStr">
        <is>
          <t>657A2 , LSZH , LC DUPLEX KIT(CLIP), 300MM/ 300MM</t>
        </is>
      </c>
      <c r="D76" s="2" t="inlineStr">
        <is>
          <t>a2</t>
        </is>
      </c>
      <c r="E76" s="2" t="inlineStr">
        <is>
          <t>2.0mm</t>
        </is>
      </c>
      <c r="F76" s="2" t="n">
        <v>2</v>
      </c>
      <c r="G76" s="2" t="n">
        <v>5</v>
      </c>
      <c r="H76" s="2" t="inlineStr">
        <is>
          <t>LC/PC</t>
        </is>
      </c>
      <c r="I76" s="2" t="inlineStr">
        <is>
          <t>LC/PC</t>
        </is>
      </c>
      <c r="J76" s="2" t="n"/>
      <c r="K76" s="2" t="n"/>
      <c r="L76" s="2" t="n">
        <v>100</v>
      </c>
      <c r="M76" s="2" t="n"/>
      <c r="N76" s="2" t="n"/>
      <c r="O76" s="2" t="n">
        <v>50</v>
      </c>
      <c r="P76" s="2" t="n"/>
      <c r="Q76" s="2" t="n"/>
      <c r="R76" s="2" t="n"/>
      <c r="S76" s="2" t="n"/>
      <c r="T76" s="2" t="n">
        <v>50</v>
      </c>
      <c r="U76" s="2" t="n">
        <v>100</v>
      </c>
      <c r="V76" s="2">
        <f>SUM(J76:U76)</f>
        <v/>
      </c>
      <c r="W76" s="2" t="n">
        <v>600</v>
      </c>
      <c r="X76" s="2" t="n">
        <v>600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>
        <f>IF(F76=1,V76*2,IF(F76=2,V76*F76*2,IF(F76&gt;2,F76*2*V76)))</f>
        <v/>
      </c>
      <c r="AW76" s="2">
        <f>SUM(W76:AU76)</f>
        <v/>
      </c>
    </row>
    <row r="77">
      <c r="A77" s="2" t="inlineStr">
        <is>
          <t>14-C-642</t>
        </is>
      </c>
      <c r="B77" s="3" t="inlineStr">
        <is>
          <t>DROP-CABLE(SC/PC)-2C</t>
        </is>
      </c>
      <c r="C77" s="2" t="inlineStr">
        <is>
          <t>3M</t>
        </is>
      </c>
      <c r="D77" s="2" t="inlineStr">
        <is>
          <t>drop</t>
        </is>
      </c>
      <c r="E77" s="2" t="inlineStr">
        <is>
          <t>3.0mm</t>
        </is>
      </c>
      <c r="F77" s="2" t="n">
        <v>2</v>
      </c>
      <c r="G77" s="2" t="n">
        <v>3</v>
      </c>
      <c r="H77" s="2" t="inlineStr">
        <is>
          <t>SC/PC</t>
        </is>
      </c>
      <c r="I77" s="2" t="inlineStr">
        <is>
          <t>SC/PC</t>
        </is>
      </c>
      <c r="J77" s="2" t="n"/>
      <c r="K77" s="2" t="n"/>
      <c r="L77" s="2" t="n"/>
      <c r="M77" s="2" t="n"/>
      <c r="N77" s="2" t="n">
        <v>4</v>
      </c>
      <c r="O77" s="2" t="n"/>
      <c r="P77" s="2" t="n"/>
      <c r="Q77" s="2" t="n"/>
      <c r="R77" s="2" t="n"/>
      <c r="S77" s="2" t="n"/>
      <c r="T77" s="2" t="n"/>
      <c r="U77" s="2" t="n"/>
      <c r="V77" s="2">
        <f>SUM(J77:U77)</f>
        <v/>
      </c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>
        <v>8</v>
      </c>
      <c r="AO77" s="2" t="n">
        <v>8</v>
      </c>
      <c r="AP77" s="2" t="n"/>
      <c r="AQ77" s="2" t="n"/>
      <c r="AR77" s="2" t="n"/>
      <c r="AS77" s="2" t="n"/>
      <c r="AT77" s="2" t="n"/>
      <c r="AU77" s="2" t="n"/>
      <c r="AV77" s="2">
        <f>IF(F77=1,V77*2,IF(F77=2,V77*F77*2,IF(F77&gt;2,F77*2*V77)))</f>
        <v/>
      </c>
      <c r="AW77" s="2">
        <f>SUM(W77:AU77)</f>
        <v/>
      </c>
    </row>
    <row r="78">
      <c r="A78" s="2" t="inlineStr">
        <is>
          <t>14-C-643</t>
        </is>
      </c>
      <c r="B78" s="3" t="inlineStr">
        <is>
          <t>DROP-CABLE(LC/APC)-2C</t>
        </is>
      </c>
      <c r="C78" s="2" t="inlineStr">
        <is>
          <t>6M</t>
        </is>
      </c>
      <c r="D78" s="2" t="inlineStr">
        <is>
          <t>drop</t>
        </is>
      </c>
      <c r="E78" s="2" t="inlineStr">
        <is>
          <t>3.0mm</t>
        </is>
      </c>
      <c r="F78" s="2" t="n">
        <v>2</v>
      </c>
      <c r="G78" s="2" t="n">
        <v>6</v>
      </c>
      <c r="H78" s="2" t="inlineStr">
        <is>
          <t>LC/APC</t>
        </is>
      </c>
      <c r="I78" s="2" t="inlineStr">
        <is>
          <t>LC/APC</t>
        </is>
      </c>
      <c r="J78" s="2" t="n"/>
      <c r="K78" s="2" t="n"/>
      <c r="L78" s="2" t="n"/>
      <c r="M78" s="2" t="n"/>
      <c r="N78" s="2" t="n">
        <v>30</v>
      </c>
      <c r="O78" s="2" t="n"/>
      <c r="P78" s="2" t="n"/>
      <c r="Q78" s="2" t="n"/>
      <c r="R78" s="2" t="n"/>
      <c r="S78" s="2" t="n"/>
      <c r="T78" s="2" t="n"/>
      <c r="U78" s="2" t="n"/>
      <c r="V78" s="2">
        <f>SUM(J78:U78)</f>
        <v/>
      </c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>
        <v>60</v>
      </c>
      <c r="AM78" s="2" t="n">
        <v>60</v>
      </c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>
        <f>IF(F78=1,V78*2,IF(F78=2,V78*F78*2,IF(F78&gt;2,F78*2*V78)))</f>
        <v/>
      </c>
      <c r="AW78" s="2">
        <f>SUM(W78:AU78)</f>
        <v/>
      </c>
    </row>
    <row r="79">
      <c r="A79" s="2" t="inlineStr">
        <is>
          <t>14-C-644</t>
        </is>
      </c>
      <c r="B79" s="3" t="inlineStr">
        <is>
          <t>DROP-CABLE(SC/PC)-2C</t>
        </is>
      </c>
      <c r="C79" s="2" t="inlineStr">
        <is>
          <t>100M</t>
        </is>
      </c>
      <c r="D79" s="2" t="inlineStr">
        <is>
          <t>drop</t>
        </is>
      </c>
      <c r="E79" s="2" t="inlineStr">
        <is>
          <t>3.0mm</t>
        </is>
      </c>
      <c r="F79" s="2" t="n">
        <v>2</v>
      </c>
      <c r="G79" s="2" t="n">
        <v>100</v>
      </c>
      <c r="H79" s="2" t="inlineStr">
        <is>
          <t>SC/PC</t>
        </is>
      </c>
      <c r="I79" s="2" t="inlineStr">
        <is>
          <t>SC/PC</t>
        </is>
      </c>
      <c r="J79" s="2" t="n"/>
      <c r="K79" s="2" t="n"/>
      <c r="L79" s="2" t="n"/>
      <c r="M79" s="2" t="n"/>
      <c r="N79" s="2" t="n">
        <v>1</v>
      </c>
      <c r="O79" s="2" t="n"/>
      <c r="P79" s="2" t="n"/>
      <c r="Q79" s="2" t="n"/>
      <c r="R79" s="2" t="n"/>
      <c r="S79" s="2" t="n"/>
      <c r="T79" s="2" t="n"/>
      <c r="U79" s="2" t="n"/>
      <c r="V79" s="2">
        <f>SUM(J79:U79)</f>
        <v/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>
        <v>2</v>
      </c>
      <c r="AO79" s="2" t="n">
        <v>2</v>
      </c>
      <c r="AP79" s="2" t="n"/>
      <c r="AQ79" s="2" t="n"/>
      <c r="AR79" s="2" t="n"/>
      <c r="AS79" s="2" t="n"/>
      <c r="AT79" s="2" t="n"/>
      <c r="AU79" s="2" t="n"/>
      <c r="AV79" s="2">
        <f>IF(F79=1,V79*2,IF(F79=2,V79*F79*2,IF(F79&gt;2,F79*2*V79)))</f>
        <v/>
      </c>
      <c r="AW79" s="2">
        <f>SUM(W79:AU79)</f>
        <v/>
      </c>
    </row>
    <row r="80">
      <c r="A80" s="2" t="inlineStr">
        <is>
          <t>14-C-655</t>
        </is>
      </c>
      <c r="B80" s="3" t="inlineStr">
        <is>
          <t>DROP-CABLE(LC/PC-SC/PC)-2C</t>
        </is>
      </c>
      <c r="C80" s="2" t="inlineStr">
        <is>
          <t>5M</t>
        </is>
      </c>
      <c r="D80" s="2" t="inlineStr">
        <is>
          <t>drop</t>
        </is>
      </c>
      <c r="E80" s="2" t="inlineStr">
        <is>
          <t>3.0mm</t>
        </is>
      </c>
      <c r="F80" s="2" t="n">
        <v>2</v>
      </c>
      <c r="G80" s="2" t="n">
        <v>5</v>
      </c>
      <c r="H80" s="2" t="inlineStr">
        <is>
          <t>LC/PC</t>
        </is>
      </c>
      <c r="I80" s="2" t="inlineStr">
        <is>
          <t>SC/PC</t>
        </is>
      </c>
      <c r="J80" s="2" t="n"/>
      <c r="K80" s="2" t="n"/>
      <c r="L80" s="2" t="n"/>
      <c r="M80" s="2" t="n"/>
      <c r="N80" s="2" t="n"/>
      <c r="O80" s="2" t="n">
        <v>20</v>
      </c>
      <c r="P80" s="2" t="n"/>
      <c r="Q80" s="2" t="n"/>
      <c r="R80" s="2" t="n"/>
      <c r="S80" s="2" t="n"/>
      <c r="T80" s="2" t="n"/>
      <c r="U80" s="2" t="n"/>
      <c r="V80" s="2">
        <f>SUM(J80:U80)</f>
        <v/>
      </c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>
        <v>40</v>
      </c>
      <c r="AK80" s="2" t="n"/>
      <c r="AL80" s="2" t="n"/>
      <c r="AM80" s="2" t="n"/>
      <c r="AN80" s="2" t="n"/>
      <c r="AO80" s="2" t="n">
        <v>40</v>
      </c>
      <c r="AP80" s="2" t="n"/>
      <c r="AQ80" s="2" t="n"/>
      <c r="AR80" s="2" t="n"/>
      <c r="AS80" s="2" t="n"/>
      <c r="AT80" s="2" t="n"/>
      <c r="AU80" s="2" t="n"/>
      <c r="AV80" s="2">
        <f>IF(F80=1,V80*2,IF(F80=2,V80*F80*2,IF(F80&gt;2,F80*2*V80)))</f>
        <v/>
      </c>
      <c r="AW80" s="2">
        <f>SUM(W80:AU80)</f>
        <v/>
      </c>
    </row>
    <row r="81">
      <c r="A81" s="2" t="inlineStr">
        <is>
          <t>14-C-656</t>
        </is>
      </c>
      <c r="B81" s="3" t="inlineStr">
        <is>
          <t>DROP-CABLE(LC/PC-SC/PC)-2C</t>
        </is>
      </c>
      <c r="C81" s="2" t="inlineStr">
        <is>
          <t>10M</t>
        </is>
      </c>
      <c r="D81" s="2" t="inlineStr">
        <is>
          <t>drop</t>
        </is>
      </c>
      <c r="E81" s="2" t="inlineStr">
        <is>
          <t>3.0mm</t>
        </is>
      </c>
      <c r="F81" s="2" t="n">
        <v>2</v>
      </c>
      <c r="G81" s="2" t="n">
        <v>10</v>
      </c>
      <c r="H81" s="2" t="inlineStr">
        <is>
          <t>LC/PC</t>
        </is>
      </c>
      <c r="I81" s="2" t="inlineStr">
        <is>
          <t>SC/PC</t>
        </is>
      </c>
      <c r="J81" s="2" t="n"/>
      <c r="K81" s="2" t="n"/>
      <c r="L81" s="2" t="n"/>
      <c r="M81" s="2" t="n"/>
      <c r="N81" s="2" t="n"/>
      <c r="O81" s="2" t="n">
        <v>10</v>
      </c>
      <c r="P81" s="2" t="n"/>
      <c r="Q81" s="2" t="n"/>
      <c r="R81" s="2" t="n"/>
      <c r="S81" s="2" t="n"/>
      <c r="T81" s="2" t="n"/>
      <c r="U81" s="2" t="n"/>
      <c r="V81" s="2">
        <f>SUM(J81:U81)</f>
        <v/>
      </c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>
        <v>20</v>
      </c>
      <c r="AK81" s="2" t="n"/>
      <c r="AL81" s="2" t="n"/>
      <c r="AM81" s="2" t="n"/>
      <c r="AN81" s="2" t="n"/>
      <c r="AO81" s="2" t="n">
        <v>20</v>
      </c>
      <c r="AP81" s="2" t="n"/>
      <c r="AQ81" s="2" t="n"/>
      <c r="AR81" s="2" t="n"/>
      <c r="AS81" s="2" t="n"/>
      <c r="AT81" s="2" t="n"/>
      <c r="AU81" s="2" t="n"/>
      <c r="AV81" s="2">
        <f>IF(F81=1,V81*2,IF(F81=2,V81*F81*2,IF(F81&gt;2,F81*2*V81)))</f>
        <v/>
      </c>
      <c r="AW81" s="2">
        <f>SUM(W81:AU81)</f>
        <v/>
      </c>
    </row>
    <row r="82">
      <c r="A82" s="2" t="inlineStr">
        <is>
          <t>14-C-657</t>
        </is>
      </c>
      <c r="B82" s="3" t="inlineStr">
        <is>
          <t>DROP-CABLE(LC/PC-SC/PC)-2C</t>
        </is>
      </c>
      <c r="C82" s="2" t="inlineStr">
        <is>
          <t>15M</t>
        </is>
      </c>
      <c r="D82" s="2" t="inlineStr">
        <is>
          <t>drop</t>
        </is>
      </c>
      <c r="E82" s="2" t="inlineStr">
        <is>
          <t>3.0mm</t>
        </is>
      </c>
      <c r="F82" s="2" t="n">
        <v>2</v>
      </c>
      <c r="G82" s="2" t="n">
        <v>15</v>
      </c>
      <c r="H82" s="2" t="inlineStr">
        <is>
          <t>LC/PC</t>
        </is>
      </c>
      <c r="I82" s="2" t="inlineStr">
        <is>
          <t>SC/PC</t>
        </is>
      </c>
      <c r="J82" s="2" t="n"/>
      <c r="K82" s="2" t="n"/>
      <c r="L82" s="2" t="n"/>
      <c r="M82" s="2" t="n"/>
      <c r="N82" s="2" t="n"/>
      <c r="O82" s="2" t="n">
        <v>10</v>
      </c>
      <c r="P82" s="2" t="n"/>
      <c r="Q82" s="2" t="n">
        <v>1</v>
      </c>
      <c r="R82" s="2" t="n"/>
      <c r="S82" s="2" t="n"/>
      <c r="T82" s="2" t="n"/>
      <c r="U82" s="2" t="n"/>
      <c r="V82" s="2">
        <f>SUM(J82:U82)</f>
        <v/>
      </c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>
        <v>22</v>
      </c>
      <c r="AK82" s="2" t="n"/>
      <c r="AL82" s="2" t="n"/>
      <c r="AM82" s="2" t="n"/>
      <c r="AN82" s="2" t="n"/>
      <c r="AO82" s="2" t="n">
        <v>22</v>
      </c>
      <c r="AP82" s="2" t="n"/>
      <c r="AQ82" s="2" t="n"/>
      <c r="AR82" s="2" t="n"/>
      <c r="AS82" s="2" t="n"/>
      <c r="AT82" s="2" t="n"/>
      <c r="AU82" s="2" t="n"/>
      <c r="AV82" s="2">
        <f>IF(F82=1,V82*2,IF(F82=2,V82*F82*2,IF(F82&gt;2,F82*2*V82)))</f>
        <v/>
      </c>
      <c r="AW82" s="2">
        <f>SUM(W82:AU82)</f>
        <v/>
      </c>
    </row>
    <row r="83">
      <c r="A83" s="2" t="inlineStr">
        <is>
          <t>14-C-658</t>
        </is>
      </c>
      <c r="B83" s="3" t="inlineStr">
        <is>
          <t>Optical Cable Parts,LC/PC-LC/PC-Single mode-5m-2Core</t>
        </is>
      </c>
      <c r="C83" s="2" t="inlineStr">
        <is>
          <t>657A2 , LSZH , LC DUPLEX KIT(CLIP), 0MM/ 300MM</t>
        </is>
      </c>
      <c r="D83" s="2" t="inlineStr">
        <is>
          <t>a2</t>
        </is>
      </c>
      <c r="E83" s="2" t="inlineStr">
        <is>
          <t>2.0mm</t>
        </is>
      </c>
      <c r="F83" s="2" t="n">
        <v>2</v>
      </c>
      <c r="G83" s="2" t="n">
        <v>5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>
        <v>50</v>
      </c>
      <c r="P83" s="2" t="n"/>
      <c r="Q83" s="2" t="n"/>
      <c r="R83" s="2" t="n"/>
      <c r="S83" s="2" t="n"/>
      <c r="T83" s="2" t="n"/>
      <c r="U83" s="2" t="n"/>
      <c r="V83" s="2">
        <f>SUM(J83:U83)</f>
        <v/>
      </c>
      <c r="W83" s="2" t="n">
        <v>100</v>
      </c>
      <c r="X83" s="2" t="n">
        <v>100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>
        <f>IF(F83=1,V83*2,IF(F83=2,V83*F83*2,IF(F83&gt;2,F83*2*V83)))</f>
        <v/>
      </c>
      <c r="AW83" s="2">
        <f>SUM(W83:AU83)</f>
        <v/>
      </c>
    </row>
    <row r="84">
      <c r="A84" s="2" t="inlineStr">
        <is>
          <t>14-C-659</t>
        </is>
      </c>
      <c r="B84" s="3" t="inlineStr">
        <is>
          <t>DROP-CABLE(LC/PC)-2C</t>
        </is>
      </c>
      <c r="C84" s="2" t="inlineStr">
        <is>
          <t>25M</t>
        </is>
      </c>
      <c r="D84" s="2" t="inlineStr">
        <is>
          <t>drop</t>
        </is>
      </c>
      <c r="E84" s="2" t="inlineStr">
        <is>
          <t>3.0mm</t>
        </is>
      </c>
      <c r="F84" s="2" t="n">
        <v>2</v>
      </c>
      <c r="G84" s="2" t="n">
        <v>25</v>
      </c>
      <c r="H84" s="2" t="inlineStr">
        <is>
          <t>LC/PC</t>
        </is>
      </c>
      <c r="I84" s="2" t="inlineStr">
        <is>
          <t>LC/PC</t>
        </is>
      </c>
      <c r="J84" s="2" t="n"/>
      <c r="K84" s="2" t="n"/>
      <c r="L84" s="2" t="n"/>
      <c r="M84" s="2" t="n"/>
      <c r="N84" s="2" t="n"/>
      <c r="O84" s="2" t="n"/>
      <c r="P84" s="2" t="n">
        <v>20</v>
      </c>
      <c r="Q84" s="2" t="n"/>
      <c r="R84" s="2" t="n"/>
      <c r="S84" s="2" t="n"/>
      <c r="T84" s="2" t="n"/>
      <c r="U84" s="2" t="n"/>
      <c r="V84" s="2">
        <f>SUM(J84:U84)</f>
        <v/>
      </c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>
        <v>40</v>
      </c>
      <c r="AK84" s="2" t="n">
        <v>40</v>
      </c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>
        <f>IF(F84=1,V84*2,IF(F84=2,V84*F84*2,IF(F84&gt;2,F84*2*V84)))</f>
        <v/>
      </c>
      <c r="AW84" s="2">
        <f>SUM(W84:AU84)</f>
        <v/>
      </c>
    </row>
    <row r="85">
      <c r="A85" s="2" t="inlineStr">
        <is>
          <t>14-C-660</t>
        </is>
      </c>
      <c r="B85" s="3" t="inlineStr">
        <is>
          <t>DROP-CABLE(LC/PC)-2C</t>
        </is>
      </c>
      <c r="C85" s="2" t="inlineStr">
        <is>
          <t>50M</t>
        </is>
      </c>
      <c r="D85" s="2" t="inlineStr">
        <is>
          <t>drop</t>
        </is>
      </c>
      <c r="E85" s="2" t="inlineStr">
        <is>
          <t>3.0mm</t>
        </is>
      </c>
      <c r="F85" s="2" t="n">
        <v>2</v>
      </c>
      <c r="G85" s="2" t="n">
        <v>50</v>
      </c>
      <c r="H85" s="2" t="inlineStr">
        <is>
          <t>LC/PC</t>
        </is>
      </c>
      <c r="I85" s="2" t="inlineStr">
        <is>
          <t>LC/PC</t>
        </is>
      </c>
      <c r="J85" s="2" t="n"/>
      <c r="K85" s="2" t="n"/>
      <c r="L85" s="2" t="n"/>
      <c r="M85" s="2" t="n"/>
      <c r="N85" s="2" t="n"/>
      <c r="O85" s="2" t="n"/>
      <c r="P85" s="2" t="n">
        <v>10</v>
      </c>
      <c r="Q85" s="2" t="n"/>
      <c r="R85" s="2" t="n"/>
      <c r="S85" s="2" t="n"/>
      <c r="T85" s="2" t="n"/>
      <c r="U85" s="2" t="n"/>
      <c r="V85" s="2">
        <f>SUM(J85:U85)</f>
        <v/>
      </c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>
        <v>20</v>
      </c>
      <c r="AK85" s="2" t="n">
        <v>20</v>
      </c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>
        <f>IF(F85=1,V85*2,IF(F85=2,V85*F85*2,IF(F85&gt;2,F85*2*V85)))</f>
        <v/>
      </c>
      <c r="AW85" s="2">
        <f>SUM(W85:AU85)</f>
        <v/>
      </c>
    </row>
    <row r="86">
      <c r="A86" s="2" t="inlineStr">
        <is>
          <t>14-C-661</t>
        </is>
      </c>
      <c r="B86" s="3" t="inlineStr">
        <is>
          <t>DROP-CABLE(LC/PC)-2C</t>
        </is>
      </c>
      <c r="C86" s="2" t="inlineStr">
        <is>
          <t>10M</t>
        </is>
      </c>
      <c r="D86" s="2" t="inlineStr">
        <is>
          <t>drop</t>
        </is>
      </c>
      <c r="E86" s="2" t="inlineStr">
        <is>
          <t>3.0mm</t>
        </is>
      </c>
      <c r="F86" s="2" t="n">
        <v>2</v>
      </c>
      <c r="G86" s="2" t="n">
        <v>10</v>
      </c>
      <c r="H86" s="2" t="inlineStr">
        <is>
          <t>LC/PC</t>
        </is>
      </c>
      <c r="I86" s="2" t="inlineStr">
        <is>
          <t>LC/PC</t>
        </is>
      </c>
      <c r="J86" s="2" t="n"/>
      <c r="K86" s="2" t="n"/>
      <c r="L86" s="2" t="n"/>
      <c r="M86" s="2" t="n"/>
      <c r="N86" s="2" t="n"/>
      <c r="O86" s="2" t="n"/>
      <c r="P86" s="2" t="n"/>
      <c r="Q86" s="2" t="n">
        <v>50</v>
      </c>
      <c r="R86" s="2" t="n"/>
      <c r="S86" s="2" t="n"/>
      <c r="T86" s="2" t="n"/>
      <c r="U86" s="2" t="n"/>
      <c r="V86" s="2">
        <f>SUM(J86:U86)</f>
        <v/>
      </c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>
        <v>100</v>
      </c>
      <c r="AK86" s="2" t="n">
        <v>100</v>
      </c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>
        <f>IF(F86=1,V86*2,IF(F86=2,V86*F86*2,IF(F86&gt;2,F86*2*V86)))</f>
        <v/>
      </c>
      <c r="AW86" s="2">
        <f>SUM(W86:AU86)</f>
        <v/>
      </c>
    </row>
    <row r="87">
      <c r="A87" s="2" t="inlineStr">
        <is>
          <t>14-C-661</t>
        </is>
      </c>
      <c r="B87" s="3" t="inlineStr">
        <is>
          <t>DROP-CABLE(SC/PC)-2C</t>
        </is>
      </c>
      <c r="C87" s="2" t="inlineStr">
        <is>
          <t>10M</t>
        </is>
      </c>
      <c r="D87" s="2" t="inlineStr">
        <is>
          <t>drop</t>
        </is>
      </c>
      <c r="E87" s="2" t="inlineStr">
        <is>
          <t>3.0mm</t>
        </is>
      </c>
      <c r="F87" s="2" t="n">
        <v>2</v>
      </c>
      <c r="G87" s="2" t="n">
        <v>10</v>
      </c>
      <c r="H87" s="2" t="inlineStr">
        <is>
          <t>SC/PC</t>
        </is>
      </c>
      <c r="I87" s="2" t="inlineStr">
        <is>
          <t>SC/PC</t>
        </is>
      </c>
      <c r="J87" s="2" t="n"/>
      <c r="K87" s="2" t="n"/>
      <c r="L87" s="2" t="n"/>
      <c r="M87" s="2" t="n"/>
      <c r="N87" s="2" t="n"/>
      <c r="O87" s="2" t="n"/>
      <c r="P87" s="2" t="n"/>
      <c r="Q87" s="2" t="n">
        <v>50</v>
      </c>
      <c r="R87" s="2" t="n">
        <v>50</v>
      </c>
      <c r="S87" s="2" t="n"/>
      <c r="T87" s="2" t="n"/>
      <c r="U87" s="2" t="n"/>
      <c r="V87" s="2">
        <f>SUM(J87:U87)</f>
        <v/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>
        <v>200</v>
      </c>
      <c r="AO87" s="2" t="n">
        <v>200</v>
      </c>
      <c r="AP87" s="2" t="n"/>
      <c r="AQ87" s="2" t="n"/>
      <c r="AR87" s="2" t="n"/>
      <c r="AS87" s="2" t="n"/>
      <c r="AT87" s="2" t="n"/>
      <c r="AU87" s="2" t="n"/>
      <c r="AV87" s="2">
        <f>IF(F87=1,V87*2,IF(F87=2,V87*F87*2,IF(F87&gt;2,F87*2*V87)))</f>
        <v/>
      </c>
      <c r="AW87" s="2">
        <f>SUM(W87:AU87)</f>
        <v/>
      </c>
    </row>
    <row r="88">
      <c r="A88" s="2" t="inlineStr">
        <is>
          <t>14-C-662</t>
        </is>
      </c>
      <c r="B88" s="3" t="inlineStr">
        <is>
          <t>DROP-CABLE(LC/APC)-2C</t>
        </is>
      </c>
      <c r="C88" s="2" t="inlineStr">
        <is>
          <t>110M</t>
        </is>
      </c>
      <c r="D88" s="2" t="inlineStr">
        <is>
          <t>drop</t>
        </is>
      </c>
      <c r="E88" s="2" t="inlineStr">
        <is>
          <t>3.0mm</t>
        </is>
      </c>
      <c r="F88" s="2" t="n">
        <v>2</v>
      </c>
      <c r="G88" s="2" t="n">
        <v>110</v>
      </c>
      <c r="H88" s="2" t="inlineStr">
        <is>
          <t>LC/APC</t>
        </is>
      </c>
      <c r="I88" s="2" t="inlineStr">
        <is>
          <t>LC/APC</t>
        </is>
      </c>
      <c r="J88" s="2" t="n"/>
      <c r="K88" s="2" t="n"/>
      <c r="L88" s="2" t="n"/>
      <c r="M88" s="2" t="n"/>
      <c r="N88" s="2" t="n"/>
      <c r="O88" s="2" t="n"/>
      <c r="P88" s="2" t="n"/>
      <c r="Q88" s="2" t="n">
        <v>1</v>
      </c>
      <c r="R88" s="2" t="n"/>
      <c r="S88" s="2" t="n"/>
      <c r="T88" s="2" t="n"/>
      <c r="U88" s="2" t="n"/>
      <c r="V88" s="2">
        <f>SUM(J88:U88)</f>
        <v/>
      </c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>
        <v>2</v>
      </c>
      <c r="AM88" s="2" t="n">
        <v>2</v>
      </c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>
        <f>IF(F88=1,V88*2,IF(F88=2,V88*F88*2,IF(F88&gt;2,F88*2*V88)))</f>
        <v/>
      </c>
      <c r="AW88" s="2">
        <f>SUM(W88:AU88)</f>
        <v/>
      </c>
    </row>
    <row r="89">
      <c r="A89" s="2" t="inlineStr">
        <is>
          <t>14-C-663</t>
        </is>
      </c>
      <c r="B89" s="3" t="inlineStr">
        <is>
          <t>DROP-CABLE(SC/PC)-2C</t>
        </is>
      </c>
      <c r="C89" s="2" t="inlineStr">
        <is>
          <t>15M</t>
        </is>
      </c>
      <c r="D89" s="2" t="inlineStr">
        <is>
          <t>drop</t>
        </is>
      </c>
      <c r="E89" s="2" t="inlineStr">
        <is>
          <t>3.0mm</t>
        </is>
      </c>
      <c r="F89" s="2" t="n">
        <v>2</v>
      </c>
      <c r="G89" s="2" t="n">
        <v>15</v>
      </c>
      <c r="H89" s="2" t="inlineStr">
        <is>
          <t>SC/PC</t>
        </is>
      </c>
      <c r="I89" s="2" t="inlineStr">
        <is>
          <t>SC/PC</t>
        </is>
      </c>
      <c r="J89" s="2" t="n"/>
      <c r="K89" s="2" t="n"/>
      <c r="L89" s="2" t="n"/>
      <c r="M89" s="2" t="n"/>
      <c r="N89" s="2" t="n"/>
      <c r="O89" s="2" t="n"/>
      <c r="P89" s="2" t="n"/>
      <c r="Q89" s="2" t="n">
        <v>20</v>
      </c>
      <c r="R89" s="2" t="n"/>
      <c r="S89" s="2" t="n">
        <v>50</v>
      </c>
      <c r="T89" s="2" t="n"/>
      <c r="U89" s="2" t="n"/>
      <c r="V89" s="2">
        <f>SUM(J89:U89)</f>
        <v/>
      </c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>
        <v>140</v>
      </c>
      <c r="AO89" s="2" t="n">
        <v>140</v>
      </c>
      <c r="AP89" s="2" t="n"/>
      <c r="AQ89" s="2" t="n"/>
      <c r="AR89" s="2" t="n"/>
      <c r="AS89" s="2" t="n"/>
      <c r="AT89" s="2" t="n"/>
      <c r="AU89" s="2" t="n"/>
      <c r="AV89" s="2">
        <f>IF(F89=1,V89*2,IF(F89=2,V89*F89*2,IF(F89&gt;2,F89*2*V89)))</f>
        <v/>
      </c>
      <c r="AW89" s="2">
        <f>SUM(W89:AU89)</f>
        <v/>
      </c>
    </row>
    <row r="90">
      <c r="A90" s="2" t="inlineStr">
        <is>
          <t>14-C-672</t>
        </is>
      </c>
      <c r="B90" s="3" t="inlineStr">
        <is>
          <t>DROP-CABLE(LC/APC)-2C</t>
        </is>
      </c>
      <c r="C90" s="2" t="inlineStr">
        <is>
          <t>2M</t>
        </is>
      </c>
      <c r="D90" s="2" t="inlineStr">
        <is>
          <t>drop</t>
        </is>
      </c>
      <c r="E90" s="2" t="inlineStr">
        <is>
          <t>3.0mm</t>
        </is>
      </c>
      <c r="F90" s="2" t="n">
        <v>2</v>
      </c>
      <c r="G90" s="2" t="n">
        <v>2</v>
      </c>
      <c r="H90" s="2" t="inlineStr">
        <is>
          <t>LC/APC</t>
        </is>
      </c>
      <c r="I90" s="2" t="inlineStr">
        <is>
          <t>LC/APC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>
        <v>65</v>
      </c>
      <c r="T90" s="2" t="n"/>
      <c r="U90" s="2" t="n"/>
      <c r="V90" s="2">
        <f>SUM(J90:U90)</f>
        <v/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>
        <v>130</v>
      </c>
      <c r="AM90" s="2" t="n">
        <v>130</v>
      </c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>
        <f>IF(F90=1,V90*2,IF(F90=2,V90*F90*2,IF(F90&gt;2,F90*2*V90)))</f>
        <v/>
      </c>
      <c r="AW90" s="2">
        <f>SUM(W90:AU90)</f>
        <v/>
      </c>
    </row>
    <row r="91">
      <c r="A91" s="2" t="inlineStr">
        <is>
          <t>14-C-673</t>
        </is>
      </c>
      <c r="B91" s="3" t="inlineStr">
        <is>
          <t>DROP-CABLE(SC/PC)-2C</t>
        </is>
      </c>
      <c r="C91" s="2" t="inlineStr">
        <is>
          <t>7M</t>
        </is>
      </c>
      <c r="D91" s="2" t="inlineStr">
        <is>
          <t>drop</t>
        </is>
      </c>
      <c r="E91" s="2" t="inlineStr">
        <is>
          <t>3.0mm</t>
        </is>
      </c>
      <c r="F91" s="2" t="n">
        <v>2</v>
      </c>
      <c r="G91" s="2" t="n">
        <v>7</v>
      </c>
      <c r="H91" s="2" t="inlineStr">
        <is>
          <t>SC/PC</t>
        </is>
      </c>
      <c r="I91" s="2" t="inlineStr">
        <is>
          <t>SC/PC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>
        <v>50</v>
      </c>
      <c r="T91" s="2" t="n"/>
      <c r="U91" s="2" t="n"/>
      <c r="V91" s="2">
        <f>SUM(J91:U91)</f>
        <v/>
      </c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>
        <v>100</v>
      </c>
      <c r="AO91" s="2" t="n">
        <v>100</v>
      </c>
      <c r="AP91" s="2" t="n"/>
      <c r="AQ91" s="2" t="n"/>
      <c r="AR91" s="2" t="n"/>
      <c r="AS91" s="2" t="n"/>
      <c r="AT91" s="2" t="n"/>
      <c r="AU91" s="2" t="n"/>
      <c r="AV91" s="2">
        <f>IF(F91=1,V91*2,IF(F91=2,V91*F91*2,IF(F91&gt;2,F91*2*V91)))</f>
        <v/>
      </c>
      <c r="AW91" s="2">
        <f>SUM(W91:AU91)</f>
        <v/>
      </c>
    </row>
    <row r="92">
      <c r="A92" s="2" t="inlineStr">
        <is>
          <t>14-C-674</t>
        </is>
      </c>
      <c r="B92" s="3" t="inlineStr">
        <is>
          <t>DROP-CABLE(LC/PC)-2C</t>
        </is>
      </c>
      <c r="C92" s="2" t="inlineStr">
        <is>
          <t>220M</t>
        </is>
      </c>
      <c r="D92" s="2" t="inlineStr">
        <is>
          <t>drop</t>
        </is>
      </c>
      <c r="E92" s="2" t="inlineStr">
        <is>
          <t>3.0mm</t>
        </is>
      </c>
      <c r="F92" s="2" t="n">
        <v>2</v>
      </c>
      <c r="G92" s="2" t="n">
        <v>220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>
        <v>1</v>
      </c>
      <c r="T92" s="2" t="n"/>
      <c r="U92" s="2" t="n"/>
      <c r="V92" s="2">
        <f>SUM(J92:U92)</f>
        <v/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>
        <v>2</v>
      </c>
      <c r="AK92" s="2" t="n">
        <v>2</v>
      </c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>
        <f>IF(F92=1,V92*2,IF(F92=2,V92*F92*2,IF(F92&gt;2,F92*2*V92)))</f>
        <v/>
      </c>
      <c r="AW92" s="2">
        <f>SUM(W92:AU92)</f>
        <v/>
      </c>
    </row>
    <row r="93">
      <c r="A93" s="2" t="inlineStr">
        <is>
          <t>14-C-676</t>
        </is>
      </c>
      <c r="B93" s="3" t="inlineStr">
        <is>
          <t>Optical Cable Parts,LC/PC-LC/PC-Single mode-10m-2Core</t>
        </is>
      </c>
      <c r="C93" s="2" t="inlineStr">
        <is>
          <t>657A2 , LSZH , LC DUPLEX KIT(CLIP), 300MM/ 300MM</t>
        </is>
      </c>
      <c r="D93" s="2" t="inlineStr">
        <is>
          <t>a2</t>
        </is>
      </c>
      <c r="E93" s="2" t="inlineStr">
        <is>
          <t>2.0mm</t>
        </is>
      </c>
      <c r="F93" s="2" t="n">
        <v>2</v>
      </c>
      <c r="G93" s="2" t="n">
        <v>10</v>
      </c>
      <c r="H93" s="2" t="inlineStr">
        <is>
          <t>LC/PC</t>
        </is>
      </c>
      <c r="I93" s="2" t="inlineStr">
        <is>
          <t>LC/PC</t>
        </is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>
        <v>50</v>
      </c>
      <c r="U93" s="2" t="n">
        <v>50</v>
      </c>
      <c r="V93" s="2">
        <f>SUM(J93:U93)</f>
        <v/>
      </c>
      <c r="W93" s="2" t="n">
        <v>200</v>
      </c>
      <c r="X93" s="2" t="n">
        <v>200</v>
      </c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>
        <f>IF(F93=1,V93*2,IF(F93=2,V93*F93*2,IF(F93&gt;2,F93*2*V93)))</f>
        <v/>
      </c>
      <c r="AW93" s="2">
        <f>SUM(W93:AU93)</f>
        <v/>
      </c>
    </row>
    <row r="94">
      <c r="A94" s="2" t="inlineStr">
        <is>
          <t>14-C-677</t>
        </is>
      </c>
      <c r="B94" s="3" t="inlineStr">
        <is>
          <t>DROP-CABLE(LC/APC)-2C</t>
        </is>
      </c>
      <c r="C94" s="2" t="inlineStr">
        <is>
          <t>3M</t>
        </is>
      </c>
      <c r="D94" s="2" t="inlineStr">
        <is>
          <t>drop</t>
        </is>
      </c>
      <c r="E94" s="2" t="inlineStr">
        <is>
          <t>3.0mm</t>
        </is>
      </c>
      <c r="F94" s="2" t="n">
        <v>2</v>
      </c>
      <c r="G94" s="2" t="n">
        <v>3</v>
      </c>
      <c r="H94" s="2" t="inlineStr">
        <is>
          <t>LC/APC</t>
        </is>
      </c>
      <c r="I94" s="2" t="inlineStr">
        <is>
          <t>LC/APC</t>
        </is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>
        <v>10</v>
      </c>
      <c r="V94" s="2">
        <f>SUM(J94:U94)</f>
        <v/>
      </c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>
        <v>20</v>
      </c>
      <c r="AM94" s="2" t="n">
        <v>20</v>
      </c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>
        <f>IF(F94=1,V94*2,IF(F94=2,V94*F94*2,IF(F94&gt;2,F94*2*V94)))</f>
        <v/>
      </c>
      <c r="AW94" s="2">
        <f>SUM(W94:AU94)</f>
        <v/>
      </c>
    </row>
    <row r="95">
      <c r="A95" s="2" t="inlineStr">
        <is>
          <t>14-D-009</t>
        </is>
      </c>
      <c r="B95" s="3" t="inlineStr">
        <is>
          <t>DOJC-MM(OM3)-LC/PC-LC/PC</t>
        </is>
      </c>
      <c r="C95" s="2" t="inlineStr">
        <is>
          <t>12M</t>
        </is>
      </c>
      <c r="D95" s="2" t="inlineStr">
        <is>
          <t>om3</t>
        </is>
      </c>
      <c r="E95" s="2" t="inlineStr">
        <is>
          <t>2.0mm</t>
        </is>
      </c>
      <c r="F95" s="2" t="n">
        <v>2</v>
      </c>
      <c r="G95" s="2" t="n">
        <v>12</v>
      </c>
      <c r="H95" s="2" t="inlineStr">
        <is>
          <t>LC/PC</t>
        </is>
      </c>
      <c r="I95" s="2" t="inlineStr">
        <is>
          <t>LC/PC</t>
        </is>
      </c>
      <c r="J95" s="2" t="n"/>
      <c r="K95" s="2" t="n"/>
      <c r="L95" s="2" t="n"/>
      <c r="M95" s="2" t="n"/>
      <c r="N95" s="2" t="n"/>
      <c r="O95" s="2" t="n">
        <v>16</v>
      </c>
      <c r="P95" s="2" t="n"/>
      <c r="Q95" s="2" t="n"/>
      <c r="R95" s="2" t="n"/>
      <c r="S95" s="2" t="n"/>
      <c r="T95" s="2" t="n"/>
      <c r="U95" s="2" t="n"/>
      <c r="V95" s="2">
        <f>SUM(J95:U95)</f>
        <v/>
      </c>
      <c r="W95" s="2" t="n"/>
      <c r="X95" s="2" t="n">
        <v>32</v>
      </c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>
        <v>32</v>
      </c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>
        <f>IF(F95=1,V95*2,IF(F95=2,V95*F95*2,IF(F95&gt;2,F95*2*V95)))</f>
        <v/>
      </c>
      <c r="AW95" s="2">
        <f>SUM(W95:AU95)</f>
        <v/>
      </c>
    </row>
    <row r="96">
      <c r="A96" s="2" t="inlineStr">
        <is>
          <t>14-D-019</t>
        </is>
      </c>
      <c r="B96" s="3" t="inlineStr">
        <is>
          <t>DOJC-MM(OM3)-LC/PC-LC/PC</t>
        </is>
      </c>
      <c r="C96" s="2" t="inlineStr">
        <is>
          <t>30M</t>
        </is>
      </c>
      <c r="D96" s="2" t="inlineStr">
        <is>
          <t>om3</t>
        </is>
      </c>
      <c r="E96" s="2" t="inlineStr">
        <is>
          <t>2.0mm</t>
        </is>
      </c>
      <c r="F96" s="2" t="n">
        <v>2</v>
      </c>
      <c r="G96" s="2" t="n">
        <v>30</v>
      </c>
      <c r="H96" s="2" t="inlineStr">
        <is>
          <t>LC/PC</t>
        </is>
      </c>
      <c r="I96" s="2" t="inlineStr">
        <is>
          <t>LC/PC</t>
        </is>
      </c>
      <c r="J96" s="2" t="n">
        <v>4</v>
      </c>
      <c r="K96" s="2" t="n">
        <v>1</v>
      </c>
      <c r="L96" s="2" t="n"/>
      <c r="M96" s="2" t="n"/>
      <c r="N96" s="2" t="n"/>
      <c r="O96" s="2" t="n"/>
      <c r="P96" s="2" t="n"/>
      <c r="Q96" s="2" t="n"/>
      <c r="R96" s="2" t="n">
        <v>10</v>
      </c>
      <c r="S96" s="2" t="n">
        <v>3</v>
      </c>
      <c r="T96" s="2" t="n"/>
      <c r="U96" s="2" t="n">
        <v>10</v>
      </c>
      <c r="V96" s="2">
        <f>SUM(J96:U96)</f>
        <v/>
      </c>
      <c r="W96" s="2" t="n"/>
      <c r="X96" s="2" t="n">
        <v>56</v>
      </c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>
        <v>56</v>
      </c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>
        <f>IF(F96=1,V96*2,IF(F96=2,V96*F96*2,IF(F96&gt;2,F96*2*V96)))</f>
        <v/>
      </c>
      <c r="AW96" s="2">
        <f>SUM(W96:AU96)</f>
        <v/>
      </c>
    </row>
    <row r="97">
      <c r="A97" s="2" t="inlineStr">
        <is>
          <t>14-D-021</t>
        </is>
      </c>
      <c r="B97" s="3" t="inlineStr">
        <is>
          <t>DOJC-MM(OM3)-LC/PC-LC/PC</t>
        </is>
      </c>
      <c r="C97" s="2" t="inlineStr">
        <is>
          <t>3M</t>
        </is>
      </c>
      <c r="D97" s="2" t="inlineStr">
        <is>
          <t>om3</t>
        </is>
      </c>
      <c r="E97" s="2" t="inlineStr">
        <is>
          <t>2.0mm</t>
        </is>
      </c>
      <c r="F97" s="2" t="n">
        <v>2</v>
      </c>
      <c r="G97" s="2" t="n">
        <v>3</v>
      </c>
      <c r="H97" s="2" t="inlineStr">
        <is>
          <t>LC/PC</t>
        </is>
      </c>
      <c r="I97" s="2" t="inlineStr">
        <is>
          <t>LC/PC</t>
        </is>
      </c>
      <c r="J97" s="2" t="n">
        <v>17</v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>
        <f>SUM(J97:U97)</f>
        <v/>
      </c>
      <c r="W97" s="2" t="n"/>
      <c r="X97" s="2" t="n">
        <v>34</v>
      </c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>
        <v>34</v>
      </c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>
        <f>IF(F97=1,V97*2,IF(F97=2,V97*F97*2,IF(F97&gt;2,F97*2*V97)))</f>
        <v/>
      </c>
      <c r="AW97" s="2">
        <f>SUM(W97:AU97)</f>
        <v/>
      </c>
    </row>
    <row r="98">
      <c r="A98" s="2" t="inlineStr">
        <is>
          <t>14-D-022</t>
        </is>
      </c>
      <c r="B98" s="3" t="inlineStr">
        <is>
          <t>DOJC-MM(OM3)-LC/PC-LC/PC</t>
        </is>
      </c>
      <c r="C98" s="2" t="inlineStr">
        <is>
          <t>40M</t>
        </is>
      </c>
      <c r="D98" s="2" t="inlineStr">
        <is>
          <t>om3</t>
        </is>
      </c>
      <c r="E98" s="2" t="inlineStr">
        <is>
          <t>2.0mm</t>
        </is>
      </c>
      <c r="F98" s="2" t="n">
        <v>2</v>
      </c>
      <c r="G98" s="2" t="n">
        <v>40</v>
      </c>
      <c r="H98" s="2" t="inlineStr">
        <is>
          <t>LC/PC</t>
        </is>
      </c>
      <c r="I98" s="2" t="inlineStr">
        <is>
          <t>LC/PC</t>
        </is>
      </c>
      <c r="J98" s="2" t="n"/>
      <c r="K98" s="2" t="n">
        <v>2</v>
      </c>
      <c r="L98" s="2" t="n">
        <v>5</v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>
        <v>10</v>
      </c>
      <c r="V98" s="2">
        <f>SUM(J98:U98)</f>
        <v/>
      </c>
      <c r="W98" s="2" t="n"/>
      <c r="X98" s="2" t="n">
        <v>34</v>
      </c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>
        <v>34</v>
      </c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>
        <f>IF(F98=1,V98*2,IF(F98=2,V98*F98*2,IF(F98&gt;2,F98*2*V98)))</f>
        <v/>
      </c>
      <c r="AW98" s="2">
        <f>SUM(W98:AU98)</f>
        <v/>
      </c>
    </row>
    <row r="99">
      <c r="A99" s="2" t="inlineStr">
        <is>
          <t>14-D-024</t>
        </is>
      </c>
      <c r="B99" s="3" t="inlineStr">
        <is>
          <t>DOJC-MM(OM3)-LC/PC-LC/PC</t>
        </is>
      </c>
      <c r="C99" s="2" t="inlineStr">
        <is>
          <t>50M</t>
        </is>
      </c>
      <c r="D99" s="2" t="inlineStr">
        <is>
          <t>om3</t>
        </is>
      </c>
      <c r="E99" s="2" t="inlineStr">
        <is>
          <t>2.0mm</t>
        </is>
      </c>
      <c r="F99" s="2" t="n">
        <v>2</v>
      </c>
      <c r="G99" s="2" t="n">
        <v>50</v>
      </c>
      <c r="H99" s="2" t="inlineStr">
        <is>
          <t>LC/PC</t>
        </is>
      </c>
      <c r="I99" s="2" t="inlineStr">
        <is>
          <t>LC/PC</t>
        </is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>
        <v>2</v>
      </c>
      <c r="T99" s="2" t="n"/>
      <c r="U99" s="2" t="n"/>
      <c r="V99" s="2">
        <f>SUM(J99:U99)</f>
        <v/>
      </c>
      <c r="W99" s="2" t="n"/>
      <c r="X99" s="2" t="n">
        <v>4</v>
      </c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>
        <v>4</v>
      </c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>
        <f>IF(F99=1,V99*2,IF(F99=2,V99*F99*2,IF(F99&gt;2,F99*2*V99)))</f>
        <v/>
      </c>
      <c r="AW99" s="2">
        <f>SUM(W99:AU99)</f>
        <v/>
      </c>
    </row>
    <row r="100">
      <c r="A100" s="2" t="inlineStr">
        <is>
          <t>14-D-027</t>
        </is>
      </c>
      <c r="B100" s="3" t="inlineStr">
        <is>
          <t>DOJC-MM(OM3)-LC/PC-LC/PC</t>
        </is>
      </c>
      <c r="C100" s="2" t="inlineStr">
        <is>
          <t>7M</t>
        </is>
      </c>
      <c r="D100" s="2" t="inlineStr">
        <is>
          <t>om3</t>
        </is>
      </c>
      <c r="E100" s="2" t="inlineStr">
        <is>
          <t>2.0mm</t>
        </is>
      </c>
      <c r="F100" s="2" t="n">
        <v>2</v>
      </c>
      <c r="G100" s="2" t="n">
        <v>7</v>
      </c>
      <c r="H100" s="2" t="inlineStr">
        <is>
          <t>LC/PC</t>
        </is>
      </c>
      <c r="I100" s="2" t="inlineStr">
        <is>
          <t>LC/PC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>
        <v>10</v>
      </c>
      <c r="S100" s="2" t="n"/>
      <c r="T100" s="2" t="n">
        <v>30</v>
      </c>
      <c r="U100" s="2" t="n"/>
      <c r="V100" s="2">
        <f>SUM(J100:U100)</f>
        <v/>
      </c>
      <c r="W100" s="2" t="n"/>
      <c r="X100" s="2" t="n">
        <v>80</v>
      </c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>
        <v>80</v>
      </c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>
        <f>IF(F100=1,V100*2,IF(F100=2,V100*F100*2,IF(F100&gt;2,F100*2*V100)))</f>
        <v/>
      </c>
      <c r="AW100" s="2">
        <f>SUM(W100:AU100)</f>
        <v/>
      </c>
    </row>
    <row r="101">
      <c r="A101" s="2" t="inlineStr">
        <is>
          <t>14-D-029</t>
        </is>
      </c>
      <c r="B101" s="3" t="inlineStr">
        <is>
          <t>DOJC-MM(OM3)-LC/PC-SC/PC</t>
        </is>
      </c>
      <c r="C101" s="2" t="inlineStr">
        <is>
          <t>10M</t>
        </is>
      </c>
      <c r="D101" s="2" t="inlineStr">
        <is>
          <t>om3</t>
        </is>
      </c>
      <c r="E101" s="2" t="inlineStr">
        <is>
          <t>2.0mm</t>
        </is>
      </c>
      <c r="F101" s="2" t="n">
        <v>2</v>
      </c>
      <c r="G101" s="2" t="n">
        <v>10</v>
      </c>
      <c r="H101" s="2" t="inlineStr">
        <is>
          <t>LC/PC</t>
        </is>
      </c>
      <c r="I101" s="2" t="inlineStr">
        <is>
          <t>SC/PC</t>
        </is>
      </c>
      <c r="J101" s="2" t="n">
        <v>2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</f>
        <v/>
      </c>
      <c r="W101" s="2" t="n"/>
      <c r="X101" s="2" t="n"/>
      <c r="Y101" s="2" t="n"/>
      <c r="Z101" s="2" t="n"/>
      <c r="AA101" s="2" t="n"/>
      <c r="AB101" s="2" t="n">
        <v>4</v>
      </c>
      <c r="AC101" s="2" t="n"/>
      <c r="AD101" s="2" t="n"/>
      <c r="AE101" s="2" t="n"/>
      <c r="AF101" s="2" t="n"/>
      <c r="AG101" s="2" t="n"/>
      <c r="AH101" s="2" t="n"/>
      <c r="AI101" s="2" t="n">
        <v>4</v>
      </c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>
        <f>IF(F101=1,V101*2,IF(F101=2,V101*F101*2,IF(F101&gt;2,F101*2*V101)))</f>
        <v/>
      </c>
      <c r="AW101" s="2">
        <f>SUM(W101:AU101)</f>
        <v/>
      </c>
    </row>
    <row r="102">
      <c r="A102" s="2" t="inlineStr">
        <is>
          <t>14-D-037</t>
        </is>
      </c>
      <c r="B102" s="3" t="inlineStr">
        <is>
          <t>DOJC-MM-LC/PC-LC/PC</t>
        </is>
      </c>
      <c r="C102" s="2" t="inlineStr">
        <is>
          <t>12M</t>
        </is>
      </c>
      <c r="D102" s="2" t="inlineStr">
        <is>
          <t>om1</t>
        </is>
      </c>
      <c r="E102" s="2" t="inlineStr">
        <is>
          <t>2.0mm</t>
        </is>
      </c>
      <c r="F102" s="2" t="n">
        <v>2</v>
      </c>
      <c r="G102" s="2" t="n">
        <v>12</v>
      </c>
      <c r="H102" s="2" t="inlineStr">
        <is>
          <t>LC/PC</t>
        </is>
      </c>
      <c r="I102" s="2" t="inlineStr">
        <is>
          <t>LC/PC</t>
        </is>
      </c>
      <c r="J102" s="2" t="n"/>
      <c r="K102" s="2" t="n"/>
      <c r="L102" s="2" t="n"/>
      <c r="M102" s="2" t="n"/>
      <c r="N102" s="2" t="n"/>
      <c r="O102" s="2" t="n">
        <v>6</v>
      </c>
      <c r="P102" s="2" t="n"/>
      <c r="Q102" s="2" t="n"/>
      <c r="R102" s="2" t="n">
        <v>10</v>
      </c>
      <c r="S102" s="2" t="n"/>
      <c r="T102" s="2" t="n"/>
      <c r="U102" s="2" t="n">
        <v>3</v>
      </c>
      <c r="V102" s="2">
        <f>SUM(J102:U102)</f>
        <v/>
      </c>
      <c r="W102" s="2" t="n"/>
      <c r="X102" s="2" t="n">
        <v>38</v>
      </c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>
        <v>38</v>
      </c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>
        <f>IF(F102=1,V102*2,IF(F102=2,V102*F102*2,IF(F102&gt;2,F102*2*V102)))</f>
        <v/>
      </c>
      <c r="AW102" s="2">
        <f>SUM(W102:AU102)</f>
        <v/>
      </c>
    </row>
    <row r="103">
      <c r="A103" s="2" t="inlineStr">
        <is>
          <t>14-D-038</t>
        </is>
      </c>
      <c r="B103" s="3" t="inlineStr">
        <is>
          <t>DOJC-MM-LC/PC-LC/PC</t>
        </is>
      </c>
      <c r="C103" s="2" t="inlineStr">
        <is>
          <t>13M</t>
        </is>
      </c>
      <c r="D103" s="2" t="inlineStr">
        <is>
          <t>om1</t>
        </is>
      </c>
      <c r="E103" s="2" t="inlineStr">
        <is>
          <t>2.0mm</t>
        </is>
      </c>
      <c r="F103" s="2" t="n">
        <v>2</v>
      </c>
      <c r="G103" s="2" t="n">
        <v>13</v>
      </c>
      <c r="H103" s="2" t="inlineStr">
        <is>
          <t>LC/PC</t>
        </is>
      </c>
      <c r="I103" s="2" t="inlineStr">
        <is>
          <t>LC/PC</t>
        </is>
      </c>
      <c r="J103" s="2" t="n"/>
      <c r="K103" s="2" t="n"/>
      <c r="L103" s="2" t="n"/>
      <c r="M103" s="2" t="n">
        <v>4</v>
      </c>
      <c r="N103" s="2" t="n"/>
      <c r="O103" s="2" t="n"/>
      <c r="P103" s="2" t="n"/>
      <c r="Q103" s="2" t="n">
        <v>6</v>
      </c>
      <c r="R103" s="2" t="n"/>
      <c r="S103" s="2" t="n"/>
      <c r="T103" s="2" t="n"/>
      <c r="U103" s="2" t="n"/>
      <c r="V103" s="2">
        <f>SUM(J103:U103)</f>
        <v/>
      </c>
      <c r="W103" s="2" t="n"/>
      <c r="X103" s="2" t="n">
        <v>20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>
        <v>20</v>
      </c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>
        <f>IF(F103=1,V103*2,IF(F103=2,V103*F103*2,IF(F103&gt;2,F103*2*V103)))</f>
        <v/>
      </c>
      <c r="AW103" s="2">
        <f>SUM(W103:AU103)</f>
        <v/>
      </c>
    </row>
    <row r="104">
      <c r="A104" s="2" t="inlineStr">
        <is>
          <t>14-D-041</t>
        </is>
      </c>
      <c r="B104" s="3" t="inlineStr">
        <is>
          <t>DOJC-MM-LC/PC-LC/PC</t>
        </is>
      </c>
      <c r="C104" s="2" t="inlineStr">
        <is>
          <t>17M</t>
        </is>
      </c>
      <c r="D104" s="2" t="inlineStr">
        <is>
          <t>om1</t>
        </is>
      </c>
      <c r="E104" s="2" t="inlineStr">
        <is>
          <t>2.0mm</t>
        </is>
      </c>
      <c r="F104" s="2" t="n">
        <v>2</v>
      </c>
      <c r="G104" s="2" t="n">
        <v>17</v>
      </c>
      <c r="H104" s="2" t="inlineStr">
        <is>
          <t>LC/PC</t>
        </is>
      </c>
      <c r="I104" s="2" t="inlineStr">
        <is>
          <t>LC/PC</t>
        </is>
      </c>
      <c r="J104" s="2" t="n"/>
      <c r="K104" s="2" t="n"/>
      <c r="L104" s="2" t="n">
        <v>84</v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</f>
        <v/>
      </c>
      <c r="W104" s="2" t="n"/>
      <c r="X104" s="2" t="n">
        <v>168</v>
      </c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>
        <v>168</v>
      </c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>
        <f>IF(F104=1,V104*2,IF(F104=2,V104*F104*2,IF(F104&gt;2,F104*2*V104)))</f>
        <v/>
      </c>
      <c r="AW104" s="2">
        <f>SUM(W104:AU104)</f>
        <v/>
      </c>
    </row>
    <row r="105">
      <c r="A105" s="2" t="inlineStr">
        <is>
          <t>14-D-051</t>
        </is>
      </c>
      <c r="B105" s="3" t="inlineStr">
        <is>
          <t>DOJC-MM-LC/PC-LC/PC</t>
        </is>
      </c>
      <c r="C105" s="2" t="inlineStr">
        <is>
          <t>35M</t>
        </is>
      </c>
      <c r="D105" s="2" t="inlineStr">
        <is>
          <t>om1</t>
        </is>
      </c>
      <c r="E105" s="2" t="inlineStr">
        <is>
          <t>2.0mm</t>
        </is>
      </c>
      <c r="F105" s="2" t="n">
        <v>2</v>
      </c>
      <c r="G105" s="2" t="n">
        <v>35</v>
      </c>
      <c r="H105" s="2" t="inlineStr">
        <is>
          <t>LC/PC</t>
        </is>
      </c>
      <c r="I105" s="2" t="inlineStr">
        <is>
          <t>LC/PC</t>
        </is>
      </c>
      <c r="J105" s="2" t="n"/>
      <c r="K105" s="2" t="n"/>
      <c r="L105" s="2" t="n">
        <v>2</v>
      </c>
      <c r="M105" s="2" t="n"/>
      <c r="N105" s="2" t="n"/>
      <c r="O105" s="2" t="n">
        <v>10</v>
      </c>
      <c r="P105" s="2" t="n"/>
      <c r="Q105" s="2" t="n"/>
      <c r="R105" s="2" t="n"/>
      <c r="S105" s="2" t="n"/>
      <c r="T105" s="2" t="n"/>
      <c r="U105" s="2" t="n"/>
      <c r="V105" s="2">
        <f>SUM(J105:U105)</f>
        <v/>
      </c>
      <c r="W105" s="2" t="n"/>
      <c r="X105" s="2" t="n">
        <v>24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>
        <v>24</v>
      </c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>
        <f>IF(F105=1,V105*2,IF(F105=2,V105*F105*2,IF(F105&gt;2,F105*2*V105)))</f>
        <v/>
      </c>
      <c r="AW105" s="2">
        <f>SUM(W105:AU105)</f>
        <v/>
      </c>
    </row>
    <row r="106">
      <c r="A106" s="2" t="inlineStr">
        <is>
          <t>14-D-054</t>
        </is>
      </c>
      <c r="B106" s="3" t="inlineStr">
        <is>
          <t>DOJC-MM-LC/PC-LC/PC</t>
        </is>
      </c>
      <c r="C106" s="2" t="inlineStr">
        <is>
          <t>45M</t>
        </is>
      </c>
      <c r="D106" s="2" t="inlineStr">
        <is>
          <t>om1</t>
        </is>
      </c>
      <c r="E106" s="2" t="inlineStr">
        <is>
          <t>2.0mm</t>
        </is>
      </c>
      <c r="F106" s="2" t="n">
        <v>2</v>
      </c>
      <c r="G106" s="2" t="n">
        <v>45</v>
      </c>
      <c r="H106" s="2" t="inlineStr">
        <is>
          <t>LC/PC</t>
        </is>
      </c>
      <c r="I106" s="2" t="inlineStr">
        <is>
          <t>LC/PC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>
        <v>1</v>
      </c>
      <c r="R106" s="2" t="n"/>
      <c r="S106" s="2" t="n"/>
      <c r="T106" s="2" t="n"/>
      <c r="U106" s="2" t="n"/>
      <c r="V106" s="2">
        <f>SUM(J106:U106)</f>
        <v/>
      </c>
      <c r="W106" s="2" t="n"/>
      <c r="X106" s="2" t="n">
        <v>2</v>
      </c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>
        <v>2</v>
      </c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>
        <f>IF(F106=1,V106*2,IF(F106=2,V106*F106*2,IF(F106&gt;2,F106*2*V106)))</f>
        <v/>
      </c>
      <c r="AW106" s="2">
        <f>SUM(W106:AU106)</f>
        <v/>
      </c>
    </row>
    <row r="107">
      <c r="A107" s="2" t="inlineStr">
        <is>
          <t>14-D-055</t>
        </is>
      </c>
      <c r="B107" s="3" t="inlineStr">
        <is>
          <t>DOJC-MM-LC/PC-LC/PC</t>
        </is>
      </c>
      <c r="C107" s="2" t="inlineStr">
        <is>
          <t>50M</t>
        </is>
      </c>
      <c r="D107" s="2" t="inlineStr">
        <is>
          <t>om1</t>
        </is>
      </c>
      <c r="E107" s="2" t="inlineStr">
        <is>
          <t>2.0mm</t>
        </is>
      </c>
      <c r="F107" s="2" t="n">
        <v>2</v>
      </c>
      <c r="G107" s="2" t="n">
        <v>50</v>
      </c>
      <c r="H107" s="2" t="inlineStr">
        <is>
          <t>LC/PC</t>
        </is>
      </c>
      <c r="I107" s="2" t="inlineStr">
        <is>
          <t>LC/PC</t>
        </is>
      </c>
      <c r="J107" s="2" t="n"/>
      <c r="K107" s="2" t="n"/>
      <c r="L107" s="2" t="n">
        <v>4</v>
      </c>
      <c r="M107" s="2" t="n"/>
      <c r="N107" s="2" t="n"/>
      <c r="O107" s="2" t="n"/>
      <c r="P107" s="2" t="n"/>
      <c r="Q107" s="2" t="n"/>
      <c r="R107" s="2" t="n"/>
      <c r="S107" s="2" t="n">
        <v>12</v>
      </c>
      <c r="T107" s="2" t="n"/>
      <c r="U107" s="2" t="n"/>
      <c r="V107" s="2">
        <f>SUM(J107:U107)</f>
        <v/>
      </c>
      <c r="W107" s="2" t="n"/>
      <c r="X107" s="2" t="n">
        <v>32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>
        <v>32</v>
      </c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>
        <f>IF(F107=1,V107*2,IF(F107=2,V107*F107*2,IF(F107&gt;2,F107*2*V107)))</f>
        <v/>
      </c>
      <c r="AW107" s="2">
        <f>SUM(W107:AU107)</f>
        <v/>
      </c>
    </row>
    <row r="108">
      <c r="A108" s="2" t="inlineStr">
        <is>
          <t>14-D-058</t>
        </is>
      </c>
      <c r="B108" s="3" t="inlineStr">
        <is>
          <t>DOJC-MM-LC/PC-LC/PC</t>
        </is>
      </c>
      <c r="C108" s="2" t="inlineStr">
        <is>
          <t>60M</t>
        </is>
      </c>
      <c r="D108" s="2" t="inlineStr">
        <is>
          <t>om1</t>
        </is>
      </c>
      <c r="E108" s="2" t="inlineStr">
        <is>
          <t>2.0mm</t>
        </is>
      </c>
      <c r="F108" s="2" t="n">
        <v>2</v>
      </c>
      <c r="G108" s="2" t="n">
        <v>60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>
        <v>1</v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>
        <f>SUM(J108:U108)</f>
        <v/>
      </c>
      <c r="W108" s="2" t="n"/>
      <c r="X108" s="2" t="n">
        <v>2</v>
      </c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>
        <v>2</v>
      </c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>
        <f>IF(F108=1,V108*2,IF(F108=2,V108*F108*2,IF(F108&gt;2,F108*2*V108)))</f>
        <v/>
      </c>
      <c r="AW108" s="2">
        <f>SUM(W108:AU108)</f>
        <v/>
      </c>
    </row>
    <row r="109">
      <c r="A109" s="2" t="inlineStr">
        <is>
          <t>14-D-067</t>
        </is>
      </c>
      <c r="B109" s="3" t="inlineStr">
        <is>
          <t>DOJC-MM-LC/PC-SC/PC</t>
        </is>
      </c>
      <c r="C109" s="2" t="inlineStr">
        <is>
          <t>12M</t>
        </is>
      </c>
      <c r="D109" s="2" t="inlineStr">
        <is>
          <t>om1</t>
        </is>
      </c>
      <c r="E109" s="2" t="inlineStr">
        <is>
          <t>2.0mm</t>
        </is>
      </c>
      <c r="F109" s="2" t="n">
        <v>2</v>
      </c>
      <c r="G109" s="2" t="n">
        <v>12</v>
      </c>
      <c r="H109" s="2" t="inlineStr">
        <is>
          <t>LC/PC</t>
        </is>
      </c>
      <c r="I109" s="2" t="inlineStr">
        <is>
          <t>SC/PC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>
        <v>3</v>
      </c>
      <c r="R109" s="2" t="n"/>
      <c r="S109" s="2" t="n"/>
      <c r="T109" s="2" t="n"/>
      <c r="U109" s="2" t="n"/>
      <c r="V109" s="2">
        <f>SUM(J109:U109)</f>
        <v/>
      </c>
      <c r="W109" s="2" t="n"/>
      <c r="X109" s="2" t="n"/>
      <c r="Y109" s="2" t="n"/>
      <c r="Z109" s="2" t="n"/>
      <c r="AA109" s="2" t="n"/>
      <c r="AB109" s="2" t="n">
        <v>6</v>
      </c>
      <c r="AC109" s="2" t="n"/>
      <c r="AD109" s="2" t="n"/>
      <c r="AE109" s="2" t="n"/>
      <c r="AF109" s="2" t="n"/>
      <c r="AG109" s="2" t="n"/>
      <c r="AH109" s="2" t="n"/>
      <c r="AI109" s="2" t="n">
        <v>6</v>
      </c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>
        <f>IF(F109=1,V109*2,IF(F109=2,V109*F109*2,IF(F109&gt;2,F109*2*V109)))</f>
        <v/>
      </c>
      <c r="AW109" s="2">
        <f>SUM(W109:AU109)</f>
        <v/>
      </c>
    </row>
    <row r="110">
      <c r="A110" s="2" t="inlineStr">
        <is>
          <t>14-D-092</t>
        </is>
      </c>
      <c r="B110" s="3" t="inlineStr">
        <is>
          <t>DOJC-MM-SC/PC-SC/PC</t>
        </is>
      </c>
      <c r="C110" s="2" t="inlineStr">
        <is>
          <t>10M</t>
        </is>
      </c>
      <c r="D110" s="2" t="inlineStr">
        <is>
          <t>om1</t>
        </is>
      </c>
      <c r="E110" s="2" t="inlineStr">
        <is>
          <t>2.0mm</t>
        </is>
      </c>
      <c r="F110" s="2" t="n">
        <v>2</v>
      </c>
      <c r="G110" s="2" t="n">
        <v>10</v>
      </c>
      <c r="H110" s="2" t="inlineStr">
        <is>
          <t>SC/PC</t>
        </is>
      </c>
      <c r="I110" s="2" t="inlineStr">
        <is>
          <t>SC/PC</t>
        </is>
      </c>
      <c r="J110" s="2" t="n"/>
      <c r="K110" s="2" t="n"/>
      <c r="L110" s="2" t="n"/>
      <c r="M110" s="2" t="n"/>
      <c r="N110" s="2" t="n"/>
      <c r="O110" s="2" t="n">
        <v>2</v>
      </c>
      <c r="P110" s="2" t="n"/>
      <c r="Q110" s="2" t="n"/>
      <c r="R110" s="2" t="n"/>
      <c r="S110" s="2" t="n"/>
      <c r="T110" s="2" t="n"/>
      <c r="U110" s="2" t="n"/>
      <c r="V110" s="2">
        <f>SUM(J110:U110)</f>
        <v/>
      </c>
      <c r="W110" s="2" t="n"/>
      <c r="X110" s="2" t="n"/>
      <c r="Y110" s="2" t="n"/>
      <c r="Z110" s="2" t="n"/>
      <c r="AA110" s="2" t="n">
        <v>4</v>
      </c>
      <c r="AB110" s="2" t="n">
        <v>4</v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>
        <f>IF(F110=1,V110*2,IF(F110=2,V110*F110*2,IF(F110&gt;2,F110*2*V110)))</f>
        <v/>
      </c>
      <c r="AW110" s="2">
        <f>SUM(W110:AU110)</f>
        <v/>
      </c>
    </row>
    <row r="111">
      <c r="A111" s="2" t="inlineStr">
        <is>
          <t>14-D-097</t>
        </is>
      </c>
      <c r="B111" s="3" t="inlineStr">
        <is>
          <t>DOJC-MM-SC/PC-SC/PC</t>
        </is>
      </c>
      <c r="C111" s="2" t="inlineStr">
        <is>
          <t>2M</t>
        </is>
      </c>
      <c r="D111" s="2" t="inlineStr">
        <is>
          <t>om1</t>
        </is>
      </c>
      <c r="E111" s="2" t="inlineStr">
        <is>
          <t>2.0mm</t>
        </is>
      </c>
      <c r="F111" s="2" t="n">
        <v>2</v>
      </c>
      <c r="G111" s="2" t="n">
        <v>2</v>
      </c>
      <c r="H111" s="2" t="inlineStr">
        <is>
          <t>SC/PC</t>
        </is>
      </c>
      <c r="I111" s="2" t="inlineStr">
        <is>
          <t>SC/PC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>
        <v>4</v>
      </c>
      <c r="R111" s="2" t="n"/>
      <c r="S111" s="2" t="n"/>
      <c r="T111" s="2" t="n"/>
      <c r="U111" s="2" t="n"/>
      <c r="V111" s="2">
        <f>SUM(J111:U111)</f>
        <v/>
      </c>
      <c r="W111" s="2" t="n"/>
      <c r="X111" s="2" t="n"/>
      <c r="Y111" s="2" t="n"/>
      <c r="Z111" s="2" t="n"/>
      <c r="AA111" s="2" t="n">
        <v>8</v>
      </c>
      <c r="AB111" s="2" t="n">
        <v>8</v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>
        <f>IF(F111=1,V111*2,IF(F111=2,V111*F111*2,IF(F111&gt;2,F111*2*V111)))</f>
        <v/>
      </c>
      <c r="AW111" s="2">
        <f>SUM(W111:AU111)</f>
        <v/>
      </c>
    </row>
    <row r="112">
      <c r="A112" s="2" t="inlineStr">
        <is>
          <t>14-D-1022</t>
        </is>
      </c>
      <c r="B112" s="3" t="inlineStr">
        <is>
          <t>DOJC-SM-LC/PC-LC/PC</t>
        </is>
      </c>
      <c r="C112" s="2" t="inlineStr">
        <is>
          <t>2.5M</t>
        </is>
      </c>
      <c r="D112" s="2" t="inlineStr">
        <is>
          <t>a1</t>
        </is>
      </c>
      <c r="E112" s="2" t="inlineStr">
        <is>
          <t>2.0mm</t>
        </is>
      </c>
      <c r="F112" s="2" t="n">
        <v>2</v>
      </c>
      <c r="G112" s="2" t="n">
        <v>2.5</v>
      </c>
      <c r="H112" s="2" t="inlineStr">
        <is>
          <t>LC/PC</t>
        </is>
      </c>
      <c r="I112" s="2" t="inlineStr">
        <is>
          <t>LC/PC</t>
        </is>
      </c>
      <c r="J112" s="2" t="n"/>
      <c r="K112" s="2" t="n"/>
      <c r="L112" s="2" t="n">
        <v>100</v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>
        <f>SUM(J112:U112)</f>
        <v/>
      </c>
      <c r="W112" s="2" t="n">
        <v>200</v>
      </c>
      <c r="X112" s="2" t="n">
        <v>200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>
        <f>IF(F112=1,V112*2,IF(F112=2,V112*F112*2,IF(F112&gt;2,F112*2*V112)))</f>
        <v/>
      </c>
      <c r="AW112" s="2">
        <f>SUM(W112:AU112)</f>
        <v/>
      </c>
    </row>
    <row r="113">
      <c r="A113" s="2" t="inlineStr">
        <is>
          <t>14-D-157</t>
        </is>
      </c>
      <c r="B113" s="3" t="inlineStr">
        <is>
          <t>DOJC-SM-LC/PC-FC/APC</t>
        </is>
      </c>
      <c r="C113" s="2" t="inlineStr">
        <is>
          <t>10M</t>
        </is>
      </c>
      <c r="D113" s="2" t="inlineStr">
        <is>
          <t>a1</t>
        </is>
      </c>
      <c r="E113" s="2" t="inlineStr">
        <is>
          <t>2.0mm</t>
        </is>
      </c>
      <c r="F113" s="2" t="n">
        <v>2</v>
      </c>
      <c r="G113" s="2" t="n">
        <v>10</v>
      </c>
      <c r="H113" s="2" t="inlineStr">
        <is>
          <t>LC/PC</t>
        </is>
      </c>
      <c r="I113" s="2" t="inlineStr">
        <is>
          <t>FC/APC</t>
        </is>
      </c>
      <c r="J113" s="2" t="n"/>
      <c r="K113" s="2" t="n"/>
      <c r="L113" s="2" t="n"/>
      <c r="M113" s="2" t="n"/>
      <c r="N113" s="2" t="n"/>
      <c r="O113" s="2" t="n"/>
      <c r="P113" s="2" t="n">
        <v>20</v>
      </c>
      <c r="Q113" s="2" t="n"/>
      <c r="R113" s="2" t="n"/>
      <c r="S113" s="2" t="n"/>
      <c r="T113" s="2" t="n"/>
      <c r="U113" s="2" t="n"/>
      <c r="V113" s="2">
        <f>SUM(J113:U113)</f>
        <v/>
      </c>
      <c r="W113" s="2" t="n">
        <v>40</v>
      </c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>
        <v>40</v>
      </c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>
        <f>IF(F113=1,V113*2,IF(F113=2,V113*F113*2,IF(F113&gt;2,F113*2*V113)))</f>
        <v/>
      </c>
      <c r="AW113" s="2">
        <f>SUM(W113:AU113)</f>
        <v/>
      </c>
    </row>
    <row r="114">
      <c r="A114" s="2" t="inlineStr">
        <is>
          <t>14-D-161</t>
        </is>
      </c>
      <c r="B114" s="3" t="inlineStr">
        <is>
          <t>DOJC-SM-LC/PC-FC/APC</t>
        </is>
      </c>
      <c r="C114" s="2" t="inlineStr">
        <is>
          <t>15M</t>
        </is>
      </c>
      <c r="D114" s="2" t="inlineStr">
        <is>
          <t>a1</t>
        </is>
      </c>
      <c r="E114" s="2" t="inlineStr">
        <is>
          <t>2.0mm</t>
        </is>
      </c>
      <c r="F114" s="2" t="n">
        <v>2</v>
      </c>
      <c r="G114" s="2" t="n">
        <v>15</v>
      </c>
      <c r="H114" s="2" t="inlineStr">
        <is>
          <t>LC/PC</t>
        </is>
      </c>
      <c r="I114" s="2" t="inlineStr">
        <is>
          <t>FC/APC</t>
        </is>
      </c>
      <c r="J114" s="2" t="n"/>
      <c r="K114" s="2" t="n"/>
      <c r="L114" s="2" t="n"/>
      <c r="M114" s="2" t="n"/>
      <c r="N114" s="2" t="n"/>
      <c r="O114" s="2" t="n"/>
      <c r="P114" s="2" t="n">
        <v>20</v>
      </c>
      <c r="Q114" s="2" t="n"/>
      <c r="R114" s="2" t="n"/>
      <c r="S114" s="2" t="n"/>
      <c r="T114" s="2" t="n"/>
      <c r="U114" s="2" t="n"/>
      <c r="V114" s="2">
        <f>SUM(J114:U114)</f>
        <v/>
      </c>
      <c r="W114" s="2" t="n">
        <v>40</v>
      </c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>
        <v>40</v>
      </c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>
        <f>IF(F114=1,V114*2,IF(F114=2,V114*F114*2,IF(F114&gt;2,F114*2*V114)))</f>
        <v/>
      </c>
      <c r="AW114" s="2">
        <f>SUM(W114:AU114)</f>
        <v/>
      </c>
    </row>
    <row r="115">
      <c r="A115" s="2" t="inlineStr">
        <is>
          <t>14-D-182</t>
        </is>
      </c>
      <c r="B115" s="3" t="inlineStr">
        <is>
          <t>DOJC-SM-LC/PC-FC/APC</t>
        </is>
      </c>
      <c r="C115" s="2" t="inlineStr">
        <is>
          <t>60M</t>
        </is>
      </c>
      <c r="D115" s="2" t="inlineStr">
        <is>
          <t>a1</t>
        </is>
      </c>
      <c r="E115" s="2" t="inlineStr">
        <is>
          <t>2.0mm</t>
        </is>
      </c>
      <c r="F115" s="2" t="n">
        <v>2</v>
      </c>
      <c r="G115" s="2" t="n">
        <v>60</v>
      </c>
      <c r="H115" s="2" t="inlineStr">
        <is>
          <t>LC/PC</t>
        </is>
      </c>
      <c r="I115" s="2" t="inlineStr">
        <is>
          <t>FC/APC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>
        <v>1</v>
      </c>
      <c r="U115" s="2" t="n"/>
      <c r="V115" s="2">
        <f>SUM(J115:U115)</f>
        <v/>
      </c>
      <c r="W115" s="2" t="n">
        <v>2</v>
      </c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>
        <v>2</v>
      </c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>
        <f>IF(F115=1,V115*2,IF(F115=2,V115*F115*2,IF(F115&gt;2,F115*2*V115)))</f>
        <v/>
      </c>
      <c r="AW115" s="2">
        <f>SUM(W115:AU115)</f>
        <v/>
      </c>
    </row>
    <row r="116">
      <c r="A116" s="2" t="inlineStr">
        <is>
          <t>14-D-223</t>
        </is>
      </c>
      <c r="B116" s="3" t="inlineStr">
        <is>
          <t>DOJC-SM-LC/PC-LC/PC</t>
        </is>
      </c>
      <c r="C116" s="2" t="inlineStr">
        <is>
          <t>10M</t>
        </is>
      </c>
      <c r="D116" s="2" t="inlineStr">
        <is>
          <t>a1</t>
        </is>
      </c>
      <c r="E116" s="2" t="inlineStr">
        <is>
          <t>2.0mm</t>
        </is>
      </c>
      <c r="F116" s="2" t="n">
        <v>2</v>
      </c>
      <c r="G116" s="2" t="n">
        <v>10</v>
      </c>
      <c r="H116" s="2" t="inlineStr">
        <is>
          <t>LC/PC</t>
        </is>
      </c>
      <c r="I116" s="2" t="inlineStr">
        <is>
          <t>LC/PC</t>
        </is>
      </c>
      <c r="J116" s="2" t="n"/>
      <c r="K116" s="2" t="n"/>
      <c r="L116" s="2" t="n"/>
      <c r="M116" s="2" t="n">
        <v>50</v>
      </c>
      <c r="N116" s="2" t="n"/>
      <c r="O116" s="2" t="n">
        <v>50</v>
      </c>
      <c r="P116" s="2" t="n">
        <v>70</v>
      </c>
      <c r="Q116" s="2" t="n"/>
      <c r="R116" s="2" t="n"/>
      <c r="S116" s="2" t="n"/>
      <c r="T116" s="2" t="n"/>
      <c r="U116" s="2" t="n"/>
      <c r="V116" s="2">
        <f>SUM(J116:U116)</f>
        <v/>
      </c>
      <c r="W116" s="2" t="n">
        <v>340</v>
      </c>
      <c r="X116" s="2" t="n">
        <v>340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>
        <f>IF(F116=1,V116*2,IF(F116=2,V116*F116*2,IF(F116&gt;2,F116*2*V116)))</f>
        <v/>
      </c>
      <c r="AW116" s="2">
        <f>SUM(W116:AU116)</f>
        <v/>
      </c>
    </row>
    <row r="117">
      <c r="A117" s="2" t="inlineStr">
        <is>
          <t>14-D-228</t>
        </is>
      </c>
      <c r="B117" s="3" t="inlineStr">
        <is>
          <t>DOJC-SM-LC/PC-LC/PC</t>
        </is>
      </c>
      <c r="C117" s="2" t="inlineStr">
        <is>
          <t>15M</t>
        </is>
      </c>
      <c r="D117" s="2" t="inlineStr">
        <is>
          <t>a1</t>
        </is>
      </c>
      <c r="E117" s="2" t="inlineStr">
        <is>
          <t>2.0mm</t>
        </is>
      </c>
      <c r="F117" s="2" t="n">
        <v>2</v>
      </c>
      <c r="G117" s="2" t="n">
        <v>15</v>
      </c>
      <c r="H117" s="2" t="inlineStr">
        <is>
          <t>LC/PC</t>
        </is>
      </c>
      <c r="I117" s="2" t="inlineStr">
        <is>
          <t>LC/PC</t>
        </is>
      </c>
      <c r="J117" s="2" t="n">
        <v>30</v>
      </c>
      <c r="K117" s="2" t="n"/>
      <c r="L117" s="2" t="n"/>
      <c r="M117" s="2" t="n"/>
      <c r="N117" s="2" t="n"/>
      <c r="O117" s="2" t="n">
        <v>10</v>
      </c>
      <c r="P117" s="2" t="n">
        <v>10</v>
      </c>
      <c r="Q117" s="2" t="n"/>
      <c r="R117" s="2" t="n"/>
      <c r="S117" s="2" t="n"/>
      <c r="T117" s="2" t="n"/>
      <c r="U117" s="2" t="n"/>
      <c r="V117" s="2">
        <f>SUM(J117:U117)</f>
        <v/>
      </c>
      <c r="W117" s="2" t="n">
        <v>100</v>
      </c>
      <c r="X117" s="2" t="n">
        <v>100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>
        <f>IF(F117=1,V117*2,IF(F117=2,V117*F117*2,IF(F117&gt;2,F117*2*V117)))</f>
        <v/>
      </c>
      <c r="AW117" s="2">
        <f>SUM(W117:AU117)</f>
        <v/>
      </c>
    </row>
    <row r="118">
      <c r="A118" s="2" t="inlineStr">
        <is>
          <t>14-D-228R</t>
        </is>
      </c>
      <c r="B118" s="3" t="inlineStr">
        <is>
          <t>DOJC-SM-LC/PC-LC/PC</t>
        </is>
      </c>
      <c r="C118" s="2" t="inlineStr">
        <is>
          <t>15M_적색케이블</t>
        </is>
      </c>
      <c r="D118" s="2" t="inlineStr">
        <is>
          <t>a1-적</t>
        </is>
      </c>
      <c r="E118" s="2" t="inlineStr">
        <is>
          <t>2.0mm</t>
        </is>
      </c>
      <c r="F118" s="2" t="n">
        <v>2</v>
      </c>
      <c r="G118" s="2" t="n">
        <v>15</v>
      </c>
      <c r="H118" s="2" t="inlineStr">
        <is>
          <t>LC/PC</t>
        </is>
      </c>
      <c r="I118" s="2" t="inlineStr">
        <is>
          <t>LC/PC</t>
        </is>
      </c>
      <c r="J118" s="2" t="n"/>
      <c r="K118" s="2" t="n">
        <v>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>
        <f>SUM(J118:U118)</f>
        <v/>
      </c>
      <c r="W118" s="2" t="n">
        <v>50</v>
      </c>
      <c r="X118" s="2" t="n">
        <v>50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>
        <f>IF(F118=1,V118*2,IF(F118=2,V118*F118*2,IF(F118&gt;2,F118*2*V118)))</f>
        <v/>
      </c>
      <c r="AW118" s="2">
        <f>SUM(W118:AU118)</f>
        <v/>
      </c>
    </row>
    <row r="119">
      <c r="A119" s="2" t="inlineStr">
        <is>
          <t>14-D-233</t>
        </is>
      </c>
      <c r="B119" s="3" t="inlineStr">
        <is>
          <t>DOJC-SM-LC/PC-LC/PC</t>
        </is>
      </c>
      <c r="C119" s="2" t="inlineStr">
        <is>
          <t>1M</t>
        </is>
      </c>
      <c r="D119" s="2" t="inlineStr">
        <is>
          <t>a1</t>
        </is>
      </c>
      <c r="E119" s="2" t="inlineStr">
        <is>
          <t>2.0mm</t>
        </is>
      </c>
      <c r="F119" s="2" t="n">
        <v>2</v>
      </c>
      <c r="G119" s="2" t="n">
        <v>1</v>
      </c>
      <c r="H119" s="2" t="inlineStr">
        <is>
          <t>LC/PC</t>
        </is>
      </c>
      <c r="I119" s="2" t="inlineStr">
        <is>
          <t>LC/PC</t>
        </is>
      </c>
      <c r="J119" s="2" t="n"/>
      <c r="K119" s="2" t="n"/>
      <c r="L119" s="2" t="n">
        <v>95</v>
      </c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>
        <f>SUM(J119:U119)</f>
        <v/>
      </c>
      <c r="W119" s="2" t="n">
        <v>190</v>
      </c>
      <c r="X119" s="2" t="n">
        <v>190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>
        <f>IF(F119=1,V119*2,IF(F119=2,V119*F119*2,IF(F119&gt;2,F119*2*V119)))</f>
        <v/>
      </c>
      <c r="AW119" s="2">
        <f>SUM(W119:AU119)</f>
        <v/>
      </c>
    </row>
    <row r="120">
      <c r="A120" s="2" t="inlineStr">
        <is>
          <t>14-D-234</t>
        </is>
      </c>
      <c r="B120" s="3" t="inlineStr">
        <is>
          <t>DOJC-SM-LC/PC-LC/PC</t>
        </is>
      </c>
      <c r="C120" s="2" t="inlineStr">
        <is>
          <t>20M</t>
        </is>
      </c>
      <c r="D120" s="2" t="inlineStr">
        <is>
          <t>a1</t>
        </is>
      </c>
      <c r="E120" s="2" t="inlineStr">
        <is>
          <t>2.0mm</t>
        </is>
      </c>
      <c r="F120" s="2" t="n">
        <v>2</v>
      </c>
      <c r="G120" s="2" t="n">
        <v>20</v>
      </c>
      <c r="H120" s="2" t="inlineStr">
        <is>
          <t>LC/PC</t>
        </is>
      </c>
      <c r="I120" s="2" t="inlineStr">
        <is>
          <t>LC/PC</t>
        </is>
      </c>
      <c r="J120" s="2" t="n">
        <v>100</v>
      </c>
      <c r="K120" s="2" t="n"/>
      <c r="L120" s="2" t="n"/>
      <c r="M120" s="2" t="n">
        <v>50</v>
      </c>
      <c r="N120" s="2" t="n"/>
      <c r="O120" s="2" t="n"/>
      <c r="P120" s="2" t="n">
        <v>50</v>
      </c>
      <c r="Q120" s="2" t="n"/>
      <c r="R120" s="2" t="n"/>
      <c r="S120" s="2" t="n"/>
      <c r="T120" s="2" t="n"/>
      <c r="U120" s="2" t="n"/>
      <c r="V120" s="2">
        <f>SUM(J120:U120)</f>
        <v/>
      </c>
      <c r="W120" s="2" t="n">
        <v>400</v>
      </c>
      <c r="X120" s="2" t="n">
        <v>400</v>
      </c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>
        <f>IF(F120=1,V120*2,IF(F120=2,V120*F120*2,IF(F120&gt;2,F120*2*V120)))</f>
        <v/>
      </c>
      <c r="AW120" s="2">
        <f>SUM(W120:AU120)</f>
        <v/>
      </c>
    </row>
    <row r="121">
      <c r="A121" s="2" t="inlineStr">
        <is>
          <t>14-D-234R</t>
        </is>
      </c>
      <c r="B121" s="3" t="inlineStr">
        <is>
          <t>DOJC-SM-LC/PC-LC/PC</t>
        </is>
      </c>
      <c r="C121" s="2" t="inlineStr">
        <is>
          <t>20M_적색케이블</t>
        </is>
      </c>
      <c r="D121" s="2" t="inlineStr">
        <is>
          <t>a1-적</t>
        </is>
      </c>
      <c r="E121" s="2" t="inlineStr">
        <is>
          <t>2.0mm</t>
        </is>
      </c>
      <c r="F121" s="2" t="n">
        <v>2</v>
      </c>
      <c r="G121" s="2" t="n">
        <v>20</v>
      </c>
      <c r="H121" s="2" t="inlineStr">
        <is>
          <t>LC/PC</t>
        </is>
      </c>
      <c r="I121" s="2" t="inlineStr">
        <is>
          <t>LC/PC</t>
        </is>
      </c>
      <c r="J121" s="2" t="n"/>
      <c r="K121" s="2" t="n">
        <v>5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>
        <f>SUM(J121:U121)</f>
        <v/>
      </c>
      <c r="W121" s="2" t="n">
        <v>10</v>
      </c>
      <c r="X121" s="2" t="n">
        <v>10</v>
      </c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>
        <f>IF(F121=1,V121*2,IF(F121=2,V121*F121*2,IF(F121&gt;2,F121*2*V121)))</f>
        <v/>
      </c>
      <c r="AW121" s="2">
        <f>SUM(W121:AU121)</f>
        <v/>
      </c>
    </row>
    <row r="122">
      <c r="A122" s="2" t="inlineStr">
        <is>
          <t>14-D-237</t>
        </is>
      </c>
      <c r="B122" s="3" t="inlineStr">
        <is>
          <t>DOJC-SM-LC/PC-LC/PC</t>
        </is>
      </c>
      <c r="C122" s="2" t="inlineStr">
        <is>
          <t>25M</t>
        </is>
      </c>
      <c r="D122" s="2" t="inlineStr">
        <is>
          <t>a1</t>
        </is>
      </c>
      <c r="E122" s="2" t="inlineStr">
        <is>
          <t>2.0mm</t>
        </is>
      </c>
      <c r="F122" s="2" t="n">
        <v>2</v>
      </c>
      <c r="G122" s="2" t="n">
        <v>25</v>
      </c>
      <c r="H122" s="2" t="inlineStr">
        <is>
          <t>LC/PC</t>
        </is>
      </c>
      <c r="I122" s="2" t="inlineStr">
        <is>
          <t>LC/PC</t>
        </is>
      </c>
      <c r="J122" s="2" t="n">
        <v>50</v>
      </c>
      <c r="K122" s="2" t="n"/>
      <c r="L122" s="2" t="n"/>
      <c r="M122" s="2" t="n">
        <v>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>
        <f>SUM(J122:U122)</f>
        <v/>
      </c>
      <c r="W122" s="2" t="n">
        <v>200</v>
      </c>
      <c r="X122" s="2" t="n">
        <v>200</v>
      </c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>
        <f>IF(F122=1,V122*2,IF(F122=2,V122*F122*2,IF(F122&gt;2,F122*2*V122)))</f>
        <v/>
      </c>
      <c r="AW122" s="2">
        <f>SUM(W122:AU122)</f>
        <v/>
      </c>
    </row>
    <row r="123">
      <c r="A123" s="2" t="inlineStr">
        <is>
          <t>14-D-240</t>
        </is>
      </c>
      <c r="B123" s="3" t="inlineStr">
        <is>
          <t>DOJC-SM-LC/PC-LC/PC</t>
        </is>
      </c>
      <c r="C123" s="2" t="inlineStr">
        <is>
          <t>2M</t>
        </is>
      </c>
      <c r="D123" s="2" t="inlineStr">
        <is>
          <t>a1</t>
        </is>
      </c>
      <c r="E123" s="2" t="inlineStr">
        <is>
          <t>2.0mm</t>
        </is>
      </c>
      <c r="F123" s="2" t="n">
        <v>2</v>
      </c>
      <c r="G123" s="2" t="n">
        <v>2</v>
      </c>
      <c r="H123" s="2" t="inlineStr">
        <is>
          <t>LC/PC</t>
        </is>
      </c>
      <c r="I123" s="2" t="inlineStr">
        <is>
          <t>LC/PC</t>
        </is>
      </c>
      <c r="J123" s="2" t="n"/>
      <c r="K123" s="2" t="n"/>
      <c r="L123" s="2" t="n"/>
      <c r="M123" s="2" t="n">
        <v>30</v>
      </c>
      <c r="N123" s="2" t="n"/>
      <c r="O123" s="2" t="n"/>
      <c r="P123" s="2" t="n"/>
      <c r="Q123" s="2" t="n"/>
      <c r="R123" s="2" t="n"/>
      <c r="S123" s="2" t="n"/>
      <c r="T123" s="2" t="n">
        <v>10</v>
      </c>
      <c r="U123" s="2" t="n"/>
      <c r="V123" s="2">
        <f>SUM(J123:U123)</f>
        <v/>
      </c>
      <c r="W123" s="2" t="n">
        <v>80</v>
      </c>
      <c r="X123" s="2" t="n">
        <v>80</v>
      </c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>
        <f>IF(F123=1,V123*2,IF(F123=2,V123*F123*2,IF(F123&gt;2,F123*2*V123)))</f>
        <v/>
      </c>
      <c r="AW123" s="2">
        <f>SUM(W123:AU123)</f>
        <v/>
      </c>
    </row>
    <row r="124">
      <c r="A124" s="2" t="inlineStr">
        <is>
          <t>14-D-241</t>
        </is>
      </c>
      <c r="B124" s="3" t="inlineStr">
        <is>
          <t>DOJC-SM-LC/PC-LC/PC</t>
        </is>
      </c>
      <c r="C124" s="2" t="inlineStr">
        <is>
          <t>30M</t>
        </is>
      </c>
      <c r="D124" s="2" t="inlineStr">
        <is>
          <t>a1</t>
        </is>
      </c>
      <c r="E124" s="2" t="inlineStr">
        <is>
          <t>2.0mm</t>
        </is>
      </c>
      <c r="F124" s="2" t="n">
        <v>2</v>
      </c>
      <c r="G124" s="2" t="n">
        <v>30</v>
      </c>
      <c r="H124" s="2" t="inlineStr">
        <is>
          <t>LC/PC</t>
        </is>
      </c>
      <c r="I124" s="2" t="inlineStr">
        <is>
          <t>LC/PC</t>
        </is>
      </c>
      <c r="J124" s="2" t="n">
        <v>70</v>
      </c>
      <c r="K124" s="2" t="n"/>
      <c r="L124" s="2" t="n"/>
      <c r="M124" s="2" t="n">
        <v>20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>
        <f>SUM(J124:U124)</f>
        <v/>
      </c>
      <c r="W124" s="2" t="n">
        <v>180</v>
      </c>
      <c r="X124" s="2" t="n">
        <v>180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>
        <f>IF(F124=1,V124*2,IF(F124=2,V124*F124*2,IF(F124&gt;2,F124*2*V124)))</f>
        <v/>
      </c>
      <c r="AW124" s="2">
        <f>SUM(W124:AU124)</f>
        <v/>
      </c>
    </row>
    <row r="125">
      <c r="A125" s="2" t="inlineStr">
        <is>
          <t>14-D-243</t>
        </is>
      </c>
      <c r="B125" s="3" t="inlineStr">
        <is>
          <t>DOJC-SM-LC/PC-LC/PC</t>
        </is>
      </c>
      <c r="C125" s="2" t="inlineStr">
        <is>
          <t>35M</t>
        </is>
      </c>
      <c r="D125" s="2" t="inlineStr">
        <is>
          <t>a1</t>
        </is>
      </c>
      <c r="E125" s="2" t="inlineStr">
        <is>
          <t>2.0mm</t>
        </is>
      </c>
      <c r="F125" s="2" t="n">
        <v>2</v>
      </c>
      <c r="G125" s="2" t="n">
        <v>35</v>
      </c>
      <c r="H125" s="2" t="inlineStr">
        <is>
          <t>LC/PC</t>
        </is>
      </c>
      <c r="I125" s="2" t="inlineStr">
        <is>
          <t>LC/PC</t>
        </is>
      </c>
      <c r="J125" s="2" t="n">
        <v>50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>
        <f>SUM(J125:U125)</f>
        <v/>
      </c>
      <c r="W125" s="2" t="n">
        <v>100</v>
      </c>
      <c r="X125" s="2" t="n">
        <v>100</v>
      </c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>
        <f>IF(F125=1,V125*2,IF(F125=2,V125*F125*2,IF(F125&gt;2,F125*2*V125)))</f>
        <v/>
      </c>
      <c r="AW125" s="2">
        <f>SUM(W125:AU125)</f>
        <v/>
      </c>
    </row>
    <row r="126">
      <c r="A126" s="2" t="inlineStr">
        <is>
          <t>14-D-244</t>
        </is>
      </c>
      <c r="B126" s="3" t="inlineStr">
        <is>
          <t>DOJC-SM-LC/PC-LC/PC</t>
        </is>
      </c>
      <c r="C126" s="2" t="inlineStr">
        <is>
          <t>3M</t>
        </is>
      </c>
      <c r="D126" s="2" t="inlineStr">
        <is>
          <t>a1</t>
        </is>
      </c>
      <c r="E126" s="2" t="inlineStr">
        <is>
          <t>2.0mm</t>
        </is>
      </c>
      <c r="F126" s="2" t="n">
        <v>2</v>
      </c>
      <c r="G126" s="2" t="n">
        <v>3</v>
      </c>
      <c r="H126" s="2" t="inlineStr">
        <is>
          <t>LC/PC</t>
        </is>
      </c>
      <c r="I126" s="2" t="inlineStr">
        <is>
          <t>LC/PC</t>
        </is>
      </c>
      <c r="J126" s="2" t="n">
        <v>10</v>
      </c>
      <c r="K126" s="2" t="n"/>
      <c r="L126" s="2" t="n">
        <v>100</v>
      </c>
      <c r="M126" s="2" t="n">
        <v>75</v>
      </c>
      <c r="N126" s="2" t="n">
        <v>100</v>
      </c>
      <c r="O126" s="2" t="n">
        <v>120</v>
      </c>
      <c r="P126" s="2" t="n">
        <v>30</v>
      </c>
      <c r="Q126" s="2" t="n"/>
      <c r="R126" s="2" t="n"/>
      <c r="S126" s="2" t="n">
        <v>80</v>
      </c>
      <c r="T126" s="2" t="n"/>
      <c r="U126" s="2" t="n"/>
      <c r="V126" s="2">
        <f>SUM(J126:U126)</f>
        <v/>
      </c>
      <c r="W126" s="2" t="n">
        <v>1030</v>
      </c>
      <c r="X126" s="2" t="n">
        <v>1030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>
        <f>IF(F126=1,V126*2,IF(F126=2,V126*F126*2,IF(F126&gt;2,F126*2*V126)))</f>
        <v/>
      </c>
      <c r="AW126" s="2">
        <f>SUM(W126:AU126)</f>
        <v/>
      </c>
    </row>
    <row r="127">
      <c r="A127" s="2" t="inlineStr">
        <is>
          <t>14-D-246</t>
        </is>
      </c>
      <c r="B127" s="3" t="inlineStr">
        <is>
          <t>DOJC-SM-LC/PC-LC/PC</t>
        </is>
      </c>
      <c r="C127" s="2" t="inlineStr">
        <is>
          <t>40M</t>
        </is>
      </c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40</v>
      </c>
      <c r="H127" s="2" t="inlineStr">
        <is>
          <t>LC/PC</t>
        </is>
      </c>
      <c r="I127" s="2" t="inlineStr">
        <is>
          <t>LC/PC</t>
        </is>
      </c>
      <c r="J127" s="2" t="n"/>
      <c r="K127" s="2" t="n"/>
      <c r="L127" s="2" t="n"/>
      <c r="M127" s="2" t="n">
        <v>10</v>
      </c>
      <c r="N127" s="2" t="n"/>
      <c r="O127" s="2" t="n">
        <v>10</v>
      </c>
      <c r="P127" s="2" t="n"/>
      <c r="Q127" s="2" t="n"/>
      <c r="R127" s="2" t="n"/>
      <c r="S127" s="2" t="n"/>
      <c r="T127" s="2" t="n"/>
      <c r="U127" s="2" t="n"/>
      <c r="V127" s="2">
        <f>SUM(J127:U127)</f>
        <v/>
      </c>
      <c r="W127" s="2" t="n">
        <v>40</v>
      </c>
      <c r="X127" s="2" t="n">
        <v>40</v>
      </c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>
        <f>IF(F127=1,V127*2,IF(F127=2,V127*F127*2,IF(F127&gt;2,F127*2*V127)))</f>
        <v/>
      </c>
      <c r="AW127" s="2">
        <f>SUM(W127:AU127)</f>
        <v/>
      </c>
    </row>
    <row r="128">
      <c r="A128" s="2" t="inlineStr">
        <is>
          <t>14-D-247</t>
        </is>
      </c>
      <c r="B128" s="3" t="inlineStr">
        <is>
          <t>DOJC-SM-LC/PC-LC/PC</t>
        </is>
      </c>
      <c r="C128" s="2" t="inlineStr">
        <is>
          <t>45M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45</v>
      </c>
      <c r="H128" s="2" t="inlineStr">
        <is>
          <t>LC/PC</t>
        </is>
      </c>
      <c r="I128" s="2" t="inlineStr">
        <is>
          <t>LC/PC</t>
        </is>
      </c>
      <c r="J128" s="2" t="n"/>
      <c r="K128" s="2" t="n"/>
      <c r="L128" s="2" t="n"/>
      <c r="M128" s="2" t="n">
        <v>10</v>
      </c>
      <c r="N128" s="2" t="n"/>
      <c r="O128" s="2" t="n">
        <v>10</v>
      </c>
      <c r="P128" s="2" t="n"/>
      <c r="Q128" s="2" t="n"/>
      <c r="R128" s="2" t="n"/>
      <c r="S128" s="2" t="n"/>
      <c r="T128" s="2" t="n"/>
      <c r="U128" s="2" t="n"/>
      <c r="V128" s="2">
        <f>SUM(J128:U128)</f>
        <v/>
      </c>
      <c r="W128" s="2" t="n">
        <v>40</v>
      </c>
      <c r="X128" s="2" t="n">
        <v>40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>
        <f>IF(F128=1,V128*2,IF(F128=2,V128*F128*2,IF(F128&gt;2,F128*2*V128)))</f>
        <v/>
      </c>
      <c r="AW128" s="2">
        <f>SUM(W128:AU128)</f>
        <v/>
      </c>
    </row>
    <row r="129">
      <c r="A129" s="2" t="inlineStr">
        <is>
          <t>14-D-249</t>
        </is>
      </c>
      <c r="B129" s="3" t="inlineStr">
        <is>
          <t>DOJC-SM-LC/PC-LC/PC</t>
        </is>
      </c>
      <c r="C129" s="2" t="inlineStr">
        <is>
          <t>50M</t>
        </is>
      </c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>
        <v>50</v>
      </c>
      <c r="H129" s="2" t="inlineStr">
        <is>
          <t>LC/PC</t>
        </is>
      </c>
      <c r="I129" s="2" t="inlineStr">
        <is>
          <t>LC/PC</t>
        </is>
      </c>
      <c r="J129" s="2" t="n"/>
      <c r="K129" s="2" t="n"/>
      <c r="L129" s="2" t="n"/>
      <c r="M129" s="2" t="n">
        <v>10</v>
      </c>
      <c r="N129" s="2" t="n"/>
      <c r="O129" s="2" t="n">
        <v>6</v>
      </c>
      <c r="P129" s="2" t="n"/>
      <c r="Q129" s="2" t="n"/>
      <c r="R129" s="2" t="n"/>
      <c r="S129" s="2" t="n"/>
      <c r="T129" s="2" t="n"/>
      <c r="U129" s="2" t="n"/>
      <c r="V129" s="2">
        <f>SUM(J129:U129)</f>
        <v/>
      </c>
      <c r="W129" s="2" t="n">
        <v>32</v>
      </c>
      <c r="X129" s="2" t="n">
        <v>32</v>
      </c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>
        <f>IF(F129=1,V129*2,IF(F129=2,V129*F129*2,IF(F129&gt;2,F129*2*V129)))</f>
        <v/>
      </c>
      <c r="AW129" s="2">
        <f>SUM(W129:AU129)</f>
        <v/>
      </c>
    </row>
    <row r="130">
      <c r="A130" s="2" t="inlineStr">
        <is>
          <t>14-D-252</t>
        </is>
      </c>
      <c r="B130" s="3" t="inlineStr">
        <is>
          <t>DOJC-SM-LC/PC-LC/PC</t>
        </is>
      </c>
      <c r="C130" s="2" t="inlineStr">
        <is>
          <t>55M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55</v>
      </c>
      <c r="H130" s="2" t="inlineStr">
        <is>
          <t>LC/PC</t>
        </is>
      </c>
      <c r="I130" s="2" t="inlineStr">
        <is>
          <t>LC/PC</t>
        </is>
      </c>
      <c r="J130" s="2" t="n"/>
      <c r="K130" s="2" t="n"/>
      <c r="L130" s="2" t="n"/>
      <c r="M130" s="2" t="n">
        <v>20</v>
      </c>
      <c r="N130" s="2" t="n"/>
      <c r="O130" s="2" t="n">
        <v>10</v>
      </c>
      <c r="P130" s="2" t="n"/>
      <c r="Q130" s="2" t="n"/>
      <c r="R130" s="2" t="n"/>
      <c r="S130" s="2" t="n"/>
      <c r="T130" s="2" t="n"/>
      <c r="U130" s="2" t="n"/>
      <c r="V130" s="2">
        <f>SUM(J130:U130)</f>
        <v/>
      </c>
      <c r="W130" s="2" t="n">
        <v>60</v>
      </c>
      <c r="X130" s="2" t="n">
        <v>60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>
        <f>IF(F130=1,V130*2,IF(F130=2,V130*F130*2,IF(F130&gt;2,F130*2*V130)))</f>
        <v/>
      </c>
      <c r="AW130" s="2">
        <f>SUM(W130:AU130)</f>
        <v/>
      </c>
    </row>
    <row r="131">
      <c r="A131" s="2" t="inlineStr">
        <is>
          <t>14-D-253</t>
        </is>
      </c>
      <c r="B131" s="3" t="inlineStr">
        <is>
          <t>DOJC-SM-LC/PC-LC/PC</t>
        </is>
      </c>
      <c r="C131" s="2" t="inlineStr">
        <is>
          <t>5M</t>
        </is>
      </c>
      <c r="D131" s="2" t="inlineStr">
        <is>
          <t>a1</t>
        </is>
      </c>
      <c r="E131" s="2" t="inlineStr">
        <is>
          <t>2.0mm</t>
        </is>
      </c>
      <c r="F131" s="2" t="n">
        <v>2</v>
      </c>
      <c r="G131" s="2" t="n">
        <v>5</v>
      </c>
      <c r="H131" s="2" t="inlineStr">
        <is>
          <t>LC/PC</t>
        </is>
      </c>
      <c r="I131" s="2" t="inlineStr">
        <is>
          <t>LC/PC</t>
        </is>
      </c>
      <c r="J131" s="2" t="n"/>
      <c r="K131" s="2" t="n"/>
      <c r="L131" s="2" t="n">
        <v>80</v>
      </c>
      <c r="M131" s="2" t="n">
        <v>50</v>
      </c>
      <c r="N131" s="2" t="n"/>
      <c r="O131" s="2" t="n">
        <v>40</v>
      </c>
      <c r="P131" s="2" t="n">
        <v>10</v>
      </c>
      <c r="Q131" s="2" t="n">
        <v>50</v>
      </c>
      <c r="R131" s="2" t="n"/>
      <c r="S131" s="2" t="n"/>
      <c r="T131" s="2" t="n"/>
      <c r="U131" s="2" t="n"/>
      <c r="V131" s="2">
        <f>SUM(J131:U131)</f>
        <v/>
      </c>
      <c r="W131" s="2" t="n">
        <v>460</v>
      </c>
      <c r="X131" s="2" t="n">
        <v>460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>
        <f>IF(F131=1,V131*2,IF(F131=2,V131*F131*2,IF(F131&gt;2,F131*2*V131)))</f>
        <v/>
      </c>
      <c r="AW131" s="2">
        <f>SUM(W131:AU131)</f>
        <v/>
      </c>
    </row>
    <row r="132">
      <c r="A132" s="2" t="inlineStr">
        <is>
          <t>14-D-254</t>
        </is>
      </c>
      <c r="B132" s="3" t="inlineStr">
        <is>
          <t>DOJC-SM-LC/PC-LC/PC</t>
        </is>
      </c>
      <c r="C132" s="2" t="inlineStr">
        <is>
          <t>60M</t>
        </is>
      </c>
      <c r="D132" s="2" t="inlineStr">
        <is>
          <t>a1</t>
        </is>
      </c>
      <c r="E132" s="2" t="inlineStr">
        <is>
          <t>2.0mm</t>
        </is>
      </c>
      <c r="F132" s="2" t="n">
        <v>2</v>
      </c>
      <c r="G132" s="2" t="n">
        <v>60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>
        <v>27</v>
      </c>
      <c r="U132" s="2" t="n"/>
      <c r="V132" s="2">
        <f>SUM(J132:U132)</f>
        <v/>
      </c>
      <c r="W132" s="2" t="n">
        <v>54</v>
      </c>
      <c r="X132" s="2" t="n">
        <v>54</v>
      </c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>
        <f>IF(F132=1,V132*2,IF(F132=2,V132*F132*2,IF(F132&gt;2,F132*2*V132)))</f>
        <v/>
      </c>
      <c r="AW132" s="2">
        <f>SUM(W132:AU132)</f>
        <v/>
      </c>
    </row>
    <row r="133">
      <c r="A133" s="2" t="inlineStr">
        <is>
          <t>14-D-256</t>
        </is>
      </c>
      <c r="B133" s="3" t="inlineStr">
        <is>
          <t>DOJC-SM-LC/PC-LC/PC</t>
        </is>
      </c>
      <c r="C133" s="2" t="inlineStr">
        <is>
          <t>6M</t>
        </is>
      </c>
      <c r="D133" s="2" t="inlineStr">
        <is>
          <t>a1</t>
        </is>
      </c>
      <c r="E133" s="2" t="inlineStr">
        <is>
          <t>2.0mm</t>
        </is>
      </c>
      <c r="F133" s="2" t="n">
        <v>2</v>
      </c>
      <c r="G133" s="2" t="n">
        <v>6</v>
      </c>
      <c r="H133" s="2" t="inlineStr">
        <is>
          <t>LC/PC</t>
        </is>
      </c>
      <c r="I133" s="2" t="inlineStr">
        <is>
          <t>LC/PC</t>
        </is>
      </c>
      <c r="J133" s="2" t="n">
        <v>100</v>
      </c>
      <c r="K133" s="2" t="n">
        <v>150</v>
      </c>
      <c r="L133" s="2" t="n"/>
      <c r="M133" s="2" t="n">
        <v>100</v>
      </c>
      <c r="N133" s="2" t="n"/>
      <c r="O133" s="2" t="n">
        <v>50</v>
      </c>
      <c r="P133" s="2" t="n">
        <v>150</v>
      </c>
      <c r="Q133" s="2" t="n"/>
      <c r="R133" s="2" t="n"/>
      <c r="S133" s="2" t="n">
        <v>150</v>
      </c>
      <c r="T133" s="2" t="n"/>
      <c r="U133" s="2" t="n">
        <v>250</v>
      </c>
      <c r="V133" s="2">
        <f>SUM(J133:U133)</f>
        <v/>
      </c>
      <c r="W133" s="2" t="n">
        <v>1900</v>
      </c>
      <c r="X133" s="2" t="n">
        <v>1900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>
        <f>IF(F133=1,V133*2,IF(F133=2,V133*F133*2,IF(F133&gt;2,F133*2*V133)))</f>
        <v/>
      </c>
      <c r="AW133" s="2">
        <f>SUM(W133:AU133)</f>
        <v/>
      </c>
    </row>
    <row r="134">
      <c r="A134" s="2" t="inlineStr">
        <is>
          <t>14-D-271</t>
        </is>
      </c>
      <c r="B134" s="3" t="inlineStr">
        <is>
          <t>DOJC-SM-LC/PC-SC/APC</t>
        </is>
      </c>
      <c r="C134" s="2" t="inlineStr">
        <is>
          <t>2M</t>
        </is>
      </c>
      <c r="D134" s="2" t="inlineStr">
        <is>
          <t>a1</t>
        </is>
      </c>
      <c r="E134" s="2" t="inlineStr">
        <is>
          <t>2.0mm</t>
        </is>
      </c>
      <c r="F134" s="2" t="n">
        <v>2</v>
      </c>
      <c r="G134" s="2" t="n">
        <v>2</v>
      </c>
      <c r="H134" s="2" t="inlineStr">
        <is>
          <t>LC/PC</t>
        </is>
      </c>
      <c r="I134" s="2" t="inlineStr">
        <is>
          <t>SC/APC</t>
        </is>
      </c>
      <c r="J134" s="2" t="n"/>
      <c r="K134" s="2" t="n">
        <v>10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</f>
        <v/>
      </c>
      <c r="W134" s="2" t="n">
        <v>20</v>
      </c>
      <c r="X134" s="2" t="n"/>
      <c r="Y134" s="2" t="n"/>
      <c r="Z134" s="2" t="n"/>
      <c r="AA134" s="2" t="n"/>
      <c r="AB134" s="2" t="n"/>
      <c r="AC134" s="2" t="n"/>
      <c r="AD134" s="2" t="n">
        <v>20</v>
      </c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>
        <f>IF(F134=1,V134*2,IF(F134=2,V134*F134*2,IF(F134&gt;2,F134*2*V134)))</f>
        <v/>
      </c>
      <c r="AW134" s="2">
        <f>SUM(W134:AU134)</f>
        <v/>
      </c>
    </row>
    <row r="135">
      <c r="A135" s="2" t="inlineStr">
        <is>
          <t>14-D-272</t>
        </is>
      </c>
      <c r="B135" s="3" t="inlineStr">
        <is>
          <t>DOJC-SM-LC/PC-SC/APC</t>
        </is>
      </c>
      <c r="C135" s="2" t="inlineStr">
        <is>
          <t>30M</t>
        </is>
      </c>
      <c r="D135" s="2" t="inlineStr">
        <is>
          <t>a1</t>
        </is>
      </c>
      <c r="E135" s="2" t="inlineStr">
        <is>
          <t>2.0mm</t>
        </is>
      </c>
      <c r="F135" s="2" t="n">
        <v>2</v>
      </c>
      <c r="G135" s="2" t="n">
        <v>30</v>
      </c>
      <c r="H135" s="2" t="inlineStr">
        <is>
          <t>LC/PC</t>
        </is>
      </c>
      <c r="I135" s="2" t="inlineStr">
        <is>
          <t>SC/APC</t>
        </is>
      </c>
      <c r="J135" s="2" t="n"/>
      <c r="K135" s="2" t="n"/>
      <c r="L135" s="2" t="n"/>
      <c r="M135" s="2" t="n"/>
      <c r="N135" s="2" t="n"/>
      <c r="O135" s="2" t="n">
        <v>10</v>
      </c>
      <c r="P135" s="2" t="n"/>
      <c r="Q135" s="2" t="n"/>
      <c r="R135" s="2" t="n"/>
      <c r="S135" s="2" t="n"/>
      <c r="T135" s="2" t="n"/>
      <c r="U135" s="2" t="n"/>
      <c r="V135" s="2">
        <f>SUM(J135:U135)</f>
        <v/>
      </c>
      <c r="W135" s="2" t="n">
        <v>20</v>
      </c>
      <c r="X135" s="2" t="n"/>
      <c r="Y135" s="2" t="n"/>
      <c r="Z135" s="2" t="n"/>
      <c r="AA135" s="2" t="n"/>
      <c r="AB135" s="2" t="n"/>
      <c r="AC135" s="2" t="n"/>
      <c r="AD135" s="2" t="n">
        <v>20</v>
      </c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>
        <f>IF(F135=1,V135*2,IF(F135=2,V135*F135*2,IF(F135&gt;2,F135*2*V135)))</f>
        <v/>
      </c>
      <c r="AW135" s="2">
        <f>SUM(W135:AU135)</f>
        <v/>
      </c>
    </row>
    <row r="136">
      <c r="A136" s="2" t="inlineStr">
        <is>
          <t>14-D-274</t>
        </is>
      </c>
      <c r="B136" s="3" t="inlineStr">
        <is>
          <t>DOJC-SM-LC/PC-SC/APC</t>
        </is>
      </c>
      <c r="C136" s="2" t="inlineStr">
        <is>
          <t>3M</t>
        </is>
      </c>
      <c r="D136" s="2" t="inlineStr">
        <is>
          <t>a1</t>
        </is>
      </c>
      <c r="E136" s="2" t="inlineStr">
        <is>
          <t>2.0mm</t>
        </is>
      </c>
      <c r="F136" s="2" t="n">
        <v>2</v>
      </c>
      <c r="G136" s="2" t="n">
        <v>3</v>
      </c>
      <c r="H136" s="2" t="inlineStr">
        <is>
          <t>LC/PC</t>
        </is>
      </c>
      <c r="I136" s="2" t="inlineStr">
        <is>
          <t>SC/APC</t>
        </is>
      </c>
      <c r="J136" s="2" t="n"/>
      <c r="K136" s="2" t="n"/>
      <c r="L136" s="2" t="n">
        <v>100</v>
      </c>
      <c r="M136" s="2" t="n"/>
      <c r="N136" s="2" t="n"/>
      <c r="O136" s="2" t="n"/>
      <c r="P136" s="2" t="n">
        <v>30</v>
      </c>
      <c r="Q136" s="2" t="n">
        <v>30</v>
      </c>
      <c r="R136" s="2" t="n"/>
      <c r="S136" s="2" t="n"/>
      <c r="T136" s="2" t="n">
        <v>30</v>
      </c>
      <c r="U136" s="2" t="n"/>
      <c r="V136" s="2">
        <f>SUM(J136:U136)</f>
        <v/>
      </c>
      <c r="W136" s="2" t="n">
        <v>380</v>
      </c>
      <c r="X136" s="2" t="n"/>
      <c r="Y136" s="2" t="n"/>
      <c r="Z136" s="2" t="n"/>
      <c r="AA136" s="2" t="n"/>
      <c r="AB136" s="2" t="n"/>
      <c r="AC136" s="2" t="n"/>
      <c r="AD136" s="2" t="n">
        <v>380</v>
      </c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>
        <f>IF(F136=1,V136*2,IF(F136=2,V136*F136*2,IF(F136&gt;2,F136*2*V136)))</f>
        <v/>
      </c>
      <c r="AW136" s="2">
        <f>SUM(W136:AU136)</f>
        <v/>
      </c>
    </row>
    <row r="137">
      <c r="A137" s="2" t="inlineStr">
        <is>
          <t>14-D-275</t>
        </is>
      </c>
      <c r="B137" s="3" t="inlineStr">
        <is>
          <t>DOJC-SM-LC/PC-SC/APC</t>
        </is>
      </c>
      <c r="C137" s="2" t="inlineStr">
        <is>
          <t>40M</t>
        </is>
      </c>
      <c r="D137" s="2" t="inlineStr">
        <is>
          <t>a1</t>
        </is>
      </c>
      <c r="E137" s="2" t="inlineStr">
        <is>
          <t>2.0mm</t>
        </is>
      </c>
      <c r="F137" s="2" t="n">
        <v>2</v>
      </c>
      <c r="G137" s="2" t="n">
        <v>40</v>
      </c>
      <c r="H137" s="2" t="inlineStr">
        <is>
          <t>LC/PC</t>
        </is>
      </c>
      <c r="I137" s="2" t="inlineStr">
        <is>
          <t>SC/APC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n">
        <v>2</v>
      </c>
      <c r="R137" s="2" t="n"/>
      <c r="S137" s="2" t="n"/>
      <c r="T137" s="2" t="n"/>
      <c r="U137" s="2" t="n"/>
      <c r="V137" s="2">
        <f>SUM(J137:U137)</f>
        <v/>
      </c>
      <c r="W137" s="2" t="n">
        <v>4</v>
      </c>
      <c r="X137" s="2" t="n"/>
      <c r="Y137" s="2" t="n"/>
      <c r="Z137" s="2" t="n"/>
      <c r="AA137" s="2" t="n"/>
      <c r="AB137" s="2" t="n"/>
      <c r="AC137" s="2" t="n"/>
      <c r="AD137" s="2" t="n">
        <v>4</v>
      </c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>
        <f>IF(F137=1,V137*2,IF(F137=2,V137*F137*2,IF(F137&gt;2,F137*2*V137)))</f>
        <v/>
      </c>
      <c r="AW137" s="2">
        <f>SUM(W137:AU137)</f>
        <v/>
      </c>
    </row>
    <row r="138">
      <c r="A138" s="2" t="inlineStr">
        <is>
          <t>14-D-294</t>
        </is>
      </c>
      <c r="B138" s="3" t="inlineStr">
        <is>
          <t>DOJC-SM-LC/PC-SC/PC</t>
        </is>
      </c>
      <c r="C138" s="2" t="inlineStr">
        <is>
          <t>1M</t>
        </is>
      </c>
      <c r="D138" s="2" t="inlineStr">
        <is>
          <t>a1</t>
        </is>
      </c>
      <c r="E138" s="2" t="inlineStr">
        <is>
          <t>2.0mm</t>
        </is>
      </c>
      <c r="F138" s="2" t="n">
        <v>2</v>
      </c>
      <c r="G138" s="2" t="n">
        <v>1</v>
      </c>
      <c r="H138" s="2" t="inlineStr">
        <is>
          <t>LC/PC</t>
        </is>
      </c>
      <c r="I138" s="2" t="inlineStr">
        <is>
          <t>SC/PC</t>
        </is>
      </c>
      <c r="J138" s="2" t="n"/>
      <c r="K138" s="2" t="n"/>
      <c r="L138" s="2" t="n"/>
      <c r="M138" s="2" t="n"/>
      <c r="N138" s="2" t="n">
        <v>20</v>
      </c>
      <c r="O138" s="2" t="n"/>
      <c r="P138" s="2" t="n"/>
      <c r="Q138" s="2" t="n"/>
      <c r="R138" s="2" t="n"/>
      <c r="S138" s="2" t="n"/>
      <c r="T138" s="2" t="n"/>
      <c r="U138" s="2" t="n"/>
      <c r="V138" s="2">
        <f>SUM(J138:U138)</f>
        <v/>
      </c>
      <c r="W138" s="2" t="n">
        <v>40</v>
      </c>
      <c r="X138" s="2" t="n"/>
      <c r="Y138" s="2" t="n"/>
      <c r="Z138" s="2" t="n"/>
      <c r="AA138" s="2" t="n"/>
      <c r="AB138" s="2" t="n">
        <v>40</v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>
        <f>IF(F138=1,V138*2,IF(F138=2,V138*F138*2,IF(F138&gt;2,F138*2*V138)))</f>
        <v/>
      </c>
      <c r="AW138" s="2">
        <f>SUM(W138:AU138)</f>
        <v/>
      </c>
    </row>
    <row r="139">
      <c r="A139" s="2" t="inlineStr">
        <is>
          <t>14-D-295</t>
        </is>
      </c>
      <c r="B139" s="3" t="inlineStr">
        <is>
          <t>DOJC-SM-LC/PC-SC/PC</t>
        </is>
      </c>
      <c r="C139" s="2" t="inlineStr">
        <is>
          <t>20M</t>
        </is>
      </c>
      <c r="D139" s="2" t="inlineStr">
        <is>
          <t>a1</t>
        </is>
      </c>
      <c r="E139" s="2" t="inlineStr">
        <is>
          <t>2.0mm</t>
        </is>
      </c>
      <c r="F139" s="2" t="n">
        <v>2</v>
      </c>
      <c r="G139" s="2" t="n">
        <v>20</v>
      </c>
      <c r="H139" s="2" t="inlineStr">
        <is>
          <t>LC/PC</t>
        </is>
      </c>
      <c r="I139" s="2" t="inlineStr">
        <is>
          <t>SC/PC</t>
        </is>
      </c>
      <c r="J139" s="2" t="n"/>
      <c r="K139" s="2" t="n"/>
      <c r="L139" s="2" t="n"/>
      <c r="M139" s="2" t="n"/>
      <c r="N139" s="2" t="n"/>
      <c r="O139" s="2" t="n"/>
      <c r="P139" s="2" t="n">
        <v>10</v>
      </c>
      <c r="Q139" s="2" t="n"/>
      <c r="R139" s="2" t="n"/>
      <c r="S139" s="2" t="n"/>
      <c r="T139" s="2" t="n"/>
      <c r="U139" s="2" t="n"/>
      <c r="V139" s="2">
        <f>SUM(J139:U139)</f>
        <v/>
      </c>
      <c r="W139" s="2" t="n">
        <v>20</v>
      </c>
      <c r="X139" s="2" t="n"/>
      <c r="Y139" s="2" t="n"/>
      <c r="Z139" s="2" t="n"/>
      <c r="AA139" s="2" t="n"/>
      <c r="AB139" s="2" t="n">
        <v>20</v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>
        <f>IF(F139=1,V139*2,IF(F139=2,V139*F139*2,IF(F139&gt;2,F139*2*V139)))</f>
        <v/>
      </c>
      <c r="AW139" s="2">
        <f>SUM(W139:AU139)</f>
        <v/>
      </c>
    </row>
    <row r="140">
      <c r="A140" s="2" t="inlineStr">
        <is>
          <t>14-D-303</t>
        </is>
      </c>
      <c r="B140" s="3" t="inlineStr">
        <is>
          <t>DOJC-SM-LC/PC-SC/PC</t>
        </is>
      </c>
      <c r="C140" s="2" t="inlineStr">
        <is>
          <t>2M</t>
        </is>
      </c>
      <c r="D140" s="2" t="inlineStr">
        <is>
          <t>a1</t>
        </is>
      </c>
      <c r="E140" s="2" t="inlineStr">
        <is>
          <t>2.0mm</t>
        </is>
      </c>
      <c r="F140" s="2" t="n">
        <v>2</v>
      </c>
      <c r="G140" s="2" t="n">
        <v>2</v>
      </c>
      <c r="H140" s="2" t="inlineStr">
        <is>
          <t>LC/PC</t>
        </is>
      </c>
      <c r="I140" s="2" t="inlineStr">
        <is>
          <t>SC/PC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>
        <v>26</v>
      </c>
      <c r="V140" s="2">
        <f>SUM(J140:U140)</f>
        <v/>
      </c>
      <c r="W140" s="2" t="n">
        <v>52</v>
      </c>
      <c r="X140" s="2" t="n"/>
      <c r="Y140" s="2" t="n"/>
      <c r="Z140" s="2" t="n"/>
      <c r="AA140" s="2" t="n"/>
      <c r="AB140" s="2" t="n">
        <v>52</v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>
        <f>IF(F140=1,V140*2,IF(F140=2,V140*F140*2,IF(F140&gt;2,F140*2*V140)))</f>
        <v/>
      </c>
      <c r="AW140" s="2">
        <f>SUM(W140:AU140)</f>
        <v/>
      </c>
    </row>
    <row r="141">
      <c r="A141" s="2" t="inlineStr">
        <is>
          <t>14-D-304</t>
        </is>
      </c>
      <c r="B141" s="3" t="inlineStr">
        <is>
          <t>DOJC-SM-LC/PC-SC/PC</t>
        </is>
      </c>
      <c r="C141" s="2" t="inlineStr">
        <is>
          <t>30M</t>
        </is>
      </c>
      <c r="D141" s="2" t="inlineStr">
        <is>
          <t>a1</t>
        </is>
      </c>
      <c r="E141" s="2" t="inlineStr">
        <is>
          <t>2.0mm</t>
        </is>
      </c>
      <c r="F141" s="2" t="n">
        <v>2</v>
      </c>
      <c r="G141" s="2" t="n">
        <v>30</v>
      </c>
      <c r="H141" s="2" t="inlineStr">
        <is>
          <t>LC/PC</t>
        </is>
      </c>
      <c r="I141" s="2" t="inlineStr">
        <is>
          <t>SC/PC</t>
        </is>
      </c>
      <c r="J141" s="2" t="n"/>
      <c r="K141" s="2" t="n"/>
      <c r="L141" s="2" t="n"/>
      <c r="M141" s="2" t="n"/>
      <c r="N141" s="2" t="n"/>
      <c r="O141" s="2" t="n"/>
      <c r="P141" s="2" t="n">
        <v>10</v>
      </c>
      <c r="Q141" s="2" t="n"/>
      <c r="R141" s="2" t="n"/>
      <c r="S141" s="2" t="n"/>
      <c r="T141" s="2" t="n"/>
      <c r="U141" s="2" t="n"/>
      <c r="V141" s="2">
        <f>SUM(J141:U141)</f>
        <v/>
      </c>
      <c r="W141" s="2" t="n">
        <v>20</v>
      </c>
      <c r="X141" s="2" t="n"/>
      <c r="Y141" s="2" t="n"/>
      <c r="Z141" s="2" t="n"/>
      <c r="AA141" s="2" t="n"/>
      <c r="AB141" s="2" t="n">
        <v>20</v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>
        <f>IF(F141=1,V141*2,IF(F141=2,V141*F141*2,IF(F141&gt;2,F141*2*V141)))</f>
        <v/>
      </c>
      <c r="AW141" s="2">
        <f>SUM(W141:AU141)</f>
        <v/>
      </c>
    </row>
    <row r="142">
      <c r="A142" s="2" t="inlineStr">
        <is>
          <t>14-D-307</t>
        </is>
      </c>
      <c r="B142" s="3" t="inlineStr">
        <is>
          <t>DOJC-SM-LC/PC-SC/PC</t>
        </is>
      </c>
      <c r="C142" s="2" t="inlineStr">
        <is>
          <t>3M</t>
        </is>
      </c>
      <c r="D142" s="2" t="inlineStr">
        <is>
          <t>a1</t>
        </is>
      </c>
      <c r="E142" s="2" t="inlineStr">
        <is>
          <t>2.0mm</t>
        </is>
      </c>
      <c r="F142" s="2" t="n">
        <v>2</v>
      </c>
      <c r="G142" s="2" t="n">
        <v>3</v>
      </c>
      <c r="H142" s="2" t="inlineStr">
        <is>
          <t>LC/PC</t>
        </is>
      </c>
      <c r="I142" s="2" t="inlineStr">
        <is>
          <t>SC/PC</t>
        </is>
      </c>
      <c r="J142" s="2" t="n"/>
      <c r="K142" s="2" t="n"/>
      <c r="L142" s="2" t="n"/>
      <c r="M142" s="2" t="n"/>
      <c r="N142" s="2" t="n"/>
      <c r="O142" s="2" t="n">
        <v>40</v>
      </c>
      <c r="P142" s="2" t="n">
        <v>30</v>
      </c>
      <c r="Q142" s="2" t="n">
        <v>30</v>
      </c>
      <c r="R142" s="2" t="n"/>
      <c r="S142" s="2" t="n"/>
      <c r="T142" s="2" t="n">
        <v>30</v>
      </c>
      <c r="U142" s="2" t="n"/>
      <c r="V142" s="2">
        <f>SUM(J142:U142)</f>
        <v/>
      </c>
      <c r="W142" s="2" t="n">
        <v>260</v>
      </c>
      <c r="X142" s="2" t="n"/>
      <c r="Y142" s="2" t="n"/>
      <c r="Z142" s="2" t="n"/>
      <c r="AA142" s="2" t="n"/>
      <c r="AB142" s="2" t="n">
        <v>260</v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>
        <f>IF(F142=1,V142*2,IF(F142=2,V142*F142*2,IF(F142&gt;2,F142*2*V142)))</f>
        <v/>
      </c>
      <c r="AW142" s="2">
        <f>SUM(W142:AU142)</f>
        <v/>
      </c>
    </row>
    <row r="143">
      <c r="A143" s="2" t="inlineStr">
        <is>
          <t>14-D-313</t>
        </is>
      </c>
      <c r="B143" s="3" t="inlineStr">
        <is>
          <t>DOJC-SM-LC/PC-SC/PC</t>
        </is>
      </c>
      <c r="C143" s="2" t="inlineStr">
        <is>
          <t>5M</t>
        </is>
      </c>
      <c r="D143" s="2" t="inlineStr">
        <is>
          <t>a1</t>
        </is>
      </c>
      <c r="E143" s="2" t="inlineStr">
        <is>
          <t>2.0mm</t>
        </is>
      </c>
      <c r="F143" s="2" t="n">
        <v>2</v>
      </c>
      <c r="G143" s="2" t="n">
        <v>5</v>
      </c>
      <c r="H143" s="2" t="inlineStr">
        <is>
          <t>LC/PC</t>
        </is>
      </c>
      <c r="I143" s="2" t="inlineStr">
        <is>
          <t>SC/PC</t>
        </is>
      </c>
      <c r="J143" s="2" t="n"/>
      <c r="K143" s="2" t="n"/>
      <c r="L143" s="2" t="n"/>
      <c r="M143" s="2" t="n">
        <v>10</v>
      </c>
      <c r="N143" s="2" t="n"/>
      <c r="O143" s="2" t="n">
        <v>20</v>
      </c>
      <c r="P143" s="2" t="n"/>
      <c r="Q143" s="2" t="n"/>
      <c r="R143" s="2" t="n"/>
      <c r="S143" s="2" t="n"/>
      <c r="T143" s="2" t="n"/>
      <c r="U143" s="2" t="n"/>
      <c r="V143" s="2">
        <f>SUM(J143:U143)</f>
        <v/>
      </c>
      <c r="W143" s="2" t="n">
        <v>60</v>
      </c>
      <c r="X143" s="2" t="n"/>
      <c r="Y143" s="2" t="n"/>
      <c r="Z143" s="2" t="n"/>
      <c r="AA143" s="2" t="n"/>
      <c r="AB143" s="2" t="n">
        <v>60</v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>
        <f>IF(F143=1,V143*2,IF(F143=2,V143*F143*2,IF(F143&gt;2,F143*2*V143)))</f>
        <v/>
      </c>
      <c r="AW143" s="2">
        <f>SUM(W143:AU143)</f>
        <v/>
      </c>
    </row>
    <row r="144">
      <c r="A144" s="2" t="inlineStr">
        <is>
          <t>14-D-314</t>
        </is>
      </c>
      <c r="B144" s="3" t="inlineStr">
        <is>
          <t>DOJC-SM-LC/PC-SC/PC</t>
        </is>
      </c>
      <c r="C144" s="2" t="inlineStr">
        <is>
          <t>60M</t>
        </is>
      </c>
      <c r="D144" s="2" t="inlineStr">
        <is>
          <t>a1</t>
        </is>
      </c>
      <c r="E144" s="2" t="inlineStr">
        <is>
          <t>2.0mm</t>
        </is>
      </c>
      <c r="F144" s="2" t="n">
        <v>2</v>
      </c>
      <c r="G144" s="2" t="n">
        <v>60</v>
      </c>
      <c r="H144" s="2" t="inlineStr">
        <is>
          <t>LC/PC</t>
        </is>
      </c>
      <c r="I144" s="2" t="inlineStr">
        <is>
          <t>SC/PC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>
        <v>71</v>
      </c>
      <c r="U144" s="2" t="n"/>
      <c r="V144" s="2">
        <f>SUM(J144:U144)</f>
        <v/>
      </c>
      <c r="W144" s="2" t="n">
        <v>142</v>
      </c>
      <c r="X144" s="2" t="n"/>
      <c r="Y144" s="2" t="n"/>
      <c r="Z144" s="2" t="n"/>
      <c r="AA144" s="2" t="n"/>
      <c r="AB144" s="2" t="n">
        <v>142</v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>
        <f>IF(F144=1,V144*2,IF(F144=2,V144*F144*2,IF(F144&gt;2,F144*2*V144)))</f>
        <v/>
      </c>
      <c r="AW144" s="2">
        <f>SUM(W144:AU144)</f>
        <v/>
      </c>
    </row>
    <row r="145">
      <c r="A145" s="2" t="inlineStr">
        <is>
          <t>14-D-388</t>
        </is>
      </c>
      <c r="B145" s="3" t="inlineStr">
        <is>
          <t>DOJC-SM-SC/APC-SC/APC</t>
        </is>
      </c>
      <c r="C145" s="2" t="inlineStr">
        <is>
          <t>3M</t>
        </is>
      </c>
      <c r="D145" s="2" t="inlineStr">
        <is>
          <t>a1</t>
        </is>
      </c>
      <c r="E145" s="2" t="inlineStr">
        <is>
          <t>2.0mm</t>
        </is>
      </c>
      <c r="F145" s="2" t="n">
        <v>2</v>
      </c>
      <c r="G145" s="2" t="n">
        <v>3</v>
      </c>
      <c r="H145" s="2" t="inlineStr">
        <is>
          <t>SC/APC</t>
        </is>
      </c>
      <c r="I145" s="2" t="inlineStr">
        <is>
          <t>SC/APC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>
        <v>4</v>
      </c>
      <c r="S145" s="2" t="n"/>
      <c r="T145" s="2" t="n"/>
      <c r="U145" s="2" t="n"/>
      <c r="V145" s="2">
        <f>SUM(J145:U145)</f>
        <v/>
      </c>
      <c r="W145" s="2" t="n"/>
      <c r="X145" s="2" t="n"/>
      <c r="Y145" s="2" t="n"/>
      <c r="Z145" s="2" t="n"/>
      <c r="AA145" s="2" t="n"/>
      <c r="AB145" s="2" t="n"/>
      <c r="AC145" s="2" t="n">
        <v>8</v>
      </c>
      <c r="AD145" s="2" t="n">
        <v>8</v>
      </c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>
        <f>IF(F145=1,V145*2,IF(F145=2,V145*F145*2,IF(F145&gt;2,F145*2*V145)))</f>
        <v/>
      </c>
      <c r="AW145" s="2">
        <f>SUM(W145:AU145)</f>
        <v/>
      </c>
    </row>
    <row r="146">
      <c r="A146" s="2" t="inlineStr">
        <is>
          <t>14-D-437</t>
        </is>
      </c>
      <c r="B146" s="3" t="inlineStr">
        <is>
          <t>DOJC-SM-SC/PC-FC/PC</t>
        </is>
      </c>
      <c r="C146" s="2" t="inlineStr">
        <is>
          <t>40M</t>
        </is>
      </c>
      <c r="D146" s="2" t="inlineStr">
        <is>
          <t>a1</t>
        </is>
      </c>
      <c r="E146" s="2" t="inlineStr">
        <is>
          <t>2.0mm</t>
        </is>
      </c>
      <c r="F146" s="2" t="n">
        <v>2</v>
      </c>
      <c r="G146" s="2" t="n">
        <v>40</v>
      </c>
      <c r="H146" s="2" t="inlineStr">
        <is>
          <t>SC/PC</t>
        </is>
      </c>
      <c r="I146" s="2" t="inlineStr">
        <is>
          <t>FC/PC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>
        <v>5</v>
      </c>
      <c r="V146" s="2">
        <f>SUM(J146:U146)</f>
        <v/>
      </c>
      <c r="W146" s="2" t="n"/>
      <c r="X146" s="2" t="n"/>
      <c r="Y146" s="2" t="n"/>
      <c r="Z146" s="2" t="n"/>
      <c r="AA146" s="2" t="n">
        <v>10</v>
      </c>
      <c r="AB146" s="2" t="n"/>
      <c r="AC146" s="2" t="n"/>
      <c r="AD146" s="2" t="n"/>
      <c r="AE146" s="2" t="n"/>
      <c r="AF146" s="2" t="n">
        <v>10</v>
      </c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>
        <f>IF(F146=1,V146*2,IF(F146=2,V146*F146*2,IF(F146&gt;2,F146*2*V146)))</f>
        <v/>
      </c>
      <c r="AW146" s="2">
        <f>SUM(W146:AU146)</f>
        <v/>
      </c>
    </row>
    <row r="147">
      <c r="A147" s="2" t="inlineStr">
        <is>
          <t>14-D-449</t>
        </is>
      </c>
      <c r="B147" s="3" t="inlineStr">
        <is>
          <t>DOJC-SM-SC/PC-SC/APC</t>
        </is>
      </c>
      <c r="C147" s="2" t="inlineStr">
        <is>
          <t>20M</t>
        </is>
      </c>
      <c r="D147" s="2" t="inlineStr">
        <is>
          <t>a1</t>
        </is>
      </c>
      <c r="E147" s="2" t="inlineStr">
        <is>
          <t>2.0mm</t>
        </is>
      </c>
      <c r="F147" s="2" t="n">
        <v>2</v>
      </c>
      <c r="G147" s="2" t="n">
        <v>20</v>
      </c>
      <c r="H147" s="2" t="inlineStr">
        <is>
          <t>SC/PC</t>
        </is>
      </c>
      <c r="I147" s="2" t="inlineStr">
        <is>
          <t>SC/APC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>
        <v>6</v>
      </c>
      <c r="V147" s="2">
        <f>SUM(J147:U147)</f>
        <v/>
      </c>
      <c r="W147" s="2" t="n"/>
      <c r="X147" s="2" t="n"/>
      <c r="Y147" s="2" t="n"/>
      <c r="Z147" s="2" t="n"/>
      <c r="AA147" s="2" t="n">
        <v>12</v>
      </c>
      <c r="AB147" s="2" t="n"/>
      <c r="AC147" s="2" t="n"/>
      <c r="AD147" s="2" t="n">
        <v>12</v>
      </c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>
        <f>IF(F147=1,V147*2,IF(F147=2,V147*F147*2,IF(F147&gt;2,F147*2*V147)))</f>
        <v/>
      </c>
      <c r="AW147" s="2">
        <f>SUM(W147:AU147)</f>
        <v/>
      </c>
    </row>
    <row r="148">
      <c r="A148" s="2" t="inlineStr">
        <is>
          <t>14-D-455</t>
        </is>
      </c>
      <c r="B148" s="3" t="inlineStr">
        <is>
          <t>DOJC-SM-SC/PC-SC/APC</t>
        </is>
      </c>
      <c r="C148" s="2" t="inlineStr">
        <is>
          <t>3M</t>
        </is>
      </c>
      <c r="D148" s="2" t="inlineStr">
        <is>
          <t>a1</t>
        </is>
      </c>
      <c r="E148" s="2" t="inlineStr">
        <is>
          <t>2.0mm</t>
        </is>
      </c>
      <c r="F148" s="2" t="n">
        <v>2</v>
      </c>
      <c r="G148" s="2" t="n">
        <v>3</v>
      </c>
      <c r="H148" s="2" t="inlineStr">
        <is>
          <t>SC/PC</t>
        </is>
      </c>
      <c r="I148" s="2" t="inlineStr">
        <is>
          <t>SC/APC</t>
        </is>
      </c>
      <c r="J148" s="2" t="n">
        <v>40</v>
      </c>
      <c r="K148" s="2" t="n">
        <v>50</v>
      </c>
      <c r="L148" s="2" t="n"/>
      <c r="M148" s="2" t="n"/>
      <c r="N148" s="2" t="n">
        <v>20</v>
      </c>
      <c r="O148" s="2" t="n"/>
      <c r="P148" s="2" t="n"/>
      <c r="Q148" s="2" t="n">
        <v>30</v>
      </c>
      <c r="R148" s="2" t="n"/>
      <c r="S148" s="2" t="n"/>
      <c r="T148" s="2" t="n">
        <v>140</v>
      </c>
      <c r="U148" s="2" t="n">
        <v>10</v>
      </c>
      <c r="V148" s="2">
        <f>SUM(J148:U148)</f>
        <v/>
      </c>
      <c r="W148" s="2" t="n"/>
      <c r="X148" s="2" t="n"/>
      <c r="Y148" s="2" t="n"/>
      <c r="Z148" s="2" t="n"/>
      <c r="AA148" s="2" t="n">
        <v>580</v>
      </c>
      <c r="AB148" s="2" t="n"/>
      <c r="AC148" s="2" t="n"/>
      <c r="AD148" s="2" t="n">
        <v>580</v>
      </c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>
        <f>IF(F148=1,V148*2,IF(F148=2,V148*F148*2,IF(F148&gt;2,F148*2*V148)))</f>
        <v/>
      </c>
      <c r="AW148" s="2">
        <f>SUM(W148:AU148)</f>
        <v/>
      </c>
    </row>
    <row r="149">
      <c r="A149" s="2" t="inlineStr">
        <is>
          <t>14-D-458</t>
        </is>
      </c>
      <c r="B149" s="3" t="inlineStr">
        <is>
          <t>DOJC-SM-SC/PC-SC/APC</t>
        </is>
      </c>
      <c r="C149" s="2" t="inlineStr">
        <is>
          <t>4M</t>
        </is>
      </c>
      <c r="D149" s="2" t="inlineStr">
        <is>
          <t>a1</t>
        </is>
      </c>
      <c r="E149" s="2" t="inlineStr">
        <is>
          <t>2.0mm</t>
        </is>
      </c>
      <c r="F149" s="2" t="n">
        <v>2</v>
      </c>
      <c r="G149" s="2" t="n">
        <v>4</v>
      </c>
      <c r="H149" s="2" t="inlineStr">
        <is>
          <t>SC/PC</t>
        </is>
      </c>
      <c r="I149" s="2" t="inlineStr">
        <is>
          <t>SC/APC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>
        <v>400</v>
      </c>
      <c r="U149" s="2" t="n"/>
      <c r="V149" s="2">
        <f>SUM(J149:U149)</f>
        <v/>
      </c>
      <c r="W149" s="2" t="n"/>
      <c r="X149" s="2" t="n"/>
      <c r="Y149" s="2" t="n"/>
      <c r="Z149" s="2" t="n"/>
      <c r="AA149" s="2" t="n">
        <v>800</v>
      </c>
      <c r="AB149" s="2" t="n"/>
      <c r="AC149" s="2" t="n"/>
      <c r="AD149" s="2" t="n">
        <v>800</v>
      </c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>
        <f>IF(F149=1,V149*2,IF(F149=2,V149*F149*2,IF(F149&gt;2,F149*2*V149)))</f>
        <v/>
      </c>
      <c r="AW149" s="2">
        <f>SUM(W149:AU149)</f>
        <v/>
      </c>
    </row>
    <row r="150">
      <c r="A150" s="2" t="inlineStr">
        <is>
          <t>14-D-466</t>
        </is>
      </c>
      <c r="B150" s="3" t="inlineStr">
        <is>
          <t>DOJC-SM-SC/PC-SC/PC</t>
        </is>
      </c>
      <c r="C150" s="2" t="inlineStr">
        <is>
          <t>15M</t>
        </is>
      </c>
      <c r="D150" s="2" t="inlineStr">
        <is>
          <t>a1</t>
        </is>
      </c>
      <c r="E150" s="2" t="inlineStr">
        <is>
          <t>2.0mm</t>
        </is>
      </c>
      <c r="F150" s="2" t="n">
        <v>2</v>
      </c>
      <c r="G150" s="2" t="n">
        <v>15</v>
      </c>
      <c r="H150" s="2" t="inlineStr">
        <is>
          <t>SC/PC</t>
        </is>
      </c>
      <c r="I150" s="2" t="inlineStr">
        <is>
          <t>SC/PC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>
        <v>17</v>
      </c>
      <c r="V150" s="2">
        <f>SUM(J150:U150)</f>
        <v/>
      </c>
      <c r="W150" s="2" t="n"/>
      <c r="X150" s="2" t="n"/>
      <c r="Y150" s="2" t="n"/>
      <c r="Z150" s="2" t="n"/>
      <c r="AA150" s="2" t="n">
        <v>34</v>
      </c>
      <c r="AB150" s="2" t="n">
        <v>34</v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>
        <f>IF(F150=1,V150*2,IF(F150=2,V150*F150*2,IF(F150&gt;2,F150*2*V150)))</f>
        <v/>
      </c>
      <c r="AW150" s="2">
        <f>SUM(W150:AU150)</f>
        <v/>
      </c>
    </row>
    <row r="151">
      <c r="A151" s="2" t="inlineStr">
        <is>
          <t>14-D-471</t>
        </is>
      </c>
      <c r="B151" s="3" t="inlineStr">
        <is>
          <t>DOJC-SM-SC/PC-SC/PC</t>
        </is>
      </c>
      <c r="C151" s="2" t="inlineStr">
        <is>
          <t>2M</t>
        </is>
      </c>
      <c r="D151" s="2" t="inlineStr">
        <is>
          <t>a1</t>
        </is>
      </c>
      <c r="E151" s="2" t="inlineStr">
        <is>
          <t>2.0mm</t>
        </is>
      </c>
      <c r="F151" s="2" t="n">
        <v>2</v>
      </c>
      <c r="G151" s="2" t="n">
        <v>2</v>
      </c>
      <c r="H151" s="2" t="inlineStr">
        <is>
          <t>SC/PC</t>
        </is>
      </c>
      <c r="I151" s="2" t="inlineStr">
        <is>
          <t>SC/PC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>
        <v>50</v>
      </c>
      <c r="U151" s="2" t="n"/>
      <c r="V151" s="2">
        <f>SUM(J151:U151)</f>
        <v/>
      </c>
      <c r="W151" s="2" t="n"/>
      <c r="X151" s="2" t="n"/>
      <c r="Y151" s="2" t="n"/>
      <c r="Z151" s="2" t="n"/>
      <c r="AA151" s="2" t="n">
        <v>100</v>
      </c>
      <c r="AB151" s="2" t="n">
        <v>100</v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>
        <f>IF(F151=1,V151*2,IF(F151=2,V151*F151*2,IF(F151&gt;2,F151*2*V151)))</f>
        <v/>
      </c>
      <c r="AW151" s="2">
        <f>SUM(W151:AU151)</f>
        <v/>
      </c>
    </row>
    <row r="152">
      <c r="A152" s="2" t="inlineStr">
        <is>
          <t>14-D-474</t>
        </is>
      </c>
      <c r="B152" s="3" t="inlineStr">
        <is>
          <t>DOJC-SM-SC/PC-SC/PC</t>
        </is>
      </c>
      <c r="C152" s="2" t="inlineStr">
        <is>
          <t>3M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3</v>
      </c>
      <c r="H152" s="2" t="inlineStr">
        <is>
          <t>SC/PC</t>
        </is>
      </c>
      <c r="I152" s="2" t="inlineStr">
        <is>
          <t>SC/PC</t>
        </is>
      </c>
      <c r="J152" s="2" t="n"/>
      <c r="K152" s="2" t="n"/>
      <c r="L152" s="2" t="n"/>
      <c r="M152" s="2" t="n"/>
      <c r="N152" s="2" t="n">
        <v>50</v>
      </c>
      <c r="O152" s="2" t="n">
        <v>100</v>
      </c>
      <c r="P152" s="2" t="n"/>
      <c r="Q152" s="2" t="n">
        <v>30</v>
      </c>
      <c r="R152" s="2" t="n"/>
      <c r="S152" s="2" t="n"/>
      <c r="T152" s="2" t="n"/>
      <c r="U152" s="2" t="n"/>
      <c r="V152" s="2">
        <f>SUM(J152:U152)</f>
        <v/>
      </c>
      <c r="W152" s="2" t="n"/>
      <c r="X152" s="2" t="n"/>
      <c r="Y152" s="2" t="n"/>
      <c r="Z152" s="2" t="n"/>
      <c r="AA152" s="2" t="n">
        <v>360</v>
      </c>
      <c r="AB152" s="2" t="n">
        <v>360</v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>
        <f>IF(F152=1,V152*2,IF(F152=2,V152*F152*2,IF(F152&gt;2,F152*2*V152)))</f>
        <v/>
      </c>
      <c r="AW152" s="2">
        <f>SUM(W152:AU152)</f>
        <v/>
      </c>
    </row>
    <row r="153">
      <c r="A153" s="2" t="inlineStr">
        <is>
          <t>14-D-481</t>
        </is>
      </c>
      <c r="B153" s="3" t="inlineStr">
        <is>
          <t>DOJC-SM-SC/PC-SC/PC</t>
        </is>
      </c>
      <c r="C153" s="2" t="inlineStr">
        <is>
          <t>5M</t>
        </is>
      </c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5</v>
      </c>
      <c r="H153" s="2" t="inlineStr">
        <is>
          <t>SC/PC</t>
        </is>
      </c>
      <c r="I153" s="2" t="inlineStr">
        <is>
          <t>SC/PC</t>
        </is>
      </c>
      <c r="J153" s="2" t="n">
        <v>20</v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>
        <f>SUM(J153:U153)</f>
        <v/>
      </c>
      <c r="W153" s="2" t="n"/>
      <c r="X153" s="2" t="n"/>
      <c r="Y153" s="2" t="n"/>
      <c r="Z153" s="2" t="n"/>
      <c r="AA153" s="2" t="n">
        <v>40</v>
      </c>
      <c r="AB153" s="2" t="n">
        <v>40</v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>
        <f>IF(F153=1,V153*2,IF(F153=2,V153*F153*2,IF(F153&gt;2,F153*2*V153)))</f>
        <v/>
      </c>
      <c r="AW153" s="2">
        <f>SUM(W153:AU153)</f>
        <v/>
      </c>
    </row>
    <row r="154">
      <c r="A154" s="2" t="inlineStr">
        <is>
          <t>14-D-484</t>
        </is>
      </c>
      <c r="B154" s="3" t="inlineStr">
        <is>
          <t>DOJC-SM-SC/PC-SC/PC</t>
        </is>
      </c>
      <c r="C154" s="2" t="inlineStr">
        <is>
          <t>70M</t>
        </is>
      </c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70</v>
      </c>
      <c r="H154" s="2" t="inlineStr">
        <is>
          <t>SC/PC</t>
        </is>
      </c>
      <c r="I154" s="2" t="inlineStr">
        <is>
          <t>SC/PC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>
        <v>1</v>
      </c>
      <c r="T154" s="2" t="n"/>
      <c r="U154" s="2" t="n"/>
      <c r="V154" s="2">
        <f>SUM(J154:U154)</f>
        <v/>
      </c>
      <c r="W154" s="2" t="n"/>
      <c r="X154" s="2" t="n"/>
      <c r="Y154" s="2" t="n"/>
      <c r="Z154" s="2" t="n"/>
      <c r="AA154" s="2" t="n">
        <v>2</v>
      </c>
      <c r="AB154" s="2" t="n">
        <v>2</v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>
        <f>IF(F154=1,V154*2,IF(F154=2,V154*F154*2,IF(F154&gt;2,F154*2*V154)))</f>
        <v/>
      </c>
      <c r="AW154" s="2">
        <f>SUM(W154:AU154)</f>
        <v/>
      </c>
    </row>
    <row r="155">
      <c r="A155" s="2" t="inlineStr">
        <is>
          <t>14-D-575</t>
        </is>
      </c>
      <c r="B155" s="3" t="inlineStr">
        <is>
          <t>DOJC-MM(OM3)-LC/PC-LC/PC</t>
        </is>
      </c>
      <c r="C155" s="2" t="inlineStr">
        <is>
          <t>2M</t>
        </is>
      </c>
      <c r="D155" s="2" t="inlineStr">
        <is>
          <t>om3</t>
        </is>
      </c>
      <c r="E155" s="2" t="inlineStr">
        <is>
          <t>2.0mm</t>
        </is>
      </c>
      <c r="F155" s="2" t="n">
        <v>2</v>
      </c>
      <c r="G155" s="2" t="n">
        <v>2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2</v>
      </c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>
        <f>SUM(J155:U155)</f>
        <v/>
      </c>
      <c r="W155" s="2" t="n"/>
      <c r="X155" s="2" t="n">
        <v>4</v>
      </c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>
        <v>4</v>
      </c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>
        <f>IF(F155=1,V155*2,IF(F155=2,V155*F155*2,IF(F155&gt;2,F155*2*V155)))</f>
        <v/>
      </c>
      <c r="AW155" s="2">
        <f>SUM(W155:AU155)</f>
        <v/>
      </c>
    </row>
    <row r="156">
      <c r="A156" s="2" t="inlineStr">
        <is>
          <t>14-D-579</t>
        </is>
      </c>
      <c r="B156" s="3" t="inlineStr">
        <is>
          <t>DOJC-MM(OM3)-LC/PC-SC/PC</t>
        </is>
      </c>
      <c r="C156" s="2" t="inlineStr">
        <is>
          <t>25M</t>
        </is>
      </c>
      <c r="D156" s="2" t="inlineStr">
        <is>
          <t>om3</t>
        </is>
      </c>
      <c r="E156" s="2" t="inlineStr">
        <is>
          <t>2.0mm</t>
        </is>
      </c>
      <c r="F156" s="2" t="n">
        <v>2</v>
      </c>
      <c r="G156" s="2" t="n">
        <v>25</v>
      </c>
      <c r="H156" s="2" t="inlineStr">
        <is>
          <t>LC/PC</t>
        </is>
      </c>
      <c r="I156" s="2" t="inlineStr">
        <is>
          <t>SC/PC</t>
        </is>
      </c>
      <c r="J156" s="2" t="n"/>
      <c r="K156" s="2" t="n"/>
      <c r="L156" s="2" t="n">
        <v>4</v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</f>
        <v/>
      </c>
      <c r="W156" s="2" t="n"/>
      <c r="X156" s="2" t="n"/>
      <c r="Y156" s="2" t="n"/>
      <c r="Z156" s="2" t="n"/>
      <c r="AA156" s="2" t="n"/>
      <c r="AB156" s="2" t="n">
        <v>8</v>
      </c>
      <c r="AC156" s="2" t="n"/>
      <c r="AD156" s="2" t="n"/>
      <c r="AE156" s="2" t="n"/>
      <c r="AF156" s="2" t="n"/>
      <c r="AG156" s="2" t="n"/>
      <c r="AH156" s="2" t="n"/>
      <c r="AI156" s="2" t="n">
        <v>8</v>
      </c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>
        <f>IF(F156=1,V156*2,IF(F156=2,V156*F156*2,IF(F156&gt;2,F156*2*V156)))</f>
        <v/>
      </c>
      <c r="AW156" s="2">
        <f>SUM(W156:AU156)</f>
        <v/>
      </c>
    </row>
    <row r="157">
      <c r="A157" s="2" t="inlineStr">
        <is>
          <t>14-D-601</t>
        </is>
      </c>
      <c r="B157" s="3" t="inlineStr">
        <is>
          <t>DOJC-SM-LC/PC-SC/PC</t>
        </is>
      </c>
      <c r="C157" s="2" t="inlineStr">
        <is>
          <t>0.3M</t>
        </is>
      </c>
      <c r="D157" s="2" t="inlineStr">
        <is>
          <t>a1</t>
        </is>
      </c>
      <c r="E157" s="2" t="inlineStr">
        <is>
          <t>2.0mm</t>
        </is>
      </c>
      <c r="F157" s="2" t="n">
        <v>2</v>
      </c>
      <c r="G157" s="2" t="n">
        <v>0.3</v>
      </c>
      <c r="H157" s="2" t="inlineStr">
        <is>
          <t>LC/PC</t>
        </is>
      </c>
      <c r="I157" s="2" t="inlineStr">
        <is>
          <t>SC/PC</t>
        </is>
      </c>
      <c r="J157" s="2" t="n">
        <v>5</v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>
        <f>SUM(J157:U157)</f>
        <v/>
      </c>
      <c r="W157" s="2" t="n">
        <v>10</v>
      </c>
      <c r="X157" s="2" t="n"/>
      <c r="Y157" s="2" t="n"/>
      <c r="Z157" s="2" t="n"/>
      <c r="AA157" s="2" t="n"/>
      <c r="AB157" s="2" t="n">
        <v>10</v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>
        <f>IF(F157=1,V157*2,IF(F157=2,V157*F157*2,IF(F157&gt;2,F157*2*V157)))</f>
        <v/>
      </c>
      <c r="AW157" s="2">
        <f>SUM(W157:AU157)</f>
        <v/>
      </c>
    </row>
    <row r="158">
      <c r="A158" s="2" t="inlineStr">
        <is>
          <t>14-D-603</t>
        </is>
      </c>
      <c r="B158" s="3" t="inlineStr">
        <is>
          <t>DOJC-MM(OM3)-LC/PC-LC/PC</t>
        </is>
      </c>
      <c r="C158" s="2" t="inlineStr">
        <is>
          <t>8M</t>
        </is>
      </c>
      <c r="D158" s="2" t="inlineStr">
        <is>
          <t>om3</t>
        </is>
      </c>
      <c r="E158" s="2" t="inlineStr">
        <is>
          <t>2.0mm</t>
        </is>
      </c>
      <c r="F158" s="2" t="n">
        <v>2</v>
      </c>
      <c r="G158" s="2" t="n">
        <v>8</v>
      </c>
      <c r="H158" s="2" t="inlineStr">
        <is>
          <t>LC/PC</t>
        </is>
      </c>
      <c r="I158" s="2" t="inlineStr">
        <is>
          <t>LC/PC</t>
        </is>
      </c>
      <c r="J158" s="2" t="n">
        <v>4</v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>
        <f>SUM(J158:U158)</f>
        <v/>
      </c>
      <c r="W158" s="2" t="n"/>
      <c r="X158" s="2" t="n">
        <v>8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>
        <v>8</v>
      </c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>
        <f>IF(F158=1,V158*2,IF(F158=2,V158*F158*2,IF(F158&gt;2,F158*2*V158)))</f>
        <v/>
      </c>
      <c r="AW158" s="2">
        <f>SUM(W158:AU158)</f>
        <v/>
      </c>
    </row>
    <row r="159">
      <c r="A159" s="2" t="inlineStr">
        <is>
          <t>14-D-644</t>
        </is>
      </c>
      <c r="B159" s="3" t="inlineStr">
        <is>
          <t>DOJC-MM-LC/PC-LC/PC</t>
        </is>
      </c>
      <c r="C159" s="2" t="inlineStr">
        <is>
          <t>22M</t>
        </is>
      </c>
      <c r="D159" s="2" t="inlineStr">
        <is>
          <t>om1</t>
        </is>
      </c>
      <c r="E159" s="2" t="inlineStr">
        <is>
          <t>2.0mm</t>
        </is>
      </c>
      <c r="F159" s="2" t="n">
        <v>2</v>
      </c>
      <c r="G159" s="2" t="n">
        <v>22</v>
      </c>
      <c r="H159" s="2" t="inlineStr">
        <is>
          <t>LC/PC</t>
        </is>
      </c>
      <c r="I159" s="2" t="inlineStr">
        <is>
          <t>LC/PC</t>
        </is>
      </c>
      <c r="J159" s="2" t="n"/>
      <c r="K159" s="2" t="n"/>
      <c r="L159" s="2" t="n">
        <v>18</v>
      </c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>
        <f>SUM(J159:U159)</f>
        <v/>
      </c>
      <c r="W159" s="2" t="n"/>
      <c r="X159" s="2" t="n">
        <v>36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>
        <v>36</v>
      </c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>
        <f>IF(F159=1,V159*2,IF(F159=2,V159*F159*2,IF(F159&gt;2,F159*2*V159)))</f>
        <v/>
      </c>
      <c r="AW159" s="2">
        <f>SUM(W159:AU159)</f>
        <v/>
      </c>
    </row>
    <row r="160">
      <c r="A160" s="2" t="inlineStr">
        <is>
          <t>14-D-651</t>
        </is>
      </c>
      <c r="B160" s="3" t="inlineStr">
        <is>
          <t>DOJC-SM-ST/PC-SC/PC</t>
        </is>
      </c>
      <c r="C160" s="2" t="inlineStr">
        <is>
          <t>2M</t>
        </is>
      </c>
      <c r="D160" s="2" t="inlineStr">
        <is>
          <t>a1</t>
        </is>
      </c>
      <c r="E160" s="2" t="inlineStr">
        <is>
          <t>2.0mm</t>
        </is>
      </c>
      <c r="F160" s="2" t="n">
        <v>2</v>
      </c>
      <c r="G160" s="2" t="n">
        <v>2</v>
      </c>
      <c r="H160" s="2" t="inlineStr">
        <is>
          <t>SC/PC</t>
        </is>
      </c>
      <c r="I160" s="2" t="inlineStr">
        <is>
          <t>SC/PC</t>
        </is>
      </c>
      <c r="J160" s="2" t="n"/>
      <c r="K160" s="2" t="n"/>
      <c r="L160" s="2" t="n"/>
      <c r="M160" s="2" t="n"/>
      <c r="N160" s="2" t="n"/>
      <c r="O160" s="2" t="n">
        <v>30</v>
      </c>
      <c r="P160" s="2" t="n"/>
      <c r="Q160" s="2" t="n"/>
      <c r="R160" s="2" t="n"/>
      <c r="S160" s="2" t="n"/>
      <c r="T160" s="2" t="n"/>
      <c r="U160" s="2" t="n"/>
      <c r="V160" s="2">
        <f>SUM(J160:U160)</f>
        <v/>
      </c>
      <c r="W160" s="2" t="n"/>
      <c r="X160" s="2" t="n"/>
      <c r="Y160" s="2" t="n"/>
      <c r="Z160" s="2" t="n"/>
      <c r="AA160" s="2" t="n">
        <v>60</v>
      </c>
      <c r="AB160" s="2" t="n">
        <v>60</v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>
        <f>IF(F160=1,V160*2,IF(F160=2,V160*F160*2,IF(F160&gt;2,F160*2*V160)))</f>
        <v/>
      </c>
      <c r="AW160" s="2">
        <f>SUM(W160:AU160)</f>
        <v/>
      </c>
    </row>
    <row r="161">
      <c r="A161" s="2" t="inlineStr">
        <is>
          <t>14-D-659</t>
        </is>
      </c>
      <c r="B161" s="3" t="inlineStr">
        <is>
          <t>DOJC-SM-LC/PC-SC/PC</t>
        </is>
      </c>
      <c r="C161" s="2" t="inlineStr">
        <is>
          <t>15M_적색케이블</t>
        </is>
      </c>
      <c r="D161" s="2" t="inlineStr">
        <is>
          <t>a1-적</t>
        </is>
      </c>
      <c r="E161" s="2" t="inlineStr">
        <is>
          <t>2.0mm</t>
        </is>
      </c>
      <c r="F161" s="2" t="n">
        <v>2</v>
      </c>
      <c r="G161" s="2" t="n">
        <v>15</v>
      </c>
      <c r="H161" s="2" t="inlineStr">
        <is>
          <t>LC/PC</t>
        </is>
      </c>
      <c r="I161" s="2" t="inlineStr">
        <is>
          <t>SC/PC</t>
        </is>
      </c>
      <c r="J161" s="2" t="n"/>
      <c r="K161" s="2" t="n">
        <v>20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>
        <f>SUM(J161:U161)</f>
        <v/>
      </c>
      <c r="W161" s="2" t="n">
        <v>40</v>
      </c>
      <c r="X161" s="2" t="n"/>
      <c r="Y161" s="2" t="n"/>
      <c r="Z161" s="2" t="n"/>
      <c r="AA161" s="2" t="n"/>
      <c r="AB161" s="2" t="n">
        <v>40</v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>
        <f>IF(F161=1,V161*2,IF(F161=2,V161*F161*2,IF(F161&gt;2,F161*2*V161)))</f>
        <v/>
      </c>
      <c r="AW161" s="2">
        <f>SUM(W161:AU161)</f>
        <v/>
      </c>
    </row>
    <row r="162">
      <c r="A162" s="2" t="inlineStr">
        <is>
          <t>14-D-660</t>
        </is>
      </c>
      <c r="B162" s="3" t="inlineStr">
        <is>
          <t>DOJC-SM-LC/PC-SC/PC</t>
        </is>
      </c>
      <c r="C162" s="2" t="inlineStr">
        <is>
          <t>20M_적색케이블</t>
        </is>
      </c>
      <c r="D162" s="2" t="inlineStr">
        <is>
          <t>a1-적</t>
        </is>
      </c>
      <c r="E162" s="2" t="inlineStr">
        <is>
          <t>2.0mm</t>
        </is>
      </c>
      <c r="F162" s="2" t="n">
        <v>2</v>
      </c>
      <c r="G162" s="2" t="n">
        <v>20</v>
      </c>
      <c r="H162" s="2" t="inlineStr">
        <is>
          <t>LC/PC</t>
        </is>
      </c>
      <c r="I162" s="2" t="inlineStr">
        <is>
          <t>SC/PC</t>
        </is>
      </c>
      <c r="J162" s="2" t="n"/>
      <c r="K162" s="2" t="n">
        <v>20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>
        <f>SUM(J162:U162)</f>
        <v/>
      </c>
      <c r="W162" s="2" t="n">
        <v>40</v>
      </c>
      <c r="X162" s="2" t="n"/>
      <c r="Y162" s="2" t="n"/>
      <c r="Z162" s="2" t="n"/>
      <c r="AA162" s="2" t="n"/>
      <c r="AB162" s="2" t="n">
        <v>40</v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>
        <f>IF(F162=1,V162*2,IF(F162=2,V162*F162*2,IF(F162&gt;2,F162*2*V162)))</f>
        <v/>
      </c>
      <c r="AW162" s="2">
        <f>SUM(W162:AU162)</f>
        <v/>
      </c>
    </row>
    <row r="163">
      <c r="A163" s="2" t="inlineStr">
        <is>
          <t>14-D-661</t>
        </is>
      </c>
      <c r="B163" s="3" t="inlineStr">
        <is>
          <t>DOJC-SM-LC/PC-SC/PC</t>
        </is>
      </c>
      <c r="C163" s="2" t="inlineStr">
        <is>
          <t>30M_적색케이블</t>
        </is>
      </c>
      <c r="D163" s="2" t="inlineStr">
        <is>
          <t>a1-적</t>
        </is>
      </c>
      <c r="E163" s="2" t="inlineStr">
        <is>
          <t>2.0mm</t>
        </is>
      </c>
      <c r="F163" s="2" t="n">
        <v>2</v>
      </c>
      <c r="G163" s="2" t="n">
        <v>30</v>
      </c>
      <c r="H163" s="2" t="inlineStr">
        <is>
          <t>LC/PC</t>
        </is>
      </c>
      <c r="I163" s="2" t="inlineStr">
        <is>
          <t>SC/PC</t>
        </is>
      </c>
      <c r="J163" s="2" t="n"/>
      <c r="K163" s="2" t="n">
        <v>10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>
        <f>SUM(J163:U163)</f>
        <v/>
      </c>
      <c r="W163" s="2" t="n">
        <v>20</v>
      </c>
      <c r="X163" s="2" t="n"/>
      <c r="Y163" s="2" t="n"/>
      <c r="Z163" s="2" t="n"/>
      <c r="AA163" s="2" t="n"/>
      <c r="AB163" s="2" t="n">
        <v>20</v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>
        <f>IF(F163=1,V163*2,IF(F163=2,V163*F163*2,IF(F163&gt;2,F163*2*V163)))</f>
        <v/>
      </c>
      <c r="AW163" s="2">
        <f>SUM(W163:AU163)</f>
        <v/>
      </c>
    </row>
    <row r="164">
      <c r="A164" s="2" t="inlineStr">
        <is>
          <t>14-D-662</t>
        </is>
      </c>
      <c r="B164" s="3" t="inlineStr">
        <is>
          <t>DOJC-SM-LC/PC-LC/PC</t>
        </is>
      </c>
      <c r="C164" s="2" t="inlineStr">
        <is>
          <t>20M_적색케이블</t>
        </is>
      </c>
      <c r="D164" s="2" t="inlineStr">
        <is>
          <t>a1-적</t>
        </is>
      </c>
      <c r="E164" s="2" t="inlineStr">
        <is>
          <t>2.0mm</t>
        </is>
      </c>
      <c r="F164" s="2" t="n">
        <v>2</v>
      </c>
      <c r="G164" s="2" t="n">
        <v>20</v>
      </c>
      <c r="H164" s="2" t="inlineStr">
        <is>
          <t>LC/PC</t>
        </is>
      </c>
      <c r="I164" s="2" t="inlineStr">
        <is>
          <t>LC/PC</t>
        </is>
      </c>
      <c r="J164" s="2" t="n"/>
      <c r="K164" s="2" t="n">
        <v>20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>
        <f>SUM(J164:U164)</f>
        <v/>
      </c>
      <c r="W164" s="2" t="n">
        <v>40</v>
      </c>
      <c r="X164" s="2" t="n">
        <v>40</v>
      </c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>
        <f>IF(F164=1,V164*2,IF(F164=2,V164*F164*2,IF(F164&gt;2,F164*2*V164)))</f>
        <v/>
      </c>
      <c r="AW164" s="2">
        <f>SUM(W164:AU164)</f>
        <v/>
      </c>
    </row>
    <row r="165">
      <c r="A165" s="2" t="inlineStr">
        <is>
          <t>14-D-678</t>
        </is>
      </c>
      <c r="B165" s="3" t="inlineStr">
        <is>
          <t>DOJC-SM-ST/PC-SC/PC</t>
        </is>
      </c>
      <c r="C165" s="2" t="inlineStr">
        <is>
          <t>30M</t>
        </is>
      </c>
      <c r="D165" s="2" t="inlineStr">
        <is>
          <t>a1</t>
        </is>
      </c>
      <c r="E165" s="2" t="inlineStr">
        <is>
          <t>2.0mm</t>
        </is>
      </c>
      <c r="F165" s="2" t="n">
        <v>2</v>
      </c>
      <c r="G165" s="2" t="n">
        <v>30</v>
      </c>
      <c r="H165" s="2" t="inlineStr">
        <is>
          <t>SC/PC</t>
        </is>
      </c>
      <c r="I165" s="2" t="inlineStr">
        <is>
          <t>SC/PC</t>
        </is>
      </c>
      <c r="J165" s="2" t="n"/>
      <c r="K165" s="2" t="n"/>
      <c r="L165" s="2" t="n"/>
      <c r="M165" s="2" t="n">
        <v>2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>
        <f>SUM(J165:U165)</f>
        <v/>
      </c>
      <c r="W165" s="2" t="n"/>
      <c r="X165" s="2" t="n"/>
      <c r="Y165" s="2" t="n"/>
      <c r="Z165" s="2" t="n"/>
      <c r="AA165" s="2" t="n">
        <v>4</v>
      </c>
      <c r="AB165" s="2" t="n">
        <v>4</v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>
        <f>IF(F165=1,V165*2,IF(F165=2,V165*F165*2,IF(F165&gt;2,F165*2*V165)))</f>
        <v/>
      </c>
      <c r="AW165" s="2">
        <f>SUM(W165:AU165)</f>
        <v/>
      </c>
    </row>
    <row r="166">
      <c r="A166" s="2" t="inlineStr">
        <is>
          <t>14-D-696</t>
        </is>
      </c>
      <c r="B166" s="3" t="inlineStr">
        <is>
          <t>DOJC-MM(OM3)-LC/PC-LC/PC</t>
        </is>
      </c>
      <c r="C166" s="2" t="inlineStr">
        <is>
          <t>1M</t>
        </is>
      </c>
      <c r="D166" s="2" t="inlineStr">
        <is>
          <t>om3</t>
        </is>
      </c>
      <c r="E166" s="2" t="inlineStr">
        <is>
          <t>2.0mm</t>
        </is>
      </c>
      <c r="F166" s="2" t="n">
        <v>2</v>
      </c>
      <c r="G166" s="2" t="n">
        <v>1</v>
      </c>
      <c r="H166" s="2" t="inlineStr">
        <is>
          <t>LC/PC</t>
        </is>
      </c>
      <c r="I166" s="2" t="inlineStr">
        <is>
          <t>LC/PC</t>
        </is>
      </c>
      <c r="J166" s="2" t="n"/>
      <c r="K166" s="2" t="n"/>
      <c r="L166" s="2" t="n">
        <v>10</v>
      </c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>
        <f>SUM(J166:U166)</f>
        <v/>
      </c>
      <c r="W166" s="2" t="n"/>
      <c r="X166" s="2" t="n">
        <v>20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>
        <v>20</v>
      </c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>
        <f>IF(F166=1,V166*2,IF(F166=2,V166*F166*2,IF(F166&gt;2,F166*2*V166)))</f>
        <v/>
      </c>
      <c r="AW166" s="2">
        <f>SUM(W166:AU166)</f>
        <v/>
      </c>
    </row>
    <row r="167">
      <c r="A167" s="2" t="inlineStr">
        <is>
          <t>14-D-707</t>
        </is>
      </c>
      <c r="B167" s="3" t="inlineStr">
        <is>
          <t>DOJC-MM(OM3)-LC/PC-SC/PC</t>
        </is>
      </c>
      <c r="C167" s="2" t="inlineStr">
        <is>
          <t>3M</t>
        </is>
      </c>
      <c r="D167" s="2" t="inlineStr">
        <is>
          <t>om3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SC/PC</t>
        </is>
      </c>
      <c r="J167" s="2" t="n"/>
      <c r="K167" s="2" t="n">
        <v>124</v>
      </c>
      <c r="L167" s="2" t="n">
        <v>200</v>
      </c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>
        <f>SUM(J167:U167)</f>
        <v/>
      </c>
      <c r="W167" s="2" t="n"/>
      <c r="X167" s="2" t="n"/>
      <c r="Y167" s="2" t="n"/>
      <c r="Z167" s="2" t="n"/>
      <c r="AA167" s="2" t="n"/>
      <c r="AB167" s="2" t="n">
        <v>648</v>
      </c>
      <c r="AC167" s="2" t="n"/>
      <c r="AD167" s="2" t="n"/>
      <c r="AE167" s="2" t="n"/>
      <c r="AF167" s="2" t="n"/>
      <c r="AG167" s="2" t="n"/>
      <c r="AH167" s="2" t="n"/>
      <c r="AI167" s="2" t="n">
        <v>648</v>
      </c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>
        <f>IF(F167=1,V167*2,IF(F167=2,V167*F167*2,IF(F167&gt;2,F167*2*V167)))</f>
        <v/>
      </c>
      <c r="AW167" s="2">
        <f>SUM(W167:AU167)</f>
        <v/>
      </c>
    </row>
    <row r="168">
      <c r="A168" s="2" t="inlineStr">
        <is>
          <t>14-D-710</t>
        </is>
      </c>
      <c r="B168" s="3" t="inlineStr">
        <is>
          <t>DOJC-SM-LC/PC-FC/APC</t>
        </is>
      </c>
      <c r="C168" s="2" t="inlineStr">
        <is>
          <t>20M_적색케이블</t>
        </is>
      </c>
      <c r="D168" s="2" t="inlineStr">
        <is>
          <t>a1-적</t>
        </is>
      </c>
      <c r="E168" s="2" t="inlineStr">
        <is>
          <t>2.0mm</t>
        </is>
      </c>
      <c r="F168" s="2" t="n">
        <v>2</v>
      </c>
      <c r="G168" s="2" t="n">
        <v>20</v>
      </c>
      <c r="H168" s="2" t="inlineStr">
        <is>
          <t>LC/PC</t>
        </is>
      </c>
      <c r="I168" s="2" t="inlineStr">
        <is>
          <t>FC/APC</t>
        </is>
      </c>
      <c r="J168" s="2" t="n"/>
      <c r="K168" s="2" t="n">
        <v>10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>
        <f>SUM(J168:U168)</f>
        <v/>
      </c>
      <c r="W168" s="2" t="n">
        <v>20</v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>
        <v>20</v>
      </c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>
        <f>IF(F168=1,V168*2,IF(F168=2,V168*F168*2,IF(F168&gt;2,F168*2*V168)))</f>
        <v/>
      </c>
      <c r="AW168" s="2">
        <f>SUM(W168:AU168)</f>
        <v/>
      </c>
    </row>
    <row r="169">
      <c r="A169" s="2" t="inlineStr">
        <is>
          <t>14-D-725</t>
        </is>
      </c>
      <c r="B169" s="3" t="inlineStr">
        <is>
          <t>DOJC-SM-SC/PC-SC/PC</t>
        </is>
      </c>
      <c r="C169" s="2" t="inlineStr">
        <is>
          <t>10M_녹색케이블</t>
        </is>
      </c>
      <c r="D169" s="2" t="inlineStr">
        <is>
          <t>a1-녹</t>
        </is>
      </c>
      <c r="E169" s="2" t="inlineStr">
        <is>
          <t>2.0mm</t>
        </is>
      </c>
      <c r="F169" s="2" t="n">
        <v>2</v>
      </c>
      <c r="G169" s="2" t="n">
        <v>10</v>
      </c>
      <c r="H169" s="2" t="inlineStr">
        <is>
          <t>SC/PC</t>
        </is>
      </c>
      <c r="I169" s="2" t="inlineStr">
        <is>
          <t>SC/PC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>
        <v>12</v>
      </c>
      <c r="V169" s="2">
        <f>SUM(J169:U169)</f>
        <v/>
      </c>
      <c r="W169" s="2" t="n"/>
      <c r="X169" s="2" t="n"/>
      <c r="Y169" s="2" t="n"/>
      <c r="Z169" s="2" t="n"/>
      <c r="AA169" s="2" t="n">
        <v>24</v>
      </c>
      <c r="AB169" s="2" t="n">
        <v>24</v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>
        <f>IF(F169=1,V169*2,IF(F169=2,V169*F169*2,IF(F169&gt;2,F169*2*V169)))</f>
        <v/>
      </c>
      <c r="AW169" s="2">
        <f>SUM(W169:AU169)</f>
        <v/>
      </c>
    </row>
    <row r="170">
      <c r="A170" s="2" t="inlineStr">
        <is>
          <t>14-D-732</t>
        </is>
      </c>
      <c r="B170" s="3" t="inlineStr">
        <is>
          <t>DOJC-SM-LC/PC-LC/PC</t>
        </is>
      </c>
      <c r="C170" s="2" t="inlineStr">
        <is>
          <t>15M_청색케이블</t>
        </is>
      </c>
      <c r="D170" s="2" t="inlineStr">
        <is>
          <t>a1-청</t>
        </is>
      </c>
      <c r="E170" s="2" t="inlineStr">
        <is>
          <t>2.0mm</t>
        </is>
      </c>
      <c r="F170" s="2" t="n">
        <v>2</v>
      </c>
      <c r="G170" s="2" t="n">
        <v>15</v>
      </c>
      <c r="H170" s="2" t="inlineStr">
        <is>
          <t>LC/PC</t>
        </is>
      </c>
      <c r="I170" s="2" t="inlineStr">
        <is>
          <t>LC/PC</t>
        </is>
      </c>
      <c r="J170" s="2" t="n"/>
      <c r="K170" s="2" t="n">
        <v>60</v>
      </c>
      <c r="L170" s="2" t="n"/>
      <c r="M170" s="2" t="n"/>
      <c r="N170" s="2" t="n"/>
      <c r="O170" s="2" t="n"/>
      <c r="P170" s="2" t="n">
        <v>30</v>
      </c>
      <c r="Q170" s="2" t="n"/>
      <c r="R170" s="2" t="n"/>
      <c r="S170" s="2" t="n"/>
      <c r="T170" s="2" t="n"/>
      <c r="U170" s="2" t="n"/>
      <c r="V170" s="2">
        <f>SUM(J170:U170)</f>
        <v/>
      </c>
      <c r="W170" s="2" t="n">
        <v>180</v>
      </c>
      <c r="X170" s="2" t="n">
        <v>180</v>
      </c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>
        <f>IF(F170=1,V170*2,IF(F170=2,V170*F170*2,IF(F170&gt;2,F170*2*V170)))</f>
        <v/>
      </c>
      <c r="AW170" s="2">
        <f>SUM(W170:AU170)</f>
        <v/>
      </c>
    </row>
    <row r="171">
      <c r="A171" s="2" t="inlineStr">
        <is>
          <t>14-D-733</t>
        </is>
      </c>
      <c r="B171" s="3" t="inlineStr">
        <is>
          <t>DOJC-SM-LC/PC-LC/PC</t>
        </is>
      </c>
      <c r="C171" s="2" t="inlineStr">
        <is>
          <t>20M_청색케이블</t>
        </is>
      </c>
      <c r="D171" s="2" t="inlineStr">
        <is>
          <t>a1-청</t>
        </is>
      </c>
      <c r="E171" s="2" t="inlineStr">
        <is>
          <t>2.0mm</t>
        </is>
      </c>
      <c r="F171" s="2" t="n">
        <v>2</v>
      </c>
      <c r="G171" s="2" t="n">
        <v>20</v>
      </c>
      <c r="H171" s="2" t="inlineStr">
        <is>
          <t>LC/PC</t>
        </is>
      </c>
      <c r="I171" s="2" t="inlineStr">
        <is>
          <t>LC/PC</t>
        </is>
      </c>
      <c r="J171" s="2" t="n">
        <v>30</v>
      </c>
      <c r="K171" s="2" t="n">
        <v>60</v>
      </c>
      <c r="L171" s="2" t="n"/>
      <c r="M171" s="2" t="n"/>
      <c r="N171" s="2" t="n"/>
      <c r="O171" s="2" t="n"/>
      <c r="P171" s="2" t="n">
        <v>30</v>
      </c>
      <c r="Q171" s="2" t="n"/>
      <c r="R171" s="2" t="n"/>
      <c r="S171" s="2" t="n"/>
      <c r="T171" s="2" t="n"/>
      <c r="U171" s="2" t="n"/>
      <c r="V171" s="2">
        <f>SUM(J171:U171)</f>
        <v/>
      </c>
      <c r="W171" s="2" t="n">
        <v>240</v>
      </c>
      <c r="X171" s="2" t="n">
        <v>240</v>
      </c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>
        <f>IF(F171=1,V171*2,IF(F171=2,V171*F171*2,IF(F171&gt;2,F171*2*V171)))</f>
        <v/>
      </c>
      <c r="AW171" s="2">
        <f>SUM(W171:AU171)</f>
        <v/>
      </c>
    </row>
    <row r="172">
      <c r="A172" s="2" t="inlineStr">
        <is>
          <t>14-D-734</t>
        </is>
      </c>
      <c r="B172" s="3" t="inlineStr">
        <is>
          <t>DOJC-SM-LC/PC-LC/PC</t>
        </is>
      </c>
      <c r="C172" s="2" t="inlineStr">
        <is>
          <t>25M_청색케이블</t>
        </is>
      </c>
      <c r="D172" s="2" t="inlineStr">
        <is>
          <t>a1-청</t>
        </is>
      </c>
      <c r="E172" s="2" t="inlineStr">
        <is>
          <t>2.0mm</t>
        </is>
      </c>
      <c r="F172" s="2" t="n">
        <v>2</v>
      </c>
      <c r="G172" s="2" t="n">
        <v>25</v>
      </c>
      <c r="H172" s="2" t="inlineStr">
        <is>
          <t>LC/PC</t>
        </is>
      </c>
      <c r="I172" s="2" t="inlineStr">
        <is>
          <t>LC/PC</t>
        </is>
      </c>
      <c r="J172" s="2" t="n">
        <v>30</v>
      </c>
      <c r="K172" s="2" t="n"/>
      <c r="L172" s="2" t="n"/>
      <c r="M172" s="2" t="n"/>
      <c r="N172" s="2" t="n"/>
      <c r="O172" s="2" t="n"/>
      <c r="P172" s="2" t="n">
        <v>30</v>
      </c>
      <c r="Q172" s="2" t="n"/>
      <c r="R172" s="2" t="n"/>
      <c r="S172" s="2" t="n"/>
      <c r="T172" s="2" t="n"/>
      <c r="U172" s="2" t="n"/>
      <c r="V172" s="2">
        <f>SUM(J172:U172)</f>
        <v/>
      </c>
      <c r="W172" s="2" t="n">
        <v>120</v>
      </c>
      <c r="X172" s="2" t="n">
        <v>120</v>
      </c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>
        <f>IF(F172=1,V172*2,IF(F172=2,V172*F172*2,IF(F172&gt;2,F172*2*V172)))</f>
        <v/>
      </c>
      <c r="AW172" s="2">
        <f>SUM(W172:AU172)</f>
        <v/>
      </c>
    </row>
    <row r="173">
      <c r="A173" s="2" t="inlineStr">
        <is>
          <t>14-D-735</t>
        </is>
      </c>
      <c r="B173" s="3" t="inlineStr">
        <is>
          <t>DOJC-SM-LC/PC-LC/PC</t>
        </is>
      </c>
      <c r="C173" s="2" t="inlineStr">
        <is>
          <t>35M_청색케이블</t>
        </is>
      </c>
      <c r="D173" s="2" t="inlineStr">
        <is>
          <t>a1-청</t>
        </is>
      </c>
      <c r="E173" s="2" t="inlineStr">
        <is>
          <t>2.0mm</t>
        </is>
      </c>
      <c r="F173" s="2" t="n">
        <v>2</v>
      </c>
      <c r="G173" s="2" t="n">
        <v>35</v>
      </c>
      <c r="H173" s="2" t="inlineStr">
        <is>
          <t>LC/PC</t>
        </is>
      </c>
      <c r="I173" s="2" t="inlineStr">
        <is>
          <t>LC/PC</t>
        </is>
      </c>
      <c r="J173" s="2" t="n">
        <v>10</v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</f>
        <v/>
      </c>
      <c r="W173" s="2" t="n">
        <v>20</v>
      </c>
      <c r="X173" s="2" t="n">
        <v>20</v>
      </c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>
        <f>IF(F173=1,V173*2,IF(F173=2,V173*F173*2,IF(F173&gt;2,F173*2*V173)))</f>
        <v/>
      </c>
      <c r="AW173" s="2">
        <f>SUM(W173:AU173)</f>
        <v/>
      </c>
    </row>
    <row r="174">
      <c r="A174" s="2" t="inlineStr">
        <is>
          <t>14-D-768</t>
        </is>
      </c>
      <c r="B174" s="3" t="inlineStr">
        <is>
          <t>DOJC-SM-LC/PC-LC/PC</t>
        </is>
      </c>
      <c r="C174" s="2" t="inlineStr">
        <is>
          <t>30M_청색케이블</t>
        </is>
      </c>
      <c r="D174" s="2" t="inlineStr">
        <is>
          <t>a1-청</t>
        </is>
      </c>
      <c r="E174" s="2" t="inlineStr">
        <is>
          <t>2.0mm</t>
        </is>
      </c>
      <c r="F174" s="2" t="n">
        <v>2</v>
      </c>
      <c r="G174" s="2" t="n">
        <v>30</v>
      </c>
      <c r="H174" s="2" t="inlineStr">
        <is>
          <t>LC/PC</t>
        </is>
      </c>
      <c r="I174" s="2" t="inlineStr">
        <is>
          <t>LC/PC</t>
        </is>
      </c>
      <c r="J174" s="2" t="n"/>
      <c r="K174" s="2" t="n">
        <v>10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>
        <f>SUM(J174:U174)</f>
        <v/>
      </c>
      <c r="W174" s="2" t="n">
        <v>20</v>
      </c>
      <c r="X174" s="2" t="n">
        <v>20</v>
      </c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>
        <f>IF(F174=1,V174*2,IF(F174=2,V174*F174*2,IF(F174&gt;2,F174*2*V174)))</f>
        <v/>
      </c>
      <c r="AW174" s="2">
        <f>SUM(W174:AU174)</f>
        <v/>
      </c>
    </row>
    <row r="175">
      <c r="A175" s="2" t="inlineStr">
        <is>
          <t>14-D-891</t>
        </is>
      </c>
      <c r="B175" s="3" t="inlineStr">
        <is>
          <t>DOJC-SM-LC/APC-LC/APC</t>
        </is>
      </c>
      <c r="C175" s="2" t="inlineStr">
        <is>
          <t>3M</t>
        </is>
      </c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3</v>
      </c>
      <c r="H175" s="2" t="inlineStr">
        <is>
          <t>LC/APC</t>
        </is>
      </c>
      <c r="I175" s="2" t="inlineStr">
        <is>
          <t>LC/APC</t>
        </is>
      </c>
      <c r="J175" s="2" t="n"/>
      <c r="K175" s="2" t="n"/>
      <c r="L175" s="2" t="n">
        <v>70</v>
      </c>
      <c r="M175" s="2" t="n"/>
      <c r="N175" s="2" t="n"/>
      <c r="O175" s="2" t="n"/>
      <c r="P175" s="2" t="n">
        <v>30</v>
      </c>
      <c r="Q175" s="2" t="n"/>
      <c r="R175" s="2" t="n"/>
      <c r="S175" s="2" t="n"/>
      <c r="T175" s="2" t="n"/>
      <c r="U175" s="2" t="n"/>
      <c r="V175" s="2">
        <f>SUM(J175:U175)</f>
        <v/>
      </c>
      <c r="W175" s="2" t="n"/>
      <c r="X175" s="2" t="n"/>
      <c r="Y175" s="2" t="n">
        <v>200</v>
      </c>
      <c r="Z175" s="2" t="n">
        <v>200</v>
      </c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>
        <f>IF(F175=1,V175*2,IF(F175=2,V175*F175*2,IF(F175&gt;2,F175*2*V175)))</f>
        <v/>
      </c>
      <c r="AW175" s="2">
        <f>SUM(W175:AU175)</f>
        <v/>
      </c>
    </row>
    <row r="176">
      <c r="A176" s="2" t="inlineStr">
        <is>
          <t>14-D-A10</t>
        </is>
      </c>
      <c r="B176" s="3" t="inlineStr">
        <is>
          <t>DOJC-SM-LC/PC-LC/PC</t>
        </is>
      </c>
      <c r="C176" s="2" t="inlineStr">
        <is>
          <t>10M_청색케이블</t>
        </is>
      </c>
      <c r="D176" s="2" t="inlineStr">
        <is>
          <t>a1-청</t>
        </is>
      </c>
      <c r="E176" s="2" t="inlineStr">
        <is>
          <t>2.0mm</t>
        </is>
      </c>
      <c r="F176" s="2" t="n">
        <v>2</v>
      </c>
      <c r="G176" s="2" t="n">
        <v>10</v>
      </c>
      <c r="H176" s="2" t="inlineStr">
        <is>
          <t>LC/PC</t>
        </is>
      </c>
      <c r="I176" s="2" t="inlineStr">
        <is>
          <t>LC/PC</t>
        </is>
      </c>
      <c r="J176" s="2" t="n"/>
      <c r="K176" s="2" t="n">
        <v>20</v>
      </c>
      <c r="L176" s="2" t="n"/>
      <c r="M176" s="2" t="n"/>
      <c r="N176" s="2" t="n"/>
      <c r="O176" s="2" t="n"/>
      <c r="P176" s="2" t="n">
        <v>30</v>
      </c>
      <c r="Q176" s="2" t="n"/>
      <c r="R176" s="2" t="n"/>
      <c r="S176" s="2" t="n"/>
      <c r="T176" s="2" t="n"/>
      <c r="U176" s="2" t="n"/>
      <c r="V176" s="2">
        <f>SUM(J176:U176)</f>
        <v/>
      </c>
      <c r="W176" s="2" t="n">
        <v>100</v>
      </c>
      <c r="X176" s="2" t="n">
        <v>100</v>
      </c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>
        <f>IF(F176=1,V176*2,IF(F176=2,V176*F176*2,IF(F176&gt;2,F176*2*V176)))</f>
        <v/>
      </c>
      <c r="AW176" s="2">
        <f>SUM(W176:AU176)</f>
        <v/>
      </c>
    </row>
    <row r="177">
      <c r="A177" s="2" t="inlineStr">
        <is>
          <t>14-D-A100</t>
        </is>
      </c>
      <c r="B177" s="3" t="inlineStr">
        <is>
          <t>OJC-A1-SC/LC-SM-20-PC/PC-DP</t>
        </is>
      </c>
      <c r="C177" s="2" t="inlineStr">
        <is>
          <t>K9089164_녹색</t>
        </is>
      </c>
      <c r="D177" s="2" t="inlineStr">
        <is>
          <t>a1-녹</t>
        </is>
      </c>
      <c r="E177" s="2" t="inlineStr">
        <is>
          <t>2.0mm</t>
        </is>
      </c>
      <c r="F177" s="2" t="n">
        <v>2</v>
      </c>
      <c r="G177" s="2" t="n">
        <v>20</v>
      </c>
      <c r="H177" s="2" t="inlineStr">
        <is>
          <t>SC/PC</t>
        </is>
      </c>
      <c r="I177" s="2" t="inlineStr">
        <is>
          <t>LC/PC</t>
        </is>
      </c>
      <c r="J177" s="2" t="n"/>
      <c r="K177" s="2" t="n"/>
      <c r="L177" s="2" t="n"/>
      <c r="M177" s="2" t="n">
        <v>35</v>
      </c>
      <c r="N177" s="2" t="n"/>
      <c r="O177" s="2" t="n"/>
      <c r="P177" s="2" t="n">
        <v>12</v>
      </c>
      <c r="Q177" s="2" t="n"/>
      <c r="R177" s="2" t="n"/>
      <c r="S177" s="2" t="n">
        <v>4</v>
      </c>
      <c r="T177" s="2" t="n">
        <v>4</v>
      </c>
      <c r="U177" s="2" t="n">
        <v>120</v>
      </c>
      <c r="V177" s="2">
        <f>SUM(J177:U177)</f>
        <v/>
      </c>
      <c r="W177" s="2" t="n"/>
      <c r="X177" s="2" t="n">
        <v>350</v>
      </c>
      <c r="Y177" s="2" t="n"/>
      <c r="Z177" s="2" t="n"/>
      <c r="AA177" s="2" t="n">
        <v>350</v>
      </c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>
        <f>IF(F177=1,V177*2,IF(F177=2,V177*F177*2,IF(F177&gt;2,F177*2*V177)))</f>
        <v/>
      </c>
      <c r="AW177" s="2">
        <f>SUM(W177:AU177)</f>
        <v/>
      </c>
    </row>
    <row r="178">
      <c r="A178" s="2" t="inlineStr">
        <is>
          <t>14-D-A102</t>
        </is>
      </c>
      <c r="B178" s="3" t="inlineStr">
        <is>
          <t>OJC-A1-LC/LC-SM-20-PC/PC-DP</t>
        </is>
      </c>
      <c r="C178" s="2" t="inlineStr">
        <is>
          <t>K9089178_녹색</t>
        </is>
      </c>
      <c r="D178" s="2" t="inlineStr">
        <is>
          <t>a1-녹</t>
        </is>
      </c>
      <c r="E178" s="2" t="inlineStr">
        <is>
          <t>2.0mm</t>
        </is>
      </c>
      <c r="F178" s="2" t="n">
        <v>2</v>
      </c>
      <c r="G178" s="2" t="n">
        <v>20</v>
      </c>
      <c r="H178" s="2" t="inlineStr">
        <is>
          <t>LC/PC</t>
        </is>
      </c>
      <c r="I178" s="2" t="inlineStr">
        <is>
          <t>LC/PC</t>
        </is>
      </c>
      <c r="J178" s="2" t="n"/>
      <c r="K178" s="2" t="n"/>
      <c r="L178" s="2" t="n"/>
      <c r="M178" s="2" t="n">
        <v>5</v>
      </c>
      <c r="N178" s="2" t="n"/>
      <c r="O178" s="2" t="n">
        <v>41</v>
      </c>
      <c r="P178" s="2" t="n"/>
      <c r="Q178" s="2" t="n"/>
      <c r="R178" s="2" t="n"/>
      <c r="S178" s="2" t="n"/>
      <c r="T178" s="2" t="n">
        <v>26</v>
      </c>
      <c r="U178" s="2" t="n">
        <v>6</v>
      </c>
      <c r="V178" s="2">
        <f>SUM(J178:U178)</f>
        <v/>
      </c>
      <c r="W178" s="2" t="n">
        <v>156</v>
      </c>
      <c r="X178" s="2" t="n">
        <v>156</v>
      </c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>
        <f>IF(F178=1,V178*2,IF(F178=2,V178*F178*2,IF(F178&gt;2,F178*2*V178)))</f>
        <v/>
      </c>
      <c r="AW178" s="2">
        <f>SUM(W178:AU178)</f>
        <v/>
      </c>
    </row>
    <row r="179">
      <c r="A179" s="2" t="inlineStr">
        <is>
          <t>14-D-A104</t>
        </is>
      </c>
      <c r="B179" s="3" t="inlineStr">
        <is>
          <t>OJC-A1-SC/LC-SM-25-PC/PC-DP</t>
        </is>
      </c>
      <c r="C179" s="2" t="inlineStr">
        <is>
          <t>K9089165_녹색</t>
        </is>
      </c>
      <c r="D179" s="2" t="inlineStr">
        <is>
          <t>a1-녹</t>
        </is>
      </c>
      <c r="E179" s="2" t="inlineStr">
        <is>
          <t>2.0mm</t>
        </is>
      </c>
      <c r="F179" s="2" t="n">
        <v>2</v>
      </c>
      <c r="G179" s="2" t="n">
        <v>25</v>
      </c>
      <c r="H179" s="2" t="inlineStr">
        <is>
          <t>SC/PC</t>
        </is>
      </c>
      <c r="I179" s="2" t="inlineStr">
        <is>
          <t>LC/PC</t>
        </is>
      </c>
      <c r="J179" s="2" t="n"/>
      <c r="K179" s="2" t="n"/>
      <c r="L179" s="2" t="n"/>
      <c r="M179" s="2" t="n">
        <v>5</v>
      </c>
      <c r="N179" s="2" t="n"/>
      <c r="O179" s="2" t="n"/>
      <c r="P179" s="2" t="n">
        <v>12</v>
      </c>
      <c r="Q179" s="2" t="n"/>
      <c r="R179" s="2" t="n"/>
      <c r="S179" s="2" t="n">
        <v>4</v>
      </c>
      <c r="T179" s="2" t="n">
        <v>3</v>
      </c>
      <c r="U179" s="2" t="n"/>
      <c r="V179" s="2">
        <f>SUM(J179:U179)</f>
        <v/>
      </c>
      <c r="W179" s="2" t="n"/>
      <c r="X179" s="2" t="n">
        <v>48</v>
      </c>
      <c r="Y179" s="2" t="n"/>
      <c r="Z179" s="2" t="n"/>
      <c r="AA179" s="2" t="n">
        <v>48</v>
      </c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>
        <f>IF(F179=1,V179*2,IF(F179=2,V179*F179*2,IF(F179&gt;2,F179*2*V179)))</f>
        <v/>
      </c>
      <c r="AW179" s="2">
        <f>SUM(W179:AU179)</f>
        <v/>
      </c>
    </row>
    <row r="180">
      <c r="A180" s="2" t="inlineStr">
        <is>
          <t>14-D-A105</t>
        </is>
      </c>
      <c r="B180" s="3" t="inlineStr">
        <is>
          <t>DOJC-SM-LC/PC-LC/PC</t>
        </is>
      </c>
      <c r="C180" s="2" t="inlineStr">
        <is>
          <t>7M_청색</t>
        </is>
      </c>
      <c r="D180" s="2" t="inlineStr">
        <is>
          <t>a1-청</t>
        </is>
      </c>
      <c r="E180" s="2" t="inlineStr">
        <is>
          <t>2.0mm</t>
        </is>
      </c>
      <c r="F180" s="2" t="n">
        <v>2</v>
      </c>
      <c r="G180" s="2" t="n">
        <v>7</v>
      </c>
      <c r="H180" s="2" t="inlineStr">
        <is>
          <t>LC/PC</t>
        </is>
      </c>
      <c r="I180" s="2" t="inlineStr">
        <is>
          <t>LC/PC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>
        <v>10</v>
      </c>
      <c r="V180" s="2">
        <f>SUM(J180:U180)</f>
        <v/>
      </c>
      <c r="W180" s="2" t="n">
        <v>20</v>
      </c>
      <c r="X180" s="2" t="n">
        <v>20</v>
      </c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>
        <f>IF(F180=1,V180*2,IF(F180=2,V180*F180*2,IF(F180&gt;2,F180*2*V180)))</f>
        <v/>
      </c>
      <c r="AW180" s="2">
        <f>SUM(W180:AU180)</f>
        <v/>
      </c>
    </row>
    <row r="181">
      <c r="A181" s="2" t="inlineStr">
        <is>
          <t>14-D-A109</t>
        </is>
      </c>
      <c r="B181" s="3" t="inlineStr">
        <is>
          <t>DOJC-SM-LC/APC-LC/APC</t>
        </is>
      </c>
      <c r="C181" s="2" t="inlineStr">
        <is>
          <t>5M</t>
        </is>
      </c>
      <c r="D181" s="2" t="inlineStr">
        <is>
          <t>a1</t>
        </is>
      </c>
      <c r="E181" s="2" t="inlineStr">
        <is>
          <t>2.0mm</t>
        </is>
      </c>
      <c r="F181" s="2" t="n">
        <v>2</v>
      </c>
      <c r="G181" s="2" t="n">
        <v>5</v>
      </c>
      <c r="H181" s="2" t="inlineStr">
        <is>
          <t>LC/APC</t>
        </is>
      </c>
      <c r="I181" s="2" t="inlineStr">
        <is>
          <t>LC/APC</t>
        </is>
      </c>
      <c r="J181" s="2" t="n"/>
      <c r="K181" s="2" t="n"/>
      <c r="L181" s="2" t="n"/>
      <c r="M181" s="2" t="n"/>
      <c r="N181" s="2" t="n"/>
      <c r="O181" s="2" t="n"/>
      <c r="P181" s="2" t="n">
        <v>20</v>
      </c>
      <c r="Q181" s="2" t="n"/>
      <c r="R181" s="2" t="n"/>
      <c r="S181" s="2" t="n"/>
      <c r="T181" s="2" t="n"/>
      <c r="U181" s="2" t="n"/>
      <c r="V181" s="2">
        <f>SUM(J181:U181)</f>
        <v/>
      </c>
      <c r="W181" s="2" t="n"/>
      <c r="X181" s="2" t="n"/>
      <c r="Y181" s="2" t="n">
        <v>40</v>
      </c>
      <c r="Z181" s="2" t="n">
        <v>40</v>
      </c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>
        <f>IF(F181=1,V181*2,IF(F181=2,V181*F181*2,IF(F181&gt;2,F181*2*V181)))</f>
        <v/>
      </c>
      <c r="AW181" s="2">
        <f>SUM(W181:AU181)</f>
        <v/>
      </c>
    </row>
    <row r="182">
      <c r="A182" s="2" t="inlineStr">
        <is>
          <t>14-D-A126</t>
        </is>
      </c>
      <c r="B182" s="3" t="inlineStr">
        <is>
          <t>OJC-A1-SC/LC-SM-10-PC/PC-DP</t>
        </is>
      </c>
      <c r="C182" s="2" t="inlineStr">
        <is>
          <t>K9089162_녹색</t>
        </is>
      </c>
      <c r="D182" s="2" t="inlineStr">
        <is>
          <t>a1-녹</t>
        </is>
      </c>
      <c r="E182" s="2" t="inlineStr">
        <is>
          <t>2.0mm</t>
        </is>
      </c>
      <c r="F182" s="2" t="n">
        <v>2</v>
      </c>
      <c r="G182" s="2" t="n">
        <v>10</v>
      </c>
      <c r="H182" s="2" t="inlineStr">
        <is>
          <t>SC/PC</t>
        </is>
      </c>
      <c r="I182" s="2" t="inlineStr">
        <is>
          <t>LC/PC</t>
        </is>
      </c>
      <c r="J182" s="2" t="n"/>
      <c r="K182" s="2" t="n"/>
      <c r="L182" s="2" t="n"/>
      <c r="M182" s="2" t="n">
        <v>5</v>
      </c>
      <c r="N182" s="2" t="n"/>
      <c r="O182" s="2" t="n"/>
      <c r="P182" s="2" t="n"/>
      <c r="Q182" s="2" t="n"/>
      <c r="R182" s="2" t="n"/>
      <c r="S182" s="2" t="n"/>
      <c r="T182" s="2" t="n"/>
      <c r="U182" s="2" t="n">
        <v>1</v>
      </c>
      <c r="V182" s="2">
        <f>SUM(J182:U182)</f>
        <v/>
      </c>
      <c r="W182" s="2" t="n"/>
      <c r="X182" s="2" t="n">
        <v>12</v>
      </c>
      <c r="Y182" s="2" t="n"/>
      <c r="Z182" s="2" t="n"/>
      <c r="AA182" s="2" t="n">
        <v>12</v>
      </c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>
        <f>IF(F182=1,V182*2,IF(F182=2,V182*F182*2,IF(F182&gt;2,F182*2*V182)))</f>
        <v/>
      </c>
      <c r="AW182" s="2">
        <f>SUM(W182:AU182)</f>
        <v/>
      </c>
    </row>
    <row r="183">
      <c r="A183" s="2" t="inlineStr">
        <is>
          <t>14-D-A127</t>
        </is>
      </c>
      <c r="B183" s="3" t="inlineStr">
        <is>
          <t>OJC-A1-SC/LC-SM-15-PC/PC-DP</t>
        </is>
      </c>
      <c r="C183" s="2" t="inlineStr">
        <is>
          <t>K9089163_녹색</t>
        </is>
      </c>
      <c r="D183" s="2" t="inlineStr">
        <is>
          <t>a1-녹</t>
        </is>
      </c>
      <c r="E183" s="2" t="inlineStr">
        <is>
          <t>2.0mm</t>
        </is>
      </c>
      <c r="F183" s="2" t="n">
        <v>2</v>
      </c>
      <c r="G183" s="2" t="n">
        <v>15</v>
      </c>
      <c r="H183" s="2" t="inlineStr">
        <is>
          <t>SC/PC</t>
        </is>
      </c>
      <c r="I183" s="2" t="inlineStr">
        <is>
          <t>LC/PC</t>
        </is>
      </c>
      <c r="J183" s="2" t="n"/>
      <c r="K183" s="2" t="n"/>
      <c r="L183" s="2" t="n"/>
      <c r="M183" s="2" t="n">
        <v>20</v>
      </c>
      <c r="N183" s="2" t="n"/>
      <c r="O183" s="2" t="n"/>
      <c r="P183" s="2" t="n"/>
      <c r="Q183" s="2" t="n"/>
      <c r="R183" s="2" t="n"/>
      <c r="S183" s="2" t="n"/>
      <c r="T183" s="2" t="n">
        <v>20</v>
      </c>
      <c r="U183" s="2" t="n">
        <v>300</v>
      </c>
      <c r="V183" s="2">
        <f>SUM(J183:U183)</f>
        <v/>
      </c>
      <c r="W183" s="2" t="n"/>
      <c r="X183" s="2" t="n">
        <v>680</v>
      </c>
      <c r="Y183" s="2" t="n"/>
      <c r="Z183" s="2" t="n"/>
      <c r="AA183" s="2" t="n">
        <v>680</v>
      </c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>
        <f>IF(F183=1,V183*2,IF(F183=2,V183*F183*2,IF(F183&gt;2,F183*2*V183)))</f>
        <v/>
      </c>
      <c r="AW183" s="2">
        <f>SUM(W183:AU183)</f>
        <v/>
      </c>
    </row>
    <row r="184">
      <c r="A184" s="2" t="inlineStr">
        <is>
          <t>14-D-A138</t>
        </is>
      </c>
      <c r="B184" s="3" t="inlineStr">
        <is>
          <t>OJC-A1-LC/LC-SM-16.5-PC/PC-DP</t>
        </is>
      </c>
      <c r="C184" s="2" t="inlineStr">
        <is>
          <t>16.5M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16.5</v>
      </c>
      <c r="H184" s="2" t="inlineStr">
        <is>
          <t>LC/PC</t>
        </is>
      </c>
      <c r="I184" s="2" t="inlineStr">
        <is>
          <t>LC/PC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>
        <v>1</v>
      </c>
      <c r="T184" s="2" t="n"/>
      <c r="U184" s="2" t="n"/>
      <c r="V184" s="2">
        <f>SUM(J184:U184)</f>
        <v/>
      </c>
      <c r="W184" s="2" t="n">
        <v>2</v>
      </c>
      <c r="X184" s="2" t="n">
        <v>2</v>
      </c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>
        <f>IF(F184=1,V184*2,IF(F184=2,V184*F184*2,IF(F184&gt;2,F184*2*V184)))</f>
        <v/>
      </c>
      <c r="AW184" s="2">
        <f>SUM(W184:AU184)</f>
        <v/>
      </c>
    </row>
    <row r="185">
      <c r="A185" s="2" t="inlineStr">
        <is>
          <t>14-D-A139</t>
        </is>
      </c>
      <c r="B185" s="3" t="inlineStr">
        <is>
          <t>OJC-A1-LC/LC-SM-20.5-PC/PC-DP</t>
        </is>
      </c>
      <c r="C185" s="2" t="inlineStr">
        <is>
          <t>20.5M</t>
        </is>
      </c>
      <c r="D185" s="2" t="inlineStr">
        <is>
          <t>a1</t>
        </is>
      </c>
      <c r="E185" s="2" t="inlineStr">
        <is>
          <t>2.0mm</t>
        </is>
      </c>
      <c r="F185" s="2" t="n">
        <v>2</v>
      </c>
      <c r="G185" s="2" t="n">
        <v>20.5</v>
      </c>
      <c r="H185" s="2" t="inlineStr">
        <is>
          <t>LC/PC</t>
        </is>
      </c>
      <c r="I185" s="2" t="inlineStr">
        <is>
          <t>LC/PC</t>
        </is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>
        <v>1</v>
      </c>
      <c r="T185" s="2" t="n"/>
      <c r="U185" s="2" t="n"/>
      <c r="V185" s="2">
        <f>SUM(J185:U185)</f>
        <v/>
      </c>
      <c r="W185" s="2" t="n">
        <v>2</v>
      </c>
      <c r="X185" s="2" t="n">
        <v>2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>
        <f>IF(F185=1,V185*2,IF(F185=2,V185*F185*2,IF(F185&gt;2,F185*2*V185)))</f>
        <v/>
      </c>
      <c r="AW185" s="2">
        <f>SUM(W185:AU185)</f>
        <v/>
      </c>
    </row>
    <row r="186">
      <c r="A186" s="2" t="inlineStr">
        <is>
          <t>14-D-A140</t>
        </is>
      </c>
      <c r="B186" s="3" t="inlineStr">
        <is>
          <t>OJC-A1-LC/LC-SM-11.5-PC/PC-DP</t>
        </is>
      </c>
      <c r="C186" s="2" t="inlineStr">
        <is>
          <t>11.5M</t>
        </is>
      </c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11.5</v>
      </c>
      <c r="H186" s="2" t="inlineStr">
        <is>
          <t>LC/PC</t>
        </is>
      </c>
      <c r="I186" s="2" t="inlineStr">
        <is>
          <t>LC/PC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>
        <v>1</v>
      </c>
      <c r="T186" s="2" t="n"/>
      <c r="U186" s="2" t="n"/>
      <c r="V186" s="2">
        <f>SUM(J186:U186)</f>
        <v/>
      </c>
      <c r="W186" s="2" t="n">
        <v>2</v>
      </c>
      <c r="X186" s="2" t="n">
        <v>2</v>
      </c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>
        <f>IF(F186=1,V186*2,IF(F186=2,V186*F186*2,IF(F186&gt;2,F186*2*V186)))</f>
        <v/>
      </c>
      <c r="AW186" s="2">
        <f>SUM(W186:AU186)</f>
        <v/>
      </c>
    </row>
    <row r="187">
      <c r="A187" s="2" t="inlineStr">
        <is>
          <t>14-D-A177</t>
        </is>
      </c>
      <c r="B187" s="3" t="inlineStr">
        <is>
          <t>DOJC-SM-LC/PC-LC/PC</t>
        </is>
      </c>
      <c r="C187" s="2" t="inlineStr">
        <is>
          <t>3M_적색케이블</t>
        </is>
      </c>
      <c r="D187" s="2" t="inlineStr">
        <is>
          <t>a1-적</t>
        </is>
      </c>
      <c r="E187" s="2" t="inlineStr">
        <is>
          <t>2.0mm</t>
        </is>
      </c>
      <c r="F187" s="2" t="n">
        <v>2</v>
      </c>
      <c r="G187" s="2" t="n">
        <v>3</v>
      </c>
      <c r="H187" s="2" t="inlineStr">
        <is>
          <t>LC/PC</t>
        </is>
      </c>
      <c r="I187" s="2" t="inlineStr">
        <is>
          <t>LC/PC</t>
        </is>
      </c>
      <c r="J187" s="2" t="n"/>
      <c r="K187" s="2" t="n">
        <v>20</v>
      </c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>
        <f>SUM(J187:U187)</f>
        <v/>
      </c>
      <c r="W187" s="2" t="n">
        <v>40</v>
      </c>
      <c r="X187" s="2" t="n">
        <v>40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>
        <f>IF(F187=1,V187*2,IF(F187=2,V187*F187*2,IF(F187&gt;2,F187*2*V187)))</f>
        <v/>
      </c>
      <c r="AW187" s="2">
        <f>SUM(W187:AU187)</f>
        <v/>
      </c>
    </row>
    <row r="188">
      <c r="A188" s="2" t="inlineStr">
        <is>
          <t>14-D-A185</t>
        </is>
      </c>
      <c r="B188" s="3" t="inlineStr">
        <is>
          <t>DOJC-MM(OM3)-LC/PC-LC/PC</t>
        </is>
      </c>
      <c r="C188" s="2" t="inlineStr">
        <is>
          <t>13M</t>
        </is>
      </c>
      <c r="D188" s="2" t="inlineStr">
        <is>
          <t>om3</t>
        </is>
      </c>
      <c r="E188" s="2" t="inlineStr">
        <is>
          <t>2.0mm</t>
        </is>
      </c>
      <c r="F188" s="2" t="n">
        <v>2</v>
      </c>
      <c r="G188" s="2" t="n">
        <v>13</v>
      </c>
      <c r="H188" s="2" t="inlineStr">
        <is>
          <t>LC/PC</t>
        </is>
      </c>
      <c r="I188" s="2" t="inlineStr">
        <is>
          <t>LC/PC</t>
        </is>
      </c>
      <c r="J188" s="2" t="n">
        <v>10</v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>
        <f>SUM(J188:U188)</f>
        <v/>
      </c>
      <c r="W188" s="2" t="n"/>
      <c r="X188" s="2" t="n">
        <v>20</v>
      </c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>
        <v>20</v>
      </c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>
        <f>IF(F188=1,V188*2,IF(F188=2,V188*F188*2,IF(F188&gt;2,F188*2*V188)))</f>
        <v/>
      </c>
      <c r="AW188" s="2">
        <f>SUM(W188:AU188)</f>
        <v/>
      </c>
    </row>
    <row r="189">
      <c r="A189" s="2" t="inlineStr">
        <is>
          <t>14-D-A195</t>
        </is>
      </c>
      <c r="B189" s="3" t="inlineStr">
        <is>
          <t>DOJC-SM-SC/PC-SC/PC</t>
        </is>
      </c>
      <c r="C189" s="2" t="inlineStr">
        <is>
          <t>15M_적색케이블</t>
        </is>
      </c>
      <c r="D189" s="2" t="inlineStr">
        <is>
          <t>a1-적</t>
        </is>
      </c>
      <c r="E189" s="2" t="inlineStr">
        <is>
          <t>2.0mm</t>
        </is>
      </c>
      <c r="F189" s="2" t="n">
        <v>2</v>
      </c>
      <c r="G189" s="2" t="n">
        <v>15</v>
      </c>
      <c r="H189" s="2" t="inlineStr">
        <is>
          <t>SC/PC</t>
        </is>
      </c>
      <c r="I189" s="2" t="inlineStr">
        <is>
          <t>SC/PC</t>
        </is>
      </c>
      <c r="J189" s="2" t="n"/>
      <c r="K189" s="2" t="n"/>
      <c r="L189" s="2" t="n"/>
      <c r="M189" s="2" t="n"/>
      <c r="N189" s="2" t="n"/>
      <c r="O189" s="2" t="n"/>
      <c r="P189" s="2" t="n">
        <v>20</v>
      </c>
      <c r="Q189" s="2" t="n"/>
      <c r="R189" s="2" t="n"/>
      <c r="S189" s="2" t="n"/>
      <c r="T189" s="2" t="n"/>
      <c r="U189" s="2" t="n"/>
      <c r="V189" s="2">
        <f>SUM(J189:U189)</f>
        <v/>
      </c>
      <c r="W189" s="2" t="n"/>
      <c r="X189" s="2" t="n"/>
      <c r="Y189" s="2" t="n"/>
      <c r="Z189" s="2" t="n"/>
      <c r="AA189" s="2" t="n">
        <v>40</v>
      </c>
      <c r="AB189" s="2" t="n">
        <v>40</v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>
        <f>IF(F189=1,V189*2,IF(F189=2,V189*F189*2,IF(F189&gt;2,F189*2*V189)))</f>
        <v/>
      </c>
      <c r="AW189" s="2">
        <f>SUM(W189:AU189)</f>
        <v/>
      </c>
    </row>
    <row r="190">
      <c r="A190" s="2" t="inlineStr">
        <is>
          <t>14-D-A196</t>
        </is>
      </c>
      <c r="B190" s="3" t="inlineStr">
        <is>
          <t>DOJC-SM-SC/PC-SC/PC</t>
        </is>
      </c>
      <c r="C190" s="2" t="inlineStr">
        <is>
          <t>10M_적색케이블</t>
        </is>
      </c>
      <c r="D190" s="2" t="inlineStr">
        <is>
          <t>a1-적</t>
        </is>
      </c>
      <c r="E190" s="2" t="inlineStr">
        <is>
          <t>2.0mm</t>
        </is>
      </c>
      <c r="F190" s="2" t="n">
        <v>2</v>
      </c>
      <c r="G190" s="2" t="n">
        <v>10</v>
      </c>
      <c r="H190" s="2" t="inlineStr">
        <is>
          <t>SC/PC</t>
        </is>
      </c>
      <c r="I190" s="2" t="inlineStr">
        <is>
          <t>SC/PC</t>
        </is>
      </c>
      <c r="J190" s="2" t="n"/>
      <c r="K190" s="2" t="n"/>
      <c r="L190" s="2" t="n"/>
      <c r="M190" s="2" t="n"/>
      <c r="N190" s="2" t="n"/>
      <c r="O190" s="2" t="n"/>
      <c r="P190" s="2" t="n">
        <v>20</v>
      </c>
      <c r="Q190" s="2" t="n"/>
      <c r="R190" s="2" t="n"/>
      <c r="S190" s="2" t="n"/>
      <c r="T190" s="2" t="n"/>
      <c r="U190" s="2" t="n"/>
      <c r="V190" s="2">
        <f>SUM(J190:U190)</f>
        <v/>
      </c>
      <c r="W190" s="2" t="n"/>
      <c r="X190" s="2" t="n"/>
      <c r="Y190" s="2" t="n"/>
      <c r="Z190" s="2" t="n"/>
      <c r="AA190" s="2" t="n">
        <v>40</v>
      </c>
      <c r="AB190" s="2" t="n">
        <v>40</v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>
        <f>IF(F190=1,V190*2,IF(F190=2,V190*F190*2,IF(F190&gt;2,F190*2*V190)))</f>
        <v/>
      </c>
      <c r="AW190" s="2">
        <f>SUM(W190:AU190)</f>
        <v/>
      </c>
    </row>
    <row r="191">
      <c r="A191" s="2" t="inlineStr">
        <is>
          <t>14-D-A198</t>
        </is>
      </c>
      <c r="B191" s="3" t="inlineStr">
        <is>
          <t>DOJC-SM-LC/PC-LC/PC</t>
        </is>
      </c>
      <c r="C191" s="2" t="inlineStr">
        <is>
          <t>1.5M_청색케이블</t>
        </is>
      </c>
      <c r="D191" s="2" t="inlineStr">
        <is>
          <t>a1-청</t>
        </is>
      </c>
      <c r="E191" s="2" t="inlineStr">
        <is>
          <t>2.0mm</t>
        </is>
      </c>
      <c r="F191" s="2" t="n">
        <v>2</v>
      </c>
      <c r="G191" s="2" t="n">
        <v>1.5</v>
      </c>
      <c r="H191" s="2" t="inlineStr">
        <is>
          <t>LC/PC</t>
        </is>
      </c>
      <c r="I191" s="2" t="inlineStr">
        <is>
          <t>LC/PC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>
        <v>60</v>
      </c>
      <c r="V191" s="2">
        <f>SUM(J191:U191)</f>
        <v/>
      </c>
      <c r="W191" s="2" t="n">
        <v>120</v>
      </c>
      <c r="X191" s="2" t="n">
        <v>120</v>
      </c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>
        <f>IF(F191=1,V191*2,IF(F191=2,V191*F191*2,IF(F191&gt;2,F191*2*V191)))</f>
        <v/>
      </c>
      <c r="AW191" s="2">
        <f>SUM(W191:AU191)</f>
        <v/>
      </c>
    </row>
    <row r="192">
      <c r="A192" s="2" t="inlineStr">
        <is>
          <t>14-D-A199</t>
        </is>
      </c>
      <c r="B192" s="3" t="inlineStr">
        <is>
          <t>DOJC-SM-LC/PC-LC/PC</t>
        </is>
      </c>
      <c r="C192" s="2" t="inlineStr">
        <is>
          <t>3M_청색케이블</t>
        </is>
      </c>
      <c r="D192" s="2" t="inlineStr">
        <is>
          <t>a1-청</t>
        </is>
      </c>
      <c r="E192" s="2" t="inlineStr">
        <is>
          <t>2.0mm</t>
        </is>
      </c>
      <c r="F192" s="2" t="n">
        <v>2</v>
      </c>
      <c r="G192" s="2" t="n">
        <v>3</v>
      </c>
      <c r="H192" s="2" t="inlineStr">
        <is>
          <t>LC/PC</t>
        </is>
      </c>
      <c r="I192" s="2" t="inlineStr">
        <is>
          <t>LC/PC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>
        <v>10</v>
      </c>
      <c r="V192" s="2">
        <f>SUM(J192:U192)</f>
        <v/>
      </c>
      <c r="W192" s="2" t="n">
        <v>20</v>
      </c>
      <c r="X192" s="2" t="n">
        <v>20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>
        <f>IF(F192=1,V192*2,IF(F192=2,V192*F192*2,IF(F192&gt;2,F192*2*V192)))</f>
        <v/>
      </c>
      <c r="AW192" s="2">
        <f>SUM(W192:AU192)</f>
        <v/>
      </c>
    </row>
    <row r="193">
      <c r="A193" s="2" t="inlineStr">
        <is>
          <t>14-D-A207</t>
        </is>
      </c>
      <c r="B193" s="3" t="inlineStr">
        <is>
          <t>DOJC-SM-SC/PC-SC/PC</t>
        </is>
      </c>
      <c r="C193" s="2" t="inlineStr">
        <is>
          <t>3M_녹색케이블</t>
        </is>
      </c>
      <c r="D193" s="2" t="inlineStr">
        <is>
          <t>a1-녹</t>
        </is>
      </c>
      <c r="E193" s="2" t="inlineStr">
        <is>
          <t>2.0mm</t>
        </is>
      </c>
      <c r="F193" s="2" t="n">
        <v>2</v>
      </c>
      <c r="G193" s="2" t="n">
        <v>3</v>
      </c>
      <c r="H193" s="2" t="inlineStr">
        <is>
          <t>SC/PC</t>
        </is>
      </c>
      <c r="I193" s="2" t="inlineStr">
        <is>
          <t>SC/PC</t>
        </is>
      </c>
      <c r="J193" s="2" t="n"/>
      <c r="K193" s="2" t="n"/>
      <c r="L193" s="2" t="n"/>
      <c r="M193" s="2" t="n"/>
      <c r="N193" s="2" t="n">
        <v>8</v>
      </c>
      <c r="O193" s="2" t="n"/>
      <c r="P193" s="2" t="n"/>
      <c r="Q193" s="2" t="n"/>
      <c r="R193" s="2" t="n"/>
      <c r="S193" s="2" t="n"/>
      <c r="T193" s="2" t="n"/>
      <c r="U193" s="2" t="n">
        <v>179</v>
      </c>
      <c r="V193" s="2">
        <f>SUM(J193:U193)</f>
        <v/>
      </c>
      <c r="W193" s="2" t="n"/>
      <c r="X193" s="2" t="n"/>
      <c r="Y193" s="2" t="n"/>
      <c r="Z193" s="2" t="n"/>
      <c r="AA193" s="2" t="n">
        <v>374</v>
      </c>
      <c r="AB193" s="2" t="n">
        <v>374</v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>
        <f>IF(F193=1,V193*2,IF(F193=2,V193*F193*2,IF(F193&gt;2,F193*2*V193)))</f>
        <v/>
      </c>
      <c r="AW193" s="2">
        <f>SUM(W193:AU193)</f>
        <v/>
      </c>
    </row>
    <row r="194">
      <c r="A194" s="2" t="inlineStr">
        <is>
          <t>14-D-A208</t>
        </is>
      </c>
      <c r="B194" s="3" t="inlineStr">
        <is>
          <t>DOJC-SM-SC/PC-SC/PC</t>
        </is>
      </c>
      <c r="C194" s="2" t="inlineStr">
        <is>
          <t>5M_녹색케이블</t>
        </is>
      </c>
      <c r="D194" s="2" t="inlineStr">
        <is>
          <t>a1-녹</t>
        </is>
      </c>
      <c r="E194" s="2" t="inlineStr">
        <is>
          <t>2.0mm</t>
        </is>
      </c>
      <c r="F194" s="2" t="n">
        <v>2</v>
      </c>
      <c r="G194" s="2" t="n">
        <v>5</v>
      </c>
      <c r="H194" s="2" t="inlineStr">
        <is>
          <t>SC/PC</t>
        </is>
      </c>
      <c r="I194" s="2" t="inlineStr">
        <is>
          <t>SC/PC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>
        <v>5</v>
      </c>
      <c r="V194" s="2">
        <f>SUM(J194:U194)</f>
        <v/>
      </c>
      <c r="W194" s="2" t="n"/>
      <c r="X194" s="2" t="n"/>
      <c r="Y194" s="2" t="n"/>
      <c r="Z194" s="2" t="n"/>
      <c r="AA194" s="2" t="n">
        <v>10</v>
      </c>
      <c r="AB194" s="2" t="n">
        <v>10</v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>
        <f>IF(F194=1,V194*2,IF(F194=2,V194*F194*2,IF(F194&gt;2,F194*2*V194)))</f>
        <v/>
      </c>
      <c r="AW194" s="2">
        <f>SUM(W194:AU194)</f>
        <v/>
      </c>
    </row>
    <row r="195">
      <c r="A195" s="2" t="inlineStr">
        <is>
          <t>14-D-A232</t>
        </is>
      </c>
      <c r="B195" s="3" t="inlineStr">
        <is>
          <t>DOJC-MM(OM3)-LC/PC-LC/PC</t>
        </is>
      </c>
      <c r="C195" s="2" t="inlineStr">
        <is>
          <t>6M</t>
        </is>
      </c>
      <c r="D195" s="2" t="inlineStr">
        <is>
          <t>om3</t>
        </is>
      </c>
      <c r="E195" s="2" t="inlineStr">
        <is>
          <t>2.0mm</t>
        </is>
      </c>
      <c r="F195" s="2" t="n">
        <v>2</v>
      </c>
      <c r="G195" s="2" t="n">
        <v>6</v>
      </c>
      <c r="H195" s="2" t="inlineStr">
        <is>
          <t>LC/PC</t>
        </is>
      </c>
      <c r="I195" s="2" t="inlineStr">
        <is>
          <t>LC/PC</t>
        </is>
      </c>
      <c r="J195" s="2" t="n"/>
      <c r="K195" s="2" t="n"/>
      <c r="L195" s="2" t="n"/>
      <c r="M195" s="2" t="n">
        <v>20</v>
      </c>
      <c r="N195" s="2" t="n"/>
      <c r="O195" s="2" t="n"/>
      <c r="P195" s="2" t="n"/>
      <c r="Q195" s="2" t="n"/>
      <c r="R195" s="2" t="n"/>
      <c r="S195" s="2" t="n"/>
      <c r="T195" s="2" t="n"/>
      <c r="U195" s="2" t="n">
        <v>50</v>
      </c>
      <c r="V195" s="2">
        <f>SUM(J195:U195)</f>
        <v/>
      </c>
      <c r="W195" s="2" t="n"/>
      <c r="X195" s="2" t="n">
        <v>140</v>
      </c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>
        <v>140</v>
      </c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>
        <f>IF(F195=1,V195*2,IF(F195=2,V195*F195*2,IF(F195&gt;2,F195*2*V195)))</f>
        <v/>
      </c>
      <c r="AW195" s="2">
        <f>SUM(W195:AU195)</f>
        <v/>
      </c>
    </row>
    <row r="196">
      <c r="A196" s="2" t="inlineStr">
        <is>
          <t>14-D-A235</t>
        </is>
      </c>
      <c r="B196" s="3" t="inlineStr">
        <is>
          <t>OJC-A1-LC/LC-SM-1-PC/APC-DP</t>
        </is>
      </c>
      <c r="C196" s="2" t="inlineStr"/>
      <c r="D196" s="2" t="inlineStr">
        <is>
          <t>a1</t>
        </is>
      </c>
      <c r="E196" s="2" t="inlineStr">
        <is>
          <t>2.0mm</t>
        </is>
      </c>
      <c r="F196" s="2" t="n">
        <v>2</v>
      </c>
      <c r="G196" s="2" t="n">
        <v>1</v>
      </c>
      <c r="H196" s="2" t="inlineStr">
        <is>
          <t>LC/PC</t>
        </is>
      </c>
      <c r="I196" s="2" t="inlineStr">
        <is>
          <t>LC/APC</t>
        </is>
      </c>
      <c r="J196" s="2" t="n"/>
      <c r="K196" s="2" t="n"/>
      <c r="L196" s="2" t="n">
        <v>30</v>
      </c>
      <c r="M196" s="2" t="n"/>
      <c r="N196" s="2" t="n"/>
      <c r="O196" s="2" t="n"/>
      <c r="P196" s="2" t="n"/>
      <c r="Q196" s="2" t="n"/>
      <c r="R196" s="2" t="n">
        <v>71</v>
      </c>
      <c r="S196" s="2" t="n"/>
      <c r="T196" s="2" t="n"/>
      <c r="U196" s="2" t="n"/>
      <c r="V196" s="2">
        <f>SUM(J196:U196)</f>
        <v/>
      </c>
      <c r="W196" s="2" t="n">
        <v>202</v>
      </c>
      <c r="X196" s="2" t="n"/>
      <c r="Y196" s="2" t="n"/>
      <c r="Z196" s="2" t="n">
        <v>202</v>
      </c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>
        <f>IF(F196=1,V196*2,IF(F196=2,V196*F196*2,IF(F196&gt;2,F196*2*V196)))</f>
        <v/>
      </c>
      <c r="AW196" s="2">
        <f>SUM(W196:AU196)</f>
        <v/>
      </c>
    </row>
    <row r="197">
      <c r="A197" s="2" t="inlineStr">
        <is>
          <t>14-D-A24</t>
        </is>
      </c>
      <c r="B197" s="3" t="inlineStr">
        <is>
          <t>DOJC-MM(OM3)-LC/PC-LC/PC</t>
        </is>
      </c>
      <c r="C197" s="2" t="inlineStr">
        <is>
          <t>130M</t>
        </is>
      </c>
      <c r="D197" s="2" t="inlineStr">
        <is>
          <t>om3</t>
        </is>
      </c>
      <c r="E197" s="2" t="inlineStr">
        <is>
          <t>2.0mm</t>
        </is>
      </c>
      <c r="F197" s="2" t="n">
        <v>2</v>
      </c>
      <c r="G197" s="2" t="n">
        <v>130</v>
      </c>
      <c r="H197" s="2" t="inlineStr">
        <is>
          <t>LC/PC</t>
        </is>
      </c>
      <c r="I197" s="2" t="inlineStr">
        <is>
          <t>LC/PC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>
        <v>1</v>
      </c>
      <c r="V197" s="2">
        <f>SUM(J197:U197)</f>
        <v/>
      </c>
      <c r="W197" s="2" t="n"/>
      <c r="X197" s="2" t="n">
        <v>2</v>
      </c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>
        <v>2</v>
      </c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>
        <f>IF(F197=1,V197*2,IF(F197=2,V197*F197*2,IF(F197&gt;2,F197*2*V197)))</f>
        <v/>
      </c>
      <c r="AW197" s="2">
        <f>SUM(W197:AU197)</f>
        <v/>
      </c>
    </row>
    <row r="198">
      <c r="A198" s="2" t="inlineStr">
        <is>
          <t>14-D-A25</t>
        </is>
      </c>
      <c r="B198" s="3" t="inlineStr">
        <is>
          <t>DOJC-MM(OM3)-LC/PC-LC/PC</t>
        </is>
      </c>
      <c r="C198" s="2" t="inlineStr">
        <is>
          <t>150M</t>
        </is>
      </c>
      <c r="D198" s="2" t="inlineStr">
        <is>
          <t>om3</t>
        </is>
      </c>
      <c r="E198" s="2" t="inlineStr">
        <is>
          <t>2.0mm</t>
        </is>
      </c>
      <c r="F198" s="2" t="n">
        <v>2</v>
      </c>
      <c r="G198" s="2" t="n">
        <v>150</v>
      </c>
      <c r="H198" s="2" t="inlineStr">
        <is>
          <t>LC/PC</t>
        </is>
      </c>
      <c r="I198" s="2" t="inlineStr">
        <is>
          <t>LC/PC</t>
        </is>
      </c>
      <c r="J198" s="2" t="n">
        <v>2</v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>
        <f>SUM(J198:U198)</f>
        <v/>
      </c>
      <c r="W198" s="2" t="n"/>
      <c r="X198" s="2" t="n">
        <v>4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>
        <v>4</v>
      </c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>
        <f>IF(F198=1,V198*2,IF(F198=2,V198*F198*2,IF(F198&gt;2,F198*2*V198)))</f>
        <v/>
      </c>
      <c r="AW198" s="2">
        <f>SUM(W198:AU198)</f>
        <v/>
      </c>
    </row>
    <row r="199">
      <c r="A199" s="2" t="inlineStr">
        <is>
          <t>14-D-A303</t>
        </is>
      </c>
      <c r="B199" s="3" t="inlineStr">
        <is>
          <t>DOJC-SM-SC/PC-SC/PC</t>
        </is>
      </c>
      <c r="C199" s="2" t="inlineStr">
        <is>
          <t>5M_적색케이블</t>
        </is>
      </c>
      <c r="D199" s="2" t="inlineStr">
        <is>
          <t>a1-적</t>
        </is>
      </c>
      <c r="E199" s="2" t="inlineStr">
        <is>
          <t>2.0mm</t>
        </is>
      </c>
      <c r="F199" s="2" t="n">
        <v>2</v>
      </c>
      <c r="G199" s="2" t="n">
        <v>5</v>
      </c>
      <c r="H199" s="2" t="inlineStr">
        <is>
          <t>SC/PC</t>
        </is>
      </c>
      <c r="I199" s="2" t="inlineStr">
        <is>
          <t>SC/PC</t>
        </is>
      </c>
      <c r="J199" s="2" t="n"/>
      <c r="K199" s="2" t="n"/>
      <c r="L199" s="2" t="n"/>
      <c r="M199" s="2" t="n"/>
      <c r="N199" s="2" t="n"/>
      <c r="O199" s="2" t="n"/>
      <c r="P199" s="2" t="n">
        <v>20</v>
      </c>
      <c r="Q199" s="2" t="n"/>
      <c r="R199" s="2" t="n"/>
      <c r="S199" s="2" t="n"/>
      <c r="T199" s="2" t="n"/>
      <c r="U199" s="2" t="n"/>
      <c r="V199" s="2">
        <f>SUM(J199:U199)</f>
        <v/>
      </c>
      <c r="W199" s="2" t="n"/>
      <c r="X199" s="2" t="n"/>
      <c r="Y199" s="2" t="n"/>
      <c r="Z199" s="2" t="n"/>
      <c r="AA199" s="2" t="n">
        <v>40</v>
      </c>
      <c r="AB199" s="2" t="n">
        <v>40</v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>
        <f>IF(F199=1,V199*2,IF(F199=2,V199*F199*2,IF(F199&gt;2,F199*2*V199)))</f>
        <v/>
      </c>
      <c r="AW199" s="2">
        <f>SUM(W199:AU199)</f>
        <v/>
      </c>
    </row>
    <row r="200">
      <c r="A200" s="2" t="inlineStr">
        <is>
          <t>14-D-A311</t>
        </is>
      </c>
      <c r="B200" s="3" t="inlineStr">
        <is>
          <t>OJC-A1-SC/LC-SM-12-PC/PC-DP</t>
        </is>
      </c>
      <c r="C200" s="2" t="inlineStr">
        <is>
          <t>자색</t>
        </is>
      </c>
      <c r="D200" s="2" t="inlineStr">
        <is>
          <t>a1-자</t>
        </is>
      </c>
      <c r="E200" s="2" t="inlineStr">
        <is>
          <t>2.0mm</t>
        </is>
      </c>
      <c r="F200" s="2" t="n">
        <v>2</v>
      </c>
      <c r="G200" s="2" t="n">
        <v>12</v>
      </c>
      <c r="H200" s="2" t="inlineStr">
        <is>
          <t>SC/PC</t>
        </is>
      </c>
      <c r="I200" s="2" t="inlineStr">
        <is>
          <t>LC/PC</t>
        </is>
      </c>
      <c r="J200" s="2" t="n"/>
      <c r="K200" s="2" t="n"/>
      <c r="L200" s="2" t="n"/>
      <c r="M200" s="2" t="n"/>
      <c r="N200" s="2" t="n">
        <v>4</v>
      </c>
      <c r="O200" s="2" t="n"/>
      <c r="P200" s="2" t="n"/>
      <c r="Q200" s="2" t="n"/>
      <c r="R200" s="2" t="n"/>
      <c r="S200" s="2" t="n"/>
      <c r="T200" s="2" t="n"/>
      <c r="U200" s="2" t="n"/>
      <c r="V200" s="2">
        <f>SUM(J200:U200)</f>
        <v/>
      </c>
      <c r="W200" s="2" t="n"/>
      <c r="X200" s="2" t="n">
        <v>8</v>
      </c>
      <c r="Y200" s="2" t="n"/>
      <c r="Z200" s="2" t="n"/>
      <c r="AA200" s="2" t="n">
        <v>8</v>
      </c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>
        <f>IF(F200=1,V200*2,IF(F200=2,V200*F200*2,IF(F200&gt;2,F200*2*V200)))</f>
        <v/>
      </c>
      <c r="AW200" s="2">
        <f>SUM(W200:AU200)</f>
        <v/>
      </c>
    </row>
    <row r="201">
      <c r="A201" s="2" t="inlineStr">
        <is>
          <t>14-D-A312</t>
        </is>
      </c>
      <c r="B201" s="3" t="inlineStr">
        <is>
          <t>OJC-A1-SC/LC-SM-17-PC/PC-DP</t>
        </is>
      </c>
      <c r="C201" s="2" t="inlineStr">
        <is>
          <t>자색</t>
        </is>
      </c>
      <c r="D201" s="2" t="inlineStr">
        <is>
          <t>a1-자</t>
        </is>
      </c>
      <c r="E201" s="2" t="inlineStr">
        <is>
          <t>2.0mm</t>
        </is>
      </c>
      <c r="F201" s="2" t="n">
        <v>2</v>
      </c>
      <c r="G201" s="2" t="n">
        <v>17</v>
      </c>
      <c r="H201" s="2" t="inlineStr">
        <is>
          <t>SC/PC</t>
        </is>
      </c>
      <c r="I201" s="2" t="inlineStr">
        <is>
          <t>LC/PC</t>
        </is>
      </c>
      <c r="J201" s="2" t="n"/>
      <c r="K201" s="2" t="n"/>
      <c r="L201" s="2" t="n"/>
      <c r="M201" s="2" t="n"/>
      <c r="N201" s="2" t="n">
        <v>1</v>
      </c>
      <c r="O201" s="2" t="n"/>
      <c r="P201" s="2" t="n"/>
      <c r="Q201" s="2" t="n"/>
      <c r="R201" s="2" t="n"/>
      <c r="S201" s="2" t="n"/>
      <c r="T201" s="2" t="n"/>
      <c r="U201" s="2" t="n"/>
      <c r="V201" s="2">
        <f>SUM(J201:U201)</f>
        <v/>
      </c>
      <c r="W201" s="2" t="n"/>
      <c r="X201" s="2" t="n">
        <v>2</v>
      </c>
      <c r="Y201" s="2" t="n"/>
      <c r="Z201" s="2" t="n"/>
      <c r="AA201" s="2" t="n">
        <v>2</v>
      </c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>
        <f>IF(F201=1,V201*2,IF(F201=2,V201*F201*2,IF(F201&gt;2,F201*2*V201)))</f>
        <v/>
      </c>
      <c r="AW201" s="2">
        <f>SUM(W201:AU201)</f>
        <v/>
      </c>
    </row>
    <row r="202">
      <c r="A202" s="2" t="inlineStr">
        <is>
          <t>14-D-A347</t>
        </is>
      </c>
      <c r="B202" s="3" t="inlineStr">
        <is>
          <t>DOJC-SM-SC/PC-SC/PC</t>
        </is>
      </c>
      <c r="C202" s="2" t="inlineStr">
        <is>
          <t>13M_적색케이블</t>
        </is>
      </c>
      <c r="D202" s="2" t="inlineStr">
        <is>
          <t>a1-적</t>
        </is>
      </c>
      <c r="E202" s="2" t="inlineStr">
        <is>
          <t>2.0mm</t>
        </is>
      </c>
      <c r="F202" s="2" t="n">
        <v>2</v>
      </c>
      <c r="G202" s="2" t="n">
        <v>13</v>
      </c>
      <c r="H202" s="2" t="inlineStr">
        <is>
          <t>SC/PC</t>
        </is>
      </c>
      <c r="I202" s="2" t="inlineStr">
        <is>
          <t>SC/PC</t>
        </is>
      </c>
      <c r="J202" s="2" t="n"/>
      <c r="K202" s="2" t="n"/>
      <c r="L202" s="2" t="n"/>
      <c r="M202" s="2" t="n"/>
      <c r="N202" s="2" t="n"/>
      <c r="O202" s="2" t="n"/>
      <c r="P202" s="2" t="n">
        <v>20</v>
      </c>
      <c r="Q202" s="2" t="n"/>
      <c r="R202" s="2" t="n"/>
      <c r="S202" s="2" t="n"/>
      <c r="T202" s="2" t="n"/>
      <c r="U202" s="2" t="n"/>
      <c r="V202" s="2">
        <f>SUM(J202:U202)</f>
        <v/>
      </c>
      <c r="W202" s="2" t="n"/>
      <c r="X202" s="2" t="n"/>
      <c r="Y202" s="2" t="n"/>
      <c r="Z202" s="2" t="n"/>
      <c r="AA202" s="2" t="n">
        <v>40</v>
      </c>
      <c r="AB202" s="2" t="n">
        <v>40</v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>
        <f>IF(F202=1,V202*2,IF(F202=2,V202*F202*2,IF(F202&gt;2,F202*2*V202)))</f>
        <v/>
      </c>
      <c r="AW202" s="2">
        <f>SUM(W202:AU202)</f>
        <v/>
      </c>
    </row>
    <row r="203">
      <c r="A203" s="2" t="inlineStr">
        <is>
          <t>14-D-A354</t>
        </is>
      </c>
      <c r="B203" s="3" t="inlineStr">
        <is>
          <t>DOJC-SM-LC/PC-LC/PC</t>
        </is>
      </c>
      <c r="C203" s="2" t="inlineStr">
        <is>
          <t>5M_적색</t>
        </is>
      </c>
      <c r="D203" s="2" t="inlineStr">
        <is>
          <t>a1-적</t>
        </is>
      </c>
      <c r="E203" s="2" t="inlineStr">
        <is>
          <t>2.0mm</t>
        </is>
      </c>
      <c r="F203" s="2" t="n">
        <v>2</v>
      </c>
      <c r="G203" s="2" t="n">
        <v>5</v>
      </c>
      <c r="H203" s="2" t="inlineStr">
        <is>
          <t>LC/PC</t>
        </is>
      </c>
      <c r="I203" s="2" t="inlineStr">
        <is>
          <t>LC/PC</t>
        </is>
      </c>
      <c r="J203" s="2" t="n"/>
      <c r="K203" s="2" t="n">
        <v>10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>
        <f>SUM(J203:U203)</f>
        <v/>
      </c>
      <c r="W203" s="2" t="n">
        <v>20</v>
      </c>
      <c r="X203" s="2" t="n">
        <v>20</v>
      </c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>
        <f>IF(F203=1,V203*2,IF(F203=2,V203*F203*2,IF(F203&gt;2,F203*2*V203)))</f>
        <v/>
      </c>
      <c r="AW203" s="2">
        <f>SUM(W203:AU203)</f>
        <v/>
      </c>
    </row>
    <row r="204">
      <c r="A204" s="2" t="inlineStr">
        <is>
          <t>14-D-A379</t>
        </is>
      </c>
      <c r="B204" s="3" t="inlineStr">
        <is>
          <t>DOJC-SM-LC/APC-LC/APC</t>
        </is>
      </c>
      <c r="C204" s="2" t="inlineStr">
        <is>
          <t>2M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2</v>
      </c>
      <c r="H204" s="2" t="inlineStr">
        <is>
          <t>LC/APC</t>
        </is>
      </c>
      <c r="I204" s="2" t="inlineStr">
        <is>
          <t>LC/APC</t>
        </is>
      </c>
      <c r="J204" s="2" t="n"/>
      <c r="K204" s="2" t="n"/>
      <c r="L204" s="2" t="n">
        <v>30</v>
      </c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>
        <f>SUM(J204:U204)</f>
        <v/>
      </c>
      <c r="W204" s="2" t="n"/>
      <c r="X204" s="2" t="n"/>
      <c r="Y204" s="2" t="n">
        <v>60</v>
      </c>
      <c r="Z204" s="2" t="n">
        <v>60</v>
      </c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>
        <f>IF(F204=1,V204*2,IF(F204=2,V204*F204*2,IF(F204&gt;2,F204*2*V204)))</f>
        <v/>
      </c>
      <c r="AW204" s="2">
        <f>SUM(W204:AU204)</f>
        <v/>
      </c>
    </row>
    <row r="205">
      <c r="A205" s="2" t="inlineStr">
        <is>
          <t>14-D-A404</t>
        </is>
      </c>
      <c r="B205" s="3" t="inlineStr">
        <is>
          <t>OJC-A1-SC/LC-SM-60-PC/PC-DP</t>
        </is>
      </c>
      <c r="C205" s="2" t="inlineStr">
        <is>
          <t>적색</t>
        </is>
      </c>
      <c r="D205" s="2" t="inlineStr">
        <is>
          <t>a1-적</t>
        </is>
      </c>
      <c r="E205" s="2" t="inlineStr">
        <is>
          <t>2.0mm</t>
        </is>
      </c>
      <c r="F205" s="2" t="n">
        <v>2</v>
      </c>
      <c r="G205" s="2" t="n">
        <v>60</v>
      </c>
      <c r="H205" s="2" t="inlineStr">
        <is>
          <t>SC/PC</t>
        </is>
      </c>
      <c r="I205" s="2" t="inlineStr">
        <is>
          <t>LC/PC</t>
        </is>
      </c>
      <c r="J205" s="2" t="n"/>
      <c r="K205" s="2" t="n"/>
      <c r="L205" s="2" t="n">
        <v>2</v>
      </c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>
        <f>SUM(J205:U205)</f>
        <v/>
      </c>
      <c r="W205" s="2" t="n"/>
      <c r="X205" s="2" t="n">
        <v>4</v>
      </c>
      <c r="Y205" s="2" t="n"/>
      <c r="Z205" s="2" t="n"/>
      <c r="AA205" s="2" t="n">
        <v>4</v>
      </c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>
        <f>IF(F205=1,V205*2,IF(F205=2,V205*F205*2,IF(F205&gt;2,F205*2*V205)))</f>
        <v/>
      </c>
      <c r="AW205" s="2">
        <f>SUM(W205:AU205)</f>
        <v/>
      </c>
    </row>
    <row r="206">
      <c r="A206" s="2" t="inlineStr">
        <is>
          <t>14-D-A407</t>
        </is>
      </c>
      <c r="B206" s="3" t="inlineStr">
        <is>
          <t>DOJC-SM-LC/PC-FC/APC</t>
        </is>
      </c>
      <c r="C206" s="2" t="inlineStr">
        <is>
          <t>20M_청색</t>
        </is>
      </c>
      <c r="D206" s="2" t="inlineStr">
        <is>
          <t>a1-청</t>
        </is>
      </c>
      <c r="E206" s="2" t="inlineStr">
        <is>
          <t>2.0mm</t>
        </is>
      </c>
      <c r="F206" s="2" t="n">
        <v>2</v>
      </c>
      <c r="G206" s="2" t="n">
        <v>20</v>
      </c>
      <c r="H206" s="2" t="inlineStr">
        <is>
          <t>LC/PC</t>
        </is>
      </c>
      <c r="I206" s="2" t="inlineStr">
        <is>
          <t>FC/APC</t>
        </is>
      </c>
      <c r="J206" s="2" t="n"/>
      <c r="K206" s="2" t="n"/>
      <c r="L206" s="2" t="n"/>
      <c r="M206" s="2" t="n"/>
      <c r="N206" s="2" t="n"/>
      <c r="O206" s="2" t="n"/>
      <c r="P206" s="2" t="n">
        <v>20</v>
      </c>
      <c r="Q206" s="2" t="n"/>
      <c r="R206" s="2" t="n"/>
      <c r="S206" s="2" t="n"/>
      <c r="T206" s="2" t="n"/>
      <c r="U206" s="2" t="n"/>
      <c r="V206" s="2">
        <f>SUM(J206:U206)</f>
        <v/>
      </c>
      <c r="W206" s="2" t="n">
        <v>40</v>
      </c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>
        <v>40</v>
      </c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>
        <f>IF(F206=1,V206*2,IF(F206=2,V206*F206*2,IF(F206&gt;2,F206*2*V206)))</f>
        <v/>
      </c>
      <c r="AW206" s="2">
        <f>SUM(W206:AU206)</f>
        <v/>
      </c>
    </row>
    <row r="207">
      <c r="A207" s="2" t="inlineStr">
        <is>
          <t>14-D-A430</t>
        </is>
      </c>
      <c r="B207" s="3" t="inlineStr">
        <is>
          <t>DOJC-MM-LC/PC-SC/APC</t>
        </is>
      </c>
      <c r="C207" s="2" t="inlineStr">
        <is>
          <t>10M</t>
        </is>
      </c>
      <c r="D207" s="2" t="inlineStr">
        <is>
          <t>om1</t>
        </is>
      </c>
      <c r="E207" s="2" t="inlineStr">
        <is>
          <t>2.0mm</t>
        </is>
      </c>
      <c r="F207" s="2" t="n">
        <v>2</v>
      </c>
      <c r="G207" s="2" t="n">
        <v>10</v>
      </c>
      <c r="H207" s="2" t="inlineStr">
        <is>
          <t>LC/PC</t>
        </is>
      </c>
      <c r="I207" s="2" t="inlineStr">
        <is>
          <t>SC/APC</t>
        </is>
      </c>
      <c r="J207" s="2" t="n">
        <v>1</v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>
        <f>SUM(J207:U207)</f>
        <v/>
      </c>
      <c r="W207" s="2" t="n"/>
      <c r="X207" s="2" t="n"/>
      <c r="Y207" s="2" t="n"/>
      <c r="Z207" s="2" t="n"/>
      <c r="AA207" s="2" t="n"/>
      <c r="AB207" s="2" t="n"/>
      <c r="AC207" s="2" t="n"/>
      <c r="AD207" s="2" t="n">
        <v>2</v>
      </c>
      <c r="AE207" s="2" t="n"/>
      <c r="AF207" s="2" t="n"/>
      <c r="AG207" s="2" t="n"/>
      <c r="AH207" s="2" t="n"/>
      <c r="AI207" s="2" t="n">
        <v>2</v>
      </c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>
        <f>IF(F207=1,V207*2,IF(F207=2,V207*F207*2,IF(F207&gt;2,F207*2*V207)))</f>
        <v/>
      </c>
      <c r="AW207" s="2">
        <f>SUM(W207:AU207)</f>
        <v/>
      </c>
    </row>
    <row r="208">
      <c r="A208" s="2" t="inlineStr">
        <is>
          <t>14-D-A431</t>
        </is>
      </c>
      <c r="B208" s="3" t="inlineStr">
        <is>
          <t>DOJC-MM-LC/PC-LC/PC</t>
        </is>
      </c>
      <c r="C208" s="2" t="inlineStr">
        <is>
          <t>75M</t>
        </is>
      </c>
      <c r="D208" s="2" t="inlineStr">
        <is>
          <t>om1</t>
        </is>
      </c>
      <c r="E208" s="2" t="inlineStr">
        <is>
          <t>2.0mm</t>
        </is>
      </c>
      <c r="F208" s="2" t="n">
        <v>2</v>
      </c>
      <c r="G208" s="2" t="n">
        <v>75</v>
      </c>
      <c r="H208" s="2" t="inlineStr">
        <is>
          <t>LC/PC</t>
        </is>
      </c>
      <c r="I208" s="2" t="inlineStr">
        <is>
          <t>LC/PC</t>
        </is>
      </c>
      <c r="J208" s="2" t="n"/>
      <c r="K208" s="2" t="n"/>
      <c r="L208" s="2" t="n">
        <v>4</v>
      </c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>
        <f>SUM(J208:U208)</f>
        <v/>
      </c>
      <c r="W208" s="2" t="n"/>
      <c r="X208" s="2" t="n">
        <v>8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>
        <v>8</v>
      </c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>
        <f>IF(F208=1,V208*2,IF(F208=2,V208*F208*2,IF(F208&gt;2,F208*2*V208)))</f>
        <v/>
      </c>
      <c r="AW208" s="2">
        <f>SUM(W208:AU208)</f>
        <v/>
      </c>
    </row>
    <row r="209">
      <c r="A209" s="2" t="inlineStr">
        <is>
          <t>14-D-A432</t>
        </is>
      </c>
      <c r="B209" s="3" t="inlineStr">
        <is>
          <t>DOJC-SM-LC/PC-FC/APC</t>
        </is>
      </c>
      <c r="C209" s="2" t="inlineStr">
        <is>
          <t>25M_적색케이블</t>
        </is>
      </c>
      <c r="D209" s="2" t="inlineStr">
        <is>
          <t>a1-적</t>
        </is>
      </c>
      <c r="E209" s="2" t="inlineStr">
        <is>
          <t>2.0mm</t>
        </is>
      </c>
      <c r="F209" s="2" t="n">
        <v>2</v>
      </c>
      <c r="G209" s="2" t="n">
        <v>25</v>
      </c>
      <c r="H209" s="2" t="inlineStr">
        <is>
          <t>LC/PC</t>
        </is>
      </c>
      <c r="I209" s="2" t="inlineStr">
        <is>
          <t>FC/APC</t>
        </is>
      </c>
      <c r="J209" s="2" t="n"/>
      <c r="K209" s="2" t="n">
        <v>10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>
        <f>SUM(J209:U209)</f>
        <v/>
      </c>
      <c r="W209" s="2" t="n">
        <v>20</v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>
        <v>20</v>
      </c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>
        <f>IF(F209=1,V209*2,IF(F209=2,V209*F209*2,IF(F209&gt;2,F209*2*V209)))</f>
        <v/>
      </c>
      <c r="AW209" s="2">
        <f>SUM(W209:AU209)</f>
        <v/>
      </c>
    </row>
    <row r="210">
      <c r="A210" s="2" t="inlineStr">
        <is>
          <t>14-D-A433</t>
        </is>
      </c>
      <c r="B210" s="3" t="inlineStr">
        <is>
          <t>DOJC-SM-SC/PC-SC/APC</t>
        </is>
      </c>
      <c r="C210" s="2" t="inlineStr">
        <is>
          <t>7M_적색케이블</t>
        </is>
      </c>
      <c r="D210" s="2" t="inlineStr">
        <is>
          <t>a1-적</t>
        </is>
      </c>
      <c r="E210" s="2" t="inlineStr">
        <is>
          <t>2.0mm</t>
        </is>
      </c>
      <c r="F210" s="2" t="n">
        <v>2</v>
      </c>
      <c r="G210" s="2" t="n">
        <v>7</v>
      </c>
      <c r="H210" s="2" t="inlineStr">
        <is>
          <t>SC/PC</t>
        </is>
      </c>
      <c r="I210" s="2" t="inlineStr">
        <is>
          <t>SC/APC</t>
        </is>
      </c>
      <c r="J210" s="2" t="n"/>
      <c r="K210" s="2" t="n"/>
      <c r="L210" s="2" t="n"/>
      <c r="M210" s="2" t="n"/>
      <c r="N210" s="2" t="n"/>
      <c r="O210" s="2" t="n"/>
      <c r="P210" s="2" t="n">
        <v>10</v>
      </c>
      <c r="Q210" s="2" t="n"/>
      <c r="R210" s="2" t="n"/>
      <c r="S210" s="2" t="n"/>
      <c r="T210" s="2" t="n"/>
      <c r="U210" s="2" t="n"/>
      <c r="V210" s="2">
        <f>SUM(J210:U210)</f>
        <v/>
      </c>
      <c r="W210" s="2" t="n"/>
      <c r="X210" s="2" t="n"/>
      <c r="Y210" s="2" t="n"/>
      <c r="Z210" s="2" t="n"/>
      <c r="AA210" s="2" t="n">
        <v>20</v>
      </c>
      <c r="AB210" s="2" t="n"/>
      <c r="AC210" s="2" t="n"/>
      <c r="AD210" s="2" t="n">
        <v>20</v>
      </c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>
        <f>IF(F210=1,V210*2,IF(F210=2,V210*F210*2,IF(F210&gt;2,F210*2*V210)))</f>
        <v/>
      </c>
      <c r="AW210" s="2">
        <f>SUM(W210:AU210)</f>
        <v/>
      </c>
    </row>
    <row r="211">
      <c r="A211" s="2" t="inlineStr">
        <is>
          <t>14-D-A434</t>
        </is>
      </c>
      <c r="B211" s="3" t="inlineStr">
        <is>
          <t>DOJC-SM-SC/PC-SC/APC</t>
        </is>
      </c>
      <c r="C211" s="2" t="inlineStr">
        <is>
          <t>10M_적색케이블</t>
        </is>
      </c>
      <c r="D211" s="2" t="inlineStr">
        <is>
          <t>a1-적</t>
        </is>
      </c>
      <c r="E211" s="2" t="inlineStr">
        <is>
          <t>2.0mm</t>
        </is>
      </c>
      <c r="F211" s="2" t="n">
        <v>2</v>
      </c>
      <c r="G211" s="2" t="n">
        <v>10</v>
      </c>
      <c r="H211" s="2" t="inlineStr">
        <is>
          <t>SC/PC</t>
        </is>
      </c>
      <c r="I211" s="2" t="inlineStr">
        <is>
          <t>SC/APC</t>
        </is>
      </c>
      <c r="J211" s="2" t="n"/>
      <c r="K211" s="2" t="n"/>
      <c r="L211" s="2" t="n"/>
      <c r="M211" s="2" t="n"/>
      <c r="N211" s="2" t="n"/>
      <c r="O211" s="2" t="n"/>
      <c r="P211" s="2" t="n">
        <v>10</v>
      </c>
      <c r="Q211" s="2" t="n"/>
      <c r="R211" s="2" t="n"/>
      <c r="S211" s="2" t="n"/>
      <c r="T211" s="2" t="n"/>
      <c r="U211" s="2" t="n"/>
      <c r="V211" s="2">
        <f>SUM(J211:U211)</f>
        <v/>
      </c>
      <c r="W211" s="2" t="n"/>
      <c r="X211" s="2" t="n"/>
      <c r="Y211" s="2" t="n"/>
      <c r="Z211" s="2" t="n"/>
      <c r="AA211" s="2" t="n">
        <v>20</v>
      </c>
      <c r="AB211" s="2" t="n"/>
      <c r="AC211" s="2" t="n"/>
      <c r="AD211" s="2" t="n">
        <v>20</v>
      </c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>
        <f>IF(F211=1,V211*2,IF(F211=2,V211*F211*2,IF(F211&gt;2,F211*2*V211)))</f>
        <v/>
      </c>
      <c r="AW211" s="2">
        <f>SUM(W211:AU211)</f>
        <v/>
      </c>
    </row>
    <row r="212">
      <c r="A212" s="2" t="inlineStr">
        <is>
          <t>14-D-A436</t>
        </is>
      </c>
      <c r="B212" s="3" t="inlineStr">
        <is>
          <t>OJC-A1-LC/LC-SM-29-PC/PC-DP</t>
        </is>
      </c>
      <c r="C212" s="2" t="inlineStr"/>
      <c r="D212" s="2" t="inlineStr">
        <is>
          <t>a1</t>
        </is>
      </c>
      <c r="E212" s="2" t="inlineStr">
        <is>
          <t>2.0mm</t>
        </is>
      </c>
      <c r="F212" s="2" t="n">
        <v>2</v>
      </c>
      <c r="G212" s="2" t="n">
        <v>29</v>
      </c>
      <c r="H212" s="2" t="inlineStr">
        <is>
          <t>LC/PC</t>
        </is>
      </c>
      <c r="I212" s="2" t="inlineStr">
        <is>
          <t>LC/PC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>
        <v>1</v>
      </c>
      <c r="S212" s="2" t="n"/>
      <c r="T212" s="2" t="n"/>
      <c r="U212" s="2" t="n"/>
      <c r="V212" s="2">
        <f>SUM(J212:U212)</f>
        <v/>
      </c>
      <c r="W212" s="2" t="n">
        <v>2</v>
      </c>
      <c r="X212" s="2" t="n">
        <v>2</v>
      </c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>
        <f>IF(F212=1,V212*2,IF(F212=2,V212*F212*2,IF(F212&gt;2,F212*2*V212)))</f>
        <v/>
      </c>
      <c r="AW212" s="2">
        <f>SUM(W212:AU212)</f>
        <v/>
      </c>
    </row>
    <row r="213">
      <c r="A213" s="2" t="inlineStr">
        <is>
          <t>14-D-A437</t>
        </is>
      </c>
      <c r="B213" s="3" t="inlineStr">
        <is>
          <t>OJC-A1-LC/LC-SM-32-PC/PC-DP</t>
        </is>
      </c>
      <c r="C213" s="2" t="inlineStr"/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32</v>
      </c>
      <c r="H213" s="2" t="inlineStr">
        <is>
          <t>LC/PC</t>
        </is>
      </c>
      <c r="I213" s="2" t="inlineStr">
        <is>
          <t>LC/PC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>
        <v>1</v>
      </c>
      <c r="S213" s="2" t="n"/>
      <c r="T213" s="2" t="n"/>
      <c r="U213" s="2" t="n"/>
      <c r="V213" s="2">
        <f>SUM(J213:U213)</f>
        <v/>
      </c>
      <c r="W213" s="2" t="n">
        <v>2</v>
      </c>
      <c r="X213" s="2" t="n">
        <v>2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>
        <f>IF(F213=1,V213*2,IF(F213=2,V213*F213*2,IF(F213&gt;2,F213*2*V213)))</f>
        <v/>
      </c>
      <c r="AW213" s="2">
        <f>SUM(W213:AU213)</f>
        <v/>
      </c>
    </row>
    <row r="214">
      <c r="A214" s="2" t="inlineStr">
        <is>
          <t>14-D-A438</t>
        </is>
      </c>
      <c r="B214" s="3" t="inlineStr">
        <is>
          <t>OJC-A1-LC/LC-SM-38-PC/PC-DP</t>
        </is>
      </c>
      <c r="C214" s="2" t="inlineStr"/>
      <c r="D214" s="2" t="inlineStr">
        <is>
          <t>a1</t>
        </is>
      </c>
      <c r="E214" s="2" t="inlineStr">
        <is>
          <t>2.0mm</t>
        </is>
      </c>
      <c r="F214" s="2" t="n">
        <v>2</v>
      </c>
      <c r="G214" s="2" t="n">
        <v>38</v>
      </c>
      <c r="H214" s="2" t="inlineStr">
        <is>
          <t>LC/PC</t>
        </is>
      </c>
      <c r="I214" s="2" t="inlineStr">
        <is>
          <t>LC/PC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>
        <v>1</v>
      </c>
      <c r="S214" s="2" t="n"/>
      <c r="T214" s="2" t="n"/>
      <c r="U214" s="2" t="n"/>
      <c r="V214" s="2">
        <f>SUM(J214:U214)</f>
        <v/>
      </c>
      <c r="W214" s="2" t="n">
        <v>2</v>
      </c>
      <c r="X214" s="2" t="n">
        <v>2</v>
      </c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>
        <f>IF(F214=1,V214*2,IF(F214=2,V214*F214*2,IF(F214&gt;2,F214*2*V214)))</f>
        <v/>
      </c>
      <c r="AW214" s="2">
        <f>SUM(W214:AU214)</f>
        <v/>
      </c>
    </row>
    <row r="215">
      <c r="A215" s="2" t="inlineStr">
        <is>
          <t>14-D-A439</t>
        </is>
      </c>
      <c r="B215" s="3" t="inlineStr">
        <is>
          <t>DOJC-MM-SC/PC-SC/PC</t>
        </is>
      </c>
      <c r="C215" s="2" t="inlineStr">
        <is>
          <t>0.5M</t>
        </is>
      </c>
      <c r="D215" s="2" t="inlineStr">
        <is>
          <t>om1</t>
        </is>
      </c>
      <c r="E215" s="2" t="inlineStr">
        <is>
          <t>2.0mm</t>
        </is>
      </c>
      <c r="F215" s="2" t="n">
        <v>2</v>
      </c>
      <c r="G215" s="2" t="n">
        <v>0.5</v>
      </c>
      <c r="H215" s="2" t="inlineStr">
        <is>
          <t>SC/PC</t>
        </is>
      </c>
      <c r="I215" s="2" t="inlineStr">
        <is>
          <t>SC/PC</t>
        </is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>
        <v>200</v>
      </c>
      <c r="S215" s="2" t="n"/>
      <c r="T215" s="2" t="n"/>
      <c r="U215" s="2" t="n"/>
      <c r="V215" s="2">
        <f>SUM(J215:U215)</f>
        <v/>
      </c>
      <c r="W215" s="2" t="n"/>
      <c r="X215" s="2" t="n"/>
      <c r="Y215" s="2" t="n"/>
      <c r="Z215" s="2" t="n"/>
      <c r="AA215" s="2" t="n">
        <v>400</v>
      </c>
      <c r="AB215" s="2" t="n">
        <v>400</v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>
        <f>IF(F215=1,V215*2,IF(F215=2,V215*F215*2,IF(F215&gt;2,F215*2*V215)))</f>
        <v/>
      </c>
      <c r="AW215" s="2">
        <f>SUM(W215:AU215)</f>
        <v/>
      </c>
    </row>
    <row r="216">
      <c r="A216" s="2" t="inlineStr">
        <is>
          <t>14-D-A440</t>
        </is>
      </c>
      <c r="B216" s="3" t="inlineStr">
        <is>
          <t>DOJC-SM-SC/PC-FC/PC</t>
        </is>
      </c>
      <c r="C216" s="2" t="inlineStr">
        <is>
          <t>40M</t>
        </is>
      </c>
      <c r="D216" s="2" t="inlineStr">
        <is>
          <t>a1</t>
        </is>
      </c>
      <c r="E216" s="2" t="inlineStr">
        <is>
          <t>2.0mm</t>
        </is>
      </c>
      <c r="F216" s="2" t="n">
        <v>2</v>
      </c>
      <c r="G216" s="2" t="n">
        <v>40</v>
      </c>
      <c r="H216" s="2" t="inlineStr">
        <is>
          <t>SC/PC</t>
        </is>
      </c>
      <c r="I216" s="2" t="inlineStr">
        <is>
          <t>FC/PC</t>
        </is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>
        <v>2</v>
      </c>
      <c r="T216" s="2" t="n"/>
      <c r="U216" s="2" t="n"/>
      <c r="V216" s="2">
        <f>SUM(J216:U216)</f>
        <v/>
      </c>
      <c r="W216" s="2" t="n"/>
      <c r="X216" s="2" t="n"/>
      <c r="Y216" s="2" t="n"/>
      <c r="Z216" s="2" t="n"/>
      <c r="AA216" s="2" t="n">
        <v>4</v>
      </c>
      <c r="AB216" s="2" t="n"/>
      <c r="AC216" s="2" t="n"/>
      <c r="AD216" s="2" t="n"/>
      <c r="AE216" s="2" t="n"/>
      <c r="AF216" s="2" t="n">
        <v>4</v>
      </c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>
        <f>IF(F216=1,V216*2,IF(F216=2,V216*F216*2,IF(F216&gt;2,F216*2*V216)))</f>
        <v/>
      </c>
      <c r="AW216" s="2">
        <f>SUM(W216:AU216)</f>
        <v/>
      </c>
    </row>
    <row r="217">
      <c r="A217" s="2" t="inlineStr">
        <is>
          <t>14-D-A442</t>
        </is>
      </c>
      <c r="B217" s="3" t="inlineStr">
        <is>
          <t>DOJC-MM(OM3)-LC/PC-LC/PC</t>
        </is>
      </c>
      <c r="C217" s="2" t="inlineStr">
        <is>
          <t>67M</t>
        </is>
      </c>
      <c r="D217" s="2" t="inlineStr">
        <is>
          <t>om3</t>
        </is>
      </c>
      <c r="E217" s="2" t="inlineStr">
        <is>
          <t>2.0mm</t>
        </is>
      </c>
      <c r="F217" s="2" t="n">
        <v>2</v>
      </c>
      <c r="G217" s="2" t="n">
        <v>67</v>
      </c>
      <c r="H217" s="2" t="inlineStr">
        <is>
          <t>LC/PC</t>
        </is>
      </c>
      <c r="I217" s="2" t="inlineStr">
        <is>
          <t>LC/PC</t>
        </is>
      </c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>
        <v>1</v>
      </c>
      <c r="U217" s="2" t="n"/>
      <c r="V217" s="2">
        <f>SUM(J217:U217)</f>
        <v/>
      </c>
      <c r="W217" s="2" t="n"/>
      <c r="X217" s="2" t="n">
        <v>2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>
        <v>2</v>
      </c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>
        <f>IF(F217=1,V217*2,IF(F217=2,V217*F217*2,IF(F217&gt;2,F217*2*V217)))</f>
        <v/>
      </c>
      <c r="AW217" s="2">
        <f>SUM(W217:AU217)</f>
        <v/>
      </c>
    </row>
    <row r="218">
      <c r="A218" s="2" t="inlineStr">
        <is>
          <t>14-D-A443</t>
        </is>
      </c>
      <c r="B218" s="3" t="inlineStr">
        <is>
          <t>DOJC-MM(OM3)-LC/PC-LC/PC</t>
        </is>
      </c>
      <c r="C218" s="2" t="inlineStr">
        <is>
          <t>77M</t>
        </is>
      </c>
      <c r="D218" s="2" t="inlineStr">
        <is>
          <t>om3</t>
        </is>
      </c>
      <c r="E218" s="2" t="inlineStr">
        <is>
          <t>2.0mm</t>
        </is>
      </c>
      <c r="F218" s="2" t="n">
        <v>2</v>
      </c>
      <c r="G218" s="2" t="n">
        <v>77</v>
      </c>
      <c r="H218" s="2" t="inlineStr">
        <is>
          <t>LC/PC</t>
        </is>
      </c>
      <c r="I218" s="2" t="inlineStr">
        <is>
          <t>LC/PC</t>
        </is>
      </c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>
        <v>1</v>
      </c>
      <c r="U218" s="2" t="n"/>
      <c r="V218" s="2">
        <f>SUM(J218:U218)</f>
        <v/>
      </c>
      <c r="W218" s="2" t="n"/>
      <c r="X218" s="2" t="n">
        <v>2</v>
      </c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>
        <v>2</v>
      </c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>
        <f>IF(F218=1,V218*2,IF(F218=2,V218*F218*2,IF(F218&gt;2,F218*2*V218)))</f>
        <v/>
      </c>
      <c r="AW218" s="2">
        <f>SUM(W218:AU218)</f>
        <v/>
      </c>
    </row>
    <row r="219">
      <c r="A219" s="2" t="inlineStr">
        <is>
          <t>14-D-A444</t>
        </is>
      </c>
      <c r="B219" s="3" t="inlineStr">
        <is>
          <t>DOJC-MM(OM3)-LC/PC-LC/PC</t>
        </is>
      </c>
      <c r="C219" s="2" t="inlineStr">
        <is>
          <t>112M</t>
        </is>
      </c>
      <c r="D219" s="2" t="inlineStr">
        <is>
          <t>om3</t>
        </is>
      </c>
      <c r="E219" s="2" t="inlineStr">
        <is>
          <t>2.0mm</t>
        </is>
      </c>
      <c r="F219" s="2" t="n">
        <v>2</v>
      </c>
      <c r="G219" s="2" t="n">
        <v>112</v>
      </c>
      <c r="H219" s="2" t="inlineStr">
        <is>
          <t>LC/PC</t>
        </is>
      </c>
      <c r="I219" s="2" t="inlineStr">
        <is>
          <t>LC/PC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>
        <v>1</v>
      </c>
      <c r="U219" s="2" t="n"/>
      <c r="V219" s="2">
        <f>SUM(J219:U219)</f>
        <v/>
      </c>
      <c r="W219" s="2" t="n"/>
      <c r="X219" s="2" t="n">
        <v>2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>
        <v>2</v>
      </c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>
        <f>IF(F219=1,V219*2,IF(F219=2,V219*F219*2,IF(F219&gt;2,F219*2*V219)))</f>
        <v/>
      </c>
      <c r="AW219" s="2">
        <f>SUM(W219:AU219)</f>
        <v/>
      </c>
    </row>
    <row r="220">
      <c r="A220" s="2" t="inlineStr">
        <is>
          <t>14-D-A73</t>
        </is>
      </c>
      <c r="B220" s="3" t="inlineStr">
        <is>
          <t>DOJC-MM(OM3)-LC/PC-LC/PC</t>
        </is>
      </c>
      <c r="C220" s="2" t="inlineStr">
        <is>
          <t>17M</t>
        </is>
      </c>
      <c r="D220" s="2" t="inlineStr">
        <is>
          <t>om3</t>
        </is>
      </c>
      <c r="E220" s="2" t="inlineStr">
        <is>
          <t>2.0mm</t>
        </is>
      </c>
      <c r="F220" s="2" t="n">
        <v>2</v>
      </c>
      <c r="G220" s="2" t="n">
        <v>17</v>
      </c>
      <c r="H220" s="2" t="inlineStr">
        <is>
          <t>LC/PC</t>
        </is>
      </c>
      <c r="I220" s="2" t="inlineStr">
        <is>
          <t>LC/PC</t>
        </is>
      </c>
      <c r="J220" s="2" t="n"/>
      <c r="K220" s="2" t="n"/>
      <c r="L220" s="2" t="n">
        <v>16</v>
      </c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>
        <f>SUM(J220:U220)</f>
        <v/>
      </c>
      <c r="W220" s="2" t="n"/>
      <c r="X220" s="2" t="n">
        <v>32</v>
      </c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>
        <v>32</v>
      </c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>
        <f>IF(F220=1,V220*2,IF(F220=2,V220*F220*2,IF(F220&gt;2,F220*2*V220)))</f>
        <v/>
      </c>
      <c r="AW220" s="2">
        <f>SUM(W220:AU220)</f>
        <v/>
      </c>
    </row>
    <row r="221">
      <c r="A221" s="2" t="inlineStr">
        <is>
          <t>14-D-A87</t>
        </is>
      </c>
      <c r="B221" s="3" t="inlineStr">
        <is>
          <t>DOJC-SM-LC/PC-LC/PC</t>
        </is>
      </c>
      <c r="C221" s="2" t="inlineStr">
        <is>
          <t>8M_청색</t>
        </is>
      </c>
      <c r="D221" s="2" t="inlineStr">
        <is>
          <t>a1-청</t>
        </is>
      </c>
      <c r="E221" s="2" t="inlineStr">
        <is>
          <t>2.0mm</t>
        </is>
      </c>
      <c r="F221" s="2" t="n">
        <v>2</v>
      </c>
      <c r="G221" s="2" t="n">
        <v>8</v>
      </c>
      <c r="H221" s="2" t="inlineStr">
        <is>
          <t>LC/PC</t>
        </is>
      </c>
      <c r="I221" s="2" t="inlineStr">
        <is>
          <t>LC/PC</t>
        </is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>
        <v>90</v>
      </c>
      <c r="V221" s="2">
        <f>SUM(J221:U221)</f>
        <v/>
      </c>
      <c r="W221" s="2" t="n">
        <v>180</v>
      </c>
      <c r="X221" s="2" t="n">
        <v>180</v>
      </c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>
        <f>IF(F221=1,V221*2,IF(F221=2,V221*F221*2,IF(F221&gt;2,F221*2*V221)))</f>
        <v/>
      </c>
      <c r="AW221" s="2">
        <f>SUM(W221:AU221)</f>
        <v/>
      </c>
    </row>
    <row r="222">
      <c r="A222" s="2" t="inlineStr">
        <is>
          <t>14-D-A99</t>
        </is>
      </c>
      <c r="B222" s="3" t="inlineStr">
        <is>
          <t>OJC-A1-SC/LC-SM-30-PC/PC-DP</t>
        </is>
      </c>
      <c r="C222" s="2" t="inlineStr">
        <is>
          <t>K9089166_녹색</t>
        </is>
      </c>
      <c r="D222" s="2" t="inlineStr">
        <is>
          <t>a1-녹</t>
        </is>
      </c>
      <c r="E222" s="2" t="inlineStr">
        <is>
          <t>2.0mm</t>
        </is>
      </c>
      <c r="F222" s="2" t="n">
        <v>2</v>
      </c>
      <c r="G222" s="2" t="n">
        <v>30</v>
      </c>
      <c r="H222" s="2" t="inlineStr">
        <is>
          <t>SC/PC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>
        <v>6</v>
      </c>
      <c r="P222" s="2" t="n"/>
      <c r="Q222" s="2" t="n"/>
      <c r="R222" s="2" t="n"/>
      <c r="S222" s="2" t="n"/>
      <c r="T222" s="2" t="n"/>
      <c r="U222" s="2" t="n"/>
      <c r="V222" s="2">
        <f>SUM(J222:U222)</f>
        <v/>
      </c>
      <c r="W222" s="2" t="n"/>
      <c r="X222" s="2" t="n">
        <v>12</v>
      </c>
      <c r="Y222" s="2" t="n"/>
      <c r="Z222" s="2" t="n"/>
      <c r="AA222" s="2" t="n">
        <v>12</v>
      </c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>
        <f>IF(F222=1,V222*2,IF(F222=2,V222*F222*2,IF(F222&gt;2,F222*2*V222)))</f>
        <v/>
      </c>
      <c r="AW222" s="2">
        <f>SUM(W222:AU222)</f>
        <v/>
      </c>
    </row>
    <row r="223">
      <c r="A223" s="2" t="inlineStr">
        <is>
          <t>14-K-024</t>
        </is>
      </c>
      <c r="B223" s="3" t="inlineStr">
        <is>
          <t>OJC-A1-LC/LC-MM(OM3)-20-PC/PC-DP</t>
        </is>
      </c>
      <c r="C223" s="2" t="inlineStr"/>
      <c r="D223" s="2" t="inlineStr">
        <is>
          <t>om3</t>
        </is>
      </c>
      <c r="E223" s="2" t="inlineStr">
        <is>
          <t>2.0mm</t>
        </is>
      </c>
      <c r="F223" s="2" t="n">
        <v>2</v>
      </c>
      <c r="G223" s="2" t="n">
        <v>20</v>
      </c>
      <c r="H223" s="2" t="inlineStr">
        <is>
          <t>LC/PC</t>
        </is>
      </c>
      <c r="I223" s="2" t="inlineStr">
        <is>
          <t>LC/PC</t>
        </is>
      </c>
      <c r="J223" s="2" t="n">
        <v>1</v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>
        <f>SUM(J223:U223)</f>
        <v/>
      </c>
      <c r="W223" s="2" t="n"/>
      <c r="X223" s="2" t="n">
        <v>2</v>
      </c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>
        <v>2</v>
      </c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>
        <f>IF(F223=1,V223*2,IF(F223=2,V223*F223*2,IF(F223&gt;2,F223*2*V223)))</f>
        <v/>
      </c>
      <c r="AW223" s="2">
        <f>SUM(W223:AU223)</f>
        <v/>
      </c>
    </row>
    <row r="224">
      <c r="A224" s="2" t="inlineStr">
        <is>
          <t>14-K-025</t>
        </is>
      </c>
      <c r="B224" s="3" t="inlineStr">
        <is>
          <t>OJC-A1-LC/LC-MM(OM3)-25-PC/PC-DP</t>
        </is>
      </c>
      <c r="C224" s="2" t="inlineStr"/>
      <c r="D224" s="2" t="inlineStr">
        <is>
          <t>om3</t>
        </is>
      </c>
      <c r="E224" s="2" t="inlineStr">
        <is>
          <t>2.0mm</t>
        </is>
      </c>
      <c r="F224" s="2" t="n">
        <v>2</v>
      </c>
      <c r="G224" s="2" t="n">
        <v>25</v>
      </c>
      <c r="H224" s="2" t="inlineStr">
        <is>
          <t>LC/PC</t>
        </is>
      </c>
      <c r="I224" s="2" t="inlineStr">
        <is>
          <t>LC/PC</t>
        </is>
      </c>
      <c r="J224" s="2" t="n"/>
      <c r="K224" s="2" t="n"/>
      <c r="L224" s="2" t="n">
        <v>5</v>
      </c>
      <c r="M224" s="2" t="n"/>
      <c r="N224" s="2" t="n"/>
      <c r="O224" s="2" t="n"/>
      <c r="P224" s="2" t="n"/>
      <c r="Q224" s="2" t="n"/>
      <c r="R224" s="2" t="n"/>
      <c r="S224" s="2" t="n">
        <v>6</v>
      </c>
      <c r="T224" s="2" t="n"/>
      <c r="U224" s="2" t="n">
        <v>10</v>
      </c>
      <c r="V224" s="2">
        <f>SUM(J224:U224)</f>
        <v/>
      </c>
      <c r="W224" s="2" t="n"/>
      <c r="X224" s="2" t="n">
        <v>42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>
        <v>42</v>
      </c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>
        <f>IF(F224=1,V224*2,IF(F224=2,V224*F224*2,IF(F224&gt;2,F224*2*V224)))</f>
        <v/>
      </c>
      <c r="AW224" s="2">
        <f>SUM(W224:AU224)</f>
        <v/>
      </c>
    </row>
    <row r="225">
      <c r="A225" s="2" t="inlineStr">
        <is>
          <t>14-K-026</t>
        </is>
      </c>
      <c r="B225" s="3" t="inlineStr">
        <is>
          <t>OJC-A1-LC/LC-MM(OM3)-30-PC/PC-DP</t>
        </is>
      </c>
      <c r="C225" s="2" t="inlineStr"/>
      <c r="D225" s="2" t="inlineStr">
        <is>
          <t>om3</t>
        </is>
      </c>
      <c r="E225" s="2" t="inlineStr">
        <is>
          <t>2.0mm</t>
        </is>
      </c>
      <c r="F225" s="2" t="n">
        <v>2</v>
      </c>
      <c r="G225" s="2" t="n">
        <v>30</v>
      </c>
      <c r="H225" s="2" t="inlineStr">
        <is>
          <t>LC/PC</t>
        </is>
      </c>
      <c r="I225" s="2" t="inlineStr">
        <is>
          <t>LC/PC</t>
        </is>
      </c>
      <c r="J225" s="2" t="n"/>
      <c r="K225" s="2" t="n"/>
      <c r="L225" s="2" t="n">
        <v>10</v>
      </c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>
        <f>SUM(J225:U225)</f>
        <v/>
      </c>
      <c r="W225" s="2" t="n"/>
      <c r="X225" s="2" t="n">
        <v>20</v>
      </c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>
        <v>20</v>
      </c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>
        <f>IF(F225=1,V225*2,IF(F225=2,V225*F225*2,IF(F225&gt;2,F225*2*V225)))</f>
        <v/>
      </c>
      <c r="AW225" s="2">
        <f>SUM(W225:AU225)</f>
        <v/>
      </c>
    </row>
    <row r="226">
      <c r="A226" s="2" t="inlineStr">
        <is>
          <t>14-K-027</t>
        </is>
      </c>
      <c r="B226" s="3" t="inlineStr">
        <is>
          <t>OJC-A1-LC/LC-MM(OM3)-35-PC/PC-DP</t>
        </is>
      </c>
      <c r="C226" s="2" t="inlineStr"/>
      <c r="D226" s="2" t="inlineStr">
        <is>
          <t>om3</t>
        </is>
      </c>
      <c r="E226" s="2" t="inlineStr">
        <is>
          <t>2.0mm</t>
        </is>
      </c>
      <c r="F226" s="2" t="n">
        <v>2</v>
      </c>
      <c r="G226" s="2" t="n">
        <v>35</v>
      </c>
      <c r="H226" s="2" t="inlineStr">
        <is>
          <t>LC/PC</t>
        </is>
      </c>
      <c r="I226" s="2" t="inlineStr">
        <is>
          <t>LC/PC</t>
        </is>
      </c>
      <c r="J226" s="2" t="n"/>
      <c r="K226" s="2" t="n"/>
      <c r="L226" s="2" t="n">
        <v>5</v>
      </c>
      <c r="M226" s="2" t="n"/>
      <c r="N226" s="2" t="n"/>
      <c r="O226" s="2" t="n"/>
      <c r="P226" s="2" t="n"/>
      <c r="Q226" s="2" t="n"/>
      <c r="R226" s="2" t="n"/>
      <c r="S226" s="2" t="n"/>
      <c r="T226" s="2" t="n">
        <v>24</v>
      </c>
      <c r="U226" s="2" t="n"/>
      <c r="V226" s="2">
        <f>SUM(J226:U226)</f>
        <v/>
      </c>
      <c r="W226" s="2" t="n"/>
      <c r="X226" s="2" t="n">
        <v>58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>
        <v>58</v>
      </c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>
        <f>IF(F226=1,V226*2,IF(F226=2,V226*F226*2,IF(F226&gt;2,F226*2*V226)))</f>
        <v/>
      </c>
      <c r="AW226" s="2">
        <f>SUM(W226:AU226)</f>
        <v/>
      </c>
    </row>
    <row r="227">
      <c r="A227" s="2" t="inlineStr">
        <is>
          <t>14-K-028</t>
        </is>
      </c>
      <c r="B227" s="3" t="inlineStr">
        <is>
          <t>OJC-A1-LC/LC-MM(OM3)-3-PC/PC-DP</t>
        </is>
      </c>
      <c r="C227" s="2" t="inlineStr"/>
      <c r="D227" s="2" t="inlineStr">
        <is>
          <t>om3</t>
        </is>
      </c>
      <c r="E227" s="2" t="inlineStr">
        <is>
          <t>2.0mm</t>
        </is>
      </c>
      <c r="F227" s="2" t="n">
        <v>2</v>
      </c>
      <c r="G227" s="2" t="n">
        <v>3</v>
      </c>
      <c r="H227" s="2" t="inlineStr">
        <is>
          <t>LC/PC</t>
        </is>
      </c>
      <c r="I227" s="2" t="inlineStr">
        <is>
          <t>LC/PC</t>
        </is>
      </c>
      <c r="J227" s="2" t="n">
        <v>145</v>
      </c>
      <c r="K227" s="2" t="n"/>
      <c r="L227" s="2" t="n">
        <v>5</v>
      </c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>
        <f>SUM(J227:U227)</f>
        <v/>
      </c>
      <c r="W227" s="2" t="n"/>
      <c r="X227" s="2" t="n">
        <v>300</v>
      </c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>
        <v>300</v>
      </c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>
        <f>IF(F227=1,V227*2,IF(F227=2,V227*F227*2,IF(F227&gt;2,F227*2*V227)))</f>
        <v/>
      </c>
      <c r="AW227" s="2">
        <f>SUM(W227:AU227)</f>
        <v/>
      </c>
    </row>
    <row r="228">
      <c r="A228" s="2" t="inlineStr">
        <is>
          <t>14-K-029</t>
        </is>
      </c>
      <c r="B228" s="3" t="inlineStr">
        <is>
          <t>OJC-A1-LC/LC-MM(OM3)-50-PC/PC-DP</t>
        </is>
      </c>
      <c r="C228" s="2" t="inlineStr"/>
      <c r="D228" s="2" t="inlineStr">
        <is>
          <t>om3</t>
        </is>
      </c>
      <c r="E228" s="2" t="inlineStr">
        <is>
          <t>2.0mm</t>
        </is>
      </c>
      <c r="F228" s="2" t="n">
        <v>2</v>
      </c>
      <c r="G228" s="2" t="n">
        <v>50</v>
      </c>
      <c r="H228" s="2" t="inlineStr">
        <is>
          <t>LC/PC</t>
        </is>
      </c>
      <c r="I228" s="2" t="inlineStr">
        <is>
          <t>LC/PC</t>
        </is>
      </c>
      <c r="J228" s="2" t="n"/>
      <c r="K228" s="2" t="n"/>
      <c r="L228" s="2" t="n"/>
      <c r="M228" s="2" t="n"/>
      <c r="N228" s="2" t="n"/>
      <c r="O228" s="2" t="n">
        <v>8</v>
      </c>
      <c r="P228" s="2" t="n"/>
      <c r="Q228" s="2" t="n"/>
      <c r="R228" s="2" t="n"/>
      <c r="S228" s="2" t="n"/>
      <c r="T228" s="2" t="n"/>
      <c r="U228" s="2" t="n"/>
      <c r="V228" s="2">
        <f>SUM(J228:U228)</f>
        <v/>
      </c>
      <c r="W228" s="2" t="n"/>
      <c r="X228" s="2" t="n">
        <v>16</v>
      </c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>
        <v>16</v>
      </c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>
        <f>IF(F228=1,V228*2,IF(F228=2,V228*F228*2,IF(F228&gt;2,F228*2*V228)))</f>
        <v/>
      </c>
      <c r="AW228" s="2">
        <f>SUM(W228:AU228)</f>
        <v/>
      </c>
    </row>
    <row r="229">
      <c r="A229" s="2" t="inlineStr">
        <is>
          <t>14-K-031</t>
        </is>
      </c>
      <c r="B229" s="3" t="inlineStr">
        <is>
          <t>OJC-A1-LC/LC-MM(OM3)-5-PC/PC-DP</t>
        </is>
      </c>
      <c r="C229" s="2" t="inlineStr"/>
      <c r="D229" s="2" t="inlineStr">
        <is>
          <t>om3</t>
        </is>
      </c>
      <c r="E229" s="2" t="inlineStr">
        <is>
          <t>2.0mm</t>
        </is>
      </c>
      <c r="F229" s="2" t="n">
        <v>2</v>
      </c>
      <c r="G229" s="2" t="n">
        <v>5</v>
      </c>
      <c r="H229" s="2" t="inlineStr">
        <is>
          <t>LC/PC</t>
        </is>
      </c>
      <c r="I229" s="2" t="inlineStr">
        <is>
          <t>LC/PC</t>
        </is>
      </c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>
        <v>35</v>
      </c>
      <c r="V229" s="2">
        <f>SUM(J229:U229)</f>
        <v/>
      </c>
      <c r="W229" s="2" t="n"/>
      <c r="X229" s="2" t="n">
        <v>70</v>
      </c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>
        <v>70</v>
      </c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>
        <f>IF(F229=1,V229*2,IF(F229=2,V229*F229*2,IF(F229&gt;2,F229*2*V229)))</f>
        <v/>
      </c>
      <c r="AW229" s="2">
        <f>SUM(W229:AU229)</f>
        <v/>
      </c>
    </row>
    <row r="230">
      <c r="A230" s="2" t="inlineStr">
        <is>
          <t>14-K-032</t>
        </is>
      </c>
      <c r="B230" s="3" t="inlineStr">
        <is>
          <t>OJC-A1-LC/LC-MM(OM3)-8-PC/PC-DP</t>
        </is>
      </c>
      <c r="C230" s="2" t="inlineStr"/>
      <c r="D230" s="2" t="inlineStr">
        <is>
          <t>om3</t>
        </is>
      </c>
      <c r="E230" s="2" t="inlineStr">
        <is>
          <t>2.0mm</t>
        </is>
      </c>
      <c r="F230" s="2" t="n">
        <v>2</v>
      </c>
      <c r="G230" s="2" t="n">
        <v>8</v>
      </c>
      <c r="H230" s="2" t="inlineStr">
        <is>
          <t>LC/PC</t>
        </is>
      </c>
      <c r="I230" s="2" t="inlineStr">
        <is>
          <t>LC/PC</t>
        </is>
      </c>
      <c r="J230" s="2" t="n"/>
      <c r="K230" s="2" t="n"/>
      <c r="L230" s="2" t="n">
        <v>25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>
        <f>SUM(J230:U230)</f>
        <v/>
      </c>
      <c r="W230" s="2" t="n"/>
      <c r="X230" s="2" t="n">
        <v>50</v>
      </c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>
        <v>50</v>
      </c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>
        <f>IF(F230=1,V230*2,IF(F230=2,V230*F230*2,IF(F230&gt;2,F230*2*V230)))</f>
        <v/>
      </c>
      <c r="AW230" s="2">
        <f>SUM(W230:AU230)</f>
        <v/>
      </c>
    </row>
    <row r="231">
      <c r="A231" s="2" t="inlineStr">
        <is>
          <t>14-K-039</t>
        </is>
      </c>
      <c r="B231" s="3" t="inlineStr">
        <is>
          <t>OJC-A1-LC/LC-MM-15-PC/PC-DP</t>
        </is>
      </c>
      <c r="C231" s="2" t="inlineStr">
        <is>
          <t>K9089335</t>
        </is>
      </c>
      <c r="D231" s="2" t="inlineStr">
        <is>
          <t>om1</t>
        </is>
      </c>
      <c r="E231" s="2" t="inlineStr">
        <is>
          <t>2.0mm</t>
        </is>
      </c>
      <c r="F231" s="2" t="n">
        <v>2</v>
      </c>
      <c r="G231" s="2" t="n">
        <v>15</v>
      </c>
      <c r="H231" s="2" t="inlineStr">
        <is>
          <t>LC/PC</t>
        </is>
      </c>
      <c r="I231" s="2" t="inlineStr">
        <is>
          <t>LC/PC</t>
        </is>
      </c>
      <c r="J231" s="2" t="n">
        <v>1</v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>
        <f>SUM(J231:U231)</f>
        <v/>
      </c>
      <c r="W231" s="2" t="n"/>
      <c r="X231" s="2" t="n">
        <v>2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>
        <v>2</v>
      </c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>
        <f>IF(F231=1,V231*2,IF(F231=2,V231*F231*2,IF(F231&gt;2,F231*2*V231)))</f>
        <v/>
      </c>
      <c r="AW231" s="2">
        <f>SUM(W231:AU231)</f>
        <v/>
      </c>
    </row>
    <row r="232">
      <c r="A232" s="2" t="inlineStr">
        <is>
          <t>14-K-041</t>
        </is>
      </c>
      <c r="B232" s="3" t="inlineStr">
        <is>
          <t>OJC-A1-LC/LC-MM-16-PC/PC-DP</t>
        </is>
      </c>
      <c r="C232" s="2" t="inlineStr"/>
      <c r="D232" s="2" t="inlineStr">
        <is>
          <t>om1</t>
        </is>
      </c>
      <c r="E232" s="2" t="inlineStr">
        <is>
          <t>2.0mm</t>
        </is>
      </c>
      <c r="F232" s="2" t="n">
        <v>2</v>
      </c>
      <c r="G232" s="2" t="n">
        <v>16</v>
      </c>
      <c r="H232" s="2" t="inlineStr">
        <is>
          <t>LC/PC</t>
        </is>
      </c>
      <c r="I232" s="2" t="inlineStr">
        <is>
          <t>LC/PC</t>
        </is>
      </c>
      <c r="J232" s="2" t="n">
        <v>1</v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>
        <f>SUM(J232:U232)</f>
        <v/>
      </c>
      <c r="W232" s="2" t="n"/>
      <c r="X232" s="2" t="n">
        <v>2</v>
      </c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>
        <v>2</v>
      </c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>
        <f>IF(F232=1,V232*2,IF(F232=2,V232*F232*2,IF(F232&gt;2,F232*2*V232)))</f>
        <v/>
      </c>
      <c r="AW232" s="2">
        <f>SUM(W232:AU232)</f>
        <v/>
      </c>
    </row>
    <row r="233">
      <c r="A233" s="2" t="inlineStr">
        <is>
          <t>14-K-044</t>
        </is>
      </c>
      <c r="B233" s="3" t="inlineStr">
        <is>
          <t>OJC-A1-LC/LC-MM-20-PC/PC-DP</t>
        </is>
      </c>
      <c r="C233" s="2" t="inlineStr">
        <is>
          <t>K9089336</t>
        </is>
      </c>
      <c r="D233" s="2" t="inlineStr">
        <is>
          <t>om1</t>
        </is>
      </c>
      <c r="E233" s="2" t="inlineStr">
        <is>
          <t>2.0mm</t>
        </is>
      </c>
      <c r="F233" s="2" t="n">
        <v>2</v>
      </c>
      <c r="G233" s="2" t="n">
        <v>20</v>
      </c>
      <c r="H233" s="2" t="inlineStr">
        <is>
          <t>LC/PC</t>
        </is>
      </c>
      <c r="I233" s="2" t="inlineStr">
        <is>
          <t>LC/PC</t>
        </is>
      </c>
      <c r="J233" s="2" t="n">
        <v>3</v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>
        <v>887</v>
      </c>
      <c r="T233" s="2" t="n">
        <v>4</v>
      </c>
      <c r="U233" s="2" t="n"/>
      <c r="V233" s="2">
        <f>SUM(J233:U233)</f>
        <v/>
      </c>
      <c r="W233" s="2" t="n"/>
      <c r="X233" s="2" t="n">
        <v>1788</v>
      </c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>
        <v>1788</v>
      </c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>
        <f>IF(F233=1,V233*2,IF(F233=2,V233*F233*2,IF(F233&gt;2,F233*2*V233)))</f>
        <v/>
      </c>
      <c r="AW233" s="2">
        <f>SUM(W233:AU233)</f>
        <v/>
      </c>
    </row>
    <row r="234">
      <c r="A234" s="2" t="inlineStr">
        <is>
          <t>14-K-045</t>
        </is>
      </c>
      <c r="B234" s="3" t="inlineStr">
        <is>
          <t>OJC-A1-LC/LC-MM-20-PC/PC-SP</t>
        </is>
      </c>
      <c r="C234" s="2" t="inlineStr">
        <is>
          <t>K9089288</t>
        </is>
      </c>
      <c r="D234" s="2" t="inlineStr">
        <is>
          <t>om1</t>
        </is>
      </c>
      <c r="E234" s="2" t="inlineStr">
        <is>
          <t>2.0mm</t>
        </is>
      </c>
      <c r="F234" s="2" t="n">
        <v>1</v>
      </c>
      <c r="G234" s="2" t="n">
        <v>20</v>
      </c>
      <c r="H234" s="2" t="inlineStr">
        <is>
          <t>LC/PC</t>
        </is>
      </c>
      <c r="I234" s="2" t="inlineStr">
        <is>
          <t>LC/PC</t>
        </is>
      </c>
      <c r="J234" s="2" t="n"/>
      <c r="K234" s="2" t="n"/>
      <c r="L234" s="2" t="n">
        <v>3</v>
      </c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>
        <f>SUM(J234:U234)</f>
        <v/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>
        <v>6</v>
      </c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>
        <f>IF(F234=1,V234*2,IF(F234=2,V234*F234*2,IF(F234&gt;2,F234*2*V234)))</f>
        <v/>
      </c>
      <c r="AW234" s="2">
        <f>SUM(W234:AU234)</f>
        <v/>
      </c>
    </row>
    <row r="235">
      <c r="A235" s="2" t="inlineStr">
        <is>
          <t>14-K-047</t>
        </is>
      </c>
      <c r="B235" s="3" t="inlineStr">
        <is>
          <t>OJC-A1-LC/LC-MM-25-PC/PC-DP</t>
        </is>
      </c>
      <c r="C235" s="2" t="inlineStr">
        <is>
          <t>K9089337</t>
        </is>
      </c>
      <c r="D235" s="2" t="inlineStr">
        <is>
          <t>om1</t>
        </is>
      </c>
      <c r="E235" s="2" t="inlineStr">
        <is>
          <t>2.0mm</t>
        </is>
      </c>
      <c r="F235" s="2" t="n">
        <v>2</v>
      </c>
      <c r="G235" s="2" t="n">
        <v>25</v>
      </c>
      <c r="H235" s="2" t="inlineStr">
        <is>
          <t>LC/PC</t>
        </is>
      </c>
      <c r="I235" s="2" t="inlineStr">
        <is>
          <t>LC/PC</t>
        </is>
      </c>
      <c r="J235" s="2" t="n"/>
      <c r="K235" s="2" t="n">
        <v>15</v>
      </c>
      <c r="L235" s="2" t="n"/>
      <c r="M235" s="2" t="n"/>
      <c r="N235" s="2" t="n">
        <v>30</v>
      </c>
      <c r="O235" s="2" t="n">
        <v>11</v>
      </c>
      <c r="P235" s="2" t="n"/>
      <c r="Q235" s="2" t="n"/>
      <c r="R235" s="2" t="n"/>
      <c r="S235" s="2" t="n">
        <v>20</v>
      </c>
      <c r="T235" s="2" t="n"/>
      <c r="U235" s="2" t="n">
        <v>12</v>
      </c>
      <c r="V235" s="2">
        <f>SUM(J235:U235)</f>
        <v/>
      </c>
      <c r="W235" s="2" t="n"/>
      <c r="X235" s="2" t="n">
        <v>176</v>
      </c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>
        <v>176</v>
      </c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>
        <f>IF(F235=1,V235*2,IF(F235=2,V235*F235*2,IF(F235&gt;2,F235*2*V235)))</f>
        <v/>
      </c>
      <c r="AW235" s="2">
        <f>SUM(W235:AU235)</f>
        <v/>
      </c>
    </row>
    <row r="236">
      <c r="A236" s="2" t="inlineStr">
        <is>
          <t>14-K-049</t>
        </is>
      </c>
      <c r="B236" s="3" t="inlineStr">
        <is>
          <t>OJC-A1-LC/LC-MM-26-PC/PC-DP</t>
        </is>
      </c>
      <c r="C236" s="2" t="inlineStr"/>
      <c r="D236" s="2" t="inlineStr">
        <is>
          <t>om1</t>
        </is>
      </c>
      <c r="E236" s="2" t="inlineStr">
        <is>
          <t>2.0mm</t>
        </is>
      </c>
      <c r="F236" s="2" t="n">
        <v>2</v>
      </c>
      <c r="G236" s="2" t="n">
        <v>26</v>
      </c>
      <c r="H236" s="2" t="inlineStr">
        <is>
          <t>LC/PC</t>
        </is>
      </c>
      <c r="I236" s="2" t="inlineStr">
        <is>
          <t>LC/PC</t>
        </is>
      </c>
      <c r="J236" s="2" t="n"/>
      <c r="K236" s="2" t="n"/>
      <c r="L236" s="2" t="n"/>
      <c r="M236" s="2" t="n"/>
      <c r="N236" s="2" t="n">
        <v>3</v>
      </c>
      <c r="O236" s="2" t="n"/>
      <c r="P236" s="2" t="n"/>
      <c r="Q236" s="2" t="n"/>
      <c r="R236" s="2" t="n"/>
      <c r="S236" s="2" t="n"/>
      <c r="T236" s="2" t="n"/>
      <c r="U236" s="2" t="n"/>
      <c r="V236" s="2">
        <f>SUM(J236:U236)</f>
        <v/>
      </c>
      <c r="W236" s="2" t="n"/>
      <c r="X236" s="2" t="n">
        <v>6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>
        <v>6</v>
      </c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>
        <f>IF(F236=1,V236*2,IF(F236=2,V236*F236*2,IF(F236&gt;2,F236*2*V236)))</f>
        <v/>
      </c>
      <c r="AW236" s="2">
        <f>SUM(W236:AU236)</f>
        <v/>
      </c>
    </row>
    <row r="237">
      <c r="A237" s="2" t="inlineStr">
        <is>
          <t>14-K-052</t>
        </is>
      </c>
      <c r="B237" s="3" t="inlineStr">
        <is>
          <t>OJC-A1-LC/LC-MM-2-PC/PC-DP</t>
        </is>
      </c>
      <c r="C237" s="2" t="inlineStr">
        <is>
          <t>K9089330</t>
        </is>
      </c>
      <c r="D237" s="2" t="inlineStr">
        <is>
          <t>om1</t>
        </is>
      </c>
      <c r="E237" s="2" t="inlineStr">
        <is>
          <t>2.0mm</t>
        </is>
      </c>
      <c r="F237" s="2" t="n">
        <v>2</v>
      </c>
      <c r="G237" s="2" t="n">
        <v>2</v>
      </c>
      <c r="H237" s="2" t="inlineStr">
        <is>
          <t>LC/PC</t>
        </is>
      </c>
      <c r="I237" s="2" t="inlineStr">
        <is>
          <t>LC/PC</t>
        </is>
      </c>
      <c r="J237" s="2" t="n"/>
      <c r="K237" s="2" t="n">
        <v>80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>
        <f>SUM(J237:U237)</f>
        <v/>
      </c>
      <c r="W237" s="2" t="n"/>
      <c r="X237" s="2" t="n">
        <v>160</v>
      </c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>
        <v>160</v>
      </c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>
        <f>IF(F237=1,V237*2,IF(F237=2,V237*F237*2,IF(F237&gt;2,F237*2*V237)))</f>
        <v/>
      </c>
      <c r="AW237" s="2">
        <f>SUM(W237:AU237)</f>
        <v/>
      </c>
    </row>
    <row r="238">
      <c r="A238" s="2" t="inlineStr">
        <is>
          <t>14-K-054</t>
        </is>
      </c>
      <c r="B238" s="3" t="inlineStr">
        <is>
          <t>OJC-A1-LC/LC-MM-30-PC/PC-DP</t>
        </is>
      </c>
      <c r="C238" s="2" t="inlineStr">
        <is>
          <t>K9089338</t>
        </is>
      </c>
      <c r="D238" s="2" t="inlineStr">
        <is>
          <t>om1</t>
        </is>
      </c>
      <c r="E238" s="2" t="inlineStr">
        <is>
          <t>2.0mm</t>
        </is>
      </c>
      <c r="F238" s="2" t="n">
        <v>2</v>
      </c>
      <c r="G238" s="2" t="n">
        <v>30</v>
      </c>
      <c r="H238" s="2" t="inlineStr">
        <is>
          <t>LC/PC</t>
        </is>
      </c>
      <c r="I238" s="2" t="inlineStr">
        <is>
          <t>LC/PC</t>
        </is>
      </c>
      <c r="J238" s="2" t="n"/>
      <c r="K238" s="2" t="n"/>
      <c r="L238" s="2" t="n"/>
      <c r="M238" s="2" t="n"/>
      <c r="N238" s="2" t="n">
        <v>20</v>
      </c>
      <c r="O238" s="2" t="n">
        <v>55</v>
      </c>
      <c r="P238" s="2" t="n"/>
      <c r="Q238" s="2" t="n"/>
      <c r="R238" s="2" t="n"/>
      <c r="S238" s="2" t="n">
        <v>20</v>
      </c>
      <c r="T238" s="2" t="n"/>
      <c r="U238" s="2" t="n"/>
      <c r="V238" s="2">
        <f>SUM(J238:U238)</f>
        <v/>
      </c>
      <c r="W238" s="2" t="n"/>
      <c r="X238" s="2" t="n">
        <v>190</v>
      </c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>
        <v>190</v>
      </c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>
        <f>IF(F238=1,V238*2,IF(F238=2,V238*F238*2,IF(F238&gt;2,F238*2*V238)))</f>
        <v/>
      </c>
      <c r="AW238" s="2">
        <f>SUM(W238:AU238)</f>
        <v/>
      </c>
    </row>
    <row r="239">
      <c r="A239" s="2" t="inlineStr">
        <is>
          <t>14-K-057</t>
        </is>
      </c>
      <c r="B239" s="3" t="inlineStr">
        <is>
          <t>OJC-A1-LC/LC-MM-35-PC/PC-DP</t>
        </is>
      </c>
      <c r="C239" s="2" t="inlineStr">
        <is>
          <t>K9089339</t>
        </is>
      </c>
      <c r="D239" s="2" t="inlineStr">
        <is>
          <t>om1</t>
        </is>
      </c>
      <c r="E239" s="2" t="inlineStr">
        <is>
          <t>2.0mm</t>
        </is>
      </c>
      <c r="F239" s="2" t="n">
        <v>2</v>
      </c>
      <c r="G239" s="2" t="n">
        <v>35</v>
      </c>
      <c r="H239" s="2" t="inlineStr">
        <is>
          <t>LC/PC</t>
        </is>
      </c>
      <c r="I239" s="2" t="inlineStr">
        <is>
          <t>LC/PC</t>
        </is>
      </c>
      <c r="J239" s="2" t="n"/>
      <c r="K239" s="2" t="n"/>
      <c r="L239" s="2" t="n"/>
      <c r="M239" s="2" t="n"/>
      <c r="N239" s="2" t="n"/>
      <c r="O239" s="2" t="n">
        <v>11</v>
      </c>
      <c r="P239" s="2" t="n">
        <v>2</v>
      </c>
      <c r="Q239" s="2" t="n"/>
      <c r="R239" s="2" t="n"/>
      <c r="S239" s="2" t="n"/>
      <c r="T239" s="2" t="n"/>
      <c r="U239" s="2" t="n"/>
      <c r="V239" s="2">
        <f>SUM(J239:U239)</f>
        <v/>
      </c>
      <c r="W239" s="2" t="n"/>
      <c r="X239" s="2" t="n">
        <v>26</v>
      </c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>
        <v>26</v>
      </c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>
        <f>IF(F239=1,V239*2,IF(F239=2,V239*F239*2,IF(F239&gt;2,F239*2*V239)))</f>
        <v/>
      </c>
      <c r="AW239" s="2">
        <f>SUM(W239:AU239)</f>
        <v/>
      </c>
    </row>
    <row r="240">
      <c r="A240" s="2" t="inlineStr">
        <is>
          <t>14-K-060</t>
        </is>
      </c>
      <c r="B240" s="3" t="inlineStr">
        <is>
          <t>OJC-A1-LC/LC-MM-40-PC/PC-DP</t>
        </is>
      </c>
      <c r="C240" s="2" t="inlineStr">
        <is>
          <t>K9089340</t>
        </is>
      </c>
      <c r="D240" s="2" t="inlineStr">
        <is>
          <t>om1</t>
        </is>
      </c>
      <c r="E240" s="2" t="inlineStr">
        <is>
          <t>2.0mm</t>
        </is>
      </c>
      <c r="F240" s="2" t="n">
        <v>2</v>
      </c>
      <c r="G240" s="2" t="n">
        <v>40</v>
      </c>
      <c r="H240" s="2" t="inlineStr">
        <is>
          <t>LC/PC</t>
        </is>
      </c>
      <c r="I240" s="2" t="inlineStr">
        <is>
          <t>LC/PC</t>
        </is>
      </c>
      <c r="J240" s="2" t="n"/>
      <c r="K240" s="2" t="n"/>
      <c r="L240" s="2" t="n"/>
      <c r="M240" s="2" t="n"/>
      <c r="N240" s="2" t="n"/>
      <c r="O240" s="2" t="n">
        <v>5</v>
      </c>
      <c r="P240" s="2" t="n"/>
      <c r="Q240" s="2" t="n"/>
      <c r="R240" s="2" t="n"/>
      <c r="S240" s="2" t="n"/>
      <c r="T240" s="2" t="n"/>
      <c r="U240" s="2" t="n"/>
      <c r="V240" s="2">
        <f>SUM(J240:U240)</f>
        <v/>
      </c>
      <c r="W240" s="2" t="n"/>
      <c r="X240" s="2" t="n">
        <v>10</v>
      </c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>
        <v>10</v>
      </c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>
        <f>IF(F240=1,V240*2,IF(F240=2,V240*F240*2,IF(F240&gt;2,F240*2*V240)))</f>
        <v/>
      </c>
      <c r="AW240" s="2">
        <f>SUM(W240:AU240)</f>
        <v/>
      </c>
    </row>
    <row r="241">
      <c r="A241" s="2" t="inlineStr">
        <is>
          <t>14-K-062</t>
        </is>
      </c>
      <c r="B241" s="3" t="inlineStr">
        <is>
          <t>OJC-A1-LC/LC-MM-50-PC/PC-DP</t>
        </is>
      </c>
      <c r="C241" s="2" t="inlineStr">
        <is>
          <t>K9089340</t>
        </is>
      </c>
      <c r="D241" s="2" t="inlineStr">
        <is>
          <t>om1</t>
        </is>
      </c>
      <c r="E241" s="2" t="inlineStr">
        <is>
          <t>2.0mm</t>
        </is>
      </c>
      <c r="F241" s="2" t="n">
        <v>2</v>
      </c>
      <c r="G241" s="2" t="n">
        <v>50</v>
      </c>
      <c r="H241" s="2" t="inlineStr">
        <is>
          <t>LC/PC</t>
        </is>
      </c>
      <c r="I241" s="2" t="inlineStr">
        <is>
          <t>LC/PC</t>
        </is>
      </c>
      <c r="J241" s="2" t="n"/>
      <c r="K241" s="2" t="n"/>
      <c r="L241" s="2" t="n">
        <v>5</v>
      </c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>
        <f>SUM(J241:U241)</f>
        <v/>
      </c>
      <c r="W241" s="2" t="n"/>
      <c r="X241" s="2" t="n">
        <v>10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>
        <v>10</v>
      </c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>
        <f>IF(F241=1,V241*2,IF(F241=2,V241*F241*2,IF(F241&gt;2,F241*2*V241)))</f>
        <v/>
      </c>
      <c r="AW241" s="2">
        <f>SUM(W241:AU241)</f>
        <v/>
      </c>
    </row>
    <row r="242">
      <c r="A242" s="2" t="inlineStr">
        <is>
          <t>14-K-065</t>
        </is>
      </c>
      <c r="B242" s="3" t="inlineStr">
        <is>
          <t>OJC-A1-LC/LC-MM-5-PC/PC-DP</t>
        </is>
      </c>
      <c r="C242" s="2" t="inlineStr">
        <is>
          <t>K9089333</t>
        </is>
      </c>
      <c r="D242" s="2" t="inlineStr">
        <is>
          <t>om1</t>
        </is>
      </c>
      <c r="E242" s="2" t="inlineStr">
        <is>
          <t>2.0mm</t>
        </is>
      </c>
      <c r="F242" s="2" t="n">
        <v>2</v>
      </c>
      <c r="G242" s="2" t="n">
        <v>5</v>
      </c>
      <c r="H242" s="2" t="inlineStr">
        <is>
          <t>LC/PC</t>
        </is>
      </c>
      <c r="I242" s="2" t="inlineStr">
        <is>
          <t>LC/PC</t>
        </is>
      </c>
      <c r="J242" s="2" t="n">
        <v>1</v>
      </c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>
        <f>SUM(J242:U242)</f>
        <v/>
      </c>
      <c r="W242" s="2" t="n"/>
      <c r="X242" s="2" t="n">
        <v>2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>
        <v>2</v>
      </c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>
        <f>IF(F242=1,V242*2,IF(F242=2,V242*F242*2,IF(F242&gt;2,F242*2*V242)))</f>
        <v/>
      </c>
      <c r="AW242" s="2">
        <f>SUM(W242:AU242)</f>
        <v/>
      </c>
    </row>
    <row r="243">
      <c r="A243" s="2" t="inlineStr">
        <is>
          <t>14-K-068</t>
        </is>
      </c>
      <c r="B243" s="3" t="inlineStr">
        <is>
          <t>OJC-A1-LC/LC-MM-65-PC/PC-DP</t>
        </is>
      </c>
      <c r="C243" s="2" t="inlineStr"/>
      <c r="D243" s="2" t="inlineStr">
        <is>
          <t>om1</t>
        </is>
      </c>
      <c r="E243" s="2" t="inlineStr">
        <is>
          <t>2.0mm</t>
        </is>
      </c>
      <c r="F243" s="2" t="n">
        <v>2</v>
      </c>
      <c r="G243" s="2" t="n">
        <v>65</v>
      </c>
      <c r="H243" s="2" t="inlineStr">
        <is>
          <t>LC/PC</t>
        </is>
      </c>
      <c r="I243" s="2" t="inlineStr">
        <is>
          <t>LC/PC</t>
        </is>
      </c>
      <c r="J243" s="2" t="n"/>
      <c r="K243" s="2" t="n"/>
      <c r="L243" s="2" t="n"/>
      <c r="M243" s="2" t="n"/>
      <c r="N243" s="2" t="n">
        <v>35</v>
      </c>
      <c r="O243" s="2" t="n"/>
      <c r="P243" s="2" t="n"/>
      <c r="Q243" s="2" t="n"/>
      <c r="R243" s="2" t="n"/>
      <c r="S243" s="2" t="n"/>
      <c r="T243" s="2" t="n"/>
      <c r="U243" s="2" t="n"/>
      <c r="V243" s="2">
        <f>SUM(J243:U243)</f>
        <v/>
      </c>
      <c r="W243" s="2" t="n"/>
      <c r="X243" s="2" t="n">
        <v>70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>
        <v>70</v>
      </c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>
        <f>IF(F243=1,V243*2,IF(F243=2,V243*F243*2,IF(F243&gt;2,F243*2*V243)))</f>
        <v/>
      </c>
      <c r="AW243" s="2">
        <f>SUM(W243:AU243)</f>
        <v/>
      </c>
    </row>
    <row r="244">
      <c r="A244" s="2" t="inlineStr">
        <is>
          <t>14-K-071</t>
        </is>
      </c>
      <c r="B244" s="3" t="inlineStr">
        <is>
          <t>OJC-A1-LC/LC-MM-80-PC/PC-DP</t>
        </is>
      </c>
      <c r="C244" s="2" t="inlineStr"/>
      <c r="D244" s="2" t="inlineStr">
        <is>
          <t>om1</t>
        </is>
      </c>
      <c r="E244" s="2" t="inlineStr">
        <is>
          <t>2.0mm</t>
        </is>
      </c>
      <c r="F244" s="2" t="n">
        <v>2</v>
      </c>
      <c r="G244" s="2" t="n">
        <v>80</v>
      </c>
      <c r="H244" s="2" t="inlineStr">
        <is>
          <t>LC/PC</t>
        </is>
      </c>
      <c r="I244" s="2" t="inlineStr">
        <is>
          <t>LC/PC</t>
        </is>
      </c>
      <c r="J244" s="2" t="n"/>
      <c r="K244" s="2" t="n"/>
      <c r="L244" s="2" t="n"/>
      <c r="M244" s="2" t="n"/>
      <c r="N244" s="2" t="n">
        <v>35</v>
      </c>
      <c r="O244" s="2" t="n"/>
      <c r="P244" s="2" t="n"/>
      <c r="Q244" s="2" t="n"/>
      <c r="R244" s="2" t="n"/>
      <c r="S244" s="2" t="n"/>
      <c r="T244" s="2" t="n"/>
      <c r="U244" s="2" t="n"/>
      <c r="V244" s="2">
        <f>SUM(J244:U244)</f>
        <v/>
      </c>
      <c r="W244" s="2" t="n"/>
      <c r="X244" s="2" t="n">
        <v>70</v>
      </c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>
        <v>70</v>
      </c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>
        <f>IF(F244=1,V244*2,IF(F244=2,V244*F244*2,IF(F244&gt;2,F244*2*V244)))</f>
        <v/>
      </c>
      <c r="AW244" s="2">
        <f>SUM(W244:AU244)</f>
        <v/>
      </c>
    </row>
    <row r="245">
      <c r="A245" s="2" t="inlineStr">
        <is>
          <t>14-K-072</t>
        </is>
      </c>
      <c r="B245" s="3" t="inlineStr">
        <is>
          <t>OJC-A1-LC/LC-MM-90-PC/PC-DP</t>
        </is>
      </c>
      <c r="C245" s="2" t="inlineStr"/>
      <c r="D245" s="2" t="inlineStr">
        <is>
          <t>om1</t>
        </is>
      </c>
      <c r="E245" s="2" t="inlineStr">
        <is>
          <t>2.0mm</t>
        </is>
      </c>
      <c r="F245" s="2" t="n">
        <v>2</v>
      </c>
      <c r="G245" s="2" t="n">
        <v>90</v>
      </c>
      <c r="H245" s="2" t="inlineStr">
        <is>
          <t>LC/PC</t>
        </is>
      </c>
      <c r="I245" s="2" t="inlineStr">
        <is>
          <t>LC/PC</t>
        </is>
      </c>
      <c r="J245" s="2" t="n"/>
      <c r="K245" s="2" t="n"/>
      <c r="L245" s="2" t="n"/>
      <c r="M245" s="2" t="n"/>
      <c r="N245" s="2" t="n">
        <v>35</v>
      </c>
      <c r="O245" s="2" t="n"/>
      <c r="P245" s="2" t="n"/>
      <c r="Q245" s="2" t="n"/>
      <c r="R245" s="2" t="n"/>
      <c r="S245" s="2" t="n"/>
      <c r="T245" s="2" t="n"/>
      <c r="U245" s="2" t="n"/>
      <c r="V245" s="2">
        <f>SUM(J245:U245)</f>
        <v/>
      </c>
      <c r="W245" s="2" t="n"/>
      <c r="X245" s="2" t="n">
        <v>70</v>
      </c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>
        <v>70</v>
      </c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>
        <f>IF(F245=1,V245*2,IF(F245=2,V245*F245*2,IF(F245&gt;2,F245*2*V245)))</f>
        <v/>
      </c>
      <c r="AW245" s="2">
        <f>SUM(W245:AU245)</f>
        <v/>
      </c>
    </row>
    <row r="246">
      <c r="A246" s="2" t="inlineStr">
        <is>
          <t>14-K-076</t>
        </is>
      </c>
      <c r="B246" s="3" t="inlineStr">
        <is>
          <t>OJC-A1-LC/LC-SM-100-PC/PC-DP</t>
        </is>
      </c>
      <c r="C246" s="2" t="inlineStr"/>
      <c r="D246" s="2" t="inlineStr">
        <is>
          <t>a1</t>
        </is>
      </c>
      <c r="E246" s="2" t="inlineStr">
        <is>
          <t>2.0mm</t>
        </is>
      </c>
      <c r="F246" s="2" t="n">
        <v>2</v>
      </c>
      <c r="G246" s="2" t="n">
        <v>100</v>
      </c>
      <c r="H246" s="2" t="inlineStr">
        <is>
          <t>LC/PC</t>
        </is>
      </c>
      <c r="I246" s="2" t="inlineStr">
        <is>
          <t>LC/PC</t>
        </is>
      </c>
      <c r="J246" s="2" t="n"/>
      <c r="K246" s="2" t="n"/>
      <c r="L246" s="2" t="n"/>
      <c r="M246" s="2" t="n"/>
      <c r="N246" s="2" t="n">
        <v>2</v>
      </c>
      <c r="O246" s="2" t="n"/>
      <c r="P246" s="2" t="n"/>
      <c r="Q246" s="2" t="n"/>
      <c r="R246" s="2" t="n"/>
      <c r="S246" s="2" t="n"/>
      <c r="T246" s="2" t="n"/>
      <c r="U246" s="2" t="n"/>
      <c r="V246" s="2">
        <f>SUM(J246:U246)</f>
        <v/>
      </c>
      <c r="W246" s="2" t="n">
        <v>4</v>
      </c>
      <c r="X246" s="2" t="n">
        <v>4</v>
      </c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>
        <f>IF(F246=1,V246*2,IF(F246=2,V246*F246*2,IF(F246&gt;2,F246*2*V246)))</f>
        <v/>
      </c>
      <c r="AW246" s="2">
        <f>SUM(W246:AU246)</f>
        <v/>
      </c>
    </row>
    <row r="247">
      <c r="A247" s="2" t="inlineStr">
        <is>
          <t>14-K-080</t>
        </is>
      </c>
      <c r="B247" s="3" t="inlineStr">
        <is>
          <t>OJC-A1-LC/LC-SM-12-PC/PC-DP</t>
        </is>
      </c>
      <c r="C247" s="2" t="inlineStr"/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12</v>
      </c>
      <c r="H247" s="2" t="inlineStr">
        <is>
          <t>LC/PC</t>
        </is>
      </c>
      <c r="I247" s="2" t="inlineStr">
        <is>
          <t>LC/PC</t>
        </is>
      </c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>
        <v>11</v>
      </c>
      <c r="U247" s="2" t="n"/>
      <c r="V247" s="2">
        <f>SUM(J247:U247)</f>
        <v/>
      </c>
      <c r="W247" s="2" t="n">
        <v>22</v>
      </c>
      <c r="X247" s="2" t="n">
        <v>22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>
        <f>IF(F247=1,V247*2,IF(F247=2,V247*F247*2,IF(F247&gt;2,F247*2*V247)))</f>
        <v/>
      </c>
      <c r="AW247" s="2">
        <f>SUM(W247:AU247)</f>
        <v/>
      </c>
    </row>
    <row r="248">
      <c r="A248" s="2" t="inlineStr">
        <is>
          <t>14-K-080</t>
        </is>
      </c>
      <c r="B248" s="3" t="inlineStr">
        <is>
          <t>OJC-A1-LC/LC-SM-12-PC/PC-DP</t>
        </is>
      </c>
      <c r="C248" s="2" t="inlineStr">
        <is>
          <t>적색</t>
        </is>
      </c>
      <c r="D248" s="2" t="inlineStr">
        <is>
          <t>a1-적</t>
        </is>
      </c>
      <c r="E248" s="2" t="inlineStr">
        <is>
          <t>2.0mm</t>
        </is>
      </c>
      <c r="F248" s="2" t="n">
        <v>2</v>
      </c>
      <c r="G248" s="2" t="n">
        <v>12</v>
      </c>
      <c r="H248" s="2" t="inlineStr">
        <is>
          <t>LC/PC</t>
        </is>
      </c>
      <c r="I248" s="2" t="inlineStr">
        <is>
          <t>LC/PC</t>
        </is>
      </c>
      <c r="J248" s="2" t="n"/>
      <c r="K248" s="2" t="n"/>
      <c r="L248" s="2" t="n"/>
      <c r="M248" s="2" t="n"/>
      <c r="N248" s="2" t="n">
        <v>3</v>
      </c>
      <c r="O248" s="2" t="n"/>
      <c r="P248" s="2" t="n"/>
      <c r="Q248" s="2" t="n"/>
      <c r="R248" s="2" t="n"/>
      <c r="S248" s="2" t="n"/>
      <c r="T248" s="2" t="n"/>
      <c r="U248" s="2" t="n"/>
      <c r="V248" s="2">
        <f>SUM(J248:U248)</f>
        <v/>
      </c>
      <c r="W248" s="2" t="n">
        <v>6</v>
      </c>
      <c r="X248" s="2" t="n">
        <v>6</v>
      </c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>
        <f>IF(F248=1,V248*2,IF(F248=2,V248*F248*2,IF(F248&gt;2,F248*2*V248)))</f>
        <v/>
      </c>
      <c r="AW248" s="2">
        <f>SUM(W248:AU248)</f>
        <v/>
      </c>
    </row>
    <row r="249">
      <c r="A249" s="2" t="inlineStr">
        <is>
          <t>14-K-081</t>
        </is>
      </c>
      <c r="B249" s="3" t="inlineStr">
        <is>
          <t>OJC-A1-LC/LC-SM-13-PC/PC-DP</t>
        </is>
      </c>
      <c r="C249" s="2" t="inlineStr"/>
      <c r="D249" s="2" t="inlineStr">
        <is>
          <t>a1</t>
        </is>
      </c>
      <c r="E249" s="2" t="inlineStr">
        <is>
          <t>2.0mm</t>
        </is>
      </c>
      <c r="F249" s="2" t="n">
        <v>2</v>
      </c>
      <c r="G249" s="2" t="n">
        <v>13</v>
      </c>
      <c r="H249" s="2" t="inlineStr">
        <is>
          <t>LC/PC</t>
        </is>
      </c>
      <c r="I249" s="2" t="inlineStr">
        <is>
          <t>LC/PC</t>
        </is>
      </c>
      <c r="J249" s="2" t="n">
        <v>5</v>
      </c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>
        <v>22</v>
      </c>
      <c r="U249" s="2" t="n"/>
      <c r="V249" s="2">
        <f>SUM(J249:U249)</f>
        <v/>
      </c>
      <c r="W249" s="2" t="n">
        <v>54</v>
      </c>
      <c r="X249" s="2" t="n">
        <v>54</v>
      </c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>
        <f>IF(F249=1,V249*2,IF(F249=2,V249*F249*2,IF(F249&gt;2,F249*2*V249)))</f>
        <v/>
      </c>
      <c r="AW249" s="2">
        <f>SUM(W249:AU249)</f>
        <v/>
      </c>
    </row>
    <row r="250">
      <c r="A250" s="2" t="inlineStr">
        <is>
          <t>14-K-081</t>
        </is>
      </c>
      <c r="B250" s="3" t="inlineStr">
        <is>
          <t>OJC-A1-LC/LC-SM-13-PC/PC-DP</t>
        </is>
      </c>
      <c r="C250" s="2" t="inlineStr">
        <is>
          <t>노랑</t>
        </is>
      </c>
      <c r="D250" s="2" t="inlineStr">
        <is>
          <t>a1</t>
        </is>
      </c>
      <c r="E250" s="2" t="inlineStr">
        <is>
          <t>2.0mm</t>
        </is>
      </c>
      <c r="F250" s="2" t="n">
        <v>2</v>
      </c>
      <c r="G250" s="2" t="n">
        <v>13</v>
      </c>
      <c r="H250" s="2" t="inlineStr">
        <is>
          <t>LC/PC</t>
        </is>
      </c>
      <c r="I250" s="2" t="inlineStr">
        <is>
          <t>LC/PC</t>
        </is>
      </c>
      <c r="J250" s="2" t="n"/>
      <c r="K250" s="2" t="n"/>
      <c r="L250" s="2" t="n"/>
      <c r="M250" s="2" t="n"/>
      <c r="N250" s="2" t="n">
        <v>4</v>
      </c>
      <c r="O250" s="2" t="n"/>
      <c r="P250" s="2" t="n"/>
      <c r="Q250" s="2" t="n"/>
      <c r="R250" s="2" t="n"/>
      <c r="S250" s="2" t="n"/>
      <c r="T250" s="2" t="n"/>
      <c r="U250" s="2" t="n"/>
      <c r="V250" s="2">
        <f>SUM(J250:U250)</f>
        <v/>
      </c>
      <c r="W250" s="2" t="n">
        <v>8</v>
      </c>
      <c r="X250" s="2" t="n">
        <v>8</v>
      </c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>
        <f>IF(F250=1,V250*2,IF(F250=2,V250*F250*2,IF(F250&gt;2,F250*2*V250)))</f>
        <v/>
      </c>
      <c r="AW250" s="2">
        <f>SUM(W250:AU250)</f>
        <v/>
      </c>
    </row>
    <row r="251">
      <c r="A251" s="2" t="inlineStr">
        <is>
          <t>14-K-083</t>
        </is>
      </c>
      <c r="B251" s="3" t="inlineStr">
        <is>
          <t>OJC-A1-LC/LC-SM-15-PC/PC-DP</t>
        </is>
      </c>
      <c r="C251" s="2" t="inlineStr">
        <is>
          <t>K9089177</t>
        </is>
      </c>
      <c r="D251" s="2" t="inlineStr">
        <is>
          <t>a1</t>
        </is>
      </c>
      <c r="E251" s="2" t="inlineStr">
        <is>
          <t>2.0mm</t>
        </is>
      </c>
      <c r="F251" s="2" t="n">
        <v>2</v>
      </c>
      <c r="G251" s="2" t="n">
        <v>15</v>
      </c>
      <c r="H251" s="2" t="inlineStr">
        <is>
          <t>LC/PC</t>
        </is>
      </c>
      <c r="I251" s="2" t="inlineStr">
        <is>
          <t>LC/PC</t>
        </is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>
        <v>20</v>
      </c>
      <c r="S251" s="2" t="n"/>
      <c r="T251" s="2" t="n"/>
      <c r="U251" s="2" t="n"/>
      <c r="V251" s="2">
        <f>SUM(J251:U251)</f>
        <v/>
      </c>
      <c r="W251" s="2" t="n">
        <v>40</v>
      </c>
      <c r="X251" s="2" t="n">
        <v>40</v>
      </c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>
        <f>IF(F251=1,V251*2,IF(F251=2,V251*F251*2,IF(F251&gt;2,F251*2*V251)))</f>
        <v/>
      </c>
      <c r="AW251" s="2">
        <f>SUM(W251:AU251)</f>
        <v/>
      </c>
    </row>
    <row r="252">
      <c r="A252" s="2" t="inlineStr">
        <is>
          <t>14-K-085</t>
        </is>
      </c>
      <c r="B252" s="3" t="inlineStr">
        <is>
          <t>OJC-A1-LC/LC-SM-1-PC/PC-DP</t>
        </is>
      </c>
      <c r="C252" s="2" t="inlineStr">
        <is>
          <t>K9089171</t>
        </is>
      </c>
      <c r="D252" s="2" t="inlineStr">
        <is>
          <t>a1</t>
        </is>
      </c>
      <c r="E252" s="2" t="inlineStr">
        <is>
          <t>2.0mm</t>
        </is>
      </c>
      <c r="F252" s="2" t="n">
        <v>2</v>
      </c>
      <c r="G252" s="2" t="n">
        <v>1</v>
      </c>
      <c r="H252" s="2" t="inlineStr">
        <is>
          <t>LC/PC</t>
        </is>
      </c>
      <c r="I252" s="2" t="inlineStr">
        <is>
          <t>LC/PC</t>
        </is>
      </c>
      <c r="J252" s="2" t="n">
        <v>250</v>
      </c>
      <c r="K252" s="2" t="n"/>
      <c r="L252" s="2" t="n">
        <v>300</v>
      </c>
      <c r="M252" s="2" t="n"/>
      <c r="N252" s="2" t="n"/>
      <c r="O252" s="2" t="n"/>
      <c r="P252" s="2" t="n">
        <v>200</v>
      </c>
      <c r="Q252" s="2" t="n"/>
      <c r="R252" s="2" t="n"/>
      <c r="S252" s="2" t="n">
        <v>250</v>
      </c>
      <c r="T252" s="2" t="n">
        <v>300</v>
      </c>
      <c r="U252" s="2" t="n"/>
      <c r="V252" s="2">
        <f>SUM(J252:U252)</f>
        <v/>
      </c>
      <c r="W252" s="2" t="n">
        <v>2600</v>
      </c>
      <c r="X252" s="2" t="n">
        <v>2600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>
        <f>IF(F252=1,V252*2,IF(F252=2,V252*F252*2,IF(F252&gt;2,F252*2*V252)))</f>
        <v/>
      </c>
      <c r="AW252" s="2">
        <f>SUM(W252:AU252)</f>
        <v/>
      </c>
    </row>
    <row r="253">
      <c r="A253" s="2" t="inlineStr">
        <is>
          <t>14-K-087</t>
        </is>
      </c>
      <c r="B253" s="3" t="inlineStr">
        <is>
          <t>OJC-A1-LC/LC-SM-20-PC/PC-DP</t>
        </is>
      </c>
      <c r="C253" s="2" t="inlineStr">
        <is>
          <t>노랑</t>
        </is>
      </c>
      <c r="D253" s="2" t="inlineStr">
        <is>
          <t>a1</t>
        </is>
      </c>
      <c r="E253" s="2" t="inlineStr">
        <is>
          <t>2.0mm</t>
        </is>
      </c>
      <c r="F253" s="2" t="n">
        <v>2</v>
      </c>
      <c r="G253" s="2" t="n">
        <v>20</v>
      </c>
      <c r="H253" s="2" t="inlineStr">
        <is>
          <t>LC/PC</t>
        </is>
      </c>
      <c r="I253" s="2" t="inlineStr">
        <is>
          <t>LC/PC</t>
        </is>
      </c>
      <c r="J253" s="2" t="n"/>
      <c r="K253" s="2" t="n"/>
      <c r="L253" s="2" t="n"/>
      <c r="M253" s="2" t="n"/>
      <c r="N253" s="2" t="n">
        <v>4</v>
      </c>
      <c r="O253" s="2" t="n"/>
      <c r="P253" s="2" t="n"/>
      <c r="Q253" s="2" t="n"/>
      <c r="R253" s="2" t="n"/>
      <c r="S253" s="2" t="n"/>
      <c r="T253" s="2" t="n"/>
      <c r="U253" s="2" t="n"/>
      <c r="V253" s="2">
        <f>SUM(J253:U253)</f>
        <v/>
      </c>
      <c r="W253" s="2" t="n">
        <v>8</v>
      </c>
      <c r="X253" s="2" t="n">
        <v>8</v>
      </c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>
        <f>IF(F253=1,V253*2,IF(F253=2,V253*F253*2,IF(F253&gt;2,F253*2*V253)))</f>
        <v/>
      </c>
      <c r="AW253" s="2">
        <f>SUM(W253:AU253)</f>
        <v/>
      </c>
    </row>
    <row r="254">
      <c r="A254" s="2" t="inlineStr">
        <is>
          <t>14-K-087</t>
        </is>
      </c>
      <c r="B254" s="3" t="inlineStr">
        <is>
          <t>OJC-A1-LC/LC-SM-20-PC/PC-DP</t>
        </is>
      </c>
      <c r="C254" s="2" t="inlineStr">
        <is>
          <t>자색</t>
        </is>
      </c>
      <c r="D254" s="2" t="inlineStr">
        <is>
          <t>a1-자</t>
        </is>
      </c>
      <c r="E254" s="2" t="inlineStr">
        <is>
          <t>2.0mm</t>
        </is>
      </c>
      <c r="F254" s="2" t="n">
        <v>2</v>
      </c>
      <c r="G254" s="2" t="n">
        <v>20</v>
      </c>
      <c r="H254" s="2" t="inlineStr">
        <is>
          <t>LC/PC</t>
        </is>
      </c>
      <c r="I254" s="2" t="inlineStr">
        <is>
          <t>LC/PC</t>
        </is>
      </c>
      <c r="J254" s="2" t="n"/>
      <c r="K254" s="2" t="n"/>
      <c r="L254" s="2" t="n"/>
      <c r="M254" s="2" t="n"/>
      <c r="N254" s="2" t="n">
        <v>2</v>
      </c>
      <c r="O254" s="2" t="n"/>
      <c r="P254" s="2" t="n"/>
      <c r="Q254" s="2" t="n"/>
      <c r="R254" s="2" t="n"/>
      <c r="S254" s="2" t="n"/>
      <c r="T254" s="2" t="n"/>
      <c r="U254" s="2" t="n"/>
      <c r="V254" s="2">
        <f>SUM(J254:U254)</f>
        <v/>
      </c>
      <c r="W254" s="2" t="n">
        <v>4</v>
      </c>
      <c r="X254" s="2" t="n">
        <v>4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>
        <f>IF(F254=1,V254*2,IF(F254=2,V254*F254*2,IF(F254&gt;2,F254*2*V254)))</f>
        <v/>
      </c>
      <c r="AW254" s="2">
        <f>SUM(W254:AU254)</f>
        <v/>
      </c>
    </row>
    <row r="255">
      <c r="A255" s="2" t="inlineStr">
        <is>
          <t>14-K-087</t>
        </is>
      </c>
      <c r="B255" s="3" t="inlineStr">
        <is>
          <t>OJC-A1-LC/LC-SM-20-PC/PC-DP</t>
        </is>
      </c>
      <c r="C255" s="2" t="inlineStr">
        <is>
          <t>K9089178</t>
        </is>
      </c>
      <c r="D255" s="2" t="inlineStr">
        <is>
          <t>a1</t>
        </is>
      </c>
      <c r="E255" s="2" t="inlineStr">
        <is>
          <t>2.0mm</t>
        </is>
      </c>
      <c r="F255" s="2" t="n">
        <v>2</v>
      </c>
      <c r="G255" s="2" t="n">
        <v>20</v>
      </c>
      <c r="H255" s="2" t="inlineStr">
        <is>
          <t>LC/PC</t>
        </is>
      </c>
      <c r="I255" s="2" t="inlineStr">
        <is>
          <t>LC/PC</t>
        </is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>
        <v>4</v>
      </c>
      <c r="T255" s="2" t="n"/>
      <c r="U255" s="2" t="n"/>
      <c r="V255" s="2">
        <f>SUM(J255:U255)</f>
        <v/>
      </c>
      <c r="W255" s="2" t="n">
        <v>8</v>
      </c>
      <c r="X255" s="2" t="n">
        <v>8</v>
      </c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>
        <f>IF(F255=1,V255*2,IF(F255=2,V255*F255*2,IF(F255&gt;2,F255*2*V255)))</f>
        <v/>
      </c>
      <c r="AW255" s="2">
        <f>SUM(W255:AU255)</f>
        <v/>
      </c>
    </row>
    <row r="256">
      <c r="A256" s="2" t="inlineStr">
        <is>
          <t>14-K-089</t>
        </is>
      </c>
      <c r="B256" s="3" t="inlineStr">
        <is>
          <t>OJC-A1-LC/LC-SM-22-PC/PC-DP</t>
        </is>
      </c>
      <c r="C256" s="2" t="inlineStr"/>
      <c r="D256" s="2" t="inlineStr">
        <is>
          <t>a1</t>
        </is>
      </c>
      <c r="E256" s="2" t="inlineStr">
        <is>
          <t>2.0mm</t>
        </is>
      </c>
      <c r="F256" s="2" t="n">
        <v>2</v>
      </c>
      <c r="G256" s="2" t="n">
        <v>22</v>
      </c>
      <c r="H256" s="2" t="inlineStr">
        <is>
          <t>LC/PC</t>
        </is>
      </c>
      <c r="I256" s="2" t="inlineStr">
        <is>
          <t>LC/PC</t>
        </is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>
        <v>3</v>
      </c>
      <c r="S256" s="2" t="n"/>
      <c r="T256" s="2" t="n"/>
      <c r="U256" s="2" t="n"/>
      <c r="V256" s="2">
        <f>SUM(J256:U256)</f>
        <v/>
      </c>
      <c r="W256" s="2" t="n">
        <v>6</v>
      </c>
      <c r="X256" s="2" t="n">
        <v>6</v>
      </c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>
        <f>IF(F256=1,V256*2,IF(F256=2,V256*F256*2,IF(F256&gt;2,F256*2*V256)))</f>
        <v/>
      </c>
      <c r="AW256" s="2">
        <f>SUM(W256:AU256)</f>
        <v/>
      </c>
    </row>
    <row r="257">
      <c r="A257" s="2" t="inlineStr">
        <is>
          <t>14-K-089</t>
        </is>
      </c>
      <c r="B257" s="3" t="inlineStr">
        <is>
          <t>OJC-A1-LC/LC-SM-22-PC/PC-DP</t>
        </is>
      </c>
      <c r="C257" s="2" t="inlineStr">
        <is>
          <t>적색</t>
        </is>
      </c>
      <c r="D257" s="2" t="inlineStr">
        <is>
          <t>a1-적</t>
        </is>
      </c>
      <c r="E257" s="2" t="inlineStr">
        <is>
          <t>2.0mm</t>
        </is>
      </c>
      <c r="F257" s="2" t="n">
        <v>2</v>
      </c>
      <c r="G257" s="2" t="n">
        <v>22</v>
      </c>
      <c r="H257" s="2" t="inlineStr">
        <is>
          <t>LC/PC</t>
        </is>
      </c>
      <c r="I257" s="2" t="inlineStr">
        <is>
          <t>LC/PC</t>
        </is>
      </c>
      <c r="J257" s="2" t="n"/>
      <c r="K257" s="2" t="n"/>
      <c r="L257" s="2" t="n"/>
      <c r="M257" s="2" t="n"/>
      <c r="N257" s="2" t="n">
        <v>78</v>
      </c>
      <c r="O257" s="2" t="n"/>
      <c r="P257" s="2" t="n"/>
      <c r="Q257" s="2" t="n"/>
      <c r="R257" s="2" t="n"/>
      <c r="S257" s="2" t="n"/>
      <c r="T257" s="2" t="n"/>
      <c r="U257" s="2" t="n"/>
      <c r="V257" s="2">
        <f>SUM(J257:U257)</f>
        <v/>
      </c>
      <c r="W257" s="2" t="n">
        <v>156</v>
      </c>
      <c r="X257" s="2" t="n">
        <v>156</v>
      </c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>
        <f>IF(F257=1,V257*2,IF(F257=2,V257*F257*2,IF(F257&gt;2,F257*2*V257)))</f>
        <v/>
      </c>
      <c r="AW257" s="2">
        <f>SUM(W257:AU257)</f>
        <v/>
      </c>
    </row>
    <row r="258">
      <c r="A258" s="2" t="inlineStr">
        <is>
          <t>14-K-090</t>
        </is>
      </c>
      <c r="B258" s="3" t="inlineStr">
        <is>
          <t>OJC-A1-LC/LC-SM-23-PC/PC-DP</t>
        </is>
      </c>
      <c r="C258" s="2" t="inlineStr"/>
      <c r="D258" s="2" t="inlineStr">
        <is>
          <t>a1</t>
        </is>
      </c>
      <c r="E258" s="2" t="inlineStr">
        <is>
          <t>2.0mm</t>
        </is>
      </c>
      <c r="F258" s="2" t="n">
        <v>2</v>
      </c>
      <c r="G258" s="2" t="n">
        <v>23</v>
      </c>
      <c r="H258" s="2" t="inlineStr">
        <is>
          <t>LC/PC</t>
        </is>
      </c>
      <c r="I258" s="2" t="inlineStr">
        <is>
          <t>LC/PC</t>
        </is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>
        <v>5</v>
      </c>
      <c r="S258" s="2" t="n"/>
      <c r="T258" s="2" t="n">
        <v>12</v>
      </c>
      <c r="U258" s="2" t="n"/>
      <c r="V258" s="2">
        <f>SUM(J258:U258)</f>
        <v/>
      </c>
      <c r="W258" s="2" t="n">
        <v>34</v>
      </c>
      <c r="X258" s="2" t="n">
        <v>34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>
        <f>IF(F258=1,V258*2,IF(F258=2,V258*F258*2,IF(F258&gt;2,F258*2*V258)))</f>
        <v/>
      </c>
      <c r="AW258" s="2">
        <f>SUM(W258:AU258)</f>
        <v/>
      </c>
    </row>
    <row r="259">
      <c r="A259" s="2" t="inlineStr">
        <is>
          <t>14-K-093</t>
        </is>
      </c>
      <c r="B259" s="3" t="inlineStr">
        <is>
          <t>OJC-A1-LC/LC-SM-2-PC/PC-DP</t>
        </is>
      </c>
      <c r="C259" s="2" t="inlineStr">
        <is>
          <t>K9089172</t>
        </is>
      </c>
      <c r="D259" s="2" t="inlineStr">
        <is>
          <t>a1</t>
        </is>
      </c>
      <c r="E259" s="2" t="inlineStr">
        <is>
          <t>2.0mm</t>
        </is>
      </c>
      <c r="F259" s="2" t="n">
        <v>2</v>
      </c>
      <c r="G259" s="2" t="n">
        <v>2</v>
      </c>
      <c r="H259" s="2" t="inlineStr">
        <is>
          <t>LC/PC</t>
        </is>
      </c>
      <c r="I259" s="2" t="inlineStr">
        <is>
          <t>LC/PC</t>
        </is>
      </c>
      <c r="J259" s="2" t="n">
        <v>201</v>
      </c>
      <c r="K259" s="2" t="n"/>
      <c r="L259" s="2" t="n">
        <v>200</v>
      </c>
      <c r="M259" s="2" t="n"/>
      <c r="N259" s="2" t="n">
        <v>46</v>
      </c>
      <c r="O259" s="2" t="n"/>
      <c r="P259" s="2" t="n">
        <v>270</v>
      </c>
      <c r="Q259" s="2" t="n"/>
      <c r="R259" s="2" t="n"/>
      <c r="S259" s="2" t="n"/>
      <c r="T259" s="2" t="n">
        <v>100</v>
      </c>
      <c r="U259" s="2" t="n">
        <v>200</v>
      </c>
      <c r="V259" s="2">
        <f>SUM(J259:U259)</f>
        <v/>
      </c>
      <c r="W259" s="2" t="n">
        <v>2034</v>
      </c>
      <c r="X259" s="2" t="n">
        <v>2034</v>
      </c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>
        <f>IF(F259=1,V259*2,IF(F259=2,V259*F259*2,IF(F259&gt;2,F259*2*V259)))</f>
        <v/>
      </c>
      <c r="AW259" s="2">
        <f>SUM(W259:AU259)</f>
        <v/>
      </c>
    </row>
    <row r="260">
      <c r="A260" s="2" t="inlineStr">
        <is>
          <t>14-K-095</t>
        </is>
      </c>
      <c r="B260" s="3" t="inlineStr">
        <is>
          <t>OJC-A1-LC/LC-SM-30-PC/PC-SP</t>
        </is>
      </c>
      <c r="C260" s="2" t="inlineStr">
        <is>
          <t>K9089051</t>
        </is>
      </c>
      <c r="D260" s="2" t="inlineStr">
        <is>
          <t>a1</t>
        </is>
      </c>
      <c r="E260" s="2" t="inlineStr">
        <is>
          <t>2.0mm</t>
        </is>
      </c>
      <c r="F260" s="2" t="n">
        <v>1</v>
      </c>
      <c r="G260" s="2" t="n">
        <v>30</v>
      </c>
      <c r="H260" s="2" t="inlineStr">
        <is>
          <t>LC/PC</t>
        </is>
      </c>
      <c r="I260" s="2" t="inlineStr">
        <is>
          <t>LC/PC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>
        <v>10</v>
      </c>
      <c r="R260" s="2" t="n"/>
      <c r="S260" s="2" t="n"/>
      <c r="T260" s="2" t="n"/>
      <c r="U260" s="2" t="n"/>
      <c r="V260" s="2">
        <f>SUM(J260:U260)</f>
        <v/>
      </c>
      <c r="W260" s="2" t="n">
        <v>20</v>
      </c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>
        <f>IF(F260=1,V260*2,IF(F260=2,V260*F260*2,IF(F260&gt;2,F260*2*V260)))</f>
        <v/>
      </c>
      <c r="AW260" s="2">
        <f>SUM(W260:AU260)</f>
        <v/>
      </c>
    </row>
    <row r="261">
      <c r="A261" s="2" t="inlineStr">
        <is>
          <t>14-K-096</t>
        </is>
      </c>
      <c r="B261" s="3" t="inlineStr">
        <is>
          <t>OJC-A1-LC/LC-SM-35-PC/PC-DP</t>
        </is>
      </c>
      <c r="C261" s="2" t="inlineStr">
        <is>
          <t>K9089181</t>
        </is>
      </c>
      <c r="D261" s="2" t="inlineStr">
        <is>
          <t>a1</t>
        </is>
      </c>
      <c r="E261" s="2" t="inlineStr">
        <is>
          <t>2.0mm</t>
        </is>
      </c>
      <c r="F261" s="2" t="n">
        <v>2</v>
      </c>
      <c r="G261" s="2" t="n">
        <v>35</v>
      </c>
      <c r="H261" s="2" t="inlineStr">
        <is>
          <t>LC/PC</t>
        </is>
      </c>
      <c r="I261" s="2" t="inlineStr">
        <is>
          <t>LC/PC</t>
        </is>
      </c>
      <c r="J261" s="2" t="n"/>
      <c r="K261" s="2" t="n"/>
      <c r="L261" s="2" t="n"/>
      <c r="M261" s="2" t="n"/>
      <c r="N261" s="2" t="n">
        <v>20</v>
      </c>
      <c r="O261" s="2" t="n">
        <v>4</v>
      </c>
      <c r="P261" s="2" t="n">
        <v>6</v>
      </c>
      <c r="Q261" s="2" t="n">
        <v>5</v>
      </c>
      <c r="R261" s="2" t="n">
        <v>1</v>
      </c>
      <c r="S261" s="2" t="n">
        <v>20</v>
      </c>
      <c r="T261" s="2" t="n">
        <v>6</v>
      </c>
      <c r="U261" s="2" t="n"/>
      <c r="V261" s="2">
        <f>SUM(J261:U261)</f>
        <v/>
      </c>
      <c r="W261" s="2" t="n">
        <v>124</v>
      </c>
      <c r="X261" s="2" t="n">
        <v>124</v>
      </c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>
        <f>IF(F261=1,V261*2,IF(F261=2,V261*F261*2,IF(F261&gt;2,F261*2*V261)))</f>
        <v/>
      </c>
      <c r="AW261" s="2">
        <f>SUM(W261:AU261)</f>
        <v/>
      </c>
    </row>
    <row r="262">
      <c r="A262" s="2" t="inlineStr">
        <is>
          <t>14-K-097</t>
        </is>
      </c>
      <c r="B262" s="3" t="inlineStr">
        <is>
          <t>OJC-A1-LC/LC-SM-3-PC/PC-DP</t>
        </is>
      </c>
      <c r="C262" s="2" t="inlineStr">
        <is>
          <t>K9089173</t>
        </is>
      </c>
      <c r="D262" s="2" t="inlineStr">
        <is>
          <t>a1</t>
        </is>
      </c>
      <c r="E262" s="2" t="inlineStr">
        <is>
          <t>2.0mm</t>
        </is>
      </c>
      <c r="F262" s="2" t="n">
        <v>2</v>
      </c>
      <c r="G262" s="2" t="n">
        <v>3</v>
      </c>
      <c r="H262" s="2" t="inlineStr">
        <is>
          <t>LC/PC</t>
        </is>
      </c>
      <c r="I262" s="2" t="inlineStr">
        <is>
          <t>LC/PC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>
        <v>15</v>
      </c>
      <c r="T262" s="2" t="n">
        <v>100</v>
      </c>
      <c r="U262" s="2" t="n">
        <v>200</v>
      </c>
      <c r="V262" s="2">
        <f>SUM(J262:U262)</f>
        <v/>
      </c>
      <c r="W262" s="2" t="n">
        <v>630</v>
      </c>
      <c r="X262" s="2" t="n">
        <v>630</v>
      </c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>
        <f>IF(F262=1,V262*2,IF(F262=2,V262*F262*2,IF(F262&gt;2,F262*2*V262)))</f>
        <v/>
      </c>
      <c r="AW262" s="2">
        <f>SUM(W262:AU262)</f>
        <v/>
      </c>
    </row>
    <row r="263">
      <c r="A263" s="2" t="inlineStr">
        <is>
          <t>14-K-098</t>
        </is>
      </c>
      <c r="B263" s="3" t="inlineStr">
        <is>
          <t>OJC-A1-LC/LC-SM-3-PC/PC-SP</t>
        </is>
      </c>
      <c r="C263" s="2" t="inlineStr">
        <is>
          <t>K9089044</t>
        </is>
      </c>
      <c r="D263" s="2" t="inlineStr">
        <is>
          <t>a1</t>
        </is>
      </c>
      <c r="E263" s="2" t="inlineStr">
        <is>
          <t>2.0mm</t>
        </is>
      </c>
      <c r="F263" s="2" t="n">
        <v>1</v>
      </c>
      <c r="G263" s="2" t="n">
        <v>3</v>
      </c>
      <c r="H263" s="2" t="inlineStr">
        <is>
          <t>LC/PC</t>
        </is>
      </c>
      <c r="I263" s="2" t="inlineStr">
        <is>
          <t>LC/PC</t>
        </is>
      </c>
      <c r="J263" s="2" t="n"/>
      <c r="K263" s="2" t="n"/>
      <c r="L263" s="2" t="n"/>
      <c r="M263" s="2" t="n">
        <v>20</v>
      </c>
      <c r="N263" s="2" t="n">
        <v>50</v>
      </c>
      <c r="O263" s="2" t="n"/>
      <c r="P263" s="2" t="n"/>
      <c r="Q263" s="2" t="n">
        <v>10</v>
      </c>
      <c r="R263" s="2" t="n"/>
      <c r="S263" s="2" t="n">
        <v>120</v>
      </c>
      <c r="T263" s="2" t="n"/>
      <c r="U263" s="2" t="n"/>
      <c r="V263" s="2">
        <f>SUM(J263:U263)</f>
        <v/>
      </c>
      <c r="W263" s="2" t="n">
        <v>400</v>
      </c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>
        <f>IF(F263=1,V263*2,IF(F263=2,V263*F263*2,IF(F263&gt;2,F263*2*V263)))</f>
        <v/>
      </c>
      <c r="AW263" s="2">
        <f>SUM(W263:AU263)</f>
        <v/>
      </c>
    </row>
    <row r="264">
      <c r="A264" s="2" t="inlineStr">
        <is>
          <t>14-K-099</t>
        </is>
      </c>
      <c r="B264" s="3" t="inlineStr">
        <is>
          <t>OJC-A1-LC/LC-SM-40-PC/PC-DP</t>
        </is>
      </c>
      <c r="C264" s="2" t="inlineStr">
        <is>
          <t>K9089182</t>
        </is>
      </c>
      <c r="D264" s="2" t="inlineStr">
        <is>
          <t>a1</t>
        </is>
      </c>
      <c r="E264" s="2" t="inlineStr">
        <is>
          <t>2.0mm</t>
        </is>
      </c>
      <c r="F264" s="2" t="n">
        <v>2</v>
      </c>
      <c r="G264" s="2" t="n">
        <v>40</v>
      </c>
      <c r="H264" s="2" t="inlineStr">
        <is>
          <t>LC/PC</t>
        </is>
      </c>
      <c r="I264" s="2" t="inlineStr">
        <is>
          <t>LC/PC</t>
        </is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>
        <v>20</v>
      </c>
      <c r="T264" s="2" t="n"/>
      <c r="U264" s="2" t="n"/>
      <c r="V264" s="2">
        <f>SUM(J264:U264)</f>
        <v/>
      </c>
      <c r="W264" s="2" t="n">
        <v>40</v>
      </c>
      <c r="X264" s="2" t="n">
        <v>40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>
        <f>IF(F264=1,V264*2,IF(F264=2,V264*F264*2,IF(F264&gt;2,F264*2*V264)))</f>
        <v/>
      </c>
      <c r="AW264" s="2">
        <f>SUM(W264:AU264)</f>
        <v/>
      </c>
    </row>
    <row r="265">
      <c r="A265" s="2" t="inlineStr">
        <is>
          <t>14-K-100</t>
        </is>
      </c>
      <c r="B265" s="3" t="inlineStr">
        <is>
          <t>OJC-A1-LC/LC-SM-45-PC/PC-DP</t>
        </is>
      </c>
      <c r="C265" s="2" t="inlineStr">
        <is>
          <t>K9089183</t>
        </is>
      </c>
      <c r="D265" s="2" t="inlineStr">
        <is>
          <t>a1</t>
        </is>
      </c>
      <c r="E265" s="2" t="inlineStr">
        <is>
          <t>2.0mm</t>
        </is>
      </c>
      <c r="F265" s="2" t="n">
        <v>2</v>
      </c>
      <c r="G265" s="2" t="n">
        <v>45</v>
      </c>
      <c r="H265" s="2" t="inlineStr">
        <is>
          <t>LC/PC</t>
        </is>
      </c>
      <c r="I265" s="2" t="inlineStr">
        <is>
          <t>LC/PC</t>
        </is>
      </c>
      <c r="J265" s="2" t="n"/>
      <c r="K265" s="2" t="n"/>
      <c r="L265" s="2" t="n"/>
      <c r="M265" s="2" t="n"/>
      <c r="N265" s="2" t="n">
        <v>8</v>
      </c>
      <c r="O265" s="2" t="n"/>
      <c r="P265" s="2" t="n"/>
      <c r="Q265" s="2" t="n">
        <v>8</v>
      </c>
      <c r="R265" s="2" t="n"/>
      <c r="S265" s="2" t="n"/>
      <c r="T265" s="2" t="n"/>
      <c r="U265" s="2" t="n"/>
      <c r="V265" s="2">
        <f>SUM(J265:U265)</f>
        <v/>
      </c>
      <c r="W265" s="2" t="n">
        <v>32</v>
      </c>
      <c r="X265" s="2" t="n">
        <v>32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>
        <f>IF(F265=1,V265*2,IF(F265=2,V265*F265*2,IF(F265&gt;2,F265*2*V265)))</f>
        <v/>
      </c>
      <c r="AW265" s="2">
        <f>SUM(W265:AU265)</f>
        <v/>
      </c>
    </row>
    <row r="266">
      <c r="A266" s="2" t="inlineStr">
        <is>
          <t>14-K-103</t>
        </is>
      </c>
      <c r="B266" s="3" t="inlineStr">
        <is>
          <t>OJC-A1-LC/LC-SM-50-PC/PC-DP</t>
        </is>
      </c>
      <c r="C266" s="2" t="inlineStr">
        <is>
          <t>K9089184</t>
        </is>
      </c>
      <c r="D266" s="2" t="inlineStr">
        <is>
          <t>a1</t>
        </is>
      </c>
      <c r="E266" s="2" t="inlineStr">
        <is>
          <t>2.0mm</t>
        </is>
      </c>
      <c r="F266" s="2" t="n">
        <v>2</v>
      </c>
      <c r="G266" s="2" t="n">
        <v>50</v>
      </c>
      <c r="H266" s="2" t="inlineStr">
        <is>
          <t>LC/PC</t>
        </is>
      </c>
      <c r="I266" s="2" t="inlineStr">
        <is>
          <t>LC/PC</t>
        </is>
      </c>
      <c r="J266" s="2" t="n"/>
      <c r="K266" s="2" t="n"/>
      <c r="L266" s="2" t="n">
        <v>1</v>
      </c>
      <c r="M266" s="2" t="n"/>
      <c r="N266" s="2" t="n"/>
      <c r="O266" s="2" t="n"/>
      <c r="P266" s="2" t="n">
        <v>35</v>
      </c>
      <c r="Q266" s="2" t="n">
        <v>8</v>
      </c>
      <c r="R266" s="2" t="n">
        <v>25</v>
      </c>
      <c r="S266" s="2" t="n"/>
      <c r="T266" s="2" t="n">
        <v>10</v>
      </c>
      <c r="U266" s="2" t="n"/>
      <c r="V266" s="2">
        <f>SUM(J266:U266)</f>
        <v/>
      </c>
      <c r="W266" s="2" t="n">
        <v>158</v>
      </c>
      <c r="X266" s="2" t="n">
        <v>158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>
        <f>IF(F266=1,V266*2,IF(F266=2,V266*F266*2,IF(F266&gt;2,F266*2*V266)))</f>
        <v/>
      </c>
      <c r="AW266" s="2">
        <f>SUM(W266:AU266)</f>
        <v/>
      </c>
    </row>
    <row r="267">
      <c r="A267" s="2" t="inlineStr">
        <is>
          <t>14-K-107</t>
        </is>
      </c>
      <c r="B267" s="3" t="inlineStr">
        <is>
          <t>OJC-A1-LC/LC-SM-5-PC/PC-DP</t>
        </is>
      </c>
      <c r="C267" s="2" t="inlineStr">
        <is>
          <t>K9089175</t>
        </is>
      </c>
      <c r="D267" s="2" t="inlineStr">
        <is>
          <t>a1</t>
        </is>
      </c>
      <c r="E267" s="2" t="inlineStr">
        <is>
          <t>2.0mm</t>
        </is>
      </c>
      <c r="F267" s="2" t="n">
        <v>2</v>
      </c>
      <c r="G267" s="2" t="n">
        <v>5</v>
      </c>
      <c r="H267" s="2" t="inlineStr">
        <is>
          <t>LC/PC</t>
        </is>
      </c>
      <c r="I267" s="2" t="inlineStr">
        <is>
          <t>LC/PC</t>
        </is>
      </c>
      <c r="J267" s="2" t="n"/>
      <c r="K267" s="2" t="n"/>
      <c r="L267" s="2" t="n"/>
      <c r="M267" s="2" t="n"/>
      <c r="N267" s="2" t="n"/>
      <c r="O267" s="2" t="n">
        <v>190</v>
      </c>
      <c r="P267" s="2" t="n">
        <v>80</v>
      </c>
      <c r="Q267" s="2" t="n">
        <v>70</v>
      </c>
      <c r="R267" s="2" t="n">
        <v>300</v>
      </c>
      <c r="S267" s="2" t="n"/>
      <c r="T267" s="2" t="n"/>
      <c r="U267" s="2" t="n">
        <v>300</v>
      </c>
      <c r="V267" s="2">
        <f>SUM(J267:U267)</f>
        <v/>
      </c>
      <c r="W267" s="2" t="n">
        <v>1880</v>
      </c>
      <c r="X267" s="2" t="n">
        <v>1880</v>
      </c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>
        <f>IF(F267=1,V267*2,IF(F267=2,V267*F267*2,IF(F267&gt;2,F267*2*V267)))</f>
        <v/>
      </c>
      <c r="AW267" s="2">
        <f>SUM(W267:AU267)</f>
        <v/>
      </c>
    </row>
    <row r="268">
      <c r="A268" s="2" t="inlineStr">
        <is>
          <t>14-K-108</t>
        </is>
      </c>
      <c r="B268" s="3" t="inlineStr">
        <is>
          <t>OJC-A1-LC/LC-SM-5-PC/PC-SP</t>
        </is>
      </c>
      <c r="C268" s="2" t="inlineStr">
        <is>
          <t>K9089046</t>
        </is>
      </c>
      <c r="D268" s="2" t="inlineStr">
        <is>
          <t>a1</t>
        </is>
      </c>
      <c r="E268" s="2" t="inlineStr">
        <is>
          <t>2.0mm</t>
        </is>
      </c>
      <c r="F268" s="2" t="n">
        <v>1</v>
      </c>
      <c r="G268" s="2" t="n">
        <v>5</v>
      </c>
      <c r="H268" s="2" t="inlineStr">
        <is>
          <t>LC/PC</t>
        </is>
      </c>
      <c r="I268" s="2" t="inlineStr">
        <is>
          <t>LC/PC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>
        <v>10</v>
      </c>
      <c r="R268" s="2" t="n"/>
      <c r="S268" s="2" t="n"/>
      <c r="T268" s="2" t="n"/>
      <c r="U268" s="2" t="n"/>
      <c r="V268" s="2">
        <f>SUM(J268:U268)</f>
        <v/>
      </c>
      <c r="W268" s="2" t="n">
        <v>20</v>
      </c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>
        <f>IF(F268=1,V268*2,IF(F268=2,V268*F268*2,IF(F268&gt;2,F268*2*V268)))</f>
        <v/>
      </c>
      <c r="AW268" s="2">
        <f>SUM(W268:AU268)</f>
        <v/>
      </c>
    </row>
    <row r="269">
      <c r="A269" s="2" t="inlineStr">
        <is>
          <t>14-K-110</t>
        </is>
      </c>
      <c r="B269" s="3" t="inlineStr">
        <is>
          <t>OJC-A1-LC/LC-SM-7-PC/PC-DP</t>
        </is>
      </c>
      <c r="C269" s="2" t="inlineStr"/>
      <c r="D269" s="2" t="inlineStr">
        <is>
          <t>a1</t>
        </is>
      </c>
      <c r="E269" s="2" t="inlineStr">
        <is>
          <t>2.0mm</t>
        </is>
      </c>
      <c r="F269" s="2" t="n">
        <v>2</v>
      </c>
      <c r="G269" s="2" t="n">
        <v>7</v>
      </c>
      <c r="H269" s="2" t="inlineStr">
        <is>
          <t>LC/PC</t>
        </is>
      </c>
      <c r="I269" s="2" t="inlineStr">
        <is>
          <t>LC/PC</t>
        </is>
      </c>
      <c r="J269" s="2" t="n"/>
      <c r="K269" s="2" t="n">
        <v>52</v>
      </c>
      <c r="L269" s="2" t="n"/>
      <c r="M269" s="2" t="n"/>
      <c r="N269" s="2" t="n">
        <v>50</v>
      </c>
      <c r="O269" s="2" t="n"/>
      <c r="P269" s="2" t="n"/>
      <c r="Q269" s="2" t="n"/>
      <c r="R269" s="2" t="n">
        <v>50</v>
      </c>
      <c r="S269" s="2" t="n"/>
      <c r="T269" s="2" t="n"/>
      <c r="U269" s="2" t="n">
        <v>10</v>
      </c>
      <c r="V269" s="2">
        <f>SUM(J269:U269)</f>
        <v/>
      </c>
      <c r="W269" s="2" t="n">
        <v>324</v>
      </c>
      <c r="X269" s="2" t="n">
        <v>324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>
        <f>IF(F269=1,V269*2,IF(F269=2,V269*F269*2,IF(F269&gt;2,F269*2*V269)))</f>
        <v/>
      </c>
      <c r="AW269" s="2">
        <f>SUM(W269:AU269)</f>
        <v/>
      </c>
    </row>
    <row r="270">
      <c r="A270" s="2" t="inlineStr">
        <is>
          <t>14-K-111</t>
        </is>
      </c>
      <c r="B270" s="3" t="inlineStr">
        <is>
          <t>OJC-A1-LC/LC-SM-8-PC/PC-DP</t>
        </is>
      </c>
      <c r="C270" s="2" t="inlineStr">
        <is>
          <t>적색</t>
        </is>
      </c>
      <c r="D270" s="2" t="inlineStr">
        <is>
          <t>a1-적</t>
        </is>
      </c>
      <c r="E270" s="2" t="inlineStr">
        <is>
          <t>2.0mm</t>
        </is>
      </c>
      <c r="F270" s="2" t="n">
        <v>2</v>
      </c>
      <c r="G270" s="2" t="n">
        <v>8</v>
      </c>
      <c r="H270" s="2" t="inlineStr">
        <is>
          <t>LC/PC</t>
        </is>
      </c>
      <c r="I270" s="2" t="inlineStr">
        <is>
          <t>LC/PC</t>
        </is>
      </c>
      <c r="J270" s="2" t="n"/>
      <c r="K270" s="2" t="n"/>
      <c r="L270" s="2" t="n"/>
      <c r="M270" s="2" t="n"/>
      <c r="N270" s="2" t="n">
        <v>4</v>
      </c>
      <c r="O270" s="2" t="n"/>
      <c r="P270" s="2" t="n"/>
      <c r="Q270" s="2" t="n"/>
      <c r="R270" s="2" t="n"/>
      <c r="S270" s="2" t="n"/>
      <c r="T270" s="2" t="n"/>
      <c r="U270" s="2" t="n"/>
      <c r="V270" s="2">
        <f>SUM(J270:U270)</f>
        <v/>
      </c>
      <c r="W270" s="2" t="n">
        <v>8</v>
      </c>
      <c r="X270" s="2" t="n">
        <v>8</v>
      </c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>
        <f>IF(F270=1,V270*2,IF(F270=2,V270*F270*2,IF(F270&gt;2,F270*2*V270)))</f>
        <v/>
      </c>
      <c r="AW270" s="2">
        <f>SUM(W270:AU270)</f>
        <v/>
      </c>
    </row>
    <row r="271">
      <c r="A271" s="2" t="inlineStr">
        <is>
          <t>14-K-111</t>
        </is>
      </c>
      <c r="B271" s="3" t="inlineStr">
        <is>
          <t>OJC-A1-LC/LC-SM-8-PC/PC-DP</t>
        </is>
      </c>
      <c r="C271" s="2" t="inlineStr"/>
      <c r="D271" s="2" t="inlineStr">
        <is>
          <t>a1</t>
        </is>
      </c>
      <c r="E271" s="2" t="inlineStr">
        <is>
          <t>2.0mm</t>
        </is>
      </c>
      <c r="F271" s="2" t="n">
        <v>2</v>
      </c>
      <c r="G271" s="2" t="n">
        <v>8</v>
      </c>
      <c r="H271" s="2" t="inlineStr">
        <is>
          <t>LC/PC</t>
        </is>
      </c>
      <c r="I271" s="2" t="inlineStr">
        <is>
          <t>LC/PC</t>
        </is>
      </c>
      <c r="J271" s="2" t="n"/>
      <c r="K271" s="2" t="n"/>
      <c r="L271" s="2" t="n"/>
      <c r="M271" s="2" t="n"/>
      <c r="N271" s="2" t="n">
        <v>50</v>
      </c>
      <c r="O271" s="2" t="n"/>
      <c r="P271" s="2" t="n"/>
      <c r="Q271" s="2" t="n"/>
      <c r="R271" s="2" t="n"/>
      <c r="S271" s="2" t="n"/>
      <c r="T271" s="2" t="n"/>
      <c r="U271" s="2" t="n"/>
      <c r="V271" s="2">
        <f>SUM(J271:U271)</f>
        <v/>
      </c>
      <c r="W271" s="2" t="n">
        <v>100</v>
      </c>
      <c r="X271" s="2" t="n">
        <v>100</v>
      </c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>
        <f>IF(F271=1,V271*2,IF(F271=2,V271*F271*2,IF(F271&gt;2,F271*2*V271)))</f>
        <v/>
      </c>
      <c r="AW271" s="2">
        <f>SUM(W271:AU271)</f>
        <v/>
      </c>
    </row>
    <row r="272">
      <c r="A272" s="2" t="inlineStr">
        <is>
          <t>14-K-144</t>
        </is>
      </c>
      <c r="B272" s="3" t="inlineStr">
        <is>
          <t>OJC-A1-SC/LC-MM(OM3)-15-PC/PC-DP</t>
        </is>
      </c>
      <c r="C272" s="2" t="inlineStr"/>
      <c r="D272" s="2" t="inlineStr">
        <is>
          <t>om3</t>
        </is>
      </c>
      <c r="E272" s="2" t="inlineStr">
        <is>
          <t>2.0mm</t>
        </is>
      </c>
      <c r="F272" s="2" t="n">
        <v>2</v>
      </c>
      <c r="G272" s="2" t="n">
        <v>15</v>
      </c>
      <c r="H272" s="2" t="inlineStr">
        <is>
          <t>SC/PC</t>
        </is>
      </c>
      <c r="I272" s="2" t="inlineStr">
        <is>
          <t>LC/PC</t>
        </is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>
        <v>2</v>
      </c>
      <c r="T272" s="2" t="n"/>
      <c r="U272" s="2" t="n"/>
      <c r="V272" s="2">
        <f>SUM(J272:U272)</f>
        <v/>
      </c>
      <c r="W272" s="2" t="n"/>
      <c r="X272" s="2" t="n">
        <v>4</v>
      </c>
      <c r="Y272" s="2" t="n"/>
      <c r="Z272" s="2" t="n"/>
      <c r="AA272" s="2" t="n">
        <v>4</v>
      </c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>
        <f>IF(F272=1,V272*2,IF(F272=2,V272*F272*2,IF(F272&gt;2,F272*2*V272)))</f>
        <v/>
      </c>
      <c r="AW272" s="2">
        <f>SUM(W272:AU272)</f>
        <v/>
      </c>
    </row>
    <row r="273">
      <c r="A273" s="2" t="inlineStr">
        <is>
          <t>14-K-145</t>
        </is>
      </c>
      <c r="B273" s="3" t="inlineStr">
        <is>
          <t>OJC-A1-SC/LC-MM(OM3)-30-PC/PC-DP</t>
        </is>
      </c>
      <c r="C273" s="2" t="inlineStr"/>
      <c r="D273" s="2" t="inlineStr">
        <is>
          <t>om3</t>
        </is>
      </c>
      <c r="E273" s="2" t="inlineStr">
        <is>
          <t>2.0mm</t>
        </is>
      </c>
      <c r="F273" s="2" t="n">
        <v>2</v>
      </c>
      <c r="G273" s="2" t="n">
        <v>30</v>
      </c>
      <c r="H273" s="2" t="inlineStr">
        <is>
          <t>SC/PC</t>
        </is>
      </c>
      <c r="I273" s="2" t="inlineStr">
        <is>
          <t>LC/PC</t>
        </is>
      </c>
      <c r="J273" s="2" t="n"/>
      <c r="K273" s="2" t="n"/>
      <c r="L273" s="2" t="n"/>
      <c r="M273" s="2" t="n">
        <v>1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>
        <f>SUM(J273:U273)</f>
        <v/>
      </c>
      <c r="W273" s="2" t="n"/>
      <c r="X273" s="2" t="n">
        <v>2</v>
      </c>
      <c r="Y273" s="2" t="n"/>
      <c r="Z273" s="2" t="n"/>
      <c r="AA273" s="2" t="n">
        <v>2</v>
      </c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>
        <f>IF(F273=1,V273*2,IF(F273=2,V273*F273*2,IF(F273&gt;2,F273*2*V273)))</f>
        <v/>
      </c>
      <c r="AW273" s="2">
        <f>SUM(W273:AU273)</f>
        <v/>
      </c>
    </row>
    <row r="274">
      <c r="A274" s="2" t="inlineStr">
        <is>
          <t>14-K-146</t>
        </is>
      </c>
      <c r="B274" s="3" t="inlineStr">
        <is>
          <t>OJC-A1-SC/LC-MM(OM3)-3-PC/PC-DP</t>
        </is>
      </c>
      <c r="C274" s="2" t="inlineStr"/>
      <c r="D274" s="2" t="inlineStr">
        <is>
          <t>om3</t>
        </is>
      </c>
      <c r="E274" s="2" t="inlineStr">
        <is>
          <t>2.0mm</t>
        </is>
      </c>
      <c r="F274" s="2" t="n">
        <v>2</v>
      </c>
      <c r="G274" s="2" t="n">
        <v>3</v>
      </c>
      <c r="H274" s="2" t="inlineStr">
        <is>
          <t>SC/PC</t>
        </is>
      </c>
      <c r="I274" s="2" t="inlineStr">
        <is>
          <t>LC/PC</t>
        </is>
      </c>
      <c r="J274" s="2" t="n"/>
      <c r="K274" s="2" t="n"/>
      <c r="L274" s="2" t="n"/>
      <c r="M274" s="2" t="n">
        <v>50</v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>
        <f>SUM(J274:U274)</f>
        <v/>
      </c>
      <c r="W274" s="2" t="n"/>
      <c r="X274" s="2" t="n">
        <v>100</v>
      </c>
      <c r="Y274" s="2" t="n"/>
      <c r="Z274" s="2" t="n"/>
      <c r="AA274" s="2" t="n">
        <v>100</v>
      </c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>
        <f>IF(F274=1,V274*2,IF(F274=2,V274*F274*2,IF(F274&gt;2,F274*2*V274)))</f>
        <v/>
      </c>
      <c r="AW274" s="2">
        <f>SUM(W274:AU274)</f>
        <v/>
      </c>
    </row>
    <row r="275">
      <c r="A275" s="2" t="inlineStr">
        <is>
          <t>14-K-148</t>
        </is>
      </c>
      <c r="B275" s="3" t="inlineStr">
        <is>
          <t>OJC-A1-SC/LC-MM-10-PC/PC-DP</t>
        </is>
      </c>
      <c r="C275" s="2" t="inlineStr">
        <is>
          <t>K9089322</t>
        </is>
      </c>
      <c r="D275" s="2" t="inlineStr">
        <is>
          <t>om1</t>
        </is>
      </c>
      <c r="E275" s="2" t="inlineStr">
        <is>
          <t>2.0mm</t>
        </is>
      </c>
      <c r="F275" s="2" t="n">
        <v>2</v>
      </c>
      <c r="G275" s="2" t="n">
        <v>10</v>
      </c>
      <c r="H275" s="2" t="inlineStr">
        <is>
          <t>SC/PC</t>
        </is>
      </c>
      <c r="I275" s="2" t="inlineStr">
        <is>
          <t>LC/PC</t>
        </is>
      </c>
      <c r="J275" s="2" t="n"/>
      <c r="K275" s="2" t="n"/>
      <c r="L275" s="2" t="n">
        <v>50</v>
      </c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>
        <f>SUM(J275:U275)</f>
        <v/>
      </c>
      <c r="W275" s="2" t="n"/>
      <c r="X275" s="2" t="n">
        <v>100</v>
      </c>
      <c r="Y275" s="2" t="n"/>
      <c r="Z275" s="2" t="n"/>
      <c r="AA275" s="2" t="n">
        <v>100</v>
      </c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>
        <f>IF(F275=1,V275*2,IF(F275=2,V275*F275*2,IF(F275&gt;2,F275*2*V275)))</f>
        <v/>
      </c>
      <c r="AW275" s="2">
        <f>SUM(W275:AU275)</f>
        <v/>
      </c>
    </row>
    <row r="276">
      <c r="A276" s="2" t="inlineStr">
        <is>
          <t>14-K-154</t>
        </is>
      </c>
      <c r="B276" s="3" t="inlineStr">
        <is>
          <t>OJC-A1-SC/LC-MM-20-PC/PC-DP</t>
        </is>
      </c>
      <c r="C276" s="2" t="inlineStr">
        <is>
          <t>K9089324</t>
        </is>
      </c>
      <c r="D276" s="2" t="inlineStr">
        <is>
          <t>om1</t>
        </is>
      </c>
      <c r="E276" s="2" t="inlineStr">
        <is>
          <t>2.0mm</t>
        </is>
      </c>
      <c r="F276" s="2" t="n">
        <v>2</v>
      </c>
      <c r="G276" s="2" t="n">
        <v>20</v>
      </c>
      <c r="H276" s="2" t="inlineStr">
        <is>
          <t>SC/PC</t>
        </is>
      </c>
      <c r="I276" s="2" t="inlineStr">
        <is>
          <t>LC/PC</t>
        </is>
      </c>
      <c r="J276" s="2" t="n"/>
      <c r="K276" s="2" t="n">
        <v>50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</f>
        <v/>
      </c>
      <c r="W276" s="2" t="n"/>
      <c r="X276" s="2" t="n">
        <v>100</v>
      </c>
      <c r="Y276" s="2" t="n"/>
      <c r="Z276" s="2" t="n"/>
      <c r="AA276" s="2" t="n">
        <v>100</v>
      </c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>
        <f>IF(F276=1,V276*2,IF(F276=2,V276*F276*2,IF(F276&gt;2,F276*2*V276)))</f>
        <v/>
      </c>
      <c r="AW276" s="2">
        <f>SUM(W276:AU276)</f>
        <v/>
      </c>
    </row>
    <row r="277">
      <c r="A277" s="2" t="inlineStr">
        <is>
          <t>14-K-157</t>
        </is>
      </c>
      <c r="B277" s="3" t="inlineStr">
        <is>
          <t>OJC-A1-SC/LC-MM-2-PC/PC-DP</t>
        </is>
      </c>
      <c r="C277" s="2" t="inlineStr">
        <is>
          <t>K9089318</t>
        </is>
      </c>
      <c r="D277" s="2" t="inlineStr">
        <is>
          <t>om1</t>
        </is>
      </c>
      <c r="E277" s="2" t="inlineStr">
        <is>
          <t>2.0mm</t>
        </is>
      </c>
      <c r="F277" s="2" t="n">
        <v>2</v>
      </c>
      <c r="G277" s="2" t="n">
        <v>2</v>
      </c>
      <c r="H277" s="2" t="inlineStr">
        <is>
          <t>SC/PC</t>
        </is>
      </c>
      <c r="I277" s="2" t="inlineStr">
        <is>
          <t>LC/PC</t>
        </is>
      </c>
      <c r="J277" s="2" t="n"/>
      <c r="K277" s="2" t="n"/>
      <c r="L277" s="2" t="n">
        <v>50</v>
      </c>
      <c r="M277" s="2" t="n">
        <v>18</v>
      </c>
      <c r="N277" s="2" t="n"/>
      <c r="O277" s="2" t="n"/>
      <c r="P277" s="2" t="n"/>
      <c r="Q277" s="2" t="n"/>
      <c r="R277" s="2" t="n"/>
      <c r="S277" s="2" t="n"/>
      <c r="T277" s="2" t="n">
        <v>60</v>
      </c>
      <c r="U277" s="2" t="n"/>
      <c r="V277" s="2">
        <f>SUM(J277:U277)</f>
        <v/>
      </c>
      <c r="W277" s="2" t="n"/>
      <c r="X277" s="2" t="n">
        <v>256</v>
      </c>
      <c r="Y277" s="2" t="n"/>
      <c r="Z277" s="2" t="n"/>
      <c r="AA277" s="2" t="n">
        <v>256</v>
      </c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>
        <f>IF(F277=1,V277*2,IF(F277=2,V277*F277*2,IF(F277&gt;2,F277*2*V277)))</f>
        <v/>
      </c>
      <c r="AW277" s="2">
        <f>SUM(W277:AU277)</f>
        <v/>
      </c>
    </row>
    <row r="278">
      <c r="A278" s="2" t="inlineStr">
        <is>
          <t>14-K-161</t>
        </is>
      </c>
      <c r="B278" s="3" t="inlineStr">
        <is>
          <t>OJC-A1-SC/LC-MM-3-PC/PC-DP</t>
        </is>
      </c>
      <c r="C278" s="2" t="inlineStr">
        <is>
          <t>K9089319</t>
        </is>
      </c>
      <c r="D278" s="2" t="inlineStr">
        <is>
          <t>om1</t>
        </is>
      </c>
      <c r="E278" s="2" t="inlineStr">
        <is>
          <t>2.0mm</t>
        </is>
      </c>
      <c r="F278" s="2" t="n">
        <v>2</v>
      </c>
      <c r="G278" s="2" t="n">
        <v>3</v>
      </c>
      <c r="H278" s="2" t="inlineStr">
        <is>
          <t>SC/PC</t>
        </is>
      </c>
      <c r="I278" s="2" t="inlineStr">
        <is>
          <t>LC/PC</t>
        </is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>
        <v>184</v>
      </c>
      <c r="T278" s="2" t="n"/>
      <c r="U278" s="2" t="n"/>
      <c r="V278" s="2">
        <f>SUM(J278:U278)</f>
        <v/>
      </c>
      <c r="W278" s="2" t="n"/>
      <c r="X278" s="2" t="n">
        <v>368</v>
      </c>
      <c r="Y278" s="2" t="n"/>
      <c r="Z278" s="2" t="n"/>
      <c r="AA278" s="2" t="n">
        <v>368</v>
      </c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>
        <f>IF(F278=1,V278*2,IF(F278=2,V278*F278*2,IF(F278&gt;2,F278*2*V278)))</f>
        <v/>
      </c>
      <c r="AW278" s="2">
        <f>SUM(W278:AU278)</f>
        <v/>
      </c>
    </row>
    <row r="279">
      <c r="A279" s="2" t="inlineStr">
        <is>
          <t>14-K-173</t>
        </is>
      </c>
      <c r="B279" s="3" t="inlineStr">
        <is>
          <t>OJC-A1-SC/LC-SM-10-APC/PC-SP</t>
        </is>
      </c>
      <c r="C279" s="2" t="inlineStr"/>
      <c r="D279" s="2" t="inlineStr">
        <is>
          <t>a1</t>
        </is>
      </c>
      <c r="E279" s="2" t="inlineStr">
        <is>
          <t>2.0mm</t>
        </is>
      </c>
      <c r="F279" s="2" t="n">
        <v>1</v>
      </c>
      <c r="G279" s="2" t="n">
        <v>10</v>
      </c>
      <c r="H279" s="2" t="inlineStr">
        <is>
          <t>SC/APC</t>
        </is>
      </c>
      <c r="I279" s="2" t="inlineStr">
        <is>
          <t>LC/PC</t>
        </is>
      </c>
      <c r="J279" s="2" t="n"/>
      <c r="K279" s="2" t="n"/>
      <c r="L279" s="2" t="n">
        <v>50</v>
      </c>
      <c r="M279" s="2" t="n"/>
      <c r="N279" s="2" t="n"/>
      <c r="O279" s="2" t="n"/>
      <c r="P279" s="2" t="n"/>
      <c r="Q279" s="2" t="n"/>
      <c r="R279" s="2" t="n">
        <v>66</v>
      </c>
      <c r="S279" s="2" t="n">
        <v>30</v>
      </c>
      <c r="T279" s="2" t="n"/>
      <c r="U279" s="2" t="n"/>
      <c r="V279" s="2">
        <f>SUM(J279:U279)</f>
        <v/>
      </c>
      <c r="W279" s="2" t="n">
        <v>146</v>
      </c>
      <c r="X279" s="2" t="n"/>
      <c r="Y279" s="2" t="n"/>
      <c r="Z279" s="2" t="n"/>
      <c r="AA279" s="2" t="n"/>
      <c r="AB279" s="2" t="n"/>
      <c r="AC279" s="2" t="n">
        <v>146</v>
      </c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>
        <f>IF(F279=1,V279*2,IF(F279=2,V279*F279*2,IF(F279&gt;2,F279*2*V279)))</f>
        <v/>
      </c>
      <c r="AW279" s="2">
        <f>SUM(W279:AU279)</f>
        <v/>
      </c>
    </row>
    <row r="280">
      <c r="A280" s="2" t="inlineStr">
        <is>
          <t>14-K-176</t>
        </is>
      </c>
      <c r="B280" s="3" t="inlineStr">
        <is>
          <t>OJC-A1-SC/LC-SM-10-PC/PC-DP</t>
        </is>
      </c>
      <c r="C280" s="2" t="inlineStr">
        <is>
          <t>K9089162</t>
        </is>
      </c>
      <c r="D280" s="2" t="inlineStr">
        <is>
          <t>a1</t>
        </is>
      </c>
      <c r="E280" s="2" t="inlineStr">
        <is>
          <t>2.0mm</t>
        </is>
      </c>
      <c r="F280" s="2" t="n">
        <v>2</v>
      </c>
      <c r="G280" s="2" t="n">
        <v>10</v>
      </c>
      <c r="H280" s="2" t="inlineStr">
        <is>
          <t>SC/PC</t>
        </is>
      </c>
      <c r="I280" s="2" t="inlineStr">
        <is>
          <t>LC/PC</t>
        </is>
      </c>
      <c r="J280" s="2" t="n">
        <v>150</v>
      </c>
      <c r="K280" s="2" t="n"/>
      <c r="L280" s="2" t="n">
        <v>556</v>
      </c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</f>
        <v/>
      </c>
      <c r="W280" s="2" t="n"/>
      <c r="X280" s="2" t="n">
        <v>1412</v>
      </c>
      <c r="Y280" s="2" t="n"/>
      <c r="Z280" s="2" t="n"/>
      <c r="AA280" s="2" t="n">
        <v>1412</v>
      </c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>
        <f>IF(F280=1,V280*2,IF(F280=2,V280*F280*2,IF(F280&gt;2,F280*2*V280)))</f>
        <v/>
      </c>
      <c r="AW280" s="2">
        <f>SUM(W280:AU280)</f>
        <v/>
      </c>
    </row>
    <row r="281">
      <c r="A281" s="2" t="inlineStr">
        <is>
          <t>14-K-180</t>
        </is>
      </c>
      <c r="B281" s="3" t="inlineStr">
        <is>
          <t>OJC-A1-SC/LC-SM-12-PC/PC-SP</t>
        </is>
      </c>
      <c r="C281" s="2" t="inlineStr"/>
      <c r="D281" s="2" t="inlineStr">
        <is>
          <t>a1</t>
        </is>
      </c>
      <c r="E281" s="2" t="inlineStr">
        <is>
          <t>2.0mm</t>
        </is>
      </c>
      <c r="F281" s="2" t="n">
        <v>1</v>
      </c>
      <c r="G281" s="2" t="n">
        <v>12</v>
      </c>
      <c r="H281" s="2" t="inlineStr">
        <is>
          <t>SC/PC</t>
        </is>
      </c>
      <c r="I281" s="2" t="inlineStr">
        <is>
          <t>LC/PC</t>
        </is>
      </c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>
        <v>4</v>
      </c>
      <c r="T281" s="2" t="n">
        <v>10</v>
      </c>
      <c r="U281" s="2" t="n"/>
      <c r="V281" s="2">
        <f>SUM(J281:U281)</f>
        <v/>
      </c>
      <c r="W281" s="2" t="n">
        <v>14</v>
      </c>
      <c r="X281" s="2" t="n"/>
      <c r="Y281" s="2" t="n"/>
      <c r="Z281" s="2" t="n"/>
      <c r="AA281" s="2" t="n">
        <v>14</v>
      </c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>
        <f>IF(F281=1,V281*2,IF(F281=2,V281*F281*2,IF(F281&gt;2,F281*2*V281)))</f>
        <v/>
      </c>
      <c r="AW281" s="2">
        <f>SUM(W281:AU281)</f>
        <v/>
      </c>
    </row>
    <row r="282">
      <c r="A282" s="2" t="inlineStr">
        <is>
          <t>14-K-188</t>
        </is>
      </c>
      <c r="B282" s="3" t="inlineStr">
        <is>
          <t>OJC-A1-SC/LC-SM-15-PC/PC-DP</t>
        </is>
      </c>
      <c r="C282" s="2" t="inlineStr">
        <is>
          <t>K9089163</t>
        </is>
      </c>
      <c r="D282" s="2" t="inlineStr">
        <is>
          <t>a1</t>
        </is>
      </c>
      <c r="E282" s="2" t="inlineStr">
        <is>
          <t>2.0mm</t>
        </is>
      </c>
      <c r="F282" s="2" t="n">
        <v>2</v>
      </c>
      <c r="G282" s="2" t="n">
        <v>15</v>
      </c>
      <c r="H282" s="2" t="inlineStr">
        <is>
          <t>SC/PC</t>
        </is>
      </c>
      <c r="I282" s="2" t="inlineStr">
        <is>
          <t>LC/PC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>
        <v>500</v>
      </c>
      <c r="T282" s="2" t="n">
        <v>1000</v>
      </c>
      <c r="U282" s="2" t="n"/>
      <c r="V282" s="2">
        <f>SUM(J282:U282)</f>
        <v/>
      </c>
      <c r="W282" s="2" t="n"/>
      <c r="X282" s="2" t="n">
        <v>3000</v>
      </c>
      <c r="Y282" s="2" t="n"/>
      <c r="Z282" s="2" t="n"/>
      <c r="AA282" s="2" t="n">
        <v>3000</v>
      </c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>
        <f>IF(F282=1,V282*2,IF(F282=2,V282*F282*2,IF(F282&gt;2,F282*2*V282)))</f>
        <v/>
      </c>
      <c r="AW282" s="2">
        <f>SUM(W282:AU282)</f>
        <v/>
      </c>
    </row>
    <row r="283">
      <c r="A283" s="2" t="inlineStr">
        <is>
          <t>14-K-190</t>
        </is>
      </c>
      <c r="B283" s="3" t="inlineStr">
        <is>
          <t>OJC-A1-SC/LC-SM-16-PC/PC-DP</t>
        </is>
      </c>
      <c r="C283" s="2" t="inlineStr">
        <is>
          <t>적색</t>
        </is>
      </c>
      <c r="D283" s="2" t="inlineStr">
        <is>
          <t>a1-적</t>
        </is>
      </c>
      <c r="E283" s="2" t="inlineStr">
        <is>
          <t>2.0mm</t>
        </is>
      </c>
      <c r="F283" s="2" t="n">
        <v>2</v>
      </c>
      <c r="G283" s="2" t="n">
        <v>16</v>
      </c>
      <c r="H283" s="2" t="inlineStr">
        <is>
          <t>SC/PC</t>
        </is>
      </c>
      <c r="I283" s="2" t="inlineStr">
        <is>
          <t>LC/PC</t>
        </is>
      </c>
      <c r="J283" s="2" t="n"/>
      <c r="K283" s="2" t="n"/>
      <c r="L283" s="2" t="n"/>
      <c r="M283" s="2" t="n"/>
      <c r="N283" s="2" t="n">
        <v>4</v>
      </c>
      <c r="O283" s="2" t="n"/>
      <c r="P283" s="2" t="n"/>
      <c r="Q283" s="2" t="n"/>
      <c r="R283" s="2" t="n"/>
      <c r="S283" s="2" t="n"/>
      <c r="T283" s="2" t="n"/>
      <c r="U283" s="2" t="n"/>
      <c r="V283" s="2">
        <f>SUM(J283:U283)</f>
        <v/>
      </c>
      <c r="W283" s="2" t="n"/>
      <c r="X283" s="2" t="n">
        <v>8</v>
      </c>
      <c r="Y283" s="2" t="n"/>
      <c r="Z283" s="2" t="n"/>
      <c r="AA283" s="2" t="n">
        <v>8</v>
      </c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>
        <f>IF(F283=1,V283*2,IF(F283=2,V283*F283*2,IF(F283&gt;2,F283*2*V283)))</f>
        <v/>
      </c>
      <c r="AW283" s="2">
        <f>SUM(W283:AU283)</f>
        <v/>
      </c>
    </row>
    <row r="284">
      <c r="A284" s="2" t="inlineStr">
        <is>
          <t>14-K-195</t>
        </is>
      </c>
      <c r="B284" s="3" t="inlineStr">
        <is>
          <t>OJC-A1-SC/LC-SM-19-PC/PC-DP</t>
        </is>
      </c>
      <c r="C284" s="2" t="inlineStr">
        <is>
          <t>적색</t>
        </is>
      </c>
      <c r="D284" s="2" t="inlineStr">
        <is>
          <t>a1-적</t>
        </is>
      </c>
      <c r="E284" s="2" t="inlineStr">
        <is>
          <t>2.0mm</t>
        </is>
      </c>
      <c r="F284" s="2" t="n">
        <v>2</v>
      </c>
      <c r="G284" s="2" t="n">
        <v>19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>
        <v>3</v>
      </c>
      <c r="O284" s="2" t="n"/>
      <c r="P284" s="2" t="n"/>
      <c r="Q284" s="2" t="n"/>
      <c r="R284" s="2" t="n"/>
      <c r="S284" s="2" t="n"/>
      <c r="T284" s="2" t="n"/>
      <c r="U284" s="2" t="n"/>
      <c r="V284" s="2">
        <f>SUM(J284:U284)</f>
        <v/>
      </c>
      <c r="W284" s="2" t="n"/>
      <c r="X284" s="2" t="n">
        <v>6</v>
      </c>
      <c r="Y284" s="2" t="n"/>
      <c r="Z284" s="2" t="n"/>
      <c r="AA284" s="2" t="n">
        <v>6</v>
      </c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>
        <f>IF(F284=1,V284*2,IF(F284=2,V284*F284*2,IF(F284&gt;2,F284*2*V284)))</f>
        <v/>
      </c>
      <c r="AW284" s="2">
        <f>SUM(W284:AU284)</f>
        <v/>
      </c>
    </row>
    <row r="285">
      <c r="A285" s="2" t="inlineStr">
        <is>
          <t>14-K-197</t>
        </is>
      </c>
      <c r="B285" s="3" t="inlineStr">
        <is>
          <t>OJC-A1-SC/LC-SM-1-APC/PC-SP</t>
        </is>
      </c>
      <c r="C285" s="2" t="inlineStr"/>
      <c r="D285" s="2" t="inlineStr">
        <is>
          <t>a1</t>
        </is>
      </c>
      <c r="E285" s="2" t="inlineStr">
        <is>
          <t>2.0mm</t>
        </is>
      </c>
      <c r="F285" s="2" t="n">
        <v>1</v>
      </c>
      <c r="G285" s="2" t="n">
        <v>1</v>
      </c>
      <c r="H285" s="2" t="inlineStr">
        <is>
          <t>SC/APC</t>
        </is>
      </c>
      <c r="I285" s="2" t="inlineStr">
        <is>
          <t>LC/PC</t>
        </is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>
        <v>100</v>
      </c>
      <c r="T285" s="2" t="n"/>
      <c r="U285" s="2" t="n"/>
      <c r="V285" s="2">
        <f>SUM(J285:U285)</f>
        <v/>
      </c>
      <c r="W285" s="2" t="n">
        <v>100</v>
      </c>
      <c r="X285" s="2" t="n"/>
      <c r="Y285" s="2" t="n"/>
      <c r="Z285" s="2" t="n"/>
      <c r="AA285" s="2" t="n"/>
      <c r="AB285" s="2" t="n"/>
      <c r="AC285" s="2" t="n">
        <v>100</v>
      </c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>
        <f>IF(F285=1,V285*2,IF(F285=2,V285*F285*2,IF(F285&gt;2,F285*2*V285)))</f>
        <v/>
      </c>
      <c r="AW285" s="2">
        <f>SUM(W285:AU285)</f>
        <v/>
      </c>
    </row>
    <row r="286">
      <c r="A286" s="2" t="inlineStr">
        <is>
          <t>14-K-198</t>
        </is>
      </c>
      <c r="B286" s="3" t="inlineStr">
        <is>
          <t>OJC-A1-SC/LC-SM-1-PC/PC-DP</t>
        </is>
      </c>
      <c r="C286" s="2" t="inlineStr">
        <is>
          <t>K9089157</t>
        </is>
      </c>
      <c r="D286" s="2" t="inlineStr">
        <is>
          <t>a1</t>
        </is>
      </c>
      <c r="E286" s="2" t="inlineStr">
        <is>
          <t>2.0mm</t>
        </is>
      </c>
      <c r="F286" s="2" t="n">
        <v>2</v>
      </c>
      <c r="G286" s="2" t="n">
        <v>1</v>
      </c>
      <c r="H286" s="2" t="inlineStr">
        <is>
          <t>SC/PC</t>
        </is>
      </c>
      <c r="I286" s="2" t="inlineStr">
        <is>
          <t>LC/PC</t>
        </is>
      </c>
      <c r="J286" s="2" t="n">
        <v>200</v>
      </c>
      <c r="K286" s="2" t="n"/>
      <c r="L286" s="2" t="n"/>
      <c r="M286" s="2" t="n"/>
      <c r="N286" s="2" t="n"/>
      <c r="O286" s="2" t="n"/>
      <c r="P286" s="2" t="n">
        <v>229</v>
      </c>
      <c r="Q286" s="2" t="n">
        <v>46</v>
      </c>
      <c r="R286" s="2" t="n">
        <v>300</v>
      </c>
      <c r="S286" s="2" t="n"/>
      <c r="T286" s="2" t="n"/>
      <c r="U286" s="2" t="n"/>
      <c r="V286" s="2">
        <f>SUM(J286:U286)</f>
        <v/>
      </c>
      <c r="W286" s="2" t="n"/>
      <c r="X286" s="2" t="n">
        <v>1550</v>
      </c>
      <c r="Y286" s="2" t="n"/>
      <c r="Z286" s="2" t="n"/>
      <c r="AA286" s="2" t="n">
        <v>1550</v>
      </c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>
        <f>IF(F286=1,V286*2,IF(F286=2,V286*F286*2,IF(F286&gt;2,F286*2*V286)))</f>
        <v/>
      </c>
      <c r="AW286" s="2">
        <f>SUM(W286:AU286)</f>
        <v/>
      </c>
    </row>
    <row r="287">
      <c r="A287" s="2" t="inlineStr">
        <is>
          <t>14-K-199</t>
        </is>
      </c>
      <c r="B287" s="3" t="inlineStr">
        <is>
          <t>OJC-A1-SC/LC-SM-1-PC/PC-SP</t>
        </is>
      </c>
      <c r="C287" s="2" t="inlineStr">
        <is>
          <t>K9089028</t>
        </is>
      </c>
      <c r="D287" s="2" t="inlineStr">
        <is>
          <t>a1</t>
        </is>
      </c>
      <c r="E287" s="2" t="inlineStr">
        <is>
          <t>2.0mm</t>
        </is>
      </c>
      <c r="F287" s="2" t="n">
        <v>1</v>
      </c>
      <c r="G287" s="2" t="n">
        <v>1</v>
      </c>
      <c r="H287" s="2" t="inlineStr">
        <is>
          <t>SC/PC</t>
        </is>
      </c>
      <c r="I287" s="2" t="inlineStr">
        <is>
          <t>LC/PC</t>
        </is>
      </c>
      <c r="J287" s="2" t="n"/>
      <c r="K287" s="2" t="n"/>
      <c r="L287" s="2" t="n"/>
      <c r="M287" s="2" t="n"/>
      <c r="N287" s="2" t="n"/>
      <c r="O287" s="2" t="n"/>
      <c r="P287" s="2" t="n">
        <v>155</v>
      </c>
      <c r="Q287" s="2" t="n">
        <v>1250</v>
      </c>
      <c r="R287" s="2" t="n">
        <v>41</v>
      </c>
      <c r="S287" s="2" t="n">
        <v>50</v>
      </c>
      <c r="T287" s="2" t="n"/>
      <c r="U287" s="2" t="n"/>
      <c r="V287" s="2">
        <f>SUM(J287:U287)</f>
        <v/>
      </c>
      <c r="W287" s="2" t="n">
        <v>1496</v>
      </c>
      <c r="X287" s="2" t="n"/>
      <c r="Y287" s="2" t="n"/>
      <c r="Z287" s="2" t="n"/>
      <c r="AA287" s="2" t="n">
        <v>1496</v>
      </c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>
        <f>IF(F287=1,V287*2,IF(F287=2,V287*F287*2,IF(F287&gt;2,F287*2*V287)))</f>
        <v/>
      </c>
      <c r="AW287" s="2">
        <f>SUM(W287:AU287)</f>
        <v/>
      </c>
    </row>
    <row r="288">
      <c r="A288" s="2" t="inlineStr">
        <is>
          <t>14-K-202</t>
        </is>
      </c>
      <c r="B288" s="3" t="inlineStr">
        <is>
          <t>OJC-A1-SC/LC-SM-20-APC/PC-SP</t>
        </is>
      </c>
      <c r="C288" s="2" t="inlineStr"/>
      <c r="D288" s="2" t="inlineStr">
        <is>
          <t>a1</t>
        </is>
      </c>
      <c r="E288" s="2" t="inlineStr">
        <is>
          <t>2.0mm</t>
        </is>
      </c>
      <c r="F288" s="2" t="n">
        <v>1</v>
      </c>
      <c r="G288" s="2" t="n">
        <v>20</v>
      </c>
      <c r="H288" s="2" t="inlineStr">
        <is>
          <t>SC/APC</t>
        </is>
      </c>
      <c r="I288" s="2" t="inlineStr">
        <is>
          <t>LC/PC</t>
        </is>
      </c>
      <c r="J288" s="2" t="n"/>
      <c r="K288" s="2" t="n"/>
      <c r="L288" s="2" t="n"/>
      <c r="M288" s="2" t="n"/>
      <c r="N288" s="2" t="n"/>
      <c r="O288" s="2" t="n">
        <v>50</v>
      </c>
      <c r="P288" s="2" t="n"/>
      <c r="Q288" s="2" t="n"/>
      <c r="R288" s="2" t="n"/>
      <c r="S288" s="2" t="n"/>
      <c r="T288" s="2" t="n"/>
      <c r="U288" s="2" t="n"/>
      <c r="V288" s="2">
        <f>SUM(J288:U288)</f>
        <v/>
      </c>
      <c r="W288" s="2" t="n">
        <v>50</v>
      </c>
      <c r="X288" s="2" t="n"/>
      <c r="Y288" s="2" t="n"/>
      <c r="Z288" s="2" t="n"/>
      <c r="AA288" s="2" t="n"/>
      <c r="AB288" s="2" t="n"/>
      <c r="AC288" s="2" t="n">
        <v>50</v>
      </c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>
        <f>IF(F288=1,V288*2,IF(F288=2,V288*F288*2,IF(F288&gt;2,F288*2*V288)))</f>
        <v/>
      </c>
      <c r="AW288" s="2">
        <f>SUM(W288:AU288)</f>
        <v/>
      </c>
    </row>
    <row r="289">
      <c r="A289" s="2" t="inlineStr">
        <is>
          <t>14-K-204</t>
        </is>
      </c>
      <c r="B289" s="3" t="inlineStr">
        <is>
          <t>OJC-A1-SC/LC-SM-20-PC/PC-DP</t>
        </is>
      </c>
      <c r="C289" s="2" t="inlineStr">
        <is>
          <t>K9089164</t>
        </is>
      </c>
      <c r="D289" s="2" t="inlineStr">
        <is>
          <t>a1</t>
        </is>
      </c>
      <c r="E289" s="2" t="inlineStr">
        <is>
          <t>2.0mm</t>
        </is>
      </c>
      <c r="F289" s="2" t="n">
        <v>2</v>
      </c>
      <c r="G289" s="2" t="n">
        <v>20</v>
      </c>
      <c r="H289" s="2" t="inlineStr">
        <is>
          <t>SC/PC</t>
        </is>
      </c>
      <c r="I289" s="2" t="inlineStr">
        <is>
          <t>LC/PC</t>
        </is>
      </c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>
        <v>200</v>
      </c>
      <c r="V289" s="2">
        <f>SUM(J289:U289)</f>
        <v/>
      </c>
      <c r="W289" s="2" t="n"/>
      <c r="X289" s="2" t="n">
        <v>400</v>
      </c>
      <c r="Y289" s="2" t="n"/>
      <c r="Z289" s="2" t="n"/>
      <c r="AA289" s="2" t="n">
        <v>400</v>
      </c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>
        <f>IF(F289=1,V289*2,IF(F289=2,V289*F289*2,IF(F289&gt;2,F289*2*V289)))</f>
        <v/>
      </c>
      <c r="AW289" s="2">
        <f>SUM(W289:AU289)</f>
        <v/>
      </c>
    </row>
    <row r="290">
      <c r="A290" s="2" t="inlineStr">
        <is>
          <t>14-K-205</t>
        </is>
      </c>
      <c r="B290" s="3" t="inlineStr">
        <is>
          <t>OJC-A1-SC/LC-SM-20-PC/PC-SP</t>
        </is>
      </c>
      <c r="C290" s="2" t="inlineStr">
        <is>
          <t>K9089035</t>
        </is>
      </c>
      <c r="D290" s="2" t="inlineStr">
        <is>
          <t>a1</t>
        </is>
      </c>
      <c r="E290" s="2" t="inlineStr">
        <is>
          <t>2.0mm</t>
        </is>
      </c>
      <c r="F290" s="2" t="n">
        <v>1</v>
      </c>
      <c r="G290" s="2" t="n">
        <v>20</v>
      </c>
      <c r="H290" s="2" t="inlineStr">
        <is>
          <t>SC/PC</t>
        </is>
      </c>
      <c r="I290" s="2" t="inlineStr">
        <is>
          <t>LC/PC</t>
        </is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>
        <v>397</v>
      </c>
      <c r="V290" s="2">
        <f>SUM(J290:U290)</f>
        <v/>
      </c>
      <c r="W290" s="2" t="n">
        <v>397</v>
      </c>
      <c r="X290" s="2" t="n"/>
      <c r="Y290" s="2" t="n"/>
      <c r="Z290" s="2" t="n"/>
      <c r="AA290" s="2" t="n">
        <v>397</v>
      </c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>
        <f>IF(F290=1,V290*2,IF(F290=2,V290*F290*2,IF(F290&gt;2,F290*2*V290)))</f>
        <v/>
      </c>
      <c r="AW290" s="2">
        <f>SUM(W290:AU290)</f>
        <v/>
      </c>
    </row>
    <row r="291">
      <c r="A291" s="2" t="inlineStr">
        <is>
          <t>14-K-207</t>
        </is>
      </c>
      <c r="B291" s="3" t="inlineStr">
        <is>
          <t>OJC-A1-SC/LC-SM-23-PC/PC-DP</t>
        </is>
      </c>
      <c r="C291" s="2" t="inlineStr">
        <is>
          <t>자색</t>
        </is>
      </c>
      <c r="D291" s="2" t="inlineStr">
        <is>
          <t>a1-자</t>
        </is>
      </c>
      <c r="E291" s="2" t="inlineStr">
        <is>
          <t>2.0mm</t>
        </is>
      </c>
      <c r="F291" s="2" t="n">
        <v>2</v>
      </c>
      <c r="G291" s="2" t="n">
        <v>23</v>
      </c>
      <c r="H291" s="2" t="inlineStr">
        <is>
          <t>SC/PC</t>
        </is>
      </c>
      <c r="I291" s="2" t="inlineStr">
        <is>
          <t>LC/PC</t>
        </is>
      </c>
      <c r="J291" s="2" t="n"/>
      <c r="K291" s="2" t="n"/>
      <c r="L291" s="2" t="n"/>
      <c r="M291" s="2" t="n"/>
      <c r="N291" s="2" t="n">
        <v>4</v>
      </c>
      <c r="O291" s="2" t="n"/>
      <c r="P291" s="2" t="n"/>
      <c r="Q291" s="2" t="n"/>
      <c r="R291" s="2" t="n"/>
      <c r="S291" s="2" t="n"/>
      <c r="T291" s="2" t="n"/>
      <c r="U291" s="2" t="n"/>
      <c r="V291" s="2">
        <f>SUM(J291:U291)</f>
        <v/>
      </c>
      <c r="W291" s="2" t="n"/>
      <c r="X291" s="2" t="n">
        <v>8</v>
      </c>
      <c r="Y291" s="2" t="n"/>
      <c r="Z291" s="2" t="n"/>
      <c r="AA291" s="2" t="n">
        <v>8</v>
      </c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>
        <f>IF(F291=1,V291*2,IF(F291=2,V291*F291*2,IF(F291&gt;2,F291*2*V291)))</f>
        <v/>
      </c>
      <c r="AW291" s="2">
        <f>SUM(W291:AU291)</f>
        <v/>
      </c>
    </row>
    <row r="292">
      <c r="A292" s="2" t="inlineStr">
        <is>
          <t>14-K-207</t>
        </is>
      </c>
      <c r="B292" s="3" t="inlineStr">
        <is>
          <t>OJC-A1-SC/LC-SM-23-PC/PC-DP</t>
        </is>
      </c>
      <c r="C292" s="2" t="inlineStr">
        <is>
          <t>적색</t>
        </is>
      </c>
      <c r="D292" s="2" t="inlineStr">
        <is>
          <t>a1-적</t>
        </is>
      </c>
      <c r="E292" s="2" t="inlineStr">
        <is>
          <t>2.0mm</t>
        </is>
      </c>
      <c r="F292" s="2" t="n">
        <v>2</v>
      </c>
      <c r="G292" s="2" t="n">
        <v>23</v>
      </c>
      <c r="H292" s="2" t="inlineStr">
        <is>
          <t>SC/PC</t>
        </is>
      </c>
      <c r="I292" s="2" t="inlineStr">
        <is>
          <t>LC/PC</t>
        </is>
      </c>
      <c r="J292" s="2" t="n"/>
      <c r="K292" s="2" t="n"/>
      <c r="L292" s="2" t="n"/>
      <c r="M292" s="2" t="n"/>
      <c r="N292" s="2" t="n">
        <v>18</v>
      </c>
      <c r="O292" s="2" t="n"/>
      <c r="P292" s="2" t="n"/>
      <c r="Q292" s="2" t="n"/>
      <c r="R292" s="2" t="n"/>
      <c r="S292" s="2" t="n"/>
      <c r="T292" s="2" t="n"/>
      <c r="U292" s="2" t="n"/>
      <c r="V292" s="2">
        <f>SUM(J292:U292)</f>
        <v/>
      </c>
      <c r="W292" s="2" t="n"/>
      <c r="X292" s="2" t="n">
        <v>36</v>
      </c>
      <c r="Y292" s="2" t="n"/>
      <c r="Z292" s="2" t="n"/>
      <c r="AA292" s="2" t="n">
        <v>36</v>
      </c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>
        <f>IF(F292=1,V292*2,IF(F292=2,V292*F292*2,IF(F292&gt;2,F292*2*V292)))</f>
        <v/>
      </c>
      <c r="AW292" s="2">
        <f>SUM(W292:AU292)</f>
        <v/>
      </c>
    </row>
    <row r="293">
      <c r="A293" s="2" t="inlineStr">
        <is>
          <t>14-K-209</t>
        </is>
      </c>
      <c r="B293" s="3" t="inlineStr">
        <is>
          <t>OJC-A1-SC/LC-SM-25-PC/PC-DP</t>
        </is>
      </c>
      <c r="C293" s="2" t="inlineStr">
        <is>
          <t>K9089165</t>
        </is>
      </c>
      <c r="D293" s="2" t="inlineStr">
        <is>
          <t>a1</t>
        </is>
      </c>
      <c r="E293" s="2" t="inlineStr">
        <is>
          <t>2.0mm</t>
        </is>
      </c>
      <c r="F293" s="2" t="n">
        <v>2</v>
      </c>
      <c r="G293" s="2" t="n">
        <v>25</v>
      </c>
      <c r="H293" s="2" t="inlineStr">
        <is>
          <t>SC/PC</t>
        </is>
      </c>
      <c r="I293" s="2" t="inlineStr">
        <is>
          <t>LC/PC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>
        <v>79</v>
      </c>
      <c r="V293" s="2">
        <f>SUM(J293:U293)</f>
        <v/>
      </c>
      <c r="W293" s="2" t="n"/>
      <c r="X293" s="2" t="n">
        <v>158</v>
      </c>
      <c r="Y293" s="2" t="n"/>
      <c r="Z293" s="2" t="n"/>
      <c r="AA293" s="2" t="n">
        <v>158</v>
      </c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>
        <f>IF(F293=1,V293*2,IF(F293=2,V293*F293*2,IF(F293&gt;2,F293*2*V293)))</f>
        <v/>
      </c>
      <c r="AW293" s="2">
        <f>SUM(W293:AU293)</f>
        <v/>
      </c>
    </row>
    <row r="294">
      <c r="A294" s="2" t="inlineStr">
        <is>
          <t>14-K-212</t>
        </is>
      </c>
      <c r="B294" s="3" t="inlineStr">
        <is>
          <t>OJC-A1-SC/LC-SM-29-PC/PC-DP</t>
        </is>
      </c>
      <c r="C294" s="2" t="inlineStr">
        <is>
          <t>자색</t>
        </is>
      </c>
      <c r="D294" s="2" t="inlineStr">
        <is>
          <t>a1-자</t>
        </is>
      </c>
      <c r="E294" s="2" t="inlineStr">
        <is>
          <t>2.0mm</t>
        </is>
      </c>
      <c r="F294" s="2" t="n">
        <v>2</v>
      </c>
      <c r="G294" s="2" t="n">
        <v>29</v>
      </c>
      <c r="H294" s="2" t="inlineStr">
        <is>
          <t>SC/PC</t>
        </is>
      </c>
      <c r="I294" s="2" t="inlineStr">
        <is>
          <t>LC/PC</t>
        </is>
      </c>
      <c r="J294" s="2" t="n"/>
      <c r="K294" s="2" t="n"/>
      <c r="L294" s="2" t="n"/>
      <c r="M294" s="2" t="n"/>
      <c r="N294" s="2" t="n">
        <v>3</v>
      </c>
      <c r="O294" s="2" t="n"/>
      <c r="P294" s="2" t="n"/>
      <c r="Q294" s="2" t="n"/>
      <c r="R294" s="2" t="n"/>
      <c r="S294" s="2" t="n"/>
      <c r="T294" s="2" t="n"/>
      <c r="U294" s="2" t="n"/>
      <c r="V294" s="2">
        <f>SUM(J294:U294)</f>
        <v/>
      </c>
      <c r="W294" s="2" t="n"/>
      <c r="X294" s="2" t="n">
        <v>6</v>
      </c>
      <c r="Y294" s="2" t="n"/>
      <c r="Z294" s="2" t="n"/>
      <c r="AA294" s="2" t="n">
        <v>6</v>
      </c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>
        <f>IF(F294=1,V294*2,IF(F294=2,V294*F294*2,IF(F294&gt;2,F294*2*V294)))</f>
        <v/>
      </c>
      <c r="AW294" s="2">
        <f>SUM(W294:AU294)</f>
        <v/>
      </c>
    </row>
    <row r="295">
      <c r="A295" s="2" t="inlineStr">
        <is>
          <t>14-K-212</t>
        </is>
      </c>
      <c r="B295" s="3" t="inlineStr">
        <is>
          <t>OJC-A1-SC/LC-SM-29-PC/PC-DP</t>
        </is>
      </c>
      <c r="C295" s="2" t="inlineStr">
        <is>
          <t>적색</t>
        </is>
      </c>
      <c r="D295" s="2" t="inlineStr">
        <is>
          <t>a1-적</t>
        </is>
      </c>
      <c r="E295" s="2" t="inlineStr">
        <is>
          <t>2.0mm</t>
        </is>
      </c>
      <c r="F295" s="2" t="n">
        <v>2</v>
      </c>
      <c r="G295" s="2" t="n">
        <v>29</v>
      </c>
      <c r="H295" s="2" t="inlineStr">
        <is>
          <t>SC/PC</t>
        </is>
      </c>
      <c r="I295" s="2" t="inlineStr">
        <is>
          <t>LC/PC</t>
        </is>
      </c>
      <c r="J295" s="2" t="n"/>
      <c r="K295" s="2" t="n"/>
      <c r="L295" s="2" t="n"/>
      <c r="M295" s="2" t="n"/>
      <c r="N295" s="2" t="n">
        <v>6</v>
      </c>
      <c r="O295" s="2" t="n"/>
      <c r="P295" s="2" t="n"/>
      <c r="Q295" s="2" t="n"/>
      <c r="R295" s="2" t="n"/>
      <c r="S295" s="2" t="n"/>
      <c r="T295" s="2" t="n"/>
      <c r="U295" s="2" t="n"/>
      <c r="V295" s="2">
        <f>SUM(J295:U295)</f>
        <v/>
      </c>
      <c r="W295" s="2" t="n"/>
      <c r="X295" s="2" t="n">
        <v>12</v>
      </c>
      <c r="Y295" s="2" t="n"/>
      <c r="Z295" s="2" t="n"/>
      <c r="AA295" s="2" t="n">
        <v>12</v>
      </c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>
        <f>IF(F295=1,V295*2,IF(F295=2,V295*F295*2,IF(F295&gt;2,F295*2*V295)))</f>
        <v/>
      </c>
      <c r="AW295" s="2">
        <f>SUM(W295:AU295)</f>
        <v/>
      </c>
    </row>
    <row r="296">
      <c r="A296" s="2" t="inlineStr">
        <is>
          <t>14-K-213</t>
        </is>
      </c>
      <c r="B296" s="3" t="inlineStr">
        <is>
          <t>OJC-A1-SC/LC-SM-2-APC/PC-DP</t>
        </is>
      </c>
      <c r="C296" s="2" t="inlineStr"/>
      <c r="D296" s="2" t="inlineStr">
        <is>
          <t>a1</t>
        </is>
      </c>
      <c r="E296" s="2" t="inlineStr">
        <is>
          <t>2.0mm</t>
        </is>
      </c>
      <c r="F296" s="2" t="n">
        <v>2</v>
      </c>
      <c r="G296" s="2" t="n">
        <v>2</v>
      </c>
      <c r="H296" s="2" t="inlineStr">
        <is>
          <t>SC/APC</t>
        </is>
      </c>
      <c r="I296" s="2" t="inlineStr">
        <is>
          <t>LC/PC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>
        <v>70</v>
      </c>
      <c r="T296" s="2" t="n"/>
      <c r="U296" s="2" t="n">
        <v>29</v>
      </c>
      <c r="V296" s="2">
        <f>SUM(J296:U296)</f>
        <v/>
      </c>
      <c r="W296" s="2" t="n"/>
      <c r="X296" s="2" t="n">
        <v>198</v>
      </c>
      <c r="Y296" s="2" t="n"/>
      <c r="Z296" s="2" t="n"/>
      <c r="AA296" s="2" t="n"/>
      <c r="AB296" s="2" t="n"/>
      <c r="AC296" s="2" t="n">
        <v>198</v>
      </c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>
        <f>IF(F296=1,V296*2,IF(F296=2,V296*F296*2,IF(F296&gt;2,F296*2*V296)))</f>
        <v/>
      </c>
      <c r="AW296" s="2">
        <f>SUM(W296:AU296)</f>
        <v/>
      </c>
    </row>
    <row r="297">
      <c r="A297" s="2" t="inlineStr">
        <is>
          <t>14-K-214</t>
        </is>
      </c>
      <c r="B297" s="3" t="inlineStr">
        <is>
          <t>OJC-A1-SC/LC-SM-2-PC/PC-DP</t>
        </is>
      </c>
      <c r="C297" s="2" t="inlineStr">
        <is>
          <t>K9089158</t>
        </is>
      </c>
      <c r="D297" s="2" t="inlineStr">
        <is>
          <t>a1</t>
        </is>
      </c>
      <c r="E297" s="2" t="inlineStr">
        <is>
          <t>2.0mm</t>
        </is>
      </c>
      <c r="F297" s="2" t="n">
        <v>2</v>
      </c>
      <c r="G297" s="2" t="n">
        <v>2</v>
      </c>
      <c r="H297" s="2" t="inlineStr">
        <is>
          <t>SC/PC</t>
        </is>
      </c>
      <c r="I297" s="2" t="inlineStr">
        <is>
          <t>LC/PC</t>
        </is>
      </c>
      <c r="J297" s="2" t="n">
        <v>200</v>
      </c>
      <c r="K297" s="2" t="n"/>
      <c r="L297" s="2" t="n">
        <v>535</v>
      </c>
      <c r="M297" s="2" t="n"/>
      <c r="N297" s="2" t="n">
        <v>500</v>
      </c>
      <c r="O297" s="2" t="n"/>
      <c r="P297" s="2" t="n"/>
      <c r="Q297" s="2" t="n"/>
      <c r="R297" s="2" t="n"/>
      <c r="S297" s="2" t="n"/>
      <c r="T297" s="2" t="n"/>
      <c r="U297" s="2" t="n"/>
      <c r="V297" s="2">
        <f>SUM(J297:U297)</f>
        <v/>
      </c>
      <c r="W297" s="2" t="n"/>
      <c r="X297" s="2" t="n">
        <v>2470</v>
      </c>
      <c r="Y297" s="2" t="n"/>
      <c r="Z297" s="2" t="n"/>
      <c r="AA297" s="2" t="n">
        <v>2470</v>
      </c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>
        <f>IF(F297=1,V297*2,IF(F297=2,V297*F297*2,IF(F297&gt;2,F297*2*V297)))</f>
        <v/>
      </c>
      <c r="AW297" s="2">
        <f>SUM(W297:AU297)</f>
        <v/>
      </c>
    </row>
    <row r="298">
      <c r="A298" s="2" t="inlineStr">
        <is>
          <t>14-K-215</t>
        </is>
      </c>
      <c r="B298" s="3" t="inlineStr">
        <is>
          <t>OJC-A1-SC/LC-SM-2-PC/PC-SP</t>
        </is>
      </c>
      <c r="C298" s="2" t="inlineStr">
        <is>
          <t>K9089029</t>
        </is>
      </c>
      <c r="D298" s="2" t="inlineStr">
        <is>
          <t>a1</t>
        </is>
      </c>
      <c r="E298" s="2" t="inlineStr">
        <is>
          <t>2.0mm</t>
        </is>
      </c>
      <c r="F298" s="2" t="n">
        <v>1</v>
      </c>
      <c r="G298" s="2" t="n">
        <v>2</v>
      </c>
      <c r="H298" s="2" t="inlineStr">
        <is>
          <t>SC/PC</t>
        </is>
      </c>
      <c r="I298" s="2" t="inlineStr">
        <is>
          <t>LC/PC</t>
        </is>
      </c>
      <c r="J298" s="2" t="n"/>
      <c r="K298" s="2" t="n"/>
      <c r="L298" s="2" t="n">
        <v>8</v>
      </c>
      <c r="M298" s="2" t="n">
        <v>50</v>
      </c>
      <c r="N298" s="2" t="n"/>
      <c r="O298" s="2" t="n"/>
      <c r="P298" s="2" t="n"/>
      <c r="Q298" s="2" t="n"/>
      <c r="R298" s="2" t="n"/>
      <c r="S298" s="2" t="n"/>
      <c r="T298" s="2" t="n">
        <v>57</v>
      </c>
      <c r="U298" s="2" t="n"/>
      <c r="V298" s="2">
        <f>SUM(J298:U298)</f>
        <v/>
      </c>
      <c r="W298" s="2" t="n">
        <v>115</v>
      </c>
      <c r="X298" s="2" t="n"/>
      <c r="Y298" s="2" t="n"/>
      <c r="Z298" s="2" t="n"/>
      <c r="AA298" s="2" t="n">
        <v>115</v>
      </c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>
        <f>IF(F298=1,V298*2,IF(F298=2,V298*F298*2,IF(F298&gt;2,F298*2*V298)))</f>
        <v/>
      </c>
      <c r="AW298" s="2">
        <f>SUM(W298:AU298)</f>
        <v/>
      </c>
    </row>
    <row r="299">
      <c r="A299" s="2" t="inlineStr">
        <is>
          <t>14-K-217</t>
        </is>
      </c>
      <c r="B299" s="3" t="inlineStr">
        <is>
          <t>OJC-A1-SC/LC-SM-30-PC/PC-DP</t>
        </is>
      </c>
      <c r="C299" s="2" t="inlineStr">
        <is>
          <t>자색</t>
        </is>
      </c>
      <c r="D299" s="2" t="inlineStr">
        <is>
          <t>a1-자</t>
        </is>
      </c>
      <c r="E299" s="2" t="inlineStr">
        <is>
          <t>2.0mm</t>
        </is>
      </c>
      <c r="F299" s="2" t="n">
        <v>2</v>
      </c>
      <c r="G299" s="2" t="n">
        <v>30</v>
      </c>
      <c r="H299" s="2" t="inlineStr">
        <is>
          <t>SC/PC</t>
        </is>
      </c>
      <c r="I299" s="2" t="inlineStr">
        <is>
          <t>LC/PC</t>
        </is>
      </c>
      <c r="J299" s="2" t="n"/>
      <c r="K299" s="2" t="n"/>
      <c r="L299" s="2" t="n"/>
      <c r="M299" s="2" t="n"/>
      <c r="N299" s="2" t="n">
        <v>3</v>
      </c>
      <c r="O299" s="2" t="n"/>
      <c r="P299" s="2" t="n"/>
      <c r="Q299" s="2" t="n"/>
      <c r="R299" s="2" t="n"/>
      <c r="S299" s="2" t="n"/>
      <c r="T299" s="2" t="n"/>
      <c r="U299" s="2" t="n"/>
      <c r="V299" s="2">
        <f>SUM(J299:U299)</f>
        <v/>
      </c>
      <c r="W299" s="2" t="n"/>
      <c r="X299" s="2" t="n">
        <v>6</v>
      </c>
      <c r="Y299" s="2" t="n"/>
      <c r="Z299" s="2" t="n"/>
      <c r="AA299" s="2" t="n">
        <v>6</v>
      </c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>
        <f>IF(F299=1,V299*2,IF(F299=2,V299*F299*2,IF(F299&gt;2,F299*2*V299)))</f>
        <v/>
      </c>
      <c r="AW299" s="2">
        <f>SUM(W299:AU299)</f>
        <v/>
      </c>
    </row>
    <row r="300">
      <c r="A300" s="2" t="inlineStr">
        <is>
          <t>14-K-220</t>
        </is>
      </c>
      <c r="B300" s="3" t="inlineStr">
        <is>
          <t>OJC-A1-SC/LC-SM-35-PC/PC-DP</t>
        </is>
      </c>
      <c r="C300" s="2" t="inlineStr">
        <is>
          <t>K9089167</t>
        </is>
      </c>
      <c r="D300" s="2" t="inlineStr">
        <is>
          <t>a1</t>
        </is>
      </c>
      <c r="E300" s="2" t="inlineStr">
        <is>
          <t>2.0mm</t>
        </is>
      </c>
      <c r="F300" s="2" t="n">
        <v>2</v>
      </c>
      <c r="G300" s="2" t="n">
        <v>35</v>
      </c>
      <c r="H300" s="2" t="inlineStr">
        <is>
          <t>SC/PC</t>
        </is>
      </c>
      <c r="I300" s="2" t="inlineStr">
        <is>
          <t>LC/PC</t>
        </is>
      </c>
      <c r="J300" s="2" t="n"/>
      <c r="K300" s="2" t="n"/>
      <c r="L300" s="2" t="n"/>
      <c r="M300" s="2" t="n"/>
      <c r="N300" s="2" t="n">
        <v>6</v>
      </c>
      <c r="O300" s="2" t="n"/>
      <c r="P300" s="2" t="n"/>
      <c r="Q300" s="2" t="n">
        <v>6</v>
      </c>
      <c r="R300" s="2" t="n"/>
      <c r="S300" s="2" t="n">
        <v>72</v>
      </c>
      <c r="T300" s="2" t="n"/>
      <c r="U300" s="2" t="n">
        <v>100</v>
      </c>
      <c r="V300" s="2">
        <f>SUM(J300:U300)</f>
        <v/>
      </c>
      <c r="W300" s="2" t="n"/>
      <c r="X300" s="2" t="n">
        <v>368</v>
      </c>
      <c r="Y300" s="2" t="n"/>
      <c r="Z300" s="2" t="n"/>
      <c r="AA300" s="2" t="n">
        <v>368</v>
      </c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>
        <f>IF(F300=1,V300*2,IF(F300=2,V300*F300*2,IF(F300&gt;2,F300*2*V300)))</f>
        <v/>
      </c>
      <c r="AW300" s="2">
        <f>SUM(W300:AU300)</f>
        <v/>
      </c>
    </row>
    <row r="301">
      <c r="A301" s="2" t="inlineStr">
        <is>
          <t>14-K-221</t>
        </is>
      </c>
      <c r="B301" s="3" t="inlineStr">
        <is>
          <t>OJC-A1-SC/LC-SM-35-PC/PC-SP</t>
        </is>
      </c>
      <c r="C301" s="2" t="inlineStr">
        <is>
          <t>K9089038</t>
        </is>
      </c>
      <c r="D301" s="2" t="inlineStr">
        <is>
          <t>a1</t>
        </is>
      </c>
      <c r="E301" s="2" t="inlineStr">
        <is>
          <t>2.0mm</t>
        </is>
      </c>
      <c r="F301" s="2" t="n">
        <v>1</v>
      </c>
      <c r="G301" s="2" t="n">
        <v>35</v>
      </c>
      <c r="H301" s="2" t="inlineStr">
        <is>
          <t>SC/PC</t>
        </is>
      </c>
      <c r="I301" s="2" t="inlineStr">
        <is>
          <t>LC/PC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>
        <v>76</v>
      </c>
      <c r="T301" s="2" t="n"/>
      <c r="U301" s="2" t="n"/>
      <c r="V301" s="2">
        <f>SUM(J301:U301)</f>
        <v/>
      </c>
      <c r="W301" s="2" t="n">
        <v>76</v>
      </c>
      <c r="X301" s="2" t="n"/>
      <c r="Y301" s="2" t="n"/>
      <c r="Z301" s="2" t="n"/>
      <c r="AA301" s="2" t="n">
        <v>76</v>
      </c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>
        <f>IF(F301=1,V301*2,IF(F301=2,V301*F301*2,IF(F301&gt;2,F301*2*V301)))</f>
        <v/>
      </c>
      <c r="AW301" s="2">
        <f>SUM(W301:AU301)</f>
        <v/>
      </c>
    </row>
    <row r="302">
      <c r="A302" s="2" t="inlineStr">
        <is>
          <t>14-K-222</t>
        </is>
      </c>
      <c r="B302" s="3" t="inlineStr">
        <is>
          <t>OJC-A1-SC/LC-SM-3-APC/PC-DP</t>
        </is>
      </c>
      <c r="C302" s="2" t="inlineStr"/>
      <c r="D302" s="2" t="inlineStr">
        <is>
          <t>a1</t>
        </is>
      </c>
      <c r="E302" s="2" t="inlineStr">
        <is>
          <t>2.0mm</t>
        </is>
      </c>
      <c r="F302" s="2" t="n">
        <v>2</v>
      </c>
      <c r="G302" s="2" t="n">
        <v>3</v>
      </c>
      <c r="H302" s="2" t="inlineStr">
        <is>
          <t>SC/APC</t>
        </is>
      </c>
      <c r="I302" s="2" t="inlineStr">
        <is>
          <t>LC/PC</t>
        </is>
      </c>
      <c r="J302" s="2" t="n"/>
      <c r="K302" s="2" t="n"/>
      <c r="L302" s="2" t="n"/>
      <c r="M302" s="2" t="n"/>
      <c r="N302" s="2" t="n"/>
      <c r="O302" s="2" t="n">
        <v>60</v>
      </c>
      <c r="P302" s="2" t="n">
        <v>30</v>
      </c>
      <c r="Q302" s="2" t="n"/>
      <c r="R302" s="2" t="n">
        <v>120</v>
      </c>
      <c r="S302" s="2" t="n"/>
      <c r="T302" s="2" t="n"/>
      <c r="U302" s="2" t="n"/>
      <c r="V302" s="2">
        <f>SUM(J302:U302)</f>
        <v/>
      </c>
      <c r="W302" s="2" t="n"/>
      <c r="X302" s="2" t="n">
        <v>420</v>
      </c>
      <c r="Y302" s="2" t="n"/>
      <c r="Z302" s="2" t="n"/>
      <c r="AA302" s="2" t="n"/>
      <c r="AB302" s="2" t="n"/>
      <c r="AC302" s="2" t="n">
        <v>420</v>
      </c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>
        <f>IF(F302=1,V302*2,IF(F302=2,V302*F302*2,IF(F302&gt;2,F302*2*V302)))</f>
        <v/>
      </c>
      <c r="AW302" s="2">
        <f>SUM(W302:AU302)</f>
        <v/>
      </c>
    </row>
    <row r="303">
      <c r="A303" s="2" t="inlineStr">
        <is>
          <t>14-K-225</t>
        </is>
      </c>
      <c r="B303" s="3" t="inlineStr">
        <is>
          <t>OJC-A1-SC/LC-SM-3-PC/PC-DP</t>
        </is>
      </c>
      <c r="C303" s="2" t="inlineStr">
        <is>
          <t>K9089159</t>
        </is>
      </c>
      <c r="D303" s="2" t="inlineStr">
        <is>
          <t>a1</t>
        </is>
      </c>
      <c r="E303" s="2" t="inlineStr">
        <is>
          <t>2.0mm</t>
        </is>
      </c>
      <c r="F303" s="2" t="n">
        <v>2</v>
      </c>
      <c r="G303" s="2" t="n">
        <v>3</v>
      </c>
      <c r="H303" s="2" t="inlineStr">
        <is>
          <t>SC/PC</t>
        </is>
      </c>
      <c r="I303" s="2" t="inlineStr">
        <is>
          <t>LC/PC</t>
        </is>
      </c>
      <c r="J303" s="2" t="n">
        <v>200</v>
      </c>
      <c r="K303" s="2" t="n"/>
      <c r="L303" s="2" t="n"/>
      <c r="M303" s="2" t="n"/>
      <c r="N303" s="2" t="n">
        <v>450</v>
      </c>
      <c r="O303" s="2" t="n"/>
      <c r="P303" s="2" t="n"/>
      <c r="Q303" s="2" t="n"/>
      <c r="R303" s="2" t="n"/>
      <c r="S303" s="2" t="n"/>
      <c r="T303" s="2" t="n"/>
      <c r="U303" s="2" t="n"/>
      <c r="V303" s="2">
        <f>SUM(J303:U303)</f>
        <v/>
      </c>
      <c r="W303" s="2" t="n"/>
      <c r="X303" s="2" t="n">
        <v>1300</v>
      </c>
      <c r="Y303" s="2" t="n"/>
      <c r="Z303" s="2" t="n"/>
      <c r="AA303" s="2" t="n">
        <v>1300</v>
      </c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>
        <f>IF(F303=1,V303*2,IF(F303=2,V303*F303*2,IF(F303&gt;2,F303*2*V303)))</f>
        <v/>
      </c>
      <c r="AW303" s="2">
        <f>SUM(W303:AU303)</f>
        <v/>
      </c>
    </row>
    <row r="304">
      <c r="A304" s="2" t="inlineStr">
        <is>
          <t>14-K-226</t>
        </is>
      </c>
      <c r="B304" s="3" t="inlineStr">
        <is>
          <t>OJC-A1-SC/LC-SM-3-PC/PC-SP</t>
        </is>
      </c>
      <c r="C304" s="2" t="inlineStr">
        <is>
          <t>K9089030</t>
        </is>
      </c>
      <c r="D304" s="2" t="inlineStr">
        <is>
          <t>a1</t>
        </is>
      </c>
      <c r="E304" s="2" t="inlineStr">
        <is>
          <t>2.0mm</t>
        </is>
      </c>
      <c r="F304" s="2" t="n">
        <v>1</v>
      </c>
      <c r="G304" s="2" t="n">
        <v>3</v>
      </c>
      <c r="H304" s="2" t="inlineStr">
        <is>
          <t>SC/PC</t>
        </is>
      </c>
      <c r="I304" s="2" t="inlineStr">
        <is>
          <t>LC/PC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>
        <v>19</v>
      </c>
      <c r="U304" s="2" t="n"/>
      <c r="V304" s="2">
        <f>SUM(J304:U304)</f>
        <v/>
      </c>
      <c r="W304" s="2" t="n">
        <v>19</v>
      </c>
      <c r="X304" s="2" t="n"/>
      <c r="Y304" s="2" t="n"/>
      <c r="Z304" s="2" t="n"/>
      <c r="AA304" s="2" t="n">
        <v>19</v>
      </c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>
        <f>IF(F304=1,V304*2,IF(F304=2,V304*F304*2,IF(F304&gt;2,F304*2*V304)))</f>
        <v/>
      </c>
      <c r="AW304" s="2">
        <f>SUM(W304:AU304)</f>
        <v/>
      </c>
    </row>
    <row r="305">
      <c r="A305" s="2" t="inlineStr">
        <is>
          <t>14-K-227</t>
        </is>
      </c>
      <c r="B305" s="3" t="inlineStr">
        <is>
          <t>OJC-A1-SC/LC-SM-40-PC/PC-DP</t>
        </is>
      </c>
      <c r="C305" s="2" t="inlineStr">
        <is>
          <t>K9089168</t>
        </is>
      </c>
      <c r="D305" s="2" t="inlineStr">
        <is>
          <t>a1</t>
        </is>
      </c>
      <c r="E305" s="2" t="inlineStr">
        <is>
          <t>2.0mm</t>
        </is>
      </c>
      <c r="F305" s="2" t="n">
        <v>2</v>
      </c>
      <c r="G305" s="2" t="n">
        <v>40</v>
      </c>
      <c r="H305" s="2" t="inlineStr">
        <is>
          <t>SC/PC</t>
        </is>
      </c>
      <c r="I305" s="2" t="inlineStr">
        <is>
          <t>LC/PC</t>
        </is>
      </c>
      <c r="J305" s="2" t="n">
        <v>32</v>
      </c>
      <c r="K305" s="2" t="n"/>
      <c r="L305" s="2" t="n">
        <v>2</v>
      </c>
      <c r="M305" s="2" t="n"/>
      <c r="N305" s="2" t="n"/>
      <c r="O305" s="2" t="n"/>
      <c r="P305" s="2" t="n"/>
      <c r="Q305" s="2" t="n"/>
      <c r="R305" s="2" t="n">
        <v>1</v>
      </c>
      <c r="S305" s="2" t="n"/>
      <c r="T305" s="2" t="n"/>
      <c r="U305" s="2" t="n">
        <v>100</v>
      </c>
      <c r="V305" s="2">
        <f>SUM(J305:U305)</f>
        <v/>
      </c>
      <c r="W305" s="2" t="n"/>
      <c r="X305" s="2" t="n">
        <v>270</v>
      </c>
      <c r="Y305" s="2" t="n"/>
      <c r="Z305" s="2" t="n"/>
      <c r="AA305" s="2" t="n">
        <v>270</v>
      </c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>
        <f>IF(F305=1,V305*2,IF(F305=2,V305*F305*2,IF(F305&gt;2,F305*2*V305)))</f>
        <v/>
      </c>
      <c r="AW305" s="2">
        <f>SUM(W305:AU305)</f>
        <v/>
      </c>
    </row>
    <row r="306">
      <c r="A306" s="2" t="inlineStr">
        <is>
          <t>14-K-228</t>
        </is>
      </c>
      <c r="B306" s="3" t="inlineStr">
        <is>
          <t>OJC-A1-SC/LC-SM-40-PC/PC-SP</t>
        </is>
      </c>
      <c r="C306" s="2" t="inlineStr">
        <is>
          <t>K9089039</t>
        </is>
      </c>
      <c r="D306" s="2" t="inlineStr">
        <is>
          <t>a1</t>
        </is>
      </c>
      <c r="E306" s="2" t="inlineStr">
        <is>
          <t>2.0mm</t>
        </is>
      </c>
      <c r="F306" s="2" t="n">
        <v>1</v>
      </c>
      <c r="G306" s="2" t="n">
        <v>40</v>
      </c>
      <c r="H306" s="2" t="inlineStr">
        <is>
          <t>SC/PC</t>
        </is>
      </c>
      <c r="I306" s="2" t="inlineStr">
        <is>
          <t>LC/PC</t>
        </is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>
        <v>50</v>
      </c>
      <c r="S306" s="2" t="n"/>
      <c r="T306" s="2" t="n"/>
      <c r="U306" s="2" t="n"/>
      <c r="V306" s="2">
        <f>SUM(J306:U306)</f>
        <v/>
      </c>
      <c r="W306" s="2" t="n">
        <v>50</v>
      </c>
      <c r="X306" s="2" t="n"/>
      <c r="Y306" s="2" t="n"/>
      <c r="Z306" s="2" t="n"/>
      <c r="AA306" s="2" t="n">
        <v>50</v>
      </c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>
        <f>IF(F306=1,V306*2,IF(F306=2,V306*F306*2,IF(F306&gt;2,F306*2*V306)))</f>
        <v/>
      </c>
      <c r="AW306" s="2">
        <f>SUM(W306:AU306)</f>
        <v/>
      </c>
    </row>
    <row r="307">
      <c r="A307" s="2" t="inlineStr">
        <is>
          <t>14-K-229</t>
        </is>
      </c>
      <c r="B307" s="3" t="inlineStr">
        <is>
          <t>OJC-A1-SC/LC-SM-45-PC/PC-DP</t>
        </is>
      </c>
      <c r="C307" s="2" t="inlineStr">
        <is>
          <t>K9089169</t>
        </is>
      </c>
      <c r="D307" s="2" t="inlineStr">
        <is>
          <t>a1</t>
        </is>
      </c>
      <c r="E307" s="2" t="inlineStr">
        <is>
          <t>2.0mm</t>
        </is>
      </c>
      <c r="F307" s="2" t="n">
        <v>2</v>
      </c>
      <c r="G307" s="2" t="n">
        <v>45</v>
      </c>
      <c r="H307" s="2" t="inlineStr">
        <is>
          <t>SC/PC</t>
        </is>
      </c>
      <c r="I307" s="2" t="inlineStr">
        <is>
          <t>LC/PC</t>
        </is>
      </c>
      <c r="J307" s="2" t="n">
        <v>10</v>
      </c>
      <c r="K307" s="2" t="n"/>
      <c r="L307" s="2" t="n"/>
      <c r="M307" s="2" t="n"/>
      <c r="N307" s="2" t="n"/>
      <c r="O307" s="2" t="n"/>
      <c r="P307" s="2" t="n"/>
      <c r="Q307" s="2" t="n">
        <v>5</v>
      </c>
      <c r="R307" s="2" t="n"/>
      <c r="S307" s="2" t="n"/>
      <c r="T307" s="2" t="n"/>
      <c r="U307" s="2" t="n"/>
      <c r="V307" s="2">
        <f>SUM(J307:U307)</f>
        <v/>
      </c>
      <c r="W307" s="2" t="n"/>
      <c r="X307" s="2" t="n">
        <v>30</v>
      </c>
      <c r="Y307" s="2" t="n"/>
      <c r="Z307" s="2" t="n"/>
      <c r="AA307" s="2" t="n">
        <v>30</v>
      </c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>
        <f>IF(F307=1,V307*2,IF(F307=2,V307*F307*2,IF(F307&gt;2,F307*2*V307)))</f>
        <v/>
      </c>
      <c r="AW307" s="2">
        <f>SUM(W307:AU307)</f>
        <v/>
      </c>
    </row>
    <row r="308">
      <c r="A308" s="2" t="inlineStr">
        <is>
          <t>14-K-232</t>
        </is>
      </c>
      <c r="B308" s="3" t="inlineStr">
        <is>
          <t>OJC-A1-SC/LC-SM-50-PC/PC-DP</t>
        </is>
      </c>
      <c r="C308" s="2" t="inlineStr">
        <is>
          <t>K9089170</t>
        </is>
      </c>
      <c r="D308" s="2" t="inlineStr">
        <is>
          <t>a1</t>
        </is>
      </c>
      <c r="E308" s="2" t="inlineStr">
        <is>
          <t>2.0mm</t>
        </is>
      </c>
      <c r="F308" s="2" t="n">
        <v>2</v>
      </c>
      <c r="G308" s="2" t="n">
        <v>50</v>
      </c>
      <c r="H308" s="2" t="inlineStr">
        <is>
          <t>SC/PC</t>
        </is>
      </c>
      <c r="I308" s="2" t="inlineStr">
        <is>
          <t>LC/PC</t>
        </is>
      </c>
      <c r="J308" s="2" t="n"/>
      <c r="K308" s="2" t="n"/>
      <c r="L308" s="2" t="n"/>
      <c r="M308" s="2" t="n">
        <v>35</v>
      </c>
      <c r="N308" s="2" t="n">
        <v>8</v>
      </c>
      <c r="O308" s="2" t="n"/>
      <c r="P308" s="2" t="n">
        <v>20</v>
      </c>
      <c r="Q308" s="2" t="n">
        <v>8</v>
      </c>
      <c r="R308" s="2" t="n">
        <v>20</v>
      </c>
      <c r="S308" s="2" t="n">
        <v>70</v>
      </c>
      <c r="T308" s="2" t="n"/>
      <c r="U308" s="2" t="n"/>
      <c r="V308" s="2">
        <f>SUM(J308:U308)</f>
        <v/>
      </c>
      <c r="W308" s="2" t="n"/>
      <c r="X308" s="2" t="n">
        <v>322</v>
      </c>
      <c r="Y308" s="2" t="n"/>
      <c r="Z308" s="2" t="n"/>
      <c r="AA308" s="2" t="n">
        <v>322</v>
      </c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>
        <f>IF(F308=1,V308*2,IF(F308=2,V308*F308*2,IF(F308&gt;2,F308*2*V308)))</f>
        <v/>
      </c>
      <c r="AW308" s="2">
        <f>SUM(W308:AU308)</f>
        <v/>
      </c>
    </row>
    <row r="309">
      <c r="A309" s="2" t="inlineStr">
        <is>
          <t>14-K-233</t>
        </is>
      </c>
      <c r="B309" s="3" t="inlineStr">
        <is>
          <t>OJC-A1-SC/LC-SM-50-PC/PC-SP</t>
        </is>
      </c>
      <c r="C309" s="2" t="inlineStr">
        <is>
          <t>K9089041</t>
        </is>
      </c>
      <c r="D309" s="2" t="inlineStr">
        <is>
          <t>a1</t>
        </is>
      </c>
      <c r="E309" s="2" t="inlineStr">
        <is>
          <t>2.0mm</t>
        </is>
      </c>
      <c r="F309" s="2" t="n">
        <v>1</v>
      </c>
      <c r="G309" s="2" t="n">
        <v>50</v>
      </c>
      <c r="H309" s="2" t="inlineStr">
        <is>
          <t>SC/PC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>
        <v>50</v>
      </c>
      <c r="S309" s="2" t="n"/>
      <c r="T309" s="2" t="n"/>
      <c r="U309" s="2" t="n"/>
      <c r="V309" s="2">
        <f>SUM(J309:U309)</f>
        <v/>
      </c>
      <c r="W309" s="2" t="n">
        <v>50</v>
      </c>
      <c r="X309" s="2" t="n"/>
      <c r="Y309" s="2" t="n"/>
      <c r="Z309" s="2" t="n"/>
      <c r="AA309" s="2" t="n">
        <v>50</v>
      </c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>
        <f>IF(F309=1,V309*2,IF(F309=2,V309*F309*2,IF(F309&gt;2,F309*2*V309)))</f>
        <v/>
      </c>
      <c r="AW309" s="2">
        <f>SUM(W309:AU309)</f>
        <v/>
      </c>
    </row>
    <row r="310">
      <c r="A310" s="2" t="inlineStr">
        <is>
          <t>14-K-234</t>
        </is>
      </c>
      <c r="B310" s="3" t="inlineStr">
        <is>
          <t>OJC-A1-SC/LC-SM-5-APC/PC-DP</t>
        </is>
      </c>
      <c r="C310" s="2" t="inlineStr"/>
      <c r="D310" s="2" t="inlineStr">
        <is>
          <t>a1</t>
        </is>
      </c>
      <c r="E310" s="2" t="inlineStr">
        <is>
          <t>2.0mm</t>
        </is>
      </c>
      <c r="F310" s="2" t="n">
        <v>2</v>
      </c>
      <c r="G310" s="2" t="n">
        <v>5</v>
      </c>
      <c r="H310" s="2" t="inlineStr">
        <is>
          <t>SC/APC</t>
        </is>
      </c>
      <c r="I310" s="2" t="inlineStr">
        <is>
          <t>LC/PC</t>
        </is>
      </c>
      <c r="J310" s="2" t="n"/>
      <c r="K310" s="2" t="n"/>
      <c r="L310" s="2" t="n"/>
      <c r="M310" s="2" t="n"/>
      <c r="N310" s="2" t="n"/>
      <c r="O310" s="2" t="n"/>
      <c r="P310" s="2" t="n">
        <v>50</v>
      </c>
      <c r="Q310" s="2" t="n"/>
      <c r="R310" s="2" t="n"/>
      <c r="S310" s="2" t="n"/>
      <c r="T310" s="2" t="n"/>
      <c r="U310" s="2" t="n"/>
      <c r="V310" s="2">
        <f>SUM(J310:U310)</f>
        <v/>
      </c>
      <c r="W310" s="2" t="n"/>
      <c r="X310" s="2" t="n">
        <v>100</v>
      </c>
      <c r="Y310" s="2" t="n"/>
      <c r="Z310" s="2" t="n"/>
      <c r="AA310" s="2" t="n"/>
      <c r="AB310" s="2" t="n"/>
      <c r="AC310" s="2" t="n">
        <v>100</v>
      </c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>
        <f>IF(F310=1,V310*2,IF(F310=2,V310*F310*2,IF(F310&gt;2,F310*2*V310)))</f>
        <v/>
      </c>
      <c r="AW310" s="2">
        <f>SUM(W310:AU310)</f>
        <v/>
      </c>
    </row>
    <row r="311">
      <c r="A311" s="2" t="inlineStr">
        <is>
          <t>14-K-236</t>
        </is>
      </c>
      <c r="B311" s="3" t="inlineStr">
        <is>
          <t>OJC-A1-SC/LC-SM-5-PC/PC-DP</t>
        </is>
      </c>
      <c r="C311" s="2" t="inlineStr">
        <is>
          <t>K9089161</t>
        </is>
      </c>
      <c r="D311" s="2" t="inlineStr">
        <is>
          <t>a1</t>
        </is>
      </c>
      <c r="E311" s="2" t="inlineStr">
        <is>
          <t>2.0mm</t>
        </is>
      </c>
      <c r="F311" s="2" t="n">
        <v>2</v>
      </c>
      <c r="G311" s="2" t="n">
        <v>5</v>
      </c>
      <c r="H311" s="2" t="inlineStr">
        <is>
          <t>SC/PC</t>
        </is>
      </c>
      <c r="I311" s="2" t="inlineStr">
        <is>
          <t>LC/PC</t>
        </is>
      </c>
      <c r="J311" s="2" t="n">
        <v>200</v>
      </c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>
        <f>SUM(J311:U311)</f>
        <v/>
      </c>
      <c r="W311" s="2" t="n"/>
      <c r="X311" s="2" t="n">
        <v>400</v>
      </c>
      <c r="Y311" s="2" t="n"/>
      <c r="Z311" s="2" t="n"/>
      <c r="AA311" s="2" t="n">
        <v>400</v>
      </c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>
        <f>IF(F311=1,V311*2,IF(F311=2,V311*F311*2,IF(F311&gt;2,F311*2*V311)))</f>
        <v/>
      </c>
      <c r="AW311" s="2">
        <f>SUM(W311:AU311)</f>
        <v/>
      </c>
    </row>
    <row r="312">
      <c r="A312" s="2" t="inlineStr">
        <is>
          <t>14-K-239</t>
        </is>
      </c>
      <c r="B312" s="3" t="inlineStr">
        <is>
          <t>OJC-A1-SC/LC-SM-60-PC/PC-DP</t>
        </is>
      </c>
      <c r="C312" s="2" t="inlineStr"/>
      <c r="D312" s="2" t="inlineStr">
        <is>
          <t>a1</t>
        </is>
      </c>
      <c r="E312" s="2" t="inlineStr">
        <is>
          <t>2.0mm</t>
        </is>
      </c>
      <c r="F312" s="2" t="n">
        <v>2</v>
      </c>
      <c r="G312" s="2" t="n">
        <v>60</v>
      </c>
      <c r="H312" s="2" t="inlineStr">
        <is>
          <t>SC/PC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>
        <v>50</v>
      </c>
      <c r="T312" s="2" t="n"/>
      <c r="U312" s="2" t="n"/>
      <c r="V312" s="2">
        <f>SUM(J312:U312)</f>
        <v/>
      </c>
      <c r="W312" s="2" t="n"/>
      <c r="X312" s="2" t="n">
        <v>100</v>
      </c>
      <c r="Y312" s="2" t="n"/>
      <c r="Z312" s="2" t="n"/>
      <c r="AA312" s="2" t="n">
        <v>100</v>
      </c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>
        <f>IF(F312=1,V312*2,IF(F312=2,V312*F312*2,IF(F312&gt;2,F312*2*V312)))</f>
        <v/>
      </c>
      <c r="AW312" s="2">
        <f>SUM(W312:AU312)</f>
        <v/>
      </c>
    </row>
    <row r="313">
      <c r="A313" s="2" t="inlineStr">
        <is>
          <t>14-K-241</t>
        </is>
      </c>
      <c r="B313" s="3" t="inlineStr">
        <is>
          <t>OJC-A1-SC/LC-SM-65-PC/PC-DP</t>
        </is>
      </c>
      <c r="C313" s="2" t="inlineStr"/>
      <c r="D313" s="2" t="inlineStr">
        <is>
          <t>a1</t>
        </is>
      </c>
      <c r="E313" s="2" t="inlineStr">
        <is>
          <t>2.0mm</t>
        </is>
      </c>
      <c r="F313" s="2" t="n">
        <v>2</v>
      </c>
      <c r="G313" s="2" t="n">
        <v>65</v>
      </c>
      <c r="H313" s="2" t="inlineStr">
        <is>
          <t>SC/PC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>
        <v>1</v>
      </c>
      <c r="O313" s="2" t="n">
        <v>10</v>
      </c>
      <c r="P313" s="2" t="n"/>
      <c r="Q313" s="2" t="n"/>
      <c r="R313" s="2" t="n"/>
      <c r="S313" s="2" t="n"/>
      <c r="T313" s="2" t="n">
        <v>2</v>
      </c>
      <c r="U313" s="2" t="n"/>
      <c r="V313" s="2">
        <f>SUM(J313:U313)</f>
        <v/>
      </c>
      <c r="W313" s="2" t="n"/>
      <c r="X313" s="2" t="n">
        <v>26</v>
      </c>
      <c r="Y313" s="2" t="n"/>
      <c r="Z313" s="2" t="n"/>
      <c r="AA313" s="2" t="n">
        <v>26</v>
      </c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>
        <f>IF(F313=1,V313*2,IF(F313=2,V313*F313*2,IF(F313&gt;2,F313*2*V313)))</f>
        <v/>
      </c>
      <c r="AW313" s="2">
        <f>SUM(W313:AU313)</f>
        <v/>
      </c>
    </row>
    <row r="314">
      <c r="A314" s="2" t="inlineStr">
        <is>
          <t>14-K-245</t>
        </is>
      </c>
      <c r="B314" s="3" t="inlineStr">
        <is>
          <t>OJC-A1-SC/LC-SM-70-PC/PC-DP</t>
        </is>
      </c>
      <c r="C314" s="2" t="inlineStr"/>
      <c r="D314" s="2" t="inlineStr">
        <is>
          <t>a1</t>
        </is>
      </c>
      <c r="E314" s="2" t="inlineStr">
        <is>
          <t>2.0mm</t>
        </is>
      </c>
      <c r="F314" s="2" t="n">
        <v>2</v>
      </c>
      <c r="G314" s="2" t="n">
        <v>70</v>
      </c>
      <c r="H314" s="2" t="inlineStr">
        <is>
          <t>SC/PC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>
        <v>1</v>
      </c>
      <c r="O314" s="2" t="n"/>
      <c r="P314" s="2" t="n"/>
      <c r="Q314" s="2" t="n"/>
      <c r="R314" s="2" t="n">
        <v>5</v>
      </c>
      <c r="S314" s="2" t="n"/>
      <c r="T314" s="2" t="n"/>
      <c r="U314" s="2" t="n"/>
      <c r="V314" s="2">
        <f>SUM(J314:U314)</f>
        <v/>
      </c>
      <c r="W314" s="2" t="n"/>
      <c r="X314" s="2" t="n">
        <v>12</v>
      </c>
      <c r="Y314" s="2" t="n"/>
      <c r="Z314" s="2" t="n"/>
      <c r="AA314" s="2" t="n">
        <v>12</v>
      </c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>
        <f>IF(F314=1,V314*2,IF(F314=2,V314*F314*2,IF(F314&gt;2,F314*2*V314)))</f>
        <v/>
      </c>
      <c r="AW314" s="2">
        <f>SUM(W314:AU314)</f>
        <v/>
      </c>
    </row>
    <row r="315">
      <c r="A315" s="2" t="inlineStr">
        <is>
          <t>14-K-247</t>
        </is>
      </c>
      <c r="B315" s="3" t="inlineStr">
        <is>
          <t>OJC-A1-SC/LC-SM-7-PC/PC-DP</t>
        </is>
      </c>
      <c r="C315" s="2" t="inlineStr"/>
      <c r="D315" s="2" t="inlineStr">
        <is>
          <t>a1</t>
        </is>
      </c>
      <c r="E315" s="2" t="inlineStr">
        <is>
          <t>2.0mm</t>
        </is>
      </c>
      <c r="F315" s="2" t="n">
        <v>2</v>
      </c>
      <c r="G315" s="2" t="n">
        <v>7</v>
      </c>
      <c r="H315" s="2" t="inlineStr">
        <is>
          <t>SC/PC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/>
      <c r="O315" s="2" t="n"/>
      <c r="P315" s="2" t="n"/>
      <c r="Q315" s="2" t="n">
        <v>32</v>
      </c>
      <c r="R315" s="2" t="n"/>
      <c r="S315" s="2" t="n">
        <v>2</v>
      </c>
      <c r="T315" s="2" t="n"/>
      <c r="U315" s="2" t="n"/>
      <c r="V315" s="2">
        <f>SUM(J315:U315)</f>
        <v/>
      </c>
      <c r="W315" s="2" t="n"/>
      <c r="X315" s="2" t="n">
        <v>68</v>
      </c>
      <c r="Y315" s="2" t="n"/>
      <c r="Z315" s="2" t="n"/>
      <c r="AA315" s="2" t="n">
        <v>68</v>
      </c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>
        <f>IF(F315=1,V315*2,IF(F315=2,V315*F315*2,IF(F315&gt;2,F315*2*V315)))</f>
        <v/>
      </c>
      <c r="AW315" s="2">
        <f>SUM(W315:AU315)</f>
        <v/>
      </c>
    </row>
    <row r="316">
      <c r="A316" s="2" t="inlineStr">
        <is>
          <t>14-K-260</t>
        </is>
      </c>
      <c r="B316" s="3" t="inlineStr">
        <is>
          <t>OJC-A1-SC/SC-MM(OM3)-3-PC/PC-DP</t>
        </is>
      </c>
      <c r="C316" s="2" t="inlineStr"/>
      <c r="D316" s="2" t="inlineStr">
        <is>
          <t>om3</t>
        </is>
      </c>
      <c r="E316" s="2" t="inlineStr">
        <is>
          <t>2.0mm</t>
        </is>
      </c>
      <c r="F316" s="2" t="n">
        <v>2</v>
      </c>
      <c r="G316" s="2" t="n">
        <v>3</v>
      </c>
      <c r="H316" s="2" t="inlineStr">
        <is>
          <t>SC/PC</t>
        </is>
      </c>
      <c r="I316" s="2" t="inlineStr">
        <is>
          <t>SC/PC</t>
        </is>
      </c>
      <c r="J316" s="2" t="n"/>
      <c r="K316" s="2" t="n"/>
      <c r="L316" s="2" t="n"/>
      <c r="M316" s="2" t="n">
        <v>200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>
        <f>SUM(J316:U316)</f>
        <v/>
      </c>
      <c r="W316" s="2" t="n"/>
      <c r="X316" s="2" t="n"/>
      <c r="Y316" s="2" t="n"/>
      <c r="Z316" s="2" t="n"/>
      <c r="AA316" s="2" t="n">
        <v>400</v>
      </c>
      <c r="AB316" s="2" t="n">
        <v>400</v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>
        <f>IF(F316=1,V316*2,IF(F316=2,V316*F316*2,IF(F316&gt;2,F316*2*V316)))</f>
        <v/>
      </c>
      <c r="AW316" s="2">
        <f>SUM(W316:AU316)</f>
        <v/>
      </c>
    </row>
    <row r="317">
      <c r="A317" s="2" t="inlineStr">
        <is>
          <t>14-K-270</t>
        </is>
      </c>
      <c r="B317" s="3" t="inlineStr">
        <is>
          <t>OJC-A1-SC/SC-MM-2-PC/PC-DP</t>
        </is>
      </c>
      <c r="C317" s="2" t="inlineStr">
        <is>
          <t>K9089306</t>
        </is>
      </c>
      <c r="D317" s="2" t="inlineStr">
        <is>
          <t>om1</t>
        </is>
      </c>
      <c r="E317" s="2" t="inlineStr">
        <is>
          <t>2.0mm</t>
        </is>
      </c>
      <c r="F317" s="2" t="n">
        <v>2</v>
      </c>
      <c r="G317" s="2" t="n">
        <v>2</v>
      </c>
      <c r="H317" s="2" t="inlineStr">
        <is>
          <t>SC/PC</t>
        </is>
      </c>
      <c r="I317" s="2" t="inlineStr">
        <is>
          <t>SC/PC</t>
        </is>
      </c>
      <c r="J317" s="2" t="n"/>
      <c r="K317" s="2" t="n"/>
      <c r="L317" s="2" t="n"/>
      <c r="M317" s="2" t="n">
        <v>8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>
        <f>SUM(J317:U317)</f>
        <v/>
      </c>
      <c r="W317" s="2" t="n"/>
      <c r="X317" s="2" t="n"/>
      <c r="Y317" s="2" t="n"/>
      <c r="Z317" s="2" t="n"/>
      <c r="AA317" s="2" t="n">
        <v>16</v>
      </c>
      <c r="AB317" s="2" t="n">
        <v>16</v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>
        <f>IF(F317=1,V317*2,IF(F317=2,V317*F317*2,IF(F317&gt;2,F317*2*V317)))</f>
        <v/>
      </c>
      <c r="AW317" s="2">
        <f>SUM(W317:AU317)</f>
        <v/>
      </c>
    </row>
    <row r="318">
      <c r="A318" s="2" t="inlineStr">
        <is>
          <t>14-K-274</t>
        </is>
      </c>
      <c r="B318" s="3" t="inlineStr">
        <is>
          <t>OJC-A1-SC/SC-MM-3-PC/PC-DP</t>
        </is>
      </c>
      <c r="C318" s="2" t="inlineStr">
        <is>
          <t>K9089307</t>
        </is>
      </c>
      <c r="D318" s="2" t="inlineStr">
        <is>
          <t>om1</t>
        </is>
      </c>
      <c r="E318" s="2" t="inlineStr">
        <is>
          <t>2.0mm</t>
        </is>
      </c>
      <c r="F318" s="2" t="n">
        <v>2</v>
      </c>
      <c r="G318" s="2" t="n">
        <v>3</v>
      </c>
      <c r="H318" s="2" t="inlineStr">
        <is>
          <t>SC/PC</t>
        </is>
      </c>
      <c r="I318" s="2" t="inlineStr">
        <is>
          <t>SC/PC</t>
        </is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>
        <v>12</v>
      </c>
      <c r="T318" s="2" t="n"/>
      <c r="U318" s="2" t="n"/>
      <c r="V318" s="2">
        <f>SUM(J318:U318)</f>
        <v/>
      </c>
      <c r="W318" s="2" t="n"/>
      <c r="X318" s="2" t="n"/>
      <c r="Y318" s="2" t="n"/>
      <c r="Z318" s="2" t="n"/>
      <c r="AA318" s="2" t="n">
        <v>24</v>
      </c>
      <c r="AB318" s="2" t="n">
        <v>24</v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>
        <f>IF(F318=1,V318*2,IF(F318=2,V318*F318*2,IF(F318&gt;2,F318*2*V318)))</f>
        <v/>
      </c>
      <c r="AW318" s="2">
        <f>SUM(W318:AU318)</f>
        <v/>
      </c>
    </row>
    <row r="319">
      <c r="A319" s="2" t="inlineStr">
        <is>
          <t>14-K-279</t>
        </is>
      </c>
      <c r="B319" s="3" t="inlineStr">
        <is>
          <t>OJC-A1-SC/SC-SM-0.5-APC/APC-SP</t>
        </is>
      </c>
      <c r="C319" s="2" t="inlineStr"/>
      <c r="D319" s="2" t="inlineStr">
        <is>
          <t>a1</t>
        </is>
      </c>
      <c r="E319" s="2" t="inlineStr">
        <is>
          <t>2.0mm</t>
        </is>
      </c>
      <c r="F319" s="2" t="n">
        <v>1</v>
      </c>
      <c r="G319" s="2" t="n">
        <v>0.5</v>
      </c>
      <c r="H319" s="2" t="inlineStr">
        <is>
          <t>SC/APC</t>
        </is>
      </c>
      <c r="I319" s="2" t="inlineStr">
        <is>
          <t>SC/APC</t>
        </is>
      </c>
      <c r="J319" s="2" t="n"/>
      <c r="K319" s="2" t="n"/>
      <c r="L319" s="2" t="n"/>
      <c r="M319" s="2" t="n"/>
      <c r="N319" s="2" t="n"/>
      <c r="O319" s="2" t="n"/>
      <c r="P319" s="2" t="n">
        <v>5</v>
      </c>
      <c r="Q319" s="2" t="n"/>
      <c r="R319" s="2" t="n"/>
      <c r="S319" s="2" t="n"/>
      <c r="T319" s="2" t="n"/>
      <c r="U319" s="2" t="n"/>
      <c r="V319" s="2">
        <f>SUM(J319:U319)</f>
        <v/>
      </c>
      <c r="W319" s="2" t="n"/>
      <c r="X319" s="2" t="n"/>
      <c r="Y319" s="2" t="n"/>
      <c r="Z319" s="2" t="n"/>
      <c r="AA319" s="2" t="n"/>
      <c r="AB319" s="2" t="n"/>
      <c r="AC319" s="2" t="n">
        <v>10</v>
      </c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>
        <f>IF(F319=1,V319*2,IF(F319=2,V319*F319*2,IF(F319&gt;2,F319*2*V319)))</f>
        <v/>
      </c>
      <c r="AW319" s="2">
        <f>SUM(W319:AU319)</f>
        <v/>
      </c>
    </row>
    <row r="320">
      <c r="A320" s="2" t="inlineStr">
        <is>
          <t>14-K-282</t>
        </is>
      </c>
      <c r="B320" s="3" t="inlineStr">
        <is>
          <t>OJC-A1-SC/SC-SM-0.5-PC/PC-SP</t>
        </is>
      </c>
      <c r="C320" s="2" t="inlineStr"/>
      <c r="D320" s="2" t="inlineStr">
        <is>
          <t>a1</t>
        </is>
      </c>
      <c r="E320" s="2" t="inlineStr">
        <is>
          <t>2.0mm</t>
        </is>
      </c>
      <c r="F320" s="2" t="n">
        <v>1</v>
      </c>
      <c r="G320" s="2" t="n">
        <v>0.5</v>
      </c>
      <c r="H320" s="2" t="inlineStr">
        <is>
          <t>SC/PC</t>
        </is>
      </c>
      <c r="I320" s="2" t="inlineStr">
        <is>
          <t>SC/PC</t>
        </is>
      </c>
      <c r="J320" s="2" t="n"/>
      <c r="K320" s="2" t="n"/>
      <c r="L320" s="2" t="n">
        <v>74</v>
      </c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>
        <f>SUM(J320:U320)</f>
        <v/>
      </c>
      <c r="W320" s="2" t="n"/>
      <c r="X320" s="2" t="n"/>
      <c r="Y320" s="2" t="n"/>
      <c r="Z320" s="2" t="n"/>
      <c r="AA320" s="2" t="n">
        <v>148</v>
      </c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>
        <f>IF(F320=1,V320*2,IF(F320=2,V320*F320*2,IF(F320&gt;2,F320*2*V320)))</f>
        <v/>
      </c>
      <c r="AW320" s="2">
        <f>SUM(W320:AU320)</f>
        <v/>
      </c>
    </row>
    <row r="321">
      <c r="A321" s="2" t="inlineStr">
        <is>
          <t>14-K-285</t>
        </is>
      </c>
      <c r="B321" s="3" t="inlineStr">
        <is>
          <t>OJC-A1-SC/SC-SM-1.5-PC/PC-SP</t>
        </is>
      </c>
      <c r="C321" s="2" t="inlineStr"/>
      <c r="D321" s="2" t="inlineStr">
        <is>
          <t>a1</t>
        </is>
      </c>
      <c r="E321" s="2" t="inlineStr">
        <is>
          <t>2.0mm</t>
        </is>
      </c>
      <c r="F321" s="2" t="n">
        <v>1</v>
      </c>
      <c r="G321" s="2" t="n">
        <v>1.5</v>
      </c>
      <c r="H321" s="2" t="inlineStr">
        <is>
          <t>SC/PC</t>
        </is>
      </c>
      <c r="I321" s="2" t="inlineStr">
        <is>
          <t>SC/PC</t>
        </is>
      </c>
      <c r="J321" s="2" t="n"/>
      <c r="K321" s="2" t="n"/>
      <c r="L321" s="2" t="n"/>
      <c r="M321" s="2" t="n"/>
      <c r="N321" s="2" t="n">
        <v>20</v>
      </c>
      <c r="O321" s="2" t="n">
        <v>200</v>
      </c>
      <c r="P321" s="2" t="n"/>
      <c r="Q321" s="2" t="n">
        <v>200</v>
      </c>
      <c r="R321" s="2" t="n">
        <v>200</v>
      </c>
      <c r="S321" s="2" t="n"/>
      <c r="T321" s="2" t="n"/>
      <c r="U321" s="2" t="n"/>
      <c r="V321" s="2">
        <f>SUM(J321:U321)</f>
        <v/>
      </c>
      <c r="W321" s="2" t="n"/>
      <c r="X321" s="2" t="n"/>
      <c r="Y321" s="2" t="n"/>
      <c r="Z321" s="2" t="n"/>
      <c r="AA321" s="2" t="n">
        <v>1240</v>
      </c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>
        <f>IF(F321=1,V321*2,IF(F321=2,V321*F321*2,IF(F321&gt;2,F321*2*V321)))</f>
        <v/>
      </c>
      <c r="AW321" s="2">
        <f>SUM(W321:AU321)</f>
        <v/>
      </c>
    </row>
    <row r="322">
      <c r="A322" s="2" t="inlineStr">
        <is>
          <t>14-K-286</t>
        </is>
      </c>
      <c r="B322" s="3" t="inlineStr">
        <is>
          <t>OJC-A1-SC/SC-SM-10-APC/APC-DP</t>
        </is>
      </c>
      <c r="C322" s="2" t="inlineStr"/>
      <c r="D322" s="2" t="inlineStr">
        <is>
          <t>a1</t>
        </is>
      </c>
      <c r="E322" s="2" t="inlineStr">
        <is>
          <t>2.0mm</t>
        </is>
      </c>
      <c r="F322" s="2" t="n">
        <v>2</v>
      </c>
      <c r="G322" s="2" t="n">
        <v>10</v>
      </c>
      <c r="H322" s="2" t="inlineStr">
        <is>
          <t>SC/APC</t>
        </is>
      </c>
      <c r="I322" s="2" t="inlineStr">
        <is>
          <t>SC/APC</t>
        </is>
      </c>
      <c r="J322" s="2" t="n"/>
      <c r="K322" s="2" t="n"/>
      <c r="L322" s="2" t="n"/>
      <c r="M322" s="2" t="n"/>
      <c r="N322" s="2" t="n"/>
      <c r="O322" s="2" t="n">
        <v>90</v>
      </c>
      <c r="P322" s="2" t="n"/>
      <c r="Q322" s="2" t="n"/>
      <c r="R322" s="2" t="n"/>
      <c r="S322" s="2" t="n"/>
      <c r="T322" s="2" t="n"/>
      <c r="U322" s="2" t="n">
        <v>40</v>
      </c>
      <c r="V322" s="2">
        <f>SUM(J322:U322)</f>
        <v/>
      </c>
      <c r="W322" s="2" t="n"/>
      <c r="X322" s="2" t="n"/>
      <c r="Y322" s="2" t="n"/>
      <c r="Z322" s="2" t="n"/>
      <c r="AA322" s="2" t="n"/>
      <c r="AB322" s="2" t="n"/>
      <c r="AC322" s="2" t="n">
        <v>260</v>
      </c>
      <c r="AD322" s="2" t="n">
        <v>260</v>
      </c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>
        <f>IF(F322=1,V322*2,IF(F322=2,V322*F322*2,IF(F322&gt;2,F322*2*V322)))</f>
        <v/>
      </c>
      <c r="AW322" s="2">
        <f>SUM(W322:AU322)</f>
        <v/>
      </c>
    </row>
    <row r="323">
      <c r="A323" s="2" t="inlineStr">
        <is>
          <t>14-K-287</t>
        </is>
      </c>
      <c r="B323" s="3" t="inlineStr">
        <is>
          <t>OJC-A1-SC/SC-SM-10-APC/APC-SP</t>
        </is>
      </c>
      <c r="C323" s="2" t="inlineStr"/>
      <c r="D323" s="2" t="inlineStr">
        <is>
          <t>a1</t>
        </is>
      </c>
      <c r="E323" s="2" t="inlineStr">
        <is>
          <t>2.0mm</t>
        </is>
      </c>
      <c r="F323" s="2" t="n">
        <v>1</v>
      </c>
      <c r="G323" s="2" t="n">
        <v>10</v>
      </c>
      <c r="H323" s="2" t="inlineStr">
        <is>
          <t>SC/APC</t>
        </is>
      </c>
      <c r="I323" s="2" t="inlineStr">
        <is>
          <t>SC/APC</t>
        </is>
      </c>
      <c r="J323" s="2" t="n"/>
      <c r="K323" s="2" t="n"/>
      <c r="L323" s="2" t="n"/>
      <c r="M323" s="2" t="n">
        <v>45</v>
      </c>
      <c r="N323" s="2" t="n"/>
      <c r="O323" s="2" t="n">
        <v>140</v>
      </c>
      <c r="P323" s="2" t="n"/>
      <c r="Q323" s="2" t="n">
        <v>162</v>
      </c>
      <c r="R323" s="2" t="n">
        <v>52</v>
      </c>
      <c r="S323" s="2" t="n">
        <v>30</v>
      </c>
      <c r="T323" s="2" t="n"/>
      <c r="U323" s="2" t="n">
        <v>30</v>
      </c>
      <c r="V323" s="2">
        <f>SUM(J323:U323)</f>
        <v/>
      </c>
      <c r="W323" s="2" t="n"/>
      <c r="X323" s="2" t="n"/>
      <c r="Y323" s="2" t="n"/>
      <c r="Z323" s="2" t="n"/>
      <c r="AA323" s="2" t="n"/>
      <c r="AB323" s="2" t="n"/>
      <c r="AC323" s="2" t="n">
        <v>918</v>
      </c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>
        <f>IF(F323=1,V323*2,IF(F323=2,V323*F323*2,IF(F323&gt;2,F323*2*V323)))</f>
        <v/>
      </c>
      <c r="AW323" s="2">
        <f>SUM(W323:AU323)</f>
        <v/>
      </c>
    </row>
    <row r="324">
      <c r="A324" s="2" t="inlineStr">
        <is>
          <t>14-K-288</t>
        </is>
      </c>
      <c r="B324" s="3" t="inlineStr">
        <is>
          <t>OJC-A1-SC/SC-SM-10-PC/APC-DP</t>
        </is>
      </c>
      <c r="C324" s="2" t="inlineStr">
        <is>
          <t>K9089188</t>
        </is>
      </c>
      <c r="D324" s="2" t="inlineStr">
        <is>
          <t>a1</t>
        </is>
      </c>
      <c r="E324" s="2" t="inlineStr">
        <is>
          <t>2.0mm</t>
        </is>
      </c>
      <c r="F324" s="2" t="n">
        <v>2</v>
      </c>
      <c r="G324" s="2" t="n">
        <v>10</v>
      </c>
      <c r="H324" s="2" t="inlineStr">
        <is>
          <t>SC/PC</t>
        </is>
      </c>
      <c r="I324" s="2" t="inlineStr">
        <is>
          <t>SC/APC</t>
        </is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>
        <v>3</v>
      </c>
      <c r="T324" s="2" t="n"/>
      <c r="U324" s="2" t="n"/>
      <c r="V324" s="2">
        <f>SUM(J324:U324)</f>
        <v/>
      </c>
      <c r="W324" s="2" t="n"/>
      <c r="X324" s="2" t="n"/>
      <c r="Y324" s="2" t="n"/>
      <c r="Z324" s="2" t="n"/>
      <c r="AA324" s="2" t="n">
        <v>6</v>
      </c>
      <c r="AB324" s="2" t="n"/>
      <c r="AC324" s="2" t="n"/>
      <c r="AD324" s="2" t="n">
        <v>6</v>
      </c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>
        <f>IF(F324=1,V324*2,IF(F324=2,V324*F324*2,IF(F324&gt;2,F324*2*V324)))</f>
        <v/>
      </c>
      <c r="AW324" s="2">
        <f>SUM(W324:AU324)</f>
        <v/>
      </c>
    </row>
    <row r="325">
      <c r="A325" s="2" t="inlineStr">
        <is>
          <t>14-K-289</t>
        </is>
      </c>
      <c r="B325" s="3" t="inlineStr">
        <is>
          <t>OJC-A1-SC/SC-SM-10-PC/APC-SP</t>
        </is>
      </c>
      <c r="C325" s="2" t="inlineStr">
        <is>
          <t>K9089059</t>
        </is>
      </c>
      <c r="D325" s="2" t="inlineStr">
        <is>
          <t>a1</t>
        </is>
      </c>
      <c r="E325" s="2" t="inlineStr">
        <is>
          <t>2.0mm</t>
        </is>
      </c>
      <c r="F325" s="2" t="n">
        <v>1</v>
      </c>
      <c r="G325" s="2" t="n">
        <v>10</v>
      </c>
      <c r="H325" s="2" t="inlineStr">
        <is>
          <t>SC/PC</t>
        </is>
      </c>
      <c r="I325" s="2" t="inlineStr">
        <is>
          <t>SC/APC</t>
        </is>
      </c>
      <c r="J325" s="2" t="n"/>
      <c r="K325" s="2" t="n">
        <v>7</v>
      </c>
      <c r="L325" s="2" t="n">
        <v>130</v>
      </c>
      <c r="M325" s="2" t="n">
        <v>10</v>
      </c>
      <c r="N325" s="2" t="n"/>
      <c r="O325" s="2" t="n">
        <v>31</v>
      </c>
      <c r="P325" s="2" t="n">
        <v>100</v>
      </c>
      <c r="Q325" s="2" t="n">
        <v>2</v>
      </c>
      <c r="R325" s="2" t="n">
        <v>35</v>
      </c>
      <c r="S325" s="2" t="n">
        <v>32</v>
      </c>
      <c r="T325" s="2" t="n">
        <v>20</v>
      </c>
      <c r="U325" s="2" t="n"/>
      <c r="V325" s="2">
        <f>SUM(J325:U325)</f>
        <v/>
      </c>
      <c r="W325" s="2" t="n"/>
      <c r="X325" s="2" t="n"/>
      <c r="Y325" s="2" t="n"/>
      <c r="Z325" s="2" t="n"/>
      <c r="AA325" s="2" t="n">
        <v>367</v>
      </c>
      <c r="AB325" s="2" t="n"/>
      <c r="AC325" s="2" t="n">
        <v>367</v>
      </c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>
        <f>IF(F325=1,V325*2,IF(F325=2,V325*F325*2,IF(F325&gt;2,F325*2*V325)))</f>
        <v/>
      </c>
      <c r="AW325" s="2">
        <f>SUM(W325:AU325)</f>
        <v/>
      </c>
    </row>
    <row r="326">
      <c r="A326" s="2" t="inlineStr">
        <is>
          <t>14-K-290</t>
        </is>
      </c>
      <c r="B326" s="3" t="inlineStr">
        <is>
          <t>OJC-A1-SC/SC-SM-10-PC/PC-DP</t>
        </is>
      </c>
      <c r="C326" s="2" t="inlineStr">
        <is>
          <t>K9089132</t>
        </is>
      </c>
      <c r="D326" s="2" t="inlineStr">
        <is>
          <t>a1</t>
        </is>
      </c>
      <c r="E326" s="2" t="inlineStr">
        <is>
          <t>2.0mm</t>
        </is>
      </c>
      <c r="F326" s="2" t="n">
        <v>2</v>
      </c>
      <c r="G326" s="2" t="n">
        <v>10</v>
      </c>
      <c r="H326" s="2" t="inlineStr">
        <is>
          <t>SC/PC</t>
        </is>
      </c>
      <c r="I326" s="2" t="inlineStr">
        <is>
          <t>SC/PC</t>
        </is>
      </c>
      <c r="J326" s="2" t="n"/>
      <c r="K326" s="2" t="n"/>
      <c r="L326" s="2" t="n">
        <v>37</v>
      </c>
      <c r="M326" s="2" t="n">
        <v>100</v>
      </c>
      <c r="N326" s="2" t="n">
        <v>3</v>
      </c>
      <c r="O326" s="2" t="n"/>
      <c r="P326" s="2" t="n"/>
      <c r="Q326" s="2" t="n"/>
      <c r="R326" s="2" t="n"/>
      <c r="S326" s="2" t="n"/>
      <c r="T326" s="2" t="n"/>
      <c r="U326" s="2" t="n"/>
      <c r="V326" s="2">
        <f>SUM(J326:U326)</f>
        <v/>
      </c>
      <c r="W326" s="2" t="n"/>
      <c r="X326" s="2" t="n"/>
      <c r="Y326" s="2" t="n"/>
      <c r="Z326" s="2" t="n"/>
      <c r="AA326" s="2" t="n">
        <v>280</v>
      </c>
      <c r="AB326" s="2" t="n">
        <v>280</v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>
        <f>IF(F326=1,V326*2,IF(F326=2,V326*F326*2,IF(F326&gt;2,F326*2*V326)))</f>
        <v/>
      </c>
      <c r="AW326" s="2">
        <f>SUM(W326:AU326)</f>
        <v/>
      </c>
    </row>
    <row r="327">
      <c r="A327" s="2" t="inlineStr">
        <is>
          <t>14-K-299</t>
        </is>
      </c>
      <c r="B327" s="3" t="inlineStr">
        <is>
          <t>OJC-A1-SC/SC-SM-15-APC/APC-SP</t>
        </is>
      </c>
      <c r="C327" s="2" t="inlineStr"/>
      <c r="D327" s="2" t="inlineStr">
        <is>
          <t>a1</t>
        </is>
      </c>
      <c r="E327" s="2" t="inlineStr">
        <is>
          <t>2.0mm</t>
        </is>
      </c>
      <c r="F327" s="2" t="n">
        <v>1</v>
      </c>
      <c r="G327" s="2" t="n">
        <v>15</v>
      </c>
      <c r="H327" s="2" t="inlineStr">
        <is>
          <t>SC/APC</t>
        </is>
      </c>
      <c r="I327" s="2" t="inlineStr">
        <is>
          <t>SC/APC</t>
        </is>
      </c>
      <c r="J327" s="2" t="n"/>
      <c r="K327" s="2" t="n"/>
      <c r="L327" s="2" t="n"/>
      <c r="M327" s="2" t="n">
        <v>10</v>
      </c>
      <c r="N327" s="2" t="n"/>
      <c r="O327" s="2" t="n"/>
      <c r="P327" s="2" t="n"/>
      <c r="Q327" s="2" t="n">
        <v>50</v>
      </c>
      <c r="R327" s="2" t="n"/>
      <c r="S327" s="2" t="n">
        <v>20</v>
      </c>
      <c r="T327" s="2" t="n"/>
      <c r="U327" s="2" t="n">
        <v>90</v>
      </c>
      <c r="V327" s="2">
        <f>SUM(J327:U327)</f>
        <v/>
      </c>
      <c r="W327" s="2" t="n"/>
      <c r="X327" s="2" t="n"/>
      <c r="Y327" s="2" t="n"/>
      <c r="Z327" s="2" t="n"/>
      <c r="AA327" s="2" t="n"/>
      <c r="AB327" s="2" t="n"/>
      <c r="AC327" s="2" t="n">
        <v>340</v>
      </c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>
        <f>IF(F327=1,V327*2,IF(F327=2,V327*F327*2,IF(F327&gt;2,F327*2*V327)))</f>
        <v/>
      </c>
      <c r="AW327" s="2">
        <f>SUM(W327:AU327)</f>
        <v/>
      </c>
    </row>
    <row r="328">
      <c r="A328" s="2" t="inlineStr">
        <is>
          <t>14-K-301</t>
        </is>
      </c>
      <c r="B328" s="3" t="inlineStr">
        <is>
          <t>OJC-A1-SC/SC-SM-15-PC/APC-SP</t>
        </is>
      </c>
      <c r="C328" s="2" t="inlineStr">
        <is>
          <t>K9089060</t>
        </is>
      </c>
      <c r="D328" s="2" t="inlineStr">
        <is>
          <t>a1</t>
        </is>
      </c>
      <c r="E328" s="2" t="inlineStr">
        <is>
          <t>2.0mm</t>
        </is>
      </c>
      <c r="F328" s="2" t="n">
        <v>1</v>
      </c>
      <c r="G328" s="2" t="n">
        <v>15</v>
      </c>
      <c r="H328" s="2" t="inlineStr">
        <is>
          <t>SC/PC</t>
        </is>
      </c>
      <c r="I328" s="2" t="inlineStr">
        <is>
          <t>SC/APC</t>
        </is>
      </c>
      <c r="J328" s="2" t="n"/>
      <c r="K328" s="2" t="n"/>
      <c r="L328" s="2" t="n"/>
      <c r="M328" s="2" t="n"/>
      <c r="N328" s="2" t="n"/>
      <c r="O328" s="2" t="n">
        <v>1</v>
      </c>
      <c r="P328" s="2" t="n">
        <v>3</v>
      </c>
      <c r="Q328" s="2" t="n">
        <v>2</v>
      </c>
      <c r="R328" s="2" t="n"/>
      <c r="S328" s="2" t="n">
        <v>30</v>
      </c>
      <c r="T328" s="2" t="n"/>
      <c r="U328" s="2" t="n"/>
      <c r="V328" s="2">
        <f>SUM(J328:U328)</f>
        <v/>
      </c>
      <c r="W328" s="2" t="n"/>
      <c r="X328" s="2" t="n"/>
      <c r="Y328" s="2" t="n"/>
      <c r="Z328" s="2" t="n"/>
      <c r="AA328" s="2" t="n">
        <v>36</v>
      </c>
      <c r="AB328" s="2" t="n"/>
      <c r="AC328" s="2" t="n">
        <v>36</v>
      </c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>
        <f>IF(F328=1,V328*2,IF(F328=2,V328*F328*2,IF(F328&gt;2,F328*2*V328)))</f>
        <v/>
      </c>
      <c r="AW328" s="2">
        <f>SUM(W328:AU328)</f>
        <v/>
      </c>
    </row>
    <row r="329">
      <c r="A329" s="2" t="inlineStr">
        <is>
          <t>14-K-303</t>
        </is>
      </c>
      <c r="B329" s="3" t="inlineStr">
        <is>
          <t>OJC-A1-SC/SC-SM-15-PC/PC-SP</t>
        </is>
      </c>
      <c r="C329" s="2" t="inlineStr">
        <is>
          <t>K9089008</t>
        </is>
      </c>
      <c r="D329" s="2" t="inlineStr">
        <is>
          <t>a1</t>
        </is>
      </c>
      <c r="E329" s="2" t="inlineStr">
        <is>
          <t>2.0mm</t>
        </is>
      </c>
      <c r="F329" s="2" t="n">
        <v>1</v>
      </c>
      <c r="G329" s="2" t="n">
        <v>15</v>
      </c>
      <c r="H329" s="2" t="inlineStr">
        <is>
          <t>SC/PC</t>
        </is>
      </c>
      <c r="I329" s="2" t="inlineStr">
        <is>
          <t>SC/PC</t>
        </is>
      </c>
      <c r="J329" s="2" t="n">
        <v>2</v>
      </c>
      <c r="K329" s="2" t="n">
        <v>820</v>
      </c>
      <c r="L329" s="2" t="n"/>
      <c r="M329" s="2" t="n">
        <v>55</v>
      </c>
      <c r="N329" s="2" t="n">
        <v>51</v>
      </c>
      <c r="O329" s="2" t="n"/>
      <c r="P329" s="2" t="n"/>
      <c r="Q329" s="2" t="n"/>
      <c r="R329" s="2" t="n"/>
      <c r="S329" s="2" t="n"/>
      <c r="T329" s="2" t="n"/>
      <c r="U329" s="2" t="n"/>
      <c r="V329" s="2">
        <f>SUM(J329:U329)</f>
        <v/>
      </c>
      <c r="W329" s="2" t="n"/>
      <c r="X329" s="2" t="n"/>
      <c r="Y329" s="2" t="n"/>
      <c r="Z329" s="2" t="n"/>
      <c r="AA329" s="2" t="n">
        <v>1856</v>
      </c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>
        <f>IF(F329=1,V329*2,IF(F329=2,V329*F329*2,IF(F329&gt;2,F329*2*V329)))</f>
        <v/>
      </c>
      <c r="AW329" s="2">
        <f>SUM(W329:AU329)</f>
        <v/>
      </c>
    </row>
    <row r="330">
      <c r="A330" s="2" t="inlineStr">
        <is>
          <t>14-K-314</t>
        </is>
      </c>
      <c r="B330" s="3" t="inlineStr">
        <is>
          <t>OJC-A1-SC/SC-SM-1-PC/APC-SP</t>
        </is>
      </c>
      <c r="C330" s="2" t="inlineStr">
        <is>
          <t>K9089056</t>
        </is>
      </c>
      <c r="D330" s="2" t="inlineStr">
        <is>
          <t>a1</t>
        </is>
      </c>
      <c r="E330" s="2" t="inlineStr">
        <is>
          <t>2.0mm</t>
        </is>
      </c>
      <c r="F330" s="2" t="n">
        <v>1</v>
      </c>
      <c r="G330" s="2" t="n">
        <v>1</v>
      </c>
      <c r="H330" s="2" t="inlineStr">
        <is>
          <t>SC/PC</t>
        </is>
      </c>
      <c r="I330" s="2" t="inlineStr">
        <is>
          <t>SC/APC</t>
        </is>
      </c>
      <c r="J330" s="2" t="n"/>
      <c r="K330" s="2" t="n">
        <v>300</v>
      </c>
      <c r="L330" s="2" t="n"/>
      <c r="M330" s="2" t="n"/>
      <c r="N330" s="2" t="n">
        <v>22</v>
      </c>
      <c r="O330" s="2" t="n"/>
      <c r="P330" s="2" t="n"/>
      <c r="Q330" s="2" t="n"/>
      <c r="R330" s="2" t="n"/>
      <c r="S330" s="2" t="n"/>
      <c r="T330" s="2" t="n"/>
      <c r="U330" s="2" t="n"/>
      <c r="V330" s="2">
        <f>SUM(J330:U330)</f>
        <v/>
      </c>
      <c r="W330" s="2" t="n"/>
      <c r="X330" s="2" t="n"/>
      <c r="Y330" s="2" t="n"/>
      <c r="Z330" s="2" t="n"/>
      <c r="AA330" s="2" t="n">
        <v>322</v>
      </c>
      <c r="AB330" s="2" t="n"/>
      <c r="AC330" s="2" t="n">
        <v>322</v>
      </c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>
        <f>IF(F330=1,V330*2,IF(F330=2,V330*F330*2,IF(F330&gt;2,F330*2*V330)))</f>
        <v/>
      </c>
      <c r="AW330" s="2">
        <f>SUM(W330:AU330)</f>
        <v/>
      </c>
    </row>
    <row r="331">
      <c r="A331" s="2" t="inlineStr">
        <is>
          <t>14-K-315</t>
        </is>
      </c>
      <c r="B331" s="3" t="inlineStr">
        <is>
          <t>OJC-A1-SC/SC-SM-1-PC/PC-DP</t>
        </is>
      </c>
      <c r="C331" s="2" t="inlineStr">
        <is>
          <t>K9089123</t>
        </is>
      </c>
      <c r="D331" s="2" t="inlineStr">
        <is>
          <t>a1</t>
        </is>
      </c>
      <c r="E331" s="2" t="inlineStr">
        <is>
          <t>2.0mm</t>
        </is>
      </c>
      <c r="F331" s="2" t="n">
        <v>2</v>
      </c>
      <c r="G331" s="2" t="n">
        <v>1</v>
      </c>
      <c r="H331" s="2" t="inlineStr">
        <is>
          <t>SC/PC</t>
        </is>
      </c>
      <c r="I331" s="2" t="inlineStr">
        <is>
          <t>SC/PC</t>
        </is>
      </c>
      <c r="J331" s="2" t="n"/>
      <c r="K331" s="2" t="n"/>
      <c r="L331" s="2" t="n"/>
      <c r="M331" s="2" t="n"/>
      <c r="N331" s="2" t="n">
        <v>300</v>
      </c>
      <c r="O331" s="2" t="n"/>
      <c r="P331" s="2" t="n"/>
      <c r="Q331" s="2" t="n"/>
      <c r="R331" s="2" t="n">
        <v>300</v>
      </c>
      <c r="S331" s="2" t="n"/>
      <c r="T331" s="2" t="n">
        <v>100</v>
      </c>
      <c r="U331" s="2" t="n"/>
      <c r="V331" s="2">
        <f>SUM(J331:U331)</f>
        <v/>
      </c>
      <c r="W331" s="2" t="n"/>
      <c r="X331" s="2" t="n"/>
      <c r="Y331" s="2" t="n"/>
      <c r="Z331" s="2" t="n"/>
      <c r="AA331" s="2" t="n">
        <v>1400</v>
      </c>
      <c r="AB331" s="2" t="n">
        <v>1400</v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>
        <f>IF(F331=1,V331*2,IF(F331=2,V331*F331*2,IF(F331&gt;2,F331*2*V331)))</f>
        <v/>
      </c>
      <c r="AW331" s="2">
        <f>SUM(W331:AU331)</f>
        <v/>
      </c>
    </row>
    <row r="332">
      <c r="A332" s="2" t="inlineStr">
        <is>
          <t>14-K-318</t>
        </is>
      </c>
      <c r="B332" s="3" t="inlineStr">
        <is>
          <t>OJC-A1-SC/SC-SM-20-APC/APC-SP</t>
        </is>
      </c>
      <c r="C332" s="2" t="inlineStr"/>
      <c r="D332" s="2" t="inlineStr">
        <is>
          <t>a1</t>
        </is>
      </c>
      <c r="E332" s="2" t="inlineStr">
        <is>
          <t>2.0mm</t>
        </is>
      </c>
      <c r="F332" s="2" t="n">
        <v>1</v>
      </c>
      <c r="G332" s="2" t="n">
        <v>20</v>
      </c>
      <c r="H332" s="2" t="inlineStr">
        <is>
          <t>SC/APC</t>
        </is>
      </c>
      <c r="I332" s="2" t="inlineStr">
        <is>
          <t>SC/APC</t>
        </is>
      </c>
      <c r="J332" s="2" t="n"/>
      <c r="K332" s="2" t="n"/>
      <c r="L332" s="2" t="n">
        <v>5</v>
      </c>
      <c r="M332" s="2" t="n"/>
      <c r="N332" s="2" t="n"/>
      <c r="O332" s="2" t="n"/>
      <c r="P332" s="2" t="n"/>
      <c r="Q332" s="2" t="n">
        <v>20</v>
      </c>
      <c r="R332" s="2" t="n"/>
      <c r="S332" s="2" t="n"/>
      <c r="T332" s="2" t="n"/>
      <c r="U332" s="2" t="n"/>
      <c r="V332" s="2">
        <f>SUM(J332:U332)</f>
        <v/>
      </c>
      <c r="W332" s="2" t="n"/>
      <c r="X332" s="2" t="n"/>
      <c r="Y332" s="2" t="n"/>
      <c r="Z332" s="2" t="n"/>
      <c r="AA332" s="2" t="n"/>
      <c r="AB332" s="2" t="n"/>
      <c r="AC332" s="2" t="n">
        <v>50</v>
      </c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>
        <f>IF(F332=1,V332*2,IF(F332=2,V332*F332*2,IF(F332&gt;2,F332*2*V332)))</f>
        <v/>
      </c>
      <c r="AW332" s="2">
        <f>SUM(W332:AU332)</f>
        <v/>
      </c>
    </row>
    <row r="333">
      <c r="A333" s="2" t="inlineStr">
        <is>
          <t>14-K-319</t>
        </is>
      </c>
      <c r="B333" s="3" t="inlineStr">
        <is>
          <t>OJC-A1-SC/SC-SM-20-PC/APC-DP</t>
        </is>
      </c>
      <c r="C333" s="2" t="inlineStr">
        <is>
          <t>K9089190</t>
        </is>
      </c>
      <c r="D333" s="2" t="inlineStr">
        <is>
          <t>a1</t>
        </is>
      </c>
      <c r="E333" s="2" t="inlineStr">
        <is>
          <t>2.0mm</t>
        </is>
      </c>
      <c r="F333" s="2" t="n">
        <v>2</v>
      </c>
      <c r="G333" s="2" t="n">
        <v>20</v>
      </c>
      <c r="H333" s="2" t="inlineStr">
        <is>
          <t>SC/PC</t>
        </is>
      </c>
      <c r="I333" s="2" t="inlineStr">
        <is>
          <t>SC/APC</t>
        </is>
      </c>
      <c r="J333" s="2" t="n"/>
      <c r="K333" s="2" t="n"/>
      <c r="L333" s="2" t="n"/>
      <c r="M333" s="2" t="n">
        <v>2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>
        <f>SUM(J333:U333)</f>
        <v/>
      </c>
      <c r="W333" s="2" t="n"/>
      <c r="X333" s="2" t="n"/>
      <c r="Y333" s="2" t="n"/>
      <c r="Z333" s="2" t="n"/>
      <c r="AA333" s="2" t="n">
        <v>4</v>
      </c>
      <c r="AB333" s="2" t="n"/>
      <c r="AC333" s="2" t="n"/>
      <c r="AD333" s="2" t="n">
        <v>4</v>
      </c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>
        <f>IF(F333=1,V333*2,IF(F333=2,V333*F333*2,IF(F333&gt;2,F333*2*V333)))</f>
        <v/>
      </c>
      <c r="AW333" s="2">
        <f>SUM(W333:AU333)</f>
        <v/>
      </c>
    </row>
    <row r="334">
      <c r="A334" s="2" t="inlineStr">
        <is>
          <t>14-K-320</t>
        </is>
      </c>
      <c r="B334" s="3" t="inlineStr">
        <is>
          <t>OJC-A1-SC/SC-SM-20-PC/APC-SP</t>
        </is>
      </c>
      <c r="C334" s="2" t="inlineStr">
        <is>
          <t>K9089061</t>
        </is>
      </c>
      <c r="D334" s="2" t="inlineStr">
        <is>
          <t>a1</t>
        </is>
      </c>
      <c r="E334" s="2" t="inlineStr">
        <is>
          <t>2.0mm</t>
        </is>
      </c>
      <c r="F334" s="2" t="n">
        <v>1</v>
      </c>
      <c r="G334" s="2" t="n">
        <v>20</v>
      </c>
      <c r="H334" s="2" t="inlineStr">
        <is>
          <t>SC/PC</t>
        </is>
      </c>
      <c r="I334" s="2" t="inlineStr">
        <is>
          <t>SC/APC</t>
        </is>
      </c>
      <c r="J334" s="2" t="n"/>
      <c r="K334" s="2" t="n"/>
      <c r="L334" s="2" t="n">
        <v>1</v>
      </c>
      <c r="M334" s="2" t="n">
        <v>1</v>
      </c>
      <c r="N334" s="2" t="n"/>
      <c r="O334" s="2" t="n"/>
      <c r="P334" s="2" t="n">
        <v>5</v>
      </c>
      <c r="Q334" s="2" t="n"/>
      <c r="R334" s="2" t="n"/>
      <c r="S334" s="2" t="n"/>
      <c r="T334" s="2" t="n"/>
      <c r="U334" s="2" t="n">
        <v>2</v>
      </c>
      <c r="V334" s="2">
        <f>SUM(J334:U334)</f>
        <v/>
      </c>
      <c r="W334" s="2" t="n"/>
      <c r="X334" s="2" t="n"/>
      <c r="Y334" s="2" t="n"/>
      <c r="Z334" s="2" t="n"/>
      <c r="AA334" s="2" t="n">
        <v>9</v>
      </c>
      <c r="AB334" s="2" t="n"/>
      <c r="AC334" s="2" t="n">
        <v>9</v>
      </c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>
        <f>IF(F334=1,V334*2,IF(F334=2,V334*F334*2,IF(F334&gt;2,F334*2*V334)))</f>
        <v/>
      </c>
      <c r="AW334" s="2">
        <f>SUM(W334:AU334)</f>
        <v/>
      </c>
    </row>
    <row r="335">
      <c r="A335" s="2" t="inlineStr">
        <is>
          <t>14-K-321</t>
        </is>
      </c>
      <c r="B335" s="3" t="inlineStr">
        <is>
          <t>OJC-A1-SC/SC-SM-20-PC/PC-DP</t>
        </is>
      </c>
      <c r="C335" s="2" t="inlineStr">
        <is>
          <t>K9089142</t>
        </is>
      </c>
      <c r="D335" s="2" t="inlineStr">
        <is>
          <t>a1</t>
        </is>
      </c>
      <c r="E335" s="2" t="inlineStr">
        <is>
          <t>2.0mm</t>
        </is>
      </c>
      <c r="F335" s="2" t="n">
        <v>2</v>
      </c>
      <c r="G335" s="2" t="n">
        <v>20</v>
      </c>
      <c r="H335" s="2" t="inlineStr">
        <is>
          <t>SC/PC</t>
        </is>
      </c>
      <c r="I335" s="2" t="inlineStr">
        <is>
          <t>SC/PC</t>
        </is>
      </c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>
        <v>111</v>
      </c>
      <c r="U335" s="2" t="n"/>
      <c r="V335" s="2">
        <f>SUM(J335:U335)</f>
        <v/>
      </c>
      <c r="W335" s="2" t="n"/>
      <c r="X335" s="2" t="n"/>
      <c r="Y335" s="2" t="n"/>
      <c r="Z335" s="2" t="n"/>
      <c r="AA335" s="2" t="n">
        <v>222</v>
      </c>
      <c r="AB335" s="2" t="n">
        <v>222</v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>
        <f>IF(F335=1,V335*2,IF(F335=2,V335*F335*2,IF(F335&gt;2,F335*2*V335)))</f>
        <v/>
      </c>
      <c r="AW335" s="2">
        <f>SUM(W335:AU335)</f>
        <v/>
      </c>
    </row>
    <row r="336">
      <c r="A336" s="2" t="inlineStr">
        <is>
          <t>14-K-322</t>
        </is>
      </c>
      <c r="B336" s="3" t="inlineStr">
        <is>
          <t>OJC-A1-SC/SC-SM-20-PC/PC-SP</t>
        </is>
      </c>
      <c r="C336" s="2" t="inlineStr">
        <is>
          <t>K9089013</t>
        </is>
      </c>
      <c r="D336" s="2" t="inlineStr">
        <is>
          <t>a1</t>
        </is>
      </c>
      <c r="E336" s="2" t="inlineStr">
        <is>
          <t>2.0mm</t>
        </is>
      </c>
      <c r="F336" s="2" t="n">
        <v>1</v>
      </c>
      <c r="G336" s="2" t="n">
        <v>20</v>
      </c>
      <c r="H336" s="2" t="inlineStr">
        <is>
          <t>SC/PC</t>
        </is>
      </c>
      <c r="I336" s="2" t="inlineStr">
        <is>
          <t>SC/PC</t>
        </is>
      </c>
      <c r="J336" s="2" t="n"/>
      <c r="K336" s="2" t="n">
        <v>568</v>
      </c>
      <c r="L336" s="2" t="n">
        <v>50</v>
      </c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</f>
        <v/>
      </c>
      <c r="W336" s="2" t="n"/>
      <c r="X336" s="2" t="n"/>
      <c r="Y336" s="2" t="n"/>
      <c r="Z336" s="2" t="n"/>
      <c r="AA336" s="2" t="n">
        <v>1236</v>
      </c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>
        <f>IF(F336=1,V336*2,IF(F336=2,V336*F336*2,IF(F336&gt;2,F336*2*V336)))</f>
        <v/>
      </c>
      <c r="AW336" s="2">
        <f>SUM(W336:AU336)</f>
        <v/>
      </c>
    </row>
    <row r="337">
      <c r="A337" s="2" t="inlineStr">
        <is>
          <t>14-K-333</t>
        </is>
      </c>
      <c r="B337" s="3" t="inlineStr">
        <is>
          <t>OJC-A1-SC/SC-SM-25-APC/APC-SP</t>
        </is>
      </c>
      <c r="C337" s="2" t="inlineStr"/>
      <c r="D337" s="2" t="inlineStr">
        <is>
          <t>a1</t>
        </is>
      </c>
      <c r="E337" s="2" t="inlineStr">
        <is>
          <t>2.0mm</t>
        </is>
      </c>
      <c r="F337" s="2" t="n">
        <v>1</v>
      </c>
      <c r="G337" s="2" t="n">
        <v>25</v>
      </c>
      <c r="H337" s="2" t="inlineStr">
        <is>
          <t>SC/APC</t>
        </is>
      </c>
      <c r="I337" s="2" t="inlineStr">
        <is>
          <t>SC/APC</t>
        </is>
      </c>
      <c r="J337" s="2" t="n"/>
      <c r="K337" s="2" t="n"/>
      <c r="L337" s="2" t="n"/>
      <c r="M337" s="2" t="n"/>
      <c r="N337" s="2" t="n"/>
      <c r="O337" s="2" t="n"/>
      <c r="P337" s="2" t="n"/>
      <c r="Q337" s="2" t="n">
        <v>20</v>
      </c>
      <c r="R337" s="2" t="n"/>
      <c r="S337" s="2" t="n"/>
      <c r="T337" s="2" t="n"/>
      <c r="U337" s="2" t="n"/>
      <c r="V337" s="2">
        <f>SUM(J337:U337)</f>
        <v/>
      </c>
      <c r="W337" s="2" t="n"/>
      <c r="X337" s="2" t="n"/>
      <c r="Y337" s="2" t="n"/>
      <c r="Z337" s="2" t="n"/>
      <c r="AA337" s="2" t="n"/>
      <c r="AB337" s="2" t="n"/>
      <c r="AC337" s="2" t="n">
        <v>40</v>
      </c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>
        <f>IF(F337=1,V337*2,IF(F337=2,V337*F337*2,IF(F337&gt;2,F337*2*V337)))</f>
        <v/>
      </c>
      <c r="AW337" s="2">
        <f>SUM(W337:AU337)</f>
        <v/>
      </c>
    </row>
    <row r="338">
      <c r="A338" s="2" t="inlineStr">
        <is>
          <t>14-K-343</t>
        </is>
      </c>
      <c r="B338" s="3" t="inlineStr">
        <is>
          <t>OJC-A1-SC/SC-SM-2-APC/APC-SP</t>
        </is>
      </c>
      <c r="C338" s="2" t="inlineStr"/>
      <c r="D338" s="2" t="inlineStr">
        <is>
          <t>a1</t>
        </is>
      </c>
      <c r="E338" s="2" t="inlineStr">
        <is>
          <t>2.0mm</t>
        </is>
      </c>
      <c r="F338" s="2" t="n">
        <v>1</v>
      </c>
      <c r="G338" s="2" t="n">
        <v>2</v>
      </c>
      <c r="H338" s="2" t="inlineStr">
        <is>
          <t>SC/APC</t>
        </is>
      </c>
      <c r="I338" s="2" t="inlineStr">
        <is>
          <t>SC/APC</t>
        </is>
      </c>
      <c r="J338" s="2" t="n"/>
      <c r="K338" s="2" t="n"/>
      <c r="L338" s="2" t="n"/>
      <c r="M338" s="2" t="n"/>
      <c r="N338" s="2" t="n">
        <v>10</v>
      </c>
      <c r="O338" s="2" t="n"/>
      <c r="P338" s="2" t="n"/>
      <c r="Q338" s="2" t="n"/>
      <c r="R338" s="2" t="n"/>
      <c r="S338" s="2" t="n">
        <v>90</v>
      </c>
      <c r="T338" s="2" t="n"/>
      <c r="U338" s="2" t="n">
        <v>5</v>
      </c>
      <c r="V338" s="2">
        <f>SUM(J338:U338)</f>
        <v/>
      </c>
      <c r="W338" s="2" t="n"/>
      <c r="X338" s="2" t="n"/>
      <c r="Y338" s="2" t="n"/>
      <c r="Z338" s="2" t="n"/>
      <c r="AA338" s="2" t="n"/>
      <c r="AB338" s="2" t="n"/>
      <c r="AC338" s="2" t="n">
        <v>210</v>
      </c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>
        <f>IF(F338=1,V338*2,IF(F338=2,V338*F338*2,IF(F338&gt;2,F338*2*V338)))</f>
        <v/>
      </c>
      <c r="AW338" s="2">
        <f>SUM(W338:AU338)</f>
        <v/>
      </c>
    </row>
    <row r="339">
      <c r="A339" s="2" t="inlineStr">
        <is>
          <t>14-K-346</t>
        </is>
      </c>
      <c r="B339" s="3" t="inlineStr">
        <is>
          <t>OJC-A1-SC/SC-SM-2-PC/PC-DP</t>
        </is>
      </c>
      <c r="C339" s="2" t="inlineStr">
        <is>
          <t>K9089124</t>
        </is>
      </c>
      <c r="D339" s="2" t="inlineStr">
        <is>
          <t>a1</t>
        </is>
      </c>
      <c r="E339" s="2" t="inlineStr">
        <is>
          <t>2.0mm</t>
        </is>
      </c>
      <c r="F339" s="2" t="n">
        <v>2</v>
      </c>
      <c r="G339" s="2" t="n">
        <v>2</v>
      </c>
      <c r="H339" s="2" t="inlineStr">
        <is>
          <t>SC/PC</t>
        </is>
      </c>
      <c r="I339" s="2" t="inlineStr">
        <is>
          <t>SC/PC</t>
        </is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>
        <v>100</v>
      </c>
      <c r="U339" s="2" t="n"/>
      <c r="V339" s="2">
        <f>SUM(J339:U339)</f>
        <v/>
      </c>
      <c r="W339" s="2" t="n"/>
      <c r="X339" s="2" t="n"/>
      <c r="Y339" s="2" t="n"/>
      <c r="Z339" s="2" t="n"/>
      <c r="AA339" s="2" t="n">
        <v>200</v>
      </c>
      <c r="AB339" s="2" t="n">
        <v>200</v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>
        <f>IF(F339=1,V339*2,IF(F339=2,V339*F339*2,IF(F339&gt;2,F339*2*V339)))</f>
        <v/>
      </c>
      <c r="AW339" s="2">
        <f>SUM(W339:AU339)</f>
        <v/>
      </c>
    </row>
    <row r="340">
      <c r="A340" s="2" t="inlineStr">
        <is>
          <t>14-K-349</t>
        </is>
      </c>
      <c r="B340" s="3" t="inlineStr">
        <is>
          <t>OJC-A1-SC/SC-SM-30-APC/APC-SP</t>
        </is>
      </c>
      <c r="C340" s="2" t="inlineStr"/>
      <c r="D340" s="2" t="inlineStr">
        <is>
          <t>a1</t>
        </is>
      </c>
      <c r="E340" s="2" t="inlineStr">
        <is>
          <t>2.0mm</t>
        </is>
      </c>
      <c r="F340" s="2" t="n">
        <v>1</v>
      </c>
      <c r="G340" s="2" t="n">
        <v>30</v>
      </c>
      <c r="H340" s="2" t="inlineStr">
        <is>
          <t>SC/APC</t>
        </is>
      </c>
      <c r="I340" s="2" t="inlineStr">
        <is>
          <t>SC/APC</t>
        </is>
      </c>
      <c r="J340" s="2" t="n"/>
      <c r="K340" s="2" t="n"/>
      <c r="L340" s="2" t="n"/>
      <c r="M340" s="2" t="n">
        <v>10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>
        <f>SUM(J340:U340)</f>
        <v/>
      </c>
      <c r="W340" s="2" t="n"/>
      <c r="X340" s="2" t="n"/>
      <c r="Y340" s="2" t="n"/>
      <c r="Z340" s="2" t="n"/>
      <c r="AA340" s="2" t="n"/>
      <c r="AB340" s="2" t="n"/>
      <c r="AC340" s="2" t="n">
        <v>20</v>
      </c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>
        <f>IF(F340=1,V340*2,IF(F340=2,V340*F340*2,IF(F340&gt;2,F340*2*V340)))</f>
        <v/>
      </c>
      <c r="AW340" s="2">
        <f>SUM(W340:AU340)</f>
        <v/>
      </c>
    </row>
    <row r="341">
      <c r="A341" s="2" t="inlineStr">
        <is>
          <t>14-K-350</t>
        </is>
      </c>
      <c r="B341" s="3" t="inlineStr">
        <is>
          <t>OJC-A1-SC/SC-SM-30-PC/APC-DP</t>
        </is>
      </c>
      <c r="C341" s="2" t="inlineStr"/>
      <c r="D341" s="2" t="inlineStr">
        <is>
          <t>a1</t>
        </is>
      </c>
      <c r="E341" s="2" t="inlineStr">
        <is>
          <t>2.0mm</t>
        </is>
      </c>
      <c r="F341" s="2" t="n">
        <v>2</v>
      </c>
      <c r="G341" s="2" t="n">
        <v>30</v>
      </c>
      <c r="H341" s="2" t="inlineStr">
        <is>
          <t>SC/PC</t>
        </is>
      </c>
      <c r="I341" s="2" t="inlineStr">
        <is>
          <t>SC/APC</t>
        </is>
      </c>
      <c r="J341" s="2" t="n"/>
      <c r="K341" s="2" t="n"/>
      <c r="L341" s="2" t="n">
        <v>2</v>
      </c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>
        <f>SUM(J341:U341)</f>
        <v/>
      </c>
      <c r="W341" s="2" t="n"/>
      <c r="X341" s="2" t="n"/>
      <c r="Y341" s="2" t="n"/>
      <c r="Z341" s="2" t="n"/>
      <c r="AA341" s="2" t="n">
        <v>4</v>
      </c>
      <c r="AB341" s="2" t="n"/>
      <c r="AC341" s="2" t="n"/>
      <c r="AD341" s="2" t="n">
        <v>4</v>
      </c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>
        <f>IF(F341=1,V341*2,IF(F341=2,V341*F341*2,IF(F341&gt;2,F341*2*V341)))</f>
        <v/>
      </c>
      <c r="AW341" s="2">
        <f>SUM(W341:AU341)</f>
        <v/>
      </c>
    </row>
    <row r="342">
      <c r="A342" s="2" t="inlineStr">
        <is>
          <t>14-K-351</t>
        </is>
      </c>
      <c r="B342" s="3" t="inlineStr">
        <is>
          <t>OJC-A1-SC/SC-SM-30-PC/APC-SP</t>
        </is>
      </c>
      <c r="C342" s="2" t="inlineStr">
        <is>
          <t>K9089063</t>
        </is>
      </c>
      <c r="D342" s="2" t="inlineStr">
        <is>
          <t>a1</t>
        </is>
      </c>
      <c r="E342" s="2" t="inlineStr">
        <is>
          <t>2.0mm</t>
        </is>
      </c>
      <c r="F342" s="2" t="n">
        <v>1</v>
      </c>
      <c r="G342" s="2" t="n">
        <v>30</v>
      </c>
      <c r="H342" s="2" t="inlineStr">
        <is>
          <t>SC/PC</t>
        </is>
      </c>
      <c r="I342" s="2" t="inlineStr">
        <is>
          <t>SC/APC</t>
        </is>
      </c>
      <c r="J342" s="2" t="n"/>
      <c r="K342" s="2" t="n"/>
      <c r="L342" s="2" t="n"/>
      <c r="M342" s="2" t="n"/>
      <c r="N342" s="2" t="n">
        <v>4</v>
      </c>
      <c r="O342" s="2" t="n"/>
      <c r="P342" s="2" t="n"/>
      <c r="Q342" s="2" t="n"/>
      <c r="R342" s="2" t="n">
        <v>30</v>
      </c>
      <c r="S342" s="2" t="n"/>
      <c r="T342" s="2" t="n"/>
      <c r="U342" s="2" t="n"/>
      <c r="V342" s="2">
        <f>SUM(J342:U342)</f>
        <v/>
      </c>
      <c r="W342" s="2" t="n"/>
      <c r="X342" s="2" t="n"/>
      <c r="Y342" s="2" t="n"/>
      <c r="Z342" s="2" t="n"/>
      <c r="AA342" s="2" t="n">
        <v>34</v>
      </c>
      <c r="AB342" s="2" t="n"/>
      <c r="AC342" s="2" t="n">
        <v>34</v>
      </c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>
        <f>IF(F342=1,V342*2,IF(F342=2,V342*F342*2,IF(F342&gt;2,F342*2*V342)))</f>
        <v/>
      </c>
      <c r="AW342" s="2">
        <f>SUM(W342:AU342)</f>
        <v/>
      </c>
    </row>
    <row r="343">
      <c r="A343" s="2" t="inlineStr">
        <is>
          <t>14-K-352</t>
        </is>
      </c>
      <c r="B343" s="3" t="inlineStr">
        <is>
          <t>OJC-A1-SC/SC-SM-30-PC/PC-DP</t>
        </is>
      </c>
      <c r="C343" s="2" t="inlineStr">
        <is>
          <t>K9089152</t>
        </is>
      </c>
      <c r="D343" s="2" t="inlineStr">
        <is>
          <t>a1</t>
        </is>
      </c>
      <c r="E343" s="2" t="inlineStr">
        <is>
          <t>2.0mm</t>
        </is>
      </c>
      <c r="F343" s="2" t="n">
        <v>2</v>
      </c>
      <c r="G343" s="2" t="n">
        <v>30</v>
      </c>
      <c r="H343" s="2" t="inlineStr">
        <is>
          <t>SC/PC</t>
        </is>
      </c>
      <c r="I343" s="2" t="inlineStr">
        <is>
          <t>SC/PC</t>
        </is>
      </c>
      <c r="J343" s="2" t="n">
        <v>2</v>
      </c>
      <c r="K343" s="2" t="n">
        <v>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>
        <f>SUM(J343:U343)</f>
        <v/>
      </c>
      <c r="W343" s="2" t="n"/>
      <c r="X343" s="2" t="n"/>
      <c r="Y343" s="2" t="n"/>
      <c r="Z343" s="2" t="n"/>
      <c r="AA343" s="2" t="n">
        <v>14</v>
      </c>
      <c r="AB343" s="2" t="n">
        <v>14</v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>
        <f>IF(F343=1,V343*2,IF(F343=2,V343*F343*2,IF(F343&gt;2,F343*2*V343)))</f>
        <v/>
      </c>
      <c r="AW343" s="2">
        <f>SUM(W343:AU343)</f>
        <v/>
      </c>
    </row>
    <row r="344">
      <c r="A344" s="2" t="inlineStr">
        <is>
          <t>14-K-353</t>
        </is>
      </c>
      <c r="B344" s="3" t="inlineStr">
        <is>
          <t>OJC-A1-SC/SC-SM-30-PC/PC-SP</t>
        </is>
      </c>
      <c r="C344" s="2" t="inlineStr">
        <is>
          <t>K9089023</t>
        </is>
      </c>
      <c r="D344" s="2" t="inlineStr">
        <is>
          <t>a1</t>
        </is>
      </c>
      <c r="E344" s="2" t="inlineStr">
        <is>
          <t>2.0mm</t>
        </is>
      </c>
      <c r="F344" s="2" t="n">
        <v>1</v>
      </c>
      <c r="G344" s="2" t="n">
        <v>30</v>
      </c>
      <c r="H344" s="2" t="inlineStr">
        <is>
          <t>SC/PC</t>
        </is>
      </c>
      <c r="I344" s="2" t="inlineStr">
        <is>
          <t>SC/PC</t>
        </is>
      </c>
      <c r="J344" s="2" t="n">
        <v>37</v>
      </c>
      <c r="K344" s="2" t="n"/>
      <c r="L344" s="2" t="n"/>
      <c r="M344" s="2" t="n"/>
      <c r="N344" s="2" t="n">
        <v>50</v>
      </c>
      <c r="O344" s="2" t="n"/>
      <c r="P344" s="2" t="n"/>
      <c r="Q344" s="2" t="n"/>
      <c r="R344" s="2" t="n"/>
      <c r="S344" s="2" t="n"/>
      <c r="T344" s="2" t="n"/>
      <c r="U344" s="2" t="n"/>
      <c r="V344" s="2">
        <f>SUM(J344:U344)</f>
        <v/>
      </c>
      <c r="W344" s="2" t="n"/>
      <c r="X344" s="2" t="n"/>
      <c r="Y344" s="2" t="n"/>
      <c r="Z344" s="2" t="n"/>
      <c r="AA344" s="2" t="n">
        <v>174</v>
      </c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>
        <f>IF(F344=1,V344*2,IF(F344=2,V344*F344*2,IF(F344&gt;2,F344*2*V344)))</f>
        <v/>
      </c>
      <c r="AW344" s="2">
        <f>SUM(W344:AU344)</f>
        <v/>
      </c>
    </row>
    <row r="345">
      <c r="A345" s="2" t="inlineStr">
        <is>
          <t>14-K-355</t>
        </is>
      </c>
      <c r="B345" s="3" t="inlineStr">
        <is>
          <t>OJC-A1-SC/SC-SM-35-PC/PC-SP</t>
        </is>
      </c>
      <c r="C345" s="2" t="inlineStr">
        <is>
          <t>K9089024</t>
        </is>
      </c>
      <c r="D345" s="2" t="inlineStr">
        <is>
          <t>a1</t>
        </is>
      </c>
      <c r="E345" s="2" t="inlineStr">
        <is>
          <t>2.0mm</t>
        </is>
      </c>
      <c r="F345" s="2" t="n">
        <v>1</v>
      </c>
      <c r="G345" s="2" t="n">
        <v>35</v>
      </c>
      <c r="H345" s="2" t="inlineStr">
        <is>
          <t>SC/PC</t>
        </is>
      </c>
      <c r="I345" s="2" t="inlineStr">
        <is>
          <t>SC/PC</t>
        </is>
      </c>
      <c r="J345" s="2" t="n"/>
      <c r="K345" s="2" t="n"/>
      <c r="L345" s="2" t="n"/>
      <c r="M345" s="2" t="n"/>
      <c r="N345" s="2" t="n">
        <v>50</v>
      </c>
      <c r="O345" s="2" t="n">
        <v>30</v>
      </c>
      <c r="P345" s="2" t="n"/>
      <c r="Q345" s="2" t="n"/>
      <c r="R345" s="2" t="n"/>
      <c r="S345" s="2" t="n"/>
      <c r="T345" s="2" t="n"/>
      <c r="U345" s="2" t="n"/>
      <c r="V345" s="2">
        <f>SUM(J345:U345)</f>
        <v/>
      </c>
      <c r="W345" s="2" t="n"/>
      <c r="X345" s="2" t="n"/>
      <c r="Y345" s="2" t="n"/>
      <c r="Z345" s="2" t="n"/>
      <c r="AA345" s="2" t="n">
        <v>160</v>
      </c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>
        <f>IF(F345=1,V345*2,IF(F345=2,V345*F345*2,IF(F345&gt;2,F345*2*V345)))</f>
        <v/>
      </c>
      <c r="AW345" s="2">
        <f>SUM(W345:AU345)</f>
        <v/>
      </c>
    </row>
    <row r="346">
      <c r="A346" s="2" t="inlineStr">
        <is>
          <t>14-K-356</t>
        </is>
      </c>
      <c r="B346" s="3" t="inlineStr">
        <is>
          <t>OJC-A1-SC/SC-SM-3-APC/APC-DP</t>
        </is>
      </c>
      <c r="C346" s="2" t="inlineStr"/>
      <c r="D346" s="2" t="inlineStr">
        <is>
          <t>a1</t>
        </is>
      </c>
      <c r="E346" s="2" t="inlineStr">
        <is>
          <t>2.0mm</t>
        </is>
      </c>
      <c r="F346" s="2" t="n">
        <v>2</v>
      </c>
      <c r="G346" s="2" t="n">
        <v>3</v>
      </c>
      <c r="H346" s="2" t="inlineStr">
        <is>
          <t>SC/APC</t>
        </is>
      </c>
      <c r="I346" s="2" t="inlineStr">
        <is>
          <t>SC/APC</t>
        </is>
      </c>
      <c r="J346" s="2" t="n"/>
      <c r="K346" s="2" t="n"/>
      <c r="L346" s="2" t="n"/>
      <c r="M346" s="2" t="n">
        <v>2</v>
      </c>
      <c r="N346" s="2" t="n"/>
      <c r="O346" s="2" t="n">
        <v>100</v>
      </c>
      <c r="P346" s="2" t="n">
        <v>20</v>
      </c>
      <c r="Q346" s="2" t="n"/>
      <c r="R346" s="2" t="n"/>
      <c r="S346" s="2" t="n"/>
      <c r="T346" s="2" t="n">
        <v>8</v>
      </c>
      <c r="U346" s="2" t="n"/>
      <c r="V346" s="2">
        <f>SUM(J346:U346)</f>
        <v/>
      </c>
      <c r="W346" s="2" t="n"/>
      <c r="X346" s="2" t="n"/>
      <c r="Y346" s="2" t="n"/>
      <c r="Z346" s="2" t="n"/>
      <c r="AA346" s="2" t="n"/>
      <c r="AB346" s="2" t="n"/>
      <c r="AC346" s="2" t="n">
        <v>260</v>
      </c>
      <c r="AD346" s="2" t="n">
        <v>260</v>
      </c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>
        <f>IF(F346=1,V346*2,IF(F346=2,V346*F346*2,IF(F346&gt;2,F346*2*V346)))</f>
        <v/>
      </c>
      <c r="AW346" s="2">
        <f>SUM(W346:AU346)</f>
        <v/>
      </c>
    </row>
    <row r="347">
      <c r="A347" s="2" t="inlineStr">
        <is>
          <t>14-K-357</t>
        </is>
      </c>
      <c r="B347" s="3" t="inlineStr">
        <is>
          <t>OJC-A1-SC/SC-SM-3-APC/APC-SP</t>
        </is>
      </c>
      <c r="C347" s="2" t="inlineStr">
        <is>
          <t>K9089111</t>
        </is>
      </c>
      <c r="D347" s="2" t="inlineStr">
        <is>
          <t>a1</t>
        </is>
      </c>
      <c r="E347" s="2" t="inlineStr">
        <is>
          <t>2.0mm</t>
        </is>
      </c>
      <c r="F347" s="2" t="n">
        <v>1</v>
      </c>
      <c r="G347" s="2" t="n">
        <v>3</v>
      </c>
      <c r="H347" s="2" t="inlineStr">
        <is>
          <t>SC/APC</t>
        </is>
      </c>
      <c r="I347" s="2" t="inlineStr">
        <is>
          <t>SC/APC</t>
        </is>
      </c>
      <c r="J347" s="2" t="n">
        <v>100</v>
      </c>
      <c r="K347" s="2" t="n"/>
      <c r="L347" s="2" t="n"/>
      <c r="M347" s="2" t="n"/>
      <c r="N347" s="2" t="n"/>
      <c r="O347" s="2" t="n">
        <v>648</v>
      </c>
      <c r="P347" s="2" t="n"/>
      <c r="Q347" s="2" t="n"/>
      <c r="R347" s="2" t="n">
        <v>580</v>
      </c>
      <c r="S347" s="2" t="n"/>
      <c r="T347" s="2" t="n"/>
      <c r="U347" s="2" t="n"/>
      <c r="V347" s="2">
        <f>SUM(J347:U347)</f>
        <v/>
      </c>
      <c r="W347" s="2" t="n"/>
      <c r="X347" s="2" t="n"/>
      <c r="Y347" s="2" t="n"/>
      <c r="Z347" s="2" t="n"/>
      <c r="AA347" s="2" t="n"/>
      <c r="AB347" s="2" t="n"/>
      <c r="AC347" s="2" t="n">
        <v>2656</v>
      </c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>
        <f>IF(F347=1,V347*2,IF(F347=2,V347*F347*2,IF(F347&gt;2,F347*2*V347)))</f>
        <v/>
      </c>
      <c r="AW347" s="2">
        <f>SUM(W347:AU347)</f>
        <v/>
      </c>
    </row>
    <row r="348">
      <c r="A348" s="2" t="inlineStr">
        <is>
          <t>14-K-360</t>
        </is>
      </c>
      <c r="B348" s="3" t="inlineStr">
        <is>
          <t>OJC-A1-SC/SC-SM-3-PC/APC-SP</t>
        </is>
      </c>
      <c r="C348" s="2" t="inlineStr">
        <is>
          <t>K9089057</t>
        </is>
      </c>
      <c r="D348" s="2" t="inlineStr">
        <is>
          <t>a1</t>
        </is>
      </c>
      <c r="E348" s="2" t="inlineStr">
        <is>
          <t>2.0mm</t>
        </is>
      </c>
      <c r="F348" s="2" t="n">
        <v>1</v>
      </c>
      <c r="G348" s="2" t="n">
        <v>3</v>
      </c>
      <c r="H348" s="2" t="inlineStr">
        <is>
          <t>SC/PC</t>
        </is>
      </c>
      <c r="I348" s="2" t="inlineStr">
        <is>
          <t>SC/APC</t>
        </is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>
        <v>30</v>
      </c>
      <c r="T348" s="2" t="n"/>
      <c r="U348" s="2" t="n"/>
      <c r="V348" s="2">
        <f>SUM(J348:U348)</f>
        <v/>
      </c>
      <c r="W348" s="2" t="n"/>
      <c r="X348" s="2" t="n"/>
      <c r="Y348" s="2" t="n"/>
      <c r="Z348" s="2" t="n"/>
      <c r="AA348" s="2" t="n">
        <v>30</v>
      </c>
      <c r="AB348" s="2" t="n"/>
      <c r="AC348" s="2" t="n">
        <v>30</v>
      </c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>
        <f>IF(F348=1,V348*2,IF(F348=2,V348*F348*2,IF(F348&gt;2,F348*2*V348)))</f>
        <v/>
      </c>
      <c r="AW348" s="2">
        <f>SUM(W348:AU348)</f>
        <v/>
      </c>
    </row>
    <row r="349">
      <c r="A349" s="2" t="inlineStr">
        <is>
          <t>14-K-361</t>
        </is>
      </c>
      <c r="B349" s="3" t="inlineStr">
        <is>
          <t>OJC-A1-SC/SC-SM-3-PC/PC-DP</t>
        </is>
      </c>
      <c r="C349" s="2" t="inlineStr">
        <is>
          <t>K9089125</t>
        </is>
      </c>
      <c r="D349" s="2" t="inlineStr">
        <is>
          <t>a1</t>
        </is>
      </c>
      <c r="E349" s="2" t="inlineStr">
        <is>
          <t>2.0mm</t>
        </is>
      </c>
      <c r="F349" s="2" t="n">
        <v>2</v>
      </c>
      <c r="G349" s="2" t="n">
        <v>3</v>
      </c>
      <c r="H349" s="2" t="inlineStr">
        <is>
          <t>SC/PC</t>
        </is>
      </c>
      <c r="I349" s="2" t="inlineStr">
        <is>
          <t>SC/PC</t>
        </is>
      </c>
      <c r="J349" s="2" t="n"/>
      <c r="K349" s="2" t="n"/>
      <c r="L349" s="2" t="n"/>
      <c r="M349" s="2" t="n"/>
      <c r="N349" s="2" t="n">
        <v>300</v>
      </c>
      <c r="O349" s="2" t="n"/>
      <c r="P349" s="2" t="n"/>
      <c r="Q349" s="2" t="n"/>
      <c r="R349" s="2" t="n"/>
      <c r="S349" s="2" t="n"/>
      <c r="T349" s="2" t="n">
        <v>300</v>
      </c>
      <c r="U349" s="2" t="n"/>
      <c r="V349" s="2">
        <f>SUM(J349:U349)</f>
        <v/>
      </c>
      <c r="W349" s="2" t="n"/>
      <c r="X349" s="2" t="n"/>
      <c r="Y349" s="2" t="n"/>
      <c r="Z349" s="2" t="n"/>
      <c r="AA349" s="2" t="n">
        <v>1200</v>
      </c>
      <c r="AB349" s="2" t="n">
        <v>1200</v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>
        <f>IF(F349=1,V349*2,IF(F349=2,V349*F349*2,IF(F349&gt;2,F349*2*V349)))</f>
        <v/>
      </c>
      <c r="AW349" s="2">
        <f>SUM(W349:AU349)</f>
        <v/>
      </c>
    </row>
    <row r="350">
      <c r="A350" s="2" t="inlineStr">
        <is>
          <t>14-K-362</t>
        </is>
      </c>
      <c r="B350" s="3" t="inlineStr">
        <is>
          <t>OJC-A1-SC/SC-SM-3-PC/PC-SP</t>
        </is>
      </c>
      <c r="C350" s="2" t="inlineStr">
        <is>
          <t>K9088996</t>
        </is>
      </c>
      <c r="D350" s="2" t="inlineStr">
        <is>
          <t>a1</t>
        </is>
      </c>
      <c r="E350" s="2" t="inlineStr">
        <is>
          <t>2.0mm</t>
        </is>
      </c>
      <c r="F350" s="2" t="n">
        <v>1</v>
      </c>
      <c r="G350" s="2" t="n">
        <v>3</v>
      </c>
      <c r="H350" s="2" t="inlineStr">
        <is>
          <t>SC/PC</t>
        </is>
      </c>
      <c r="I350" s="2" t="inlineStr">
        <is>
          <t>SC/PC</t>
        </is>
      </c>
      <c r="J350" s="2" t="n">
        <v>105</v>
      </c>
      <c r="K350" s="2" t="n"/>
      <c r="L350" s="2" t="n"/>
      <c r="M350" s="2" t="n">
        <v>5121</v>
      </c>
      <c r="N350" s="2" t="n">
        <v>3</v>
      </c>
      <c r="O350" s="2" t="n"/>
      <c r="P350" s="2" t="n"/>
      <c r="Q350" s="2" t="n">
        <v>2010</v>
      </c>
      <c r="R350" s="2" t="n">
        <v>200</v>
      </c>
      <c r="S350" s="2" t="n"/>
      <c r="T350" s="2" t="n">
        <v>1000</v>
      </c>
      <c r="U350" s="2" t="n"/>
      <c r="V350" s="2">
        <f>SUM(J350:U350)</f>
        <v/>
      </c>
      <c r="W350" s="2" t="n"/>
      <c r="X350" s="2" t="n"/>
      <c r="Y350" s="2" t="n"/>
      <c r="Z350" s="2" t="n"/>
      <c r="AA350" s="2" t="n">
        <v>16878</v>
      </c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>
        <f>IF(F350=1,V350*2,IF(F350=2,V350*F350*2,IF(F350&gt;2,F350*2*V350)))</f>
        <v/>
      </c>
      <c r="AW350" s="2">
        <f>SUM(W350:AU350)</f>
        <v/>
      </c>
    </row>
    <row r="351">
      <c r="A351" s="2" t="inlineStr">
        <is>
          <t>14-K-365</t>
        </is>
      </c>
      <c r="B351" s="3" t="inlineStr">
        <is>
          <t>OJC-A1-SC/SC-SM-40-PC/PC-SP</t>
        </is>
      </c>
      <c r="C351" s="2" t="inlineStr">
        <is>
          <t>K9089025</t>
        </is>
      </c>
      <c r="D351" s="2" t="inlineStr">
        <is>
          <t>a1</t>
        </is>
      </c>
      <c r="E351" s="2" t="inlineStr">
        <is>
          <t>2.0mm</t>
        </is>
      </c>
      <c r="F351" s="2" t="n">
        <v>1</v>
      </c>
      <c r="G351" s="2" t="n">
        <v>40</v>
      </c>
      <c r="H351" s="2" t="inlineStr">
        <is>
          <t>SC/PC</t>
        </is>
      </c>
      <c r="I351" s="2" t="inlineStr">
        <is>
          <t>SC/PC</t>
        </is>
      </c>
      <c r="J351" s="2" t="n"/>
      <c r="K351" s="2" t="n"/>
      <c r="L351" s="2" t="n"/>
      <c r="M351" s="2" t="n"/>
      <c r="N351" s="2" t="n">
        <v>34</v>
      </c>
      <c r="O351" s="2" t="n"/>
      <c r="P351" s="2" t="n"/>
      <c r="Q351" s="2" t="n">
        <v>2</v>
      </c>
      <c r="R351" s="2" t="n">
        <v>50</v>
      </c>
      <c r="S351" s="2" t="n"/>
      <c r="T351" s="2" t="n">
        <v>5</v>
      </c>
      <c r="U351" s="2" t="n"/>
      <c r="V351" s="2">
        <f>SUM(J351:U351)</f>
        <v/>
      </c>
      <c r="W351" s="2" t="n"/>
      <c r="X351" s="2" t="n"/>
      <c r="Y351" s="2" t="n"/>
      <c r="Z351" s="2" t="n"/>
      <c r="AA351" s="2" t="n">
        <v>182</v>
      </c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>
        <f>IF(F351=1,V351*2,IF(F351=2,V351*F351*2,IF(F351&gt;2,F351*2*V351)))</f>
        <v/>
      </c>
      <c r="AW351" s="2">
        <f>SUM(W351:AU351)</f>
        <v/>
      </c>
    </row>
    <row r="352">
      <c r="A352" s="2" t="inlineStr">
        <is>
          <t>14-K-366</t>
        </is>
      </c>
      <c r="B352" s="3" t="inlineStr">
        <is>
          <t>OJC-A1-SC/SC-SM-45-PC/PC-DP</t>
        </is>
      </c>
      <c r="C352" s="2" t="inlineStr">
        <is>
          <t>K9089155</t>
        </is>
      </c>
      <c r="D352" s="2" t="inlineStr">
        <is>
          <t>a1</t>
        </is>
      </c>
      <c r="E352" s="2" t="inlineStr">
        <is>
          <t>2.0mm</t>
        </is>
      </c>
      <c r="F352" s="2" t="n">
        <v>2</v>
      </c>
      <c r="G352" s="2" t="n">
        <v>45</v>
      </c>
      <c r="H352" s="2" t="inlineStr">
        <is>
          <t>SC/PC</t>
        </is>
      </c>
      <c r="I352" s="2" t="inlineStr">
        <is>
          <t>SC/PC</t>
        </is>
      </c>
      <c r="J352" s="2" t="n"/>
      <c r="K352" s="2" t="n"/>
      <c r="L352" s="2" t="n"/>
      <c r="M352" s="2" t="n"/>
      <c r="N352" s="2" t="n"/>
      <c r="O352" s="2" t="n"/>
      <c r="P352" s="2" t="n"/>
      <c r="Q352" s="2" t="n">
        <v>5</v>
      </c>
      <c r="R352" s="2" t="n"/>
      <c r="S352" s="2" t="n"/>
      <c r="T352" s="2" t="n"/>
      <c r="U352" s="2" t="n"/>
      <c r="V352" s="2">
        <f>SUM(J352:U352)</f>
        <v/>
      </c>
      <c r="W352" s="2" t="n"/>
      <c r="X352" s="2" t="n"/>
      <c r="Y352" s="2" t="n"/>
      <c r="Z352" s="2" t="n"/>
      <c r="AA352" s="2" t="n">
        <v>10</v>
      </c>
      <c r="AB352" s="2" t="n">
        <v>10</v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>
        <f>IF(F352=1,V352*2,IF(F352=2,V352*F352*2,IF(F352&gt;2,F352*2*V352)))</f>
        <v/>
      </c>
      <c r="AW352" s="2">
        <f>SUM(W352:AU352)</f>
        <v/>
      </c>
    </row>
    <row r="353">
      <c r="A353" s="2" t="inlineStr">
        <is>
          <t>14-K-367</t>
        </is>
      </c>
      <c r="B353" s="3" t="inlineStr">
        <is>
          <t>OJC-A1-SC/SC-SM-45-PC/PC-SP</t>
        </is>
      </c>
      <c r="C353" s="2" t="inlineStr">
        <is>
          <t>K9089026</t>
        </is>
      </c>
      <c r="D353" s="2" t="inlineStr">
        <is>
          <t>a1</t>
        </is>
      </c>
      <c r="E353" s="2" t="inlineStr">
        <is>
          <t>2.0mm</t>
        </is>
      </c>
      <c r="F353" s="2" t="n">
        <v>1</v>
      </c>
      <c r="G353" s="2" t="n">
        <v>45</v>
      </c>
      <c r="H353" s="2" t="inlineStr">
        <is>
          <t>SC/PC</t>
        </is>
      </c>
      <c r="I353" s="2" t="inlineStr">
        <is>
          <t>SC/PC</t>
        </is>
      </c>
      <c r="J353" s="2" t="n"/>
      <c r="K353" s="2" t="n">
        <v>30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>
        <f>SUM(J353:U353)</f>
        <v/>
      </c>
      <c r="W353" s="2" t="n"/>
      <c r="X353" s="2" t="n"/>
      <c r="Y353" s="2" t="n"/>
      <c r="Z353" s="2" t="n"/>
      <c r="AA353" s="2" t="n">
        <v>60</v>
      </c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>
        <f>IF(F353=1,V353*2,IF(F353=2,V353*F353*2,IF(F353&gt;2,F353*2*V353)))</f>
        <v/>
      </c>
      <c r="AW353" s="2">
        <f>SUM(W353:AU353)</f>
        <v/>
      </c>
    </row>
    <row r="354">
      <c r="A354" s="2" t="inlineStr">
        <is>
          <t>14-K-369</t>
        </is>
      </c>
      <c r="B354" s="3" t="inlineStr">
        <is>
          <t>OJC-A1-SC/SC-SM-4-PC/PC-SP</t>
        </is>
      </c>
      <c r="C354" s="2" t="inlineStr">
        <is>
          <t>K9088997</t>
        </is>
      </c>
      <c r="D354" s="2" t="inlineStr">
        <is>
          <t>a1</t>
        </is>
      </c>
      <c r="E354" s="2" t="inlineStr">
        <is>
          <t>2.0mm</t>
        </is>
      </c>
      <c r="F354" s="2" t="n">
        <v>1</v>
      </c>
      <c r="G354" s="2" t="n">
        <v>4</v>
      </c>
      <c r="H354" s="2" t="inlineStr">
        <is>
          <t>SC/PC</t>
        </is>
      </c>
      <c r="I354" s="2" t="inlineStr">
        <is>
          <t>SC/PC</t>
        </is>
      </c>
      <c r="J354" s="2" t="n"/>
      <c r="K354" s="2" t="n"/>
      <c r="L354" s="2" t="n"/>
      <c r="M354" s="2" t="n">
        <v>200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>
        <f>SUM(J354:U354)</f>
        <v/>
      </c>
      <c r="W354" s="2" t="n"/>
      <c r="X354" s="2" t="n"/>
      <c r="Y354" s="2" t="n"/>
      <c r="Z354" s="2" t="n"/>
      <c r="AA354" s="2" t="n">
        <v>400</v>
      </c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>
        <f>IF(F354=1,V354*2,IF(F354=2,V354*F354*2,IF(F354&gt;2,F354*2*V354)))</f>
        <v/>
      </c>
      <c r="AW354" s="2">
        <f>SUM(W354:AU354)</f>
        <v/>
      </c>
    </row>
    <row r="355">
      <c r="A355" s="2" t="inlineStr">
        <is>
          <t>14-K-371</t>
        </is>
      </c>
      <c r="B355" s="3" t="inlineStr">
        <is>
          <t>OJC-A1-SC/SC-SM-50-PC/PC-DP</t>
        </is>
      </c>
      <c r="C355" s="2" t="inlineStr">
        <is>
          <t>K9089156</t>
        </is>
      </c>
      <c r="D355" s="2" t="inlineStr">
        <is>
          <t>a1</t>
        </is>
      </c>
      <c r="E355" s="2" t="inlineStr">
        <is>
          <t>2.0mm</t>
        </is>
      </c>
      <c r="F355" s="2" t="n">
        <v>2</v>
      </c>
      <c r="G355" s="2" t="n">
        <v>50</v>
      </c>
      <c r="H355" s="2" t="inlineStr">
        <is>
          <t>SC/PC</t>
        </is>
      </c>
      <c r="I355" s="2" t="inlineStr">
        <is>
          <t>SC/PC</t>
        </is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>
        <v>2</v>
      </c>
      <c r="T355" s="2" t="n"/>
      <c r="U355" s="2" t="n"/>
      <c r="V355" s="2">
        <f>SUM(J355:U355)</f>
        <v/>
      </c>
      <c r="W355" s="2" t="n"/>
      <c r="X355" s="2" t="n"/>
      <c r="Y355" s="2" t="n"/>
      <c r="Z355" s="2" t="n"/>
      <c r="AA355" s="2" t="n">
        <v>4</v>
      </c>
      <c r="AB355" s="2" t="n">
        <v>4</v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>
        <f>IF(F355=1,V355*2,IF(F355=2,V355*F355*2,IF(F355&gt;2,F355*2*V355)))</f>
        <v/>
      </c>
      <c r="AW355" s="2">
        <f>SUM(W355:AU355)</f>
        <v/>
      </c>
    </row>
    <row r="356">
      <c r="A356" s="2" t="inlineStr">
        <is>
          <t>14-K-372</t>
        </is>
      </c>
      <c r="B356" s="3" t="inlineStr">
        <is>
          <t>OJC-A1-SC/SC-SM-50-PC/PC-SP</t>
        </is>
      </c>
      <c r="C356" s="2" t="inlineStr">
        <is>
          <t>K9089027</t>
        </is>
      </c>
      <c r="D356" s="2" t="inlineStr">
        <is>
          <t>a1</t>
        </is>
      </c>
      <c r="E356" s="2" t="inlineStr">
        <is>
          <t>2.0mm</t>
        </is>
      </c>
      <c r="F356" s="2" t="n">
        <v>1</v>
      </c>
      <c r="G356" s="2" t="n">
        <v>50</v>
      </c>
      <c r="H356" s="2" t="inlineStr">
        <is>
          <t>SC/PC</t>
        </is>
      </c>
      <c r="I356" s="2" t="inlineStr">
        <is>
          <t>SC/PC</t>
        </is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>
        <v>50</v>
      </c>
      <c r="S356" s="2" t="n"/>
      <c r="T356" s="2" t="n"/>
      <c r="U356" s="2" t="n"/>
      <c r="V356" s="2">
        <f>SUM(J356:U356)</f>
        <v/>
      </c>
      <c r="W356" s="2" t="n"/>
      <c r="X356" s="2" t="n"/>
      <c r="Y356" s="2" t="n"/>
      <c r="Z356" s="2" t="n"/>
      <c r="AA356" s="2" t="n">
        <v>100</v>
      </c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>
        <f>IF(F356=1,V356*2,IF(F356=2,V356*F356*2,IF(F356&gt;2,F356*2*V356)))</f>
        <v/>
      </c>
      <c r="AW356" s="2">
        <f>SUM(W356:AU356)</f>
        <v/>
      </c>
    </row>
    <row r="357">
      <c r="A357" s="2" t="inlineStr">
        <is>
          <t>14-K-375</t>
        </is>
      </c>
      <c r="B357" s="3" t="inlineStr">
        <is>
          <t>OJC-A1-SC/SC-SM-5-APC/APC-SP</t>
        </is>
      </c>
      <c r="C357" s="2" t="inlineStr"/>
      <c r="D357" s="2" t="inlineStr">
        <is>
          <t>a1</t>
        </is>
      </c>
      <c r="E357" s="2" t="inlineStr">
        <is>
          <t>2.0mm</t>
        </is>
      </c>
      <c r="F357" s="2" t="n">
        <v>1</v>
      </c>
      <c r="G357" s="2" t="n">
        <v>5</v>
      </c>
      <c r="H357" s="2" t="inlineStr">
        <is>
          <t>SC/APC</t>
        </is>
      </c>
      <c r="I357" s="2" t="inlineStr">
        <is>
          <t>SC/APC</t>
        </is>
      </c>
      <c r="J357" s="2" t="n">
        <v>55</v>
      </c>
      <c r="K357" s="2" t="n"/>
      <c r="L357" s="2" t="n"/>
      <c r="M357" s="2" t="n"/>
      <c r="N357" s="2" t="n"/>
      <c r="O357" s="2" t="n"/>
      <c r="P357" s="2" t="n"/>
      <c r="Q357" s="2" t="n">
        <v>40</v>
      </c>
      <c r="R357" s="2" t="n">
        <v>95</v>
      </c>
      <c r="S357" s="2" t="n"/>
      <c r="T357" s="2" t="n"/>
      <c r="U357" s="2" t="n">
        <v>56</v>
      </c>
      <c r="V357" s="2">
        <f>SUM(J357:U357)</f>
        <v/>
      </c>
      <c r="W357" s="2" t="n"/>
      <c r="X357" s="2" t="n"/>
      <c r="Y357" s="2" t="n"/>
      <c r="Z357" s="2" t="n"/>
      <c r="AA357" s="2" t="n"/>
      <c r="AB357" s="2" t="n"/>
      <c r="AC357" s="2" t="n">
        <v>492</v>
      </c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>
        <f>IF(F357=1,V357*2,IF(F357=2,V357*F357*2,IF(F357&gt;2,F357*2*V357)))</f>
        <v/>
      </c>
      <c r="AW357" s="2">
        <f>SUM(W357:AU357)</f>
        <v/>
      </c>
    </row>
    <row r="358">
      <c r="A358" s="2" t="inlineStr">
        <is>
          <t>14-K-376</t>
        </is>
      </c>
      <c r="B358" s="3" t="inlineStr">
        <is>
          <t>OJC-A1-SC/SC-SM-5-PC/APC-DP</t>
        </is>
      </c>
      <c r="C358" s="2" t="inlineStr">
        <is>
          <t>K9089187</t>
        </is>
      </c>
      <c r="D358" s="2" t="inlineStr">
        <is>
          <t>a1</t>
        </is>
      </c>
      <c r="E358" s="2" t="inlineStr">
        <is>
          <t>2.0mm</t>
        </is>
      </c>
      <c r="F358" s="2" t="n">
        <v>2</v>
      </c>
      <c r="G358" s="2" t="n">
        <v>5</v>
      </c>
      <c r="H358" s="2" t="inlineStr">
        <is>
          <t>SC/PC</t>
        </is>
      </c>
      <c r="I358" s="2" t="inlineStr">
        <is>
          <t>SC/APC</t>
        </is>
      </c>
      <c r="J358" s="2" t="n"/>
      <c r="K358" s="2" t="n"/>
      <c r="L358" s="2" t="n"/>
      <c r="M358" s="2" t="n"/>
      <c r="N358" s="2" t="n">
        <v>2</v>
      </c>
      <c r="O358" s="2" t="n"/>
      <c r="P358" s="2" t="n"/>
      <c r="Q358" s="2" t="n"/>
      <c r="R358" s="2" t="n"/>
      <c r="S358" s="2" t="n"/>
      <c r="T358" s="2" t="n"/>
      <c r="U358" s="2" t="n"/>
      <c r="V358" s="2">
        <f>SUM(J358:U358)</f>
        <v/>
      </c>
      <c r="W358" s="2" t="n"/>
      <c r="X358" s="2" t="n"/>
      <c r="Y358" s="2" t="n"/>
      <c r="Z358" s="2" t="n"/>
      <c r="AA358" s="2" t="n">
        <v>4</v>
      </c>
      <c r="AB358" s="2" t="n"/>
      <c r="AC358" s="2" t="n"/>
      <c r="AD358" s="2" t="n">
        <v>4</v>
      </c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>
        <f>IF(F358=1,V358*2,IF(F358=2,V358*F358*2,IF(F358&gt;2,F358*2*V358)))</f>
        <v/>
      </c>
      <c r="AW358" s="2">
        <f>SUM(W358:AU358)</f>
        <v/>
      </c>
    </row>
    <row r="359">
      <c r="A359" s="2" t="inlineStr">
        <is>
          <t>14-K-377</t>
        </is>
      </c>
      <c r="B359" s="3" t="inlineStr">
        <is>
          <t>OJC-A1-SC/SC-SM-5-PC/APC-SP</t>
        </is>
      </c>
      <c r="C359" s="2" t="inlineStr">
        <is>
          <t>K9089058</t>
        </is>
      </c>
      <c r="D359" s="2" t="inlineStr">
        <is>
          <t>a1</t>
        </is>
      </c>
      <c r="E359" s="2" t="inlineStr">
        <is>
          <t>2.0mm</t>
        </is>
      </c>
      <c r="F359" s="2" t="n">
        <v>1</v>
      </c>
      <c r="G359" s="2" t="n">
        <v>5</v>
      </c>
      <c r="H359" s="2" t="inlineStr">
        <is>
          <t>SC/PC</t>
        </is>
      </c>
      <c r="I359" s="2" t="inlineStr">
        <is>
          <t>SC/APC</t>
        </is>
      </c>
      <c r="J359" s="2" t="n"/>
      <c r="K359" s="2" t="n"/>
      <c r="L359" s="2" t="n">
        <v>30</v>
      </c>
      <c r="M359" s="2" t="n"/>
      <c r="N359" s="2" t="n"/>
      <c r="O359" s="2" t="n">
        <v>4</v>
      </c>
      <c r="P359" s="2" t="n"/>
      <c r="Q359" s="2" t="n"/>
      <c r="R359" s="2" t="n"/>
      <c r="S359" s="2" t="n">
        <v>20</v>
      </c>
      <c r="T359" s="2" t="n"/>
      <c r="U359" s="2" t="n"/>
      <c r="V359" s="2">
        <f>SUM(J359:U359)</f>
        <v/>
      </c>
      <c r="W359" s="2" t="n"/>
      <c r="X359" s="2" t="n"/>
      <c r="Y359" s="2" t="n"/>
      <c r="Z359" s="2" t="n"/>
      <c r="AA359" s="2" t="n">
        <v>54</v>
      </c>
      <c r="AB359" s="2" t="n"/>
      <c r="AC359" s="2" t="n">
        <v>54</v>
      </c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>
        <f>IF(F359=1,V359*2,IF(F359=2,V359*F359*2,IF(F359&gt;2,F359*2*V359)))</f>
        <v/>
      </c>
      <c r="AW359" s="2">
        <f>SUM(W359:AU359)</f>
        <v/>
      </c>
    </row>
    <row r="360">
      <c r="A360" s="2" t="inlineStr">
        <is>
          <t>14-K-380</t>
        </is>
      </c>
      <c r="B360" s="3" t="inlineStr">
        <is>
          <t>OJC-A1-SC/SC-SM-60-PC/PC-DP</t>
        </is>
      </c>
      <c r="C360" s="2" t="inlineStr">
        <is>
          <t>K9089123</t>
        </is>
      </c>
      <c r="D360" s="2" t="inlineStr">
        <is>
          <t>a1</t>
        </is>
      </c>
      <c r="E360" s="2" t="inlineStr">
        <is>
          <t>2.0mm</t>
        </is>
      </c>
      <c r="F360" s="2" t="n">
        <v>2</v>
      </c>
      <c r="G360" s="2" t="n">
        <v>60</v>
      </c>
      <c r="H360" s="2" t="inlineStr">
        <is>
          <t>SC/PC</t>
        </is>
      </c>
      <c r="I360" s="2" t="inlineStr">
        <is>
          <t>SC/PC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>
        <v>3</v>
      </c>
      <c r="T360" s="2" t="n"/>
      <c r="U360" s="2" t="n"/>
      <c r="V360" s="2">
        <f>SUM(J360:U360)</f>
        <v/>
      </c>
      <c r="W360" s="2" t="n"/>
      <c r="X360" s="2" t="n"/>
      <c r="Y360" s="2" t="n"/>
      <c r="Z360" s="2" t="n"/>
      <c r="AA360" s="2" t="n">
        <v>6</v>
      </c>
      <c r="AB360" s="2" t="n">
        <v>6</v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>
        <f>IF(F360=1,V360*2,IF(F360=2,V360*F360*2,IF(F360&gt;2,F360*2*V360)))</f>
        <v/>
      </c>
      <c r="AW360" s="2">
        <f>SUM(W360:AU360)</f>
        <v/>
      </c>
    </row>
    <row r="361">
      <c r="A361" s="2" t="inlineStr">
        <is>
          <t>14-K-383</t>
        </is>
      </c>
      <c r="B361" s="3" t="inlineStr">
        <is>
          <t>OJC-A1-SC/SC-SM-6-APC/APC-SP</t>
        </is>
      </c>
      <c r="C361" s="2" t="inlineStr"/>
      <c r="D361" s="2" t="inlineStr">
        <is>
          <t>a1</t>
        </is>
      </c>
      <c r="E361" s="2" t="inlineStr">
        <is>
          <t>2.0mm</t>
        </is>
      </c>
      <c r="F361" s="2" t="n">
        <v>1</v>
      </c>
      <c r="G361" s="2" t="n">
        <v>6</v>
      </c>
      <c r="H361" s="2" t="inlineStr">
        <is>
          <t>SC/APC</t>
        </is>
      </c>
      <c r="I361" s="2" t="inlineStr">
        <is>
          <t>SC/APC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>
        <v>28</v>
      </c>
      <c r="S361" s="2" t="n"/>
      <c r="T361" s="2" t="n"/>
      <c r="U361" s="2" t="n"/>
      <c r="V361" s="2">
        <f>SUM(J361:U361)</f>
        <v/>
      </c>
      <c r="W361" s="2" t="n"/>
      <c r="X361" s="2" t="n"/>
      <c r="Y361" s="2" t="n"/>
      <c r="Z361" s="2" t="n"/>
      <c r="AA361" s="2" t="n"/>
      <c r="AB361" s="2" t="n"/>
      <c r="AC361" s="2" t="n">
        <v>56</v>
      </c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>
        <f>IF(F361=1,V361*2,IF(F361=2,V361*F361*2,IF(F361&gt;2,F361*2*V361)))</f>
        <v/>
      </c>
      <c r="AW361" s="2">
        <f>SUM(W361:AU361)</f>
        <v/>
      </c>
    </row>
    <row r="362">
      <c r="A362" s="2" t="inlineStr">
        <is>
          <t>14-K-385</t>
        </is>
      </c>
      <c r="B362" s="3" t="inlineStr">
        <is>
          <t>OJC-A1-SC/SC-SM-6-PC/PC-SP</t>
        </is>
      </c>
      <c r="C362" s="2" t="inlineStr">
        <is>
          <t>K9088999</t>
        </is>
      </c>
      <c r="D362" s="2" t="inlineStr">
        <is>
          <t>a1</t>
        </is>
      </c>
      <c r="E362" s="2" t="inlineStr">
        <is>
          <t>2.0mm</t>
        </is>
      </c>
      <c r="F362" s="2" t="n">
        <v>1</v>
      </c>
      <c r="G362" s="2" t="n">
        <v>6</v>
      </c>
      <c r="H362" s="2" t="inlineStr">
        <is>
          <t>SC/PC</t>
        </is>
      </c>
      <c r="I362" s="2" t="inlineStr">
        <is>
          <t>SC/PC</t>
        </is>
      </c>
      <c r="J362" s="2" t="n">
        <v>32</v>
      </c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>
        <f>SUM(J362:U362)</f>
        <v/>
      </c>
      <c r="W362" s="2" t="n"/>
      <c r="X362" s="2" t="n"/>
      <c r="Y362" s="2" t="n"/>
      <c r="Z362" s="2" t="n"/>
      <c r="AA362" s="2" t="n">
        <v>64</v>
      </c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>
        <f>IF(F362=1,V362*2,IF(F362=2,V362*F362*2,IF(F362&gt;2,F362*2*V362)))</f>
        <v/>
      </c>
      <c r="AW362" s="2">
        <f>SUM(W362:AU362)</f>
        <v/>
      </c>
    </row>
    <row r="363">
      <c r="A363" s="2" t="inlineStr">
        <is>
          <t>14-K-386</t>
        </is>
      </c>
      <c r="B363" s="3" t="inlineStr">
        <is>
          <t>OJC-A1-SC/SC-SM-7-APC/APC-SP</t>
        </is>
      </c>
      <c r="C363" s="2" t="inlineStr"/>
      <c r="D363" s="2" t="inlineStr">
        <is>
          <t>a1</t>
        </is>
      </c>
      <c r="E363" s="2" t="inlineStr">
        <is>
          <t>2.0mm</t>
        </is>
      </c>
      <c r="F363" s="2" t="n">
        <v>1</v>
      </c>
      <c r="G363" s="2" t="n">
        <v>7</v>
      </c>
      <c r="H363" s="2" t="inlineStr">
        <is>
          <t>SC/APC</t>
        </is>
      </c>
      <c r="I363" s="2" t="inlineStr">
        <is>
          <t>SC/APC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>
        <v>20</v>
      </c>
      <c r="V363" s="2">
        <f>SUM(J363:U363)</f>
        <v/>
      </c>
      <c r="W363" s="2" t="n"/>
      <c r="X363" s="2" t="n"/>
      <c r="Y363" s="2" t="n"/>
      <c r="Z363" s="2" t="n"/>
      <c r="AA363" s="2" t="n"/>
      <c r="AB363" s="2" t="n"/>
      <c r="AC363" s="2" t="n">
        <v>40</v>
      </c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>
        <f>IF(F363=1,V363*2,IF(F363=2,V363*F363*2,IF(F363&gt;2,F363*2*V363)))</f>
        <v/>
      </c>
      <c r="AW363" s="2">
        <f>SUM(W363:AU363)</f>
        <v/>
      </c>
    </row>
    <row r="364">
      <c r="A364" s="2" t="inlineStr">
        <is>
          <t>14-K-388</t>
        </is>
      </c>
      <c r="B364" s="3" t="inlineStr">
        <is>
          <t>OJC-A1-SC/SC-SM-7-PC/PC-DP</t>
        </is>
      </c>
      <c r="C364" s="2" t="inlineStr">
        <is>
          <t>K9089129</t>
        </is>
      </c>
      <c r="D364" s="2" t="inlineStr">
        <is>
          <t>a1</t>
        </is>
      </c>
      <c r="E364" s="2" t="inlineStr">
        <is>
          <t>2.0mm</t>
        </is>
      </c>
      <c r="F364" s="2" t="n">
        <v>2</v>
      </c>
      <c r="G364" s="2" t="n">
        <v>7</v>
      </c>
      <c r="H364" s="2" t="inlineStr">
        <is>
          <t>SC/PC</t>
        </is>
      </c>
      <c r="I364" s="2" t="inlineStr">
        <is>
          <t>SC/PC</t>
        </is>
      </c>
      <c r="J364" s="2" t="n"/>
      <c r="K364" s="2" t="n"/>
      <c r="L364" s="2" t="n"/>
      <c r="M364" s="2" t="n"/>
      <c r="N364" s="2" t="n">
        <v>50</v>
      </c>
      <c r="O364" s="2" t="n"/>
      <c r="P364" s="2" t="n"/>
      <c r="Q364" s="2" t="n"/>
      <c r="R364" s="2" t="n">
        <v>5</v>
      </c>
      <c r="S364" s="2" t="n">
        <v>1</v>
      </c>
      <c r="T364" s="2" t="n"/>
      <c r="U364" s="2" t="n"/>
      <c r="V364" s="2">
        <f>SUM(J364:U364)</f>
        <v/>
      </c>
      <c r="W364" s="2" t="n"/>
      <c r="X364" s="2" t="n"/>
      <c r="Y364" s="2" t="n"/>
      <c r="Z364" s="2" t="n"/>
      <c r="AA364" s="2" t="n">
        <v>112</v>
      </c>
      <c r="AB364" s="2" t="n">
        <v>112</v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>
        <f>IF(F364=1,V364*2,IF(F364=2,V364*F364*2,IF(F364&gt;2,F364*2*V364)))</f>
        <v/>
      </c>
      <c r="AW364" s="2">
        <f>SUM(W364:AU364)</f>
        <v/>
      </c>
    </row>
    <row r="365">
      <c r="A365" s="2" t="inlineStr">
        <is>
          <t>14-K-390</t>
        </is>
      </c>
      <c r="B365" s="3" t="inlineStr">
        <is>
          <t>OJC-A1-SC/SC-SM-8-APC/APC-SP</t>
        </is>
      </c>
      <c r="C365" s="2" t="inlineStr"/>
      <c r="D365" s="2" t="inlineStr">
        <is>
          <t>a1</t>
        </is>
      </c>
      <c r="E365" s="2" t="inlineStr">
        <is>
          <t>2.0mm</t>
        </is>
      </c>
      <c r="F365" s="2" t="n">
        <v>1</v>
      </c>
      <c r="G365" s="2" t="n">
        <v>8</v>
      </c>
      <c r="H365" s="2" t="inlineStr">
        <is>
          <t>SC/APC</t>
        </is>
      </c>
      <c r="I365" s="2" t="inlineStr">
        <is>
          <t>SC/APC</t>
        </is>
      </c>
      <c r="J365" s="2" t="n"/>
      <c r="K365" s="2" t="n"/>
      <c r="L365" s="2" t="n"/>
      <c r="M365" s="2" t="n"/>
      <c r="N365" s="2" t="n"/>
      <c r="O365" s="2" t="n"/>
      <c r="P365" s="2" t="n"/>
      <c r="Q365" s="2" t="n">
        <v>30</v>
      </c>
      <c r="R365" s="2" t="n"/>
      <c r="S365" s="2" t="n"/>
      <c r="T365" s="2" t="n"/>
      <c r="U365" s="2" t="n"/>
      <c r="V365" s="2">
        <f>SUM(J365:U365)</f>
        <v/>
      </c>
      <c r="W365" s="2" t="n"/>
      <c r="X365" s="2" t="n"/>
      <c r="Y365" s="2" t="n"/>
      <c r="Z365" s="2" t="n"/>
      <c r="AA365" s="2" t="n"/>
      <c r="AB365" s="2" t="n"/>
      <c r="AC365" s="2" t="n">
        <v>60</v>
      </c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>
        <f>IF(F365=1,V365*2,IF(F365=2,V365*F365*2,IF(F365&gt;2,F365*2*V365)))</f>
        <v/>
      </c>
      <c r="AW365" s="2">
        <f>SUM(W365:AU365)</f>
        <v/>
      </c>
    </row>
    <row r="366">
      <c r="A366" s="2" t="inlineStr">
        <is>
          <t>14-K-414</t>
        </is>
      </c>
      <c r="B366" s="3" t="inlineStr">
        <is>
          <t>OJC-A1-SC/LC-SM-3-APC/PC-SP</t>
        </is>
      </c>
      <c r="C366" s="2" t="inlineStr"/>
      <c r="D366" s="2" t="inlineStr">
        <is>
          <t>a1</t>
        </is>
      </c>
      <c r="E366" s="2" t="inlineStr">
        <is>
          <t>2.0mm</t>
        </is>
      </c>
      <c r="F366" s="2" t="n">
        <v>1</v>
      </c>
      <c r="G366" s="2" t="n">
        <v>3</v>
      </c>
      <c r="H366" s="2" t="inlineStr">
        <is>
          <t>SC/APC</t>
        </is>
      </c>
      <c r="I366" s="2" t="inlineStr">
        <is>
          <t>LC/PC</t>
        </is>
      </c>
      <c r="J366" s="2" t="n"/>
      <c r="K366" s="2" t="n">
        <v>15</v>
      </c>
      <c r="L366" s="2" t="n"/>
      <c r="M366" s="2" t="n"/>
      <c r="N366" s="2" t="n"/>
      <c r="O366" s="2" t="n">
        <v>80</v>
      </c>
      <c r="P366" s="2" t="n"/>
      <c r="Q366" s="2" t="n"/>
      <c r="R366" s="2" t="n"/>
      <c r="S366" s="2" t="n">
        <v>80</v>
      </c>
      <c r="T366" s="2" t="n"/>
      <c r="U366" s="2" t="n"/>
      <c r="V366" s="2">
        <f>SUM(J366:U366)</f>
        <v/>
      </c>
      <c r="W366" s="2" t="n">
        <v>175</v>
      </c>
      <c r="X366" s="2" t="n"/>
      <c r="Y366" s="2" t="n"/>
      <c r="Z366" s="2" t="n"/>
      <c r="AA366" s="2" t="n"/>
      <c r="AB366" s="2" t="n"/>
      <c r="AC366" s="2" t="n">
        <v>175</v>
      </c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>
        <f>IF(F366=1,V366*2,IF(F366=2,V366*F366*2,IF(F366&gt;2,F366*2*V366)))</f>
        <v/>
      </c>
      <c r="AW366" s="2">
        <f>SUM(W366:AU366)</f>
        <v/>
      </c>
    </row>
    <row r="367">
      <c r="A367" s="2" t="inlineStr">
        <is>
          <t>14-K-456</t>
        </is>
      </c>
      <c r="B367" s="3" t="inlineStr">
        <is>
          <t>OJC-C2-SC/SC-SM-10-PC/PC-12C</t>
        </is>
      </c>
      <c r="C367" s="2" t="inlineStr">
        <is>
          <t>K9089453</t>
        </is>
      </c>
      <c r="D367" s="2" t="inlineStr">
        <is>
          <t>a1-12c</t>
        </is>
      </c>
      <c r="E367" s="2" t="inlineStr">
        <is>
          <t>2.0mm</t>
        </is>
      </c>
      <c r="F367" s="2" t="n">
        <v>12</v>
      </c>
      <c r="G367" s="2" t="n">
        <v>10</v>
      </c>
      <c r="H367" s="2" t="inlineStr">
        <is>
          <t>SC/PC</t>
        </is>
      </c>
      <c r="I367" s="2" t="inlineStr">
        <is>
          <t>SC/PC</t>
        </is>
      </c>
      <c r="J367" s="2" t="n"/>
      <c r="K367" s="2" t="n"/>
      <c r="L367" s="2" t="n">
        <v>10</v>
      </c>
      <c r="M367" s="2" t="n"/>
      <c r="N367" s="2" t="n"/>
      <c r="O367" s="2" t="n"/>
      <c r="P367" s="2" t="n"/>
      <c r="Q367" s="2" t="n"/>
      <c r="R367" s="2" t="n">
        <v>10</v>
      </c>
      <c r="S367" s="2" t="n"/>
      <c r="T367" s="2" t="n">
        <v>10</v>
      </c>
      <c r="U367" s="2" t="n">
        <v>20</v>
      </c>
      <c r="V367" s="2">
        <f>SUM(J367:U367)</f>
        <v/>
      </c>
      <c r="W367" s="2" t="n"/>
      <c r="X367" s="2" t="n"/>
      <c r="Y367" s="2" t="n"/>
      <c r="Z367" s="2" t="n"/>
      <c r="AA367" s="2" t="n">
        <v>1200</v>
      </c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>
        <f>IF(F367=1,V367*2,IF(F367=2,V367*F367*2,IF(F367&gt;2,F367*2*V367)))</f>
        <v/>
      </c>
      <c r="AW367" s="2">
        <f>SUM(W367:AU367)</f>
        <v/>
      </c>
    </row>
    <row r="368">
      <c r="A368" s="2" t="inlineStr">
        <is>
          <t>14-K-458</t>
        </is>
      </c>
      <c r="B368" s="3" t="inlineStr">
        <is>
          <t>OJC-C2-SC/SC-SM-10-PC/PC-20C</t>
        </is>
      </c>
      <c r="C368" s="2" t="inlineStr">
        <is>
          <t>K9118071</t>
        </is>
      </c>
      <c r="D368" s="2" t="inlineStr">
        <is>
          <t>a1-20c</t>
        </is>
      </c>
      <c r="E368" s="2" t="inlineStr">
        <is>
          <t>2.0mm</t>
        </is>
      </c>
      <c r="F368" s="2" t="n">
        <v>20</v>
      </c>
      <c r="G368" s="2" t="n">
        <v>10</v>
      </c>
      <c r="H368" s="2" t="inlineStr">
        <is>
          <t>SC/PC</t>
        </is>
      </c>
      <c r="I368" s="2" t="inlineStr">
        <is>
          <t>SC/PC</t>
        </is>
      </c>
      <c r="J368" s="2" t="n"/>
      <c r="K368" s="2" t="n"/>
      <c r="L368" s="2" t="n"/>
      <c r="M368" s="2" t="n"/>
      <c r="N368" s="2" t="n"/>
      <c r="O368" s="2" t="n"/>
      <c r="P368" s="2" t="n">
        <v>20</v>
      </c>
      <c r="Q368" s="2" t="n"/>
      <c r="R368" s="2" t="n"/>
      <c r="S368" s="2" t="n"/>
      <c r="T368" s="2" t="n"/>
      <c r="U368" s="2" t="n"/>
      <c r="V368" s="2">
        <f>SUM(J368:U368)</f>
        <v/>
      </c>
      <c r="W368" s="2" t="n"/>
      <c r="X368" s="2" t="n"/>
      <c r="Y368" s="2" t="n"/>
      <c r="Z368" s="2" t="n"/>
      <c r="AA368" s="2" t="n">
        <v>800</v>
      </c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>
        <f>IF(F368=1,V368*2,IF(F368=2,V368*F368*2,IF(F368&gt;2,F368*2*V368)))</f>
        <v/>
      </c>
      <c r="AW368" s="2">
        <f>SUM(W368:AU368)</f>
        <v/>
      </c>
    </row>
    <row r="369">
      <c r="A369" s="2" t="inlineStr">
        <is>
          <t>14-K-459</t>
        </is>
      </c>
      <c r="B369" s="3" t="inlineStr">
        <is>
          <t>OJC-C2-SC/SC-SM-10-PC/PC-8C</t>
        </is>
      </c>
      <c r="C369" s="2" t="inlineStr">
        <is>
          <t>K9089452</t>
        </is>
      </c>
      <c r="D369" s="2" t="inlineStr">
        <is>
          <t>a1-8c</t>
        </is>
      </c>
      <c r="E369" s="2" t="inlineStr">
        <is>
          <t>2.0mm</t>
        </is>
      </c>
      <c r="F369" s="2" t="n">
        <v>8</v>
      </c>
      <c r="G369" s="2" t="n">
        <v>10</v>
      </c>
      <c r="H369" s="2" t="inlineStr">
        <is>
          <t>SC/PC</t>
        </is>
      </c>
      <c r="I369" s="2" t="inlineStr">
        <is>
          <t>SC/PC</t>
        </is>
      </c>
      <c r="J369" s="2" t="n"/>
      <c r="K369" s="2" t="n">
        <v>5</v>
      </c>
      <c r="L369" s="2" t="n"/>
      <c r="M369" s="2" t="n"/>
      <c r="N369" s="2" t="n"/>
      <c r="O369" s="2" t="n">
        <v>1</v>
      </c>
      <c r="P369" s="2" t="n">
        <v>54</v>
      </c>
      <c r="Q369" s="2" t="n"/>
      <c r="R369" s="2" t="n"/>
      <c r="S369" s="2" t="n">
        <v>11</v>
      </c>
      <c r="T369" s="2" t="n">
        <v>40</v>
      </c>
      <c r="U369" s="2" t="n">
        <v>20</v>
      </c>
      <c r="V369" s="2">
        <f>SUM(J369:U369)</f>
        <v/>
      </c>
      <c r="W369" s="2" t="n"/>
      <c r="X369" s="2" t="n"/>
      <c r="Y369" s="2" t="n"/>
      <c r="Z369" s="2" t="n"/>
      <c r="AA369" s="2" t="n">
        <v>2096</v>
      </c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>
        <f>IF(F369=1,V369*2,IF(F369=2,V369*F369*2,IF(F369&gt;2,F369*2*V369)))</f>
        <v/>
      </c>
      <c r="AW369" s="2">
        <f>SUM(W369:AU369)</f>
        <v/>
      </c>
    </row>
    <row r="370">
      <c r="A370" s="2" t="inlineStr">
        <is>
          <t>14-K-463</t>
        </is>
      </c>
      <c r="B370" s="3" t="inlineStr">
        <is>
          <t>OJC-C2-SC/SC-SM-10-PC/PC-12C</t>
        </is>
      </c>
      <c r="C370" s="2" t="inlineStr">
        <is>
          <t>K9089453</t>
        </is>
      </c>
      <c r="D370" s="2" t="inlineStr">
        <is>
          <t>a1-12c</t>
        </is>
      </c>
      <c r="E370" s="2" t="inlineStr">
        <is>
          <t>2.0mm</t>
        </is>
      </c>
      <c r="F370" s="2" t="n">
        <v>12</v>
      </c>
      <c r="G370" s="2" t="n">
        <v>10</v>
      </c>
      <c r="H370" s="2" t="inlineStr">
        <is>
          <t>SC/PC</t>
        </is>
      </c>
      <c r="I370" s="2" t="inlineStr">
        <is>
          <t>SC/PC</t>
        </is>
      </c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>
        <v>10</v>
      </c>
      <c r="U370" s="2" t="n"/>
      <c r="V370" s="2">
        <f>SUM(J370:U370)</f>
        <v/>
      </c>
      <c r="W370" s="2" t="n"/>
      <c r="X370" s="2" t="n"/>
      <c r="Y370" s="2" t="n"/>
      <c r="Z370" s="2" t="n"/>
      <c r="AA370" s="2" t="n">
        <v>240</v>
      </c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>
        <f>IF(F370=1,V370*2,IF(F370=2,V370*F370*2,IF(F370&gt;2,F370*2*V370)))</f>
        <v/>
      </c>
      <c r="AW370" s="2">
        <f>SUM(W370:AU370)</f>
        <v/>
      </c>
    </row>
    <row r="371">
      <c r="A371" s="2" t="inlineStr">
        <is>
          <t>14-K-469</t>
        </is>
      </c>
      <c r="B371" s="3" t="inlineStr">
        <is>
          <t>OJC-C2-SC/SC-SM-14-PC/PC-12C</t>
        </is>
      </c>
      <c r="C371" s="2" t="inlineStr">
        <is>
          <t>K9089453</t>
        </is>
      </c>
      <c r="D371" s="2" t="inlineStr">
        <is>
          <t>a1-12c</t>
        </is>
      </c>
      <c r="E371" s="2" t="inlineStr">
        <is>
          <t>2.0mm</t>
        </is>
      </c>
      <c r="F371" s="2" t="n">
        <v>12</v>
      </c>
      <c r="G371" s="2" t="n">
        <v>14</v>
      </c>
      <c r="H371" s="2" t="inlineStr">
        <is>
          <t>SC/PC</t>
        </is>
      </c>
      <c r="I371" s="2" t="inlineStr">
        <is>
          <t>SC/PC</t>
        </is>
      </c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>
        <v>10</v>
      </c>
      <c r="U371" s="2" t="n"/>
      <c r="V371" s="2">
        <f>SUM(J371:U371)</f>
        <v/>
      </c>
      <c r="W371" s="2" t="n"/>
      <c r="X371" s="2" t="n"/>
      <c r="Y371" s="2" t="n"/>
      <c r="Z371" s="2" t="n"/>
      <c r="AA371" s="2" t="n">
        <v>240</v>
      </c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>
        <f>IF(F371=1,V371*2,IF(F371=2,V371*F371*2,IF(F371&gt;2,F371*2*V371)))</f>
        <v/>
      </c>
      <c r="AW371" s="2">
        <f>SUM(W371:AU371)</f>
        <v/>
      </c>
    </row>
    <row r="372">
      <c r="A372" s="2" t="inlineStr">
        <is>
          <t>14-K-474</t>
        </is>
      </c>
      <c r="B372" s="3" t="inlineStr">
        <is>
          <t>OJC-C2-SC/SC-SM-15-PC/PC-12C</t>
        </is>
      </c>
      <c r="C372" s="2" t="inlineStr">
        <is>
          <t>K9089453</t>
        </is>
      </c>
      <c r="D372" s="2" t="inlineStr">
        <is>
          <t>a1-12c</t>
        </is>
      </c>
      <c r="E372" s="2" t="inlineStr">
        <is>
          <t>2.0mm</t>
        </is>
      </c>
      <c r="F372" s="2" t="n">
        <v>12</v>
      </c>
      <c r="G372" s="2" t="n">
        <v>15</v>
      </c>
      <c r="H372" s="2" t="inlineStr">
        <is>
          <t>SC/PC</t>
        </is>
      </c>
      <c r="I372" s="2" t="inlineStr">
        <is>
          <t>SC/PC</t>
        </is>
      </c>
      <c r="J372" s="2" t="n"/>
      <c r="K372" s="2" t="n"/>
      <c r="L372" s="2" t="n">
        <v>20</v>
      </c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>
        <v>20</v>
      </c>
      <c r="V372" s="2">
        <f>SUM(J372:U372)</f>
        <v/>
      </c>
      <c r="W372" s="2" t="n"/>
      <c r="X372" s="2" t="n"/>
      <c r="Y372" s="2" t="n"/>
      <c r="Z372" s="2" t="n"/>
      <c r="AA372" s="2" t="n">
        <v>960</v>
      </c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>
        <f>IF(F372=1,V372*2,IF(F372=2,V372*F372*2,IF(F372&gt;2,F372*2*V372)))</f>
        <v/>
      </c>
      <c r="AW372" s="2">
        <f>SUM(W372:AU372)</f>
        <v/>
      </c>
    </row>
    <row r="373">
      <c r="A373" s="2" t="inlineStr">
        <is>
          <t>14-K-477</t>
        </is>
      </c>
      <c r="B373" s="3" t="inlineStr">
        <is>
          <t>OJC-C2-SC/SC-SM-15-PC/PC-20C</t>
        </is>
      </c>
      <c r="C373" s="2" t="inlineStr">
        <is>
          <t>K9118072</t>
        </is>
      </c>
      <c r="D373" s="2" t="inlineStr">
        <is>
          <t>a1-20c</t>
        </is>
      </c>
      <c r="E373" s="2" t="inlineStr">
        <is>
          <t>2.0mm</t>
        </is>
      </c>
      <c r="F373" s="2" t="n">
        <v>20</v>
      </c>
      <c r="G373" s="2" t="n">
        <v>15</v>
      </c>
      <c r="H373" s="2" t="inlineStr">
        <is>
          <t>SC/PC</t>
        </is>
      </c>
      <c r="I373" s="2" t="inlineStr">
        <is>
          <t>SC/PC</t>
        </is>
      </c>
      <c r="J373" s="2" t="n"/>
      <c r="K373" s="2" t="n"/>
      <c r="L373" s="2" t="n"/>
      <c r="M373" s="2" t="n"/>
      <c r="N373" s="2" t="n"/>
      <c r="O373" s="2" t="n"/>
      <c r="P373" s="2" t="n">
        <v>10</v>
      </c>
      <c r="Q373" s="2" t="n"/>
      <c r="R373" s="2" t="n"/>
      <c r="S373" s="2" t="n"/>
      <c r="T373" s="2" t="n"/>
      <c r="U373" s="2" t="n"/>
      <c r="V373" s="2">
        <f>SUM(J373:U373)</f>
        <v/>
      </c>
      <c r="W373" s="2" t="n"/>
      <c r="X373" s="2" t="n"/>
      <c r="Y373" s="2" t="n"/>
      <c r="Z373" s="2" t="n"/>
      <c r="AA373" s="2" t="n">
        <v>400</v>
      </c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>
        <f>IF(F373=1,V373*2,IF(F373=2,V373*F373*2,IF(F373&gt;2,F373*2*V373)))</f>
        <v/>
      </c>
      <c r="AW373" s="2">
        <f>SUM(W373:AU373)</f>
        <v/>
      </c>
    </row>
    <row r="374">
      <c r="A374" s="2" t="inlineStr">
        <is>
          <t>14-K-479</t>
        </is>
      </c>
      <c r="B374" s="3" t="inlineStr">
        <is>
          <t>OJC-C2-SC/SC-SM-15-PC/PC-8C</t>
        </is>
      </c>
      <c r="C374" s="2" t="inlineStr">
        <is>
          <t>K9089452</t>
        </is>
      </c>
      <c r="D374" s="2" t="inlineStr">
        <is>
          <t>a1-8c</t>
        </is>
      </c>
      <c r="E374" s="2" t="inlineStr">
        <is>
          <t>2.0mm</t>
        </is>
      </c>
      <c r="F374" s="2" t="n">
        <v>8</v>
      </c>
      <c r="G374" s="2" t="n">
        <v>15</v>
      </c>
      <c r="H374" s="2" t="inlineStr">
        <is>
          <t>SC/PC</t>
        </is>
      </c>
      <c r="I374" s="2" t="inlineStr">
        <is>
          <t>SC/PC</t>
        </is>
      </c>
      <c r="J374" s="2" t="n"/>
      <c r="K374" s="2" t="n"/>
      <c r="L374" s="2" t="n"/>
      <c r="M374" s="2" t="n"/>
      <c r="N374" s="2" t="n"/>
      <c r="O374" s="2" t="n"/>
      <c r="P374" s="2" t="n"/>
      <c r="Q374" s="2" t="n">
        <v>5</v>
      </c>
      <c r="R374" s="2" t="n"/>
      <c r="S374" s="2" t="n"/>
      <c r="T374" s="2" t="n"/>
      <c r="U374" s="2" t="n">
        <v>8</v>
      </c>
      <c r="V374" s="2">
        <f>SUM(J374:U374)</f>
        <v/>
      </c>
      <c r="W374" s="2" t="n"/>
      <c r="X374" s="2" t="n"/>
      <c r="Y374" s="2" t="n"/>
      <c r="Z374" s="2" t="n"/>
      <c r="AA374" s="2" t="n">
        <v>208</v>
      </c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>
        <f>IF(F374=1,V374*2,IF(F374=2,V374*F374*2,IF(F374&gt;2,F374*2*V374)))</f>
        <v/>
      </c>
      <c r="AW374" s="2">
        <f>SUM(W374:AU374)</f>
        <v/>
      </c>
    </row>
    <row r="375">
      <c r="A375" s="2" t="inlineStr">
        <is>
          <t>14-K-484</t>
        </is>
      </c>
      <c r="B375" s="3" t="inlineStr">
        <is>
          <t>OJC-C2-SC/SC-SM-17-PC/PC-12C</t>
        </is>
      </c>
      <c r="C375" s="2" t="inlineStr">
        <is>
          <t>K9089453</t>
        </is>
      </c>
      <c r="D375" s="2" t="inlineStr">
        <is>
          <t>a1-12c</t>
        </is>
      </c>
      <c r="E375" s="2" t="inlineStr">
        <is>
          <t>2.0mm</t>
        </is>
      </c>
      <c r="F375" s="2" t="n">
        <v>12</v>
      </c>
      <c r="G375" s="2" t="n">
        <v>17</v>
      </c>
      <c r="H375" s="2" t="inlineStr">
        <is>
          <t>SC/PC</t>
        </is>
      </c>
      <c r="I375" s="2" t="inlineStr">
        <is>
          <t>SC/PC</t>
        </is>
      </c>
      <c r="J375" s="2" t="n"/>
      <c r="K375" s="2" t="n"/>
      <c r="L375" s="2" t="n"/>
      <c r="M375" s="2" t="n"/>
      <c r="N375" s="2" t="n"/>
      <c r="O375" s="2" t="n"/>
      <c r="P375" s="2" t="n">
        <v>10</v>
      </c>
      <c r="Q375" s="2" t="n"/>
      <c r="R375" s="2" t="n"/>
      <c r="S375" s="2" t="n"/>
      <c r="T375" s="2" t="n"/>
      <c r="U375" s="2" t="n"/>
      <c r="V375" s="2">
        <f>SUM(J375:U375)</f>
        <v/>
      </c>
      <c r="W375" s="2" t="n"/>
      <c r="X375" s="2" t="n"/>
      <c r="Y375" s="2" t="n"/>
      <c r="Z375" s="2" t="n"/>
      <c r="AA375" s="2" t="n">
        <v>240</v>
      </c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>
        <f>IF(F375=1,V375*2,IF(F375=2,V375*F375*2,IF(F375&gt;2,F375*2*V375)))</f>
        <v/>
      </c>
      <c r="AW375" s="2">
        <f>SUM(W375:AU375)</f>
        <v/>
      </c>
    </row>
    <row r="376">
      <c r="A376" s="2" t="inlineStr">
        <is>
          <t>14-K-503</t>
        </is>
      </c>
      <c r="B376" s="3" t="inlineStr">
        <is>
          <t>OJC-C2-SC/SC-SM-20-PC/PC-12C</t>
        </is>
      </c>
      <c r="C376" s="2" t="inlineStr">
        <is>
          <t>K9089453</t>
        </is>
      </c>
      <c r="D376" s="2" t="inlineStr">
        <is>
          <t>a1-12c</t>
        </is>
      </c>
      <c r="E376" s="2" t="inlineStr">
        <is>
          <t>2.0mm</t>
        </is>
      </c>
      <c r="F376" s="2" t="n">
        <v>12</v>
      </c>
      <c r="G376" s="2" t="n">
        <v>20</v>
      </c>
      <c r="H376" s="2" t="inlineStr">
        <is>
          <t>SC/PC</t>
        </is>
      </c>
      <c r="I376" s="2" t="inlineStr">
        <is>
          <t>SC/PC</t>
        </is>
      </c>
      <c r="J376" s="2" t="n"/>
      <c r="K376" s="2" t="n"/>
      <c r="L376" s="2" t="n">
        <v>3</v>
      </c>
      <c r="M376" s="2" t="n">
        <v>8</v>
      </c>
      <c r="N376" s="2" t="n"/>
      <c r="O376" s="2" t="n"/>
      <c r="P376" s="2" t="n"/>
      <c r="Q376" s="2" t="n"/>
      <c r="R376" s="2" t="n"/>
      <c r="S376" s="2" t="n">
        <v>1</v>
      </c>
      <c r="T376" s="2" t="n"/>
      <c r="U376" s="2" t="n"/>
      <c r="V376" s="2">
        <f>SUM(J376:U376)</f>
        <v/>
      </c>
      <c r="W376" s="2" t="n"/>
      <c r="X376" s="2" t="n"/>
      <c r="Y376" s="2" t="n"/>
      <c r="Z376" s="2" t="n"/>
      <c r="AA376" s="2" t="n">
        <v>288</v>
      </c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>
        <f>IF(F376=1,V376*2,IF(F376=2,V376*F376*2,IF(F376&gt;2,F376*2*V376)))</f>
        <v/>
      </c>
      <c r="AW376" s="2">
        <f>SUM(W376:AU376)</f>
        <v/>
      </c>
    </row>
    <row r="377">
      <c r="A377" s="2" t="inlineStr">
        <is>
          <t>14-K-505</t>
        </is>
      </c>
      <c r="B377" s="3" t="inlineStr">
        <is>
          <t>OJC-C2-SC/SC-SM-20-PC/PC-4C</t>
        </is>
      </c>
      <c r="C377" s="2" t="inlineStr">
        <is>
          <t>K9089451</t>
        </is>
      </c>
      <c r="D377" s="2" t="inlineStr">
        <is>
          <t>b3-4c</t>
        </is>
      </c>
      <c r="E377" s="2" t="inlineStr">
        <is>
          <t>2.0mm</t>
        </is>
      </c>
      <c r="F377" s="2" t="n">
        <v>4</v>
      </c>
      <c r="G377" s="2" t="n">
        <v>20</v>
      </c>
      <c r="H377" s="2" t="inlineStr">
        <is>
          <t>SC/PC</t>
        </is>
      </c>
      <c r="I377" s="2" t="inlineStr">
        <is>
          <t>SC/PC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>
        <v>3</v>
      </c>
      <c r="T377" s="2" t="n"/>
      <c r="U377" s="2" t="n"/>
      <c r="V377" s="2">
        <f>SUM(J377:U377)</f>
        <v/>
      </c>
      <c r="W377" s="2" t="n"/>
      <c r="X377" s="2" t="n"/>
      <c r="Y377" s="2" t="n"/>
      <c r="Z377" s="2" t="n"/>
      <c r="AA377" s="2" t="n">
        <v>24</v>
      </c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>
        <f>IF(F377=1,V377*2,IF(F377=2,V377*F377*2,IF(F377&gt;2,F377*2*V377)))</f>
        <v/>
      </c>
      <c r="AW377" s="2">
        <f>SUM(W377:AU377)</f>
        <v/>
      </c>
    </row>
    <row r="378">
      <c r="A378" s="2" t="inlineStr">
        <is>
          <t>14-K-512</t>
        </is>
      </c>
      <c r="B378" s="3" t="inlineStr">
        <is>
          <t>OJC-C2-SC/SC-SM-25-PC/PC-12C</t>
        </is>
      </c>
      <c r="C378" s="2" t="inlineStr">
        <is>
          <t>K9089453</t>
        </is>
      </c>
      <c r="D378" s="2" t="inlineStr">
        <is>
          <t>a1-12c</t>
        </is>
      </c>
      <c r="E378" s="2" t="inlineStr">
        <is>
          <t>2.0mm</t>
        </is>
      </c>
      <c r="F378" s="2" t="n">
        <v>12</v>
      </c>
      <c r="G378" s="2" t="n">
        <v>25</v>
      </c>
      <c r="H378" s="2" t="inlineStr">
        <is>
          <t>SC/PC</t>
        </is>
      </c>
      <c r="I378" s="2" t="inlineStr">
        <is>
          <t>SC/PC</t>
        </is>
      </c>
      <c r="J378" s="2" t="n"/>
      <c r="K378" s="2" t="n"/>
      <c r="L378" s="2" t="n"/>
      <c r="M378" s="2" t="n"/>
      <c r="N378" s="2" t="n"/>
      <c r="O378" s="2" t="n"/>
      <c r="P378" s="2" t="n">
        <v>10</v>
      </c>
      <c r="Q378" s="2" t="n"/>
      <c r="R378" s="2" t="n"/>
      <c r="S378" s="2" t="n">
        <v>1</v>
      </c>
      <c r="T378" s="2" t="n"/>
      <c r="U378" s="2" t="n"/>
      <c r="V378" s="2">
        <f>SUM(J378:U378)</f>
        <v/>
      </c>
      <c r="W378" s="2" t="n"/>
      <c r="X378" s="2" t="n"/>
      <c r="Y378" s="2" t="n"/>
      <c r="Z378" s="2" t="n"/>
      <c r="AA378" s="2" t="n">
        <v>264</v>
      </c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>
        <f>IF(F378=1,V378*2,IF(F378=2,V378*F378*2,IF(F378&gt;2,F378*2*V378)))</f>
        <v/>
      </c>
      <c r="AW378" s="2">
        <f>SUM(W378:AU378)</f>
        <v/>
      </c>
    </row>
    <row r="379">
      <c r="A379" s="2" t="inlineStr">
        <is>
          <t>14-K-546</t>
        </is>
      </c>
      <c r="B379" s="3" t="inlineStr">
        <is>
          <t>OJC-C2-SC/SC-SM-50-PC/PC-20C</t>
        </is>
      </c>
      <c r="C379" s="2" t="inlineStr">
        <is>
          <t>K9094342</t>
        </is>
      </c>
      <c r="D379" s="2" t="inlineStr">
        <is>
          <t>a1-20c</t>
        </is>
      </c>
      <c r="E379" s="2" t="inlineStr">
        <is>
          <t>2.0mm</t>
        </is>
      </c>
      <c r="F379" s="2" t="n">
        <v>20</v>
      </c>
      <c r="G379" s="2" t="n">
        <v>50</v>
      </c>
      <c r="H379" s="2" t="inlineStr">
        <is>
          <t>SC/PC</t>
        </is>
      </c>
      <c r="I379" s="2" t="inlineStr">
        <is>
          <t>SC/PC</t>
        </is>
      </c>
      <c r="J379" s="2" t="n"/>
      <c r="K379" s="2" t="n"/>
      <c r="L379" s="2" t="n">
        <v>2</v>
      </c>
      <c r="M379" s="2" t="n"/>
      <c r="N379" s="2" t="n"/>
      <c r="O379" s="2" t="n"/>
      <c r="P379" s="2" t="n"/>
      <c r="Q379" s="2" t="n"/>
      <c r="R379" s="2" t="n">
        <v>4</v>
      </c>
      <c r="S379" s="2" t="n"/>
      <c r="T379" s="2" t="n"/>
      <c r="U379" s="2" t="n"/>
      <c r="V379" s="2">
        <f>SUM(J379:U379)</f>
        <v/>
      </c>
      <c r="W379" s="2" t="n"/>
      <c r="X379" s="2" t="n"/>
      <c r="Y379" s="2" t="n"/>
      <c r="Z379" s="2" t="n"/>
      <c r="AA379" s="2" t="n">
        <v>240</v>
      </c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>
        <f>IF(F379=1,V379*2,IF(F379=2,V379*F379*2,IF(F379&gt;2,F379*2*V379)))</f>
        <v/>
      </c>
      <c r="AW379" s="2">
        <f>SUM(W379:AU379)</f>
        <v/>
      </c>
    </row>
    <row r="380">
      <c r="A380" s="2" t="inlineStr">
        <is>
          <t>14-K-550</t>
        </is>
      </c>
      <c r="B380" s="3" t="inlineStr">
        <is>
          <t>OJC-C2-SC/SC-SM-5-PC/PC-16C</t>
        </is>
      </c>
      <c r="C380" s="2" t="inlineStr">
        <is>
          <t>K9094339</t>
        </is>
      </c>
      <c r="D380" s="2" t="inlineStr">
        <is>
          <t>a1-16c</t>
        </is>
      </c>
      <c r="E380" s="2" t="inlineStr">
        <is>
          <t>2.0mm</t>
        </is>
      </c>
      <c r="F380" s="2" t="n">
        <v>16</v>
      </c>
      <c r="G380" s="2" t="n">
        <v>5</v>
      </c>
      <c r="H380" s="2" t="inlineStr">
        <is>
          <t>SC/PC</t>
        </is>
      </c>
      <c r="I380" s="2" t="inlineStr">
        <is>
          <t>SC/PC</t>
        </is>
      </c>
      <c r="J380" s="2" t="n"/>
      <c r="K380" s="2" t="n">
        <v>100</v>
      </c>
      <c r="L380" s="2" t="n"/>
      <c r="M380" s="2" t="n"/>
      <c r="N380" s="2" t="n"/>
      <c r="O380" s="2" t="n"/>
      <c r="P380" s="2" t="n"/>
      <c r="Q380" s="2" t="n"/>
      <c r="R380" s="2" t="n"/>
      <c r="S380" s="2" t="n">
        <v>100</v>
      </c>
      <c r="T380" s="2" t="n"/>
      <c r="U380" s="2" t="n"/>
      <c r="V380" s="2">
        <f>SUM(J380:U380)</f>
        <v/>
      </c>
      <c r="W380" s="2" t="n"/>
      <c r="X380" s="2" t="n"/>
      <c r="Y380" s="2" t="n"/>
      <c r="Z380" s="2" t="n"/>
      <c r="AA380" s="2" t="n">
        <v>6400</v>
      </c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>
        <f>IF(F380=1,V380*2,IF(F380=2,V380*F380*2,IF(F380&gt;2,F380*2*V380)))</f>
        <v/>
      </c>
      <c r="AW380" s="2">
        <f>SUM(W380:AU380)</f>
        <v/>
      </c>
    </row>
    <row r="381">
      <c r="A381" s="2" t="inlineStr">
        <is>
          <t>14-K-560</t>
        </is>
      </c>
      <c r="B381" s="3" t="inlineStr">
        <is>
          <t>OJC-C2-SC/SC-SM-7-PC/PC-12C</t>
        </is>
      </c>
      <c r="C381" s="2" t="inlineStr">
        <is>
          <t>K9089453</t>
        </is>
      </c>
      <c r="D381" s="2" t="inlineStr">
        <is>
          <t>a1-12c</t>
        </is>
      </c>
      <c r="E381" s="2" t="inlineStr">
        <is>
          <t>2.0mm</t>
        </is>
      </c>
      <c r="F381" s="2" t="n">
        <v>12</v>
      </c>
      <c r="G381" s="2" t="n">
        <v>7</v>
      </c>
      <c r="H381" s="2" t="inlineStr">
        <is>
          <t>SC/PC</t>
        </is>
      </c>
      <c r="I381" s="2" t="inlineStr">
        <is>
          <t>SC/PC</t>
        </is>
      </c>
      <c r="J381" s="2" t="n"/>
      <c r="K381" s="2" t="n"/>
      <c r="L381" s="2" t="n"/>
      <c r="M381" s="2" t="n"/>
      <c r="N381" s="2" t="n"/>
      <c r="O381" s="2" t="n"/>
      <c r="P381" s="2" t="n">
        <v>50</v>
      </c>
      <c r="Q381" s="2" t="n"/>
      <c r="R381" s="2" t="n"/>
      <c r="S381" s="2" t="n"/>
      <c r="T381" s="2" t="n"/>
      <c r="U381" s="2" t="n"/>
      <c r="V381" s="2">
        <f>SUM(J381:U381)</f>
        <v/>
      </c>
      <c r="W381" s="2" t="n"/>
      <c r="X381" s="2" t="n"/>
      <c r="Y381" s="2" t="n"/>
      <c r="Z381" s="2" t="n"/>
      <c r="AA381" s="2" t="n">
        <v>1200</v>
      </c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>
        <f>IF(F381=1,V381*2,IF(F381=2,V381*F381*2,IF(F381&gt;2,F381*2*V381)))</f>
        <v/>
      </c>
      <c r="AW381" s="2">
        <f>SUM(W381:AU381)</f>
        <v/>
      </c>
    </row>
    <row r="382">
      <c r="A382" s="2" t="inlineStr">
        <is>
          <t>14-K-561</t>
        </is>
      </c>
      <c r="B382" s="3" t="inlineStr">
        <is>
          <t>OJC-C2-SC/SC-SM-7-PC/PC-20C</t>
        </is>
      </c>
      <c r="C382" s="2" t="inlineStr">
        <is>
          <t>K9094342</t>
        </is>
      </c>
      <c r="D382" s="2" t="inlineStr">
        <is>
          <t>a1-20c</t>
        </is>
      </c>
      <c r="E382" s="2" t="inlineStr">
        <is>
          <t>2.0mm</t>
        </is>
      </c>
      <c r="F382" s="2" t="n">
        <v>20</v>
      </c>
      <c r="G382" s="2" t="n">
        <v>7</v>
      </c>
      <c r="H382" s="2" t="inlineStr">
        <is>
          <t>SC/PC</t>
        </is>
      </c>
      <c r="I382" s="2" t="inlineStr">
        <is>
          <t>SC/PC</t>
        </is>
      </c>
      <c r="J382" s="2" t="n"/>
      <c r="K382" s="2" t="n"/>
      <c r="L382" s="2" t="n"/>
      <c r="M382" s="2" t="n"/>
      <c r="N382" s="2" t="n"/>
      <c r="O382" s="2" t="n"/>
      <c r="P382" s="2" t="n">
        <v>30</v>
      </c>
      <c r="Q382" s="2" t="n"/>
      <c r="R382" s="2" t="n"/>
      <c r="S382" s="2" t="n">
        <v>10</v>
      </c>
      <c r="T382" s="2" t="n"/>
      <c r="U382" s="2" t="n"/>
      <c r="V382" s="2">
        <f>SUM(J382:U382)</f>
        <v/>
      </c>
      <c r="W382" s="2" t="n"/>
      <c r="X382" s="2" t="n"/>
      <c r="Y382" s="2" t="n"/>
      <c r="Z382" s="2" t="n"/>
      <c r="AA382" s="2" t="n">
        <v>1600</v>
      </c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>
        <f>IF(F382=1,V382*2,IF(F382=2,V382*F382*2,IF(F382&gt;2,F382*2*V382)))</f>
        <v/>
      </c>
      <c r="AW382" s="2">
        <f>SUM(W382:AU382)</f>
        <v/>
      </c>
    </row>
    <row r="383">
      <c r="A383" s="2" t="inlineStr">
        <is>
          <t>14-K-562</t>
        </is>
      </c>
      <c r="B383" s="3" t="inlineStr">
        <is>
          <t>OJC-C2-SC/SC-SM-7-PC/PC-8C</t>
        </is>
      </c>
      <c r="C383" s="2" t="inlineStr">
        <is>
          <t>K9089452</t>
        </is>
      </c>
      <c r="D383" s="2" t="inlineStr">
        <is>
          <t>a1-8c</t>
        </is>
      </c>
      <c r="E383" s="2" t="inlineStr">
        <is>
          <t>2.0mm</t>
        </is>
      </c>
      <c r="F383" s="2" t="n">
        <v>8</v>
      </c>
      <c r="G383" s="2" t="n">
        <v>7</v>
      </c>
      <c r="H383" s="2" t="inlineStr">
        <is>
          <t>SC/PC</t>
        </is>
      </c>
      <c r="I383" s="2" t="inlineStr">
        <is>
          <t>SC/PC</t>
        </is>
      </c>
      <c r="J383" s="2" t="n"/>
      <c r="K383" s="2" t="n"/>
      <c r="L383" s="2" t="n"/>
      <c r="M383" s="2" t="n"/>
      <c r="N383" s="2" t="n"/>
      <c r="O383" s="2" t="n"/>
      <c r="P383" s="2" t="n">
        <v>20</v>
      </c>
      <c r="Q383" s="2" t="n"/>
      <c r="R383" s="2" t="n"/>
      <c r="S383" s="2" t="n"/>
      <c r="T383" s="2" t="n"/>
      <c r="U383" s="2" t="n"/>
      <c r="V383" s="2">
        <f>SUM(J383:U383)</f>
        <v/>
      </c>
      <c r="W383" s="2" t="n"/>
      <c r="X383" s="2" t="n"/>
      <c r="Y383" s="2" t="n"/>
      <c r="Z383" s="2" t="n"/>
      <c r="AA383" s="2" t="n">
        <v>320</v>
      </c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>
        <f>IF(F383=1,V383*2,IF(F383=2,V383*F383*2,IF(F383&gt;2,F383*2*V383)))</f>
        <v/>
      </c>
      <c r="AW383" s="2">
        <f>SUM(W383:AU383)</f>
        <v/>
      </c>
    </row>
    <row r="384">
      <c r="A384" s="2" t="inlineStr">
        <is>
          <t>14-K-585</t>
        </is>
      </c>
      <c r="B384" s="3" t="inlineStr">
        <is>
          <t>OJC-A1-LC/LC-SM-2-PC/PC-SP</t>
        </is>
      </c>
      <c r="C384" s="2" t="inlineStr">
        <is>
          <t>K9089043</t>
        </is>
      </c>
      <c r="D384" s="2" t="inlineStr">
        <is>
          <t>a1</t>
        </is>
      </c>
      <c r="E384" s="2" t="inlineStr">
        <is>
          <t>2.0mm</t>
        </is>
      </c>
      <c r="F384" s="2" t="n">
        <v>1</v>
      </c>
      <c r="G384" s="2" t="n">
        <v>2</v>
      </c>
      <c r="H384" s="2" t="inlineStr">
        <is>
          <t>LC/PC</t>
        </is>
      </c>
      <c r="I384" s="2" t="inlineStr">
        <is>
          <t>LC/PC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>
        <v>10</v>
      </c>
      <c r="T384" s="2" t="n">
        <v>5</v>
      </c>
      <c r="U384" s="2" t="n"/>
      <c r="V384" s="2">
        <f>SUM(J384:U384)</f>
        <v/>
      </c>
      <c r="W384" s="2" t="n">
        <v>30</v>
      </c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>
        <f>IF(F384=1,V384*2,IF(F384=2,V384*F384*2,IF(F384&gt;2,F384*2*V384)))</f>
        <v/>
      </c>
      <c r="AW384" s="2">
        <f>SUM(W384:AU384)</f>
        <v/>
      </c>
    </row>
    <row r="385">
      <c r="A385" s="2" t="inlineStr">
        <is>
          <t>14-K-587</t>
        </is>
      </c>
      <c r="B385" s="3" t="inlineStr">
        <is>
          <t>OJC-A1-LC/LC-SM-60-PC/PC-DP</t>
        </is>
      </c>
      <c r="C385" s="2" t="inlineStr"/>
      <c r="D385" s="2" t="inlineStr">
        <is>
          <t>a1</t>
        </is>
      </c>
      <c r="E385" s="2" t="inlineStr">
        <is>
          <t>2.0mm</t>
        </is>
      </c>
      <c r="F385" s="2" t="n">
        <v>2</v>
      </c>
      <c r="G385" s="2" t="n">
        <v>60</v>
      </c>
      <c r="H385" s="2" t="inlineStr">
        <is>
          <t>LC/PC</t>
        </is>
      </c>
      <c r="I385" s="2" t="inlineStr">
        <is>
          <t>LC/PC</t>
        </is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>
        <v>5</v>
      </c>
      <c r="S385" s="2" t="n"/>
      <c r="T385" s="2" t="n">
        <v>10</v>
      </c>
      <c r="U385" s="2" t="n"/>
      <c r="V385" s="2">
        <f>SUM(J385:U385)</f>
        <v/>
      </c>
      <c r="W385" s="2" t="n">
        <v>30</v>
      </c>
      <c r="X385" s="2" t="n">
        <v>30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>
        <f>IF(F385=1,V385*2,IF(F385=2,V385*F385*2,IF(F385&gt;2,F385*2*V385)))</f>
        <v/>
      </c>
      <c r="AW385" s="2">
        <f>SUM(W385:AU385)</f>
        <v/>
      </c>
    </row>
    <row r="386">
      <c r="A386" s="2" t="inlineStr">
        <is>
          <t>14-K-603</t>
        </is>
      </c>
      <c r="B386" s="3" t="inlineStr">
        <is>
          <t>OJC-C2-SC/SC-SM-4-PC/PC-8C-1.0</t>
        </is>
      </c>
      <c r="C386" s="2" t="inlineStr">
        <is>
          <t>K9089452</t>
        </is>
      </c>
      <c r="D386" s="2" t="inlineStr">
        <is>
          <t>a1-8c</t>
        </is>
      </c>
      <c r="E386" s="2" t="inlineStr">
        <is>
          <t>2.0mm</t>
        </is>
      </c>
      <c r="F386" s="2" t="n">
        <v>8</v>
      </c>
      <c r="G386" s="2" t="n">
        <v>4</v>
      </c>
      <c r="H386" s="2" t="inlineStr">
        <is>
          <t>SC/PC</t>
        </is>
      </c>
      <c r="I386" s="2" t="inlineStr">
        <is>
          <t>SC/PC</t>
        </is>
      </c>
      <c r="J386" s="2" t="n"/>
      <c r="K386" s="2" t="n"/>
      <c r="L386" s="2" t="n"/>
      <c r="M386" s="2" t="n"/>
      <c r="N386" s="2" t="n"/>
      <c r="O386" s="2" t="n">
        <v>42</v>
      </c>
      <c r="P386" s="2" t="n"/>
      <c r="Q386" s="2" t="n"/>
      <c r="R386" s="2" t="n"/>
      <c r="S386" s="2" t="n"/>
      <c r="T386" s="2" t="n"/>
      <c r="U386" s="2" t="n"/>
      <c r="V386" s="2">
        <f>SUM(J386:U386)</f>
        <v/>
      </c>
      <c r="W386" s="2" t="n"/>
      <c r="X386" s="2" t="n"/>
      <c r="Y386" s="2" t="n"/>
      <c r="Z386" s="2" t="n"/>
      <c r="AA386" s="2" t="n">
        <v>672</v>
      </c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>
        <f>IF(F386=1,V386*2,IF(F386=2,V386*F386*2,IF(F386&gt;2,F386*2*V386)))</f>
        <v/>
      </c>
      <c r="AW386" s="2">
        <f>SUM(W386:AU386)</f>
        <v/>
      </c>
    </row>
    <row r="387">
      <c r="A387" s="2" t="inlineStr">
        <is>
          <t>14-K-614</t>
        </is>
      </c>
      <c r="B387" s="3" t="inlineStr">
        <is>
          <t>OJC-A1-LC/LC-MM-4-PC/PC-DP</t>
        </is>
      </c>
      <c r="C387" s="2" t="inlineStr">
        <is>
          <t>K9089332</t>
        </is>
      </c>
      <c r="D387" s="2" t="inlineStr">
        <is>
          <t>om1</t>
        </is>
      </c>
      <c r="E387" s="2" t="inlineStr">
        <is>
          <t>2.0mm</t>
        </is>
      </c>
      <c r="F387" s="2" t="n">
        <v>2</v>
      </c>
      <c r="G387" s="2" t="n">
        <v>4</v>
      </c>
      <c r="H387" s="2" t="inlineStr">
        <is>
          <t>LC/PC</t>
        </is>
      </c>
      <c r="I387" s="2" t="inlineStr">
        <is>
          <t>LC/PC</t>
        </is>
      </c>
      <c r="J387" s="2" t="n">
        <v>3</v>
      </c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>
        <f>SUM(J387:U387)</f>
        <v/>
      </c>
      <c r="W387" s="2" t="n"/>
      <c r="X387" s="2" t="n">
        <v>6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>
        <v>6</v>
      </c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>
        <f>IF(F387=1,V387*2,IF(F387=2,V387*F387*2,IF(F387&gt;2,F387*2*V387)))</f>
        <v/>
      </c>
      <c r="AW387" s="2">
        <f>SUM(W387:AU387)</f>
        <v/>
      </c>
    </row>
    <row r="388">
      <c r="A388" s="2" t="inlineStr">
        <is>
          <t>14-K-615</t>
        </is>
      </c>
      <c r="B388" s="3" t="inlineStr">
        <is>
          <t>OJC-A1-LC/LC-MM(OM3)-4-PC/PC-DP</t>
        </is>
      </c>
      <c r="C388" s="2" t="inlineStr"/>
      <c r="D388" s="2" t="inlineStr">
        <is>
          <t>om3</t>
        </is>
      </c>
      <c r="E388" s="2" t="inlineStr">
        <is>
          <t>2.0mm</t>
        </is>
      </c>
      <c r="F388" s="2" t="n">
        <v>2</v>
      </c>
      <c r="G388" s="2" t="n">
        <v>4</v>
      </c>
      <c r="H388" s="2" t="inlineStr">
        <is>
          <t>LC/PC</t>
        </is>
      </c>
      <c r="I388" s="2" t="inlineStr">
        <is>
          <t>LC/PC</t>
        </is>
      </c>
      <c r="J388" s="2" t="n">
        <v>89</v>
      </c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>
        <f>SUM(J388:U388)</f>
        <v/>
      </c>
      <c r="W388" s="2" t="n"/>
      <c r="X388" s="2" t="n">
        <v>178</v>
      </c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>
        <v>178</v>
      </c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>
        <f>IF(F388=1,V388*2,IF(F388=2,V388*F388*2,IF(F388&gt;2,F388*2*V388)))</f>
        <v/>
      </c>
      <c r="AW388" s="2">
        <f>SUM(W388:AU388)</f>
        <v/>
      </c>
    </row>
    <row r="389">
      <c r="A389" s="2" t="inlineStr">
        <is>
          <t>14-K-616</t>
        </is>
      </c>
      <c r="B389" s="3" t="inlineStr">
        <is>
          <t>OJC-A1-LC/LC-SM-6-PC/PC-DP</t>
        </is>
      </c>
      <c r="C389" s="2" t="inlineStr"/>
      <c r="D389" s="2" t="inlineStr">
        <is>
          <t>a1</t>
        </is>
      </c>
      <c r="E389" s="2" t="inlineStr">
        <is>
          <t>2.0mm</t>
        </is>
      </c>
      <c r="F389" s="2" t="n">
        <v>2</v>
      </c>
      <c r="G389" s="2" t="n">
        <v>6</v>
      </c>
      <c r="H389" s="2" t="inlineStr">
        <is>
          <t>LC/PC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>
        <v>50</v>
      </c>
      <c r="O389" s="2" t="n"/>
      <c r="P389" s="2" t="n"/>
      <c r="Q389" s="2" t="n"/>
      <c r="R389" s="2" t="n"/>
      <c r="S389" s="2" t="n"/>
      <c r="T389" s="2" t="n">
        <v>20</v>
      </c>
      <c r="U389" s="2" t="n"/>
      <c r="V389" s="2">
        <f>SUM(J389:U389)</f>
        <v/>
      </c>
      <c r="W389" s="2" t="n">
        <v>140</v>
      </c>
      <c r="X389" s="2" t="n">
        <v>140</v>
      </c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>
        <f>IF(F389=1,V389*2,IF(F389=2,V389*F389*2,IF(F389&gt;2,F389*2*V389)))</f>
        <v/>
      </c>
      <c r="AW389" s="2">
        <f>SUM(W389:AU389)</f>
        <v/>
      </c>
    </row>
    <row r="390">
      <c r="A390" s="2" t="inlineStr">
        <is>
          <t>14-K-617</t>
        </is>
      </c>
      <c r="B390" s="3" t="inlineStr">
        <is>
          <t>OJC-A1-LC/LC-SM-14-PC/PC-DP</t>
        </is>
      </c>
      <c r="C390" s="2" t="inlineStr"/>
      <c r="D390" s="2" t="inlineStr">
        <is>
          <t>a1</t>
        </is>
      </c>
      <c r="E390" s="2" t="inlineStr">
        <is>
          <t>2.0mm</t>
        </is>
      </c>
      <c r="F390" s="2" t="n">
        <v>2</v>
      </c>
      <c r="G390" s="2" t="n">
        <v>14</v>
      </c>
      <c r="H390" s="2" t="inlineStr">
        <is>
          <t>LC/PC</t>
        </is>
      </c>
      <c r="I390" s="2" t="inlineStr">
        <is>
          <t>LC/PC</t>
        </is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>
        <v>4</v>
      </c>
      <c r="S390" s="2" t="n"/>
      <c r="T390" s="2" t="n">
        <v>22</v>
      </c>
      <c r="U390" s="2" t="n"/>
      <c r="V390" s="2">
        <f>SUM(J390:U390)</f>
        <v/>
      </c>
      <c r="W390" s="2" t="n">
        <v>52</v>
      </c>
      <c r="X390" s="2" t="n">
        <v>52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>
        <f>IF(F390=1,V390*2,IF(F390=2,V390*F390*2,IF(F390&gt;2,F390*2*V390)))</f>
        <v/>
      </c>
      <c r="AW390" s="2">
        <f>SUM(W390:AU390)</f>
        <v/>
      </c>
    </row>
    <row r="391">
      <c r="A391" s="2" t="inlineStr">
        <is>
          <t>14-K-618</t>
        </is>
      </c>
      <c r="B391" s="3" t="inlineStr">
        <is>
          <t>OJC-A1-LC/LC-SM-16-PC/PC-DP</t>
        </is>
      </c>
      <c r="C391" s="2" t="inlineStr"/>
      <c r="D391" s="2" t="inlineStr">
        <is>
          <t>a1</t>
        </is>
      </c>
      <c r="E391" s="2" t="inlineStr">
        <is>
          <t>2.0mm</t>
        </is>
      </c>
      <c r="F391" s="2" t="n">
        <v>2</v>
      </c>
      <c r="G391" s="2" t="n">
        <v>16</v>
      </c>
      <c r="H391" s="2" t="inlineStr">
        <is>
          <t>LC/PC</t>
        </is>
      </c>
      <c r="I391" s="2" t="inlineStr">
        <is>
          <t>LC/PC</t>
        </is>
      </c>
      <c r="J391" s="2" t="n">
        <v>1</v>
      </c>
      <c r="K391" s="2" t="n"/>
      <c r="L391" s="2" t="n"/>
      <c r="M391" s="2" t="n"/>
      <c r="N391" s="2" t="n"/>
      <c r="O391" s="2" t="n"/>
      <c r="P391" s="2" t="n"/>
      <c r="Q391" s="2" t="n"/>
      <c r="R391" s="2" t="n">
        <v>6</v>
      </c>
      <c r="S391" s="2" t="n"/>
      <c r="T391" s="2" t="n">
        <v>11</v>
      </c>
      <c r="U391" s="2" t="n"/>
      <c r="V391" s="2">
        <f>SUM(J391:U391)</f>
        <v/>
      </c>
      <c r="W391" s="2" t="n">
        <v>36</v>
      </c>
      <c r="X391" s="2" t="n">
        <v>36</v>
      </c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>
        <f>IF(F391=1,V391*2,IF(F391=2,V391*F391*2,IF(F391&gt;2,F391*2*V391)))</f>
        <v/>
      </c>
      <c r="AW391" s="2">
        <f>SUM(W391:AU391)</f>
        <v/>
      </c>
    </row>
    <row r="392">
      <c r="A392" s="2" t="inlineStr">
        <is>
          <t>14-K-619</t>
        </is>
      </c>
      <c r="B392" s="3" t="inlineStr">
        <is>
          <t>OJC-A1-LC/LC-SM-17-PC/PC-DP</t>
        </is>
      </c>
      <c r="C392" s="2" t="inlineStr"/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17</v>
      </c>
      <c r="H392" s="2" t="inlineStr">
        <is>
          <t>LC/PC</t>
        </is>
      </c>
      <c r="I392" s="2" t="inlineStr">
        <is>
          <t>LC/PC</t>
        </is>
      </c>
      <c r="J392" s="2" t="n">
        <v>2</v>
      </c>
      <c r="K392" s="2" t="n"/>
      <c r="L392" s="2" t="n"/>
      <c r="M392" s="2" t="n"/>
      <c r="N392" s="2" t="n"/>
      <c r="O392" s="2" t="n"/>
      <c r="P392" s="2" t="n"/>
      <c r="Q392" s="2" t="n"/>
      <c r="R392" s="2" t="n">
        <v>5</v>
      </c>
      <c r="S392" s="2" t="n"/>
      <c r="T392" s="2" t="n"/>
      <c r="U392" s="2" t="n"/>
      <c r="V392" s="2">
        <f>SUM(J392:U392)</f>
        <v/>
      </c>
      <c r="W392" s="2" t="n">
        <v>14</v>
      </c>
      <c r="X392" s="2" t="n">
        <v>14</v>
      </c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>
        <f>IF(F392=1,V392*2,IF(F392=2,V392*F392*2,IF(F392&gt;2,F392*2*V392)))</f>
        <v/>
      </c>
      <c r="AW392" s="2">
        <f>SUM(W392:AU392)</f>
        <v/>
      </c>
    </row>
    <row r="393">
      <c r="A393" s="2" t="inlineStr">
        <is>
          <t>14-K-620</t>
        </is>
      </c>
      <c r="B393" s="3" t="inlineStr">
        <is>
          <t>OJC-A1-LC/LC-SM-18-PC/PC-DP</t>
        </is>
      </c>
      <c r="C393" s="2" t="inlineStr"/>
      <c r="D393" s="2" t="inlineStr">
        <is>
          <t>a1</t>
        </is>
      </c>
      <c r="E393" s="2" t="inlineStr">
        <is>
          <t>2.0mm</t>
        </is>
      </c>
      <c r="F393" s="2" t="n">
        <v>2</v>
      </c>
      <c r="G393" s="2" t="n">
        <v>18</v>
      </c>
      <c r="H393" s="2" t="inlineStr">
        <is>
          <t>LC/PC</t>
        </is>
      </c>
      <c r="I393" s="2" t="inlineStr">
        <is>
          <t>LC/PC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>
        <v>9</v>
      </c>
      <c r="S393" s="2" t="n"/>
      <c r="T393" s="2" t="n">
        <v>12</v>
      </c>
      <c r="U393" s="2" t="n"/>
      <c r="V393" s="2">
        <f>SUM(J393:U393)</f>
        <v/>
      </c>
      <c r="W393" s="2" t="n">
        <v>42</v>
      </c>
      <c r="X393" s="2" t="n">
        <v>42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>
        <f>IF(F393=1,V393*2,IF(F393=2,V393*F393*2,IF(F393&gt;2,F393*2*V393)))</f>
        <v/>
      </c>
      <c r="AW393" s="2">
        <f>SUM(W393:AU393)</f>
        <v/>
      </c>
    </row>
    <row r="394">
      <c r="A394" s="2" t="inlineStr">
        <is>
          <t>14-K-624</t>
        </is>
      </c>
      <c r="B394" s="3" t="inlineStr">
        <is>
          <t>OJC-A1-LC/LC-MM(OM3)-22-PC/PC-DP</t>
        </is>
      </c>
      <c r="C394" s="2" t="inlineStr"/>
      <c r="D394" s="2" t="inlineStr">
        <is>
          <t>om3</t>
        </is>
      </c>
      <c r="E394" s="2" t="inlineStr">
        <is>
          <t>2.0mm</t>
        </is>
      </c>
      <c r="F394" s="2" t="n">
        <v>2</v>
      </c>
      <c r="G394" s="2" t="n">
        <v>22</v>
      </c>
      <c r="H394" s="2" t="inlineStr">
        <is>
          <t>LC/PC</t>
        </is>
      </c>
      <c r="I394" s="2" t="inlineStr">
        <is>
          <t>LC/PC</t>
        </is>
      </c>
      <c r="J394" s="2" t="n">
        <v>2</v>
      </c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>
        <v>10</v>
      </c>
      <c r="T394" s="2" t="n"/>
      <c r="U394" s="2" t="n"/>
      <c r="V394" s="2">
        <f>SUM(J394:U394)</f>
        <v/>
      </c>
      <c r="W394" s="2" t="n"/>
      <c r="X394" s="2" t="n">
        <v>24</v>
      </c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>
        <v>24</v>
      </c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>
        <f>IF(F394=1,V394*2,IF(F394=2,V394*F394*2,IF(F394&gt;2,F394*2*V394)))</f>
        <v/>
      </c>
      <c r="AW394" s="2">
        <f>SUM(W394:AU394)</f>
        <v/>
      </c>
    </row>
    <row r="395">
      <c r="A395" s="2" t="inlineStr">
        <is>
          <t>14-K-625</t>
        </is>
      </c>
      <c r="B395" s="3" t="inlineStr">
        <is>
          <t>OJC-A1-LC/LC-MM(OM3)-23-PC/PC-DP</t>
        </is>
      </c>
      <c r="C395" s="2" t="inlineStr"/>
      <c r="D395" s="2" t="inlineStr">
        <is>
          <t>om3</t>
        </is>
      </c>
      <c r="E395" s="2" t="inlineStr">
        <is>
          <t>2.0mm</t>
        </is>
      </c>
      <c r="F395" s="2" t="n">
        <v>2</v>
      </c>
      <c r="G395" s="2" t="n">
        <v>23</v>
      </c>
      <c r="H395" s="2" t="inlineStr">
        <is>
          <t>LC/PC</t>
        </is>
      </c>
      <c r="I395" s="2" t="inlineStr">
        <is>
          <t>LC/PC</t>
        </is>
      </c>
      <c r="J395" s="2" t="n">
        <v>4</v>
      </c>
      <c r="K395" s="2" t="n"/>
      <c r="L395" s="2" t="n">
        <v>14</v>
      </c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>
        <f>SUM(J395:U395)</f>
        <v/>
      </c>
      <c r="W395" s="2" t="n"/>
      <c r="X395" s="2" t="n">
        <v>36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>
        <v>36</v>
      </c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>
        <f>IF(F395=1,V395*2,IF(F395=2,V395*F395*2,IF(F395&gt;2,F395*2*V395)))</f>
        <v/>
      </c>
      <c r="AW395" s="2">
        <f>SUM(W395:AU395)</f>
        <v/>
      </c>
    </row>
    <row r="396">
      <c r="A396" s="2" t="inlineStr">
        <is>
          <t>14-K-626</t>
        </is>
      </c>
      <c r="B396" s="3" t="inlineStr">
        <is>
          <t>OJC-A1-LC/LC-MM(OM3)-24-PC/PC-DP</t>
        </is>
      </c>
      <c r="C396" s="2" t="inlineStr"/>
      <c r="D396" s="2" t="inlineStr">
        <is>
          <t>om3</t>
        </is>
      </c>
      <c r="E396" s="2" t="inlineStr">
        <is>
          <t>2.0mm</t>
        </is>
      </c>
      <c r="F396" s="2" t="n">
        <v>2</v>
      </c>
      <c r="G396" s="2" t="n">
        <v>24</v>
      </c>
      <c r="H396" s="2" t="inlineStr">
        <is>
          <t>LC/PC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>
        <v>23</v>
      </c>
      <c r="U396" s="2" t="n"/>
      <c r="V396" s="2">
        <f>SUM(J396:U396)</f>
        <v/>
      </c>
      <c r="W396" s="2" t="n"/>
      <c r="X396" s="2" t="n">
        <v>46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>
        <v>46</v>
      </c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>
        <f>IF(F396=1,V396*2,IF(F396=2,V396*F396*2,IF(F396&gt;2,F396*2*V396)))</f>
        <v/>
      </c>
      <c r="AW396" s="2">
        <f>SUM(W396:AU396)</f>
        <v/>
      </c>
    </row>
    <row r="397">
      <c r="A397" s="2" t="inlineStr">
        <is>
          <t>14-K-634</t>
        </is>
      </c>
      <c r="B397" s="3" t="inlineStr">
        <is>
          <t>OJC-C2-SC/LC-SM-30-PC/PC-16C</t>
        </is>
      </c>
      <c r="C397" s="2" t="inlineStr">
        <is>
          <t>K9094341</t>
        </is>
      </c>
      <c r="D397" s="2" t="inlineStr">
        <is>
          <t>a1-16c</t>
        </is>
      </c>
      <c r="E397" s="2" t="inlineStr">
        <is>
          <t>2.0mm</t>
        </is>
      </c>
      <c r="F397" s="2" t="n">
        <v>16</v>
      </c>
      <c r="G397" s="2" t="n">
        <v>30</v>
      </c>
      <c r="H397" s="2" t="inlineStr">
        <is>
          <t>SC/PC</t>
        </is>
      </c>
      <c r="I397" s="2" t="inlineStr">
        <is>
          <t>LC/PC</t>
        </is>
      </c>
      <c r="J397" s="2" t="n"/>
      <c r="K397" s="2" t="n"/>
      <c r="L397" s="2" t="n"/>
      <c r="M397" s="2" t="n"/>
      <c r="N397" s="2" t="n"/>
      <c r="O397" s="2" t="n">
        <v>3</v>
      </c>
      <c r="P397" s="2" t="n"/>
      <c r="Q397" s="2" t="n"/>
      <c r="R397" s="2" t="n"/>
      <c r="S397" s="2" t="n"/>
      <c r="T397" s="2" t="n"/>
      <c r="U397" s="2" t="n"/>
      <c r="V397" s="2">
        <f>SUM(J397:U397)</f>
        <v/>
      </c>
      <c r="W397" s="2" t="n">
        <v>48</v>
      </c>
      <c r="X397" s="2" t="n"/>
      <c r="Y397" s="2" t="n"/>
      <c r="Z397" s="2" t="n"/>
      <c r="AA397" s="2" t="n">
        <v>48</v>
      </c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>
        <f>IF(F397=1,V397*2,IF(F397=2,V397*F397*2,IF(F397&gt;2,F397*2*V397)))</f>
        <v/>
      </c>
      <c r="AW397" s="2">
        <f>SUM(W397:AU397)</f>
        <v/>
      </c>
    </row>
    <row r="398">
      <c r="A398" s="2" t="inlineStr">
        <is>
          <t>14-K-640</t>
        </is>
      </c>
      <c r="B398" s="3" t="inlineStr">
        <is>
          <t>OJC-A1-LC/LC-MM-7-PC/PC-DP</t>
        </is>
      </c>
      <c r="C398" s="2" t="inlineStr"/>
      <c r="D398" s="2" t="inlineStr">
        <is>
          <t>om1</t>
        </is>
      </c>
      <c r="E398" s="2" t="inlineStr">
        <is>
          <t>2.0mm</t>
        </is>
      </c>
      <c r="F398" s="2" t="n">
        <v>2</v>
      </c>
      <c r="G398" s="2" t="n">
        <v>7</v>
      </c>
      <c r="H398" s="2" t="inlineStr">
        <is>
          <t>LC/PC</t>
        </is>
      </c>
      <c r="I398" s="2" t="inlineStr">
        <is>
          <t>LC/PC</t>
        </is>
      </c>
      <c r="J398" s="2" t="n">
        <v>4</v>
      </c>
      <c r="K398" s="2" t="n"/>
      <c r="L398" s="2" t="n"/>
      <c r="M398" s="2" t="n"/>
      <c r="N398" s="2" t="n"/>
      <c r="O398" s="2" t="n"/>
      <c r="P398" s="2" t="n">
        <v>2</v>
      </c>
      <c r="Q398" s="2" t="n"/>
      <c r="R398" s="2" t="n"/>
      <c r="S398" s="2" t="n"/>
      <c r="T398" s="2" t="n"/>
      <c r="U398" s="2" t="n"/>
      <c r="V398" s="2">
        <f>SUM(J398:U398)</f>
        <v/>
      </c>
      <c r="W398" s="2" t="n"/>
      <c r="X398" s="2" t="n">
        <v>12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>
        <v>12</v>
      </c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>
        <f>IF(F398=1,V398*2,IF(F398=2,V398*F398*2,IF(F398&gt;2,F398*2*V398)))</f>
        <v/>
      </c>
      <c r="AW398" s="2">
        <f>SUM(W398:AU398)</f>
        <v/>
      </c>
    </row>
    <row r="399">
      <c r="A399" s="2" t="inlineStr">
        <is>
          <t>14-K-651</t>
        </is>
      </c>
      <c r="B399" s="3" t="inlineStr">
        <is>
          <t>OJC-A1-SC/LC-SM-10-PC/PC-DP</t>
        </is>
      </c>
      <c r="C399" s="2" t="inlineStr">
        <is>
          <t>K9089162_청색</t>
        </is>
      </c>
      <c r="D399" s="2" t="inlineStr">
        <is>
          <t>a1-청</t>
        </is>
      </c>
      <c r="E399" s="2" t="inlineStr">
        <is>
          <t>2.0mm</t>
        </is>
      </c>
      <c r="F399" s="2" t="n">
        <v>2</v>
      </c>
      <c r="G399" s="2" t="n">
        <v>10</v>
      </c>
      <c r="H399" s="2" t="inlineStr">
        <is>
          <t>SC/PC</t>
        </is>
      </c>
      <c r="I399" s="2" t="inlineStr">
        <is>
          <t>LC/PC</t>
        </is>
      </c>
      <c r="J399" s="2" t="n"/>
      <c r="K399" s="2" t="n">
        <v>60</v>
      </c>
      <c r="L399" s="2" t="n"/>
      <c r="M399" s="2" t="n"/>
      <c r="N399" s="2" t="n">
        <v>50</v>
      </c>
      <c r="O399" s="2" t="n"/>
      <c r="P399" s="2" t="n"/>
      <c r="Q399" s="2" t="n"/>
      <c r="R399" s="2" t="n"/>
      <c r="S399" s="2" t="n"/>
      <c r="T399" s="2" t="n"/>
      <c r="U399" s="2" t="n"/>
      <c r="V399" s="2">
        <f>SUM(J399:U399)</f>
        <v/>
      </c>
      <c r="W399" s="2" t="n"/>
      <c r="X399" s="2" t="n">
        <v>220</v>
      </c>
      <c r="Y399" s="2" t="n"/>
      <c r="Z399" s="2" t="n"/>
      <c r="AA399" s="2" t="n">
        <v>220</v>
      </c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>
        <f>IF(F399=1,V399*2,IF(F399=2,V399*F399*2,IF(F399&gt;2,F399*2*V399)))</f>
        <v/>
      </c>
      <c r="AW399" s="2">
        <f>SUM(W399:AU399)</f>
        <v/>
      </c>
    </row>
    <row r="400">
      <c r="A400" s="2" t="inlineStr">
        <is>
          <t>14-K-652</t>
        </is>
      </c>
      <c r="B400" s="3" t="inlineStr">
        <is>
          <t>OJC-A1-SC/LC-SM-15-PC/PC-DP</t>
        </is>
      </c>
      <c r="C400" s="2" t="inlineStr">
        <is>
          <t>K9089163_청색</t>
        </is>
      </c>
      <c r="D400" s="2" t="inlineStr">
        <is>
          <t>a1-청</t>
        </is>
      </c>
      <c r="E400" s="2" t="inlineStr">
        <is>
          <t>2.0mm</t>
        </is>
      </c>
      <c r="F400" s="2" t="n">
        <v>2</v>
      </c>
      <c r="G400" s="2" t="n">
        <v>15</v>
      </c>
      <c r="H400" s="2" t="inlineStr">
        <is>
          <t>SC/PC</t>
        </is>
      </c>
      <c r="I400" s="2" t="inlineStr">
        <is>
          <t>LC/PC</t>
        </is>
      </c>
      <c r="J400" s="2" t="n"/>
      <c r="K400" s="2" t="n"/>
      <c r="L400" s="2" t="n"/>
      <c r="M400" s="2" t="n"/>
      <c r="N400" s="2" t="n">
        <v>50</v>
      </c>
      <c r="O400" s="2" t="n"/>
      <c r="P400" s="2" t="n"/>
      <c r="Q400" s="2" t="n"/>
      <c r="R400" s="2" t="n"/>
      <c r="S400" s="2" t="n">
        <v>100</v>
      </c>
      <c r="T400" s="2" t="n"/>
      <c r="U400" s="2" t="n"/>
      <c r="V400" s="2">
        <f>SUM(J400:U400)</f>
        <v/>
      </c>
      <c r="W400" s="2" t="n"/>
      <c r="X400" s="2" t="n">
        <v>300</v>
      </c>
      <c r="Y400" s="2" t="n"/>
      <c r="Z400" s="2" t="n"/>
      <c r="AA400" s="2" t="n">
        <v>300</v>
      </c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>
        <f>IF(F400=1,V400*2,IF(F400=2,V400*F400*2,IF(F400&gt;2,F400*2*V400)))</f>
        <v/>
      </c>
      <c r="AW400" s="2">
        <f>SUM(W400:AU400)</f>
        <v/>
      </c>
    </row>
    <row r="401">
      <c r="A401" s="2" t="inlineStr">
        <is>
          <t>14-K-653</t>
        </is>
      </c>
      <c r="B401" s="3" t="inlineStr">
        <is>
          <t>OJC-A1-SC/LC-SM-20-PC/PC-DP</t>
        </is>
      </c>
      <c r="C401" s="2" t="inlineStr">
        <is>
          <t>K9089164_청색</t>
        </is>
      </c>
      <c r="D401" s="2" t="inlineStr">
        <is>
          <t>a1-청</t>
        </is>
      </c>
      <c r="E401" s="2" t="inlineStr">
        <is>
          <t>2.0mm</t>
        </is>
      </c>
      <c r="F401" s="2" t="n">
        <v>2</v>
      </c>
      <c r="G401" s="2" t="n">
        <v>20</v>
      </c>
      <c r="H401" s="2" t="inlineStr">
        <is>
          <t>SC/PC</t>
        </is>
      </c>
      <c r="I401" s="2" t="inlineStr">
        <is>
          <t>LC/PC</t>
        </is>
      </c>
      <c r="J401" s="2" t="n"/>
      <c r="K401" s="2" t="n">
        <v>60</v>
      </c>
      <c r="L401" s="2" t="n"/>
      <c r="M401" s="2" t="n"/>
      <c r="N401" s="2" t="n">
        <v>50</v>
      </c>
      <c r="O401" s="2" t="n"/>
      <c r="P401" s="2" t="n"/>
      <c r="Q401" s="2" t="n"/>
      <c r="R401" s="2" t="n"/>
      <c r="S401" s="2" t="n"/>
      <c r="T401" s="2" t="n"/>
      <c r="U401" s="2" t="n"/>
      <c r="V401" s="2">
        <f>SUM(J401:U401)</f>
        <v/>
      </c>
      <c r="W401" s="2" t="n"/>
      <c r="X401" s="2" t="n">
        <v>220</v>
      </c>
      <c r="Y401" s="2" t="n"/>
      <c r="Z401" s="2" t="n"/>
      <c r="AA401" s="2" t="n">
        <v>220</v>
      </c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>
        <f>IF(F401=1,V401*2,IF(F401=2,V401*F401*2,IF(F401&gt;2,F401*2*V401)))</f>
        <v/>
      </c>
      <c r="AW401" s="2">
        <f>SUM(W401:AU401)</f>
        <v/>
      </c>
    </row>
    <row r="402">
      <c r="A402" s="2" t="inlineStr">
        <is>
          <t>14-K-654</t>
        </is>
      </c>
      <c r="B402" s="3" t="inlineStr">
        <is>
          <t>OJC-A1-SC/LC-SM-25-PC/PC-DP</t>
        </is>
      </c>
      <c r="C402" s="2" t="inlineStr">
        <is>
          <t>K9089165_청색</t>
        </is>
      </c>
      <c r="D402" s="2" t="inlineStr">
        <is>
          <t>a1-청</t>
        </is>
      </c>
      <c r="E402" s="2" t="inlineStr">
        <is>
          <t>2.0mm</t>
        </is>
      </c>
      <c r="F402" s="2" t="n">
        <v>2</v>
      </c>
      <c r="G402" s="2" t="n">
        <v>25</v>
      </c>
      <c r="H402" s="2" t="inlineStr">
        <is>
          <t>SC/PC</t>
        </is>
      </c>
      <c r="I402" s="2" t="inlineStr">
        <is>
          <t>LC/PC</t>
        </is>
      </c>
      <c r="J402" s="2" t="n"/>
      <c r="K402" s="2" t="n">
        <v>60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>
        <f>SUM(J402:U402)</f>
        <v/>
      </c>
      <c r="W402" s="2" t="n"/>
      <c r="X402" s="2" t="n">
        <v>120</v>
      </c>
      <c r="Y402" s="2" t="n"/>
      <c r="Z402" s="2" t="n"/>
      <c r="AA402" s="2" t="n">
        <v>120</v>
      </c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>
        <f>IF(F402=1,V402*2,IF(F402=2,V402*F402*2,IF(F402&gt;2,F402*2*V402)))</f>
        <v/>
      </c>
      <c r="AW402" s="2">
        <f>SUM(W402:AU402)</f>
        <v/>
      </c>
    </row>
    <row r="403">
      <c r="A403" s="2" t="inlineStr">
        <is>
          <t>14-K-655</t>
        </is>
      </c>
      <c r="B403" s="3" t="inlineStr">
        <is>
          <t>OJC-A1-SC/LC-SM-30-PC/PC-DP</t>
        </is>
      </c>
      <c r="C403" s="2" t="inlineStr">
        <is>
          <t>K9089166_청색</t>
        </is>
      </c>
      <c r="D403" s="2" t="inlineStr">
        <is>
          <t>a1-청</t>
        </is>
      </c>
      <c r="E403" s="2" t="inlineStr">
        <is>
          <t>2.0mm</t>
        </is>
      </c>
      <c r="F403" s="2" t="n">
        <v>2</v>
      </c>
      <c r="G403" s="2" t="n">
        <v>30</v>
      </c>
      <c r="H403" s="2" t="inlineStr">
        <is>
          <t>SC/PC</t>
        </is>
      </c>
      <c r="I403" s="2" t="inlineStr">
        <is>
          <t>LC/PC</t>
        </is>
      </c>
      <c r="J403" s="2" t="n"/>
      <c r="K403" s="2" t="n">
        <v>40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>
        <f>SUM(J403:U403)</f>
        <v/>
      </c>
      <c r="W403" s="2" t="n"/>
      <c r="X403" s="2" t="n">
        <v>80</v>
      </c>
      <c r="Y403" s="2" t="n"/>
      <c r="Z403" s="2" t="n"/>
      <c r="AA403" s="2" t="n">
        <v>80</v>
      </c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>
        <f>IF(F403=1,V403*2,IF(F403=2,V403*F403*2,IF(F403&gt;2,F403*2*V403)))</f>
        <v/>
      </c>
      <c r="AW403" s="2">
        <f>SUM(W403:AU403)</f>
        <v/>
      </c>
    </row>
    <row r="404">
      <c r="A404" s="2" t="inlineStr">
        <is>
          <t>14-K-658</t>
        </is>
      </c>
      <c r="B404" s="3" t="inlineStr">
        <is>
          <t>OJC-A1-LC/LC-MM-12-PC/PC-DP</t>
        </is>
      </c>
      <c r="C404" s="2" t="inlineStr"/>
      <c r="D404" s="2" t="inlineStr">
        <is>
          <t>om1</t>
        </is>
      </c>
      <c r="E404" s="2" t="inlineStr">
        <is>
          <t>2.0mm</t>
        </is>
      </c>
      <c r="F404" s="2" t="n">
        <v>2</v>
      </c>
      <c r="G404" s="2" t="n">
        <v>12</v>
      </c>
      <c r="H404" s="2" t="inlineStr">
        <is>
          <t>LC/PC</t>
        </is>
      </c>
      <c r="I404" s="2" t="inlineStr">
        <is>
          <t>LC/PC</t>
        </is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>
        <v>10</v>
      </c>
      <c r="S404" s="2" t="n"/>
      <c r="T404" s="2" t="n"/>
      <c r="U404" s="2" t="n"/>
      <c r="V404" s="2">
        <f>SUM(J404:U404)</f>
        <v/>
      </c>
      <c r="W404" s="2" t="n"/>
      <c r="X404" s="2" t="n">
        <v>20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>
        <v>20</v>
      </c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>
        <f>IF(F404=1,V404*2,IF(F404=2,V404*F404*2,IF(F404&gt;2,F404*2*V404)))</f>
        <v/>
      </c>
      <c r="AW404" s="2">
        <f>SUM(W404:AU404)</f>
        <v/>
      </c>
    </row>
    <row r="405">
      <c r="A405" s="2" t="inlineStr">
        <is>
          <t>14-K-663</t>
        </is>
      </c>
      <c r="B405" s="3" t="inlineStr">
        <is>
          <t>OJC-A1-LC/LC-MM(OM3)-40-PC/PC-DP</t>
        </is>
      </c>
      <c r="C405" s="2" t="inlineStr"/>
      <c r="D405" s="2" t="inlineStr">
        <is>
          <t>om3</t>
        </is>
      </c>
      <c r="E405" s="2" t="inlineStr">
        <is>
          <t>2.0mm</t>
        </is>
      </c>
      <c r="F405" s="2" t="n">
        <v>2</v>
      </c>
      <c r="G405" s="2" t="n">
        <v>40</v>
      </c>
      <c r="H405" s="2" t="inlineStr">
        <is>
          <t>LC/PC</t>
        </is>
      </c>
      <c r="I405" s="2" t="inlineStr">
        <is>
          <t>LC/PC</t>
        </is>
      </c>
      <c r="J405" s="2" t="n"/>
      <c r="K405" s="2" t="n"/>
      <c r="L405" s="2" t="n">
        <v>7</v>
      </c>
      <c r="M405" s="2" t="n"/>
      <c r="N405" s="2" t="n">
        <v>4</v>
      </c>
      <c r="O405" s="2" t="n">
        <v>2</v>
      </c>
      <c r="P405" s="2" t="n"/>
      <c r="Q405" s="2" t="n"/>
      <c r="R405" s="2" t="n"/>
      <c r="S405" s="2" t="n"/>
      <c r="T405" s="2" t="n"/>
      <c r="U405" s="2" t="n"/>
      <c r="V405" s="2">
        <f>SUM(J405:U405)</f>
        <v/>
      </c>
      <c r="W405" s="2" t="n"/>
      <c r="X405" s="2" t="n">
        <v>26</v>
      </c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>
        <v>26</v>
      </c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>
        <f>IF(F405=1,V405*2,IF(F405=2,V405*F405*2,IF(F405&gt;2,F405*2*V405)))</f>
        <v/>
      </c>
      <c r="AW405" s="2">
        <f>SUM(W405:AU405)</f>
        <v/>
      </c>
    </row>
    <row r="406">
      <c r="A406" s="2" t="inlineStr">
        <is>
          <t>14-K-667</t>
        </is>
      </c>
      <c r="B406" s="3" t="inlineStr">
        <is>
          <t>OJC-A1-SC/SC-SM-20-PC/PC-DP</t>
        </is>
      </c>
      <c r="C406" s="2" t="inlineStr">
        <is>
          <t>K9089142_녹색</t>
        </is>
      </c>
      <c r="D406" s="2" t="inlineStr">
        <is>
          <t>a1-녹</t>
        </is>
      </c>
      <c r="E406" s="2" t="inlineStr">
        <is>
          <t>2.0mm</t>
        </is>
      </c>
      <c r="F406" s="2" t="n">
        <v>2</v>
      </c>
      <c r="G406" s="2" t="n">
        <v>20</v>
      </c>
      <c r="H406" s="2" t="inlineStr">
        <is>
          <t>SC/PC</t>
        </is>
      </c>
      <c r="I406" s="2" t="inlineStr">
        <is>
          <t>SC/PC</t>
        </is>
      </c>
      <c r="J406" s="2" t="n"/>
      <c r="K406" s="2" t="n"/>
      <c r="L406" s="2" t="n"/>
      <c r="M406" s="2" t="n"/>
      <c r="N406" s="2" t="n">
        <v>50</v>
      </c>
      <c r="O406" s="2" t="n"/>
      <c r="P406" s="2" t="n">
        <v>105</v>
      </c>
      <c r="Q406" s="2" t="n"/>
      <c r="R406" s="2" t="n"/>
      <c r="S406" s="2" t="n">
        <v>30</v>
      </c>
      <c r="T406" s="2" t="n">
        <v>120</v>
      </c>
      <c r="U406" s="2" t="n">
        <v>6</v>
      </c>
      <c r="V406" s="2">
        <f>SUM(J406:U406)</f>
        <v/>
      </c>
      <c r="W406" s="2" t="n"/>
      <c r="X406" s="2" t="n"/>
      <c r="Y406" s="2" t="n"/>
      <c r="Z406" s="2" t="n"/>
      <c r="AA406" s="2" t="n">
        <v>622</v>
      </c>
      <c r="AB406" s="2" t="n">
        <v>622</v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>
        <f>IF(F406=1,V406*2,IF(F406=2,V406*F406*2,IF(F406&gt;2,F406*2*V406)))</f>
        <v/>
      </c>
      <c r="AW406" s="2">
        <f>SUM(W406:AU406)</f>
        <v/>
      </c>
    </row>
    <row r="407">
      <c r="A407" s="2" t="inlineStr">
        <is>
          <t>14-K-668</t>
        </is>
      </c>
      <c r="B407" s="3" t="inlineStr">
        <is>
          <t>OJC-A1-SC/SC-SM-25-PC/PC-DP</t>
        </is>
      </c>
      <c r="C407" s="2" t="inlineStr">
        <is>
          <t>K9089147_녹색</t>
        </is>
      </c>
      <c r="D407" s="2" t="inlineStr">
        <is>
          <t>a1-녹</t>
        </is>
      </c>
      <c r="E407" s="2" t="inlineStr">
        <is>
          <t>2.0mm</t>
        </is>
      </c>
      <c r="F407" s="2" t="n">
        <v>2</v>
      </c>
      <c r="G407" s="2" t="n">
        <v>25</v>
      </c>
      <c r="H407" s="2" t="inlineStr">
        <is>
          <t>SC/PC</t>
        </is>
      </c>
      <c r="I407" s="2" t="inlineStr">
        <is>
          <t>SC/PC</t>
        </is>
      </c>
      <c r="J407" s="2" t="n"/>
      <c r="K407" s="2" t="n"/>
      <c r="L407" s="2" t="n"/>
      <c r="M407" s="2" t="n"/>
      <c r="N407" s="2" t="n">
        <v>50</v>
      </c>
      <c r="O407" s="2" t="n">
        <v>100</v>
      </c>
      <c r="P407" s="2" t="n">
        <v>119</v>
      </c>
      <c r="Q407" s="2" t="n">
        <v>100</v>
      </c>
      <c r="R407" s="2" t="n"/>
      <c r="S407" s="2" t="n"/>
      <c r="T407" s="2" t="n">
        <v>20</v>
      </c>
      <c r="U407" s="2" t="n">
        <v>200</v>
      </c>
      <c r="V407" s="2">
        <f>SUM(J407:U407)</f>
        <v/>
      </c>
      <c r="W407" s="2" t="n"/>
      <c r="X407" s="2" t="n"/>
      <c r="Y407" s="2" t="n"/>
      <c r="Z407" s="2" t="n"/>
      <c r="AA407" s="2" t="n">
        <v>1178</v>
      </c>
      <c r="AB407" s="2" t="n">
        <v>1178</v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>
        <f>IF(F407=1,V407*2,IF(F407=2,V407*F407*2,IF(F407&gt;2,F407*2*V407)))</f>
        <v/>
      </c>
      <c r="AW407" s="2">
        <f>SUM(W407:AU407)</f>
        <v/>
      </c>
    </row>
    <row r="408">
      <c r="A408" s="2" t="inlineStr">
        <is>
          <t>14-K-669</t>
        </is>
      </c>
      <c r="B408" s="3" t="inlineStr">
        <is>
          <t>OJC-A1-SC/SC-SM-10-PC/PC-DP</t>
        </is>
      </c>
      <c r="C408" s="2" t="inlineStr">
        <is>
          <t>K9089132_녹색</t>
        </is>
      </c>
      <c r="D408" s="2" t="inlineStr">
        <is>
          <t>a1-녹</t>
        </is>
      </c>
      <c r="E408" s="2" t="inlineStr">
        <is>
          <t>2.0mm</t>
        </is>
      </c>
      <c r="F408" s="2" t="n">
        <v>2</v>
      </c>
      <c r="G408" s="2" t="n">
        <v>10</v>
      </c>
      <c r="H408" s="2" t="inlineStr">
        <is>
          <t>SC/PC</t>
        </is>
      </c>
      <c r="I408" s="2" t="inlineStr">
        <is>
          <t>SC/PC</t>
        </is>
      </c>
      <c r="J408" s="2" t="n"/>
      <c r="K408" s="2" t="n"/>
      <c r="L408" s="2" t="n"/>
      <c r="M408" s="2" t="n"/>
      <c r="N408" s="2" t="n">
        <v>50</v>
      </c>
      <c r="O408" s="2" t="n"/>
      <c r="P408" s="2" t="n">
        <v>50</v>
      </c>
      <c r="Q408" s="2" t="n"/>
      <c r="R408" s="2" t="n"/>
      <c r="S408" s="2" t="n">
        <v>30</v>
      </c>
      <c r="T408" s="2" t="n">
        <v>150</v>
      </c>
      <c r="U408" s="2" t="n"/>
      <c r="V408" s="2">
        <f>SUM(J408:U408)</f>
        <v/>
      </c>
      <c r="W408" s="2" t="n"/>
      <c r="X408" s="2" t="n"/>
      <c r="Y408" s="2" t="n"/>
      <c r="Z408" s="2" t="n"/>
      <c r="AA408" s="2" t="n">
        <v>560</v>
      </c>
      <c r="AB408" s="2" t="n">
        <v>560</v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>
        <f>IF(F408=1,V408*2,IF(F408=2,V408*F408*2,IF(F408&gt;2,F408*2*V408)))</f>
        <v/>
      </c>
      <c r="AW408" s="2">
        <f>SUM(W408:AU408)</f>
        <v/>
      </c>
    </row>
    <row r="409">
      <c r="A409" s="2" t="inlineStr">
        <is>
          <t>14-K-670</t>
        </is>
      </c>
      <c r="B409" s="3" t="inlineStr">
        <is>
          <t>OJC-A1-SC/SC-SM-15-PC/PC-DP</t>
        </is>
      </c>
      <c r="C409" s="2" t="inlineStr">
        <is>
          <t>K9089137_녹색</t>
        </is>
      </c>
      <c r="D409" s="2" t="inlineStr">
        <is>
          <t>a1-녹</t>
        </is>
      </c>
      <c r="E409" s="2" t="inlineStr">
        <is>
          <t>2.0mm</t>
        </is>
      </c>
      <c r="F409" s="2" t="n">
        <v>2</v>
      </c>
      <c r="G409" s="2" t="n">
        <v>15</v>
      </c>
      <c r="H409" s="2" t="inlineStr">
        <is>
          <t>SC/PC</t>
        </is>
      </c>
      <c r="I409" s="2" t="inlineStr">
        <is>
          <t>SC/PC</t>
        </is>
      </c>
      <c r="J409" s="2" t="n"/>
      <c r="K409" s="2" t="n"/>
      <c r="L409" s="2" t="n"/>
      <c r="M409" s="2" t="n"/>
      <c r="N409" s="2" t="n">
        <v>50</v>
      </c>
      <c r="O409" s="2" t="n">
        <v>304</v>
      </c>
      <c r="P409" s="2" t="n">
        <v>120</v>
      </c>
      <c r="Q409" s="2" t="n"/>
      <c r="R409" s="2" t="n"/>
      <c r="S409" s="2" t="n">
        <v>20</v>
      </c>
      <c r="T409" s="2" t="n">
        <v>20</v>
      </c>
      <c r="U409" s="2" t="n">
        <v>300</v>
      </c>
      <c r="V409" s="2">
        <f>SUM(J409:U409)</f>
        <v/>
      </c>
      <c r="W409" s="2" t="n"/>
      <c r="X409" s="2" t="n"/>
      <c r="Y409" s="2" t="n"/>
      <c r="Z409" s="2" t="n"/>
      <c r="AA409" s="2" t="n">
        <v>1628</v>
      </c>
      <c r="AB409" s="2" t="n">
        <v>1628</v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>
        <f>IF(F409=1,V409*2,IF(F409=2,V409*F409*2,IF(F409&gt;2,F409*2*V409)))</f>
        <v/>
      </c>
      <c r="AW409" s="2">
        <f>SUM(W409:AU409)</f>
        <v/>
      </c>
    </row>
    <row r="410">
      <c r="A410" s="2" t="inlineStr">
        <is>
          <t>14-K-671</t>
        </is>
      </c>
      <c r="B410" s="3" t="inlineStr">
        <is>
          <t>OJC-A1-SC/SC-SM-20-PC/PC-SP</t>
        </is>
      </c>
      <c r="C410" s="2" t="inlineStr">
        <is>
          <t>K9089013_녹색</t>
        </is>
      </c>
      <c r="D410" s="2" t="inlineStr">
        <is>
          <t>a1-녹</t>
        </is>
      </c>
      <c r="E410" s="2" t="inlineStr">
        <is>
          <t>2.0mm</t>
        </is>
      </c>
      <c r="F410" s="2" t="n">
        <v>1</v>
      </c>
      <c r="G410" s="2" t="n">
        <v>20</v>
      </c>
      <c r="H410" s="2" t="inlineStr">
        <is>
          <t>SC/PC</t>
        </is>
      </c>
      <c r="I410" s="2" t="inlineStr">
        <is>
          <t>SC/PC</t>
        </is>
      </c>
      <c r="J410" s="2" t="n"/>
      <c r="K410" s="2" t="n"/>
      <c r="L410" s="2" t="n"/>
      <c r="M410" s="2" t="n"/>
      <c r="N410" s="2" t="n"/>
      <c r="O410" s="2" t="n"/>
      <c r="P410" s="2" t="n">
        <v>242</v>
      </c>
      <c r="Q410" s="2" t="n">
        <v>6</v>
      </c>
      <c r="R410" s="2" t="n">
        <v>56</v>
      </c>
      <c r="S410" s="2" t="n">
        <v>42</v>
      </c>
      <c r="T410" s="2" t="n">
        <v>104</v>
      </c>
      <c r="U410" s="2" t="n">
        <v>150</v>
      </c>
      <c r="V410" s="2">
        <f>SUM(J410:U410)</f>
        <v/>
      </c>
      <c r="W410" s="2" t="n"/>
      <c r="X410" s="2" t="n"/>
      <c r="Y410" s="2" t="n"/>
      <c r="Z410" s="2" t="n"/>
      <c r="AA410" s="2" t="n">
        <v>1200</v>
      </c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>
        <f>IF(F410=1,V410*2,IF(F410=2,V410*F410*2,IF(F410&gt;2,F410*2*V410)))</f>
        <v/>
      </c>
      <c r="AW410" s="2">
        <f>SUM(W410:AU410)</f>
        <v/>
      </c>
    </row>
    <row r="411">
      <c r="A411" s="2" t="inlineStr">
        <is>
          <t>14-K-672</t>
        </is>
      </c>
      <c r="B411" s="3" t="inlineStr">
        <is>
          <t>OJC-A1-SC/SC-SM-3-APC/APC-SP</t>
        </is>
      </c>
      <c r="C411" s="2" t="inlineStr">
        <is>
          <t>K9089111_적색</t>
        </is>
      </c>
      <c r="D411" s="2" t="inlineStr">
        <is>
          <t>a1-적</t>
        </is>
      </c>
      <c r="E411" s="2" t="inlineStr">
        <is>
          <t>2.0mm</t>
        </is>
      </c>
      <c r="F411" s="2" t="n">
        <v>1</v>
      </c>
      <c r="G411" s="2" t="n">
        <v>3</v>
      </c>
      <c r="H411" s="2" t="inlineStr">
        <is>
          <t>SC/APC</t>
        </is>
      </c>
      <c r="I411" s="2" t="inlineStr">
        <is>
          <t>SC/APC</t>
        </is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>
        <v>200</v>
      </c>
      <c r="V411" s="2">
        <f>SUM(J411:U411)</f>
        <v/>
      </c>
      <c r="W411" s="2" t="n"/>
      <c r="X411" s="2" t="n"/>
      <c r="Y411" s="2" t="n"/>
      <c r="Z411" s="2" t="n"/>
      <c r="AA411" s="2" t="n"/>
      <c r="AB411" s="2" t="n"/>
      <c r="AC411" s="2" t="n">
        <v>400</v>
      </c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>
        <f>IF(F411=1,V411*2,IF(F411=2,V411*F411*2,IF(F411&gt;2,F411*2*V411)))</f>
        <v/>
      </c>
      <c r="AW411" s="2">
        <f>SUM(W411:AU411)</f>
        <v/>
      </c>
    </row>
    <row r="412">
      <c r="A412" s="2" t="inlineStr">
        <is>
          <t>14-K-673</t>
        </is>
      </c>
      <c r="B412" s="3" t="inlineStr">
        <is>
          <t>OJC-A1-SC/SC-SM-30-PC/PC-DP</t>
        </is>
      </c>
      <c r="C412" s="2" t="inlineStr">
        <is>
          <t>K9089152_녹색</t>
        </is>
      </c>
      <c r="D412" s="2" t="inlineStr">
        <is>
          <t>a1-녹</t>
        </is>
      </c>
      <c r="E412" s="2" t="inlineStr">
        <is>
          <t>2.0mm</t>
        </is>
      </c>
      <c r="F412" s="2" t="n">
        <v>2</v>
      </c>
      <c r="G412" s="2" t="n">
        <v>30</v>
      </c>
      <c r="H412" s="2" t="inlineStr">
        <is>
          <t>SC/PC</t>
        </is>
      </c>
      <c r="I412" s="2" t="inlineStr">
        <is>
          <t>SC/PC</t>
        </is>
      </c>
      <c r="J412" s="2" t="n"/>
      <c r="K412" s="2" t="n"/>
      <c r="L412" s="2" t="n"/>
      <c r="M412" s="2" t="n"/>
      <c r="N412" s="2" t="n"/>
      <c r="O412" s="2" t="n">
        <v>106</v>
      </c>
      <c r="P412" s="2" t="n"/>
      <c r="Q412" s="2" t="n"/>
      <c r="R412" s="2" t="n"/>
      <c r="S412" s="2" t="n"/>
      <c r="T412" s="2" t="n"/>
      <c r="U412" s="2" t="n"/>
      <c r="V412" s="2">
        <f>SUM(J412:U412)</f>
        <v/>
      </c>
      <c r="W412" s="2" t="n"/>
      <c r="X412" s="2" t="n"/>
      <c r="Y412" s="2" t="n"/>
      <c r="Z412" s="2" t="n"/>
      <c r="AA412" s="2" t="n">
        <v>212</v>
      </c>
      <c r="AB412" s="2" t="n">
        <v>212</v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>
        <f>IF(F412=1,V412*2,IF(F412=2,V412*F412*2,IF(F412&gt;2,F412*2*V412)))</f>
        <v/>
      </c>
      <c r="AW412" s="2">
        <f>SUM(W412:AU412)</f>
        <v/>
      </c>
    </row>
    <row r="413">
      <c r="A413" s="2" t="inlineStr">
        <is>
          <t>14-K-678</t>
        </is>
      </c>
      <c r="B413" s="3" t="inlineStr">
        <is>
          <t>OJC-A1-SC/SC-SM-35-PC/PC-DP</t>
        </is>
      </c>
      <c r="C413" s="2" t="inlineStr">
        <is>
          <t>K9089153_녹색</t>
        </is>
      </c>
      <c r="D413" s="2" t="inlineStr">
        <is>
          <t>a1-녹</t>
        </is>
      </c>
      <c r="E413" s="2" t="inlineStr">
        <is>
          <t>2.0mm</t>
        </is>
      </c>
      <c r="F413" s="2" t="n">
        <v>2</v>
      </c>
      <c r="G413" s="2" t="n">
        <v>35</v>
      </c>
      <c r="H413" s="2" t="inlineStr">
        <is>
          <t>SC/PC</t>
        </is>
      </c>
      <c r="I413" s="2" t="inlineStr">
        <is>
          <t>SC/PC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>
        <v>200</v>
      </c>
      <c r="R413" s="2" t="n"/>
      <c r="S413" s="2" t="n"/>
      <c r="T413" s="2" t="n"/>
      <c r="U413" s="2" t="n"/>
      <c r="V413" s="2">
        <f>SUM(J413:U413)</f>
        <v/>
      </c>
      <c r="W413" s="2" t="n"/>
      <c r="X413" s="2" t="n"/>
      <c r="Y413" s="2" t="n"/>
      <c r="Z413" s="2" t="n"/>
      <c r="AA413" s="2" t="n">
        <v>400</v>
      </c>
      <c r="AB413" s="2" t="n">
        <v>400</v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>
        <f>IF(F413=1,V413*2,IF(F413=2,V413*F413*2,IF(F413&gt;2,F413*2*V413)))</f>
        <v/>
      </c>
      <c r="AW413" s="2">
        <f>SUM(W413:AU413)</f>
        <v/>
      </c>
    </row>
    <row r="414">
      <c r="A414" s="2" t="inlineStr">
        <is>
          <t>14-K-682</t>
        </is>
      </c>
      <c r="B414" s="3" t="inlineStr">
        <is>
          <t>OJC-A1-SC/SC-SM-25-PC/PC-DP</t>
        </is>
      </c>
      <c r="C414" s="2" t="inlineStr">
        <is>
          <t>K9089147_적색</t>
        </is>
      </c>
      <c r="D414" s="2" t="inlineStr">
        <is>
          <t>a1-적</t>
        </is>
      </c>
      <c r="E414" s="2" t="inlineStr">
        <is>
          <t>2.0mm</t>
        </is>
      </c>
      <c r="F414" s="2" t="n">
        <v>2</v>
      </c>
      <c r="G414" s="2" t="n">
        <v>25</v>
      </c>
      <c r="H414" s="2" t="inlineStr">
        <is>
          <t>SC/PC</t>
        </is>
      </c>
      <c r="I414" s="2" t="inlineStr">
        <is>
          <t>SC/PC</t>
        </is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>
        <v>30</v>
      </c>
      <c r="T414" s="2" t="n"/>
      <c r="U414" s="2" t="n">
        <v>100</v>
      </c>
      <c r="V414" s="2">
        <f>SUM(J414:U414)</f>
        <v/>
      </c>
      <c r="W414" s="2" t="n"/>
      <c r="X414" s="2" t="n"/>
      <c r="Y414" s="2" t="n"/>
      <c r="Z414" s="2" t="n"/>
      <c r="AA414" s="2" t="n">
        <v>260</v>
      </c>
      <c r="AB414" s="2" t="n">
        <v>260</v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>
        <f>IF(F414=1,V414*2,IF(F414=2,V414*F414*2,IF(F414&gt;2,F414*2*V414)))</f>
        <v/>
      </c>
      <c r="AW414" s="2">
        <f>SUM(W414:AU414)</f>
        <v/>
      </c>
    </row>
    <row r="415">
      <c r="A415" s="2" t="inlineStr">
        <is>
          <t>14-K-685</t>
        </is>
      </c>
      <c r="B415" s="3" t="inlineStr">
        <is>
          <t>OJC-A1-SC/SC-SM-5-PC/PC-DP</t>
        </is>
      </c>
      <c r="C415" s="2" t="inlineStr">
        <is>
          <t>K9089127_녹색</t>
        </is>
      </c>
      <c r="D415" s="2" t="inlineStr">
        <is>
          <t>a1-녹</t>
        </is>
      </c>
      <c r="E415" s="2" t="inlineStr">
        <is>
          <t>2.0mm</t>
        </is>
      </c>
      <c r="F415" s="2" t="n">
        <v>2</v>
      </c>
      <c r="G415" s="2" t="n">
        <v>5</v>
      </c>
      <c r="H415" s="2" t="inlineStr">
        <is>
          <t>SC/PC</t>
        </is>
      </c>
      <c r="I415" s="2" t="inlineStr">
        <is>
          <t>SC/PC</t>
        </is>
      </c>
      <c r="J415" s="2" t="n"/>
      <c r="K415" s="2" t="n"/>
      <c r="L415" s="2" t="n"/>
      <c r="M415" s="2" t="n"/>
      <c r="N415" s="2" t="n"/>
      <c r="O415" s="2" t="n">
        <v>300</v>
      </c>
      <c r="P415" s="2" t="n"/>
      <c r="Q415" s="2" t="n"/>
      <c r="R415" s="2" t="n"/>
      <c r="S415" s="2" t="n"/>
      <c r="T415" s="2" t="n"/>
      <c r="U415" s="2" t="n"/>
      <c r="V415" s="2">
        <f>SUM(J415:U415)</f>
        <v/>
      </c>
      <c r="W415" s="2" t="n"/>
      <c r="X415" s="2" t="n"/>
      <c r="Y415" s="2" t="n"/>
      <c r="Z415" s="2" t="n"/>
      <c r="AA415" s="2" t="n">
        <v>600</v>
      </c>
      <c r="AB415" s="2" t="n">
        <v>600</v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>
        <f>IF(F415=1,V415*2,IF(F415=2,V415*F415*2,IF(F415&gt;2,F415*2*V415)))</f>
        <v/>
      </c>
      <c r="AW415" s="2">
        <f>SUM(W415:AU415)</f>
        <v/>
      </c>
    </row>
    <row r="416">
      <c r="A416" s="2" t="inlineStr">
        <is>
          <t>14-K-704</t>
        </is>
      </c>
      <c r="B416" s="3" t="inlineStr">
        <is>
          <t>OJC-A1-SC/SC-SM-10-PC/PC-SP</t>
        </is>
      </c>
      <c r="C416" s="2" t="inlineStr">
        <is>
          <t>K9089003_녹색</t>
        </is>
      </c>
      <c r="D416" s="2" t="inlineStr">
        <is>
          <t>a1-녹</t>
        </is>
      </c>
      <c r="E416" s="2" t="inlineStr">
        <is>
          <t>2.0mm</t>
        </is>
      </c>
      <c r="F416" s="2" t="n">
        <v>1</v>
      </c>
      <c r="G416" s="2" t="n">
        <v>10</v>
      </c>
      <c r="H416" s="2" t="inlineStr">
        <is>
          <t>SC/PC</t>
        </is>
      </c>
      <c r="I416" s="2" t="inlineStr">
        <is>
          <t>SC/PC</t>
        </is>
      </c>
      <c r="J416" s="2" t="n"/>
      <c r="K416" s="2" t="n"/>
      <c r="L416" s="2" t="n"/>
      <c r="M416" s="2" t="n"/>
      <c r="N416" s="2" t="n"/>
      <c r="O416" s="2" t="n">
        <v>10</v>
      </c>
      <c r="P416" s="2" t="n">
        <v>100</v>
      </c>
      <c r="Q416" s="2" t="n">
        <v>50</v>
      </c>
      <c r="R416" s="2" t="n">
        <v>31</v>
      </c>
      <c r="S416" s="2" t="n">
        <v>192</v>
      </c>
      <c r="T416" s="2" t="n"/>
      <c r="U416" s="2" t="n">
        <v>2</v>
      </c>
      <c r="V416" s="2">
        <f>SUM(J416:U416)</f>
        <v/>
      </c>
      <c r="W416" s="2" t="n"/>
      <c r="X416" s="2" t="n"/>
      <c r="Y416" s="2" t="n"/>
      <c r="Z416" s="2" t="n"/>
      <c r="AA416" s="2" t="n">
        <v>770</v>
      </c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>
        <f>IF(F416=1,V416*2,IF(F416=2,V416*F416*2,IF(F416&gt;2,F416*2*V416)))</f>
        <v/>
      </c>
      <c r="AW416" s="2">
        <f>SUM(W416:AU416)</f>
        <v/>
      </c>
    </row>
    <row r="417">
      <c r="A417" s="2" t="inlineStr">
        <is>
          <t>14-K-705</t>
        </is>
      </c>
      <c r="B417" s="3" t="inlineStr">
        <is>
          <t>OJC-A1-SC/SC-SM-15-PC/PC-SP</t>
        </is>
      </c>
      <c r="C417" s="2" t="inlineStr">
        <is>
          <t>K9089008_녹색</t>
        </is>
      </c>
      <c r="D417" s="2" t="inlineStr">
        <is>
          <t>a1-녹</t>
        </is>
      </c>
      <c r="E417" s="2" t="inlineStr">
        <is>
          <t>2.0mm</t>
        </is>
      </c>
      <c r="F417" s="2" t="n">
        <v>1</v>
      </c>
      <c r="G417" s="2" t="n">
        <v>15</v>
      </c>
      <c r="H417" s="2" t="inlineStr">
        <is>
          <t>SC/PC</t>
        </is>
      </c>
      <c r="I417" s="2" t="inlineStr">
        <is>
          <t>SC/PC</t>
        </is>
      </c>
      <c r="J417" s="2" t="n"/>
      <c r="K417" s="2" t="n"/>
      <c r="L417" s="2" t="n"/>
      <c r="M417" s="2" t="n"/>
      <c r="N417" s="2" t="n"/>
      <c r="O417" s="2" t="n"/>
      <c r="P417" s="2" t="n">
        <v>250</v>
      </c>
      <c r="Q417" s="2" t="n"/>
      <c r="R417" s="2" t="n">
        <v>8</v>
      </c>
      <c r="S417" s="2" t="n"/>
      <c r="T417" s="2" t="n"/>
      <c r="U417" s="2" t="n"/>
      <c r="V417" s="2">
        <f>SUM(J417:U417)</f>
        <v/>
      </c>
      <c r="W417" s="2" t="n"/>
      <c r="X417" s="2" t="n"/>
      <c r="Y417" s="2" t="n"/>
      <c r="Z417" s="2" t="n"/>
      <c r="AA417" s="2" t="n">
        <v>516</v>
      </c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>
        <f>IF(F417=1,V417*2,IF(F417=2,V417*F417*2,IF(F417&gt;2,F417*2*V417)))</f>
        <v/>
      </c>
      <c r="AW417" s="2">
        <f>SUM(W417:AU417)</f>
        <v/>
      </c>
    </row>
    <row r="418">
      <c r="A418" s="2" t="inlineStr">
        <is>
          <t>14-K-707</t>
        </is>
      </c>
      <c r="B418" s="3" t="inlineStr">
        <is>
          <t>OJC-A1-SC/LC-SM-45-PC/PC-DP</t>
        </is>
      </c>
      <c r="C418" s="2" t="inlineStr">
        <is>
          <t>K9089169_청색</t>
        </is>
      </c>
      <c r="D418" s="2" t="inlineStr">
        <is>
          <t>a1-청</t>
        </is>
      </c>
      <c r="E418" s="2" t="inlineStr">
        <is>
          <t>2.0mm</t>
        </is>
      </c>
      <c r="F418" s="2" t="n">
        <v>2</v>
      </c>
      <c r="G418" s="2" t="n">
        <v>45</v>
      </c>
      <c r="H418" s="2" t="inlineStr">
        <is>
          <t>SC/PC</t>
        </is>
      </c>
      <c r="I418" s="2" t="inlineStr">
        <is>
          <t>LC/PC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>
        <v>10</v>
      </c>
      <c r="T418" s="2" t="n"/>
      <c r="U418" s="2" t="n"/>
      <c r="V418" s="2">
        <f>SUM(J418:U418)</f>
        <v/>
      </c>
      <c r="W418" s="2" t="n"/>
      <c r="X418" s="2" t="n">
        <v>20</v>
      </c>
      <c r="Y418" s="2" t="n"/>
      <c r="Z418" s="2" t="n"/>
      <c r="AA418" s="2" t="n">
        <v>20</v>
      </c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>
        <f>IF(F418=1,V418*2,IF(F418=2,V418*F418*2,IF(F418&gt;2,F418*2*V418)))</f>
        <v/>
      </c>
      <c r="AW418" s="2">
        <f>SUM(W418:AU418)</f>
        <v/>
      </c>
    </row>
    <row r="419">
      <c r="A419" s="2" t="inlineStr">
        <is>
          <t>14-K-708</t>
        </is>
      </c>
      <c r="B419" s="3" t="inlineStr">
        <is>
          <t>OJC-A1-SC/SC-SM-10-PC/PC-DP</t>
        </is>
      </c>
      <c r="C419" s="2" t="inlineStr">
        <is>
          <t>K9089132_청색</t>
        </is>
      </c>
      <c r="D419" s="2" t="inlineStr">
        <is>
          <t>a1-청</t>
        </is>
      </c>
      <c r="E419" s="2" t="inlineStr">
        <is>
          <t>2.0mm</t>
        </is>
      </c>
      <c r="F419" s="2" t="n">
        <v>2</v>
      </c>
      <c r="G419" s="2" t="n">
        <v>10</v>
      </c>
      <c r="H419" s="2" t="inlineStr">
        <is>
          <t>SC/PC</t>
        </is>
      </c>
      <c r="I419" s="2" t="inlineStr">
        <is>
          <t>SC/PC</t>
        </is>
      </c>
      <c r="J419" s="2" t="n"/>
      <c r="K419" s="2" t="n">
        <v>60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>
        <f>SUM(J419:U419)</f>
        <v/>
      </c>
      <c r="W419" s="2" t="n"/>
      <c r="X419" s="2" t="n"/>
      <c r="Y419" s="2" t="n"/>
      <c r="Z419" s="2" t="n"/>
      <c r="AA419" s="2" t="n">
        <v>120</v>
      </c>
      <c r="AB419" s="2" t="n">
        <v>120</v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>
        <f>IF(F419=1,V419*2,IF(F419=2,V419*F419*2,IF(F419&gt;2,F419*2*V419)))</f>
        <v/>
      </c>
      <c r="AW419" s="2">
        <f>SUM(W419:AU419)</f>
        <v/>
      </c>
    </row>
    <row r="420">
      <c r="A420" s="2" t="inlineStr">
        <is>
          <t>14-K-709</t>
        </is>
      </c>
      <c r="B420" s="3" t="inlineStr">
        <is>
          <t>OJC-A1-SC/SC-SM-15-PC/PC-DP</t>
        </is>
      </c>
      <c r="C420" s="2" t="inlineStr">
        <is>
          <t>K9089137_청색</t>
        </is>
      </c>
      <c r="D420" s="2" t="inlineStr">
        <is>
          <t>a1-청</t>
        </is>
      </c>
      <c r="E420" s="2" t="inlineStr">
        <is>
          <t>2.0mm</t>
        </is>
      </c>
      <c r="F420" s="2" t="n">
        <v>2</v>
      </c>
      <c r="G420" s="2" t="n">
        <v>15</v>
      </c>
      <c r="H420" s="2" t="inlineStr">
        <is>
          <t>SC/PC</t>
        </is>
      </c>
      <c r="I420" s="2" t="inlineStr">
        <is>
          <t>SC/PC</t>
        </is>
      </c>
      <c r="J420" s="2" t="n"/>
      <c r="K420" s="2" t="n">
        <v>70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>
        <f>SUM(J420:U420)</f>
        <v/>
      </c>
      <c r="W420" s="2" t="n"/>
      <c r="X420" s="2" t="n"/>
      <c r="Y420" s="2" t="n"/>
      <c r="Z420" s="2" t="n"/>
      <c r="AA420" s="2" t="n">
        <v>140</v>
      </c>
      <c r="AB420" s="2" t="n">
        <v>140</v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>
        <f>IF(F420=1,V420*2,IF(F420=2,V420*F420*2,IF(F420&gt;2,F420*2*V420)))</f>
        <v/>
      </c>
      <c r="AW420" s="2">
        <f>SUM(W420:AU420)</f>
        <v/>
      </c>
    </row>
    <row r="421">
      <c r="A421" s="2" t="inlineStr">
        <is>
          <t>14-K-710</t>
        </is>
      </c>
      <c r="B421" s="3" t="inlineStr">
        <is>
          <t>OJC-A1-SC/SC-SM-20-PC/PC-DP</t>
        </is>
      </c>
      <c r="C421" s="2" t="inlineStr">
        <is>
          <t>K9089142_청색</t>
        </is>
      </c>
      <c r="D421" s="2" t="inlineStr">
        <is>
          <t>a1-청</t>
        </is>
      </c>
      <c r="E421" s="2" t="inlineStr">
        <is>
          <t>2.0mm</t>
        </is>
      </c>
      <c r="F421" s="2" t="n">
        <v>2</v>
      </c>
      <c r="G421" s="2" t="n">
        <v>20</v>
      </c>
      <c r="H421" s="2" t="inlineStr">
        <is>
          <t>SC/PC</t>
        </is>
      </c>
      <c r="I421" s="2" t="inlineStr">
        <is>
          <t>SC/PC</t>
        </is>
      </c>
      <c r="J421" s="2" t="n"/>
      <c r="K421" s="2" t="n">
        <v>60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>
        <f>SUM(J421:U421)</f>
        <v/>
      </c>
      <c r="W421" s="2" t="n"/>
      <c r="X421" s="2" t="n"/>
      <c r="Y421" s="2" t="n"/>
      <c r="Z421" s="2" t="n"/>
      <c r="AA421" s="2" t="n">
        <v>120</v>
      </c>
      <c r="AB421" s="2" t="n">
        <v>120</v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>
        <f>IF(F421=1,V421*2,IF(F421=2,V421*F421*2,IF(F421&gt;2,F421*2*V421)))</f>
        <v/>
      </c>
      <c r="AW421" s="2">
        <f>SUM(W421:AU421)</f>
        <v/>
      </c>
    </row>
    <row r="422">
      <c r="A422" s="2" t="inlineStr">
        <is>
          <t>14-K-711</t>
        </is>
      </c>
      <c r="B422" s="3" t="inlineStr">
        <is>
          <t>OJC-A1-SC/SC-SM-25-PC/PC-DP</t>
        </is>
      </c>
      <c r="C422" s="2" t="inlineStr">
        <is>
          <t>K9089147_청색</t>
        </is>
      </c>
      <c r="D422" s="2" t="inlineStr">
        <is>
          <t>a1-청</t>
        </is>
      </c>
      <c r="E422" s="2" t="inlineStr">
        <is>
          <t>2.0mm</t>
        </is>
      </c>
      <c r="F422" s="2" t="n">
        <v>2</v>
      </c>
      <c r="G422" s="2" t="n">
        <v>25</v>
      </c>
      <c r="H422" s="2" t="inlineStr">
        <is>
          <t>SC/PC</t>
        </is>
      </c>
      <c r="I422" s="2" t="inlineStr">
        <is>
          <t>SC/PC</t>
        </is>
      </c>
      <c r="J422" s="2" t="n"/>
      <c r="K422" s="2" t="n">
        <v>60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>
        <f>SUM(J422:U422)</f>
        <v/>
      </c>
      <c r="W422" s="2" t="n"/>
      <c r="X422" s="2" t="n"/>
      <c r="Y422" s="2" t="n"/>
      <c r="Z422" s="2" t="n"/>
      <c r="AA422" s="2" t="n">
        <v>120</v>
      </c>
      <c r="AB422" s="2" t="n">
        <v>120</v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>
        <f>IF(F422=1,V422*2,IF(F422=2,V422*F422*2,IF(F422&gt;2,F422*2*V422)))</f>
        <v/>
      </c>
      <c r="AW422" s="2">
        <f>SUM(W422:AU422)</f>
        <v/>
      </c>
    </row>
    <row r="423">
      <c r="A423" s="2" t="inlineStr">
        <is>
          <t>14-K-713</t>
        </is>
      </c>
      <c r="B423" s="3" t="inlineStr">
        <is>
          <t>OJC-A1-SC/SC-SM-30-PC/PC-DP</t>
        </is>
      </c>
      <c r="C423" s="2" t="inlineStr">
        <is>
          <t>K9089152_적색</t>
        </is>
      </c>
      <c r="D423" s="2" t="inlineStr">
        <is>
          <t>a1-적</t>
        </is>
      </c>
      <c r="E423" s="2" t="inlineStr">
        <is>
          <t>2.0mm</t>
        </is>
      </c>
      <c r="F423" s="2" t="n">
        <v>2</v>
      </c>
      <c r="G423" s="2" t="n">
        <v>30</v>
      </c>
      <c r="H423" s="2" t="inlineStr">
        <is>
          <t>SC/PC</t>
        </is>
      </c>
      <c r="I423" s="2" t="inlineStr">
        <is>
          <t>SC/PC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>
        <v>30</v>
      </c>
      <c r="T423" s="2" t="n"/>
      <c r="U423" s="2" t="n"/>
      <c r="V423" s="2">
        <f>SUM(J423:U423)</f>
        <v/>
      </c>
      <c r="W423" s="2" t="n"/>
      <c r="X423" s="2" t="n"/>
      <c r="Y423" s="2" t="n"/>
      <c r="Z423" s="2" t="n"/>
      <c r="AA423" s="2" t="n">
        <v>60</v>
      </c>
      <c r="AB423" s="2" t="n">
        <v>60</v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>
        <f>IF(F423=1,V423*2,IF(F423=2,V423*F423*2,IF(F423&gt;2,F423*2*V423)))</f>
        <v/>
      </c>
      <c r="AW423" s="2">
        <f>SUM(W423:AU423)</f>
        <v/>
      </c>
    </row>
    <row r="424">
      <c r="A424" s="2" t="inlineStr">
        <is>
          <t>14-K-716</t>
        </is>
      </c>
      <c r="B424" s="3" t="inlineStr">
        <is>
          <t>OJC-A1-LC/LC-SM-35-PC/PC-DP</t>
        </is>
      </c>
      <c r="C424" s="2" t="inlineStr">
        <is>
          <t>K9089181_청색</t>
        </is>
      </c>
      <c r="D424" s="2" t="inlineStr">
        <is>
          <t>a1-청</t>
        </is>
      </c>
      <c r="E424" s="2" t="inlineStr">
        <is>
          <t>2.0mm</t>
        </is>
      </c>
      <c r="F424" s="2" t="n">
        <v>2</v>
      </c>
      <c r="G424" s="2" t="n">
        <v>35</v>
      </c>
      <c r="H424" s="2" t="inlineStr">
        <is>
          <t>LC/PC</t>
        </is>
      </c>
      <c r="I424" s="2" t="inlineStr">
        <is>
          <t>LC/PC</t>
        </is>
      </c>
      <c r="J424" s="2" t="n"/>
      <c r="K424" s="2" t="n"/>
      <c r="L424" s="2" t="n"/>
      <c r="M424" s="2" t="n"/>
      <c r="N424" s="2" t="n">
        <v>50</v>
      </c>
      <c r="O424" s="2" t="n"/>
      <c r="P424" s="2" t="n"/>
      <c r="Q424" s="2" t="n"/>
      <c r="R424" s="2" t="n"/>
      <c r="S424" s="2" t="n"/>
      <c r="T424" s="2" t="n"/>
      <c r="U424" s="2" t="n"/>
      <c r="V424" s="2">
        <f>SUM(J424:U424)</f>
        <v/>
      </c>
      <c r="W424" s="2" t="n">
        <v>100</v>
      </c>
      <c r="X424" s="2" t="n">
        <v>100</v>
      </c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>
        <f>IF(F424=1,V424*2,IF(F424=2,V424*F424*2,IF(F424&gt;2,F424*2*V424)))</f>
        <v/>
      </c>
      <c r="AW424" s="2">
        <f>SUM(W424:AU424)</f>
        <v/>
      </c>
    </row>
    <row r="425">
      <c r="A425" s="2" t="inlineStr">
        <is>
          <t>14-K-717</t>
        </is>
      </c>
      <c r="B425" s="3" t="inlineStr">
        <is>
          <t>OJC-A1-LC/LC-SM-30-PC/PC-DP</t>
        </is>
      </c>
      <c r="C425" s="2" t="inlineStr">
        <is>
          <t>K9089180_청색</t>
        </is>
      </c>
      <c r="D425" s="2" t="inlineStr">
        <is>
          <t>a1-청</t>
        </is>
      </c>
      <c r="E425" s="2" t="inlineStr">
        <is>
          <t>2.0mm</t>
        </is>
      </c>
      <c r="F425" s="2" t="n">
        <v>2</v>
      </c>
      <c r="G425" s="2" t="n">
        <v>30</v>
      </c>
      <c r="H425" s="2" t="inlineStr">
        <is>
          <t>LC/PC</t>
        </is>
      </c>
      <c r="I425" s="2" t="inlineStr">
        <is>
          <t>LC/PC</t>
        </is>
      </c>
      <c r="J425" s="2" t="n"/>
      <c r="K425" s="2" t="n"/>
      <c r="L425" s="2" t="n"/>
      <c r="M425" s="2" t="n"/>
      <c r="N425" s="2" t="n">
        <v>50</v>
      </c>
      <c r="O425" s="2" t="n"/>
      <c r="P425" s="2" t="n"/>
      <c r="Q425" s="2" t="n"/>
      <c r="R425" s="2" t="n"/>
      <c r="S425" s="2" t="n"/>
      <c r="T425" s="2" t="n"/>
      <c r="U425" s="2" t="n"/>
      <c r="V425" s="2">
        <f>SUM(J425:U425)</f>
        <v/>
      </c>
      <c r="W425" s="2" t="n">
        <v>100</v>
      </c>
      <c r="X425" s="2" t="n">
        <v>100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>
        <f>IF(F425=1,V425*2,IF(F425=2,V425*F425*2,IF(F425&gt;2,F425*2*V425)))</f>
        <v/>
      </c>
      <c r="AW425" s="2">
        <f>SUM(W425:AU425)</f>
        <v/>
      </c>
    </row>
    <row r="426">
      <c r="A426" s="2" t="inlineStr">
        <is>
          <t>14-K-718</t>
        </is>
      </c>
      <c r="B426" s="3" t="inlineStr">
        <is>
          <t>OJC-A1-LC/LC-SM-25-PC/PC-DP</t>
        </is>
      </c>
      <c r="C426" s="2" t="inlineStr">
        <is>
          <t>K9089179_청색</t>
        </is>
      </c>
      <c r="D426" s="2" t="inlineStr">
        <is>
          <t>a1-청</t>
        </is>
      </c>
      <c r="E426" s="2" t="inlineStr">
        <is>
          <t>2.0mm</t>
        </is>
      </c>
      <c r="F426" s="2" t="n">
        <v>2</v>
      </c>
      <c r="G426" s="2" t="n">
        <v>25</v>
      </c>
      <c r="H426" s="2" t="inlineStr">
        <is>
          <t>LC/PC</t>
        </is>
      </c>
      <c r="I426" s="2" t="inlineStr">
        <is>
          <t>LC/PC</t>
        </is>
      </c>
      <c r="J426" s="2" t="n"/>
      <c r="K426" s="2" t="n"/>
      <c r="L426" s="2" t="n"/>
      <c r="M426" s="2" t="n"/>
      <c r="N426" s="2" t="n">
        <v>50</v>
      </c>
      <c r="O426" s="2" t="n"/>
      <c r="P426" s="2" t="n"/>
      <c r="Q426" s="2" t="n"/>
      <c r="R426" s="2" t="n"/>
      <c r="S426" s="2" t="n"/>
      <c r="T426" s="2" t="n"/>
      <c r="U426" s="2" t="n"/>
      <c r="V426" s="2">
        <f>SUM(J426:U426)</f>
        <v/>
      </c>
      <c r="W426" s="2" t="n">
        <v>100</v>
      </c>
      <c r="X426" s="2" t="n">
        <v>100</v>
      </c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>
        <f>IF(F426=1,V426*2,IF(F426=2,V426*F426*2,IF(F426&gt;2,F426*2*V426)))</f>
        <v/>
      </c>
      <c r="AW426" s="2">
        <f>SUM(W426:AU426)</f>
        <v/>
      </c>
    </row>
    <row r="427">
      <c r="A427" s="2" t="inlineStr">
        <is>
          <t>14-K-719</t>
        </is>
      </c>
      <c r="B427" s="3" t="inlineStr">
        <is>
          <t>OJC-A1-LC/LC-SM-20-PC/PC-DP</t>
        </is>
      </c>
      <c r="C427" s="2" t="inlineStr">
        <is>
          <t>K9089178_청색</t>
        </is>
      </c>
      <c r="D427" s="2" t="inlineStr">
        <is>
          <t>a1-청</t>
        </is>
      </c>
      <c r="E427" s="2" t="inlineStr">
        <is>
          <t>2.0mm</t>
        </is>
      </c>
      <c r="F427" s="2" t="n">
        <v>2</v>
      </c>
      <c r="G427" s="2" t="n">
        <v>20</v>
      </c>
      <c r="H427" s="2" t="inlineStr">
        <is>
          <t>LC/PC</t>
        </is>
      </c>
      <c r="I427" s="2" t="inlineStr">
        <is>
          <t>LC/PC</t>
        </is>
      </c>
      <c r="J427" s="2" t="n"/>
      <c r="K427" s="2" t="n">
        <v>30</v>
      </c>
      <c r="L427" s="2" t="n"/>
      <c r="M427" s="2" t="n"/>
      <c r="N427" s="2" t="n">
        <v>50</v>
      </c>
      <c r="O427" s="2" t="n"/>
      <c r="P427" s="2" t="n"/>
      <c r="Q427" s="2" t="n"/>
      <c r="R427" s="2" t="n"/>
      <c r="S427" s="2" t="n"/>
      <c r="T427" s="2" t="n"/>
      <c r="U427" s="2" t="n"/>
      <c r="V427" s="2">
        <f>SUM(J427:U427)</f>
        <v/>
      </c>
      <c r="W427" s="2" t="n">
        <v>160</v>
      </c>
      <c r="X427" s="2" t="n">
        <v>160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>
        <f>IF(F427=1,V427*2,IF(F427=2,V427*F427*2,IF(F427&gt;2,F427*2*V427)))</f>
        <v/>
      </c>
      <c r="AW427" s="2">
        <f>SUM(W427:AU427)</f>
        <v/>
      </c>
    </row>
    <row r="428">
      <c r="A428" s="2" t="inlineStr">
        <is>
          <t>14-K-720</t>
        </is>
      </c>
      <c r="B428" s="3" t="inlineStr">
        <is>
          <t>OJC-A1-LC/LC-SM-15-PC/PC-DP</t>
        </is>
      </c>
      <c r="C428" s="2" t="inlineStr">
        <is>
          <t>K9089177_청색</t>
        </is>
      </c>
      <c r="D428" s="2" t="inlineStr">
        <is>
          <t>a1-청</t>
        </is>
      </c>
      <c r="E428" s="2" t="inlineStr">
        <is>
          <t>2.0mm</t>
        </is>
      </c>
      <c r="F428" s="2" t="n">
        <v>2</v>
      </c>
      <c r="G428" s="2" t="n">
        <v>15</v>
      </c>
      <c r="H428" s="2" t="inlineStr">
        <is>
          <t>LC/PC</t>
        </is>
      </c>
      <c r="I428" s="2" t="inlineStr">
        <is>
          <t>LC/PC</t>
        </is>
      </c>
      <c r="J428" s="2" t="n"/>
      <c r="K428" s="2" t="n">
        <v>30</v>
      </c>
      <c r="L428" s="2" t="n"/>
      <c r="M428" s="2" t="n"/>
      <c r="N428" s="2" t="n">
        <v>50</v>
      </c>
      <c r="O428" s="2" t="n"/>
      <c r="P428" s="2" t="n"/>
      <c r="Q428" s="2" t="n"/>
      <c r="R428" s="2" t="n"/>
      <c r="S428" s="2" t="n"/>
      <c r="T428" s="2" t="n"/>
      <c r="U428" s="2" t="n"/>
      <c r="V428" s="2">
        <f>SUM(J428:U428)</f>
        <v/>
      </c>
      <c r="W428" s="2" t="n">
        <v>160</v>
      </c>
      <c r="X428" s="2" t="n">
        <v>160</v>
      </c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>
        <f>IF(F428=1,V428*2,IF(F428=2,V428*F428*2,IF(F428&gt;2,F428*2*V428)))</f>
        <v/>
      </c>
      <c r="AW428" s="2">
        <f>SUM(W428:AU428)</f>
        <v/>
      </c>
    </row>
    <row r="429">
      <c r="A429" s="2" t="inlineStr">
        <is>
          <t>14-K-721</t>
        </is>
      </c>
      <c r="B429" s="3" t="inlineStr">
        <is>
          <t>OJC-A1-LC/LC-SM-10-PC/PC-DP</t>
        </is>
      </c>
      <c r="C429" s="2" t="inlineStr">
        <is>
          <t>K9089176_청색</t>
        </is>
      </c>
      <c r="D429" s="2" t="inlineStr">
        <is>
          <t>a1-청</t>
        </is>
      </c>
      <c r="E429" s="2" t="inlineStr">
        <is>
          <t>2.0mm</t>
        </is>
      </c>
      <c r="F429" s="2" t="n">
        <v>2</v>
      </c>
      <c r="G429" s="2" t="n">
        <v>10</v>
      </c>
      <c r="H429" s="2" t="inlineStr">
        <is>
          <t>LC/PC</t>
        </is>
      </c>
      <c r="I429" s="2" t="inlineStr">
        <is>
          <t>LC/PC</t>
        </is>
      </c>
      <c r="J429" s="2" t="n"/>
      <c r="K429" s="2" t="n">
        <v>30</v>
      </c>
      <c r="L429" s="2" t="n"/>
      <c r="M429" s="2" t="n"/>
      <c r="N429" s="2" t="n">
        <v>50</v>
      </c>
      <c r="O429" s="2" t="n"/>
      <c r="P429" s="2" t="n"/>
      <c r="Q429" s="2" t="n"/>
      <c r="R429" s="2" t="n"/>
      <c r="S429" s="2" t="n"/>
      <c r="T429" s="2" t="n"/>
      <c r="U429" s="2" t="n"/>
      <c r="V429" s="2">
        <f>SUM(J429:U429)</f>
        <v/>
      </c>
      <c r="W429" s="2" t="n">
        <v>160</v>
      </c>
      <c r="X429" s="2" t="n">
        <v>160</v>
      </c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>
        <f>IF(F429=1,V429*2,IF(F429=2,V429*F429*2,IF(F429&gt;2,F429*2*V429)))</f>
        <v/>
      </c>
      <c r="AW429" s="2">
        <f>SUM(W429:AU429)</f>
        <v/>
      </c>
    </row>
    <row r="430">
      <c r="A430" s="2" t="inlineStr">
        <is>
          <t>14-K-724</t>
        </is>
      </c>
      <c r="B430" s="3" t="inlineStr">
        <is>
          <t>OJC-A1-SC/SC-SM-25-PC/PC-SP</t>
        </is>
      </c>
      <c r="C430" s="2" t="inlineStr">
        <is>
          <t>K9089018_녹색</t>
        </is>
      </c>
      <c r="D430" s="2" t="inlineStr">
        <is>
          <t>a1-녹</t>
        </is>
      </c>
      <c r="E430" s="2" t="inlineStr">
        <is>
          <t>2.0mm</t>
        </is>
      </c>
      <c r="F430" s="2" t="n">
        <v>1</v>
      </c>
      <c r="G430" s="2" t="n">
        <v>25</v>
      </c>
      <c r="H430" s="2" t="inlineStr">
        <is>
          <t>SC/PC</t>
        </is>
      </c>
      <c r="I430" s="2" t="inlineStr">
        <is>
          <t>SC/PC</t>
        </is>
      </c>
      <c r="J430" s="2" t="n"/>
      <c r="K430" s="2" t="n"/>
      <c r="L430" s="2" t="n"/>
      <c r="M430" s="2" t="n"/>
      <c r="N430" s="2" t="n"/>
      <c r="O430" s="2" t="n"/>
      <c r="P430" s="2" t="n">
        <v>150</v>
      </c>
      <c r="Q430" s="2" t="n"/>
      <c r="R430" s="2" t="n"/>
      <c r="S430" s="2" t="n"/>
      <c r="T430" s="2" t="n"/>
      <c r="U430" s="2" t="n"/>
      <c r="V430" s="2">
        <f>SUM(J430:U430)</f>
        <v/>
      </c>
      <c r="W430" s="2" t="n"/>
      <c r="X430" s="2" t="n"/>
      <c r="Y430" s="2" t="n"/>
      <c r="Z430" s="2" t="n"/>
      <c r="AA430" s="2" t="n">
        <v>300</v>
      </c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>
        <f>IF(F430=1,V430*2,IF(F430=2,V430*F430*2,IF(F430&gt;2,F430*2*V430)))</f>
        <v/>
      </c>
      <c r="AW430" s="2">
        <f>SUM(W430:AU430)</f>
        <v/>
      </c>
    </row>
    <row r="431">
      <c r="A431" s="2" t="inlineStr">
        <is>
          <t>14-K-754</t>
        </is>
      </c>
      <c r="B431" s="3" t="inlineStr">
        <is>
          <t>OJC-A1-LC/LC-SM-40-PC/PC-DP</t>
        </is>
      </c>
      <c r="C431" s="2" t="inlineStr">
        <is>
          <t>K9089182_청색</t>
        </is>
      </c>
      <c r="D431" s="2" t="inlineStr">
        <is>
          <t>a1-청</t>
        </is>
      </c>
      <c r="E431" s="2" t="inlineStr">
        <is>
          <t>2.0mm</t>
        </is>
      </c>
      <c r="F431" s="2" t="n">
        <v>2</v>
      </c>
      <c r="G431" s="2" t="n">
        <v>40</v>
      </c>
      <c r="H431" s="2" t="inlineStr">
        <is>
          <t>LC/PC</t>
        </is>
      </c>
      <c r="I431" s="2" t="inlineStr">
        <is>
          <t>LC/PC</t>
        </is>
      </c>
      <c r="J431" s="2" t="n"/>
      <c r="K431" s="2" t="n"/>
      <c r="L431" s="2" t="n"/>
      <c r="M431" s="2" t="n"/>
      <c r="N431" s="2" t="n">
        <v>50</v>
      </c>
      <c r="O431" s="2" t="n"/>
      <c r="P431" s="2" t="n"/>
      <c r="Q431" s="2" t="n"/>
      <c r="R431" s="2" t="n"/>
      <c r="S431" s="2" t="n"/>
      <c r="T431" s="2" t="n"/>
      <c r="U431" s="2" t="n"/>
      <c r="V431" s="2">
        <f>SUM(J431:U431)</f>
        <v/>
      </c>
      <c r="W431" s="2" t="n">
        <v>100</v>
      </c>
      <c r="X431" s="2" t="n">
        <v>100</v>
      </c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>
        <f>IF(F431=1,V431*2,IF(F431=2,V431*F431*2,IF(F431&gt;2,F431*2*V431)))</f>
        <v/>
      </c>
      <c r="AW431" s="2">
        <f>SUM(W431:AU431)</f>
        <v/>
      </c>
    </row>
    <row r="432">
      <c r="A432" s="2" t="inlineStr">
        <is>
          <t>14-K-769</t>
        </is>
      </c>
      <c r="B432" s="3" t="inlineStr">
        <is>
          <t>OJC-A1-LC/LC-SM-0.5-PC/PC-DP</t>
        </is>
      </c>
      <c r="C432" s="2" t="inlineStr"/>
      <c r="D432" s="2" t="inlineStr">
        <is>
          <t>a1</t>
        </is>
      </c>
      <c r="E432" s="2" t="inlineStr">
        <is>
          <t>2.0mm</t>
        </is>
      </c>
      <c r="F432" s="2" t="n">
        <v>2</v>
      </c>
      <c r="G432" s="2" t="n">
        <v>0.5</v>
      </c>
      <c r="H432" s="2" t="inlineStr">
        <is>
          <t>LC/PC</t>
        </is>
      </c>
      <c r="I432" s="2" t="inlineStr">
        <is>
          <t>LC/PC</t>
        </is>
      </c>
      <c r="J432" s="2" t="n"/>
      <c r="K432" s="2" t="n"/>
      <c r="L432" s="2" t="n"/>
      <c r="M432" s="2" t="n"/>
      <c r="N432" s="2" t="n"/>
      <c r="O432" s="2" t="n"/>
      <c r="P432" s="2" t="n">
        <v>50</v>
      </c>
      <c r="Q432" s="2" t="n"/>
      <c r="R432" s="2" t="n"/>
      <c r="S432" s="2" t="n"/>
      <c r="T432" s="2" t="n"/>
      <c r="U432" s="2" t="n"/>
      <c r="V432" s="2">
        <f>SUM(J432:U432)</f>
        <v/>
      </c>
      <c r="W432" s="2" t="n">
        <v>100</v>
      </c>
      <c r="X432" s="2" t="n">
        <v>100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>
        <f>IF(F432=1,V432*2,IF(F432=2,V432*F432*2,IF(F432&gt;2,F432*2*V432)))</f>
        <v/>
      </c>
      <c r="AW432" s="2">
        <f>SUM(W432:AU432)</f>
        <v/>
      </c>
    </row>
    <row r="433">
      <c r="A433" s="2" t="inlineStr">
        <is>
          <t>14-K-772</t>
        </is>
      </c>
      <c r="B433" s="3" t="inlineStr">
        <is>
          <t>OJC-A1-SC/SC-SM-3-PC/PC-DP</t>
        </is>
      </c>
      <c r="C433" s="2" t="inlineStr">
        <is>
          <t>K9089125_청색</t>
        </is>
      </c>
      <c r="D433" s="2" t="inlineStr">
        <is>
          <t>a1-청</t>
        </is>
      </c>
      <c r="E433" s="2" t="inlineStr">
        <is>
          <t>2.0mm</t>
        </is>
      </c>
      <c r="F433" s="2" t="n">
        <v>2</v>
      </c>
      <c r="G433" s="2" t="n">
        <v>3</v>
      </c>
      <c r="H433" s="2" t="inlineStr">
        <is>
          <t>SC/PC</t>
        </is>
      </c>
      <c r="I433" s="2" t="inlineStr">
        <is>
          <t>SC/PC</t>
        </is>
      </c>
      <c r="J433" s="2" t="n"/>
      <c r="K433" s="2" t="n">
        <v>60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>
        <f>SUM(J433:U433)</f>
        <v/>
      </c>
      <c r="W433" s="2" t="n"/>
      <c r="X433" s="2" t="n"/>
      <c r="Y433" s="2" t="n"/>
      <c r="Z433" s="2" t="n"/>
      <c r="AA433" s="2" t="n">
        <v>120</v>
      </c>
      <c r="AB433" s="2" t="n">
        <v>120</v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>
        <f>IF(F433=1,V433*2,IF(F433=2,V433*F433*2,IF(F433&gt;2,F433*2*V433)))</f>
        <v/>
      </c>
      <c r="AW433" s="2">
        <f>SUM(W433:AU433)</f>
        <v/>
      </c>
    </row>
    <row r="434">
      <c r="A434" s="2" t="inlineStr">
        <is>
          <t>14-K-773</t>
        </is>
      </c>
      <c r="B434" s="3" t="inlineStr">
        <is>
          <t>OJC-A1-SC/LC-SM-1.5-PC/PC-SP</t>
        </is>
      </c>
      <c r="C434" s="2" t="inlineStr"/>
      <c r="D434" s="2" t="inlineStr">
        <is>
          <t>a1</t>
        </is>
      </c>
      <c r="E434" s="2" t="inlineStr">
        <is>
          <t>2.0mm</t>
        </is>
      </c>
      <c r="F434" s="2" t="n">
        <v>1</v>
      </c>
      <c r="G434" s="2" t="n">
        <v>1.5</v>
      </c>
      <c r="H434" s="2" t="inlineStr">
        <is>
          <t>SC/PC</t>
        </is>
      </c>
      <c r="I434" s="2" t="inlineStr">
        <is>
          <t>LC/PC</t>
        </is>
      </c>
      <c r="J434" s="2" t="n"/>
      <c r="K434" s="2" t="n"/>
      <c r="L434" s="2" t="n"/>
      <c r="M434" s="2" t="n">
        <v>10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>
        <f>SUM(J434:U434)</f>
        <v/>
      </c>
      <c r="W434" s="2" t="n">
        <v>10</v>
      </c>
      <c r="X434" s="2" t="n"/>
      <c r="Y434" s="2" t="n"/>
      <c r="Z434" s="2" t="n"/>
      <c r="AA434" s="2" t="n">
        <v>10</v>
      </c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>
        <f>IF(F434=1,V434*2,IF(F434=2,V434*F434*2,IF(F434&gt;2,F434*2*V434)))</f>
        <v/>
      </c>
      <c r="AW434" s="2">
        <f>SUM(W434:AU434)</f>
        <v/>
      </c>
    </row>
    <row r="435">
      <c r="A435" s="2" t="inlineStr">
        <is>
          <t>14-K-781</t>
        </is>
      </c>
      <c r="B435" s="3" t="inlineStr">
        <is>
          <t>OJC-A1-SC/LC-SM-20-PC/PC-DP</t>
        </is>
      </c>
      <c r="C435" s="2" t="inlineStr">
        <is>
          <t>K9089164_적색</t>
        </is>
      </c>
      <c r="D435" s="2" t="inlineStr">
        <is>
          <t>a1-적</t>
        </is>
      </c>
      <c r="E435" s="2" t="inlineStr">
        <is>
          <t>2.0mm</t>
        </is>
      </c>
      <c r="F435" s="2" t="n">
        <v>2</v>
      </c>
      <c r="G435" s="2" t="n">
        <v>20</v>
      </c>
      <c r="H435" s="2" t="inlineStr">
        <is>
          <t>SC/PC</t>
        </is>
      </c>
      <c r="I435" s="2" t="inlineStr">
        <is>
          <t>LC/PC</t>
        </is>
      </c>
      <c r="J435" s="2" t="n"/>
      <c r="K435" s="2" t="n"/>
      <c r="L435" s="2" t="n"/>
      <c r="M435" s="2" t="n"/>
      <c r="N435" s="2" t="n"/>
      <c r="O435" s="2" t="n">
        <v>20</v>
      </c>
      <c r="P435" s="2" t="n"/>
      <c r="Q435" s="2" t="n"/>
      <c r="R435" s="2" t="n"/>
      <c r="S435" s="2" t="n">
        <v>12</v>
      </c>
      <c r="T435" s="2" t="n"/>
      <c r="U435" s="2" t="n"/>
      <c r="V435" s="2">
        <f>SUM(J435:U435)</f>
        <v/>
      </c>
      <c r="W435" s="2" t="n"/>
      <c r="X435" s="2" t="n">
        <v>64</v>
      </c>
      <c r="Y435" s="2" t="n"/>
      <c r="Z435" s="2" t="n"/>
      <c r="AA435" s="2" t="n">
        <v>64</v>
      </c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>
        <f>IF(F435=1,V435*2,IF(F435=2,V435*F435*2,IF(F435&gt;2,F435*2*V435)))</f>
        <v/>
      </c>
      <c r="AW435" s="2">
        <f>SUM(W435:AU435)</f>
        <v/>
      </c>
    </row>
    <row r="436">
      <c r="A436" s="2" t="inlineStr">
        <is>
          <t>14-K-782</t>
        </is>
      </c>
      <c r="B436" s="3" t="inlineStr">
        <is>
          <t>OJC-A1-SC/LC-SM-25-PC/PC-DP</t>
        </is>
      </c>
      <c r="C436" s="2" t="inlineStr">
        <is>
          <t>K9089165_적색</t>
        </is>
      </c>
      <c r="D436" s="2" t="inlineStr">
        <is>
          <t>a1-적</t>
        </is>
      </c>
      <c r="E436" s="2" t="inlineStr">
        <is>
          <t>2.0mm</t>
        </is>
      </c>
      <c r="F436" s="2" t="n">
        <v>2</v>
      </c>
      <c r="G436" s="2" t="n">
        <v>25</v>
      </c>
      <c r="H436" s="2" t="inlineStr">
        <is>
          <t>SC/PC</t>
        </is>
      </c>
      <c r="I436" s="2" t="inlineStr">
        <is>
          <t>LC/PC</t>
        </is>
      </c>
      <c r="J436" s="2" t="n"/>
      <c r="K436" s="2" t="n"/>
      <c r="L436" s="2" t="n"/>
      <c r="M436" s="2" t="n"/>
      <c r="N436" s="2" t="n"/>
      <c r="O436" s="2" t="n">
        <v>20</v>
      </c>
      <c r="P436" s="2" t="n"/>
      <c r="Q436" s="2" t="n"/>
      <c r="R436" s="2" t="n"/>
      <c r="S436" s="2" t="n">
        <v>80</v>
      </c>
      <c r="T436" s="2" t="n"/>
      <c r="U436" s="2" t="n"/>
      <c r="V436" s="2">
        <f>SUM(J436:U436)</f>
        <v/>
      </c>
      <c r="W436" s="2" t="n"/>
      <c r="X436" s="2" t="n">
        <v>200</v>
      </c>
      <c r="Y436" s="2" t="n"/>
      <c r="Z436" s="2" t="n"/>
      <c r="AA436" s="2" t="n">
        <v>200</v>
      </c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>
        <f>IF(F436=1,V436*2,IF(F436=2,V436*F436*2,IF(F436&gt;2,F436*2*V436)))</f>
        <v/>
      </c>
      <c r="AW436" s="2">
        <f>SUM(W436:AU436)</f>
        <v/>
      </c>
    </row>
    <row r="437">
      <c r="A437" s="2" t="inlineStr">
        <is>
          <t>14-K-783</t>
        </is>
      </c>
      <c r="B437" s="3" t="inlineStr">
        <is>
          <t>OJC-A1-LC/LC-SM-20-PC/PC-DP</t>
        </is>
      </c>
      <c r="C437" s="2" t="inlineStr">
        <is>
          <t>K9089178_적색</t>
        </is>
      </c>
      <c r="D437" s="2" t="inlineStr">
        <is>
          <t>a1-적</t>
        </is>
      </c>
      <c r="E437" s="2" t="inlineStr">
        <is>
          <t>2.0mm</t>
        </is>
      </c>
      <c r="F437" s="2" t="n">
        <v>2</v>
      </c>
      <c r="G437" s="2" t="n">
        <v>20</v>
      </c>
      <c r="H437" s="2" t="inlineStr">
        <is>
          <t>LC/PC</t>
        </is>
      </c>
      <c r="I437" s="2" t="inlineStr">
        <is>
          <t>LC/PC</t>
        </is>
      </c>
      <c r="J437" s="2" t="n"/>
      <c r="K437" s="2" t="n"/>
      <c r="L437" s="2" t="n"/>
      <c r="M437" s="2" t="n"/>
      <c r="N437" s="2" t="n">
        <v>4</v>
      </c>
      <c r="O437" s="2" t="n"/>
      <c r="P437" s="2" t="n"/>
      <c r="Q437" s="2" t="n"/>
      <c r="R437" s="2" t="n"/>
      <c r="S437" s="2" t="n">
        <v>12</v>
      </c>
      <c r="T437" s="2" t="n"/>
      <c r="U437" s="2" t="n"/>
      <c r="V437" s="2">
        <f>SUM(J437:U437)</f>
        <v/>
      </c>
      <c r="W437" s="2" t="n">
        <v>32</v>
      </c>
      <c r="X437" s="2" t="n">
        <v>32</v>
      </c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>
        <f>IF(F437=1,V437*2,IF(F437=2,V437*F437*2,IF(F437&gt;2,F437*2*V437)))</f>
        <v/>
      </c>
      <c r="AW437" s="2">
        <f>SUM(W437:AU437)</f>
        <v/>
      </c>
    </row>
    <row r="438">
      <c r="A438" s="2" t="inlineStr">
        <is>
          <t>14-K-783</t>
        </is>
      </c>
      <c r="B438" s="3" t="inlineStr">
        <is>
          <t>OJC-A1-LC/LC-SM-20-PC/PC-DP</t>
        </is>
      </c>
      <c r="C438" s="2" t="inlineStr">
        <is>
          <t>적색</t>
        </is>
      </c>
      <c r="D438" s="2" t="inlineStr">
        <is>
          <t>a1-적</t>
        </is>
      </c>
      <c r="E438" s="2" t="inlineStr">
        <is>
          <t>2.0mm</t>
        </is>
      </c>
      <c r="F438" s="2" t="n">
        <v>2</v>
      </c>
      <c r="G438" s="2" t="n">
        <v>20</v>
      </c>
      <c r="H438" s="2" t="inlineStr">
        <is>
          <t>LC/PC</t>
        </is>
      </c>
      <c r="I438" s="2" t="inlineStr">
        <is>
          <t>LC/PC</t>
        </is>
      </c>
      <c r="J438" s="2" t="n"/>
      <c r="K438" s="2" t="n"/>
      <c r="L438" s="2" t="n"/>
      <c r="M438" s="2" t="n"/>
      <c r="N438" s="2" t="n">
        <v>22</v>
      </c>
      <c r="O438" s="2" t="n"/>
      <c r="P438" s="2" t="n"/>
      <c r="Q438" s="2" t="n"/>
      <c r="R438" s="2" t="n"/>
      <c r="S438" s="2" t="n"/>
      <c r="T438" s="2" t="n"/>
      <c r="U438" s="2" t="n"/>
      <c r="V438" s="2">
        <f>SUM(J438:U438)</f>
        <v/>
      </c>
      <c r="W438" s="2" t="n">
        <v>44</v>
      </c>
      <c r="X438" s="2" t="n">
        <v>44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>
        <f>IF(F438=1,V438*2,IF(F438=2,V438*F438*2,IF(F438&gt;2,F438*2*V438)))</f>
        <v/>
      </c>
      <c r="AW438" s="2">
        <f>SUM(W438:AU438)</f>
        <v/>
      </c>
    </row>
    <row r="439">
      <c r="A439" s="2" t="inlineStr">
        <is>
          <t>14-K-784</t>
        </is>
      </c>
      <c r="B439" s="3" t="inlineStr">
        <is>
          <t>OJC-A1-LC/LC-SM-25-PC/PC-DP</t>
        </is>
      </c>
      <c r="C439" s="2" t="inlineStr">
        <is>
          <t>K9089179_적색</t>
        </is>
      </c>
      <c r="D439" s="2" t="inlineStr">
        <is>
          <t>a1-적</t>
        </is>
      </c>
      <c r="E439" s="2" t="inlineStr">
        <is>
          <t>2.0mm</t>
        </is>
      </c>
      <c r="F439" s="2" t="n">
        <v>2</v>
      </c>
      <c r="G439" s="2" t="n">
        <v>25</v>
      </c>
      <c r="H439" s="2" t="inlineStr">
        <is>
          <t>LC/PC</t>
        </is>
      </c>
      <c r="I439" s="2" t="inlineStr">
        <is>
          <t>LC/PC</t>
        </is>
      </c>
      <c r="J439" s="2" t="n"/>
      <c r="K439" s="2" t="n"/>
      <c r="L439" s="2" t="n"/>
      <c r="M439" s="2" t="n"/>
      <c r="N439" s="2" t="n"/>
      <c r="O439" s="2" t="n">
        <v>20</v>
      </c>
      <c r="P439" s="2" t="n"/>
      <c r="Q439" s="2" t="n"/>
      <c r="R439" s="2" t="n"/>
      <c r="S439" s="2" t="n"/>
      <c r="T439" s="2" t="n"/>
      <c r="U439" s="2" t="n"/>
      <c r="V439" s="2">
        <f>SUM(J439:U439)</f>
        <v/>
      </c>
      <c r="W439" s="2" t="n">
        <v>40</v>
      </c>
      <c r="X439" s="2" t="n">
        <v>40</v>
      </c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>
        <f>IF(F439=1,V439*2,IF(F439=2,V439*F439*2,IF(F439&gt;2,F439*2*V439)))</f>
        <v/>
      </c>
      <c r="AW439" s="2">
        <f>SUM(W439:AU439)</f>
        <v/>
      </c>
    </row>
    <row r="440">
      <c r="A440" s="2" t="inlineStr">
        <is>
          <t>14-K-784</t>
        </is>
      </c>
      <c r="B440" s="3" t="inlineStr">
        <is>
          <t>OJC-A1-LC/LC-SM-25-PC/PC-DP</t>
        </is>
      </c>
      <c r="C440" s="2" t="inlineStr">
        <is>
          <t>적색</t>
        </is>
      </c>
      <c r="D440" s="2" t="inlineStr">
        <is>
          <t>a1-적</t>
        </is>
      </c>
      <c r="E440" s="2" t="inlineStr">
        <is>
          <t>2.0mm</t>
        </is>
      </c>
      <c r="F440" s="2" t="n">
        <v>2</v>
      </c>
      <c r="G440" s="2" t="n">
        <v>25</v>
      </c>
      <c r="H440" s="2" t="inlineStr">
        <is>
          <t>LC/PC</t>
        </is>
      </c>
      <c r="I440" s="2" t="inlineStr">
        <is>
          <t>LC/PC</t>
        </is>
      </c>
      <c r="J440" s="2" t="n"/>
      <c r="K440" s="2" t="n"/>
      <c r="L440" s="2" t="n"/>
      <c r="M440" s="2" t="n"/>
      <c r="N440" s="2" t="n">
        <v>7</v>
      </c>
      <c r="O440" s="2" t="n"/>
      <c r="P440" s="2" t="n"/>
      <c r="Q440" s="2" t="n"/>
      <c r="R440" s="2" t="n"/>
      <c r="S440" s="2" t="n"/>
      <c r="T440" s="2" t="n"/>
      <c r="U440" s="2" t="n"/>
      <c r="V440" s="2">
        <f>SUM(J440:U440)</f>
        <v/>
      </c>
      <c r="W440" s="2" t="n">
        <v>14</v>
      </c>
      <c r="X440" s="2" t="n">
        <v>14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>
        <f>IF(F440=1,V440*2,IF(F440=2,V440*F440*2,IF(F440&gt;2,F440*2*V440)))</f>
        <v/>
      </c>
      <c r="AW440" s="2">
        <f>SUM(W440:AU440)</f>
        <v/>
      </c>
    </row>
    <row r="441">
      <c r="A441" s="2" t="inlineStr">
        <is>
          <t>14-K-786</t>
        </is>
      </c>
      <c r="B441" s="3" t="inlineStr">
        <is>
          <t>OJC-A1-LC/LC-SM-30-PC/PC-DP</t>
        </is>
      </c>
      <c r="C441" s="2" t="inlineStr">
        <is>
          <t>K9089180_적색</t>
        </is>
      </c>
      <c r="D441" s="2" t="inlineStr">
        <is>
          <t>a1-적</t>
        </is>
      </c>
      <c r="E441" s="2" t="inlineStr">
        <is>
          <t>2.0mm</t>
        </is>
      </c>
      <c r="F441" s="2" t="n">
        <v>2</v>
      </c>
      <c r="G441" s="2" t="n">
        <v>30</v>
      </c>
      <c r="H441" s="2" t="inlineStr">
        <is>
          <t>LC/PC</t>
        </is>
      </c>
      <c r="I441" s="2" t="inlineStr">
        <is>
          <t>LC/PC</t>
        </is>
      </c>
      <c r="J441" s="2" t="n"/>
      <c r="K441" s="2" t="n"/>
      <c r="L441" s="2" t="n"/>
      <c r="M441" s="2" t="n"/>
      <c r="N441" s="2" t="n"/>
      <c r="O441" s="2" t="n">
        <v>20</v>
      </c>
      <c r="P441" s="2" t="n"/>
      <c r="Q441" s="2" t="n"/>
      <c r="R441" s="2" t="n"/>
      <c r="S441" s="2" t="n"/>
      <c r="T441" s="2" t="n"/>
      <c r="U441" s="2" t="n"/>
      <c r="V441" s="2">
        <f>SUM(J441:U441)</f>
        <v/>
      </c>
      <c r="W441" s="2" t="n">
        <v>40</v>
      </c>
      <c r="X441" s="2" t="n">
        <v>40</v>
      </c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>
        <f>IF(F441=1,V441*2,IF(F441=2,V441*F441*2,IF(F441&gt;2,F441*2*V441)))</f>
        <v/>
      </c>
      <c r="AW441" s="2">
        <f>SUM(W441:AU441)</f>
        <v/>
      </c>
    </row>
    <row r="442">
      <c r="A442" s="2" t="inlineStr">
        <is>
          <t>14-K-786</t>
        </is>
      </c>
      <c r="B442" s="3" t="inlineStr">
        <is>
          <t>OJC-A1-LC/LC-SM-30-PC/PC-DP</t>
        </is>
      </c>
      <c r="C442" s="2" t="inlineStr">
        <is>
          <t>적색</t>
        </is>
      </c>
      <c r="D442" s="2" t="inlineStr">
        <is>
          <t>a1-적</t>
        </is>
      </c>
      <c r="E442" s="2" t="inlineStr">
        <is>
          <t>2.0mm</t>
        </is>
      </c>
      <c r="F442" s="2" t="n">
        <v>2</v>
      </c>
      <c r="G442" s="2" t="n">
        <v>30</v>
      </c>
      <c r="H442" s="2" t="inlineStr">
        <is>
          <t>LC/PC</t>
        </is>
      </c>
      <c r="I442" s="2" t="inlineStr">
        <is>
          <t>LC/PC</t>
        </is>
      </c>
      <c r="J442" s="2" t="n"/>
      <c r="K442" s="2" t="n"/>
      <c r="L442" s="2" t="n"/>
      <c r="M442" s="2" t="n"/>
      <c r="N442" s="2" t="n">
        <v>11</v>
      </c>
      <c r="O442" s="2" t="n"/>
      <c r="P442" s="2" t="n"/>
      <c r="Q442" s="2" t="n"/>
      <c r="R442" s="2" t="n"/>
      <c r="S442" s="2" t="n"/>
      <c r="T442" s="2" t="n"/>
      <c r="U442" s="2" t="n"/>
      <c r="V442" s="2">
        <f>SUM(J442:U442)</f>
        <v/>
      </c>
      <c r="W442" s="2" t="n">
        <v>22</v>
      </c>
      <c r="X442" s="2" t="n">
        <v>22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>
        <f>IF(F442=1,V442*2,IF(F442=2,V442*F442*2,IF(F442&gt;2,F442*2*V442)))</f>
        <v/>
      </c>
      <c r="AW442" s="2">
        <f>SUM(W442:AU442)</f>
        <v/>
      </c>
    </row>
    <row r="443">
      <c r="A443" s="2" t="inlineStr">
        <is>
          <t>14-K-787</t>
        </is>
      </c>
      <c r="B443" s="3" t="inlineStr">
        <is>
          <t>OJC-A1-SC/LC-SM-30-PC/PC-DP</t>
        </is>
      </c>
      <c r="C443" s="2" t="inlineStr">
        <is>
          <t>K9089166_적색</t>
        </is>
      </c>
      <c r="D443" s="2" t="inlineStr">
        <is>
          <t>a1-적</t>
        </is>
      </c>
      <c r="E443" s="2" t="inlineStr">
        <is>
          <t>2.0mm</t>
        </is>
      </c>
      <c r="F443" s="2" t="n">
        <v>2</v>
      </c>
      <c r="G443" s="2" t="n">
        <v>30</v>
      </c>
      <c r="H443" s="2" t="inlineStr">
        <is>
          <t>SC/PC</t>
        </is>
      </c>
      <c r="I443" s="2" t="inlineStr">
        <is>
          <t>LC/PC</t>
        </is>
      </c>
      <c r="J443" s="2" t="n"/>
      <c r="K443" s="2" t="n"/>
      <c r="L443" s="2" t="n"/>
      <c r="M443" s="2" t="n"/>
      <c r="N443" s="2" t="n"/>
      <c r="O443" s="2" t="n">
        <v>10</v>
      </c>
      <c r="P443" s="2" t="n"/>
      <c r="Q443" s="2" t="n"/>
      <c r="R443" s="2" t="n"/>
      <c r="S443" s="2" t="n">
        <v>10</v>
      </c>
      <c r="T443" s="2" t="n"/>
      <c r="U443" s="2" t="n"/>
      <c r="V443" s="2">
        <f>SUM(J443:U443)</f>
        <v/>
      </c>
      <c r="W443" s="2" t="n"/>
      <c r="X443" s="2" t="n">
        <v>40</v>
      </c>
      <c r="Y443" s="2" t="n"/>
      <c r="Z443" s="2" t="n"/>
      <c r="AA443" s="2" t="n">
        <v>40</v>
      </c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>
        <f>IF(F443=1,V443*2,IF(F443=2,V443*F443*2,IF(F443&gt;2,F443*2*V443)))</f>
        <v/>
      </c>
      <c r="AW443" s="2">
        <f>SUM(W443:AU443)</f>
        <v/>
      </c>
    </row>
    <row r="444">
      <c r="A444" s="2" t="inlineStr">
        <is>
          <t>14-K-789</t>
        </is>
      </c>
      <c r="B444" s="3" t="inlineStr">
        <is>
          <t>OJC-A1-LC/LC-MM(OM3)-7-PC/PC-DP</t>
        </is>
      </c>
      <c r="C444" s="2" t="inlineStr"/>
      <c r="D444" s="2" t="inlineStr">
        <is>
          <t>om3</t>
        </is>
      </c>
      <c r="E444" s="2" t="inlineStr">
        <is>
          <t>2.0mm</t>
        </is>
      </c>
      <c r="F444" s="2" t="n">
        <v>2</v>
      </c>
      <c r="G444" s="2" t="n">
        <v>7</v>
      </c>
      <c r="H444" s="2" t="inlineStr">
        <is>
          <t>LC/PC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/>
      <c r="P444" s="2" t="n">
        <v>14</v>
      </c>
      <c r="Q444" s="2" t="n"/>
      <c r="R444" s="2" t="n">
        <v>50</v>
      </c>
      <c r="S444" s="2" t="n"/>
      <c r="T444" s="2" t="n"/>
      <c r="U444" s="2" t="n"/>
      <c r="V444" s="2">
        <f>SUM(J444:U444)</f>
        <v/>
      </c>
      <c r="W444" s="2" t="n"/>
      <c r="X444" s="2" t="n">
        <v>128</v>
      </c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>
        <v>128</v>
      </c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>
        <f>IF(F444=1,V444*2,IF(F444=2,V444*F444*2,IF(F444&gt;2,F444*2*V444)))</f>
        <v/>
      </c>
      <c r="AW444" s="2">
        <f>SUM(W444:AU444)</f>
        <v/>
      </c>
    </row>
    <row r="445">
      <c r="A445" s="2" t="inlineStr">
        <is>
          <t>14-K-790</t>
        </is>
      </c>
      <c r="B445" s="3" t="inlineStr">
        <is>
          <t>OJC-A1-LC/LC-SM-9-PC/PC-DP</t>
        </is>
      </c>
      <c r="C445" s="2" t="inlineStr"/>
      <c r="D445" s="2" t="inlineStr">
        <is>
          <t>a1</t>
        </is>
      </c>
      <c r="E445" s="2" t="inlineStr">
        <is>
          <t>2.0mm</t>
        </is>
      </c>
      <c r="F445" s="2" t="n">
        <v>2</v>
      </c>
      <c r="G445" s="2" t="n">
        <v>9</v>
      </c>
      <c r="H445" s="2" t="inlineStr">
        <is>
          <t>LC/PC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>
        <v>2</v>
      </c>
      <c r="T445" s="2" t="n"/>
      <c r="U445" s="2" t="n"/>
      <c r="V445" s="2">
        <f>SUM(J445:U445)</f>
        <v/>
      </c>
      <c r="W445" s="2" t="n">
        <v>4</v>
      </c>
      <c r="X445" s="2" t="n">
        <v>4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>
        <f>IF(F445=1,V445*2,IF(F445=2,V445*F445*2,IF(F445&gt;2,F445*2*V445)))</f>
        <v/>
      </c>
      <c r="AW445" s="2">
        <f>SUM(W445:AU445)</f>
        <v/>
      </c>
    </row>
    <row r="446">
      <c r="A446" s="2" t="inlineStr">
        <is>
          <t>14-K-794</t>
        </is>
      </c>
      <c r="B446" s="3" t="inlineStr">
        <is>
          <t>OJC-A1-SC/SC-SM-30-PC/PC-SP</t>
        </is>
      </c>
      <c r="C446" s="2" t="inlineStr">
        <is>
          <t>K9089023_녹색</t>
        </is>
      </c>
      <c r="D446" s="2" t="inlineStr">
        <is>
          <t>a1-녹</t>
        </is>
      </c>
      <c r="E446" s="2" t="inlineStr">
        <is>
          <t>2.0mm</t>
        </is>
      </c>
      <c r="F446" s="2" t="n">
        <v>1</v>
      </c>
      <c r="G446" s="2" t="n">
        <v>30</v>
      </c>
      <c r="H446" s="2" t="inlineStr">
        <is>
          <t>SC/PC</t>
        </is>
      </c>
      <c r="I446" s="2" t="inlineStr">
        <is>
          <t>SC/PC</t>
        </is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>
        <v>2</v>
      </c>
      <c r="V446" s="2">
        <f>SUM(J446:U446)</f>
        <v/>
      </c>
      <c r="W446" s="2" t="n"/>
      <c r="X446" s="2" t="n"/>
      <c r="Y446" s="2" t="n"/>
      <c r="Z446" s="2" t="n"/>
      <c r="AA446" s="2" t="n">
        <v>4</v>
      </c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>
        <f>IF(F446=1,V446*2,IF(F446=2,V446*F446*2,IF(F446&gt;2,F446*2*V446)))</f>
        <v/>
      </c>
      <c r="AW446" s="2">
        <f>SUM(W446:AU446)</f>
        <v/>
      </c>
    </row>
    <row r="447">
      <c r="A447" s="2" t="inlineStr">
        <is>
          <t>14-K-802</t>
        </is>
      </c>
      <c r="B447" s="3" t="inlineStr">
        <is>
          <t>OJC-A1-LC/LC-MM(OM3)-60-PC/PC-DP</t>
        </is>
      </c>
      <c r="C447" s="2" t="inlineStr"/>
      <c r="D447" s="2" t="inlineStr">
        <is>
          <t>om3</t>
        </is>
      </c>
      <c r="E447" s="2" t="inlineStr">
        <is>
          <t>2.0mm</t>
        </is>
      </c>
      <c r="F447" s="2" t="n">
        <v>2</v>
      </c>
      <c r="G447" s="2" t="n">
        <v>60</v>
      </c>
      <c r="H447" s="2" t="inlineStr">
        <is>
          <t>LC/PC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>
        <v>1</v>
      </c>
      <c r="S447" s="2" t="n"/>
      <c r="T447" s="2" t="n"/>
      <c r="U447" s="2" t="n"/>
      <c r="V447" s="2">
        <f>SUM(J447:U447)</f>
        <v/>
      </c>
      <c r="W447" s="2" t="n"/>
      <c r="X447" s="2" t="n">
        <v>2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>
        <v>2</v>
      </c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>
        <f>IF(F447=1,V447*2,IF(F447=2,V447*F447*2,IF(F447&gt;2,F447*2*V447)))</f>
        <v/>
      </c>
      <c r="AW447" s="2">
        <f>SUM(W447:AU447)</f>
        <v/>
      </c>
    </row>
    <row r="448">
      <c r="A448" s="2" t="inlineStr">
        <is>
          <t>14-K-808</t>
        </is>
      </c>
      <c r="B448" s="3" t="inlineStr">
        <is>
          <t>OJC-A1-LC/LC-SM-70-PC/PC-DP</t>
        </is>
      </c>
      <c r="C448" s="2" t="inlineStr"/>
      <c r="D448" s="2" t="inlineStr">
        <is>
          <t>a1</t>
        </is>
      </c>
      <c r="E448" s="2" t="inlineStr">
        <is>
          <t>2.0mm</t>
        </is>
      </c>
      <c r="F448" s="2" t="n">
        <v>2</v>
      </c>
      <c r="G448" s="2" t="n">
        <v>70</v>
      </c>
      <c r="H448" s="2" t="inlineStr">
        <is>
          <t>LC/PC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>
        <v>10</v>
      </c>
      <c r="U448" s="2" t="n"/>
      <c r="V448" s="2">
        <f>SUM(J448:U448)</f>
        <v/>
      </c>
      <c r="W448" s="2" t="n">
        <v>20</v>
      </c>
      <c r="X448" s="2" t="n">
        <v>20</v>
      </c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>
        <f>IF(F448=1,V448*2,IF(F448=2,V448*F448*2,IF(F448&gt;2,F448*2*V448)))</f>
        <v/>
      </c>
      <c r="AW448" s="2">
        <f>SUM(W448:AU448)</f>
        <v/>
      </c>
    </row>
    <row r="449">
      <c r="A449" s="2" t="inlineStr">
        <is>
          <t>14-K-810</t>
        </is>
      </c>
      <c r="B449" s="3" t="inlineStr">
        <is>
          <t>OJC-A1-SC/LC-SM-5-PC/PC-DP</t>
        </is>
      </c>
      <c r="C449" s="2" t="inlineStr">
        <is>
          <t>K9089161_청색</t>
        </is>
      </c>
      <c r="D449" s="2" t="inlineStr">
        <is>
          <t>a1-청</t>
        </is>
      </c>
      <c r="E449" s="2" t="inlineStr">
        <is>
          <t>2.0mm</t>
        </is>
      </c>
      <c r="F449" s="2" t="n">
        <v>2</v>
      </c>
      <c r="G449" s="2" t="n">
        <v>5</v>
      </c>
      <c r="H449" s="2" t="inlineStr">
        <is>
          <t>SC/PC</t>
        </is>
      </c>
      <c r="I449" s="2" t="inlineStr">
        <is>
          <t>LC/PC</t>
        </is>
      </c>
      <c r="J449" s="2" t="n"/>
      <c r="K449" s="2" t="n"/>
      <c r="L449" s="2" t="n"/>
      <c r="M449" s="2" t="n"/>
      <c r="N449" s="2" t="n">
        <v>50</v>
      </c>
      <c r="O449" s="2" t="n"/>
      <c r="P449" s="2" t="n"/>
      <c r="Q449" s="2" t="n"/>
      <c r="R449" s="2" t="n"/>
      <c r="S449" s="2" t="n"/>
      <c r="T449" s="2" t="n"/>
      <c r="U449" s="2" t="n"/>
      <c r="V449" s="2">
        <f>SUM(J449:U449)</f>
        <v/>
      </c>
      <c r="W449" s="2" t="n"/>
      <c r="X449" s="2" t="n">
        <v>100</v>
      </c>
      <c r="Y449" s="2" t="n"/>
      <c r="Z449" s="2" t="n"/>
      <c r="AA449" s="2" t="n">
        <v>100</v>
      </c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>
        <f>IF(F449=1,V449*2,IF(F449=2,V449*F449*2,IF(F449&gt;2,F449*2*V449)))</f>
        <v/>
      </c>
      <c r="AW449" s="2">
        <f>SUM(W449:AU449)</f>
        <v/>
      </c>
    </row>
    <row r="450">
      <c r="A450" s="2" t="inlineStr">
        <is>
          <t>14-K-814</t>
        </is>
      </c>
      <c r="B450" s="3" t="inlineStr">
        <is>
          <t>OJC-A1-LC/LC-SM-0.3-PC/PC-SP</t>
        </is>
      </c>
      <c r="C450" s="2" t="inlineStr"/>
      <c r="D450" s="2" t="inlineStr">
        <is>
          <t>a1</t>
        </is>
      </c>
      <c r="E450" s="2" t="inlineStr">
        <is>
          <t>2.0mm</t>
        </is>
      </c>
      <c r="F450" s="2" t="n">
        <v>1</v>
      </c>
      <c r="G450" s="2" t="n">
        <v>0.3</v>
      </c>
      <c r="H450" s="2" t="inlineStr">
        <is>
          <t>LC/PC</t>
        </is>
      </c>
      <c r="I450" s="2" t="inlineStr">
        <is>
          <t>LC/PC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>
        <v>200</v>
      </c>
      <c r="U450" s="2" t="n"/>
      <c r="V450" s="2">
        <f>SUM(J450:U450)</f>
        <v/>
      </c>
      <c r="W450" s="2" t="n">
        <v>400</v>
      </c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>
        <f>IF(F450=1,V450*2,IF(F450=2,V450*F450*2,IF(F450&gt;2,F450*2*V450)))</f>
        <v/>
      </c>
      <c r="AW450" s="2">
        <f>SUM(W450:AU450)</f>
        <v/>
      </c>
    </row>
    <row r="451">
      <c r="A451" s="2" t="inlineStr">
        <is>
          <t>14-K-824</t>
        </is>
      </c>
      <c r="B451" s="3" t="inlineStr">
        <is>
          <t>OJC-A1-SC/SC-SM-5-PC/PC-SP</t>
        </is>
      </c>
      <c r="C451" s="2" t="inlineStr">
        <is>
          <t>K9088998_녹색</t>
        </is>
      </c>
      <c r="D451" s="2" t="inlineStr">
        <is>
          <t>a1-녹</t>
        </is>
      </c>
      <c r="E451" s="2" t="inlineStr">
        <is>
          <t>2.0mm</t>
        </is>
      </c>
      <c r="F451" s="2" t="n">
        <v>1</v>
      </c>
      <c r="G451" s="2" t="n">
        <v>5</v>
      </c>
      <c r="H451" s="2" t="inlineStr">
        <is>
          <t>SC/PC</t>
        </is>
      </c>
      <c r="I451" s="2" t="inlineStr">
        <is>
          <t>SC/PC</t>
        </is>
      </c>
      <c r="J451" s="2" t="n"/>
      <c r="K451" s="2" t="n"/>
      <c r="L451" s="2" t="n"/>
      <c r="M451" s="2" t="n"/>
      <c r="N451" s="2" t="n"/>
      <c r="O451" s="2" t="n">
        <v>32</v>
      </c>
      <c r="P451" s="2" t="n"/>
      <c r="Q451" s="2" t="n"/>
      <c r="R451" s="2" t="n">
        <v>50</v>
      </c>
      <c r="S451" s="2" t="n">
        <v>42</v>
      </c>
      <c r="T451" s="2" t="n"/>
      <c r="U451" s="2" t="n">
        <v>4</v>
      </c>
      <c r="V451" s="2">
        <f>SUM(J451:U451)</f>
        <v/>
      </c>
      <c r="W451" s="2" t="n"/>
      <c r="X451" s="2" t="n"/>
      <c r="Y451" s="2" t="n"/>
      <c r="Z451" s="2" t="n"/>
      <c r="AA451" s="2" t="n">
        <v>256</v>
      </c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>
        <f>IF(F451=1,V451*2,IF(F451=2,V451*F451*2,IF(F451&gt;2,F451*2*V451)))</f>
        <v/>
      </c>
      <c r="AW451" s="2">
        <f>SUM(W451:AU451)</f>
        <v/>
      </c>
    </row>
    <row r="452">
      <c r="A452" s="2" t="inlineStr">
        <is>
          <t>14-K-827</t>
        </is>
      </c>
      <c r="B452" s="3" t="inlineStr">
        <is>
          <t>OJC-A1-LC/LC-MM(OM3)-65-PC/PC-DP</t>
        </is>
      </c>
      <c r="C452" s="2" t="inlineStr"/>
      <c r="D452" s="2" t="inlineStr">
        <is>
          <t>om3</t>
        </is>
      </c>
      <c r="E452" s="2" t="inlineStr">
        <is>
          <t>2.0mm</t>
        </is>
      </c>
      <c r="F452" s="2" t="n">
        <v>2</v>
      </c>
      <c r="G452" s="2" t="n">
        <v>65</v>
      </c>
      <c r="H452" s="2" t="inlineStr">
        <is>
          <t>LC/PC</t>
        </is>
      </c>
      <c r="I452" s="2" t="inlineStr">
        <is>
          <t>LC/PC</t>
        </is>
      </c>
      <c r="J452" s="2" t="n"/>
      <c r="K452" s="2" t="n"/>
      <c r="L452" s="2" t="n"/>
      <c r="M452" s="2" t="n"/>
      <c r="N452" s="2" t="n"/>
      <c r="O452" s="2" t="n">
        <v>2</v>
      </c>
      <c r="P452" s="2" t="n"/>
      <c r="Q452" s="2" t="n"/>
      <c r="R452" s="2" t="n"/>
      <c r="S452" s="2" t="n"/>
      <c r="T452" s="2" t="n"/>
      <c r="U452" s="2" t="n"/>
      <c r="V452" s="2">
        <f>SUM(J452:U452)</f>
        <v/>
      </c>
      <c r="W452" s="2" t="n"/>
      <c r="X452" s="2" t="n">
        <v>4</v>
      </c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>
        <v>4</v>
      </c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>
        <f>IF(F452=1,V452*2,IF(F452=2,V452*F452*2,IF(F452&gt;2,F452*2*V452)))</f>
        <v/>
      </c>
      <c r="AW452" s="2">
        <f>SUM(W452:AU452)</f>
        <v/>
      </c>
    </row>
    <row r="453">
      <c r="A453" s="2" t="inlineStr">
        <is>
          <t>14-K-829</t>
        </is>
      </c>
      <c r="B453" s="3" t="inlineStr">
        <is>
          <t>OJC-A1-SC/SC-SM-55-PC/PC-DP</t>
        </is>
      </c>
      <c r="C453" s="2" t="inlineStr"/>
      <c r="D453" s="2" t="inlineStr">
        <is>
          <t>a1</t>
        </is>
      </c>
      <c r="E453" s="2" t="inlineStr">
        <is>
          <t>2.0mm</t>
        </is>
      </c>
      <c r="F453" s="2" t="n">
        <v>2</v>
      </c>
      <c r="G453" s="2" t="n">
        <v>55</v>
      </c>
      <c r="H453" s="2" t="inlineStr">
        <is>
          <t>SC/PC</t>
        </is>
      </c>
      <c r="I453" s="2" t="inlineStr">
        <is>
          <t>SC/PC</t>
        </is>
      </c>
      <c r="J453" s="2" t="n">
        <v>2</v>
      </c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>
        <f>SUM(J453:U453)</f>
        <v/>
      </c>
      <c r="W453" s="2" t="n"/>
      <c r="X453" s="2" t="n"/>
      <c r="Y453" s="2" t="n"/>
      <c r="Z453" s="2" t="n"/>
      <c r="AA453" s="2" t="n">
        <v>4</v>
      </c>
      <c r="AB453" s="2" t="n">
        <v>4</v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>
        <f>IF(F453=1,V453*2,IF(F453=2,V453*F453*2,IF(F453&gt;2,F453*2*V453)))</f>
        <v/>
      </c>
      <c r="AW453" s="2">
        <f>SUM(W453:AU453)</f>
        <v/>
      </c>
    </row>
    <row r="454">
      <c r="A454" s="2" t="inlineStr">
        <is>
          <t>14-K-837</t>
        </is>
      </c>
      <c r="B454" s="3" t="inlineStr">
        <is>
          <t>OJC-A1-LC/LC-MM(OM3)-70-PC/PC-DP</t>
        </is>
      </c>
      <c r="C454" s="2" t="inlineStr"/>
      <c r="D454" s="2" t="inlineStr">
        <is>
          <t>om3</t>
        </is>
      </c>
      <c r="E454" s="2" t="inlineStr">
        <is>
          <t>2.0mm</t>
        </is>
      </c>
      <c r="F454" s="2" t="n">
        <v>2</v>
      </c>
      <c r="G454" s="2" t="n">
        <v>70</v>
      </c>
      <c r="H454" s="2" t="inlineStr">
        <is>
          <t>LC/PC</t>
        </is>
      </c>
      <c r="I454" s="2" t="inlineStr">
        <is>
          <t>LC/PC</t>
        </is>
      </c>
      <c r="J454" s="2" t="n"/>
      <c r="K454" s="2" t="n"/>
      <c r="L454" s="2" t="n"/>
      <c r="M454" s="2" t="n">
        <v>4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>
        <f>SUM(J454:U454)</f>
        <v/>
      </c>
      <c r="W454" s="2" t="n"/>
      <c r="X454" s="2" t="n">
        <v>8</v>
      </c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>
        <v>8</v>
      </c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>
        <f>IF(F454=1,V454*2,IF(F454=2,V454*F454*2,IF(F454&gt;2,F454*2*V454)))</f>
        <v/>
      </c>
      <c r="AW454" s="2">
        <f>SUM(W454:AU454)</f>
        <v/>
      </c>
    </row>
    <row r="455">
      <c r="A455" s="2" t="inlineStr">
        <is>
          <t>14-K-847</t>
        </is>
      </c>
      <c r="B455" s="3" t="inlineStr">
        <is>
          <t>OJC-A1-SC/SC-SM-2-PC/PC-SP</t>
        </is>
      </c>
      <c r="C455" s="2" t="inlineStr">
        <is>
          <t>K9088995_고려오트론</t>
        </is>
      </c>
      <c r="D455" s="2" t="inlineStr">
        <is>
          <t>a1</t>
        </is>
      </c>
      <c r="E455" s="2" t="inlineStr">
        <is>
          <t>2.0mm</t>
        </is>
      </c>
      <c r="F455" s="2" t="n">
        <v>1</v>
      </c>
      <c r="G455" s="2" t="n">
        <v>2</v>
      </c>
      <c r="H455" s="2" t="inlineStr">
        <is>
          <t>SC/PC</t>
        </is>
      </c>
      <c r="I455" s="2" t="inlineStr">
        <is>
          <t>SC/PC</t>
        </is>
      </c>
      <c r="J455" s="2" t="n"/>
      <c r="K455" s="2" t="n"/>
      <c r="L455" s="2" t="n">
        <v>8</v>
      </c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>
        <f>SUM(J455:U455)</f>
        <v/>
      </c>
      <c r="W455" s="2" t="n"/>
      <c r="X455" s="2" t="n"/>
      <c r="Y455" s="2" t="n"/>
      <c r="Z455" s="2" t="n"/>
      <c r="AA455" s="2" t="n">
        <v>16</v>
      </c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>
        <f>IF(F455=1,V455*2,IF(F455=2,V455*F455*2,IF(F455&gt;2,F455*2*V455)))</f>
        <v/>
      </c>
      <c r="AW455" s="2">
        <f>SUM(W455:AU455)</f>
        <v/>
      </c>
    </row>
    <row r="456">
      <c r="A456" s="2" t="inlineStr">
        <is>
          <t>14-K-854</t>
        </is>
      </c>
      <c r="B456" s="3" t="inlineStr">
        <is>
          <t>OJC-A1-LC/LC-MM(OM3)-13-PC/PC-DP</t>
        </is>
      </c>
      <c r="C456" s="2" t="inlineStr"/>
      <c r="D456" s="2" t="inlineStr">
        <is>
          <t>om3</t>
        </is>
      </c>
      <c r="E456" s="2" t="inlineStr">
        <is>
          <t>2.0mm</t>
        </is>
      </c>
      <c r="F456" s="2" t="n">
        <v>2</v>
      </c>
      <c r="G456" s="2" t="n">
        <v>13</v>
      </c>
      <c r="H456" s="2" t="inlineStr">
        <is>
          <t>LC/PC</t>
        </is>
      </c>
      <c r="I456" s="2" t="inlineStr">
        <is>
          <t>LC/PC</t>
        </is>
      </c>
      <c r="J456" s="2" t="n">
        <v>36</v>
      </c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>
        <v>56</v>
      </c>
      <c r="U456" s="2" t="n"/>
      <c r="V456" s="2">
        <f>SUM(J456:U456)</f>
        <v/>
      </c>
      <c r="W456" s="2" t="n"/>
      <c r="X456" s="2" t="n">
        <v>184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>
        <v>184</v>
      </c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>
        <f>IF(F456=1,V456*2,IF(F456=2,V456*F456*2,IF(F456&gt;2,F456*2*V456)))</f>
        <v/>
      </c>
      <c r="AW456" s="2">
        <f>SUM(W456:AU456)</f>
        <v/>
      </c>
    </row>
    <row r="457">
      <c r="A457" s="2" t="inlineStr">
        <is>
          <t>14-K-869</t>
        </is>
      </c>
      <c r="B457" s="3" t="inlineStr">
        <is>
          <t>OJC-A1-LC/LC-SM-35-PC/PC-SP</t>
        </is>
      </c>
      <c r="C457" s="2" t="inlineStr">
        <is>
          <t>K9089052</t>
        </is>
      </c>
      <c r="D457" s="2" t="inlineStr">
        <is>
          <t>a1</t>
        </is>
      </c>
      <c r="E457" s="2" t="inlineStr">
        <is>
          <t>2.0mm</t>
        </is>
      </c>
      <c r="F457" s="2" t="n">
        <v>1</v>
      </c>
      <c r="G457" s="2" t="n">
        <v>35</v>
      </c>
      <c r="H457" s="2" t="inlineStr">
        <is>
          <t>LC/PC</t>
        </is>
      </c>
      <c r="I457" s="2" t="inlineStr">
        <is>
          <t>LC/PC</t>
        </is>
      </c>
      <c r="J457" s="2" t="n"/>
      <c r="K457" s="2" t="n"/>
      <c r="L457" s="2" t="n">
        <v>10</v>
      </c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>
        <f>SUM(J457:U457)</f>
        <v/>
      </c>
      <c r="W457" s="2" t="n">
        <v>20</v>
      </c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>
        <f>IF(F457=1,V457*2,IF(F457=2,V457*F457*2,IF(F457&gt;2,F457*2*V457)))</f>
        <v/>
      </c>
      <c r="AW457" s="2">
        <f>SUM(W457:AU457)</f>
        <v/>
      </c>
    </row>
    <row r="458">
      <c r="A458" s="2" t="inlineStr">
        <is>
          <t>14-K-879</t>
        </is>
      </c>
      <c r="B458" s="3" t="inlineStr">
        <is>
          <t>OJC-A1-SC/SC-SM-3-PC/PC-DP</t>
        </is>
      </c>
      <c r="C458" s="2" t="inlineStr">
        <is>
          <t>K9089125_녹색</t>
        </is>
      </c>
      <c r="D458" s="2" t="inlineStr">
        <is>
          <t>a1-녹</t>
        </is>
      </c>
      <c r="E458" s="2" t="inlineStr">
        <is>
          <t>2.0mm</t>
        </is>
      </c>
      <c r="F458" s="2" t="n">
        <v>2</v>
      </c>
      <c r="G458" s="2" t="n">
        <v>3</v>
      </c>
      <c r="H458" s="2" t="inlineStr">
        <is>
          <t>SC/PC</t>
        </is>
      </c>
      <c r="I458" s="2" t="inlineStr">
        <is>
          <t>SC/PC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>
        <v>60</v>
      </c>
      <c r="T458" s="2" t="n"/>
      <c r="U458" s="2" t="n"/>
      <c r="V458" s="2">
        <f>SUM(J458:U458)</f>
        <v/>
      </c>
      <c r="W458" s="2" t="n"/>
      <c r="X458" s="2" t="n"/>
      <c r="Y458" s="2" t="n"/>
      <c r="Z458" s="2" t="n"/>
      <c r="AA458" s="2" t="n">
        <v>120</v>
      </c>
      <c r="AB458" s="2" t="n">
        <v>120</v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>
        <f>IF(F458=1,V458*2,IF(F458=2,V458*F458*2,IF(F458&gt;2,F458*2*V458)))</f>
        <v/>
      </c>
      <c r="AW458" s="2">
        <f>SUM(W458:AU458)</f>
        <v/>
      </c>
    </row>
    <row r="459">
      <c r="A459" s="2" t="inlineStr">
        <is>
          <t>14-K-883</t>
        </is>
      </c>
      <c r="B459" s="3" t="inlineStr">
        <is>
          <t>OJC-A1-SC/LC-SM-15-PC/PC-DP</t>
        </is>
      </c>
      <c r="C459" s="2" t="inlineStr">
        <is>
          <t>K9089163_포앤티</t>
        </is>
      </c>
      <c r="D459" s="2" t="inlineStr">
        <is>
          <t>a1</t>
        </is>
      </c>
      <c r="E459" s="2" t="inlineStr">
        <is>
          <t>2.0mm</t>
        </is>
      </c>
      <c r="F459" s="2" t="n">
        <v>2</v>
      </c>
      <c r="G459" s="2" t="n">
        <v>15</v>
      </c>
      <c r="H459" s="2" t="inlineStr">
        <is>
          <t>SC/PC</t>
        </is>
      </c>
      <c r="I459" s="2" t="inlineStr">
        <is>
          <t>LC/PC</t>
        </is>
      </c>
      <c r="J459" s="2" t="n"/>
      <c r="K459" s="2" t="n"/>
      <c r="L459" s="2" t="n"/>
      <c r="M459" s="2" t="n"/>
      <c r="N459" s="2" t="n"/>
      <c r="O459" s="2" t="n"/>
      <c r="P459" s="2" t="n"/>
      <c r="Q459" s="2" t="n">
        <v>400</v>
      </c>
      <c r="R459" s="2" t="n">
        <v>400</v>
      </c>
      <c r="S459" s="2" t="n"/>
      <c r="T459" s="2" t="n"/>
      <c r="U459" s="2" t="n"/>
      <c r="V459" s="2">
        <f>SUM(J459:U459)</f>
        <v/>
      </c>
      <c r="W459" s="2" t="n"/>
      <c r="X459" s="2" t="n">
        <v>1600</v>
      </c>
      <c r="Y459" s="2" t="n"/>
      <c r="Z459" s="2" t="n"/>
      <c r="AA459" s="2" t="n">
        <v>1600</v>
      </c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>
        <f>IF(F459=1,V459*2,IF(F459=2,V459*F459*2,IF(F459&gt;2,F459*2*V459)))</f>
        <v/>
      </c>
      <c r="AW459" s="2">
        <f>SUM(W459:AU459)</f>
        <v/>
      </c>
    </row>
    <row r="460">
      <c r="A460" s="2" t="inlineStr">
        <is>
          <t>14-K-923</t>
        </is>
      </c>
      <c r="B460" s="3" t="inlineStr">
        <is>
          <t>OJC-A1-SC/LC-SM-21-PC/PC-DP</t>
        </is>
      </c>
      <c r="C460" s="2" t="inlineStr">
        <is>
          <t>자색</t>
        </is>
      </c>
      <c r="D460" s="2" t="inlineStr">
        <is>
          <t>a1-자</t>
        </is>
      </c>
      <c r="E460" s="2" t="inlineStr">
        <is>
          <t>2.0mm</t>
        </is>
      </c>
      <c r="F460" s="2" t="n">
        <v>2</v>
      </c>
      <c r="G460" s="2" t="n">
        <v>21</v>
      </c>
      <c r="H460" s="2" t="inlineStr">
        <is>
          <t>SC/PC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>
        <v>4</v>
      </c>
      <c r="O460" s="2" t="n"/>
      <c r="P460" s="2" t="n"/>
      <c r="Q460" s="2" t="n"/>
      <c r="R460" s="2" t="n"/>
      <c r="S460" s="2" t="n"/>
      <c r="T460" s="2" t="n"/>
      <c r="U460" s="2" t="n"/>
      <c r="V460" s="2">
        <f>SUM(J460:U460)</f>
        <v/>
      </c>
      <c r="W460" s="2" t="n"/>
      <c r="X460" s="2" t="n">
        <v>8</v>
      </c>
      <c r="Y460" s="2" t="n"/>
      <c r="Z460" s="2" t="n"/>
      <c r="AA460" s="2" t="n">
        <v>8</v>
      </c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>
        <f>IF(F460=1,V460*2,IF(F460=2,V460*F460*2,IF(F460&gt;2,F460*2*V460)))</f>
        <v/>
      </c>
      <c r="AW460" s="2">
        <f>SUM(W460:AU460)</f>
        <v/>
      </c>
    </row>
    <row r="461">
      <c r="A461" s="2" t="inlineStr">
        <is>
          <t>14-K-923</t>
        </is>
      </c>
      <c r="B461" s="3" t="inlineStr">
        <is>
          <t>OJC-A1-SC/LC-SM-21-PC/PC-DP</t>
        </is>
      </c>
      <c r="C461" s="2" t="inlineStr">
        <is>
          <t>적색</t>
        </is>
      </c>
      <c r="D461" s="2" t="inlineStr">
        <is>
          <t>a1-적</t>
        </is>
      </c>
      <c r="E461" s="2" t="inlineStr">
        <is>
          <t>2.0mm</t>
        </is>
      </c>
      <c r="F461" s="2" t="n">
        <v>2</v>
      </c>
      <c r="G461" s="2" t="n">
        <v>21</v>
      </c>
      <c r="H461" s="2" t="inlineStr">
        <is>
          <t>SC/PC</t>
        </is>
      </c>
      <c r="I461" s="2" t="inlineStr">
        <is>
          <t>LC/PC</t>
        </is>
      </c>
      <c r="J461" s="2" t="n"/>
      <c r="K461" s="2" t="n"/>
      <c r="L461" s="2" t="n"/>
      <c r="M461" s="2" t="n"/>
      <c r="N461" s="2" t="n">
        <v>12</v>
      </c>
      <c r="O461" s="2" t="n"/>
      <c r="P461" s="2" t="n"/>
      <c r="Q461" s="2" t="n"/>
      <c r="R461" s="2" t="n"/>
      <c r="S461" s="2" t="n"/>
      <c r="T461" s="2" t="n"/>
      <c r="U461" s="2" t="n"/>
      <c r="V461" s="2">
        <f>SUM(J461:U461)</f>
        <v/>
      </c>
      <c r="W461" s="2" t="n"/>
      <c r="X461" s="2" t="n">
        <v>24</v>
      </c>
      <c r="Y461" s="2" t="n"/>
      <c r="Z461" s="2" t="n"/>
      <c r="AA461" s="2" t="n">
        <v>24</v>
      </c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>
        <f>IF(F461=1,V461*2,IF(F461=2,V461*F461*2,IF(F461&gt;2,F461*2*V461)))</f>
        <v/>
      </c>
      <c r="AW461" s="2">
        <f>SUM(W461:AU461)</f>
        <v/>
      </c>
    </row>
    <row r="462">
      <c r="A462" s="2" t="inlineStr">
        <is>
          <t>14-K-925</t>
        </is>
      </c>
      <c r="B462" s="3" t="inlineStr">
        <is>
          <t>OJC-A1-LC/LC-SM-21-PC/PC-DP</t>
        </is>
      </c>
      <c r="C462" s="2" t="inlineStr"/>
      <c r="D462" s="2" t="inlineStr">
        <is>
          <t>a1</t>
        </is>
      </c>
      <c r="E462" s="2" t="inlineStr">
        <is>
          <t>2.0mm</t>
        </is>
      </c>
      <c r="F462" s="2" t="n">
        <v>2</v>
      </c>
      <c r="G462" s="2" t="n">
        <v>21</v>
      </c>
      <c r="H462" s="2" t="inlineStr">
        <is>
          <t>LC/PC</t>
        </is>
      </c>
      <c r="I462" s="2" t="inlineStr">
        <is>
          <t>LC/PC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>
        <v>2</v>
      </c>
      <c r="S462" s="2" t="n">
        <v>1</v>
      </c>
      <c r="T462" s="2" t="n"/>
      <c r="U462" s="2" t="n"/>
      <c r="V462" s="2">
        <f>SUM(J462:U462)</f>
        <v/>
      </c>
      <c r="W462" s="2" t="n">
        <v>6</v>
      </c>
      <c r="X462" s="2" t="n">
        <v>6</v>
      </c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>
        <f>IF(F462=1,V462*2,IF(F462=2,V462*F462*2,IF(F462&gt;2,F462*2*V462)))</f>
        <v/>
      </c>
      <c r="AW462" s="2">
        <f>SUM(W462:AU462)</f>
        <v/>
      </c>
    </row>
    <row r="463">
      <c r="A463" s="2" t="inlineStr">
        <is>
          <t>14-K-925</t>
        </is>
      </c>
      <c r="B463" s="3" t="inlineStr">
        <is>
          <t>OJC-A1-LC/LC-SM-21-PC/PC-DP</t>
        </is>
      </c>
      <c r="C463" s="2" t="inlineStr">
        <is>
          <t>자색</t>
        </is>
      </c>
      <c r="D463" s="2" t="inlineStr">
        <is>
          <t>a1-자</t>
        </is>
      </c>
      <c r="E463" s="2" t="inlineStr">
        <is>
          <t>2.0mm</t>
        </is>
      </c>
      <c r="F463" s="2" t="n">
        <v>2</v>
      </c>
      <c r="G463" s="2" t="n">
        <v>21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>
        <v>2</v>
      </c>
      <c r="O463" s="2" t="n"/>
      <c r="P463" s="2" t="n"/>
      <c r="Q463" s="2" t="n"/>
      <c r="R463" s="2" t="n"/>
      <c r="S463" s="2" t="n"/>
      <c r="T463" s="2" t="n"/>
      <c r="U463" s="2" t="n"/>
      <c r="V463" s="2">
        <f>SUM(J463:U463)</f>
        <v/>
      </c>
      <c r="W463" s="2" t="n">
        <v>4</v>
      </c>
      <c r="X463" s="2" t="n">
        <v>4</v>
      </c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>
        <f>IF(F463=1,V463*2,IF(F463=2,V463*F463*2,IF(F463&gt;2,F463*2*V463)))</f>
        <v/>
      </c>
      <c r="AW463" s="2">
        <f>SUM(W463:AU463)</f>
        <v/>
      </c>
    </row>
    <row r="464">
      <c r="A464" s="2" t="inlineStr">
        <is>
          <t>14-K-925</t>
        </is>
      </c>
      <c r="B464" s="3" t="inlineStr">
        <is>
          <t>OJC-A1-LC/LC-SM-21-PC/PC-DP</t>
        </is>
      </c>
      <c r="C464" s="2" t="inlineStr">
        <is>
          <t>적색</t>
        </is>
      </c>
      <c r="D464" s="2" t="inlineStr">
        <is>
          <t>a1-적</t>
        </is>
      </c>
      <c r="E464" s="2" t="inlineStr">
        <is>
          <t>2.0mm</t>
        </is>
      </c>
      <c r="F464" s="2" t="n">
        <v>2</v>
      </c>
      <c r="G464" s="2" t="n">
        <v>21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>
        <v>8</v>
      </c>
      <c r="O464" s="2" t="n"/>
      <c r="P464" s="2" t="n"/>
      <c r="Q464" s="2" t="n"/>
      <c r="R464" s="2" t="n"/>
      <c r="S464" s="2" t="n"/>
      <c r="T464" s="2" t="n"/>
      <c r="U464" s="2" t="n"/>
      <c r="V464" s="2">
        <f>SUM(J464:U464)</f>
        <v/>
      </c>
      <c r="W464" s="2" t="n">
        <v>16</v>
      </c>
      <c r="X464" s="2" t="n">
        <v>16</v>
      </c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>
        <f>IF(F464=1,V464*2,IF(F464=2,V464*F464*2,IF(F464&gt;2,F464*2*V464)))</f>
        <v/>
      </c>
      <c r="AW464" s="2">
        <f>SUM(W464:AU464)</f>
        <v/>
      </c>
    </row>
    <row r="465">
      <c r="A465" s="2" t="inlineStr">
        <is>
          <t>14-K-927</t>
        </is>
      </c>
      <c r="B465" s="3" t="inlineStr">
        <is>
          <t>OJC-A1-SC/LC-SM-24-PC/PC-DP</t>
        </is>
      </c>
      <c r="C465" s="2" t="inlineStr">
        <is>
          <t>적색</t>
        </is>
      </c>
      <c r="D465" s="2" t="inlineStr">
        <is>
          <t>a1-적</t>
        </is>
      </c>
      <c r="E465" s="2" t="inlineStr">
        <is>
          <t>2.0mm</t>
        </is>
      </c>
      <c r="F465" s="2" t="n">
        <v>2</v>
      </c>
      <c r="G465" s="2" t="n">
        <v>24</v>
      </c>
      <c r="H465" s="2" t="inlineStr">
        <is>
          <t>SC/PC</t>
        </is>
      </c>
      <c r="I465" s="2" t="inlineStr">
        <is>
          <t>LC/PC</t>
        </is>
      </c>
      <c r="J465" s="2" t="n"/>
      <c r="K465" s="2" t="n"/>
      <c r="L465" s="2" t="n"/>
      <c r="M465" s="2" t="n"/>
      <c r="N465" s="2" t="n">
        <v>8</v>
      </c>
      <c r="O465" s="2" t="n"/>
      <c r="P465" s="2" t="n"/>
      <c r="Q465" s="2" t="n"/>
      <c r="R465" s="2" t="n"/>
      <c r="S465" s="2" t="n"/>
      <c r="T465" s="2" t="n"/>
      <c r="U465" s="2" t="n"/>
      <c r="V465" s="2">
        <f>SUM(J465:U465)</f>
        <v/>
      </c>
      <c r="W465" s="2" t="n"/>
      <c r="X465" s="2" t="n">
        <v>16</v>
      </c>
      <c r="Y465" s="2" t="n"/>
      <c r="Z465" s="2" t="n"/>
      <c r="AA465" s="2" t="n">
        <v>16</v>
      </c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>
        <f>IF(F465=1,V465*2,IF(F465=2,V465*F465*2,IF(F465&gt;2,F465*2*V465)))</f>
        <v/>
      </c>
      <c r="AW465" s="2">
        <f>SUM(W465:AU465)</f>
        <v/>
      </c>
    </row>
    <row r="466">
      <c r="A466" s="2" t="inlineStr">
        <is>
          <t>14-K-927</t>
        </is>
      </c>
      <c r="B466" s="3" t="inlineStr">
        <is>
          <t>OJC-A1-SC/LC-SM-24-PC/PC-DP</t>
        </is>
      </c>
      <c r="C466" s="2" t="inlineStr">
        <is>
          <t>자색</t>
        </is>
      </c>
      <c r="D466" s="2" t="inlineStr">
        <is>
          <t>a1-자</t>
        </is>
      </c>
      <c r="E466" s="2" t="inlineStr">
        <is>
          <t>2.0mm</t>
        </is>
      </c>
      <c r="F466" s="2" t="n">
        <v>2</v>
      </c>
      <c r="G466" s="2" t="n">
        <v>24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>
        <v>3</v>
      </c>
      <c r="O466" s="2" t="n"/>
      <c r="P466" s="2" t="n"/>
      <c r="Q466" s="2" t="n"/>
      <c r="R466" s="2" t="n"/>
      <c r="S466" s="2" t="n"/>
      <c r="T466" s="2" t="n"/>
      <c r="U466" s="2" t="n"/>
      <c r="V466" s="2">
        <f>SUM(J466:U466)</f>
        <v/>
      </c>
      <c r="W466" s="2" t="n"/>
      <c r="X466" s="2" t="n">
        <v>6</v>
      </c>
      <c r="Y466" s="2" t="n"/>
      <c r="Z466" s="2" t="n"/>
      <c r="AA466" s="2" t="n">
        <v>6</v>
      </c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>
        <f>IF(F466=1,V466*2,IF(F466=2,V466*F466*2,IF(F466&gt;2,F466*2*V466)))</f>
        <v/>
      </c>
      <c r="AW466" s="2">
        <f>SUM(W466:AU466)</f>
        <v/>
      </c>
    </row>
    <row r="467">
      <c r="A467" s="2" t="inlineStr">
        <is>
          <t>14-K-928</t>
        </is>
      </c>
      <c r="B467" s="3" t="inlineStr">
        <is>
          <t>OJC-A1-LC/LC-SM-3-PC/PC-DP</t>
        </is>
      </c>
      <c r="C467" s="2" t="inlineStr">
        <is>
          <t>K9089173_청색</t>
        </is>
      </c>
      <c r="D467" s="2" t="inlineStr">
        <is>
          <t>a1-청</t>
        </is>
      </c>
      <c r="E467" s="2" t="inlineStr">
        <is>
          <t>2.0mm</t>
        </is>
      </c>
      <c r="F467" s="2" t="n">
        <v>2</v>
      </c>
      <c r="G467" s="2" t="n">
        <v>3</v>
      </c>
      <c r="H467" s="2" t="inlineStr">
        <is>
          <t>LC/PC</t>
        </is>
      </c>
      <c r="I467" s="2" t="inlineStr">
        <is>
          <t>LC/PC</t>
        </is>
      </c>
      <c r="J467" s="2" t="n"/>
      <c r="K467" s="2" t="n">
        <v>20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>
        <v>60</v>
      </c>
      <c r="V467" s="2">
        <f>SUM(J467:U467)</f>
        <v/>
      </c>
      <c r="W467" s="2" t="n">
        <v>160</v>
      </c>
      <c r="X467" s="2" t="n">
        <v>160</v>
      </c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>
        <f>IF(F467=1,V467*2,IF(F467=2,V467*F467*2,IF(F467&gt;2,F467*2*V467)))</f>
        <v/>
      </c>
      <c r="AW467" s="2">
        <f>SUM(W467:AU467)</f>
        <v/>
      </c>
    </row>
    <row r="468">
      <c r="A468" s="2" t="inlineStr">
        <is>
          <t>14-K-933</t>
        </is>
      </c>
      <c r="B468" s="3" t="inlineStr">
        <is>
          <t>OJC-A1-SC/LC-SM-27-PC/PC-DP</t>
        </is>
      </c>
      <c r="C468" s="2" t="inlineStr">
        <is>
          <t>적색</t>
        </is>
      </c>
      <c r="D468" s="2" t="inlineStr">
        <is>
          <t>a1-적</t>
        </is>
      </c>
      <c r="E468" s="2" t="inlineStr">
        <is>
          <t>2.0mm</t>
        </is>
      </c>
      <c r="F468" s="2" t="n">
        <v>2</v>
      </c>
      <c r="G468" s="2" t="n">
        <v>27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>
        <v>3</v>
      </c>
      <c r="O468" s="2" t="n"/>
      <c r="P468" s="2" t="n"/>
      <c r="Q468" s="2" t="n"/>
      <c r="R468" s="2" t="n"/>
      <c r="S468" s="2" t="n"/>
      <c r="T468" s="2" t="n"/>
      <c r="U468" s="2" t="n"/>
      <c r="V468" s="2">
        <f>SUM(J468:U468)</f>
        <v/>
      </c>
      <c r="W468" s="2" t="n"/>
      <c r="X468" s="2" t="n">
        <v>6</v>
      </c>
      <c r="Y468" s="2" t="n"/>
      <c r="Z468" s="2" t="n"/>
      <c r="AA468" s="2" t="n">
        <v>6</v>
      </c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>
        <f>IF(F468=1,V468*2,IF(F468=2,V468*F468*2,IF(F468&gt;2,F468*2*V468)))</f>
        <v/>
      </c>
      <c r="AW468" s="2">
        <f>SUM(W468:AU468)</f>
        <v/>
      </c>
    </row>
    <row r="469">
      <c r="A469" s="2" t="inlineStr">
        <is>
          <t>14-K-936</t>
        </is>
      </c>
      <c r="B469" s="3" t="inlineStr">
        <is>
          <t>OJC-A1-SC/LC-SM-80-PC/PC-DP</t>
        </is>
      </c>
      <c r="C469" s="2" t="inlineStr"/>
      <c r="D469" s="2" t="inlineStr">
        <is>
          <t>a1</t>
        </is>
      </c>
      <c r="E469" s="2" t="inlineStr">
        <is>
          <t>2.0mm</t>
        </is>
      </c>
      <c r="F469" s="2" t="n">
        <v>2</v>
      </c>
      <c r="G469" s="2" t="n">
        <v>80</v>
      </c>
      <c r="H469" s="2" t="inlineStr">
        <is>
          <t>SC/PC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>
        <v>3</v>
      </c>
      <c r="R469" s="2" t="n">
        <v>3</v>
      </c>
      <c r="S469" s="2" t="n"/>
      <c r="T469" s="2" t="n"/>
      <c r="U469" s="2" t="n"/>
      <c r="V469" s="2">
        <f>SUM(J469:U469)</f>
        <v/>
      </c>
      <c r="W469" s="2" t="n"/>
      <c r="X469" s="2" t="n">
        <v>12</v>
      </c>
      <c r="Y469" s="2" t="n"/>
      <c r="Z469" s="2" t="n"/>
      <c r="AA469" s="2" t="n">
        <v>12</v>
      </c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>
        <f>IF(F469=1,V469*2,IF(F469=2,V469*F469*2,IF(F469&gt;2,F469*2*V469)))</f>
        <v/>
      </c>
      <c r="AW469" s="2">
        <f>SUM(W469:AU469)</f>
        <v/>
      </c>
    </row>
    <row r="470">
      <c r="A470" s="2" t="inlineStr">
        <is>
          <t>14-K-939</t>
        </is>
      </c>
      <c r="B470" s="3" t="inlineStr">
        <is>
          <t>OJC-C2-SC/LC-SM-20-PC/PC-16C</t>
        </is>
      </c>
      <c r="C470" s="2" t="inlineStr">
        <is>
          <t>K9094341</t>
        </is>
      </c>
      <c r="D470" s="2" t="inlineStr">
        <is>
          <t>a1-16c</t>
        </is>
      </c>
      <c r="E470" s="2" t="inlineStr">
        <is>
          <t>2.0mm</t>
        </is>
      </c>
      <c r="F470" s="2" t="n">
        <v>16</v>
      </c>
      <c r="G470" s="2" t="n">
        <v>20</v>
      </c>
      <c r="H470" s="2" t="inlineStr">
        <is>
          <t>SC/PC</t>
        </is>
      </c>
      <c r="I470" s="2" t="inlineStr">
        <is>
          <t>LC/PC</t>
        </is>
      </c>
      <c r="J470" s="2" t="n"/>
      <c r="K470" s="2" t="n"/>
      <c r="L470" s="2" t="n">
        <v>10</v>
      </c>
      <c r="M470" s="2" t="n"/>
      <c r="N470" s="2" t="n"/>
      <c r="O470" s="2" t="n">
        <v>3</v>
      </c>
      <c r="P470" s="2" t="n"/>
      <c r="Q470" s="2" t="n"/>
      <c r="R470" s="2" t="n"/>
      <c r="S470" s="2" t="n"/>
      <c r="T470" s="2" t="n"/>
      <c r="U470" s="2" t="n"/>
      <c r="V470" s="2">
        <f>SUM(J470:U470)</f>
        <v/>
      </c>
      <c r="W470" s="2" t="n">
        <v>208</v>
      </c>
      <c r="X470" s="2" t="n"/>
      <c r="Y470" s="2" t="n"/>
      <c r="Z470" s="2" t="n"/>
      <c r="AA470" s="2" t="n">
        <v>208</v>
      </c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>
        <f>IF(F470=1,V470*2,IF(F470=2,V470*F470*2,IF(F470&gt;2,F470*2*V470)))</f>
        <v/>
      </c>
      <c r="AW470" s="2">
        <f>SUM(W470:AU470)</f>
        <v/>
      </c>
    </row>
    <row r="471">
      <c r="A471" s="2" t="inlineStr">
        <is>
          <t>14-K-940</t>
        </is>
      </c>
      <c r="B471" s="3" t="inlineStr">
        <is>
          <t>OJC-A1-SC/LC-SM-3-PC/PC-DP</t>
        </is>
      </c>
      <c r="C471" s="2" t="inlineStr">
        <is>
          <t>청색</t>
        </is>
      </c>
      <c r="D471" s="2" t="inlineStr">
        <is>
          <t>a1-청</t>
        </is>
      </c>
      <c r="E471" s="2" t="inlineStr">
        <is>
          <t>2.0mm</t>
        </is>
      </c>
      <c r="F471" s="2" t="n">
        <v>2</v>
      </c>
      <c r="G471" s="2" t="n">
        <v>3</v>
      </c>
      <c r="H471" s="2" t="inlineStr">
        <is>
          <t>SC/PC</t>
        </is>
      </c>
      <c r="I471" s="2" t="inlineStr">
        <is>
          <t>LC/PC</t>
        </is>
      </c>
      <c r="J471" s="2" t="n"/>
      <c r="K471" s="2" t="n">
        <v>60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>
        <f>SUM(J471:U471)</f>
        <v/>
      </c>
      <c r="W471" s="2" t="n"/>
      <c r="X471" s="2" t="n">
        <v>120</v>
      </c>
      <c r="Y471" s="2" t="n"/>
      <c r="Z471" s="2" t="n"/>
      <c r="AA471" s="2" t="n">
        <v>120</v>
      </c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>
        <f>IF(F471=1,V471*2,IF(F471=2,V471*F471*2,IF(F471&gt;2,F471*2*V471)))</f>
        <v/>
      </c>
      <c r="AW471" s="2">
        <f>SUM(W471:AU471)</f>
        <v/>
      </c>
    </row>
    <row r="472">
      <c r="A472" s="2" t="inlineStr">
        <is>
          <t>14-K-941</t>
        </is>
      </c>
      <c r="B472" s="3" t="inlineStr">
        <is>
          <t>OJC-C2-SC/LC-SM-40-PC/PC-20C</t>
        </is>
      </c>
      <c r="C472" s="2" t="inlineStr">
        <is>
          <t>K9094344</t>
        </is>
      </c>
      <c r="D472" s="2" t="inlineStr">
        <is>
          <t>a1-20c</t>
        </is>
      </c>
      <c r="E472" s="2" t="inlineStr">
        <is>
          <t>2.0mm</t>
        </is>
      </c>
      <c r="F472" s="2" t="n">
        <v>20</v>
      </c>
      <c r="G472" s="2" t="n">
        <v>40</v>
      </c>
      <c r="H472" s="2" t="inlineStr">
        <is>
          <t>SC/PC</t>
        </is>
      </c>
      <c r="I472" s="2" t="inlineStr">
        <is>
          <t>LC/PC</t>
        </is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>
        <v>2</v>
      </c>
      <c r="S472" s="2" t="n"/>
      <c r="T472" s="2" t="n"/>
      <c r="U472" s="2" t="n"/>
      <c r="V472" s="2">
        <f>SUM(J472:U472)</f>
        <v/>
      </c>
      <c r="W472" s="2" t="n">
        <v>40</v>
      </c>
      <c r="X472" s="2" t="n"/>
      <c r="Y472" s="2" t="n"/>
      <c r="Z472" s="2" t="n"/>
      <c r="AA472" s="2" t="n">
        <v>40</v>
      </c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>
        <f>IF(F472=1,V472*2,IF(F472=2,V472*F472*2,IF(F472&gt;2,F472*2*V472)))</f>
        <v/>
      </c>
      <c r="AW472" s="2">
        <f>SUM(W472:AU472)</f>
        <v/>
      </c>
    </row>
    <row r="473">
      <c r="A473" s="2" t="inlineStr">
        <is>
          <t>14-K-A101</t>
        </is>
      </c>
      <c r="B473" s="3" t="inlineStr">
        <is>
          <t>OJC-A1-LC/LC-SM-1-PC/PC-DP</t>
        </is>
      </c>
      <c r="C473" s="2" t="inlineStr">
        <is>
          <t>K9089171_청색</t>
        </is>
      </c>
      <c r="D473" s="2" t="inlineStr">
        <is>
          <t>a1-청</t>
        </is>
      </c>
      <c r="E473" s="2" t="inlineStr">
        <is>
          <t>2.0mm</t>
        </is>
      </c>
      <c r="F473" s="2" t="n">
        <v>2</v>
      </c>
      <c r="G473" s="2" t="n">
        <v>1</v>
      </c>
      <c r="H473" s="2" t="inlineStr">
        <is>
          <t>LC/PC</t>
        </is>
      </c>
      <c r="I473" s="2" t="inlineStr">
        <is>
          <t>LC/PC</t>
        </is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>
        <v>10</v>
      </c>
      <c r="V473" s="2">
        <f>SUM(J473:U473)</f>
        <v/>
      </c>
      <c r="W473" s="2" t="n">
        <v>20</v>
      </c>
      <c r="X473" s="2" t="n">
        <v>20</v>
      </c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>
        <f>IF(F473=1,V473*2,IF(F473=2,V473*F473*2,IF(F473&gt;2,F473*2*V473)))</f>
        <v/>
      </c>
      <c r="AW473" s="2">
        <f>SUM(W473:AU473)</f>
        <v/>
      </c>
    </row>
    <row r="474">
      <c r="A474" s="2" t="inlineStr">
        <is>
          <t>14-K-A102</t>
        </is>
      </c>
      <c r="B474" s="3" t="inlineStr">
        <is>
          <t>OJC-A1-SC/SC-SM-3-PC/PC-DP</t>
        </is>
      </c>
      <c r="C474" s="2" t="inlineStr">
        <is>
          <t>적색</t>
        </is>
      </c>
      <c r="D474" s="2" t="inlineStr">
        <is>
          <t>a1-적</t>
        </is>
      </c>
      <c r="E474" s="2" t="inlineStr">
        <is>
          <t>2.0mm</t>
        </is>
      </c>
      <c r="F474" s="2" t="n">
        <v>2</v>
      </c>
      <c r="G474" s="2" t="n">
        <v>3</v>
      </c>
      <c r="H474" s="2" t="inlineStr">
        <is>
          <t>SC/PC</t>
        </is>
      </c>
      <c r="I474" s="2" t="inlineStr">
        <is>
          <t>SC/PC</t>
        </is>
      </c>
      <c r="J474" s="2" t="n"/>
      <c r="K474" s="2" t="n">
        <v>10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>
        <f>SUM(J474:U474)</f>
        <v/>
      </c>
      <c r="W474" s="2" t="n"/>
      <c r="X474" s="2" t="n"/>
      <c r="Y474" s="2" t="n"/>
      <c r="Z474" s="2" t="n"/>
      <c r="AA474" s="2" t="n">
        <v>20</v>
      </c>
      <c r="AB474" s="2" t="n">
        <v>20</v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>
        <f>IF(F474=1,V474*2,IF(F474=2,V474*F474*2,IF(F474&gt;2,F474*2*V474)))</f>
        <v/>
      </c>
      <c r="AW474" s="2">
        <f>SUM(W474:AU474)</f>
        <v/>
      </c>
    </row>
    <row r="475">
      <c r="A475" s="2" t="inlineStr">
        <is>
          <t>14-K-A111</t>
        </is>
      </c>
      <c r="B475" s="3" t="inlineStr">
        <is>
          <t>OJC-C2-SC/LC-SM-25-PC/PC-16C</t>
        </is>
      </c>
      <c r="C475" s="2" t="inlineStr">
        <is>
          <t>K9094341</t>
        </is>
      </c>
      <c r="D475" s="2" t="inlineStr">
        <is>
          <t>a1-16c</t>
        </is>
      </c>
      <c r="E475" s="2" t="inlineStr">
        <is>
          <t>2.0mm</t>
        </is>
      </c>
      <c r="F475" s="2" t="n">
        <v>16</v>
      </c>
      <c r="G475" s="2" t="n">
        <v>25</v>
      </c>
      <c r="H475" s="2" t="inlineStr">
        <is>
          <t>SC/PC</t>
        </is>
      </c>
      <c r="I475" s="2" t="inlineStr">
        <is>
          <t>LC/PC</t>
        </is>
      </c>
      <c r="J475" s="2" t="n"/>
      <c r="K475" s="2" t="n"/>
      <c r="L475" s="2" t="n">
        <v>10</v>
      </c>
      <c r="M475" s="2" t="n"/>
      <c r="N475" s="2" t="n"/>
      <c r="O475" s="2" t="n">
        <v>3</v>
      </c>
      <c r="P475" s="2" t="n"/>
      <c r="Q475" s="2" t="n"/>
      <c r="R475" s="2" t="n"/>
      <c r="S475" s="2" t="n"/>
      <c r="T475" s="2" t="n"/>
      <c r="U475" s="2" t="n"/>
      <c r="V475" s="2">
        <f>SUM(J475:U475)</f>
        <v/>
      </c>
      <c r="W475" s="2" t="n">
        <v>208</v>
      </c>
      <c r="X475" s="2" t="n"/>
      <c r="Y475" s="2" t="n"/>
      <c r="Z475" s="2" t="n"/>
      <c r="AA475" s="2" t="n">
        <v>208</v>
      </c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>
        <f>IF(F475=1,V475*2,IF(F475=2,V475*F475*2,IF(F475&gt;2,F475*2*V475)))</f>
        <v/>
      </c>
      <c r="AW475" s="2">
        <f>SUM(W475:AU475)</f>
        <v/>
      </c>
    </row>
    <row r="476">
      <c r="A476" s="2" t="inlineStr">
        <is>
          <t>14-K-A124</t>
        </is>
      </c>
      <c r="B476" s="3" t="inlineStr">
        <is>
          <t>OJC-A1-LC/LC-SM-15-APC/APC-DP</t>
        </is>
      </c>
      <c r="C476" s="2" t="inlineStr"/>
      <c r="D476" s="2" t="inlineStr">
        <is>
          <t>a1</t>
        </is>
      </c>
      <c r="E476" s="2" t="inlineStr">
        <is>
          <t>2.0mm</t>
        </is>
      </c>
      <c r="F476" s="2" t="n">
        <v>2</v>
      </c>
      <c r="G476" s="2" t="n">
        <v>15</v>
      </c>
      <c r="H476" s="2" t="inlineStr">
        <is>
          <t>LC/APC</t>
        </is>
      </c>
      <c r="I476" s="2" t="inlineStr">
        <is>
          <t>LC/APC</t>
        </is>
      </c>
      <c r="J476" s="2" t="n"/>
      <c r="K476" s="2" t="n"/>
      <c r="L476" s="2" t="n"/>
      <c r="M476" s="2" t="n">
        <v>10</v>
      </c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>
        <f>SUM(J476:U476)</f>
        <v/>
      </c>
      <c r="W476" s="2" t="n"/>
      <c r="X476" s="2" t="n"/>
      <c r="Y476" s="2" t="n">
        <v>20</v>
      </c>
      <c r="Z476" s="2" t="n">
        <v>20</v>
      </c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>
        <f>IF(F476=1,V476*2,IF(F476=2,V476*F476*2,IF(F476&gt;2,F476*2*V476)))</f>
        <v/>
      </c>
      <c r="AW476" s="2">
        <f>SUM(W476:AU476)</f>
        <v/>
      </c>
    </row>
    <row r="477">
      <c r="A477" s="2" t="inlineStr">
        <is>
          <t>14-K-A138</t>
        </is>
      </c>
      <c r="B477" s="3" t="inlineStr">
        <is>
          <t>OJC-A1-SC/SC-SM-40-PC/PC-DP</t>
        </is>
      </c>
      <c r="C477" s="2" t="inlineStr">
        <is>
          <t>K9089154_청색</t>
        </is>
      </c>
      <c r="D477" s="2" t="inlineStr">
        <is>
          <t>a1-청</t>
        </is>
      </c>
      <c r="E477" s="2" t="inlineStr">
        <is>
          <t>2.0mm</t>
        </is>
      </c>
      <c r="F477" s="2" t="n">
        <v>2</v>
      </c>
      <c r="G477" s="2" t="n">
        <v>40</v>
      </c>
      <c r="H477" s="2" t="inlineStr">
        <is>
          <t>SC/PC</t>
        </is>
      </c>
      <c r="I477" s="2" t="inlineStr">
        <is>
          <t>SC/PC</t>
        </is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>
        <v>20</v>
      </c>
      <c r="T477" s="2" t="n"/>
      <c r="U477" s="2" t="n"/>
      <c r="V477" s="2">
        <f>SUM(J477:U477)</f>
        <v/>
      </c>
      <c r="W477" s="2" t="n"/>
      <c r="X477" s="2" t="n"/>
      <c r="Y477" s="2" t="n"/>
      <c r="Z477" s="2" t="n"/>
      <c r="AA477" s="2" t="n">
        <v>40</v>
      </c>
      <c r="AB477" s="2" t="n">
        <v>40</v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>
        <f>IF(F477=1,V477*2,IF(F477=2,V477*F477*2,IF(F477&gt;2,F477*2*V477)))</f>
        <v/>
      </c>
      <c r="AW477" s="2">
        <f>SUM(W477:AU477)</f>
        <v/>
      </c>
    </row>
    <row r="478">
      <c r="A478" s="2" t="inlineStr">
        <is>
          <t>14-K-A143</t>
        </is>
      </c>
      <c r="B478" s="3" t="inlineStr">
        <is>
          <t>OJC-A1-LC/LC-SM-15-PC/PC-DP</t>
        </is>
      </c>
      <c r="C478" s="2" t="inlineStr">
        <is>
          <t>K9089177_녹색</t>
        </is>
      </c>
      <c r="D478" s="2" t="inlineStr">
        <is>
          <t>a1-녹</t>
        </is>
      </c>
      <c r="E478" s="2" t="inlineStr">
        <is>
          <t>2.0mm</t>
        </is>
      </c>
      <c r="F478" s="2" t="n">
        <v>2</v>
      </c>
      <c r="G478" s="2" t="n">
        <v>15</v>
      </c>
      <c r="H478" s="2" t="inlineStr">
        <is>
          <t>LC/PC</t>
        </is>
      </c>
      <c r="I478" s="2" t="inlineStr">
        <is>
          <t>LC/PC</t>
        </is>
      </c>
      <c r="J478" s="2" t="n"/>
      <c r="K478" s="2" t="n"/>
      <c r="L478" s="2" t="n"/>
      <c r="M478" s="2" t="n">
        <v>5</v>
      </c>
      <c r="N478" s="2" t="n"/>
      <c r="O478" s="2" t="n">
        <v>34</v>
      </c>
      <c r="P478" s="2" t="n"/>
      <c r="Q478" s="2" t="n"/>
      <c r="R478" s="2" t="n"/>
      <c r="S478" s="2" t="n"/>
      <c r="T478" s="2" t="n">
        <v>3</v>
      </c>
      <c r="U478" s="2" t="n">
        <v>2</v>
      </c>
      <c r="V478" s="2">
        <f>SUM(J478:U478)</f>
        <v/>
      </c>
      <c r="W478" s="2" t="n">
        <v>88</v>
      </c>
      <c r="X478" s="2" t="n">
        <v>88</v>
      </c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>
        <f>IF(F478=1,V478*2,IF(F478=2,V478*F478*2,IF(F478&gt;2,F478*2*V478)))</f>
        <v/>
      </c>
      <c r="AW478" s="2">
        <f>SUM(W478:AU478)</f>
        <v/>
      </c>
    </row>
    <row r="479">
      <c r="A479" s="2" t="inlineStr">
        <is>
          <t>14-K-A144</t>
        </is>
      </c>
      <c r="B479" s="3" t="inlineStr">
        <is>
          <t>OJC-A1-SC/LC-SM-10-PC/PC-SP</t>
        </is>
      </c>
      <c r="C479" s="2" t="inlineStr">
        <is>
          <t>K9089033_녹색</t>
        </is>
      </c>
      <c r="D479" s="2" t="inlineStr">
        <is>
          <t>a1-녹</t>
        </is>
      </c>
      <c r="E479" s="2" t="inlineStr">
        <is>
          <t>2.0mm</t>
        </is>
      </c>
      <c r="F479" s="2" t="n">
        <v>1</v>
      </c>
      <c r="G479" s="2" t="n">
        <v>10</v>
      </c>
      <c r="H479" s="2" t="inlineStr">
        <is>
          <t>SC/PC</t>
        </is>
      </c>
      <c r="I479" s="2" t="inlineStr">
        <is>
          <t>LC/PC</t>
        </is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>
        <v>3</v>
      </c>
      <c r="T479" s="2" t="n"/>
      <c r="U479" s="2" t="n"/>
      <c r="V479" s="2">
        <f>SUM(J479:U479)</f>
        <v/>
      </c>
      <c r="W479" s="2" t="n">
        <v>3</v>
      </c>
      <c r="X479" s="2" t="n"/>
      <c r="Y479" s="2" t="n"/>
      <c r="Z479" s="2" t="n"/>
      <c r="AA479" s="2" t="n">
        <v>3</v>
      </c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>
        <f>IF(F479=1,V479*2,IF(F479=2,V479*F479*2,IF(F479&gt;2,F479*2*V479)))</f>
        <v/>
      </c>
      <c r="AW479" s="2">
        <f>SUM(W479:AU479)</f>
        <v/>
      </c>
    </row>
    <row r="480">
      <c r="A480" s="2" t="inlineStr">
        <is>
          <t>14-K-A145</t>
        </is>
      </c>
      <c r="B480" s="3" t="inlineStr">
        <is>
          <t>OJC-A1-SC/LC-SM-15-PC/PC-SP</t>
        </is>
      </c>
      <c r="C480" s="2" t="inlineStr">
        <is>
          <t>K9089034_녹색</t>
        </is>
      </c>
      <c r="D480" s="2" t="inlineStr">
        <is>
          <t>a1-녹</t>
        </is>
      </c>
      <c r="E480" s="2" t="inlineStr">
        <is>
          <t>2.0mm</t>
        </is>
      </c>
      <c r="F480" s="2" t="n">
        <v>1</v>
      </c>
      <c r="G480" s="2" t="n">
        <v>15</v>
      </c>
      <c r="H480" s="2" t="inlineStr">
        <is>
          <t>SC/PC</t>
        </is>
      </c>
      <c r="I480" s="2" t="inlineStr">
        <is>
          <t>LC/PC</t>
        </is>
      </c>
      <c r="J480" s="2" t="n"/>
      <c r="K480" s="2" t="n"/>
      <c r="L480" s="2" t="n"/>
      <c r="M480" s="2" t="n"/>
      <c r="N480" s="2" t="n"/>
      <c r="O480" s="2" t="n">
        <v>6</v>
      </c>
      <c r="P480" s="2" t="n"/>
      <c r="Q480" s="2" t="n">
        <v>6</v>
      </c>
      <c r="R480" s="2" t="n"/>
      <c r="S480" s="2" t="n">
        <v>3</v>
      </c>
      <c r="T480" s="2" t="n"/>
      <c r="U480" s="2" t="n"/>
      <c r="V480" s="2">
        <f>SUM(J480:U480)</f>
        <v/>
      </c>
      <c r="W480" s="2" t="n">
        <v>15</v>
      </c>
      <c r="X480" s="2" t="n"/>
      <c r="Y480" s="2" t="n"/>
      <c r="Z480" s="2" t="n"/>
      <c r="AA480" s="2" t="n">
        <v>15</v>
      </c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>
        <f>IF(F480=1,V480*2,IF(F480=2,V480*F480*2,IF(F480&gt;2,F480*2*V480)))</f>
        <v/>
      </c>
      <c r="AW480" s="2">
        <f>SUM(W480:AU480)</f>
        <v/>
      </c>
    </row>
    <row r="481">
      <c r="A481" s="2" t="inlineStr">
        <is>
          <t>14-K-A146</t>
        </is>
      </c>
      <c r="B481" s="3" t="inlineStr">
        <is>
          <t>OJC-A1-SC/LC-SM-20-PC/PC-SP</t>
        </is>
      </c>
      <c r="C481" s="2" t="inlineStr">
        <is>
          <t>K9089035_녹색</t>
        </is>
      </c>
      <c r="D481" s="2" t="inlineStr">
        <is>
          <t>a1-녹</t>
        </is>
      </c>
      <c r="E481" s="2" t="inlineStr">
        <is>
          <t>2.0mm</t>
        </is>
      </c>
      <c r="F481" s="2" t="n">
        <v>1</v>
      </c>
      <c r="G481" s="2" t="n">
        <v>20</v>
      </c>
      <c r="H481" s="2" t="inlineStr">
        <is>
          <t>SC/PC</t>
        </is>
      </c>
      <c r="I481" s="2" t="inlineStr">
        <is>
          <t>LC/PC</t>
        </is>
      </c>
      <c r="J481" s="2" t="n"/>
      <c r="K481" s="2" t="n"/>
      <c r="L481" s="2" t="n"/>
      <c r="M481" s="2" t="n"/>
      <c r="N481" s="2" t="n"/>
      <c r="O481" s="2" t="n">
        <v>49</v>
      </c>
      <c r="P481" s="2" t="n"/>
      <c r="Q481" s="2" t="n"/>
      <c r="R481" s="2" t="n"/>
      <c r="S481" s="2" t="n">
        <v>17</v>
      </c>
      <c r="T481" s="2" t="n">
        <v>9</v>
      </c>
      <c r="U481" s="2" t="n"/>
      <c r="V481" s="2">
        <f>SUM(J481:U481)</f>
        <v/>
      </c>
      <c r="W481" s="2" t="n">
        <v>75</v>
      </c>
      <c r="X481" s="2" t="n"/>
      <c r="Y481" s="2" t="n"/>
      <c r="Z481" s="2" t="n"/>
      <c r="AA481" s="2" t="n">
        <v>75</v>
      </c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>
        <f>IF(F481=1,V481*2,IF(F481=2,V481*F481*2,IF(F481&gt;2,F481*2*V481)))</f>
        <v/>
      </c>
      <c r="AW481" s="2">
        <f>SUM(W481:AU481)</f>
        <v/>
      </c>
    </row>
    <row r="482">
      <c r="A482" s="2" t="inlineStr">
        <is>
          <t>14-K-A147</t>
        </is>
      </c>
      <c r="B482" s="3" t="inlineStr">
        <is>
          <t>OJC-A1-SC/LC-SM-3-PC/PC-SP</t>
        </is>
      </c>
      <c r="C482" s="2" t="inlineStr">
        <is>
          <t>K9089030_녹색</t>
        </is>
      </c>
      <c r="D482" s="2" t="inlineStr">
        <is>
          <t>a1-녹</t>
        </is>
      </c>
      <c r="E482" s="2" t="inlineStr">
        <is>
          <t>2.0mm</t>
        </is>
      </c>
      <c r="F482" s="2" t="n">
        <v>1</v>
      </c>
      <c r="G482" s="2" t="n">
        <v>3</v>
      </c>
      <c r="H482" s="2" t="inlineStr">
        <is>
          <t>SC/PC</t>
        </is>
      </c>
      <c r="I482" s="2" t="inlineStr">
        <is>
          <t>LC/PC</t>
        </is>
      </c>
      <c r="J482" s="2" t="n"/>
      <c r="K482" s="2" t="n"/>
      <c r="L482" s="2" t="n"/>
      <c r="M482" s="2" t="n"/>
      <c r="N482" s="2" t="n"/>
      <c r="O482" s="2" t="n">
        <v>62</v>
      </c>
      <c r="P482" s="2" t="n"/>
      <c r="Q482" s="2" t="n">
        <v>50</v>
      </c>
      <c r="R482" s="2" t="n"/>
      <c r="S482" s="2" t="n">
        <v>15</v>
      </c>
      <c r="T482" s="2" t="n"/>
      <c r="U482" s="2" t="n"/>
      <c r="V482" s="2">
        <f>SUM(J482:U482)</f>
        <v/>
      </c>
      <c r="W482" s="2" t="n">
        <v>127</v>
      </c>
      <c r="X482" s="2" t="n"/>
      <c r="Y482" s="2" t="n"/>
      <c r="Z482" s="2" t="n"/>
      <c r="AA482" s="2" t="n">
        <v>127</v>
      </c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>
        <f>IF(F482=1,V482*2,IF(F482=2,V482*F482*2,IF(F482&gt;2,F482*2*V482)))</f>
        <v/>
      </c>
      <c r="AW482" s="2">
        <f>SUM(W482:AU482)</f>
        <v/>
      </c>
    </row>
    <row r="483">
      <c r="A483" s="2" t="inlineStr">
        <is>
          <t>14-K-A163</t>
        </is>
      </c>
      <c r="B483" s="3" t="inlineStr">
        <is>
          <t>OJC-A1-SC/LC-SM-30-PC/PC-SP</t>
        </is>
      </c>
      <c r="C483" s="2" t="inlineStr">
        <is>
          <t>K9089037_녹색</t>
        </is>
      </c>
      <c r="D483" s="2" t="inlineStr">
        <is>
          <t>a1-녹</t>
        </is>
      </c>
      <c r="E483" s="2" t="inlineStr">
        <is>
          <t>2.0mm</t>
        </is>
      </c>
      <c r="F483" s="2" t="n">
        <v>1</v>
      </c>
      <c r="G483" s="2" t="n">
        <v>30</v>
      </c>
      <c r="H483" s="2" t="inlineStr">
        <is>
          <t>SC/PC</t>
        </is>
      </c>
      <c r="I483" s="2" t="inlineStr">
        <is>
          <t>LC/PC</t>
        </is>
      </c>
      <c r="J483" s="2" t="n"/>
      <c r="K483" s="2" t="n"/>
      <c r="L483" s="2" t="n"/>
      <c r="M483" s="2" t="n"/>
      <c r="N483" s="2" t="n"/>
      <c r="O483" s="2" t="n">
        <v>6</v>
      </c>
      <c r="P483" s="2" t="n"/>
      <c r="Q483" s="2" t="n"/>
      <c r="R483" s="2" t="n"/>
      <c r="S483" s="2" t="n"/>
      <c r="T483" s="2" t="n"/>
      <c r="U483" s="2" t="n"/>
      <c r="V483" s="2">
        <f>SUM(J483:U483)</f>
        <v/>
      </c>
      <c r="W483" s="2" t="n">
        <v>6</v>
      </c>
      <c r="X483" s="2" t="n"/>
      <c r="Y483" s="2" t="n"/>
      <c r="Z483" s="2" t="n"/>
      <c r="AA483" s="2" t="n">
        <v>6</v>
      </c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>
        <f>IF(F483=1,V483*2,IF(F483=2,V483*F483*2,IF(F483&gt;2,F483*2*V483)))</f>
        <v/>
      </c>
      <c r="AW483" s="2">
        <f>SUM(W483:AU483)</f>
        <v/>
      </c>
    </row>
    <row r="484">
      <c r="A484" s="2" t="inlineStr">
        <is>
          <t>14-K-A174</t>
        </is>
      </c>
      <c r="B484" s="3" t="inlineStr">
        <is>
          <t>OJC-A1-LC/LC-SM-2-PC/PC-DP</t>
        </is>
      </c>
      <c r="C484" s="2" t="inlineStr">
        <is>
          <t>청색 케이블</t>
        </is>
      </c>
      <c r="D484" s="2" t="inlineStr">
        <is>
          <t>a1-청</t>
        </is>
      </c>
      <c r="E484" s="2" t="inlineStr">
        <is>
          <t>2.0mm</t>
        </is>
      </c>
      <c r="F484" s="2" t="n">
        <v>2</v>
      </c>
      <c r="G484" s="2" t="n">
        <v>2</v>
      </c>
      <c r="H484" s="2" t="inlineStr">
        <is>
          <t>LC/PC</t>
        </is>
      </c>
      <c r="I484" s="2" t="inlineStr">
        <is>
          <t>LC/PC</t>
        </is>
      </c>
      <c r="J484" s="2" t="n"/>
      <c r="K484" s="2" t="n">
        <v>20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>
        <v>60</v>
      </c>
      <c r="V484" s="2">
        <f>SUM(J484:U484)</f>
        <v/>
      </c>
      <c r="W484" s="2" t="n">
        <v>160</v>
      </c>
      <c r="X484" s="2" t="n">
        <v>160</v>
      </c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>
        <f>IF(F484=1,V484*2,IF(F484=2,V484*F484*2,IF(F484&gt;2,F484*2*V484)))</f>
        <v/>
      </c>
      <c r="AW484" s="2">
        <f>SUM(W484:AU484)</f>
        <v/>
      </c>
    </row>
    <row r="485">
      <c r="A485" s="2" t="inlineStr">
        <is>
          <t>14-K-A185</t>
        </is>
      </c>
      <c r="B485" s="3" t="inlineStr">
        <is>
          <t>OJC-A1-LC/LC-SM-28-PC/PC-DP</t>
        </is>
      </c>
      <c r="C485" s="2" t="inlineStr"/>
      <c r="D485" s="2" t="inlineStr">
        <is>
          <t>a1</t>
        </is>
      </c>
      <c r="E485" s="2" t="inlineStr">
        <is>
          <t>2.0mm</t>
        </is>
      </c>
      <c r="F485" s="2" t="n">
        <v>2</v>
      </c>
      <c r="G485" s="2" t="n">
        <v>28</v>
      </c>
      <c r="H485" s="2" t="inlineStr">
        <is>
          <t>LC/PC</t>
        </is>
      </c>
      <c r="I485" s="2" t="inlineStr">
        <is>
          <t>LC/PC</t>
        </is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>
        <v>16</v>
      </c>
      <c r="S485" s="2" t="n"/>
      <c r="T485" s="2" t="n"/>
      <c r="U485" s="2" t="n"/>
      <c r="V485" s="2">
        <f>SUM(J485:U485)</f>
        <v/>
      </c>
      <c r="W485" s="2" t="n">
        <v>32</v>
      </c>
      <c r="X485" s="2" t="n">
        <v>32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>
        <f>IF(F485=1,V485*2,IF(F485=2,V485*F485*2,IF(F485&gt;2,F485*2*V485)))</f>
        <v/>
      </c>
      <c r="AW485" s="2">
        <f>SUM(W485:AU485)</f>
        <v/>
      </c>
    </row>
    <row r="486">
      <c r="A486" s="2" t="inlineStr">
        <is>
          <t>14-K-A185</t>
        </is>
      </c>
      <c r="B486" s="3" t="inlineStr">
        <is>
          <t>OJC-A1-LC/LC-SM-28-PC/PC-DP</t>
        </is>
      </c>
      <c r="C486" s="2" t="inlineStr">
        <is>
          <t>자색</t>
        </is>
      </c>
      <c r="D486" s="2" t="inlineStr">
        <is>
          <t>a1-자</t>
        </is>
      </c>
      <c r="E486" s="2" t="inlineStr">
        <is>
          <t>2.0mm</t>
        </is>
      </c>
      <c r="F486" s="2" t="n">
        <v>2</v>
      </c>
      <c r="G486" s="2" t="n">
        <v>28</v>
      </c>
      <c r="H486" s="2" t="inlineStr">
        <is>
          <t>LC/PC</t>
        </is>
      </c>
      <c r="I486" s="2" t="inlineStr">
        <is>
          <t>LC/PC</t>
        </is>
      </c>
      <c r="J486" s="2" t="n"/>
      <c r="K486" s="2" t="n"/>
      <c r="L486" s="2" t="n"/>
      <c r="M486" s="2" t="n"/>
      <c r="N486" s="2" t="n">
        <v>1</v>
      </c>
      <c r="O486" s="2" t="n"/>
      <c r="P486" s="2" t="n"/>
      <c r="Q486" s="2" t="n"/>
      <c r="R486" s="2" t="n"/>
      <c r="S486" s="2" t="n"/>
      <c r="T486" s="2" t="n"/>
      <c r="U486" s="2" t="n"/>
      <c r="V486" s="2">
        <f>SUM(J486:U486)</f>
        <v/>
      </c>
      <c r="W486" s="2" t="n">
        <v>2</v>
      </c>
      <c r="X486" s="2" t="n">
        <v>2</v>
      </c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>
        <f>IF(F486=1,V486*2,IF(F486=2,V486*F486*2,IF(F486&gt;2,F486*2*V486)))</f>
        <v/>
      </c>
      <c r="AW486" s="2">
        <f>SUM(W486:AU486)</f>
        <v/>
      </c>
    </row>
    <row r="487">
      <c r="A487" s="2" t="inlineStr">
        <is>
          <t>14-K-A187</t>
        </is>
      </c>
      <c r="B487" s="3" t="inlineStr">
        <is>
          <t>OJC-A1-SC/LC-SM-5-PC/PC-SP</t>
        </is>
      </c>
      <c r="C487" s="2" t="inlineStr">
        <is>
          <t>K9089032_녹색</t>
        </is>
      </c>
      <c r="D487" s="2" t="inlineStr">
        <is>
          <t>a1-녹</t>
        </is>
      </c>
      <c r="E487" s="2" t="inlineStr">
        <is>
          <t>2.0mm</t>
        </is>
      </c>
      <c r="F487" s="2" t="n">
        <v>1</v>
      </c>
      <c r="G487" s="2" t="n">
        <v>5</v>
      </c>
      <c r="H487" s="2" t="inlineStr">
        <is>
          <t>SC/PC</t>
        </is>
      </c>
      <c r="I487" s="2" t="inlineStr">
        <is>
          <t>LC/PC</t>
        </is>
      </c>
      <c r="J487" s="2" t="n"/>
      <c r="K487" s="2" t="n"/>
      <c r="L487" s="2" t="n"/>
      <c r="M487" s="2" t="n"/>
      <c r="N487" s="2" t="n"/>
      <c r="O487" s="2" t="n">
        <v>3</v>
      </c>
      <c r="P487" s="2" t="n"/>
      <c r="Q487" s="2" t="n">
        <v>6</v>
      </c>
      <c r="R487" s="2" t="n"/>
      <c r="S487" s="2" t="n"/>
      <c r="T487" s="2" t="n"/>
      <c r="U487" s="2" t="n"/>
      <c r="V487" s="2">
        <f>SUM(J487:U487)</f>
        <v/>
      </c>
      <c r="W487" s="2" t="n">
        <v>9</v>
      </c>
      <c r="X487" s="2" t="n"/>
      <c r="Y487" s="2" t="n"/>
      <c r="Z487" s="2" t="n"/>
      <c r="AA487" s="2" t="n">
        <v>9</v>
      </c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>
        <f>IF(F487=1,V487*2,IF(F487=2,V487*F487*2,IF(F487&gt;2,F487*2*V487)))</f>
        <v/>
      </c>
      <c r="AW487" s="2">
        <f>SUM(W487:AU487)</f>
        <v/>
      </c>
    </row>
    <row r="488">
      <c r="A488" s="2" t="inlineStr">
        <is>
          <t>14-K-A188</t>
        </is>
      </c>
      <c r="B488" s="3" t="inlineStr">
        <is>
          <t>OJC-A1-SC/SC-SM-40-APC/APC-SP</t>
        </is>
      </c>
      <c r="C488" s="2" t="inlineStr"/>
      <c r="D488" s="2" t="inlineStr">
        <is>
          <t>a1</t>
        </is>
      </c>
      <c r="E488" s="2" t="inlineStr">
        <is>
          <t>2.0mm</t>
        </is>
      </c>
      <c r="F488" s="2" t="n">
        <v>1</v>
      </c>
      <c r="G488" s="2" t="n">
        <v>40</v>
      </c>
      <c r="H488" s="2" t="inlineStr">
        <is>
          <t>SC/APC</t>
        </is>
      </c>
      <c r="I488" s="2" t="inlineStr">
        <is>
          <t>SC/APC</t>
        </is>
      </c>
      <c r="J488" s="2" t="n"/>
      <c r="K488" s="2" t="n"/>
      <c r="L488" s="2" t="n"/>
      <c r="M488" s="2" t="n">
        <v>10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>
        <f>SUM(J488:U488)</f>
        <v/>
      </c>
      <c r="W488" s="2" t="n"/>
      <c r="X488" s="2" t="n"/>
      <c r="Y488" s="2" t="n"/>
      <c r="Z488" s="2" t="n"/>
      <c r="AA488" s="2" t="n"/>
      <c r="AB488" s="2" t="n"/>
      <c r="AC488" s="2" t="n">
        <v>20</v>
      </c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>
        <f>IF(F488=1,V488*2,IF(F488=2,V488*F488*2,IF(F488&gt;2,F488*2*V488)))</f>
        <v/>
      </c>
      <c r="AW488" s="2">
        <f>SUM(W488:AU488)</f>
        <v/>
      </c>
    </row>
    <row r="489">
      <c r="A489" s="2" t="inlineStr">
        <is>
          <t>14-K-A194</t>
        </is>
      </c>
      <c r="B489" s="3" t="inlineStr">
        <is>
          <t>OJC-A1-SC/LC-SM-1-APC/PC-DP</t>
        </is>
      </c>
      <c r="C489" s="2" t="inlineStr">
        <is>
          <t>K9089240</t>
        </is>
      </c>
      <c r="D489" s="2" t="inlineStr">
        <is>
          <t>a1</t>
        </is>
      </c>
      <c r="E489" s="2" t="inlineStr">
        <is>
          <t>2.0mm</t>
        </is>
      </c>
      <c r="F489" s="2" t="n">
        <v>2</v>
      </c>
      <c r="G489" s="2" t="n">
        <v>1</v>
      </c>
      <c r="H489" s="2" t="inlineStr">
        <is>
          <t>SC/APC</t>
        </is>
      </c>
      <c r="I489" s="2" t="inlineStr">
        <is>
          <t>LC/PC</t>
        </is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>
        <v>680</v>
      </c>
      <c r="S489" s="2" t="n"/>
      <c r="T489" s="2" t="n"/>
      <c r="U489" s="2" t="n"/>
      <c r="V489" s="2">
        <f>SUM(J489:U489)</f>
        <v/>
      </c>
      <c r="W489" s="2" t="n"/>
      <c r="X489" s="2" t="n">
        <v>1360</v>
      </c>
      <c r="Y489" s="2" t="n"/>
      <c r="Z489" s="2" t="n"/>
      <c r="AA489" s="2" t="n"/>
      <c r="AB489" s="2" t="n"/>
      <c r="AC489" s="2" t="n">
        <v>1360</v>
      </c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>
        <f>IF(F489=1,V489*2,IF(F489=2,V489*F489*2,IF(F489&gt;2,F489*2*V489)))</f>
        <v/>
      </c>
      <c r="AW489" s="2">
        <f>SUM(W489:AU489)</f>
        <v/>
      </c>
    </row>
    <row r="490">
      <c r="A490" s="2" t="inlineStr">
        <is>
          <t>14-K-A252</t>
        </is>
      </c>
      <c r="B490" s="3" t="inlineStr">
        <is>
          <t>OJC-A1-LC/LC-MM(OM3)-12-PC/PC-DP</t>
        </is>
      </c>
      <c r="C490" s="2" t="inlineStr"/>
      <c r="D490" s="2" t="inlineStr">
        <is>
          <t>om3</t>
        </is>
      </c>
      <c r="E490" s="2" t="inlineStr">
        <is>
          <t>2.0mm</t>
        </is>
      </c>
      <c r="F490" s="2" t="n">
        <v>2</v>
      </c>
      <c r="G490" s="2" t="n">
        <v>12</v>
      </c>
      <c r="H490" s="2" t="inlineStr">
        <is>
          <t>LC/PC</t>
        </is>
      </c>
      <c r="I490" s="2" t="inlineStr">
        <is>
          <t>LC/PC</t>
        </is>
      </c>
      <c r="J490" s="2" t="n">
        <v>36</v>
      </c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>
        <v>32</v>
      </c>
      <c r="U490" s="2" t="n"/>
      <c r="V490" s="2">
        <f>SUM(J490:U490)</f>
        <v/>
      </c>
      <c r="W490" s="2" t="n"/>
      <c r="X490" s="2" t="n">
        <v>136</v>
      </c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>
        <v>136</v>
      </c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>
        <f>IF(F490=1,V490*2,IF(F490=2,V490*F490*2,IF(F490&gt;2,F490*2*V490)))</f>
        <v/>
      </c>
      <c r="AW490" s="2">
        <f>SUM(W490:AU490)</f>
        <v/>
      </c>
    </row>
    <row r="491">
      <c r="A491" s="2" t="inlineStr">
        <is>
          <t>14-K-A261</t>
        </is>
      </c>
      <c r="B491" s="3" t="inlineStr">
        <is>
          <t>OJC-A1-SC/LC-SM-25-PC/PC-SP</t>
        </is>
      </c>
      <c r="C491" s="2" t="inlineStr">
        <is>
          <t>K9089036_녹색</t>
        </is>
      </c>
      <c r="D491" s="2" t="inlineStr">
        <is>
          <t>a1-녹</t>
        </is>
      </c>
      <c r="E491" s="2" t="inlineStr">
        <is>
          <t>2.0mm</t>
        </is>
      </c>
      <c r="F491" s="2" t="n">
        <v>1</v>
      </c>
      <c r="G491" s="2" t="n">
        <v>25</v>
      </c>
      <c r="H491" s="2" t="inlineStr">
        <is>
          <t>SC/PC</t>
        </is>
      </c>
      <c r="I491" s="2" t="inlineStr">
        <is>
          <t>LC/PC</t>
        </is>
      </c>
      <c r="J491" s="2" t="n"/>
      <c r="K491" s="2" t="n"/>
      <c r="L491" s="2" t="n"/>
      <c r="M491" s="2" t="n"/>
      <c r="N491" s="2" t="n"/>
      <c r="O491" s="2" t="n"/>
      <c r="P491" s="2" t="n"/>
      <c r="Q491" s="2" t="n">
        <v>6</v>
      </c>
      <c r="R491" s="2" t="n"/>
      <c r="S491" s="2" t="n"/>
      <c r="T491" s="2" t="n"/>
      <c r="U491" s="2" t="n"/>
      <c r="V491" s="2">
        <f>SUM(J491:U491)</f>
        <v/>
      </c>
      <c r="W491" s="2" t="n">
        <v>6</v>
      </c>
      <c r="X491" s="2" t="n"/>
      <c r="Y491" s="2" t="n"/>
      <c r="Z491" s="2" t="n"/>
      <c r="AA491" s="2" t="n">
        <v>6</v>
      </c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>
        <f>IF(F491=1,V491*2,IF(F491=2,V491*F491*2,IF(F491&gt;2,F491*2*V491)))</f>
        <v/>
      </c>
      <c r="AW491" s="2">
        <f>SUM(W491:AU491)</f>
        <v/>
      </c>
    </row>
    <row r="492">
      <c r="A492" s="2" t="inlineStr">
        <is>
          <t>14-K-A264</t>
        </is>
      </c>
      <c r="B492" s="3" t="inlineStr">
        <is>
          <t>OJC-A1-LC/LC-SM-17-PC/PC-DP</t>
        </is>
      </c>
      <c r="C492" s="2" t="inlineStr">
        <is>
          <t>적색</t>
        </is>
      </c>
      <c r="D492" s="2" t="inlineStr">
        <is>
          <t>a1-적</t>
        </is>
      </c>
      <c r="E492" s="2" t="inlineStr">
        <is>
          <t>2.0mm</t>
        </is>
      </c>
      <c r="F492" s="2" t="n">
        <v>2</v>
      </c>
      <c r="G492" s="2" t="n">
        <v>17</v>
      </c>
      <c r="H492" s="2" t="inlineStr">
        <is>
          <t>LC/PC</t>
        </is>
      </c>
      <c r="I492" s="2" t="inlineStr">
        <is>
          <t>LC/PC</t>
        </is>
      </c>
      <c r="J492" s="2" t="n"/>
      <c r="K492" s="2" t="n"/>
      <c r="L492" s="2" t="n"/>
      <c r="M492" s="2" t="n"/>
      <c r="N492" s="2" t="n">
        <v>10</v>
      </c>
      <c r="O492" s="2" t="n"/>
      <c r="P492" s="2" t="n"/>
      <c r="Q492" s="2" t="n"/>
      <c r="R492" s="2" t="n"/>
      <c r="S492" s="2" t="n"/>
      <c r="T492" s="2" t="n"/>
      <c r="U492" s="2" t="n"/>
      <c r="V492" s="2">
        <f>SUM(J492:U492)</f>
        <v/>
      </c>
      <c r="W492" s="2" t="n">
        <v>20</v>
      </c>
      <c r="X492" s="2" t="n">
        <v>20</v>
      </c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>
        <f>IF(F492=1,V492*2,IF(F492=2,V492*F492*2,IF(F492&gt;2,F492*2*V492)))</f>
        <v/>
      </c>
      <c r="AW492" s="2">
        <f>SUM(W492:AU492)</f>
        <v/>
      </c>
    </row>
    <row r="493">
      <c r="A493" s="2" t="inlineStr">
        <is>
          <t>14-K-A267</t>
        </is>
      </c>
      <c r="B493" s="3" t="inlineStr">
        <is>
          <t>OJC-A1-LC/LC-SM-19-PC/PC-DP</t>
        </is>
      </c>
      <c r="C493" s="2" t="inlineStr"/>
      <c r="D493" s="2" t="inlineStr">
        <is>
          <t>a1</t>
        </is>
      </c>
      <c r="E493" s="2" t="inlineStr">
        <is>
          <t>2.0mm</t>
        </is>
      </c>
      <c r="F493" s="2" t="n">
        <v>2</v>
      </c>
      <c r="G493" s="2" t="n">
        <v>19</v>
      </c>
      <c r="H493" s="2" t="inlineStr">
        <is>
          <t>LC/PC</t>
        </is>
      </c>
      <c r="I493" s="2" t="inlineStr">
        <is>
          <t>LC/PC</t>
        </is>
      </c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>
        <v>4</v>
      </c>
      <c r="S493" s="2" t="n"/>
      <c r="T493" s="2" t="n"/>
      <c r="U493" s="2" t="n"/>
      <c r="V493" s="2">
        <f>SUM(J493:U493)</f>
        <v/>
      </c>
      <c r="W493" s="2" t="n">
        <v>8</v>
      </c>
      <c r="X493" s="2" t="n">
        <v>8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>
        <f>IF(F493=1,V493*2,IF(F493=2,V493*F493*2,IF(F493&gt;2,F493*2*V493)))</f>
        <v/>
      </c>
      <c r="AW493" s="2">
        <f>SUM(W493:AU493)</f>
        <v/>
      </c>
    </row>
    <row r="494">
      <c r="A494" s="2" t="inlineStr">
        <is>
          <t>14-K-A267</t>
        </is>
      </c>
      <c r="B494" s="3" t="inlineStr">
        <is>
          <t>OJC-A1-LC/LC-SM-19-PC/PC-DP</t>
        </is>
      </c>
      <c r="C494" s="2" t="inlineStr">
        <is>
          <t>적색</t>
        </is>
      </c>
      <c r="D494" s="2" t="inlineStr">
        <is>
          <t>a1-적</t>
        </is>
      </c>
      <c r="E494" s="2" t="inlineStr">
        <is>
          <t>2.0mm</t>
        </is>
      </c>
      <c r="F494" s="2" t="n">
        <v>2</v>
      </c>
      <c r="G494" s="2" t="n">
        <v>19</v>
      </c>
      <c r="H494" s="2" t="inlineStr">
        <is>
          <t>LC/PC</t>
        </is>
      </c>
      <c r="I494" s="2" t="inlineStr">
        <is>
          <t>LC/PC</t>
        </is>
      </c>
      <c r="J494" s="2" t="n"/>
      <c r="K494" s="2" t="n"/>
      <c r="L494" s="2" t="n"/>
      <c r="M494" s="2" t="n"/>
      <c r="N494" s="2" t="n">
        <v>6</v>
      </c>
      <c r="O494" s="2" t="n"/>
      <c r="P494" s="2" t="n"/>
      <c r="Q494" s="2" t="n"/>
      <c r="R494" s="2" t="n"/>
      <c r="S494" s="2" t="n"/>
      <c r="T494" s="2" t="n"/>
      <c r="U494" s="2" t="n"/>
      <c r="V494" s="2">
        <f>SUM(J494:U494)</f>
        <v/>
      </c>
      <c r="W494" s="2" t="n">
        <v>12</v>
      </c>
      <c r="X494" s="2" t="n">
        <v>12</v>
      </c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>
        <f>IF(F494=1,V494*2,IF(F494=2,V494*F494*2,IF(F494&gt;2,F494*2*V494)))</f>
        <v/>
      </c>
      <c r="AW494" s="2">
        <f>SUM(W494:AU494)</f>
        <v/>
      </c>
    </row>
    <row r="495">
      <c r="A495" s="2" t="inlineStr">
        <is>
          <t>14-K-A280</t>
        </is>
      </c>
      <c r="B495" s="3" t="inlineStr">
        <is>
          <t>OJC-A1-LC/LC-SM-25-PC/PC-DP</t>
        </is>
      </c>
      <c r="C495" s="2" t="inlineStr">
        <is>
          <t>K9089179_녹색</t>
        </is>
      </c>
      <c r="D495" s="2" t="inlineStr">
        <is>
          <t>a1-녹</t>
        </is>
      </c>
      <c r="E495" s="2" t="inlineStr">
        <is>
          <t>2.0mm</t>
        </is>
      </c>
      <c r="F495" s="2" t="n">
        <v>2</v>
      </c>
      <c r="G495" s="2" t="n">
        <v>25</v>
      </c>
      <c r="H495" s="2" t="inlineStr">
        <is>
          <t>LC/PC</t>
        </is>
      </c>
      <c r="I495" s="2" t="inlineStr">
        <is>
          <t>LC/PC</t>
        </is>
      </c>
      <c r="J495" s="2" t="n"/>
      <c r="K495" s="2" t="n"/>
      <c r="L495" s="2" t="n"/>
      <c r="M495" s="2" t="n"/>
      <c r="N495" s="2" t="n"/>
      <c r="O495" s="2" t="n">
        <v>30</v>
      </c>
      <c r="P495" s="2" t="n"/>
      <c r="Q495" s="2" t="n"/>
      <c r="R495" s="2" t="n"/>
      <c r="S495" s="2" t="n"/>
      <c r="T495" s="2" t="n"/>
      <c r="U495" s="2" t="n"/>
      <c r="V495" s="2">
        <f>SUM(J495:U495)</f>
        <v/>
      </c>
      <c r="W495" s="2" t="n">
        <v>60</v>
      </c>
      <c r="X495" s="2" t="n">
        <v>60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>
        <f>IF(F495=1,V495*2,IF(F495=2,V495*F495*2,IF(F495&gt;2,F495*2*V495)))</f>
        <v/>
      </c>
      <c r="AW495" s="2">
        <f>SUM(W495:AU495)</f>
        <v/>
      </c>
    </row>
    <row r="496">
      <c r="A496" s="2" t="inlineStr">
        <is>
          <t>14-K-A282</t>
        </is>
      </c>
      <c r="B496" s="3" t="inlineStr">
        <is>
          <t>OJC-A1-SC/LC-SM-31-PC/PC-DP</t>
        </is>
      </c>
      <c r="C496" s="2" t="inlineStr">
        <is>
          <t>적색</t>
        </is>
      </c>
      <c r="D496" s="2" t="inlineStr">
        <is>
          <t>a1-적</t>
        </is>
      </c>
      <c r="E496" s="2" t="inlineStr">
        <is>
          <t>2.0mm</t>
        </is>
      </c>
      <c r="F496" s="2" t="n">
        <v>2</v>
      </c>
      <c r="G496" s="2" t="n">
        <v>31</v>
      </c>
      <c r="H496" s="2" t="inlineStr">
        <is>
          <t>SC/PC</t>
        </is>
      </c>
      <c r="I496" s="2" t="inlineStr">
        <is>
          <t>LC/PC</t>
        </is>
      </c>
      <c r="J496" s="2" t="n"/>
      <c r="K496" s="2" t="n"/>
      <c r="L496" s="2" t="n"/>
      <c r="M496" s="2" t="n"/>
      <c r="N496" s="2" t="n">
        <v>11</v>
      </c>
      <c r="O496" s="2" t="n"/>
      <c r="P496" s="2" t="n"/>
      <c r="Q496" s="2" t="n"/>
      <c r="R496" s="2" t="n"/>
      <c r="S496" s="2" t="n"/>
      <c r="T496" s="2" t="n"/>
      <c r="U496" s="2" t="n"/>
      <c r="V496" s="2">
        <f>SUM(J496:U496)</f>
        <v/>
      </c>
      <c r="W496" s="2" t="n"/>
      <c r="X496" s="2" t="n">
        <v>22</v>
      </c>
      <c r="Y496" s="2" t="n"/>
      <c r="Z496" s="2" t="n"/>
      <c r="AA496" s="2" t="n">
        <v>22</v>
      </c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>
        <f>IF(F496=1,V496*2,IF(F496=2,V496*F496*2,IF(F496&gt;2,F496*2*V496)))</f>
        <v/>
      </c>
      <c r="AW496" s="2">
        <f>SUM(W496:AU496)</f>
        <v/>
      </c>
    </row>
    <row r="497">
      <c r="A497" s="2" t="inlineStr">
        <is>
          <t>14-K-A283</t>
        </is>
      </c>
      <c r="B497" s="3" t="inlineStr">
        <is>
          <t>OJC-A1-LC/LC-MM(OM3)-21-PC/PC-DP</t>
        </is>
      </c>
      <c r="C497" s="2" t="inlineStr"/>
      <c r="D497" s="2" t="inlineStr">
        <is>
          <t>om3</t>
        </is>
      </c>
      <c r="E497" s="2" t="inlineStr">
        <is>
          <t>2.0mm</t>
        </is>
      </c>
      <c r="F497" s="2" t="n">
        <v>2</v>
      </c>
      <c r="G497" s="2" t="n">
        <v>21</v>
      </c>
      <c r="H497" s="2" t="inlineStr">
        <is>
          <t>LC/PC</t>
        </is>
      </c>
      <c r="I497" s="2" t="inlineStr">
        <is>
          <t>LC/PC</t>
        </is>
      </c>
      <c r="J497" s="2" t="n">
        <v>2</v>
      </c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>
        <f>SUM(J497:U497)</f>
        <v/>
      </c>
      <c r="W497" s="2" t="n"/>
      <c r="X497" s="2" t="n">
        <v>4</v>
      </c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>
        <v>4</v>
      </c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>
        <f>IF(F497=1,V497*2,IF(F497=2,V497*F497*2,IF(F497&gt;2,F497*2*V497)))</f>
        <v/>
      </c>
      <c r="AW497" s="2">
        <f>SUM(W497:AU497)</f>
        <v/>
      </c>
    </row>
    <row r="498">
      <c r="A498" s="2" t="inlineStr">
        <is>
          <t>14-K-A294</t>
        </is>
      </c>
      <c r="B498" s="3" t="inlineStr">
        <is>
          <t>OJC-A1-LC/LC-SM-35-PC/PC-DP</t>
        </is>
      </c>
      <c r="C498" s="2" t="inlineStr">
        <is>
          <t>적색</t>
        </is>
      </c>
      <c r="D498" s="2" t="inlineStr">
        <is>
          <t>a1-적</t>
        </is>
      </c>
      <c r="E498" s="2" t="inlineStr">
        <is>
          <t>2.0mm</t>
        </is>
      </c>
      <c r="F498" s="2" t="n">
        <v>2</v>
      </c>
      <c r="G498" s="2" t="n">
        <v>35</v>
      </c>
      <c r="H498" s="2" t="inlineStr">
        <is>
          <t>LC/PC</t>
        </is>
      </c>
      <c r="I498" s="2" t="inlineStr">
        <is>
          <t>LC/PC</t>
        </is>
      </c>
      <c r="J498" s="2" t="n"/>
      <c r="K498" s="2" t="n"/>
      <c r="L498" s="2" t="n"/>
      <c r="M498" s="2" t="n"/>
      <c r="N498" s="2" t="n"/>
      <c r="O498" s="2" t="n">
        <v>10</v>
      </c>
      <c r="P498" s="2" t="n"/>
      <c r="Q498" s="2" t="n"/>
      <c r="R498" s="2" t="n"/>
      <c r="S498" s="2" t="n"/>
      <c r="T498" s="2" t="n"/>
      <c r="U498" s="2" t="n"/>
      <c r="V498" s="2">
        <f>SUM(J498:U498)</f>
        <v/>
      </c>
      <c r="W498" s="2" t="n">
        <v>20</v>
      </c>
      <c r="X498" s="2" t="n">
        <v>20</v>
      </c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>
        <f>IF(F498=1,V498*2,IF(F498=2,V498*F498*2,IF(F498&gt;2,F498*2*V498)))</f>
        <v/>
      </c>
      <c r="AW498" s="2">
        <f>SUM(W498:AU498)</f>
        <v/>
      </c>
    </row>
    <row r="499">
      <c r="A499" s="2" t="inlineStr">
        <is>
          <t>14-K-A295</t>
        </is>
      </c>
      <c r="B499" s="3" t="inlineStr">
        <is>
          <t>OJC-A1-LC/LC-SM-35-PC/PC-DP</t>
        </is>
      </c>
      <c r="C499" s="2" t="inlineStr">
        <is>
          <t>녹색</t>
        </is>
      </c>
      <c r="D499" s="2" t="inlineStr">
        <is>
          <t>a1-녹</t>
        </is>
      </c>
      <c r="E499" s="2" t="inlineStr">
        <is>
          <t>2.0mm</t>
        </is>
      </c>
      <c r="F499" s="2" t="n">
        <v>2</v>
      </c>
      <c r="G499" s="2" t="n">
        <v>35</v>
      </c>
      <c r="H499" s="2" t="inlineStr">
        <is>
          <t>LC/PC</t>
        </is>
      </c>
      <c r="I499" s="2" t="inlineStr">
        <is>
          <t>LC/PC</t>
        </is>
      </c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>
        <v>3</v>
      </c>
      <c r="U499" s="2" t="n"/>
      <c r="V499" s="2">
        <f>SUM(J499:U499)</f>
        <v/>
      </c>
      <c r="W499" s="2" t="n">
        <v>6</v>
      </c>
      <c r="X499" s="2" t="n">
        <v>6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>
        <f>IF(F499=1,V499*2,IF(F499=2,V499*F499*2,IF(F499&gt;2,F499*2*V499)))</f>
        <v/>
      </c>
      <c r="AW499" s="2">
        <f>SUM(W499:AU499)</f>
        <v/>
      </c>
    </row>
    <row r="500">
      <c r="A500" s="2" t="inlineStr">
        <is>
          <t>14-K-A302</t>
        </is>
      </c>
      <c r="B500" s="3" t="inlineStr">
        <is>
          <t>OJC-A1-LC/LC-MM(OM3)-11-PC/PC-DP</t>
        </is>
      </c>
      <c r="C500" s="2" t="inlineStr"/>
      <c r="D500" s="2" t="inlineStr">
        <is>
          <t>om3</t>
        </is>
      </c>
      <c r="E500" s="2" t="inlineStr">
        <is>
          <t>2.0mm</t>
        </is>
      </c>
      <c r="F500" s="2" t="n">
        <v>2</v>
      </c>
      <c r="G500" s="2" t="n">
        <v>11</v>
      </c>
      <c r="H500" s="2" t="inlineStr">
        <is>
          <t>LC/PC</t>
        </is>
      </c>
      <c r="I500" s="2" t="inlineStr">
        <is>
          <t>LC/PC</t>
        </is>
      </c>
      <c r="J500" s="2" t="n">
        <v>213</v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>
        <v>24</v>
      </c>
      <c r="U500" s="2" t="n"/>
      <c r="V500" s="2">
        <f>SUM(J500:U500)</f>
        <v/>
      </c>
      <c r="W500" s="2" t="n"/>
      <c r="X500" s="2" t="n">
        <v>474</v>
      </c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>
        <v>474</v>
      </c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>
        <f>IF(F500=1,V500*2,IF(F500=2,V500*F500*2,IF(F500&gt;2,F500*2*V500)))</f>
        <v/>
      </c>
      <c r="AW500" s="2">
        <f>SUM(W500:AU500)</f>
        <v/>
      </c>
    </row>
    <row r="501">
      <c r="A501" s="2" t="inlineStr">
        <is>
          <t>14-K-A303</t>
        </is>
      </c>
      <c r="B501" s="3" t="inlineStr">
        <is>
          <t>OJC-A1-LC/LC-SM-27-PC/PC-DP</t>
        </is>
      </c>
      <c r="C501" s="2" t="inlineStr"/>
      <c r="D501" s="2" t="inlineStr">
        <is>
          <t>a1</t>
        </is>
      </c>
      <c r="E501" s="2" t="inlineStr">
        <is>
          <t>2.0mm</t>
        </is>
      </c>
      <c r="F501" s="2" t="n">
        <v>2</v>
      </c>
      <c r="G501" s="2" t="n">
        <v>27</v>
      </c>
      <c r="H501" s="2" t="inlineStr">
        <is>
          <t>LC/PC</t>
        </is>
      </c>
      <c r="I501" s="2" t="inlineStr">
        <is>
          <t>LC/PC</t>
        </is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>
        <v>1</v>
      </c>
      <c r="S501" s="2" t="n"/>
      <c r="T501" s="2" t="n"/>
      <c r="U501" s="2" t="n"/>
      <c r="V501" s="2">
        <f>SUM(J501:U501)</f>
        <v/>
      </c>
      <c r="W501" s="2" t="n">
        <v>2</v>
      </c>
      <c r="X501" s="2" t="n">
        <v>2</v>
      </c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>
        <f>IF(F501=1,V501*2,IF(F501=2,V501*F501*2,IF(F501&gt;2,F501*2*V501)))</f>
        <v/>
      </c>
      <c r="AW501" s="2">
        <f>SUM(W501:AU501)</f>
        <v/>
      </c>
    </row>
    <row r="502">
      <c r="A502" s="2" t="inlineStr">
        <is>
          <t>14-K-A308</t>
        </is>
      </c>
      <c r="B502" s="3" t="inlineStr">
        <is>
          <t>OJC-A1-LC/LC-MM(OM3)-10-PC/PC-DP</t>
        </is>
      </c>
      <c r="C502" s="2" t="inlineStr">
        <is>
          <t>LC/DP Clip Type</t>
        </is>
      </c>
      <c r="D502" s="2" t="inlineStr">
        <is>
          <t>om3</t>
        </is>
      </c>
      <c r="E502" s="2" t="inlineStr">
        <is>
          <t>2.0mm</t>
        </is>
      </c>
      <c r="F502" s="2" t="n">
        <v>2</v>
      </c>
      <c r="G502" s="2" t="n">
        <v>10</v>
      </c>
      <c r="H502" s="2" t="inlineStr">
        <is>
          <t>LC/PC</t>
        </is>
      </c>
      <c r="I502" s="2" t="inlineStr">
        <is>
          <t>LC/PC</t>
        </is>
      </c>
      <c r="J502" s="2" t="n"/>
      <c r="K502" s="2" t="n">
        <v>110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>
        <f>SUM(J502:U502)</f>
        <v/>
      </c>
      <c r="W502" s="2" t="n"/>
      <c r="X502" s="2" t="n">
        <v>220</v>
      </c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>
        <v>220</v>
      </c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>
        <f>IF(F502=1,V502*2,IF(F502=2,V502*F502*2,IF(F502&gt;2,F502*2*V502)))</f>
        <v/>
      </c>
      <c r="AW502" s="2">
        <f>SUM(W502:AU502)</f>
        <v/>
      </c>
    </row>
    <row r="503">
      <c r="A503" s="2" t="inlineStr">
        <is>
          <t>14-K-A47</t>
        </is>
      </c>
      <c r="B503" s="3" t="inlineStr">
        <is>
          <t>OJC-A1-SC/SC-MM(OM3)-50-PC/PC-DP</t>
        </is>
      </c>
      <c r="C503" s="2" t="inlineStr"/>
      <c r="D503" s="2" t="inlineStr">
        <is>
          <t>om3</t>
        </is>
      </c>
      <c r="E503" s="2" t="inlineStr">
        <is>
          <t>2.0mm</t>
        </is>
      </c>
      <c r="F503" s="2" t="n">
        <v>2</v>
      </c>
      <c r="G503" s="2" t="n">
        <v>50</v>
      </c>
      <c r="H503" s="2" t="inlineStr">
        <is>
          <t>SC/PC</t>
        </is>
      </c>
      <c r="I503" s="2" t="inlineStr">
        <is>
          <t>SC/PC</t>
        </is>
      </c>
      <c r="J503" s="2" t="n"/>
      <c r="K503" s="2" t="n"/>
      <c r="L503" s="2" t="n"/>
      <c r="M503" s="2" t="n"/>
      <c r="N503" s="2" t="n">
        <v>8</v>
      </c>
      <c r="O503" s="2" t="n"/>
      <c r="P503" s="2" t="n"/>
      <c r="Q503" s="2" t="n"/>
      <c r="R503" s="2" t="n"/>
      <c r="S503" s="2" t="n"/>
      <c r="T503" s="2" t="n"/>
      <c r="U503" s="2" t="n"/>
      <c r="V503" s="2">
        <f>SUM(J503:U503)</f>
        <v/>
      </c>
      <c r="W503" s="2" t="n"/>
      <c r="X503" s="2" t="n"/>
      <c r="Y503" s="2" t="n"/>
      <c r="Z503" s="2" t="n"/>
      <c r="AA503" s="2" t="n">
        <v>16</v>
      </c>
      <c r="AB503" s="2" t="n">
        <v>16</v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>
        <f>IF(F503=1,V503*2,IF(F503=2,V503*F503*2,IF(F503&gt;2,F503*2*V503)))</f>
        <v/>
      </c>
      <c r="AW503" s="2">
        <f>SUM(W503:AU503)</f>
        <v/>
      </c>
    </row>
    <row r="504">
      <c r="A504" s="2" t="inlineStr">
        <is>
          <t>14-K-A62</t>
        </is>
      </c>
      <c r="B504" s="3" t="inlineStr">
        <is>
          <t>OJC-A1-LC/LC-SM-3-APC/APC-SP</t>
        </is>
      </c>
      <c r="C504" s="2" t="inlineStr"/>
      <c r="D504" s="2" t="inlineStr">
        <is>
          <t>a1</t>
        </is>
      </c>
      <c r="E504" s="2" t="inlineStr">
        <is>
          <t>2.0mm</t>
        </is>
      </c>
      <c r="F504" s="2" t="n">
        <v>1</v>
      </c>
      <c r="G504" s="2" t="n">
        <v>3</v>
      </c>
      <c r="H504" s="2" t="inlineStr">
        <is>
          <t>LC/APC</t>
        </is>
      </c>
      <c r="I504" s="2" t="inlineStr">
        <is>
          <t>LC/APC</t>
        </is>
      </c>
      <c r="J504" s="2" t="n"/>
      <c r="K504" s="2" t="n"/>
      <c r="L504" s="2" t="n"/>
      <c r="M504" s="2" t="n"/>
      <c r="N504" s="2" t="n"/>
      <c r="O504" s="2" t="n">
        <v>2</v>
      </c>
      <c r="P504" s="2" t="n"/>
      <c r="Q504" s="2" t="n"/>
      <c r="R504" s="2" t="n"/>
      <c r="S504" s="2" t="n"/>
      <c r="T504" s="2" t="n"/>
      <c r="U504" s="2" t="n"/>
      <c r="V504" s="2">
        <f>SUM(J504:U504)</f>
        <v/>
      </c>
      <c r="W504" s="2" t="n"/>
      <c r="X504" s="2" t="n"/>
      <c r="Y504" s="2" t="n">
        <v>4</v>
      </c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>
        <f>IF(F504=1,V504*2,IF(F504=2,V504*F504*2,IF(F504&gt;2,F504*2*V504)))</f>
        <v/>
      </c>
      <c r="AW504" s="2">
        <f>SUM(W504:AU504)</f>
        <v/>
      </c>
    </row>
    <row r="505">
      <c r="A505" s="2" t="inlineStr">
        <is>
          <t>14-K-A76</t>
        </is>
      </c>
      <c r="B505" s="3" t="inlineStr">
        <is>
          <t>OJC-A1-LC/LC-SM-80-PC/PC-DP</t>
        </is>
      </c>
      <c r="C505" s="2" t="inlineStr">
        <is>
          <t>K9089184</t>
        </is>
      </c>
      <c r="D505" s="2" t="inlineStr">
        <is>
          <t>a1</t>
        </is>
      </c>
      <c r="E505" s="2" t="inlineStr">
        <is>
          <t>2.0mm</t>
        </is>
      </c>
      <c r="F505" s="2" t="n">
        <v>2</v>
      </c>
      <c r="G505" s="2" t="n">
        <v>80</v>
      </c>
      <c r="H505" s="2" t="inlineStr">
        <is>
          <t>LC/PC</t>
        </is>
      </c>
      <c r="I505" s="2" t="inlineStr">
        <is>
          <t>LC/PC</t>
        </is>
      </c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>
        <v>3</v>
      </c>
      <c r="S505" s="2" t="n"/>
      <c r="T505" s="2" t="n"/>
      <c r="U505" s="2" t="n"/>
      <c r="V505" s="2">
        <f>SUM(J505:U505)</f>
        <v/>
      </c>
      <c r="W505" s="2" t="n">
        <v>6</v>
      </c>
      <c r="X505" s="2" t="n">
        <v>6</v>
      </c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>
        <f>IF(F505=1,V505*2,IF(F505=2,V505*F505*2,IF(F505&gt;2,F505*2*V505)))</f>
        <v/>
      </c>
      <c r="AW505" s="2">
        <f>SUM(W505:AU505)</f>
        <v/>
      </c>
    </row>
    <row r="506">
      <c r="A506" s="2" t="inlineStr">
        <is>
          <t>14-K-A87</t>
        </is>
      </c>
      <c r="B506" s="3" t="inlineStr">
        <is>
          <t>OJC-A1-LC/LC-SM-15-PC/PC-DP</t>
        </is>
      </c>
      <c r="C506" s="2" t="inlineStr">
        <is>
          <t>적색</t>
        </is>
      </c>
      <c r="D506" s="2" t="inlineStr">
        <is>
          <t>a1-적</t>
        </is>
      </c>
      <c r="E506" s="2" t="inlineStr">
        <is>
          <t>2.0mm</t>
        </is>
      </c>
      <c r="F506" s="2" t="n">
        <v>2</v>
      </c>
      <c r="G506" s="2" t="n">
        <v>15</v>
      </c>
      <c r="H506" s="2" t="inlineStr">
        <is>
          <t>LC/PC</t>
        </is>
      </c>
      <c r="I506" s="2" t="inlineStr">
        <is>
          <t>LC/PC</t>
        </is>
      </c>
      <c r="J506" s="2" t="n"/>
      <c r="K506" s="2" t="n"/>
      <c r="L506" s="2" t="n"/>
      <c r="M506" s="2" t="n"/>
      <c r="N506" s="2" t="n"/>
      <c r="O506" s="2" t="n">
        <v>20</v>
      </c>
      <c r="P506" s="2" t="n"/>
      <c r="Q506" s="2" t="n"/>
      <c r="R506" s="2" t="n"/>
      <c r="S506" s="2" t="n"/>
      <c r="T506" s="2" t="n"/>
      <c r="U506" s="2" t="n"/>
      <c r="V506" s="2">
        <f>SUM(J506:U506)</f>
        <v/>
      </c>
      <c r="W506" s="2" t="n">
        <v>40</v>
      </c>
      <c r="X506" s="2" t="n">
        <v>40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>
        <f>IF(F506=1,V506*2,IF(F506=2,V506*F506*2,IF(F506&gt;2,F506*2*V506)))</f>
        <v/>
      </c>
      <c r="AW506" s="2">
        <f>SUM(W506:AU506)</f>
        <v/>
      </c>
    </row>
    <row r="507">
      <c r="A507" s="2" t="inlineStr">
        <is>
          <t>14-K-A92</t>
        </is>
      </c>
      <c r="B507" s="3" t="inlineStr">
        <is>
          <t>OJC-A1-LC/LC-SM-10-PC/PC-DP</t>
        </is>
      </c>
      <c r="C507" s="2" t="inlineStr">
        <is>
          <t>적색</t>
        </is>
      </c>
      <c r="D507" s="2" t="inlineStr">
        <is>
          <t>a1-적</t>
        </is>
      </c>
      <c r="E507" s="2" t="inlineStr">
        <is>
          <t>2.0mm</t>
        </is>
      </c>
      <c r="F507" s="2" t="n">
        <v>2</v>
      </c>
      <c r="G507" s="2" t="n">
        <v>10</v>
      </c>
      <c r="H507" s="2" t="inlineStr">
        <is>
          <t>LC/PC</t>
        </is>
      </c>
      <c r="I507" s="2" t="inlineStr">
        <is>
          <t>LC/PC</t>
        </is>
      </c>
      <c r="J507" s="2" t="n">
        <v>10</v>
      </c>
      <c r="K507" s="2" t="n"/>
      <c r="L507" s="2" t="n"/>
      <c r="M507" s="2" t="n"/>
      <c r="N507" s="2" t="n"/>
      <c r="O507" s="2" t="n">
        <v>20</v>
      </c>
      <c r="P507" s="2" t="n"/>
      <c r="Q507" s="2" t="n"/>
      <c r="R507" s="2" t="n"/>
      <c r="S507" s="2" t="n"/>
      <c r="T507" s="2" t="n">
        <v>20</v>
      </c>
      <c r="U507" s="2" t="n"/>
      <c r="V507" s="2">
        <f>SUM(J507:U507)</f>
        <v/>
      </c>
      <c r="W507" s="2" t="n">
        <v>100</v>
      </c>
      <c r="X507" s="2" t="n">
        <v>100</v>
      </c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>
        <f>IF(F507=1,V507*2,IF(F507=2,V507*F507*2,IF(F507&gt;2,F507*2*V507)))</f>
        <v/>
      </c>
      <c r="AW507" s="2">
        <f>SUM(W507:AU507)</f>
        <v/>
      </c>
    </row>
    <row r="508">
      <c r="A508" s="2" t="inlineStr">
        <is>
          <t>14-K-B126</t>
        </is>
      </c>
      <c r="B508" s="3" t="inlineStr">
        <is>
          <t>OJC-A1-SC/LC-SM-28-PC/PC-DP</t>
        </is>
      </c>
      <c r="C508" s="2" t="inlineStr">
        <is>
          <t>적색</t>
        </is>
      </c>
      <c r="D508" s="2" t="inlineStr">
        <is>
          <t>a1-적</t>
        </is>
      </c>
      <c r="E508" s="2" t="inlineStr">
        <is>
          <t>2.0mm</t>
        </is>
      </c>
      <c r="F508" s="2" t="n">
        <v>2</v>
      </c>
      <c r="G508" s="2" t="n">
        <v>28</v>
      </c>
      <c r="H508" s="2" t="inlineStr">
        <is>
          <t>SC/PC</t>
        </is>
      </c>
      <c r="I508" s="2" t="inlineStr">
        <is>
          <t>LC/PC</t>
        </is>
      </c>
      <c r="J508" s="2" t="n"/>
      <c r="K508" s="2" t="n"/>
      <c r="L508" s="2" t="n"/>
      <c r="M508" s="2" t="n"/>
      <c r="N508" s="2" t="n">
        <v>1</v>
      </c>
      <c r="O508" s="2" t="n"/>
      <c r="P508" s="2" t="n"/>
      <c r="Q508" s="2" t="n"/>
      <c r="R508" s="2" t="n"/>
      <c r="S508" s="2" t="n"/>
      <c r="T508" s="2" t="n"/>
      <c r="U508" s="2" t="n"/>
      <c r="V508" s="2">
        <f>SUM(J508:U508)</f>
        <v/>
      </c>
      <c r="W508" s="2" t="n"/>
      <c r="X508" s="2" t="n">
        <v>2</v>
      </c>
      <c r="Y508" s="2" t="n"/>
      <c r="Z508" s="2" t="n"/>
      <c r="AA508" s="2" t="n">
        <v>2</v>
      </c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>
        <f>IF(F508=1,V508*2,IF(F508=2,V508*F508*2,IF(F508&gt;2,F508*2*V508)))</f>
        <v/>
      </c>
      <c r="AW508" s="2">
        <f>SUM(W508:AU508)</f>
        <v/>
      </c>
    </row>
    <row r="509">
      <c r="A509" s="2" t="inlineStr">
        <is>
          <t>14-K-B152</t>
        </is>
      </c>
      <c r="B509" s="3" t="inlineStr">
        <is>
          <t>OJC-A1-LC/LC-SM-2-PC/PC-DP</t>
        </is>
      </c>
      <c r="C509" s="2" t="inlineStr">
        <is>
          <t>적색</t>
        </is>
      </c>
      <c r="D509" s="2" t="inlineStr">
        <is>
          <t>a1-적</t>
        </is>
      </c>
      <c r="E509" s="2" t="inlineStr">
        <is>
          <t>2.0mm</t>
        </is>
      </c>
      <c r="F509" s="2" t="n">
        <v>2</v>
      </c>
      <c r="G509" s="2" t="n">
        <v>2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>
        <v>20</v>
      </c>
      <c r="U509" s="2" t="n"/>
      <c r="V509" s="2">
        <f>SUM(J509:U509)</f>
        <v/>
      </c>
      <c r="W509" s="2" t="n">
        <v>40</v>
      </c>
      <c r="X509" s="2" t="n">
        <v>40</v>
      </c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>
        <f>IF(F509=1,V509*2,IF(F509=2,V509*F509*2,IF(F509&gt;2,F509*2*V509)))</f>
        <v/>
      </c>
      <c r="AW509" s="2">
        <f>SUM(W509:AU509)</f>
        <v/>
      </c>
    </row>
    <row r="510">
      <c r="A510" s="2" t="inlineStr">
        <is>
          <t>14-K-B154</t>
        </is>
      </c>
      <c r="B510" s="3" t="inlineStr">
        <is>
          <t>OJC-A1-SC/LC-SM-35-PC/PC-DP</t>
        </is>
      </c>
      <c r="C510" s="2" t="inlineStr">
        <is>
          <t>적색</t>
        </is>
      </c>
      <c r="D510" s="2" t="inlineStr">
        <is>
          <t>a1-적</t>
        </is>
      </c>
      <c r="E510" s="2" t="inlineStr">
        <is>
          <t>2.0mm</t>
        </is>
      </c>
      <c r="F510" s="2" t="n">
        <v>2</v>
      </c>
      <c r="G510" s="2" t="n">
        <v>35</v>
      </c>
      <c r="H510" s="2" t="inlineStr">
        <is>
          <t>SC/PC</t>
        </is>
      </c>
      <c r="I510" s="2" t="inlineStr">
        <is>
          <t>LC/PC</t>
        </is>
      </c>
      <c r="J510" s="2" t="n"/>
      <c r="K510" s="2" t="n"/>
      <c r="L510" s="2" t="n"/>
      <c r="M510" s="2" t="n"/>
      <c r="N510" s="2" t="n"/>
      <c r="O510" s="2" t="n">
        <v>5</v>
      </c>
      <c r="P510" s="2" t="n"/>
      <c r="Q510" s="2" t="n"/>
      <c r="R510" s="2" t="n"/>
      <c r="S510" s="2" t="n">
        <v>14</v>
      </c>
      <c r="T510" s="2" t="n"/>
      <c r="U510" s="2" t="n"/>
      <c r="V510" s="2">
        <f>SUM(J510:U510)</f>
        <v/>
      </c>
      <c r="W510" s="2" t="n"/>
      <c r="X510" s="2" t="n">
        <v>38</v>
      </c>
      <c r="Y510" s="2" t="n"/>
      <c r="Z510" s="2" t="n"/>
      <c r="AA510" s="2" t="n">
        <v>38</v>
      </c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>
        <f>IF(F510=1,V510*2,IF(F510=2,V510*F510*2,IF(F510&gt;2,F510*2*V510)))</f>
        <v/>
      </c>
      <c r="AW510" s="2">
        <f>SUM(W510:AU510)</f>
        <v/>
      </c>
    </row>
    <row r="511">
      <c r="A511" s="2" t="inlineStr">
        <is>
          <t>14-K-B155</t>
        </is>
      </c>
      <c r="B511" s="3" t="inlineStr">
        <is>
          <t>OJC-A1-SC/LC-SM-31-PC/PC-DP</t>
        </is>
      </c>
      <c r="C511" s="2" t="inlineStr">
        <is>
          <t>자색</t>
        </is>
      </c>
      <c r="D511" s="2" t="inlineStr">
        <is>
          <t>a1-자</t>
        </is>
      </c>
      <c r="E511" s="2" t="inlineStr">
        <is>
          <t>2.0mm</t>
        </is>
      </c>
      <c r="F511" s="2" t="n">
        <v>2</v>
      </c>
      <c r="G511" s="2" t="n">
        <v>31</v>
      </c>
      <c r="H511" s="2" t="inlineStr">
        <is>
          <t>SC/PC</t>
        </is>
      </c>
      <c r="I511" s="2" t="inlineStr">
        <is>
          <t>LC/PC</t>
        </is>
      </c>
      <c r="J511" s="2" t="n"/>
      <c r="K511" s="2" t="n"/>
      <c r="L511" s="2" t="n"/>
      <c r="M511" s="2" t="n"/>
      <c r="N511" s="2" t="n">
        <v>2</v>
      </c>
      <c r="O511" s="2" t="n"/>
      <c r="P511" s="2" t="n"/>
      <c r="Q511" s="2" t="n"/>
      <c r="R511" s="2" t="n"/>
      <c r="S511" s="2" t="n"/>
      <c r="T511" s="2" t="n"/>
      <c r="U511" s="2" t="n"/>
      <c r="V511" s="2">
        <f>SUM(J511:U511)</f>
        <v/>
      </c>
      <c r="W511" s="2" t="n"/>
      <c r="X511" s="2" t="n">
        <v>4</v>
      </c>
      <c r="Y511" s="2" t="n"/>
      <c r="Z511" s="2" t="n"/>
      <c r="AA511" s="2" t="n">
        <v>4</v>
      </c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>
        <f>IF(F511=1,V511*2,IF(F511=2,V511*F511*2,IF(F511&gt;2,F511*2*V511)))</f>
        <v/>
      </c>
      <c r="AW511" s="2">
        <f>SUM(W511:AU511)</f>
        <v/>
      </c>
    </row>
    <row r="512">
      <c r="A512" s="2" t="inlineStr">
        <is>
          <t>14-K-B158</t>
        </is>
      </c>
      <c r="B512" s="3" t="inlineStr">
        <is>
          <t>OJC-A1-LC/LC-SM-5-PC/PC-DP</t>
        </is>
      </c>
      <c r="C512" s="2" t="inlineStr">
        <is>
          <t>적색</t>
        </is>
      </c>
      <c r="D512" s="2" t="inlineStr">
        <is>
          <t>a1-적</t>
        </is>
      </c>
      <c r="E512" s="2" t="inlineStr">
        <is>
          <t>2.0mm</t>
        </is>
      </c>
      <c r="F512" s="2" t="n">
        <v>2</v>
      </c>
      <c r="G512" s="2" t="n">
        <v>5</v>
      </c>
      <c r="H512" s="2" t="inlineStr">
        <is>
          <t>LC/PC</t>
        </is>
      </c>
      <c r="I512" s="2" t="inlineStr">
        <is>
          <t>LC/PC</t>
        </is>
      </c>
      <c r="J512" s="2" t="n">
        <v>15</v>
      </c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>
        <f>SUM(J512:U512)</f>
        <v/>
      </c>
      <c r="W512" s="2" t="n">
        <v>30</v>
      </c>
      <c r="X512" s="2" t="n">
        <v>30</v>
      </c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>
        <f>IF(F512=1,V512*2,IF(F512=2,V512*F512*2,IF(F512&gt;2,F512*2*V512)))</f>
        <v/>
      </c>
      <c r="AW512" s="2">
        <f>SUM(W512:AU512)</f>
        <v/>
      </c>
    </row>
    <row r="513">
      <c r="A513" s="2" t="inlineStr">
        <is>
          <t>14-K-B159</t>
        </is>
      </c>
      <c r="B513" s="3" t="inlineStr">
        <is>
          <t>OJC-A1-LC/LC-SM-24-PC/PC-DP</t>
        </is>
      </c>
      <c r="C513" s="2" t="inlineStr"/>
      <c r="D513" s="2" t="inlineStr">
        <is>
          <t>a1</t>
        </is>
      </c>
      <c r="E513" s="2" t="inlineStr">
        <is>
          <t>2.0mm</t>
        </is>
      </c>
      <c r="F513" s="2" t="n">
        <v>2</v>
      </c>
      <c r="G513" s="2" t="n">
        <v>24</v>
      </c>
      <c r="H513" s="2" t="inlineStr">
        <is>
          <t>LC/PC</t>
        </is>
      </c>
      <c r="I513" s="2" t="inlineStr">
        <is>
          <t>LC/PC</t>
        </is>
      </c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>
        <v>4</v>
      </c>
      <c r="S513" s="2" t="n"/>
      <c r="T513" s="2" t="n"/>
      <c r="U513" s="2" t="n"/>
      <c r="V513" s="2">
        <f>SUM(J513:U513)</f>
        <v/>
      </c>
      <c r="W513" s="2" t="n">
        <v>8</v>
      </c>
      <c r="X513" s="2" t="n">
        <v>8</v>
      </c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>
        <f>IF(F513=1,V513*2,IF(F513=2,V513*F513*2,IF(F513&gt;2,F513*2*V513)))</f>
        <v/>
      </c>
      <c r="AW513" s="2">
        <f>SUM(W513:AU513)</f>
        <v/>
      </c>
    </row>
    <row r="514">
      <c r="A514" s="2" t="inlineStr">
        <is>
          <t>14-K-B159</t>
        </is>
      </c>
      <c r="B514" s="3" t="inlineStr">
        <is>
          <t>OJC-A1-LC/LC-SM-24-PC/PC-DP</t>
        </is>
      </c>
      <c r="C514" s="2" t="inlineStr">
        <is>
          <t>적색</t>
        </is>
      </c>
      <c r="D514" s="2" t="inlineStr">
        <is>
          <t>a1-적</t>
        </is>
      </c>
      <c r="E514" s="2" t="inlineStr">
        <is>
          <t>2.0mm</t>
        </is>
      </c>
      <c r="F514" s="2" t="n">
        <v>2</v>
      </c>
      <c r="G514" s="2" t="n">
        <v>24</v>
      </c>
      <c r="H514" s="2" t="inlineStr">
        <is>
          <t>LC/PC</t>
        </is>
      </c>
      <c r="I514" s="2" t="inlineStr">
        <is>
          <t>LC/PC</t>
        </is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>
        <v>4</v>
      </c>
      <c r="S514" s="2" t="n"/>
      <c r="T514" s="2" t="n"/>
      <c r="U514" s="2" t="n"/>
      <c r="V514" s="2">
        <f>SUM(J514:U514)</f>
        <v/>
      </c>
      <c r="W514" s="2" t="n">
        <v>8</v>
      </c>
      <c r="X514" s="2" t="n">
        <v>8</v>
      </c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>
        <f>IF(F514=1,V514*2,IF(F514=2,V514*F514*2,IF(F514&gt;2,F514*2*V514)))</f>
        <v/>
      </c>
      <c r="AW514" s="2">
        <f>SUM(W514:AU514)</f>
        <v/>
      </c>
    </row>
    <row r="515">
      <c r="A515" s="2" t="inlineStr">
        <is>
          <t>14-K-B177</t>
        </is>
      </c>
      <c r="B515" s="3" t="inlineStr">
        <is>
          <t>OJC-A1-LC/LC-SM-30-PC/PC-DP</t>
        </is>
      </c>
      <c r="C515" s="2" t="inlineStr">
        <is>
          <t>녹색</t>
        </is>
      </c>
      <c r="D515" s="2" t="inlineStr">
        <is>
          <t>a1-녹</t>
        </is>
      </c>
      <c r="E515" s="2" t="inlineStr">
        <is>
          <t>2.0mm</t>
        </is>
      </c>
      <c r="F515" s="2" t="n">
        <v>2</v>
      </c>
      <c r="G515" s="2" t="n">
        <v>30</v>
      </c>
      <c r="H515" s="2" t="inlineStr">
        <is>
          <t>LC/PC</t>
        </is>
      </c>
      <c r="I515" s="2" t="inlineStr">
        <is>
          <t>LC/PC</t>
        </is>
      </c>
      <c r="J515" s="2" t="n"/>
      <c r="K515" s="2" t="n"/>
      <c r="L515" s="2" t="n"/>
      <c r="M515" s="2" t="n">
        <v>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>
        <f>SUM(J515:U515)</f>
        <v/>
      </c>
      <c r="W515" s="2" t="n">
        <v>10</v>
      </c>
      <c r="X515" s="2" t="n">
        <v>10</v>
      </c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>
        <f>IF(F515=1,V515*2,IF(F515=2,V515*F515*2,IF(F515&gt;2,F515*2*V515)))</f>
        <v/>
      </c>
      <c r="AW515" s="2">
        <f>SUM(W515:AU515)</f>
        <v/>
      </c>
    </row>
    <row r="516">
      <c r="A516" s="2" t="inlineStr">
        <is>
          <t>14-K-B205</t>
        </is>
      </c>
      <c r="B516" s="3" t="inlineStr">
        <is>
          <t>OJC-C2-SC/SC-SM-15-PC/PC-12C</t>
        </is>
      </c>
      <c r="C516" s="2" t="inlineStr">
        <is>
          <t>양단 분기부 1.5M</t>
        </is>
      </c>
      <c r="D516" s="2" t="inlineStr">
        <is>
          <t>a1-12c</t>
        </is>
      </c>
      <c r="E516" s="2" t="inlineStr">
        <is>
          <t>2.0mm</t>
        </is>
      </c>
      <c r="F516" s="2" t="n">
        <v>12</v>
      </c>
      <c r="G516" s="2" t="n">
        <v>15</v>
      </c>
      <c r="H516" s="2" t="inlineStr">
        <is>
          <t>SC/PC</t>
        </is>
      </c>
      <c r="I516" s="2" t="inlineStr">
        <is>
          <t>SC/PC</t>
        </is>
      </c>
      <c r="J516" s="2" t="n"/>
      <c r="K516" s="2" t="n">
        <v>20</v>
      </c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>
        <f>SUM(J516:U516)</f>
        <v/>
      </c>
      <c r="W516" s="2" t="n"/>
      <c r="X516" s="2" t="n"/>
      <c r="Y516" s="2" t="n"/>
      <c r="Z516" s="2" t="n"/>
      <c r="AA516" s="2" t="n">
        <v>480</v>
      </c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>
        <f>IF(F516=1,V516*2,IF(F516=2,V516*F516*2,IF(F516&gt;2,F516*2*V516)))</f>
        <v/>
      </c>
      <c r="AW516" s="2">
        <f>SUM(W516:AU516)</f>
        <v/>
      </c>
    </row>
    <row r="517">
      <c r="A517" s="2" t="inlineStr">
        <is>
          <t>14-K-B230</t>
        </is>
      </c>
      <c r="B517" s="3" t="inlineStr">
        <is>
          <t>OJC-A1-LC/LC-SM-26-PC/PC-DP</t>
        </is>
      </c>
      <c r="C517" s="2" t="inlineStr"/>
      <c r="D517" s="2" t="inlineStr">
        <is>
          <t>a1</t>
        </is>
      </c>
      <c r="E517" s="2" t="inlineStr">
        <is>
          <t>2.0mm</t>
        </is>
      </c>
      <c r="F517" s="2" t="n">
        <v>2</v>
      </c>
      <c r="G517" s="2" t="n">
        <v>26</v>
      </c>
      <c r="H517" s="2" t="inlineStr">
        <is>
          <t>LC/PC</t>
        </is>
      </c>
      <c r="I517" s="2" t="inlineStr">
        <is>
          <t>LC/PC</t>
        </is>
      </c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>
        <v>1</v>
      </c>
      <c r="S517" s="2" t="n"/>
      <c r="T517" s="2" t="n"/>
      <c r="U517" s="2" t="n"/>
      <c r="V517" s="2">
        <f>SUM(J517:U517)</f>
        <v/>
      </c>
      <c r="W517" s="2" t="n">
        <v>2</v>
      </c>
      <c r="X517" s="2" t="n">
        <v>2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>
        <f>IF(F517=1,V517*2,IF(F517=2,V517*F517*2,IF(F517&gt;2,F517*2*V517)))</f>
        <v/>
      </c>
      <c r="AW517" s="2">
        <f>SUM(W517:AU517)</f>
        <v/>
      </c>
    </row>
    <row r="518">
      <c r="A518" s="2" t="inlineStr">
        <is>
          <t>14-K-B253</t>
        </is>
      </c>
      <c r="B518" s="3" t="inlineStr">
        <is>
          <t>OJC-A1-LC/LC-SM-10-PC/PC-DP</t>
        </is>
      </c>
      <c r="C518" s="2" t="inlineStr">
        <is>
          <t>K9089176_녹색</t>
        </is>
      </c>
      <c r="D518" s="2" t="inlineStr">
        <is>
          <t>a1-녹</t>
        </is>
      </c>
      <c r="E518" s="2" t="inlineStr">
        <is>
          <t>2.0mm</t>
        </is>
      </c>
      <c r="F518" s="2" t="n">
        <v>2</v>
      </c>
      <c r="G518" s="2" t="n">
        <v>10</v>
      </c>
      <c r="H518" s="2" t="inlineStr">
        <is>
          <t>LC/PC</t>
        </is>
      </c>
      <c r="I518" s="2" t="inlineStr">
        <is>
          <t>LC/PC</t>
        </is>
      </c>
      <c r="J518" s="2" t="n"/>
      <c r="K518" s="2" t="n"/>
      <c r="L518" s="2" t="n"/>
      <c r="M518" s="2" t="n"/>
      <c r="N518" s="2" t="n"/>
      <c r="O518" s="2" t="n">
        <v>12</v>
      </c>
      <c r="P518" s="2" t="n"/>
      <c r="Q518" s="2" t="n"/>
      <c r="R518" s="2" t="n"/>
      <c r="S518" s="2" t="n"/>
      <c r="T518" s="2" t="n"/>
      <c r="U518" s="2" t="n"/>
      <c r="V518" s="2">
        <f>SUM(J518:U518)</f>
        <v/>
      </c>
      <c r="W518" s="2" t="n">
        <v>24</v>
      </c>
      <c r="X518" s="2" t="n">
        <v>24</v>
      </c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>
        <f>IF(F518=1,V518*2,IF(F518=2,V518*F518*2,IF(F518&gt;2,F518*2*V518)))</f>
        <v/>
      </c>
      <c r="AW518" s="2">
        <f>SUM(W518:AU518)</f>
        <v/>
      </c>
    </row>
    <row r="519">
      <c r="A519" s="2" t="inlineStr">
        <is>
          <t>14-K-B254</t>
        </is>
      </c>
      <c r="B519" s="3" t="inlineStr">
        <is>
          <t>OJC-A1-LC/LC-SM-5-PC/PC-DP</t>
        </is>
      </c>
      <c r="C519" s="2" t="inlineStr">
        <is>
          <t>K9089175_녹색</t>
        </is>
      </c>
      <c r="D519" s="2" t="inlineStr">
        <is>
          <t>a1-녹</t>
        </is>
      </c>
      <c r="E519" s="2" t="inlineStr">
        <is>
          <t>2.0mm</t>
        </is>
      </c>
      <c r="F519" s="2" t="n">
        <v>2</v>
      </c>
      <c r="G519" s="2" t="n">
        <v>5</v>
      </c>
      <c r="H519" s="2" t="inlineStr">
        <is>
          <t>LC/PC</t>
        </is>
      </c>
      <c r="I519" s="2" t="inlineStr">
        <is>
          <t>LC/PC</t>
        </is>
      </c>
      <c r="J519" s="2" t="n"/>
      <c r="K519" s="2" t="n"/>
      <c r="L519" s="2" t="n"/>
      <c r="M519" s="2" t="n"/>
      <c r="N519" s="2" t="n"/>
      <c r="O519" s="2" t="n">
        <v>9</v>
      </c>
      <c r="P519" s="2" t="n"/>
      <c r="Q519" s="2" t="n"/>
      <c r="R519" s="2" t="n"/>
      <c r="S519" s="2" t="n"/>
      <c r="T519" s="2" t="n"/>
      <c r="U519" s="2" t="n"/>
      <c r="V519" s="2">
        <f>SUM(J519:U519)</f>
        <v/>
      </c>
      <c r="W519" s="2" t="n">
        <v>18</v>
      </c>
      <c r="X519" s="2" t="n">
        <v>18</v>
      </c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>
        <f>IF(F519=1,V519*2,IF(F519=2,V519*F519*2,IF(F519&gt;2,F519*2*V519)))</f>
        <v/>
      </c>
      <c r="AW519" s="2">
        <f>SUM(W519:AU519)</f>
        <v/>
      </c>
    </row>
    <row r="520">
      <c r="A520" s="2" t="inlineStr">
        <is>
          <t>14-K-B307</t>
        </is>
      </c>
      <c r="B520" s="3" t="inlineStr">
        <is>
          <t>OJC-A1-LC/LC-SM-11-PC/PC-DP</t>
        </is>
      </c>
      <c r="C520" s="2" t="inlineStr"/>
      <c r="D520" s="2" t="inlineStr">
        <is>
          <t>a1</t>
        </is>
      </c>
      <c r="E520" s="2" t="inlineStr">
        <is>
          <t>2.0mm</t>
        </is>
      </c>
      <c r="F520" s="2" t="n">
        <v>2</v>
      </c>
      <c r="G520" s="2" t="n">
        <v>11</v>
      </c>
      <c r="H520" s="2" t="inlineStr">
        <is>
          <t>LC/PC</t>
        </is>
      </c>
      <c r="I520" s="2" t="inlineStr">
        <is>
          <t>LC/PC</t>
        </is>
      </c>
      <c r="J520" s="2" t="n">
        <v>1</v>
      </c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>
        <f>SUM(J520:U520)</f>
        <v/>
      </c>
      <c r="W520" s="2" t="n">
        <v>2</v>
      </c>
      <c r="X520" s="2" t="n">
        <v>2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>
        <f>IF(F520=1,V520*2,IF(F520=2,V520*F520*2,IF(F520&gt;2,F520*2*V520)))</f>
        <v/>
      </c>
      <c r="AW520" s="2">
        <f>SUM(W520:AU520)</f>
        <v/>
      </c>
    </row>
    <row r="521">
      <c r="A521" s="2" t="inlineStr">
        <is>
          <t>14-K-B307</t>
        </is>
      </c>
      <c r="B521" s="3" t="inlineStr">
        <is>
          <t>OJC-A1-LC/LC-SM-11-PC/PC-DP</t>
        </is>
      </c>
      <c r="C521" s="2" t="inlineStr">
        <is>
          <t>적색</t>
        </is>
      </c>
      <c r="D521" s="2" t="inlineStr">
        <is>
          <t>a1-적</t>
        </is>
      </c>
      <c r="E521" s="2" t="inlineStr">
        <is>
          <t>2.0mm</t>
        </is>
      </c>
      <c r="F521" s="2" t="n">
        <v>2</v>
      </c>
      <c r="G521" s="2" t="n">
        <v>11</v>
      </c>
      <c r="H521" s="2" t="inlineStr">
        <is>
          <t>LC/PC</t>
        </is>
      </c>
      <c r="I521" s="2" t="inlineStr">
        <is>
          <t>LC/PC</t>
        </is>
      </c>
      <c r="J521" s="2" t="n"/>
      <c r="K521" s="2" t="n"/>
      <c r="L521" s="2" t="n"/>
      <c r="M521" s="2" t="n"/>
      <c r="N521" s="2" t="n">
        <v>9</v>
      </c>
      <c r="O521" s="2" t="n"/>
      <c r="P521" s="2" t="n"/>
      <c r="Q521" s="2" t="n"/>
      <c r="R521" s="2" t="n"/>
      <c r="S521" s="2" t="n"/>
      <c r="T521" s="2" t="n"/>
      <c r="U521" s="2" t="n"/>
      <c r="V521" s="2">
        <f>SUM(J521:U521)</f>
        <v/>
      </c>
      <c r="W521" s="2" t="n">
        <v>18</v>
      </c>
      <c r="X521" s="2" t="n">
        <v>18</v>
      </c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>
        <f>IF(F521=1,V521*2,IF(F521=2,V521*F521*2,IF(F521&gt;2,F521*2*V521)))</f>
        <v/>
      </c>
      <c r="AW521" s="2">
        <f>SUM(W521:AU521)</f>
        <v/>
      </c>
    </row>
    <row r="522">
      <c r="A522" s="2" t="inlineStr">
        <is>
          <t>14-K-B311</t>
        </is>
      </c>
      <c r="B522" s="3" t="inlineStr">
        <is>
          <t>OJC-A1-LC/LC-SM-23-PC/PC-DP</t>
        </is>
      </c>
      <c r="C522" s="2" t="inlineStr">
        <is>
          <t>적색</t>
        </is>
      </c>
      <c r="D522" s="2" t="inlineStr">
        <is>
          <t>a1-적</t>
        </is>
      </c>
      <c r="E522" s="2" t="inlineStr">
        <is>
          <t>2.0mm</t>
        </is>
      </c>
      <c r="F522" s="2" t="n">
        <v>2</v>
      </c>
      <c r="G522" s="2" t="n">
        <v>23</v>
      </c>
      <c r="H522" s="2" t="inlineStr">
        <is>
          <t>LC/PC</t>
        </is>
      </c>
      <c r="I522" s="2" t="inlineStr">
        <is>
          <t>LC/PC</t>
        </is>
      </c>
      <c r="J522" s="2" t="n"/>
      <c r="K522" s="2" t="n"/>
      <c r="L522" s="2" t="n"/>
      <c r="M522" s="2" t="n"/>
      <c r="N522" s="2" t="n">
        <v>10</v>
      </c>
      <c r="O522" s="2" t="n"/>
      <c r="P522" s="2" t="n"/>
      <c r="Q522" s="2" t="n"/>
      <c r="R522" s="2" t="n"/>
      <c r="S522" s="2" t="n"/>
      <c r="T522" s="2" t="n"/>
      <c r="U522" s="2" t="n"/>
      <c r="V522" s="2">
        <f>SUM(J522:U522)</f>
        <v/>
      </c>
      <c r="W522" s="2" t="n">
        <v>20</v>
      </c>
      <c r="X522" s="2" t="n">
        <v>20</v>
      </c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>
        <f>IF(F522=1,V522*2,IF(F522=2,V522*F522*2,IF(F522&gt;2,F522*2*V522)))</f>
        <v/>
      </c>
      <c r="AW522" s="2">
        <f>SUM(W522:AU522)</f>
        <v/>
      </c>
    </row>
    <row r="523">
      <c r="A523" s="2" t="inlineStr">
        <is>
          <t>14-K-B315</t>
        </is>
      </c>
      <c r="B523" s="3" t="inlineStr">
        <is>
          <t>OJC-A1-LC/LC-MM(OM3)-14-PC/PC-DP</t>
        </is>
      </c>
      <c r="C523" s="2" t="inlineStr"/>
      <c r="D523" s="2" t="inlineStr">
        <is>
          <t>om3</t>
        </is>
      </c>
      <c r="E523" s="2" t="inlineStr">
        <is>
          <t>2.0mm</t>
        </is>
      </c>
      <c r="F523" s="2" t="n">
        <v>2</v>
      </c>
      <c r="G523" s="2" t="n">
        <v>14</v>
      </c>
      <c r="H523" s="2" t="inlineStr">
        <is>
          <t>LC/PC</t>
        </is>
      </c>
      <c r="I523" s="2" t="inlineStr">
        <is>
          <t>LC/PC</t>
        </is>
      </c>
      <c r="J523" s="2" t="n">
        <v>11</v>
      </c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>
        <v>63</v>
      </c>
      <c r="U523" s="2" t="n"/>
      <c r="V523" s="2">
        <f>SUM(J523:U523)</f>
        <v/>
      </c>
      <c r="W523" s="2" t="n"/>
      <c r="X523" s="2" t="n">
        <v>148</v>
      </c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>
        <v>148</v>
      </c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>
        <f>IF(F523=1,V523*2,IF(F523=2,V523*F523*2,IF(F523&gt;2,F523*2*V523)))</f>
        <v/>
      </c>
      <c r="AW523" s="2">
        <f>SUM(W523:AU523)</f>
        <v/>
      </c>
    </row>
    <row r="524">
      <c r="A524" s="2" t="inlineStr">
        <is>
          <t>14-K-B316</t>
        </is>
      </c>
      <c r="B524" s="3" t="inlineStr">
        <is>
          <t>OJC-A1-LC/LC-MM(OM3)-16-PC/PC-DP</t>
        </is>
      </c>
      <c r="C524" s="2" t="inlineStr"/>
      <c r="D524" s="2" t="inlineStr">
        <is>
          <t>om3</t>
        </is>
      </c>
      <c r="E524" s="2" t="inlineStr">
        <is>
          <t>2.0mm</t>
        </is>
      </c>
      <c r="F524" s="2" t="n">
        <v>2</v>
      </c>
      <c r="G524" s="2" t="n">
        <v>16</v>
      </c>
      <c r="H524" s="2" t="inlineStr">
        <is>
          <t>LC/PC</t>
        </is>
      </c>
      <c r="I524" s="2" t="inlineStr">
        <is>
          <t>LC/PC</t>
        </is>
      </c>
      <c r="J524" s="2" t="n">
        <v>5</v>
      </c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>
        <v>32</v>
      </c>
      <c r="U524" s="2" t="n"/>
      <c r="V524" s="2">
        <f>SUM(J524:U524)</f>
        <v/>
      </c>
      <c r="W524" s="2" t="n"/>
      <c r="X524" s="2" t="n">
        <v>74</v>
      </c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>
        <v>74</v>
      </c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>
        <f>IF(F524=1,V524*2,IF(F524=2,V524*F524*2,IF(F524&gt;2,F524*2*V524)))</f>
        <v/>
      </c>
      <c r="AW524" s="2">
        <f>SUM(W524:AU524)</f>
        <v/>
      </c>
    </row>
    <row r="525">
      <c r="A525" s="2" t="inlineStr">
        <is>
          <t>14-K-B317</t>
        </is>
      </c>
      <c r="B525" s="3" t="inlineStr">
        <is>
          <t>OJC-A1-LC/LC-MM(OM3)-17-PC/PC-DP</t>
        </is>
      </c>
      <c r="C525" s="2" t="inlineStr"/>
      <c r="D525" s="2" t="inlineStr">
        <is>
          <t>om3</t>
        </is>
      </c>
      <c r="E525" s="2" t="inlineStr">
        <is>
          <t>2.0mm</t>
        </is>
      </c>
      <c r="F525" s="2" t="n">
        <v>2</v>
      </c>
      <c r="G525" s="2" t="n">
        <v>17</v>
      </c>
      <c r="H525" s="2" t="inlineStr">
        <is>
          <t>LC/PC</t>
        </is>
      </c>
      <c r="I525" s="2" t="inlineStr">
        <is>
          <t>LC/PC</t>
        </is>
      </c>
      <c r="J525" s="2" t="n">
        <v>12</v>
      </c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>
        <f>SUM(J525:U525)</f>
        <v/>
      </c>
      <c r="W525" s="2" t="n"/>
      <c r="X525" s="2" t="n">
        <v>24</v>
      </c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>
        <v>24</v>
      </c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>
        <f>IF(F525=1,V525*2,IF(F525=2,V525*F525*2,IF(F525&gt;2,F525*2*V525)))</f>
        <v/>
      </c>
      <c r="AW525" s="2">
        <f>SUM(W525:AU525)</f>
        <v/>
      </c>
    </row>
    <row r="526">
      <c r="A526" s="2" t="inlineStr">
        <is>
          <t>14-K-B318</t>
        </is>
      </c>
      <c r="B526" s="3" t="inlineStr">
        <is>
          <t>OJC-A1-LC/LC-MM(OM3)-19-PC/PC-DP</t>
        </is>
      </c>
      <c r="C526" s="2" t="inlineStr"/>
      <c r="D526" s="2" t="inlineStr">
        <is>
          <t>om3</t>
        </is>
      </c>
      <c r="E526" s="2" t="inlineStr">
        <is>
          <t>2.0mm</t>
        </is>
      </c>
      <c r="F526" s="2" t="n">
        <v>2</v>
      </c>
      <c r="G526" s="2" t="n">
        <v>19</v>
      </c>
      <c r="H526" s="2" t="inlineStr">
        <is>
          <t>LC/PC</t>
        </is>
      </c>
      <c r="I526" s="2" t="inlineStr">
        <is>
          <t>LC/PC</t>
        </is>
      </c>
      <c r="J526" s="2" t="n">
        <v>67</v>
      </c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>
        <f>SUM(J526:U526)</f>
        <v/>
      </c>
      <c r="W526" s="2" t="n"/>
      <c r="X526" s="2" t="n">
        <v>134</v>
      </c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>
        <v>134</v>
      </c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>
        <f>IF(F526=1,V526*2,IF(F526=2,V526*F526*2,IF(F526&gt;2,F526*2*V526)))</f>
        <v/>
      </c>
      <c r="AW526" s="2">
        <f>SUM(W526:AU526)</f>
        <v/>
      </c>
    </row>
    <row r="527">
      <c r="A527" s="2" t="inlineStr">
        <is>
          <t>14-K-B319</t>
        </is>
      </c>
      <c r="B527" s="3" t="inlineStr">
        <is>
          <t>OJC-A1-LC/LC-MM-11-PC/PC-DP</t>
        </is>
      </c>
      <c r="C527" s="2" t="inlineStr"/>
      <c r="D527" s="2" t="inlineStr">
        <is>
          <t>om1</t>
        </is>
      </c>
      <c r="E527" s="2" t="inlineStr">
        <is>
          <t>2.0mm</t>
        </is>
      </c>
      <c r="F527" s="2" t="n">
        <v>2</v>
      </c>
      <c r="G527" s="2" t="n">
        <v>11</v>
      </c>
      <c r="H527" s="2" t="inlineStr">
        <is>
          <t>LC/PC</t>
        </is>
      </c>
      <c r="I527" s="2" t="inlineStr">
        <is>
          <t>LC/PC</t>
        </is>
      </c>
      <c r="J527" s="2" t="n">
        <v>5</v>
      </c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>
        <f>SUM(J527:U527)</f>
        <v/>
      </c>
      <c r="W527" s="2" t="n"/>
      <c r="X527" s="2" t="n">
        <v>10</v>
      </c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>
        <v>10</v>
      </c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>
        <f>IF(F527=1,V527*2,IF(F527=2,V527*F527*2,IF(F527&gt;2,F527*2*V527)))</f>
        <v/>
      </c>
      <c r="AW527" s="2">
        <f>SUM(W527:AU527)</f>
        <v/>
      </c>
    </row>
    <row r="528">
      <c r="A528" s="2" t="inlineStr">
        <is>
          <t>14-K-B320</t>
        </is>
      </c>
      <c r="B528" s="3" t="inlineStr">
        <is>
          <t>OJC-A1-LC/LC-MM-31-PC/PC-DP</t>
        </is>
      </c>
      <c r="C528" s="2" t="inlineStr"/>
      <c r="D528" s="2" t="inlineStr">
        <is>
          <t>om1</t>
        </is>
      </c>
      <c r="E528" s="2" t="inlineStr">
        <is>
          <t>2.0mm</t>
        </is>
      </c>
      <c r="F528" s="2" t="n">
        <v>2</v>
      </c>
      <c r="G528" s="2" t="n">
        <v>31</v>
      </c>
      <c r="H528" s="2" t="inlineStr">
        <is>
          <t>LC/PC</t>
        </is>
      </c>
      <c r="I528" s="2" t="inlineStr">
        <is>
          <t>LC/PC</t>
        </is>
      </c>
      <c r="J528" s="2" t="n">
        <v>1</v>
      </c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>
        <f>SUM(J528:U528)</f>
        <v/>
      </c>
      <c r="W528" s="2" t="n"/>
      <c r="X528" s="2" t="n">
        <v>2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>
        <v>2</v>
      </c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>
        <f>IF(F528=1,V528*2,IF(F528=2,V528*F528*2,IF(F528&gt;2,F528*2*V528)))</f>
        <v/>
      </c>
      <c r="AW528" s="2">
        <f>SUM(W528:AU528)</f>
        <v/>
      </c>
    </row>
    <row r="529">
      <c r="A529" s="2" t="inlineStr">
        <is>
          <t>14-K-B321</t>
        </is>
      </c>
      <c r="B529" s="3" t="inlineStr">
        <is>
          <t>OJC-A1-SC/SC-SM-0.8-PC/PC-SP</t>
        </is>
      </c>
      <c r="C529" s="2" t="inlineStr"/>
      <c r="D529" s="2" t="inlineStr">
        <is>
          <t>a1</t>
        </is>
      </c>
      <c r="E529" s="2" t="inlineStr">
        <is>
          <t>2.0mm</t>
        </is>
      </c>
      <c r="F529" s="2" t="n">
        <v>1</v>
      </c>
      <c r="G529" s="2" t="n">
        <v>0.8</v>
      </c>
      <c r="H529" s="2" t="inlineStr">
        <is>
          <t>SC/PC</t>
        </is>
      </c>
      <c r="I529" s="2" t="inlineStr">
        <is>
          <t>SC/PC</t>
        </is>
      </c>
      <c r="J529" s="2" t="n">
        <v>188</v>
      </c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>
        <f>SUM(J529:U529)</f>
        <v/>
      </c>
      <c r="W529" s="2" t="n"/>
      <c r="X529" s="2" t="n"/>
      <c r="Y529" s="2" t="n"/>
      <c r="Z529" s="2" t="n"/>
      <c r="AA529" s="2" t="n">
        <v>376</v>
      </c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>
        <f>IF(F529=1,V529*2,IF(F529=2,V529*F529*2,IF(F529&gt;2,F529*2*V529)))</f>
        <v/>
      </c>
      <c r="AW529" s="2">
        <f>SUM(W529:AU529)</f>
        <v/>
      </c>
    </row>
    <row r="530">
      <c r="A530" s="2" t="inlineStr">
        <is>
          <t>14-K-B322</t>
        </is>
      </c>
      <c r="B530" s="3" t="inlineStr">
        <is>
          <t>OJC-A1-SC/LC-SM-2-PC/PC-SP</t>
        </is>
      </c>
      <c r="C530" s="2" t="inlineStr">
        <is>
          <t>적색</t>
        </is>
      </c>
      <c r="D530" s="2" t="inlineStr">
        <is>
          <t>a1-적</t>
        </is>
      </c>
      <c r="E530" s="2" t="inlineStr">
        <is>
          <t>2.0mm</t>
        </is>
      </c>
      <c r="F530" s="2" t="n">
        <v>1</v>
      </c>
      <c r="G530" s="2" t="n">
        <v>2</v>
      </c>
      <c r="H530" s="2" t="inlineStr">
        <is>
          <t>SC/PC</t>
        </is>
      </c>
      <c r="I530" s="2" t="inlineStr">
        <is>
          <t>LC/PC</t>
        </is>
      </c>
      <c r="J530" s="2" t="n"/>
      <c r="K530" s="2" t="n">
        <v>11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>
        <f>SUM(J530:U530)</f>
        <v/>
      </c>
      <c r="W530" s="2" t="n">
        <v>11</v>
      </c>
      <c r="X530" s="2" t="n"/>
      <c r="Y530" s="2" t="n"/>
      <c r="Z530" s="2" t="n"/>
      <c r="AA530" s="2" t="n">
        <v>11</v>
      </c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>
        <f>IF(F530=1,V530*2,IF(F530=2,V530*F530*2,IF(F530&gt;2,F530*2*V530)))</f>
        <v/>
      </c>
      <c r="AW530" s="2">
        <f>SUM(W530:AU530)</f>
        <v/>
      </c>
    </row>
    <row r="531">
      <c r="A531" s="2" t="inlineStr">
        <is>
          <t>14-K-B323</t>
        </is>
      </c>
      <c r="B531" s="3" t="inlineStr">
        <is>
          <t>OJC-A1-SC/SC-SM-6-PC/PC-DP</t>
        </is>
      </c>
      <c r="C531" s="2" t="inlineStr">
        <is>
          <t>적색</t>
        </is>
      </c>
      <c r="D531" s="2" t="inlineStr">
        <is>
          <t>a1-적</t>
        </is>
      </c>
      <c r="E531" s="2" t="inlineStr">
        <is>
          <t>2.0mm</t>
        </is>
      </c>
      <c r="F531" s="2" t="n">
        <v>2</v>
      </c>
      <c r="G531" s="2" t="n">
        <v>6</v>
      </c>
      <c r="H531" s="2" t="inlineStr">
        <is>
          <t>SC/PC</t>
        </is>
      </c>
      <c r="I531" s="2" t="inlineStr">
        <is>
          <t>SC/PC</t>
        </is>
      </c>
      <c r="J531" s="2" t="n"/>
      <c r="K531" s="2" t="n">
        <v>20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>
        <f>SUM(J531:U531)</f>
        <v/>
      </c>
      <c r="W531" s="2" t="n"/>
      <c r="X531" s="2" t="n"/>
      <c r="Y531" s="2" t="n"/>
      <c r="Z531" s="2" t="n"/>
      <c r="AA531" s="2" t="n">
        <v>40</v>
      </c>
      <c r="AB531" s="2" t="n">
        <v>40</v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>
        <f>IF(F531=1,V531*2,IF(F531=2,V531*F531*2,IF(F531&gt;2,F531*2*V531)))</f>
        <v/>
      </c>
      <c r="AW531" s="2">
        <f>SUM(W531:AU531)</f>
        <v/>
      </c>
    </row>
    <row r="532">
      <c r="A532" s="2" t="inlineStr">
        <is>
          <t>14-K-B326</t>
        </is>
      </c>
      <c r="B532" s="3" t="inlineStr">
        <is>
          <t>OJC-A1-SC/LC-SM-5-APC/PC-SP</t>
        </is>
      </c>
      <c r="C532" s="2" t="inlineStr"/>
      <c r="D532" s="2" t="inlineStr">
        <is>
          <t>a1</t>
        </is>
      </c>
      <c r="E532" s="2" t="inlineStr">
        <is>
          <t>2.0mm</t>
        </is>
      </c>
      <c r="F532" s="2" t="n">
        <v>1</v>
      </c>
      <c r="G532" s="2" t="n">
        <v>5</v>
      </c>
      <c r="H532" s="2" t="inlineStr">
        <is>
          <t>SC/APC</t>
        </is>
      </c>
      <c r="I532" s="2" t="inlineStr">
        <is>
          <t>LC/PC</t>
        </is>
      </c>
      <c r="J532" s="2" t="n"/>
      <c r="K532" s="2" t="n"/>
      <c r="L532" s="2" t="n">
        <v>55</v>
      </c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>
        <f>SUM(J532:U532)</f>
        <v/>
      </c>
      <c r="W532" s="2" t="n">
        <v>55</v>
      </c>
      <c r="X532" s="2" t="n"/>
      <c r="Y532" s="2" t="n"/>
      <c r="Z532" s="2" t="n"/>
      <c r="AA532" s="2" t="n"/>
      <c r="AB532" s="2" t="n"/>
      <c r="AC532" s="2" t="n">
        <v>55</v>
      </c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>
        <f>IF(F532=1,V532*2,IF(F532=2,V532*F532*2,IF(F532&gt;2,F532*2*V532)))</f>
        <v/>
      </c>
      <c r="AW532" s="2">
        <f>SUM(W532:AU532)</f>
        <v/>
      </c>
    </row>
    <row r="533">
      <c r="A533" s="2" t="inlineStr">
        <is>
          <t>14-K-B327</t>
        </is>
      </c>
      <c r="B533" s="3" t="inlineStr">
        <is>
          <t>OJC-A1-LC/LC-MM(OM3)-1.5-PC/PC-DP</t>
        </is>
      </c>
      <c r="C533" s="2" t="inlineStr"/>
      <c r="D533" s="2" t="inlineStr">
        <is>
          <t>om3</t>
        </is>
      </c>
      <c r="E533" s="2" t="inlineStr">
        <is>
          <t>2.0mm</t>
        </is>
      </c>
      <c r="F533" s="2" t="n">
        <v>2</v>
      </c>
      <c r="G533" s="2" t="n">
        <v>1.5</v>
      </c>
      <c r="H533" s="2" t="inlineStr">
        <is>
          <t>LC/PC</t>
        </is>
      </c>
      <c r="I533" s="2" t="inlineStr">
        <is>
          <t>LC/PC</t>
        </is>
      </c>
      <c r="J533" s="2" t="n"/>
      <c r="K533" s="2" t="n"/>
      <c r="L533" s="2" t="n"/>
      <c r="M533" s="2" t="n">
        <v>6</v>
      </c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>
        <f>SUM(J533:U533)</f>
        <v/>
      </c>
      <c r="W533" s="2" t="n"/>
      <c r="X533" s="2" t="n">
        <v>12</v>
      </c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>
        <v>12</v>
      </c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>
        <f>IF(F533=1,V533*2,IF(F533=2,V533*F533*2,IF(F533&gt;2,F533*2*V533)))</f>
        <v/>
      </c>
      <c r="AW533" s="2">
        <f>SUM(W533:AU533)</f>
        <v/>
      </c>
    </row>
    <row r="534">
      <c r="A534" s="2" t="inlineStr">
        <is>
          <t>14-K-B328</t>
        </is>
      </c>
      <c r="B534" s="3" t="inlineStr">
        <is>
          <t>OJC-A1-LC/LC-SM-29-PC/PC-DP</t>
        </is>
      </c>
      <c r="C534" s="2" t="inlineStr">
        <is>
          <t>자색</t>
        </is>
      </c>
      <c r="D534" s="2" t="inlineStr">
        <is>
          <t>a1-자</t>
        </is>
      </c>
      <c r="E534" s="2" t="inlineStr">
        <is>
          <t>2.0mm</t>
        </is>
      </c>
      <c r="F534" s="2" t="n">
        <v>2</v>
      </c>
      <c r="G534" s="2" t="n">
        <v>29</v>
      </c>
      <c r="H534" s="2" t="inlineStr">
        <is>
          <t>LC/PC</t>
        </is>
      </c>
      <c r="I534" s="2" t="inlineStr">
        <is>
          <t>LC/PC</t>
        </is>
      </c>
      <c r="J534" s="2" t="n"/>
      <c r="K534" s="2" t="n"/>
      <c r="L534" s="2" t="n"/>
      <c r="M534" s="2" t="n"/>
      <c r="N534" s="2" t="n">
        <v>3</v>
      </c>
      <c r="O534" s="2" t="n"/>
      <c r="P534" s="2" t="n"/>
      <c r="Q534" s="2" t="n"/>
      <c r="R534" s="2" t="n"/>
      <c r="S534" s="2" t="n"/>
      <c r="T534" s="2" t="n"/>
      <c r="U534" s="2" t="n"/>
      <c r="V534" s="2">
        <f>SUM(J534:U534)</f>
        <v/>
      </c>
      <c r="W534" s="2" t="n">
        <v>6</v>
      </c>
      <c r="X534" s="2" t="n">
        <v>6</v>
      </c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>
        <f>IF(F534=1,V534*2,IF(F534=2,V534*F534*2,IF(F534&gt;2,F534*2*V534)))</f>
        <v/>
      </c>
      <c r="AW534" s="2">
        <f>SUM(W534:AU534)</f>
        <v/>
      </c>
    </row>
    <row r="535">
      <c r="A535" s="2" t="inlineStr">
        <is>
          <t>14-K-B341</t>
        </is>
      </c>
      <c r="B535" s="3" t="inlineStr">
        <is>
          <t>OJC-A1-SC/LC-SM-15-APC/PC-SP</t>
        </is>
      </c>
      <c r="C535" s="2" t="inlineStr"/>
      <c r="D535" s="2" t="inlineStr">
        <is>
          <t>a1</t>
        </is>
      </c>
      <c r="E535" s="2" t="inlineStr">
        <is>
          <t>2.0mm</t>
        </is>
      </c>
      <c r="F535" s="2" t="n">
        <v>1</v>
      </c>
      <c r="G535" s="2" t="n">
        <v>15</v>
      </c>
      <c r="H535" s="2" t="inlineStr">
        <is>
          <t>SC/APC</t>
        </is>
      </c>
      <c r="I535" s="2" t="inlineStr">
        <is>
          <t>LC/PC</t>
        </is>
      </c>
      <c r="J535" s="2" t="n"/>
      <c r="K535" s="2" t="n"/>
      <c r="L535" s="2" t="n"/>
      <c r="M535" s="2" t="n"/>
      <c r="N535" s="2" t="n"/>
      <c r="O535" s="2" t="n">
        <v>50</v>
      </c>
      <c r="P535" s="2" t="n"/>
      <c r="Q535" s="2" t="n"/>
      <c r="R535" s="2" t="n"/>
      <c r="S535" s="2" t="n"/>
      <c r="T535" s="2" t="n"/>
      <c r="U535" s="2" t="n"/>
      <c r="V535" s="2">
        <f>SUM(J535:U535)</f>
        <v/>
      </c>
      <c r="W535" s="2" t="n">
        <v>50</v>
      </c>
      <c r="X535" s="2" t="n"/>
      <c r="Y535" s="2" t="n"/>
      <c r="Z535" s="2" t="n"/>
      <c r="AA535" s="2" t="n"/>
      <c r="AB535" s="2" t="n"/>
      <c r="AC535" s="2" t="n">
        <v>50</v>
      </c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>
        <f>IF(F535=1,V535*2,IF(F535=2,V535*F535*2,IF(F535&gt;2,F535*2*V535)))</f>
        <v/>
      </c>
      <c r="AW535" s="2">
        <f>SUM(W535:AU535)</f>
        <v/>
      </c>
    </row>
    <row r="536">
      <c r="A536" s="2" t="inlineStr">
        <is>
          <t>14-K-B343</t>
        </is>
      </c>
      <c r="B536" s="3" t="inlineStr">
        <is>
          <t>OJC-C2-LC/LC-SM-35-PC/PC-4C</t>
        </is>
      </c>
      <c r="C536" s="2" t="inlineStr">
        <is>
          <t>양단분기부 2M</t>
        </is>
      </c>
      <c r="D536" s="2" t="inlineStr">
        <is>
          <t>b3-4c</t>
        </is>
      </c>
      <c r="E536" s="2" t="inlineStr">
        <is>
          <t>2.0mm</t>
        </is>
      </c>
      <c r="F536" s="2" t="n">
        <v>4</v>
      </c>
      <c r="G536" s="2" t="n">
        <v>35</v>
      </c>
      <c r="H536" s="2" t="inlineStr">
        <is>
          <t>LC/PC</t>
        </is>
      </c>
      <c r="I536" s="2" t="inlineStr">
        <is>
          <t>LC/PC</t>
        </is>
      </c>
      <c r="J536" s="2" t="n"/>
      <c r="K536" s="2" t="n"/>
      <c r="L536" s="2" t="n"/>
      <c r="M536" s="2" t="n"/>
      <c r="N536" s="2" t="n"/>
      <c r="O536" s="2" t="n">
        <v>5</v>
      </c>
      <c r="P536" s="2" t="n"/>
      <c r="Q536" s="2" t="n"/>
      <c r="R536" s="2" t="n"/>
      <c r="S536" s="2" t="n"/>
      <c r="T536" s="2" t="n"/>
      <c r="U536" s="2" t="n"/>
      <c r="V536" s="2">
        <f>SUM(J536:U536)</f>
        <v/>
      </c>
      <c r="W536" s="2" t="n">
        <v>40</v>
      </c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>
        <f>IF(F536=1,V536*2,IF(F536=2,V536*F536*2,IF(F536&gt;2,F536*2*V536)))</f>
        <v/>
      </c>
      <c r="AW536" s="2">
        <f>SUM(W536:AU536)</f>
        <v/>
      </c>
    </row>
    <row r="537">
      <c r="A537" s="2" t="inlineStr">
        <is>
          <t>14-K-B344</t>
        </is>
      </c>
      <c r="B537" s="3" t="inlineStr">
        <is>
          <t>OJC-C2-SC/SC-SM-13-PC/PC-16C</t>
        </is>
      </c>
      <c r="C537" s="2" t="inlineStr">
        <is>
          <t>양단 분기부 1.5M</t>
        </is>
      </c>
      <c r="D537" s="2" t="inlineStr">
        <is>
          <t>a1-16c</t>
        </is>
      </c>
      <c r="E537" s="2" t="inlineStr">
        <is>
          <t>2.0mm</t>
        </is>
      </c>
      <c r="F537" s="2" t="n">
        <v>16</v>
      </c>
      <c r="G537" s="2" t="n">
        <v>13</v>
      </c>
      <c r="H537" s="2" t="inlineStr">
        <is>
          <t>SC/PC</t>
        </is>
      </c>
      <c r="I537" s="2" t="inlineStr">
        <is>
          <t>SC/PC</t>
        </is>
      </c>
      <c r="J537" s="2" t="n"/>
      <c r="K537" s="2" t="n"/>
      <c r="L537" s="2" t="n"/>
      <c r="M537" s="2" t="n"/>
      <c r="N537" s="2" t="n"/>
      <c r="O537" s="2" t="n">
        <v>5</v>
      </c>
      <c r="P537" s="2" t="n"/>
      <c r="Q537" s="2" t="n"/>
      <c r="R537" s="2" t="n"/>
      <c r="S537" s="2" t="n"/>
      <c r="T537" s="2" t="n"/>
      <c r="U537" s="2" t="n"/>
      <c r="V537" s="2">
        <f>SUM(J537:U537)</f>
        <v/>
      </c>
      <c r="W537" s="2" t="n"/>
      <c r="X537" s="2" t="n"/>
      <c r="Y537" s="2" t="n"/>
      <c r="Z537" s="2" t="n"/>
      <c r="AA537" s="2" t="n">
        <v>160</v>
      </c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>
        <f>IF(F537=1,V537*2,IF(F537=2,V537*F537*2,IF(F537&gt;2,F537*2*V537)))</f>
        <v/>
      </c>
      <c r="AW537" s="2">
        <f>SUM(W537:AU537)</f>
        <v/>
      </c>
    </row>
    <row r="538">
      <c r="A538" s="2" t="inlineStr">
        <is>
          <t>14-K-B345</t>
        </is>
      </c>
      <c r="B538" s="3" t="inlineStr">
        <is>
          <t>OJC-C2-SC/SC-SM-15-PC/PC-16C</t>
        </is>
      </c>
      <c r="C538" s="2" t="inlineStr">
        <is>
          <t>양단 분기부 1.5M</t>
        </is>
      </c>
      <c r="D538" s="2" t="inlineStr">
        <is>
          <t>a1-16c</t>
        </is>
      </c>
      <c r="E538" s="2" t="inlineStr">
        <is>
          <t>2.0mm</t>
        </is>
      </c>
      <c r="F538" s="2" t="n">
        <v>16</v>
      </c>
      <c r="G538" s="2" t="n">
        <v>15</v>
      </c>
      <c r="H538" s="2" t="inlineStr">
        <is>
          <t>SC/PC</t>
        </is>
      </c>
      <c r="I538" s="2" t="inlineStr">
        <is>
          <t>SC/PC</t>
        </is>
      </c>
      <c r="J538" s="2" t="n"/>
      <c r="K538" s="2" t="n"/>
      <c r="L538" s="2" t="n"/>
      <c r="M538" s="2" t="n"/>
      <c r="N538" s="2" t="n"/>
      <c r="O538" s="2" t="n">
        <v>5</v>
      </c>
      <c r="P538" s="2" t="n"/>
      <c r="Q538" s="2" t="n"/>
      <c r="R538" s="2" t="n"/>
      <c r="S538" s="2" t="n"/>
      <c r="T538" s="2" t="n"/>
      <c r="U538" s="2" t="n"/>
      <c r="V538" s="2">
        <f>SUM(J538:U538)</f>
        <v/>
      </c>
      <c r="W538" s="2" t="n"/>
      <c r="X538" s="2" t="n"/>
      <c r="Y538" s="2" t="n"/>
      <c r="Z538" s="2" t="n"/>
      <c r="AA538" s="2" t="n">
        <v>160</v>
      </c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>
        <f>IF(F538=1,V538*2,IF(F538=2,V538*F538*2,IF(F538&gt;2,F538*2*V538)))</f>
        <v/>
      </c>
      <c r="AW538" s="2">
        <f>SUM(W538:AU538)</f>
        <v/>
      </c>
    </row>
    <row r="539">
      <c r="A539" s="2" t="inlineStr">
        <is>
          <t>14-K-B346</t>
        </is>
      </c>
      <c r="B539" s="3" t="inlineStr">
        <is>
          <t>OJC-C2-SC/SC-SM-20-PC/PC-16C</t>
        </is>
      </c>
      <c r="C539" s="2" t="inlineStr">
        <is>
          <t>양단 분기부 1.5M</t>
        </is>
      </c>
      <c r="D539" s="2" t="inlineStr">
        <is>
          <t>a1-16c</t>
        </is>
      </c>
      <c r="E539" s="2" t="inlineStr">
        <is>
          <t>2.0mm</t>
        </is>
      </c>
      <c r="F539" s="2" t="n">
        <v>16</v>
      </c>
      <c r="G539" s="2" t="n">
        <v>20</v>
      </c>
      <c r="H539" s="2" t="inlineStr">
        <is>
          <t>SC/PC</t>
        </is>
      </c>
      <c r="I539" s="2" t="inlineStr">
        <is>
          <t>SC/PC</t>
        </is>
      </c>
      <c r="J539" s="2" t="n"/>
      <c r="K539" s="2" t="n"/>
      <c r="L539" s="2" t="n"/>
      <c r="M539" s="2" t="n"/>
      <c r="N539" s="2" t="n"/>
      <c r="O539" s="2" t="n">
        <v>5</v>
      </c>
      <c r="P539" s="2" t="n"/>
      <c r="Q539" s="2" t="n"/>
      <c r="R539" s="2" t="n"/>
      <c r="S539" s="2" t="n"/>
      <c r="T539" s="2" t="n"/>
      <c r="U539" s="2" t="n"/>
      <c r="V539" s="2">
        <f>SUM(J539:U539)</f>
        <v/>
      </c>
      <c r="W539" s="2" t="n"/>
      <c r="X539" s="2" t="n"/>
      <c r="Y539" s="2" t="n"/>
      <c r="Z539" s="2" t="n"/>
      <c r="AA539" s="2" t="n">
        <v>160</v>
      </c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>
        <f>IF(F539=1,V539*2,IF(F539=2,V539*F539*2,IF(F539&gt;2,F539*2*V539)))</f>
        <v/>
      </c>
      <c r="AW539" s="2">
        <f>SUM(W539:AU539)</f>
        <v/>
      </c>
    </row>
    <row r="540">
      <c r="A540" s="2" t="inlineStr">
        <is>
          <t>14-K-B347</t>
        </is>
      </c>
      <c r="B540" s="3" t="inlineStr">
        <is>
          <t>OJC-C2-SC/SC-SM-25-PC/PC-16C</t>
        </is>
      </c>
      <c r="C540" s="2" t="inlineStr">
        <is>
          <t>양단 분기부 1.5M</t>
        </is>
      </c>
      <c r="D540" s="2" t="inlineStr">
        <is>
          <t>a1-16c</t>
        </is>
      </c>
      <c r="E540" s="2" t="inlineStr">
        <is>
          <t>2.0mm</t>
        </is>
      </c>
      <c r="F540" s="2" t="n">
        <v>16</v>
      </c>
      <c r="G540" s="2" t="n">
        <v>25</v>
      </c>
      <c r="H540" s="2" t="inlineStr">
        <is>
          <t>SC/PC</t>
        </is>
      </c>
      <c r="I540" s="2" t="inlineStr">
        <is>
          <t>SC/PC</t>
        </is>
      </c>
      <c r="J540" s="2" t="n"/>
      <c r="K540" s="2" t="n"/>
      <c r="L540" s="2" t="n"/>
      <c r="M540" s="2" t="n"/>
      <c r="N540" s="2" t="n"/>
      <c r="O540" s="2" t="n">
        <v>5</v>
      </c>
      <c r="P540" s="2" t="n"/>
      <c r="Q540" s="2" t="n"/>
      <c r="R540" s="2" t="n"/>
      <c r="S540" s="2" t="n"/>
      <c r="T540" s="2" t="n"/>
      <c r="U540" s="2" t="n"/>
      <c r="V540" s="2">
        <f>SUM(J540:U540)</f>
        <v/>
      </c>
      <c r="W540" s="2" t="n"/>
      <c r="X540" s="2" t="n"/>
      <c r="Y540" s="2" t="n"/>
      <c r="Z540" s="2" t="n"/>
      <c r="AA540" s="2" t="n">
        <v>160</v>
      </c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>
        <f>IF(F540=1,V540*2,IF(F540=2,V540*F540*2,IF(F540&gt;2,F540*2*V540)))</f>
        <v/>
      </c>
      <c r="AW540" s="2">
        <f>SUM(W540:AU540)</f>
        <v/>
      </c>
    </row>
    <row r="541">
      <c r="A541" s="2" t="inlineStr">
        <is>
          <t>14-K-B348</t>
        </is>
      </c>
      <c r="B541" s="3" t="inlineStr">
        <is>
          <t>OJC-C2-SC/SC-SM-30-PC/PC-16C</t>
        </is>
      </c>
      <c r="C541" s="2" t="inlineStr">
        <is>
          <t>양단 분기부 1.5M</t>
        </is>
      </c>
      <c r="D541" s="2" t="inlineStr">
        <is>
          <t>a1-16c</t>
        </is>
      </c>
      <c r="E541" s="2" t="inlineStr">
        <is>
          <t>2.0mm</t>
        </is>
      </c>
      <c r="F541" s="2" t="n">
        <v>16</v>
      </c>
      <c r="G541" s="2" t="n">
        <v>30</v>
      </c>
      <c r="H541" s="2" t="inlineStr">
        <is>
          <t>SC/PC</t>
        </is>
      </c>
      <c r="I541" s="2" t="inlineStr">
        <is>
          <t>SC/PC</t>
        </is>
      </c>
      <c r="J541" s="2" t="n"/>
      <c r="K541" s="2" t="n"/>
      <c r="L541" s="2" t="n"/>
      <c r="M541" s="2" t="n"/>
      <c r="N541" s="2" t="n"/>
      <c r="O541" s="2" t="n">
        <v>5</v>
      </c>
      <c r="P541" s="2" t="n"/>
      <c r="Q541" s="2" t="n"/>
      <c r="R541" s="2" t="n"/>
      <c r="S541" s="2" t="n"/>
      <c r="T541" s="2" t="n"/>
      <c r="U541" s="2" t="n"/>
      <c r="V541" s="2">
        <f>SUM(J541:U541)</f>
        <v/>
      </c>
      <c r="W541" s="2" t="n"/>
      <c r="X541" s="2" t="n"/>
      <c r="Y541" s="2" t="n"/>
      <c r="Z541" s="2" t="n"/>
      <c r="AA541" s="2" t="n">
        <v>160</v>
      </c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>
        <f>IF(F541=1,V541*2,IF(F541=2,V541*F541*2,IF(F541&gt;2,F541*2*V541)))</f>
        <v/>
      </c>
      <c r="AW541" s="2">
        <f>SUM(W541:AU541)</f>
        <v/>
      </c>
    </row>
    <row r="542">
      <c r="A542" s="2" t="inlineStr">
        <is>
          <t>14-K-B350</t>
        </is>
      </c>
      <c r="B542" s="3" t="inlineStr">
        <is>
          <t>OJC-A1-SC/SC-SM-13-PC/PC-DP</t>
        </is>
      </c>
      <c r="C542" s="2" t="inlineStr">
        <is>
          <t>K9089135_녹색</t>
        </is>
      </c>
      <c r="D542" s="2" t="inlineStr">
        <is>
          <t>a1-녹</t>
        </is>
      </c>
      <c r="E542" s="2" t="inlineStr">
        <is>
          <t>2.0mm</t>
        </is>
      </c>
      <c r="F542" s="2" t="n">
        <v>2</v>
      </c>
      <c r="G542" s="2" t="n">
        <v>13</v>
      </c>
      <c r="H542" s="2" t="inlineStr">
        <is>
          <t>SC/PC</t>
        </is>
      </c>
      <c r="I542" s="2" t="inlineStr">
        <is>
          <t>SC/PC</t>
        </is>
      </c>
      <c r="J542" s="2" t="n"/>
      <c r="K542" s="2" t="n"/>
      <c r="L542" s="2" t="n"/>
      <c r="M542" s="2" t="n"/>
      <c r="N542" s="2" t="n"/>
      <c r="O542" s="2" t="n">
        <v>11</v>
      </c>
      <c r="P542" s="2" t="n"/>
      <c r="Q542" s="2" t="n"/>
      <c r="R542" s="2" t="n"/>
      <c r="S542" s="2" t="n"/>
      <c r="T542" s="2" t="n">
        <v>1</v>
      </c>
      <c r="U542" s="2" t="n"/>
      <c r="V542" s="2">
        <f>SUM(J542:U542)</f>
        <v/>
      </c>
      <c r="W542" s="2" t="n"/>
      <c r="X542" s="2" t="n"/>
      <c r="Y542" s="2" t="n"/>
      <c r="Z542" s="2" t="n"/>
      <c r="AA542" s="2" t="n">
        <v>24</v>
      </c>
      <c r="AB542" s="2" t="n">
        <v>24</v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>
        <f>IF(F542=1,V542*2,IF(F542=2,V542*F542*2,IF(F542&gt;2,F542*2*V542)))</f>
        <v/>
      </c>
      <c r="AW542" s="2">
        <f>SUM(W542:AU542)</f>
        <v/>
      </c>
    </row>
    <row r="543">
      <c r="A543" s="2" t="inlineStr">
        <is>
          <t>14-K-B351</t>
        </is>
      </c>
      <c r="B543" s="3" t="inlineStr">
        <is>
          <t>OJC-A1-SC/LC-SM-0.5-APC/PC-SP</t>
        </is>
      </c>
      <c r="C543" s="2" t="inlineStr"/>
      <c r="D543" s="2" t="inlineStr">
        <is>
          <t>a1</t>
        </is>
      </c>
      <c r="E543" s="2" t="inlineStr">
        <is>
          <t>2.0mm</t>
        </is>
      </c>
      <c r="F543" s="2" t="n">
        <v>1</v>
      </c>
      <c r="G543" s="2" t="n">
        <v>0.5</v>
      </c>
      <c r="H543" s="2" t="inlineStr">
        <is>
          <t>SC/APC</t>
        </is>
      </c>
      <c r="I543" s="2" t="inlineStr">
        <is>
          <t>LC/PC</t>
        </is>
      </c>
      <c r="J543" s="2" t="n"/>
      <c r="K543" s="2" t="n"/>
      <c r="L543" s="2" t="n"/>
      <c r="M543" s="2" t="n"/>
      <c r="N543" s="2" t="n"/>
      <c r="O543" s="2" t="n"/>
      <c r="P543" s="2" t="n">
        <v>5</v>
      </c>
      <c r="Q543" s="2" t="n"/>
      <c r="R543" s="2" t="n"/>
      <c r="S543" s="2" t="n"/>
      <c r="T543" s="2" t="n"/>
      <c r="U543" s="2" t="n"/>
      <c r="V543" s="2">
        <f>SUM(J543:U543)</f>
        <v/>
      </c>
      <c r="W543" s="2" t="n">
        <v>5</v>
      </c>
      <c r="X543" s="2" t="n"/>
      <c r="Y543" s="2" t="n"/>
      <c r="Z543" s="2" t="n"/>
      <c r="AA543" s="2" t="n"/>
      <c r="AB543" s="2" t="n"/>
      <c r="AC543" s="2" t="n">
        <v>5</v>
      </c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>
        <f>IF(F543=1,V543*2,IF(F543=2,V543*F543*2,IF(F543&gt;2,F543*2*V543)))</f>
        <v/>
      </c>
      <c r="AW543" s="2">
        <f>SUM(W543:AU543)</f>
        <v/>
      </c>
    </row>
    <row r="544">
      <c r="A544" s="2" t="inlineStr">
        <is>
          <t>14-K-B356</t>
        </is>
      </c>
      <c r="B544" s="3" t="inlineStr">
        <is>
          <t>OJC-A1-SC/SC-SM-12-APC/APC-SP</t>
        </is>
      </c>
      <c r="C544" s="2" t="inlineStr"/>
      <c r="D544" s="2" t="inlineStr">
        <is>
          <t>a1</t>
        </is>
      </c>
      <c r="E544" s="2" t="inlineStr">
        <is>
          <t>2.0mm</t>
        </is>
      </c>
      <c r="F544" s="2" t="n">
        <v>1</v>
      </c>
      <c r="G544" s="2" t="n">
        <v>12</v>
      </c>
      <c r="H544" s="2" t="inlineStr">
        <is>
          <t>SC/APC</t>
        </is>
      </c>
      <c r="I544" s="2" t="inlineStr">
        <is>
          <t>SC/APC</t>
        </is>
      </c>
      <c r="J544" s="2" t="n"/>
      <c r="K544" s="2" t="n"/>
      <c r="L544" s="2" t="n"/>
      <c r="M544" s="2" t="n"/>
      <c r="N544" s="2" t="n"/>
      <c r="O544" s="2" t="n"/>
      <c r="P544" s="2" t="n"/>
      <c r="Q544" s="2" t="n">
        <v>50</v>
      </c>
      <c r="R544" s="2" t="n"/>
      <c r="S544" s="2" t="n"/>
      <c r="T544" s="2" t="n"/>
      <c r="U544" s="2" t="n"/>
      <c r="V544" s="2">
        <f>SUM(J544:U544)</f>
        <v/>
      </c>
      <c r="W544" s="2" t="n"/>
      <c r="X544" s="2" t="n"/>
      <c r="Y544" s="2" t="n"/>
      <c r="Z544" s="2" t="n"/>
      <c r="AA544" s="2" t="n"/>
      <c r="AB544" s="2" t="n"/>
      <c r="AC544" s="2" t="n">
        <v>100</v>
      </c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>
        <f>IF(F544=1,V544*2,IF(F544=2,V544*F544*2,IF(F544&gt;2,F544*2*V544)))</f>
        <v/>
      </c>
      <c r="AW544" s="2">
        <f>SUM(W544:AU544)</f>
        <v/>
      </c>
    </row>
    <row r="545">
      <c r="A545" s="2" t="inlineStr">
        <is>
          <t>14-K-B357</t>
        </is>
      </c>
      <c r="B545" s="3" t="inlineStr">
        <is>
          <t>OJC-A1-LC/LC-SM-40-PC/PC-DP</t>
        </is>
      </c>
      <c r="C545" s="2" t="inlineStr">
        <is>
          <t>녹색</t>
        </is>
      </c>
      <c r="D545" s="2" t="inlineStr">
        <is>
          <t>a1-녹</t>
        </is>
      </c>
      <c r="E545" s="2" t="inlineStr">
        <is>
          <t>2.0mm</t>
        </is>
      </c>
      <c r="F545" s="2" t="n">
        <v>2</v>
      </c>
      <c r="G545" s="2" t="n">
        <v>40</v>
      </c>
      <c r="H545" s="2" t="inlineStr">
        <is>
          <t>LC/PC</t>
        </is>
      </c>
      <c r="I545" s="2" t="inlineStr">
        <is>
          <t>LC/PC</t>
        </is>
      </c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>
        <v>4</v>
      </c>
      <c r="T545" s="2" t="n"/>
      <c r="U545" s="2" t="n"/>
      <c r="V545" s="2">
        <f>SUM(J545:U545)</f>
        <v/>
      </c>
      <c r="W545" s="2" t="n">
        <v>8</v>
      </c>
      <c r="X545" s="2" t="n">
        <v>8</v>
      </c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>
        <f>IF(F545=1,V545*2,IF(F545=2,V545*F545*2,IF(F545&gt;2,F545*2*V545)))</f>
        <v/>
      </c>
      <c r="AW545" s="2">
        <f>SUM(W545:AU545)</f>
        <v/>
      </c>
    </row>
    <row r="546">
      <c r="A546" s="2" t="inlineStr">
        <is>
          <t>14-K-B358</t>
        </is>
      </c>
      <c r="B546" s="3" t="inlineStr">
        <is>
          <t>OJC-A1-LC/LC-SM-50-PC/PC-DP</t>
        </is>
      </c>
      <c r="C546" s="2" t="inlineStr">
        <is>
          <t>녹색</t>
        </is>
      </c>
      <c r="D546" s="2" t="inlineStr">
        <is>
          <t>a1-녹</t>
        </is>
      </c>
      <c r="E546" s="2" t="inlineStr">
        <is>
          <t>2.0mm</t>
        </is>
      </c>
      <c r="F546" s="2" t="n">
        <v>2</v>
      </c>
      <c r="G546" s="2" t="n">
        <v>50</v>
      </c>
      <c r="H546" s="2" t="inlineStr">
        <is>
          <t>LC/PC</t>
        </is>
      </c>
      <c r="I546" s="2" t="inlineStr">
        <is>
          <t>LC/PC</t>
        </is>
      </c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>
        <v>4</v>
      </c>
      <c r="T546" s="2" t="n"/>
      <c r="U546" s="2" t="n"/>
      <c r="V546" s="2">
        <f>SUM(J546:U546)</f>
        <v/>
      </c>
      <c r="W546" s="2" t="n">
        <v>8</v>
      </c>
      <c r="X546" s="2" t="n">
        <v>8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>
        <f>IF(F546=1,V546*2,IF(F546=2,V546*F546*2,IF(F546&gt;2,F546*2*V546)))</f>
        <v/>
      </c>
      <c r="AW546" s="2">
        <f>SUM(W546:AU546)</f>
        <v/>
      </c>
    </row>
    <row r="547">
      <c r="A547" s="2" t="inlineStr">
        <is>
          <t>14-K-B359</t>
        </is>
      </c>
      <c r="B547" s="3" t="inlineStr">
        <is>
          <t>OJC-A1-LC/LC-SM-1-PC/PC-DP</t>
        </is>
      </c>
      <c r="C547" s="2" t="inlineStr">
        <is>
          <t>적색</t>
        </is>
      </c>
      <c r="D547" s="2" t="inlineStr">
        <is>
          <t>a1-적</t>
        </is>
      </c>
      <c r="E547" s="2" t="inlineStr">
        <is>
          <t>2.0mm</t>
        </is>
      </c>
      <c r="F547" s="2" t="n">
        <v>2</v>
      </c>
      <c r="G547" s="2" t="n">
        <v>1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>
        <v>20</v>
      </c>
      <c r="U547" s="2" t="n"/>
      <c r="V547" s="2">
        <f>SUM(J547:U547)</f>
        <v/>
      </c>
      <c r="W547" s="2" t="n">
        <v>40</v>
      </c>
      <c r="X547" s="2" t="n">
        <v>40</v>
      </c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>
        <f>IF(F547=1,V547*2,IF(F547=2,V547*F547*2,IF(F547&gt;2,F547*2*V547)))</f>
        <v/>
      </c>
      <c r="AW547" s="2">
        <f>SUM(W547:AU547)</f>
        <v/>
      </c>
    </row>
    <row r="548">
      <c r="A548" s="2" t="inlineStr">
        <is>
          <t>14-K-B361</t>
        </is>
      </c>
      <c r="B548" s="3" t="inlineStr">
        <is>
          <t>OJC-C2-SC/SC-SM-15-PC/APC-12C</t>
        </is>
      </c>
      <c r="C548" s="2" t="inlineStr"/>
      <c r="D548" s="2" t="inlineStr">
        <is>
          <t>a1-12c</t>
        </is>
      </c>
      <c r="E548" s="2" t="inlineStr">
        <is>
          <t>2.0mm</t>
        </is>
      </c>
      <c r="F548" s="2" t="n">
        <v>12</v>
      </c>
      <c r="G548" s="2" t="n">
        <v>15</v>
      </c>
      <c r="H548" s="2" t="inlineStr">
        <is>
          <t>SC/PC</t>
        </is>
      </c>
      <c r="I548" s="2" t="inlineStr">
        <is>
          <t>SC/APC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>
        <v>1</v>
      </c>
      <c r="V548" s="2">
        <f>SUM(J548:U548)</f>
        <v/>
      </c>
      <c r="W548" s="2" t="n"/>
      <c r="X548" s="2" t="n"/>
      <c r="Y548" s="2" t="n"/>
      <c r="Z548" s="2" t="n"/>
      <c r="AA548" s="2" t="n">
        <v>12</v>
      </c>
      <c r="AB548" s="2" t="n"/>
      <c r="AC548" s="2" t="n">
        <v>12</v>
      </c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>
        <f>IF(F548=1,V548*2,IF(F548=2,V548*F548*2,IF(F548&gt;2,F548*2*V548)))</f>
        <v/>
      </c>
      <c r="AW548" s="2">
        <f>SUM(W548:AU548)</f>
        <v/>
      </c>
    </row>
    <row r="549">
      <c r="A549" s="2" t="inlineStr">
        <is>
          <t>14-K-B362</t>
        </is>
      </c>
      <c r="B549" s="3" t="inlineStr">
        <is>
          <t>OJC-C2-SC/SC-SM-15-APC/APC-12C</t>
        </is>
      </c>
      <c r="C549" s="2" t="inlineStr"/>
      <c r="D549" s="2" t="inlineStr">
        <is>
          <t>a1-12c</t>
        </is>
      </c>
      <c r="E549" s="2" t="inlineStr">
        <is>
          <t>2.0mm</t>
        </is>
      </c>
      <c r="F549" s="2" t="n">
        <v>12</v>
      </c>
      <c r="G549" s="2" t="n">
        <v>15</v>
      </c>
      <c r="H549" s="2" t="inlineStr">
        <is>
          <t>SC/APC</t>
        </is>
      </c>
      <c r="I549" s="2" t="inlineStr">
        <is>
          <t>SC/APC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>
        <v>3</v>
      </c>
      <c r="V549" s="2">
        <f>SUM(J549:U549)</f>
        <v/>
      </c>
      <c r="W549" s="2" t="n"/>
      <c r="X549" s="2" t="n"/>
      <c r="Y549" s="2" t="n"/>
      <c r="Z549" s="2" t="n"/>
      <c r="AA549" s="2" t="n"/>
      <c r="AB549" s="2" t="n"/>
      <c r="AC549" s="2" t="n">
        <v>72</v>
      </c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>
        <f>IF(F549=1,V549*2,IF(F549=2,V549*F549*2,IF(F549&gt;2,F549*2*V549)))</f>
        <v/>
      </c>
      <c r="AW549" s="2">
        <f>SUM(W549:AU549)</f>
        <v/>
      </c>
    </row>
    <row r="550">
      <c r="A550" s="2" t="inlineStr">
        <is>
          <t>14-K-B364</t>
        </is>
      </c>
      <c r="B550" s="3" t="inlineStr">
        <is>
          <t>OJC-A1-FC/FC-SM-15-APC/APC-SP</t>
        </is>
      </c>
      <c r="C550" s="2" t="inlineStr"/>
      <c r="D550" s="2" t="inlineStr">
        <is>
          <t>a1</t>
        </is>
      </c>
      <c r="E550" s="2" t="inlineStr">
        <is>
          <t>2.0mm</t>
        </is>
      </c>
      <c r="F550" s="2" t="n">
        <v>1</v>
      </c>
      <c r="G550" s="2" t="n">
        <v>15</v>
      </c>
      <c r="H550" s="2" t="inlineStr">
        <is>
          <t>FC/APC</t>
        </is>
      </c>
      <c r="I550" s="2" t="inlineStr">
        <is>
          <t>FC/APC</t>
        </is>
      </c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>
        <v>2</v>
      </c>
      <c r="V550" s="2">
        <f>SUM(J550:U550)</f>
        <v/>
      </c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>
        <v>4</v>
      </c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>
        <f>IF(F550=1,V550*2,IF(F550=2,V550*F550*2,IF(F550&gt;2,F550*2*V550)))</f>
        <v/>
      </c>
      <c r="AW550" s="2">
        <f>SUM(W550:AU550)</f>
        <v/>
      </c>
    </row>
    <row r="551">
      <c r="A551" s="2" t="inlineStr">
        <is>
          <t>14-K-B365</t>
        </is>
      </c>
      <c r="B551" s="3" t="inlineStr">
        <is>
          <t>OJC-A1-SC-SM-1.5-APC-SP</t>
        </is>
      </c>
      <c r="C551" s="2" t="inlineStr"/>
      <c r="D551" s="2" t="inlineStr">
        <is>
          <t>a1</t>
        </is>
      </c>
      <c r="E551" s="2" t="inlineStr">
        <is>
          <t>2.0mm</t>
        </is>
      </c>
      <c r="F551" s="2" t="n">
        <v>1</v>
      </c>
      <c r="G551" s="2" t="n">
        <v>1.5</v>
      </c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>
        <v>220</v>
      </c>
      <c r="V551" s="2">
        <f>SUM(J551:U551)</f>
        <v/>
      </c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>
        <f>IF(F551=1,V551*2,IF(F551=2,V551*F551*2,IF(F551&gt;2,F551*2*V551)))</f>
        <v/>
      </c>
      <c r="AW551" s="2">
        <f>SUM(W551:AU551)</f>
        <v/>
      </c>
    </row>
    <row r="552">
      <c r="A552" s="2" t="inlineStr">
        <is>
          <t>14-K-B367</t>
        </is>
      </c>
      <c r="B552" s="3" t="inlineStr">
        <is>
          <t>OJC-A1-SC-SM-3-APC-DP</t>
        </is>
      </c>
      <c r="C552" s="2" t="inlineStr"/>
      <c r="D552" s="2" t="inlineStr">
        <is>
          <t>a1</t>
        </is>
      </c>
      <c r="E552" s="2" t="inlineStr">
        <is>
          <t>2.0mm</t>
        </is>
      </c>
      <c r="F552" s="2" t="n">
        <v>2</v>
      </c>
      <c r="G552" s="2" t="n">
        <v>3</v>
      </c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>
        <v>100</v>
      </c>
      <c r="V552" s="2">
        <f>SUM(J552:U552)</f>
        <v/>
      </c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>
        <f>IF(F552=1,V552*2,IF(F552=2,V552*F552*2,IF(F552&gt;2,F552*2*V552)))</f>
        <v/>
      </c>
      <c r="AW552" s="2">
        <f>SUM(W552:AU552)</f>
        <v/>
      </c>
    </row>
    <row r="553">
      <c r="A553" s="2" t="inlineStr">
        <is>
          <t>14-M-043</t>
        </is>
      </c>
      <c r="B553" s="3" t="inlineStr">
        <is>
          <t>MOJC-SM-12C-SC/PC-SC/PC</t>
        </is>
      </c>
      <c r="C553" s="2" t="inlineStr">
        <is>
          <t>10M</t>
        </is>
      </c>
      <c r="D553" s="2" t="inlineStr">
        <is>
          <t>b3-12c</t>
        </is>
      </c>
      <c r="E553" s="2" t="inlineStr">
        <is>
          <t>2.0mm</t>
        </is>
      </c>
      <c r="F553" s="2" t="n">
        <v>12</v>
      </c>
      <c r="G553" s="2" t="n">
        <v>10</v>
      </c>
      <c r="H553" s="2" t="inlineStr">
        <is>
          <t>SC/PC</t>
        </is>
      </c>
      <c r="I553" s="2" t="inlineStr">
        <is>
          <t>SC/PC</t>
        </is>
      </c>
      <c r="J553" s="2" t="n">
        <v>8</v>
      </c>
      <c r="K553" s="2" t="n">
        <v>40</v>
      </c>
      <c r="L553" s="2" t="n"/>
      <c r="M553" s="2" t="n"/>
      <c r="N553" s="2" t="n">
        <v>84</v>
      </c>
      <c r="O553" s="2" t="n">
        <v>60</v>
      </c>
      <c r="P553" s="2" t="n"/>
      <c r="Q553" s="2" t="n"/>
      <c r="R553" s="2" t="n"/>
      <c r="S553" s="2" t="n"/>
      <c r="T553" s="2" t="n"/>
      <c r="U553" s="2" t="n"/>
      <c r="V553" s="2">
        <f>SUM(J553:U553)</f>
        <v/>
      </c>
      <c r="W553" s="2" t="n"/>
      <c r="X553" s="2" t="n"/>
      <c r="Y553" s="2" t="n"/>
      <c r="Z553" s="2" t="n"/>
      <c r="AA553" s="2" t="n">
        <v>4608</v>
      </c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>
        <f>IF(F553=1,V553*2,IF(F553=2,V553*F553*2,IF(F553&gt;2,F553*2*V553)))</f>
        <v/>
      </c>
      <c r="AW553" s="2">
        <f>SUM(W553:AU553)</f>
        <v/>
      </c>
    </row>
    <row r="554">
      <c r="A554" s="2" t="inlineStr">
        <is>
          <t>14-M-044</t>
        </is>
      </c>
      <c r="B554" s="3" t="inlineStr">
        <is>
          <t>MOJC-SM-12C-SC/PC-SC/PC</t>
        </is>
      </c>
      <c r="C554" s="2" t="inlineStr">
        <is>
          <t>12M</t>
        </is>
      </c>
      <c r="D554" s="2" t="inlineStr">
        <is>
          <t>b3-12c</t>
        </is>
      </c>
      <c r="E554" s="2" t="inlineStr">
        <is>
          <t>2.0mm</t>
        </is>
      </c>
      <c r="F554" s="2" t="n">
        <v>12</v>
      </c>
      <c r="G554" s="2" t="n">
        <v>12</v>
      </c>
      <c r="H554" s="2" t="inlineStr">
        <is>
          <t>SC/PC</t>
        </is>
      </c>
      <c r="I554" s="2" t="inlineStr">
        <is>
          <t>SC/PC</t>
        </is>
      </c>
      <c r="J554" s="2" t="n">
        <v>5</v>
      </c>
      <c r="K554" s="2" t="n"/>
      <c r="L554" s="2" t="n"/>
      <c r="M554" s="2" t="n">
        <v>10</v>
      </c>
      <c r="N554" s="2" t="n">
        <v>13</v>
      </c>
      <c r="O554" s="2" t="n"/>
      <c r="P554" s="2" t="n">
        <v>10</v>
      </c>
      <c r="Q554" s="2" t="n"/>
      <c r="R554" s="2" t="n"/>
      <c r="S554" s="2" t="n"/>
      <c r="T554" s="2" t="n"/>
      <c r="U554" s="2" t="n"/>
      <c r="V554" s="2">
        <f>SUM(J554:U554)</f>
        <v/>
      </c>
      <c r="W554" s="2" t="n"/>
      <c r="X554" s="2" t="n"/>
      <c r="Y554" s="2" t="n"/>
      <c r="Z554" s="2" t="n"/>
      <c r="AA554" s="2" t="n">
        <v>912</v>
      </c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>
        <f>IF(F554=1,V554*2,IF(F554=2,V554*F554*2,IF(F554&gt;2,F554*2*V554)))</f>
        <v/>
      </c>
      <c r="AW554" s="2">
        <f>SUM(W554:AU554)</f>
        <v/>
      </c>
    </row>
    <row r="555">
      <c r="A555" s="2" t="inlineStr">
        <is>
          <t>14-M-045</t>
        </is>
      </c>
      <c r="B555" s="3" t="inlineStr">
        <is>
          <t>MOJC-SM-12C-SC/PC-SC/PC</t>
        </is>
      </c>
      <c r="C555" s="2" t="inlineStr">
        <is>
          <t>15M</t>
        </is>
      </c>
      <c r="D555" s="2" t="inlineStr">
        <is>
          <t>b3-12c</t>
        </is>
      </c>
      <c r="E555" s="2" t="inlineStr">
        <is>
          <t>2.0mm</t>
        </is>
      </c>
      <c r="F555" s="2" t="n">
        <v>12</v>
      </c>
      <c r="G555" s="2" t="n">
        <v>15</v>
      </c>
      <c r="H555" s="2" t="inlineStr">
        <is>
          <t>SC/PC</t>
        </is>
      </c>
      <c r="I555" s="2" t="inlineStr">
        <is>
          <t>SC/PC</t>
        </is>
      </c>
      <c r="J555" s="2" t="n"/>
      <c r="K555" s="2" t="n">
        <v>6</v>
      </c>
      <c r="L555" s="2" t="n"/>
      <c r="M555" s="2" t="n"/>
      <c r="N555" s="2" t="n">
        <v>3</v>
      </c>
      <c r="O555" s="2" t="n"/>
      <c r="P555" s="2" t="n">
        <v>10</v>
      </c>
      <c r="Q555" s="2" t="n">
        <v>20</v>
      </c>
      <c r="R555" s="2" t="n"/>
      <c r="S555" s="2" t="n"/>
      <c r="T555" s="2" t="n"/>
      <c r="U555" s="2" t="n"/>
      <c r="V555" s="2">
        <f>SUM(J555:U555)</f>
        <v/>
      </c>
      <c r="W555" s="2" t="n"/>
      <c r="X555" s="2" t="n"/>
      <c r="Y555" s="2" t="n"/>
      <c r="Z555" s="2" t="n"/>
      <c r="AA555" s="2" t="n">
        <v>936</v>
      </c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>
        <f>IF(F555=1,V555*2,IF(F555=2,V555*F555*2,IF(F555&gt;2,F555*2*V555)))</f>
        <v/>
      </c>
      <c r="AW555" s="2">
        <f>SUM(W555:AU555)</f>
        <v/>
      </c>
    </row>
    <row r="556">
      <c r="A556" s="2" t="inlineStr">
        <is>
          <t>14-M-047</t>
        </is>
      </c>
      <c r="B556" s="3" t="inlineStr">
        <is>
          <t>MOJC-SM-12C-SC/PC-SC/PC</t>
        </is>
      </c>
      <c r="C556" s="2" t="inlineStr">
        <is>
          <t>18M</t>
        </is>
      </c>
      <c r="D556" s="2" t="inlineStr">
        <is>
          <t>b3-12c</t>
        </is>
      </c>
      <c r="E556" s="2" t="inlineStr">
        <is>
          <t>2.0mm</t>
        </is>
      </c>
      <c r="F556" s="2" t="n">
        <v>12</v>
      </c>
      <c r="G556" s="2" t="n">
        <v>18</v>
      </c>
      <c r="H556" s="2" t="inlineStr">
        <is>
          <t>SC/PC</t>
        </is>
      </c>
      <c r="I556" s="2" t="inlineStr">
        <is>
          <t>SC/PC</t>
        </is>
      </c>
      <c r="J556" s="2" t="n"/>
      <c r="K556" s="2" t="n"/>
      <c r="L556" s="2" t="n"/>
      <c r="M556" s="2" t="n"/>
      <c r="N556" s="2" t="n">
        <v>5</v>
      </c>
      <c r="O556" s="2" t="n"/>
      <c r="P556" s="2" t="n"/>
      <c r="Q556" s="2" t="n"/>
      <c r="R556" s="2" t="n"/>
      <c r="S556" s="2" t="n"/>
      <c r="T556" s="2" t="n"/>
      <c r="U556" s="2" t="n"/>
      <c r="V556" s="2">
        <f>SUM(J556:U556)</f>
        <v/>
      </c>
      <c r="W556" s="2" t="n"/>
      <c r="X556" s="2" t="n"/>
      <c r="Y556" s="2" t="n"/>
      <c r="Z556" s="2" t="n"/>
      <c r="AA556" s="2" t="n">
        <v>120</v>
      </c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>
        <f>IF(F556=1,V556*2,IF(F556=2,V556*F556*2,IF(F556&gt;2,F556*2*V556)))</f>
        <v/>
      </c>
      <c r="AW556" s="2">
        <f>SUM(W556:AU556)</f>
        <v/>
      </c>
    </row>
    <row r="557">
      <c r="A557" s="2" t="inlineStr">
        <is>
          <t>14-M-048</t>
        </is>
      </c>
      <c r="B557" s="3" t="inlineStr">
        <is>
          <t>MOJC-SM-12C-SC/PC-SC/PC</t>
        </is>
      </c>
      <c r="C557" s="2" t="inlineStr">
        <is>
          <t>20M</t>
        </is>
      </c>
      <c r="D557" s="2" t="inlineStr">
        <is>
          <t>b3-12c</t>
        </is>
      </c>
      <c r="E557" s="2" t="inlineStr">
        <is>
          <t>2.0mm</t>
        </is>
      </c>
      <c r="F557" s="2" t="n">
        <v>12</v>
      </c>
      <c r="G557" s="2" t="n">
        <v>20</v>
      </c>
      <c r="H557" s="2" t="inlineStr">
        <is>
          <t>SC/PC</t>
        </is>
      </c>
      <c r="I557" s="2" t="inlineStr">
        <is>
          <t>SC/PC</t>
        </is>
      </c>
      <c r="J557" s="2" t="n">
        <v>30</v>
      </c>
      <c r="K557" s="2" t="n"/>
      <c r="L557" s="2" t="n"/>
      <c r="M557" s="2" t="n"/>
      <c r="N557" s="2" t="n"/>
      <c r="O557" s="2" t="n"/>
      <c r="P557" s="2" t="n"/>
      <c r="Q557" s="2" t="n">
        <v>20</v>
      </c>
      <c r="R557" s="2" t="n"/>
      <c r="S557" s="2" t="n"/>
      <c r="T557" s="2" t="n"/>
      <c r="U557" s="2" t="n"/>
      <c r="V557" s="2">
        <f>SUM(J557:U557)</f>
        <v/>
      </c>
      <c r="W557" s="2" t="n"/>
      <c r="X557" s="2" t="n"/>
      <c r="Y557" s="2" t="n"/>
      <c r="Z557" s="2" t="n"/>
      <c r="AA557" s="2" t="n">
        <v>1200</v>
      </c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>
        <f>IF(F557=1,V557*2,IF(F557=2,V557*F557*2,IF(F557&gt;2,F557*2*V557)))</f>
        <v/>
      </c>
      <c r="AW557" s="2">
        <f>SUM(W557:AU557)</f>
        <v/>
      </c>
    </row>
    <row r="558">
      <c r="A558" s="2" t="inlineStr">
        <is>
          <t>14-M-052</t>
        </is>
      </c>
      <c r="B558" s="3" t="inlineStr">
        <is>
          <t>MOJC-SM-12C-SC/PC-SC/PC</t>
        </is>
      </c>
      <c r="C558" s="2" t="inlineStr">
        <is>
          <t>5M</t>
        </is>
      </c>
      <c r="D558" s="2" t="inlineStr">
        <is>
          <t>b3-12c</t>
        </is>
      </c>
      <c r="E558" s="2" t="inlineStr">
        <is>
          <t>2.0mm</t>
        </is>
      </c>
      <c r="F558" s="2" t="n">
        <v>12</v>
      </c>
      <c r="G558" s="2" t="n">
        <v>5</v>
      </c>
      <c r="H558" s="2" t="inlineStr">
        <is>
          <t>SC/PC</t>
        </is>
      </c>
      <c r="I558" s="2" t="inlineStr">
        <is>
          <t>SC/PC</t>
        </is>
      </c>
      <c r="J558" s="2" t="n"/>
      <c r="K558" s="2" t="n"/>
      <c r="L558" s="2" t="n"/>
      <c r="M558" s="2" t="n">
        <v>33</v>
      </c>
      <c r="N558" s="2" t="n">
        <v>63</v>
      </c>
      <c r="O558" s="2" t="n">
        <v>49</v>
      </c>
      <c r="P558" s="2" t="n"/>
      <c r="Q558" s="2" t="n"/>
      <c r="R558" s="2" t="n"/>
      <c r="S558" s="2" t="n"/>
      <c r="T558" s="2" t="n"/>
      <c r="U558" s="2" t="n"/>
      <c r="V558" s="2">
        <f>SUM(J558:U558)</f>
        <v/>
      </c>
      <c r="W558" s="2" t="n"/>
      <c r="X558" s="2" t="n"/>
      <c r="Y558" s="2" t="n"/>
      <c r="Z558" s="2" t="n"/>
      <c r="AA558" s="2" t="n">
        <v>3480</v>
      </c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>
        <f>IF(F558=1,V558*2,IF(F558=2,V558*F558*2,IF(F558&gt;2,F558*2*V558)))</f>
        <v/>
      </c>
      <c r="AW558" s="2">
        <f>SUM(W558:AU558)</f>
        <v/>
      </c>
    </row>
    <row r="559">
      <c r="A559" s="2" t="inlineStr">
        <is>
          <t>14-M-053</t>
        </is>
      </c>
      <c r="B559" s="3" t="inlineStr">
        <is>
          <t>MOJC-SM-12C-SC/PC-SC/PC</t>
        </is>
      </c>
      <c r="C559" s="2" t="inlineStr">
        <is>
          <t>7M</t>
        </is>
      </c>
      <c r="D559" s="2" t="inlineStr">
        <is>
          <t>b3-12c</t>
        </is>
      </c>
      <c r="E559" s="2" t="inlineStr">
        <is>
          <t>2.0mm</t>
        </is>
      </c>
      <c r="F559" s="2" t="n">
        <v>12</v>
      </c>
      <c r="G559" s="2" t="n">
        <v>7</v>
      </c>
      <c r="H559" s="2" t="inlineStr">
        <is>
          <t>SC/PC</t>
        </is>
      </c>
      <c r="I559" s="2" t="inlineStr">
        <is>
          <t>SC/PC</t>
        </is>
      </c>
      <c r="J559" s="2" t="n"/>
      <c r="K559" s="2" t="n"/>
      <c r="L559" s="2" t="n"/>
      <c r="M559" s="2" t="n"/>
      <c r="N559" s="2" t="n">
        <v>12</v>
      </c>
      <c r="O559" s="2" t="n"/>
      <c r="P559" s="2" t="n"/>
      <c r="Q559" s="2" t="n">
        <v>18</v>
      </c>
      <c r="R559" s="2" t="n"/>
      <c r="S559" s="2" t="n"/>
      <c r="T559" s="2" t="n"/>
      <c r="U559" s="2" t="n"/>
      <c r="V559" s="2">
        <f>SUM(J559:U559)</f>
        <v/>
      </c>
      <c r="W559" s="2" t="n"/>
      <c r="X559" s="2" t="n"/>
      <c r="Y559" s="2" t="n"/>
      <c r="Z559" s="2" t="n"/>
      <c r="AA559" s="2" t="n">
        <v>720</v>
      </c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>
        <f>IF(F559=1,V559*2,IF(F559=2,V559*F559*2,IF(F559&gt;2,F559*2*V559)))</f>
        <v/>
      </c>
      <c r="AW559" s="2">
        <f>SUM(W559:AU559)</f>
        <v/>
      </c>
    </row>
    <row r="560">
      <c r="A560" s="2" t="inlineStr">
        <is>
          <t>14-M-054</t>
        </is>
      </c>
      <c r="B560" s="3" t="inlineStr">
        <is>
          <t>MOJC-SM-12C-SC/PC-SC/PC</t>
        </is>
      </c>
      <c r="C560" s="2" t="inlineStr">
        <is>
          <t>8M</t>
        </is>
      </c>
      <c r="D560" s="2" t="inlineStr">
        <is>
          <t>b3-12c</t>
        </is>
      </c>
      <c r="E560" s="2" t="inlineStr">
        <is>
          <t>2.0mm</t>
        </is>
      </c>
      <c r="F560" s="2" t="n">
        <v>12</v>
      </c>
      <c r="G560" s="2" t="n">
        <v>8</v>
      </c>
      <c r="H560" s="2" t="inlineStr">
        <is>
          <t>SC/PC</t>
        </is>
      </c>
      <c r="I560" s="2" t="inlineStr">
        <is>
          <t>SC/PC</t>
        </is>
      </c>
      <c r="J560" s="2" t="n">
        <v>9</v>
      </c>
      <c r="K560" s="2" t="n">
        <v>93</v>
      </c>
      <c r="L560" s="2" t="n">
        <v>15</v>
      </c>
      <c r="M560" s="2" t="n">
        <v>40</v>
      </c>
      <c r="N560" s="2" t="n"/>
      <c r="O560" s="2" t="n">
        <v>10</v>
      </c>
      <c r="P560" s="2" t="n">
        <v>44</v>
      </c>
      <c r="Q560" s="2" t="n"/>
      <c r="R560" s="2" t="n"/>
      <c r="S560" s="2" t="n"/>
      <c r="T560" s="2" t="n"/>
      <c r="U560" s="2" t="n"/>
      <c r="V560" s="2">
        <f>SUM(J560:U560)</f>
        <v/>
      </c>
      <c r="W560" s="2" t="n"/>
      <c r="X560" s="2" t="n"/>
      <c r="Y560" s="2" t="n"/>
      <c r="Z560" s="2" t="n"/>
      <c r="AA560" s="2" t="n">
        <v>5064</v>
      </c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>
        <f>IF(F560=1,V560*2,IF(F560=2,V560*F560*2,IF(F560&gt;2,F560*2*V560)))</f>
        <v/>
      </c>
      <c r="AW560" s="2">
        <f>SUM(W560:AU560)</f>
        <v/>
      </c>
    </row>
    <row r="561">
      <c r="A561" s="2" t="inlineStr">
        <is>
          <t>14-M-055</t>
        </is>
      </c>
      <c r="B561" s="3" t="inlineStr">
        <is>
          <t>MOJC-SM-12C-SC/PC-SC/PC</t>
        </is>
      </c>
      <c r="C561" s="2" t="inlineStr">
        <is>
          <t>9M</t>
        </is>
      </c>
      <c r="D561" s="2" t="inlineStr">
        <is>
          <t>b3-12c</t>
        </is>
      </c>
      <c r="E561" s="2" t="inlineStr">
        <is>
          <t>2.0mm</t>
        </is>
      </c>
      <c r="F561" s="2" t="n">
        <v>12</v>
      </c>
      <c r="G561" s="2" t="n">
        <v>9</v>
      </c>
      <c r="H561" s="2" t="inlineStr">
        <is>
          <t>SC/PC</t>
        </is>
      </c>
      <c r="I561" s="2" t="inlineStr">
        <is>
          <t>SC/PC</t>
        </is>
      </c>
      <c r="J561" s="2" t="n"/>
      <c r="K561" s="2" t="n"/>
      <c r="L561" s="2" t="n"/>
      <c r="M561" s="2" t="n"/>
      <c r="N561" s="2" t="n"/>
      <c r="O561" s="2" t="n"/>
      <c r="P561" s="2" t="n"/>
      <c r="Q561" s="2" t="n">
        <v>36</v>
      </c>
      <c r="R561" s="2" t="n"/>
      <c r="S561" s="2" t="n"/>
      <c r="T561" s="2" t="n"/>
      <c r="U561" s="2" t="n"/>
      <c r="V561" s="2">
        <f>SUM(J561:U561)</f>
        <v/>
      </c>
      <c r="W561" s="2" t="n"/>
      <c r="X561" s="2" t="n"/>
      <c r="Y561" s="2" t="n"/>
      <c r="Z561" s="2" t="n"/>
      <c r="AA561" s="2" t="n">
        <v>864</v>
      </c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>
        <f>IF(F561=1,V561*2,IF(F561=2,V561*F561*2,IF(F561&gt;2,F561*2*V561)))</f>
        <v/>
      </c>
      <c r="AW561" s="2">
        <f>SUM(W561:AU561)</f>
        <v/>
      </c>
    </row>
    <row r="562">
      <c r="A562" s="2" t="inlineStr">
        <is>
          <t>14-M-077</t>
        </is>
      </c>
      <c r="B562" s="3" t="inlineStr">
        <is>
          <t>MOJC-SM-6C-SC/PC-SC/PC</t>
        </is>
      </c>
      <c r="C562" s="2" t="inlineStr">
        <is>
          <t>10M</t>
        </is>
      </c>
      <c r="D562" s="2" t="inlineStr">
        <is>
          <t>b3-6c</t>
        </is>
      </c>
      <c r="E562" s="2" t="inlineStr">
        <is>
          <t>2.0mm</t>
        </is>
      </c>
      <c r="F562" s="2" t="n">
        <v>6</v>
      </c>
      <c r="G562" s="2" t="n">
        <v>10</v>
      </c>
      <c r="H562" s="2" t="inlineStr">
        <is>
          <t>SC/PC</t>
        </is>
      </c>
      <c r="I562" s="2" t="inlineStr">
        <is>
          <t>SC/PC</t>
        </is>
      </c>
      <c r="J562" s="2" t="n">
        <v>10</v>
      </c>
      <c r="K562" s="2" t="n">
        <v>50</v>
      </c>
      <c r="L562" s="2" t="n"/>
      <c r="M562" s="2" t="n"/>
      <c r="N562" s="2" t="n">
        <v>25</v>
      </c>
      <c r="O562" s="2" t="n">
        <v>22</v>
      </c>
      <c r="P562" s="2" t="n"/>
      <c r="Q562" s="2" t="n"/>
      <c r="R562" s="2" t="n"/>
      <c r="S562" s="2" t="n"/>
      <c r="T562" s="2" t="n"/>
      <c r="U562" s="2" t="n"/>
      <c r="V562" s="2">
        <f>SUM(J562:U562)</f>
        <v/>
      </c>
      <c r="W562" s="2" t="n"/>
      <c r="X562" s="2" t="n"/>
      <c r="Y562" s="2" t="n"/>
      <c r="Z562" s="2" t="n"/>
      <c r="AA562" s="2" t="n">
        <v>1284</v>
      </c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>
        <f>IF(F562=1,V562*2,IF(F562=2,V562*F562*2,IF(F562&gt;2,F562*2*V562)))</f>
        <v/>
      </c>
      <c r="AW562" s="2">
        <f>SUM(W562:AU562)</f>
        <v/>
      </c>
    </row>
    <row r="563">
      <c r="A563" s="2" t="inlineStr">
        <is>
          <t>14-M-078</t>
        </is>
      </c>
      <c r="B563" s="3" t="inlineStr">
        <is>
          <t>MOJC-SM-6C-SC/PC-SC/PC</t>
        </is>
      </c>
      <c r="C563" s="2" t="inlineStr">
        <is>
          <t>12M</t>
        </is>
      </c>
      <c r="D563" s="2" t="inlineStr">
        <is>
          <t>b3-6c</t>
        </is>
      </c>
      <c r="E563" s="2" t="inlineStr">
        <is>
          <t>2.0mm</t>
        </is>
      </c>
      <c r="F563" s="2" t="n">
        <v>6</v>
      </c>
      <c r="G563" s="2" t="n">
        <v>12</v>
      </c>
      <c r="H563" s="2" t="inlineStr">
        <is>
          <t>SC/PC</t>
        </is>
      </c>
      <c r="I563" s="2" t="inlineStr">
        <is>
          <t>SC/PC</t>
        </is>
      </c>
      <c r="J563" s="2" t="n"/>
      <c r="K563" s="2" t="n"/>
      <c r="L563" s="2" t="n"/>
      <c r="M563" s="2" t="n"/>
      <c r="N563" s="2" t="n"/>
      <c r="O563" s="2" t="n"/>
      <c r="P563" s="2" t="n">
        <v>5</v>
      </c>
      <c r="Q563" s="2" t="n"/>
      <c r="R563" s="2" t="n"/>
      <c r="S563" s="2" t="n"/>
      <c r="T563" s="2" t="n"/>
      <c r="U563" s="2" t="n"/>
      <c r="V563" s="2">
        <f>SUM(J563:U563)</f>
        <v/>
      </c>
      <c r="W563" s="2" t="n"/>
      <c r="X563" s="2" t="n"/>
      <c r="Y563" s="2" t="n"/>
      <c r="Z563" s="2" t="n"/>
      <c r="AA563" s="2" t="n">
        <v>60</v>
      </c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>
        <f>IF(F563=1,V563*2,IF(F563=2,V563*F563*2,IF(F563&gt;2,F563*2*V563)))</f>
        <v/>
      </c>
      <c r="AW563" s="2">
        <f>SUM(W563:AU563)</f>
        <v/>
      </c>
    </row>
    <row r="564">
      <c r="A564" s="2" t="inlineStr">
        <is>
          <t>14-M-079</t>
        </is>
      </c>
      <c r="B564" s="3" t="inlineStr">
        <is>
          <t>MOJC-SM-6C-SC/PC-SC/PC</t>
        </is>
      </c>
      <c r="C564" s="2" t="inlineStr">
        <is>
          <t>15M</t>
        </is>
      </c>
      <c r="D564" s="2" t="inlineStr">
        <is>
          <t>b3-6c</t>
        </is>
      </c>
      <c r="E564" s="2" t="inlineStr">
        <is>
          <t>2.0mm</t>
        </is>
      </c>
      <c r="F564" s="2" t="n">
        <v>6</v>
      </c>
      <c r="G564" s="2" t="n">
        <v>15</v>
      </c>
      <c r="H564" s="2" t="inlineStr">
        <is>
          <t>SC/PC</t>
        </is>
      </c>
      <c r="I564" s="2" t="inlineStr">
        <is>
          <t>SC/PC</t>
        </is>
      </c>
      <c r="J564" s="2" t="n"/>
      <c r="K564" s="2" t="n"/>
      <c r="L564" s="2" t="n"/>
      <c r="M564" s="2" t="n"/>
      <c r="N564" s="2" t="n"/>
      <c r="O564" s="2" t="n"/>
      <c r="P564" s="2" t="n">
        <v>5</v>
      </c>
      <c r="Q564" s="2" t="n"/>
      <c r="R564" s="2" t="n"/>
      <c r="S564" s="2" t="n"/>
      <c r="T564" s="2" t="n"/>
      <c r="U564" s="2" t="n"/>
      <c r="V564" s="2">
        <f>SUM(J564:U564)</f>
        <v/>
      </c>
      <c r="W564" s="2" t="n"/>
      <c r="X564" s="2" t="n"/>
      <c r="Y564" s="2" t="n"/>
      <c r="Z564" s="2" t="n"/>
      <c r="AA564" s="2" t="n">
        <v>60</v>
      </c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>
        <f>IF(F564=1,V564*2,IF(F564=2,V564*F564*2,IF(F564&gt;2,F564*2*V564)))</f>
        <v/>
      </c>
      <c r="AW564" s="2">
        <f>SUM(W564:AU564)</f>
        <v/>
      </c>
    </row>
    <row r="565">
      <c r="A565" s="2" t="inlineStr">
        <is>
          <t>14-M-084</t>
        </is>
      </c>
      <c r="B565" s="3" t="inlineStr">
        <is>
          <t>MOJC-SM-6C-SC/PC-SC/PC</t>
        </is>
      </c>
      <c r="C565" s="2" t="inlineStr">
        <is>
          <t>5M</t>
        </is>
      </c>
      <c r="D565" s="2" t="inlineStr">
        <is>
          <t>b3-6c</t>
        </is>
      </c>
      <c r="E565" s="2" t="inlineStr">
        <is>
          <t>2.0mm</t>
        </is>
      </c>
      <c r="F565" s="2" t="n">
        <v>6</v>
      </c>
      <c r="G565" s="2" t="n">
        <v>5</v>
      </c>
      <c r="H565" s="2" t="inlineStr">
        <is>
          <t>SC/PC</t>
        </is>
      </c>
      <c r="I565" s="2" t="inlineStr">
        <is>
          <t>SC/PC</t>
        </is>
      </c>
      <c r="J565" s="2" t="n"/>
      <c r="K565" s="2" t="n"/>
      <c r="L565" s="2" t="n"/>
      <c r="M565" s="2" t="n">
        <v>29</v>
      </c>
      <c r="N565" s="2" t="n">
        <v>28</v>
      </c>
      <c r="O565" s="2" t="n">
        <v>11</v>
      </c>
      <c r="P565" s="2" t="n"/>
      <c r="Q565" s="2" t="n"/>
      <c r="R565" s="2" t="n"/>
      <c r="S565" s="2" t="n"/>
      <c r="T565" s="2" t="n"/>
      <c r="U565" s="2" t="n"/>
      <c r="V565" s="2">
        <f>SUM(J565:U565)</f>
        <v/>
      </c>
      <c r="W565" s="2" t="n"/>
      <c r="X565" s="2" t="n"/>
      <c r="Y565" s="2" t="n"/>
      <c r="Z565" s="2" t="n"/>
      <c r="AA565" s="2" t="n">
        <v>816</v>
      </c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>
        <f>IF(F565=1,V565*2,IF(F565=2,V565*F565*2,IF(F565&gt;2,F565*2*V565)))</f>
        <v/>
      </c>
      <c r="AW565" s="2">
        <f>SUM(W565:AU565)</f>
        <v/>
      </c>
    </row>
    <row r="566">
      <c r="A566" s="2" t="inlineStr">
        <is>
          <t>14-M-093</t>
        </is>
      </c>
      <c r="B566" s="3" t="inlineStr">
        <is>
          <t>MOJC-SM-6C-SC/PC-SC/PC</t>
        </is>
      </c>
      <c r="C566" s="2" t="inlineStr">
        <is>
          <t>8M</t>
        </is>
      </c>
      <c r="D566" s="2" t="inlineStr">
        <is>
          <t>b3-6c</t>
        </is>
      </c>
      <c r="E566" s="2" t="inlineStr">
        <is>
          <t>2.0mm</t>
        </is>
      </c>
      <c r="F566" s="2" t="n">
        <v>6</v>
      </c>
      <c r="G566" s="2" t="n">
        <v>8</v>
      </c>
      <c r="H566" s="2" t="inlineStr">
        <is>
          <t>SC/PC</t>
        </is>
      </c>
      <c r="I566" s="2" t="inlineStr">
        <is>
          <t>SC/PC</t>
        </is>
      </c>
      <c r="J566" s="2" t="n">
        <v>9</v>
      </c>
      <c r="K566" s="2" t="n">
        <v>33</v>
      </c>
      <c r="L566" s="2" t="n"/>
      <c r="M566" s="2" t="n">
        <v>10</v>
      </c>
      <c r="N566" s="2" t="n"/>
      <c r="O566" s="2" t="n"/>
      <c r="P566" s="2" t="n">
        <v>5</v>
      </c>
      <c r="Q566" s="2" t="n"/>
      <c r="R566" s="2" t="n"/>
      <c r="S566" s="2" t="n"/>
      <c r="T566" s="2" t="n"/>
      <c r="U566" s="2" t="n"/>
      <c r="V566" s="2">
        <f>SUM(J566:U566)</f>
        <v/>
      </c>
      <c r="W566" s="2" t="n"/>
      <c r="X566" s="2" t="n"/>
      <c r="Y566" s="2" t="n"/>
      <c r="Z566" s="2" t="n"/>
      <c r="AA566" s="2" t="n">
        <v>684</v>
      </c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>
        <f>IF(F566=1,V566*2,IF(F566=2,V566*F566*2,IF(F566&gt;2,F566*2*V566)))</f>
        <v/>
      </c>
      <c r="AW566" s="2">
        <f>SUM(W566:AU566)</f>
        <v/>
      </c>
    </row>
    <row r="567">
      <c r="A567" s="2" t="inlineStr">
        <is>
          <t>14-M-102</t>
        </is>
      </c>
      <c r="B567" s="3" t="inlineStr">
        <is>
          <t>MOJC-SM-12C-SC/PC-SC/PC</t>
        </is>
      </c>
      <c r="C567" s="2" t="inlineStr">
        <is>
          <t>6M</t>
        </is>
      </c>
      <c r="D567" s="2" t="inlineStr">
        <is>
          <t>b3-12c</t>
        </is>
      </c>
      <c r="E567" s="2" t="inlineStr">
        <is>
          <t>2.0mm</t>
        </is>
      </c>
      <c r="F567" s="2" t="n">
        <v>12</v>
      </c>
      <c r="G567" s="2" t="n">
        <v>6</v>
      </c>
      <c r="H567" s="2" t="inlineStr">
        <is>
          <t>SC/PC</t>
        </is>
      </c>
      <c r="I567" s="2" t="inlineStr">
        <is>
          <t>SC/PC</t>
        </is>
      </c>
      <c r="J567" s="2" t="n"/>
      <c r="K567" s="2" t="n"/>
      <c r="L567" s="2" t="n">
        <v>25</v>
      </c>
      <c r="M567" s="2" t="n">
        <v>95</v>
      </c>
      <c r="N567" s="2" t="n"/>
      <c r="O567" s="2" t="n"/>
      <c r="P567" s="2" t="n">
        <v>26</v>
      </c>
      <c r="Q567" s="2" t="n"/>
      <c r="R567" s="2" t="n"/>
      <c r="S567" s="2" t="n"/>
      <c r="T567" s="2" t="n"/>
      <c r="U567" s="2" t="n"/>
      <c r="V567" s="2">
        <f>SUM(J567:U567)</f>
        <v/>
      </c>
      <c r="W567" s="2" t="n"/>
      <c r="X567" s="2" t="n"/>
      <c r="Y567" s="2" t="n"/>
      <c r="Z567" s="2" t="n"/>
      <c r="AA567" s="2" t="n">
        <v>3504</v>
      </c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>
        <f>IF(F567=1,V567*2,IF(F567=2,V567*F567*2,IF(F567&gt;2,F567*2*V567)))</f>
        <v/>
      </c>
      <c r="AW567" s="2">
        <f>SUM(W567:AU567)</f>
        <v/>
      </c>
    </row>
    <row r="568">
      <c r="A568" s="2" t="inlineStr">
        <is>
          <t>14-M-1030</t>
        </is>
      </c>
      <c r="B568" s="3" t="inlineStr">
        <is>
          <t>MOJC-SM-6C-SC/APC-SC/APC</t>
        </is>
      </c>
      <c r="C568" s="2" t="inlineStr">
        <is>
          <t>10M</t>
        </is>
      </c>
      <c r="D568" s="2" t="inlineStr">
        <is>
          <t>b3-6c</t>
        </is>
      </c>
      <c r="E568" s="2" t="inlineStr">
        <is>
          <t>2.0mm</t>
        </is>
      </c>
      <c r="F568" s="2" t="n">
        <v>6</v>
      </c>
      <c r="G568" s="2" t="n">
        <v>10</v>
      </c>
      <c r="H568" s="2" t="inlineStr">
        <is>
          <t>SC/APC</t>
        </is>
      </c>
      <c r="I568" s="2" t="inlineStr">
        <is>
          <t>SC/APC</t>
        </is>
      </c>
      <c r="J568" s="2" t="n">
        <v>6</v>
      </c>
      <c r="K568" s="2" t="n">
        <v>5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>
        <f>SUM(J568:U568)</f>
        <v/>
      </c>
      <c r="W568" s="2" t="n"/>
      <c r="X568" s="2" t="n"/>
      <c r="Y568" s="2" t="n"/>
      <c r="Z568" s="2" t="n"/>
      <c r="AA568" s="2" t="n"/>
      <c r="AB568" s="2" t="n"/>
      <c r="AC568" s="2" t="n">
        <v>132</v>
      </c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>
        <f>IF(F568=1,V568*2,IF(F568=2,V568*F568*2,IF(F568&gt;2,F568*2*V568)))</f>
        <v/>
      </c>
      <c r="AW568" s="2">
        <f>SUM(W568:AU568)</f>
        <v/>
      </c>
    </row>
    <row r="569">
      <c r="A569" s="2" t="inlineStr">
        <is>
          <t>14-M-119</t>
        </is>
      </c>
      <c r="B569" s="3" t="inlineStr">
        <is>
          <t>MOJC-SM-12C-SC/PC-SC/PC</t>
        </is>
      </c>
      <c r="C569" s="2" t="inlineStr">
        <is>
          <t>4M</t>
        </is>
      </c>
      <c r="D569" s="2" t="inlineStr">
        <is>
          <t>b3-12c</t>
        </is>
      </c>
      <c r="E569" s="2" t="inlineStr">
        <is>
          <t>2.0mm</t>
        </is>
      </c>
      <c r="F569" s="2" t="n">
        <v>12</v>
      </c>
      <c r="G569" s="2" t="n">
        <v>4</v>
      </c>
      <c r="H569" s="2" t="inlineStr">
        <is>
          <t>SC/PC</t>
        </is>
      </c>
      <c r="I569" s="2" t="inlineStr">
        <is>
          <t>SC/PC</t>
        </is>
      </c>
      <c r="J569" s="2" t="n"/>
      <c r="K569" s="2" t="n"/>
      <c r="L569" s="2" t="n"/>
      <c r="M569" s="2" t="n">
        <v>41</v>
      </c>
      <c r="N569" s="2" t="n"/>
      <c r="O569" s="2" t="n"/>
      <c r="P569" s="2" t="n"/>
      <c r="Q569" s="2" t="n">
        <v>24</v>
      </c>
      <c r="R569" s="2" t="n"/>
      <c r="S569" s="2" t="n"/>
      <c r="T569" s="2" t="n"/>
      <c r="U569" s="2" t="n"/>
      <c r="V569" s="2">
        <f>SUM(J569:U569)</f>
        <v/>
      </c>
      <c r="W569" s="2" t="n"/>
      <c r="X569" s="2" t="n"/>
      <c r="Y569" s="2" t="n"/>
      <c r="Z569" s="2" t="n"/>
      <c r="AA569" s="2" t="n">
        <v>1560</v>
      </c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>
        <f>IF(F569=1,V569*2,IF(F569=2,V569*F569*2,IF(F569&gt;2,F569*2*V569)))</f>
        <v/>
      </c>
      <c r="AW569" s="2">
        <f>SUM(W569:AU569)</f>
        <v/>
      </c>
    </row>
    <row r="570">
      <c r="A570" s="2" t="inlineStr">
        <is>
          <t>14-M-234</t>
        </is>
      </c>
      <c r="B570" s="3" t="inlineStr">
        <is>
          <t>MOJC-SM-12C-SC/PC-SC/PC</t>
        </is>
      </c>
      <c r="C570" s="2" t="inlineStr">
        <is>
          <t>3M</t>
        </is>
      </c>
      <c r="D570" s="2" t="inlineStr">
        <is>
          <t>b3-12c</t>
        </is>
      </c>
      <c r="E570" s="2" t="inlineStr">
        <is>
          <t>2.0mm</t>
        </is>
      </c>
      <c r="F570" s="2" t="n">
        <v>12</v>
      </c>
      <c r="G570" s="2" t="n">
        <v>3</v>
      </c>
      <c r="H570" s="2" t="inlineStr">
        <is>
          <t>SC/PC</t>
        </is>
      </c>
      <c r="I570" s="2" t="inlineStr">
        <is>
          <t>SC/PC</t>
        </is>
      </c>
      <c r="J570" s="2" t="n">
        <v>18</v>
      </c>
      <c r="K570" s="2" t="n"/>
      <c r="L570" s="2" t="n"/>
      <c r="M570" s="2" t="n">
        <v>9</v>
      </c>
      <c r="N570" s="2" t="n"/>
      <c r="O570" s="2" t="n">
        <v>8</v>
      </c>
      <c r="P570" s="2" t="n">
        <v>5</v>
      </c>
      <c r="Q570" s="2" t="n">
        <v>5</v>
      </c>
      <c r="R570" s="2" t="n"/>
      <c r="S570" s="2" t="n"/>
      <c r="T570" s="2" t="n"/>
      <c r="U570" s="2" t="n"/>
      <c r="V570" s="2">
        <f>SUM(J570:U570)</f>
        <v/>
      </c>
      <c r="W570" s="2" t="n"/>
      <c r="X570" s="2" t="n"/>
      <c r="Y570" s="2" t="n"/>
      <c r="Z570" s="2" t="n"/>
      <c r="AA570" s="2" t="n">
        <v>1080</v>
      </c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>
        <f>IF(F570=1,V570*2,IF(F570=2,V570*F570*2,IF(F570&gt;2,F570*2*V570)))</f>
        <v/>
      </c>
      <c r="AW570" s="2">
        <f>SUM(W570:AU570)</f>
        <v/>
      </c>
    </row>
    <row r="571">
      <c r="A571" s="2" t="inlineStr">
        <is>
          <t>14-M-235</t>
        </is>
      </c>
      <c r="B571" s="3" t="inlineStr">
        <is>
          <t>MOJC-SM-6C-SC/PC-SC/PC</t>
        </is>
      </c>
      <c r="C571" s="2" t="inlineStr">
        <is>
          <t>3M</t>
        </is>
      </c>
      <c r="D571" s="2" t="inlineStr">
        <is>
          <t>b3-6c</t>
        </is>
      </c>
      <c r="E571" s="2" t="inlineStr">
        <is>
          <t>2.0mm</t>
        </is>
      </c>
      <c r="F571" s="2" t="n">
        <v>6</v>
      </c>
      <c r="G571" s="2" t="n">
        <v>3</v>
      </c>
      <c r="H571" s="2" t="inlineStr">
        <is>
          <t>SC/PC</t>
        </is>
      </c>
      <c r="I571" s="2" t="inlineStr">
        <is>
          <t>SC/PC</t>
        </is>
      </c>
      <c r="J571" s="2" t="n">
        <v>36</v>
      </c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>
        <f>SUM(J571:U571)</f>
        <v/>
      </c>
      <c r="W571" s="2" t="n"/>
      <c r="X571" s="2" t="n"/>
      <c r="Y571" s="2" t="n"/>
      <c r="Z571" s="2" t="n"/>
      <c r="AA571" s="2" t="n">
        <v>432</v>
      </c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>
        <f>IF(F571=1,V571*2,IF(F571=2,V571*F571*2,IF(F571&gt;2,F571*2*V571)))</f>
        <v/>
      </c>
      <c r="AW571" s="2">
        <f>SUM(W571:AU571)</f>
        <v/>
      </c>
    </row>
    <row r="572">
      <c r="A572" s="2" t="inlineStr">
        <is>
          <t>14-M-598</t>
        </is>
      </c>
      <c r="B572" s="3" t="inlineStr">
        <is>
          <t>MOJC-SM-12C-SC/APC-SC/APC</t>
        </is>
      </c>
      <c r="C572" s="2" t="inlineStr">
        <is>
          <t>8M</t>
        </is>
      </c>
      <c r="D572" s="2" t="inlineStr">
        <is>
          <t>b3-12c</t>
        </is>
      </c>
      <c r="E572" s="2" t="inlineStr">
        <is>
          <t>2.0mm</t>
        </is>
      </c>
      <c r="F572" s="2" t="n">
        <v>12</v>
      </c>
      <c r="G572" s="2" t="n">
        <v>8</v>
      </c>
      <c r="H572" s="2" t="inlineStr">
        <is>
          <t>SC/APC</t>
        </is>
      </c>
      <c r="I572" s="2" t="inlineStr">
        <is>
          <t>SC/APC</t>
        </is>
      </c>
      <c r="J572" s="2" t="n"/>
      <c r="K572" s="2" t="n">
        <v>3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>
        <f>SUM(J572:U572)</f>
        <v/>
      </c>
      <c r="W572" s="2" t="n"/>
      <c r="X572" s="2" t="n"/>
      <c r="Y572" s="2" t="n"/>
      <c r="Z572" s="2" t="n"/>
      <c r="AA572" s="2" t="n"/>
      <c r="AB572" s="2" t="n"/>
      <c r="AC572" s="2" t="n">
        <v>72</v>
      </c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>
        <f>IF(F572=1,V572*2,IF(F572=2,V572*F572*2,IF(F572&gt;2,F572*2*V572)))</f>
        <v/>
      </c>
      <c r="AW572" s="2">
        <f>SUM(W572:AU572)</f>
        <v/>
      </c>
    </row>
    <row r="573">
      <c r="A573" s="2" t="inlineStr">
        <is>
          <t>14-M-715</t>
        </is>
      </c>
      <c r="B573" s="3" t="inlineStr">
        <is>
          <t>MOJC-SM-24C-LC/PC-LC/PC</t>
        </is>
      </c>
      <c r="C573" s="2" t="inlineStr">
        <is>
          <t>3M</t>
        </is>
      </c>
      <c r="D573" s="2" t="inlineStr">
        <is>
          <t>b3-24c</t>
        </is>
      </c>
      <c r="E573" s="2" t="inlineStr">
        <is>
          <t>2.0mm</t>
        </is>
      </c>
      <c r="F573" s="2" t="n">
        <v>24</v>
      </c>
      <c r="G573" s="2" t="n">
        <v>3</v>
      </c>
      <c r="H573" s="2" t="inlineStr">
        <is>
          <t>LC/PC</t>
        </is>
      </c>
      <c r="I573" s="2" t="inlineStr">
        <is>
          <t>LC/PC</t>
        </is>
      </c>
      <c r="J573" s="2" t="n">
        <v>2</v>
      </c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>
        <f>SUM(J573:U573)</f>
        <v/>
      </c>
      <c r="W573" s="2" t="n">
        <v>96</v>
      </c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>
        <f>IF(F573=1,V573*2,IF(F573=2,V573*F573*2,IF(F573&gt;2,F573*2*V573)))</f>
        <v/>
      </c>
      <c r="AW573" s="2">
        <f>SUM(W573:AU573)</f>
        <v/>
      </c>
    </row>
    <row r="574">
      <c r="A574" s="2" t="inlineStr">
        <is>
          <t>14-M-845</t>
        </is>
      </c>
      <c r="B574" s="3" t="inlineStr">
        <is>
          <t>MOJC-SM-6C-LC/APC-SC/APC</t>
        </is>
      </c>
      <c r="C574" s="2" t="inlineStr">
        <is>
          <t>4M</t>
        </is>
      </c>
      <c r="D574" s="2" t="inlineStr">
        <is>
          <t>b3-6c</t>
        </is>
      </c>
      <c r="E574" s="2" t="inlineStr">
        <is>
          <t>2.0mm</t>
        </is>
      </c>
      <c r="F574" s="2" t="n">
        <v>6</v>
      </c>
      <c r="G574" s="2" t="n">
        <v>4</v>
      </c>
      <c r="H574" s="2" t="inlineStr">
        <is>
          <t>LC/APC</t>
        </is>
      </c>
      <c r="I574" s="2" t="inlineStr">
        <is>
          <t>SC/APC</t>
        </is>
      </c>
      <c r="J574" s="2" t="n">
        <v>2</v>
      </c>
      <c r="K574" s="2" t="n">
        <v>2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>
        <f>SUM(J574:U574)</f>
        <v/>
      </c>
      <c r="W574" s="2" t="n"/>
      <c r="X574" s="2" t="n"/>
      <c r="Y574" s="2" t="n">
        <v>24</v>
      </c>
      <c r="Z574" s="2" t="n"/>
      <c r="AA574" s="2" t="n"/>
      <c r="AB574" s="2" t="n"/>
      <c r="AC574" s="2" t="n">
        <v>24</v>
      </c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>
        <f>IF(F574=1,V574*2,IF(F574=2,V574*F574*2,IF(F574&gt;2,F574*2*V574)))</f>
        <v/>
      </c>
      <c r="AW574" s="2">
        <f>SUM(W574:AU574)</f>
        <v/>
      </c>
    </row>
    <row r="575">
      <c r="A575" s="2" t="inlineStr">
        <is>
          <t>14-M-A067</t>
        </is>
      </c>
      <c r="B575" s="3" t="inlineStr">
        <is>
          <t>MOJC-SM-24C-SC/PC-SC/PC</t>
        </is>
      </c>
      <c r="C575" s="2" t="inlineStr">
        <is>
          <t>10M</t>
        </is>
      </c>
      <c r="D575" s="2" t="inlineStr">
        <is>
          <t>b3-24c</t>
        </is>
      </c>
      <c r="E575" s="2" t="inlineStr">
        <is>
          <t>2.0mm</t>
        </is>
      </c>
      <c r="F575" s="2" t="n">
        <v>24</v>
      </c>
      <c r="G575" s="2" t="n">
        <v>10</v>
      </c>
      <c r="H575" s="2" t="inlineStr">
        <is>
          <t>SC/PC</t>
        </is>
      </c>
      <c r="I575" s="2" t="inlineStr">
        <is>
          <t>SC/PC</t>
        </is>
      </c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>
        <v>2</v>
      </c>
      <c r="T575" s="2" t="n"/>
      <c r="U575" s="2" t="n"/>
      <c r="V575" s="2">
        <f>SUM(J575:U575)</f>
        <v/>
      </c>
      <c r="W575" s="2" t="n"/>
      <c r="X575" s="2" t="n"/>
      <c r="Y575" s="2" t="n"/>
      <c r="Z575" s="2" t="n"/>
      <c r="AA575" s="2" t="n">
        <v>96</v>
      </c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>
        <f>IF(F575=1,V575*2,IF(F575=2,V575*F575*2,IF(F575&gt;2,F575*2*V575)))</f>
        <v/>
      </c>
      <c r="AW575" s="2">
        <f>SUM(W575:AU575)</f>
        <v/>
      </c>
    </row>
    <row r="576">
      <c r="A576" s="2" t="inlineStr">
        <is>
          <t>14-M-A073</t>
        </is>
      </c>
      <c r="B576" s="3" t="inlineStr">
        <is>
          <t>MOJC-SM-8C-LC/PC-LC/PC</t>
        </is>
      </c>
      <c r="C576" s="2" t="inlineStr">
        <is>
          <t>30M</t>
        </is>
      </c>
      <c r="D576" s="2" t="inlineStr">
        <is>
          <t>b3-8c</t>
        </is>
      </c>
      <c r="E576" s="2" t="inlineStr">
        <is>
          <t>2.0mm</t>
        </is>
      </c>
      <c r="F576" s="2" t="n">
        <v>8</v>
      </c>
      <c r="G576" s="2" t="n">
        <v>30</v>
      </c>
      <c r="H576" s="2" t="inlineStr">
        <is>
          <t>LC/PC</t>
        </is>
      </c>
      <c r="I576" s="2" t="inlineStr">
        <is>
          <t>LC/PC</t>
        </is>
      </c>
      <c r="J576" s="2" t="n"/>
      <c r="K576" s="2" t="n"/>
      <c r="L576" s="2" t="n"/>
      <c r="M576" s="2" t="n"/>
      <c r="N576" s="2" t="n"/>
      <c r="O576" s="2" t="n"/>
      <c r="P576" s="2" t="n"/>
      <c r="Q576" s="2" t="n">
        <v>6</v>
      </c>
      <c r="R576" s="2" t="n"/>
      <c r="S576" s="2" t="n"/>
      <c r="T576" s="2" t="n"/>
      <c r="U576" s="2" t="n"/>
      <c r="V576" s="2">
        <f>SUM(J576:U576)</f>
        <v/>
      </c>
      <c r="W576" s="2" t="n">
        <v>96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>
        <f>IF(F576=1,V576*2,IF(F576=2,V576*F576*2,IF(F576&gt;2,F576*2*V576)))</f>
        <v/>
      </c>
      <c r="AW576" s="2">
        <f>SUM(W576:AU576)</f>
        <v/>
      </c>
    </row>
    <row r="577">
      <c r="A577" s="2" t="inlineStr">
        <is>
          <t>14-M-A074</t>
        </is>
      </c>
      <c r="B577" s="3" t="inlineStr">
        <is>
          <t>MOJC-SM-24C-LC/PC-LC/PC</t>
        </is>
      </c>
      <c r="C577" s="2" t="inlineStr">
        <is>
          <t>30M</t>
        </is>
      </c>
      <c r="D577" s="2" t="inlineStr">
        <is>
          <t>b3-24c</t>
        </is>
      </c>
      <c r="E577" s="2" t="inlineStr">
        <is>
          <t>2.0mm</t>
        </is>
      </c>
      <c r="F577" s="2" t="n">
        <v>24</v>
      </c>
      <c r="G577" s="2" t="n">
        <v>30</v>
      </c>
      <c r="H577" s="2" t="inlineStr">
        <is>
          <t>LC/PC</t>
        </is>
      </c>
      <c r="I577" s="2" t="inlineStr">
        <is>
          <t>LC/PC</t>
        </is>
      </c>
      <c r="J577" s="2" t="n"/>
      <c r="K577" s="2" t="n"/>
      <c r="L577" s="2" t="n"/>
      <c r="M577" s="2" t="n"/>
      <c r="N577" s="2" t="n"/>
      <c r="O577" s="2" t="n"/>
      <c r="P577" s="2" t="n"/>
      <c r="Q577" s="2" t="n">
        <v>4</v>
      </c>
      <c r="R577" s="2" t="n"/>
      <c r="S577" s="2" t="n"/>
      <c r="T577" s="2" t="n"/>
      <c r="U577" s="2" t="n"/>
      <c r="V577" s="2">
        <f>SUM(J577:U577)</f>
        <v/>
      </c>
      <c r="W577" s="2" t="n">
        <v>192</v>
      </c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>
        <f>IF(F577=1,V577*2,IF(F577=2,V577*F577*2,IF(F577&gt;2,F577*2*V577)))</f>
        <v/>
      </c>
      <c r="AW577" s="2">
        <f>SUM(W577:AU577)</f>
        <v/>
      </c>
    </row>
    <row r="578">
      <c r="A578" s="2" t="inlineStr">
        <is>
          <t>14-P-004</t>
        </is>
      </c>
      <c r="B578" s="3" t="inlineStr">
        <is>
          <t>PIGTAIL-LC/PC-SM-12C (0.9mm)</t>
        </is>
      </c>
      <c r="C578" s="2" t="inlineStr">
        <is>
          <t>1.5M_12색</t>
        </is>
      </c>
      <c r="D578" s="2" t="inlineStr">
        <is>
          <t>pigtail</t>
        </is>
      </c>
      <c r="E578" s="2" t="n">
        <v>0.9</v>
      </c>
      <c r="F578" s="2" t="n">
        <v>12</v>
      </c>
      <c r="G578" s="2" t="n">
        <v>1.5</v>
      </c>
      <c r="H578" s="2" t="inlineStr">
        <is>
          <t>LC/PC</t>
        </is>
      </c>
      <c r="I578" s="2" t="n"/>
      <c r="J578" s="2" t="n"/>
      <c r="K578" s="2" t="n">
        <v>20</v>
      </c>
      <c r="L578" s="2" t="n">
        <v>350</v>
      </c>
      <c r="M578" s="2" t="n"/>
      <c r="N578" s="2" t="n"/>
      <c r="O578" s="2" t="n">
        <v>300</v>
      </c>
      <c r="P578" s="2" t="n"/>
      <c r="Q578" s="2" t="n"/>
      <c r="R578" s="2" t="n"/>
      <c r="S578" s="2" t="n"/>
      <c r="T578" s="2" t="n"/>
      <c r="U578" s="2" t="n"/>
      <c r="V578" s="2">
        <f>SUM(J578:U578)</f>
        <v/>
      </c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>
        <f>IF(F578=1,V578*2,IF(F578=2,V578*F578*2,IF(F578&gt;2,F578*2*V578)))</f>
        <v/>
      </c>
      <c r="AW578" s="2">
        <f>SUM(W578:AU578)</f>
        <v/>
      </c>
    </row>
    <row r="579">
      <c r="A579" s="2" t="inlineStr">
        <is>
          <t>14-P-006</t>
        </is>
      </c>
      <c r="B579" s="3" t="inlineStr">
        <is>
          <t>PIGTAIL-LC/PC-SM-1C (0.9mm)</t>
        </is>
      </c>
      <c r="C579" s="2" t="inlineStr">
        <is>
          <t>1.5M</t>
        </is>
      </c>
      <c r="D579" s="2" t="inlineStr">
        <is>
          <t>pigtail</t>
        </is>
      </c>
      <c r="E579" s="2" t="n">
        <v>0.9</v>
      </c>
      <c r="F579" s="2" t="n">
        <v>1</v>
      </c>
      <c r="G579" s="2" t="n">
        <v>1.5</v>
      </c>
      <c r="H579" s="2" t="inlineStr">
        <is>
          <t>LC/PC</t>
        </is>
      </c>
      <c r="I579" s="2" t="n"/>
      <c r="J579" s="2" t="n">
        <v>224</v>
      </c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>
        <f>SUM(J579:U579)</f>
        <v/>
      </c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>
        <f>IF(F579=1,V579*2,IF(F579=2,V579*F579*2,IF(F579&gt;2,F579*2*V579)))</f>
        <v/>
      </c>
      <c r="AW579" s="2">
        <f>SUM(W579:AU579)</f>
        <v/>
      </c>
    </row>
    <row r="580">
      <c r="A580" s="2" t="inlineStr">
        <is>
          <t>14-P-010</t>
        </is>
      </c>
      <c r="B580" s="3" t="inlineStr">
        <is>
          <t>PIGTAIL-SC/APC-SM-12C (0.9mm)</t>
        </is>
      </c>
      <c r="C580" s="2" t="inlineStr">
        <is>
          <t>1.5M_12색</t>
        </is>
      </c>
      <c r="D580" s="2" t="inlineStr">
        <is>
          <t>pigtail</t>
        </is>
      </c>
      <c r="E580" s="2" t="n">
        <v>0.9</v>
      </c>
      <c r="F580" s="2" t="n">
        <v>12</v>
      </c>
      <c r="G580" s="2" t="n">
        <v>1.5</v>
      </c>
      <c r="H580" s="2" t="inlineStr">
        <is>
          <t>SC/APC</t>
        </is>
      </c>
      <c r="I580" s="2" t="n"/>
      <c r="J580" s="2" t="n"/>
      <c r="K580" s="2" t="n">
        <v>25</v>
      </c>
      <c r="L580" s="2" t="n">
        <v>92</v>
      </c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>
        <f>SUM(J580:U580)</f>
        <v/>
      </c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>
        <f>IF(F580=1,V580*2,IF(F580=2,V580*F580*2,IF(F580&gt;2,F580*2*V580)))</f>
        <v/>
      </c>
      <c r="AW580" s="2">
        <f>SUM(W580:AU580)</f>
        <v/>
      </c>
    </row>
    <row r="581">
      <c r="A581" s="2" t="inlineStr">
        <is>
          <t>14-P-012</t>
        </is>
      </c>
      <c r="B581" s="3" t="inlineStr">
        <is>
          <t>PIGTAIL-SC/APC-SM-1C (0.9mm)</t>
        </is>
      </c>
      <c r="C581" s="2" t="inlineStr">
        <is>
          <t>1.5M</t>
        </is>
      </c>
      <c r="D581" s="2" t="inlineStr">
        <is>
          <t>pigtail</t>
        </is>
      </c>
      <c r="E581" s="2" t="n">
        <v>0.9</v>
      </c>
      <c r="F581" s="2" t="n">
        <v>1</v>
      </c>
      <c r="G581" s="2" t="n">
        <v>1.5</v>
      </c>
      <c r="H581" s="2" t="inlineStr">
        <is>
          <t>SC/APC</t>
        </is>
      </c>
      <c r="I581" s="2" t="n"/>
      <c r="J581" s="2" t="n"/>
      <c r="K581" s="2" t="n">
        <v>600</v>
      </c>
      <c r="L581" s="2" t="n">
        <v>300</v>
      </c>
      <c r="M581" s="2" t="n">
        <v>50</v>
      </c>
      <c r="N581" s="2" t="n"/>
      <c r="O581" s="2" t="n"/>
      <c r="P581" s="2" t="n">
        <v>30</v>
      </c>
      <c r="Q581" s="2" t="n"/>
      <c r="R581" s="2" t="n"/>
      <c r="S581" s="2" t="n"/>
      <c r="T581" s="2" t="n"/>
      <c r="U581" s="2" t="n"/>
      <c r="V581" s="2">
        <f>SUM(J581:U581)</f>
        <v/>
      </c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>
        <f>IF(F581=1,V581*2,IF(F581=2,V581*F581*2,IF(F581&gt;2,F581*2*V581)))</f>
        <v/>
      </c>
      <c r="AW581" s="2">
        <f>SUM(W581:AU581)</f>
        <v/>
      </c>
    </row>
    <row r="582">
      <c r="A582" s="2" t="inlineStr">
        <is>
          <t>14-P-014</t>
        </is>
      </c>
      <c r="B582" s="3" t="inlineStr">
        <is>
          <t>PIGTAIL-SC/APC-SM-6C (0.9mm)</t>
        </is>
      </c>
      <c r="C582" s="2" t="inlineStr">
        <is>
          <t>1.5M_6색</t>
        </is>
      </c>
      <c r="D582" s="2" t="inlineStr">
        <is>
          <t>pigtail</t>
        </is>
      </c>
      <c r="E582" s="2" t="n">
        <v>0.9</v>
      </c>
      <c r="F582" s="2" t="n">
        <v>6</v>
      </c>
      <c r="G582" s="2" t="n">
        <v>1.5</v>
      </c>
      <c r="H582" s="2" t="inlineStr">
        <is>
          <t>SC/APC</t>
        </is>
      </c>
      <c r="I582" s="2" t="n"/>
      <c r="J582" s="2" t="n"/>
      <c r="K582" s="2" t="n">
        <v>6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>
        <v>5</v>
      </c>
      <c r="U582" s="2" t="n"/>
      <c r="V582" s="2">
        <f>SUM(J582:U582)</f>
        <v/>
      </c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>
        <f>IF(F582=1,V582*2,IF(F582=2,V582*F582*2,IF(F582&gt;2,F582*2*V582)))</f>
        <v/>
      </c>
      <c r="AW582" s="2">
        <f>SUM(W582:AU582)</f>
        <v/>
      </c>
    </row>
    <row r="583">
      <c r="A583" s="2" t="inlineStr">
        <is>
          <t>14-P-016</t>
        </is>
      </c>
      <c r="B583" s="3" t="inlineStr">
        <is>
          <t>PIGTAIL-SC/PC-MM-1C (0.9mm)</t>
        </is>
      </c>
      <c r="C583" s="2" t="inlineStr">
        <is>
          <t>1.5M</t>
        </is>
      </c>
      <c r="D583" s="2" t="inlineStr">
        <is>
          <t>om1-pigtail</t>
        </is>
      </c>
      <c r="E583" s="2" t="n">
        <v>0.9</v>
      </c>
      <c r="F583" s="2" t="n">
        <v>1</v>
      </c>
      <c r="G583" s="2" t="n">
        <v>1.5</v>
      </c>
      <c r="H583" s="2" t="inlineStr">
        <is>
          <t>SC/PC</t>
        </is>
      </c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>
        <v>100</v>
      </c>
      <c r="V583" s="2">
        <f>SUM(J583:U583)</f>
        <v/>
      </c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>
        <f>IF(F583=1,V583*2,IF(F583=2,V583*F583*2,IF(F583&gt;2,F583*2*V583)))</f>
        <v/>
      </c>
      <c r="AW583" s="2">
        <f>SUM(W583:AU583)</f>
        <v/>
      </c>
    </row>
    <row r="584">
      <c r="A584" s="2" t="inlineStr">
        <is>
          <t>14-P-017</t>
        </is>
      </c>
      <c r="B584" s="3" t="inlineStr">
        <is>
          <t>PIGTAIL-SC/PC-SM-12C (0.9mm)</t>
        </is>
      </c>
      <c r="C584" s="2" t="inlineStr">
        <is>
          <t>1.5M_12색</t>
        </is>
      </c>
      <c r="D584" s="2" t="inlineStr">
        <is>
          <t>pigtail</t>
        </is>
      </c>
      <c r="E584" s="2" t="n">
        <v>0.9</v>
      </c>
      <c r="F584" s="2" t="n">
        <v>12</v>
      </c>
      <c r="G584" s="2" t="n">
        <v>1.5</v>
      </c>
      <c r="H584" s="2" t="inlineStr">
        <is>
          <t>SC/PC</t>
        </is>
      </c>
      <c r="I584" s="2" t="n"/>
      <c r="J584" s="2" t="n"/>
      <c r="K584" s="2" t="n"/>
      <c r="L584" s="2" t="n"/>
      <c r="M584" s="2" t="n"/>
      <c r="N584" s="2" t="n"/>
      <c r="O584" s="2" t="n">
        <v>6</v>
      </c>
      <c r="P584" s="2" t="n"/>
      <c r="Q584" s="2" t="n"/>
      <c r="R584" s="2" t="n">
        <v>320</v>
      </c>
      <c r="S584" s="2" t="n"/>
      <c r="T584" s="2" t="n"/>
      <c r="U584" s="2" t="n">
        <v>300</v>
      </c>
      <c r="V584" s="2">
        <f>SUM(J584:U584)</f>
        <v/>
      </c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>
        <f>IF(F584=1,V584*2,IF(F584=2,V584*F584*2,IF(F584&gt;2,F584*2*V584)))</f>
        <v/>
      </c>
      <c r="AW584" s="2">
        <f>SUM(W584:AU584)</f>
        <v/>
      </c>
    </row>
    <row r="585">
      <c r="A585" s="2" t="inlineStr">
        <is>
          <t>14-P-018</t>
        </is>
      </c>
      <c r="B585" s="3" t="inlineStr">
        <is>
          <t>PIGTAIL-SC/PC-SM-1C (0.9mm)</t>
        </is>
      </c>
      <c r="C585" s="2" t="inlineStr">
        <is>
          <t>1.5M</t>
        </is>
      </c>
      <c r="D585" s="2" t="inlineStr">
        <is>
          <t>pigtail</t>
        </is>
      </c>
      <c r="E585" s="2" t="n">
        <v>0.9</v>
      </c>
      <c r="F585" s="2" t="n">
        <v>1</v>
      </c>
      <c r="G585" s="2" t="n">
        <v>1.5</v>
      </c>
      <c r="H585" s="2" t="inlineStr">
        <is>
          <t>SC/PC</t>
        </is>
      </c>
      <c r="I585" s="2" t="n"/>
      <c r="J585" s="2" t="n"/>
      <c r="K585" s="2" t="n"/>
      <c r="L585" s="2" t="n"/>
      <c r="M585" s="2" t="n"/>
      <c r="N585" s="2" t="n"/>
      <c r="O585" s="2" t="n"/>
      <c r="P585" s="2" t="n">
        <v>300</v>
      </c>
      <c r="Q585" s="2" t="n">
        <v>120</v>
      </c>
      <c r="R585" s="2" t="n"/>
      <c r="S585" s="2" t="n"/>
      <c r="T585" s="2" t="n"/>
      <c r="U585" s="2" t="n"/>
      <c r="V585" s="2">
        <f>SUM(J585:U585)</f>
        <v/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>
        <f>IF(F585=1,V585*2,IF(F585=2,V585*F585*2,IF(F585&gt;2,F585*2*V585)))</f>
        <v/>
      </c>
      <c r="AW585" s="2">
        <f>SUM(W585:AU585)</f>
        <v/>
      </c>
    </row>
    <row r="586">
      <c r="A586" s="2" t="inlineStr">
        <is>
          <t>14-P-023</t>
        </is>
      </c>
      <c r="B586" s="3" t="inlineStr">
        <is>
          <t>PIGTAIL-SC/PC-SM-8C (0.9mm)</t>
        </is>
      </c>
      <c r="C586" s="2" t="inlineStr">
        <is>
          <t>1.5M_8색</t>
        </is>
      </c>
      <c r="D586" s="2" t="inlineStr">
        <is>
          <t>pigtail</t>
        </is>
      </c>
      <c r="E586" s="2" t="n">
        <v>0.9</v>
      </c>
      <c r="F586" s="2" t="n">
        <v>8</v>
      </c>
      <c r="G586" s="2" t="n">
        <v>1.5</v>
      </c>
      <c r="H586" s="2" t="inlineStr">
        <is>
          <t>SC/PC</t>
        </is>
      </c>
      <c r="I586" s="2" t="n"/>
      <c r="J586" s="2" t="n"/>
      <c r="K586" s="2" t="n"/>
      <c r="L586" s="2" t="n"/>
      <c r="M586" s="2" t="n"/>
      <c r="N586" s="2" t="n"/>
      <c r="O586" s="2" t="n">
        <v>4</v>
      </c>
      <c r="P586" s="2" t="n"/>
      <c r="Q586" s="2" t="n"/>
      <c r="R586" s="2" t="n"/>
      <c r="S586" s="2" t="n"/>
      <c r="T586" s="2" t="n"/>
      <c r="U586" s="2" t="n"/>
      <c r="V586" s="2">
        <f>SUM(J586:U586)</f>
        <v/>
      </c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>
        <f>IF(F586=1,V586*2,IF(F586=2,V586*F586*2,IF(F586&gt;2,F586*2*V586)))</f>
        <v/>
      </c>
      <c r="AW586" s="2">
        <f>SUM(W586:AU586)</f>
        <v/>
      </c>
    </row>
    <row r="587">
      <c r="A587" s="2" t="inlineStr">
        <is>
          <t>14-P-029</t>
        </is>
      </c>
      <c r="B587" s="3" t="inlineStr">
        <is>
          <t>PIGTAIL-SC/PC-SM-12C (SK성단용)</t>
        </is>
      </c>
      <c r="C587" s="2" t="inlineStr">
        <is>
          <t>1.5M</t>
        </is>
      </c>
      <c r="D587" s="2" t="inlineStr">
        <is>
          <t>pigtail</t>
        </is>
      </c>
      <c r="E587" s="2" t="n">
        <v>0.9</v>
      </c>
      <c r="F587" s="2" t="n">
        <v>12</v>
      </c>
      <c r="G587" s="2" t="n">
        <v>1.5</v>
      </c>
      <c r="H587" s="2" t="inlineStr">
        <is>
          <t>SC/PC</t>
        </is>
      </c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>
        <v>24</v>
      </c>
      <c r="V587" s="2">
        <f>SUM(J587:U587)</f>
        <v/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>
        <f>IF(F587=1,V587*2,IF(F587=2,V587*F587*2,IF(F587&gt;2,F587*2*V587)))</f>
        <v/>
      </c>
      <c r="AW587" s="2">
        <f>SUM(W587:AU587)</f>
        <v/>
      </c>
    </row>
    <row r="588">
      <c r="A588" s="2" t="inlineStr">
        <is>
          <t>14-P-030</t>
        </is>
      </c>
      <c r="B588" s="3" t="inlineStr">
        <is>
          <t>PIGTAIL-SC/PC-SM-12C (0.9mm)</t>
        </is>
      </c>
      <c r="C588" s="2" t="inlineStr">
        <is>
          <t>1.5M_(노란색)</t>
        </is>
      </c>
      <c r="D588" s="2" t="inlineStr">
        <is>
          <t>pigtail</t>
        </is>
      </c>
      <c r="E588" s="2" t="n">
        <v>0.9</v>
      </c>
      <c r="F588" s="2" t="n">
        <v>12</v>
      </c>
      <c r="G588" s="2" t="n">
        <v>1.5</v>
      </c>
      <c r="H588" s="2" t="inlineStr">
        <is>
          <t>SC/PC</t>
        </is>
      </c>
      <c r="I588" s="2" t="n"/>
      <c r="J588" s="2" t="n"/>
      <c r="K588" s="2" t="n"/>
      <c r="L588" s="2" t="n">
        <v>100</v>
      </c>
      <c r="M588" s="2" t="n"/>
      <c r="N588" s="2" t="n"/>
      <c r="O588" s="2" t="n"/>
      <c r="P588" s="2" t="n">
        <v>100</v>
      </c>
      <c r="Q588" s="2" t="n"/>
      <c r="R588" s="2" t="n"/>
      <c r="S588" s="2" t="n"/>
      <c r="T588" s="2" t="n"/>
      <c r="U588" s="2" t="n"/>
      <c r="V588" s="2">
        <f>SUM(J588:U588)</f>
        <v/>
      </c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>
        <f>IF(F588=1,V588*2,IF(F588=2,V588*F588*2,IF(F588&gt;2,F588*2*V588)))</f>
        <v/>
      </c>
      <c r="AW588" s="2">
        <f>SUM(W588:AU588)</f>
        <v/>
      </c>
    </row>
    <row r="589">
      <c r="A589" s="2" t="inlineStr">
        <is>
          <t>14-P-031</t>
        </is>
      </c>
      <c r="B589" s="3" t="inlineStr">
        <is>
          <t>PIGTAIL-SC/APC-SM-12C (0.9mm)</t>
        </is>
      </c>
      <c r="C589" s="2" t="inlineStr">
        <is>
          <t>1.5M_(노란색)</t>
        </is>
      </c>
      <c r="D589" s="2" t="inlineStr">
        <is>
          <t>pigtail</t>
        </is>
      </c>
      <c r="E589" s="2" t="n">
        <v>0.9</v>
      </c>
      <c r="F589" s="2" t="n">
        <v>12</v>
      </c>
      <c r="G589" s="2" t="n">
        <v>1.5</v>
      </c>
      <c r="H589" s="2" t="inlineStr">
        <is>
          <t>SC/APC</t>
        </is>
      </c>
      <c r="I589" s="2" t="n"/>
      <c r="J589" s="2" t="n"/>
      <c r="K589" s="2" t="n">
        <v>10</v>
      </c>
      <c r="L589" s="2" t="n">
        <v>100</v>
      </c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>
        <f>SUM(J589:U589)</f>
        <v/>
      </c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>
        <f>IF(F589=1,V589*2,IF(F589=2,V589*F589*2,IF(F589&gt;2,F589*2*V589)))</f>
        <v/>
      </c>
      <c r="AW589" s="2">
        <f>SUM(W589:AU589)</f>
        <v/>
      </c>
    </row>
    <row r="590">
      <c r="A590" s="2" t="inlineStr">
        <is>
          <t>14-P-032</t>
        </is>
      </c>
      <c r="B590" s="3" t="inlineStr">
        <is>
          <t>PIGTAIL-SC/APC-SM-6C (SK성단용)</t>
        </is>
      </c>
      <c r="C590" s="2" t="inlineStr">
        <is>
          <t>1,5M</t>
        </is>
      </c>
      <c r="D590" s="2" t="inlineStr">
        <is>
          <t>pigtail</t>
        </is>
      </c>
      <c r="E590" s="2" t="n">
        <v>0.9</v>
      </c>
      <c r="F590" s="2" t="n">
        <v>6</v>
      </c>
      <c r="G590" s="2" t="n">
        <v>5</v>
      </c>
      <c r="H590" s="2" t="inlineStr">
        <is>
          <t>SC/APC</t>
        </is>
      </c>
      <c r="I590" s="2" t="n"/>
      <c r="J590" s="2" t="n">
        <v>70</v>
      </c>
      <c r="K590" s="2" t="n"/>
      <c r="L590" s="2" t="n"/>
      <c r="M590" s="2" t="n">
        <v>60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>
        <f>SUM(J590:U590)</f>
        <v/>
      </c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>
        <f>IF(F590=1,V590*2,IF(F590=2,V590*F590*2,IF(F590&gt;2,F590*2*V590)))</f>
        <v/>
      </c>
      <c r="AW590" s="2">
        <f>SUM(W590:AU590)</f>
        <v/>
      </c>
    </row>
    <row r="591">
      <c r="A591" s="2" t="inlineStr">
        <is>
          <t>14-P-033</t>
        </is>
      </c>
      <c r="B591" s="3" t="inlineStr">
        <is>
          <t>PIGTAIL-LC/PC-MM-12C (SK성단용)</t>
        </is>
      </c>
      <c r="C591" s="2" t="inlineStr">
        <is>
          <t>1.5M</t>
        </is>
      </c>
      <c r="D591" s="2" t="inlineStr">
        <is>
          <t>om1-pigtail</t>
        </is>
      </c>
      <c r="E591" s="2" t="inlineStr">
        <is>
          <t>2.0mm</t>
        </is>
      </c>
      <c r="F591" s="2" t="n">
        <v>12</v>
      </c>
      <c r="G591" s="2" t="n">
        <v>1.5</v>
      </c>
      <c r="H591" s="2" t="inlineStr">
        <is>
          <t>LC/PC</t>
        </is>
      </c>
      <c r="I591" s="2" t="n"/>
      <c r="J591" s="2" t="n"/>
      <c r="K591" s="2" t="n"/>
      <c r="L591" s="2" t="n"/>
      <c r="M591" s="2" t="n"/>
      <c r="N591" s="2" t="n"/>
      <c r="O591" s="2" t="n">
        <v>24</v>
      </c>
      <c r="P591" s="2" t="n"/>
      <c r="Q591" s="2" t="n"/>
      <c r="R591" s="2" t="n"/>
      <c r="S591" s="2" t="n"/>
      <c r="T591" s="2" t="n"/>
      <c r="U591" s="2" t="n"/>
      <c r="V591" s="2">
        <f>SUM(J591:U591)</f>
        <v/>
      </c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>
        <v>288</v>
      </c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>
        <f>IF(F591=1,V591*2,IF(F591=2,V591*F591*2,IF(F591&gt;2,F591*2*V591)))</f>
        <v/>
      </c>
      <c r="AW591" s="2">
        <f>SUM(W591:AU591)</f>
        <v/>
      </c>
    </row>
    <row r="592">
      <c r="A592" s="2" t="inlineStr">
        <is>
          <t>14-P-036</t>
        </is>
      </c>
      <c r="B592" s="3" t="inlineStr">
        <is>
          <t>PIGTAIL-LC/PC-SM-12C (0.9mm)</t>
        </is>
      </c>
      <c r="C592" s="2" t="inlineStr">
        <is>
          <t>1.5M_(노란색)</t>
        </is>
      </c>
      <c r="D592" s="2" t="inlineStr">
        <is>
          <t>pigtail</t>
        </is>
      </c>
      <c r="E592" s="2" t="n">
        <v>0.9</v>
      </c>
      <c r="F592" s="2" t="n">
        <v>12</v>
      </c>
      <c r="G592" s="2" t="n">
        <v>1.5</v>
      </c>
      <c r="H592" s="2" t="inlineStr">
        <is>
          <t>LC/PC</t>
        </is>
      </c>
      <c r="I592" s="2" t="n"/>
      <c r="J592" s="2" t="n"/>
      <c r="K592" s="2" t="n"/>
      <c r="L592" s="2" t="n"/>
      <c r="M592" s="2" t="n">
        <v>27</v>
      </c>
      <c r="N592" s="2" t="n">
        <v>200</v>
      </c>
      <c r="O592" s="2" t="n">
        <v>200</v>
      </c>
      <c r="P592" s="2" t="n"/>
      <c r="Q592" s="2" t="n"/>
      <c r="R592" s="2" t="n"/>
      <c r="S592" s="2" t="n"/>
      <c r="T592" s="2" t="n"/>
      <c r="U592" s="2" t="n"/>
      <c r="V592" s="2">
        <f>SUM(J592:U592)</f>
        <v/>
      </c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>
        <f>IF(F592=1,V592*2,IF(F592=2,V592*F592*2,IF(F592&gt;2,F592*2*V592)))</f>
        <v/>
      </c>
      <c r="AW592" s="2">
        <f>SUM(W592:AU592)</f>
        <v/>
      </c>
    </row>
    <row r="593">
      <c r="A593" s="2" t="inlineStr">
        <is>
          <t>14-P-047</t>
        </is>
      </c>
      <c r="B593" s="3" t="inlineStr">
        <is>
          <t>PIGTAIL-SC/PC-SM-1C (0.9mm)</t>
        </is>
      </c>
      <c r="C593" s="2" t="inlineStr">
        <is>
          <t>1M</t>
        </is>
      </c>
      <c r="D593" s="2" t="inlineStr">
        <is>
          <t>pigtail</t>
        </is>
      </c>
      <c r="E593" s="2" t="n">
        <v>0.9</v>
      </c>
      <c r="F593" s="2" t="n">
        <v>1</v>
      </c>
      <c r="G593" s="2" t="n">
        <v>1</v>
      </c>
      <c r="H593" s="2" t="inlineStr">
        <is>
          <t>SC/PC</t>
        </is>
      </c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>
        <v>300</v>
      </c>
      <c r="R593" s="2" t="n"/>
      <c r="S593" s="2" t="n"/>
      <c r="T593" s="2" t="n"/>
      <c r="U593" s="2" t="n"/>
      <c r="V593" s="2">
        <f>SUM(J593:U593)</f>
        <v/>
      </c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>
        <f>IF(F593=1,V593*2,IF(F593=2,V593*F593*2,IF(F593&gt;2,F593*2*V593)))</f>
        <v/>
      </c>
      <c r="AW593" s="2">
        <f>SUM(W593:AU593)</f>
        <v/>
      </c>
    </row>
    <row r="594">
      <c r="A594" s="2" t="inlineStr">
        <is>
          <t>14-P-052</t>
        </is>
      </c>
      <c r="B594" s="3" t="inlineStr">
        <is>
          <t>PIGTAIL-SC/APC-SM-1C(0.9mm)</t>
        </is>
      </c>
      <c r="C594" s="2" t="inlineStr">
        <is>
          <t>1.0M</t>
        </is>
      </c>
      <c r="D594" s="2" t="inlineStr">
        <is>
          <t>pigtail</t>
        </is>
      </c>
      <c r="E594" s="2" t="n">
        <v>0.9</v>
      </c>
      <c r="F594" s="2" t="n">
        <v>1</v>
      </c>
      <c r="G594" s="2" t="n">
        <v>1</v>
      </c>
      <c r="H594" s="2" t="inlineStr">
        <is>
          <t>SC/APC</t>
        </is>
      </c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>
        <v>100</v>
      </c>
      <c r="R594" s="2" t="n"/>
      <c r="S594" s="2" t="n"/>
      <c r="T594" s="2" t="n"/>
      <c r="U594" s="2" t="n"/>
      <c r="V594" s="2">
        <f>SUM(J594:U594)</f>
        <v/>
      </c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>
        <f>IF(F594=1,V594*2,IF(F594=2,V594*F594*2,IF(F594&gt;2,F594*2*V594)))</f>
        <v/>
      </c>
      <c r="AW594" s="2">
        <f>SUM(W594:AU594)</f>
        <v/>
      </c>
    </row>
    <row r="595">
      <c r="A595" s="2" t="inlineStr">
        <is>
          <t>14-P-073</t>
        </is>
      </c>
      <c r="B595" s="3" t="inlineStr">
        <is>
          <t>PIGTAIL-SC/APC-SM-2C (0.9mm)</t>
        </is>
      </c>
      <c r="C595" s="2" t="inlineStr">
        <is>
          <t>1.5M_노란색</t>
        </is>
      </c>
      <c r="D595" s="2" t="inlineStr">
        <is>
          <t>pigtail</t>
        </is>
      </c>
      <c r="E595" s="2" t="n">
        <v>0.9</v>
      </c>
      <c r="F595" s="2" t="n">
        <v>2</v>
      </c>
      <c r="G595" s="2" t="n">
        <v>1.5</v>
      </c>
      <c r="H595" s="2" t="inlineStr">
        <is>
          <t>SC/APC</t>
        </is>
      </c>
      <c r="I595" s="2" t="n"/>
      <c r="J595" s="2" t="n">
        <v>10</v>
      </c>
      <c r="K595" s="2" t="n"/>
      <c r="L595" s="2" t="n"/>
      <c r="M595" s="2" t="n"/>
      <c r="N595" s="2" t="n">
        <v>27</v>
      </c>
      <c r="O595" s="2" t="n"/>
      <c r="P595" s="2" t="n"/>
      <c r="Q595" s="2" t="n"/>
      <c r="R595" s="2" t="n"/>
      <c r="S595" s="2" t="n"/>
      <c r="T595" s="2" t="n"/>
      <c r="U595" s="2" t="n"/>
      <c r="V595" s="2">
        <f>SUM(J595:U595)</f>
        <v/>
      </c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>
        <f>IF(F595=1,V595*2,IF(F595=2,V595*F595*2,IF(F595&gt;2,F595*2*V595)))</f>
        <v/>
      </c>
      <c r="AW595" s="2">
        <f>SUM(W595:AU595)</f>
        <v/>
      </c>
    </row>
    <row r="596">
      <c r="A596" s="2" t="inlineStr">
        <is>
          <t>14-P-076</t>
        </is>
      </c>
      <c r="B596" s="3" t="inlineStr">
        <is>
          <t>PIGTAIL-LC/APC-SM-1C (0.9mm)</t>
        </is>
      </c>
      <c r="C596" s="2" t="inlineStr">
        <is>
          <t>1.5M_노란색</t>
        </is>
      </c>
      <c r="D596" s="2" t="inlineStr">
        <is>
          <t>pigtail</t>
        </is>
      </c>
      <c r="E596" s="2" t="n">
        <v>0.9</v>
      </c>
      <c r="F596" s="2" t="n">
        <v>1</v>
      </c>
      <c r="G596" s="2" t="n">
        <v>1.5</v>
      </c>
      <c r="H596" s="2" t="inlineStr">
        <is>
          <t>LC/APC</t>
        </is>
      </c>
      <c r="I596" s="2" t="n"/>
      <c r="J596" s="2" t="n"/>
      <c r="K596" s="2" t="n"/>
      <c r="L596" s="2" t="n"/>
      <c r="M596" s="2" t="n">
        <v>50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>
        <f>SUM(J596:U596)</f>
        <v/>
      </c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>
        <f>IF(F596=1,V596*2,IF(F596=2,V596*F596*2,IF(F596&gt;2,F596*2*V596)))</f>
        <v/>
      </c>
      <c r="AW596" s="2">
        <f>SUM(W596:AU596)</f>
        <v/>
      </c>
    </row>
    <row r="597">
      <c r="A597" s="2" t="inlineStr">
        <is>
          <t>14-P-077</t>
        </is>
      </c>
      <c r="B597" s="3" t="inlineStr">
        <is>
          <t>PIGTAIL-LC/APC-SM-12C (SK성단용)</t>
        </is>
      </c>
      <c r="C597" s="2" t="inlineStr">
        <is>
          <t>1.5M</t>
        </is>
      </c>
      <c r="D597" s="2" t="inlineStr">
        <is>
          <t>pigtail</t>
        </is>
      </c>
      <c r="E597" s="2" t="n">
        <v>0.9</v>
      </c>
      <c r="F597" s="2" t="n">
        <v>12</v>
      </c>
      <c r="G597" s="2" t="n">
        <v>1.5</v>
      </c>
      <c r="H597" s="2" t="inlineStr">
        <is>
          <t>LC/APC</t>
        </is>
      </c>
      <c r="I597" s="2" t="n"/>
      <c r="J597" s="2" t="n"/>
      <c r="K597" s="2" t="n"/>
      <c r="L597" s="2" t="n"/>
      <c r="M597" s="2" t="n">
        <v>8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>
        <f>SUM(J597:U597)</f>
        <v/>
      </c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>
        <f>IF(F597=1,V597*2,IF(F597=2,V597*F597*2,IF(F597&gt;2,F597*2*V597)))</f>
        <v/>
      </c>
      <c r="AW597" s="2">
        <f>SUM(W597:AU597)</f>
        <v/>
      </c>
    </row>
    <row r="598">
      <c r="A598" s="2" t="inlineStr">
        <is>
          <t>14-P-091</t>
        </is>
      </c>
      <c r="B598" s="3" t="inlineStr">
        <is>
          <t>PIGTAIL-LC/APC-SM-12C (0.9mm)</t>
        </is>
      </c>
      <c r="C598" s="2" t="inlineStr">
        <is>
          <t>1.5M_12색</t>
        </is>
      </c>
      <c r="D598" s="2" t="inlineStr">
        <is>
          <t>pigtail</t>
        </is>
      </c>
      <c r="E598" s="2" t="n">
        <v>0.9</v>
      </c>
      <c r="F598" s="2" t="n">
        <v>12</v>
      </c>
      <c r="G598" s="2" t="n">
        <v>1.5</v>
      </c>
      <c r="H598" s="2" t="inlineStr">
        <is>
          <t>LC/APC</t>
        </is>
      </c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>
        <v>2</v>
      </c>
      <c r="U598" s="2" t="n">
        <v>4</v>
      </c>
      <c r="V598" s="2">
        <f>SUM(J598:U598)</f>
        <v/>
      </c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>
        <f>IF(F598=1,V598*2,IF(F598=2,V598*F598*2,IF(F598&gt;2,F598*2*V598)))</f>
        <v/>
      </c>
      <c r="AW598" s="2">
        <f>SUM(W598:AU598)</f>
        <v/>
      </c>
    </row>
    <row r="599">
      <c r="A599" s="2" t="inlineStr">
        <is>
          <t>14-P-093</t>
        </is>
      </c>
      <c r="B599" s="3" t="inlineStr">
        <is>
          <t>PIGTAIL-LC/PC-SM-6C (SK성단용)</t>
        </is>
      </c>
      <c r="C599" s="2" t="inlineStr">
        <is>
          <t>1.5M_6색</t>
        </is>
      </c>
      <c r="D599" s="2" t="inlineStr">
        <is>
          <t>pigtail</t>
        </is>
      </c>
      <c r="E599" s="2" t="n">
        <v>0.9</v>
      </c>
      <c r="F599" s="2" t="n">
        <v>6</v>
      </c>
      <c r="G599" s="2" t="n">
        <v>1.5</v>
      </c>
      <c r="H599" s="2" t="inlineStr">
        <is>
          <t>LC/PC</t>
        </is>
      </c>
      <c r="I599" s="2" t="n"/>
      <c r="J599" s="2" t="n">
        <v>15</v>
      </c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>
        <v>8</v>
      </c>
      <c r="T599" s="2" t="n">
        <v>9</v>
      </c>
      <c r="U599" s="2" t="n">
        <v>48</v>
      </c>
      <c r="V599" s="2">
        <f>SUM(J599:U599)</f>
        <v/>
      </c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>
        <f>IF(F599=1,V599*2,IF(F599=2,V599*F599*2,IF(F599&gt;2,F599*2*V599)))</f>
        <v/>
      </c>
      <c r="AW599" s="2">
        <f>SUM(W599:AU599)</f>
        <v/>
      </c>
    </row>
    <row r="600">
      <c r="A600" s="2" t="inlineStr">
        <is>
          <t>14-P-107</t>
        </is>
      </c>
      <c r="B600" s="3" t="inlineStr">
        <is>
          <t>PIGTAIL-LC/PC-SM-8C (0.9mm)</t>
        </is>
      </c>
      <c r="C600" s="2" t="inlineStr">
        <is>
          <t>1.5M_8색</t>
        </is>
      </c>
      <c r="D600" s="2" t="inlineStr">
        <is>
          <t>pigtail</t>
        </is>
      </c>
      <c r="E600" s="2" t="n">
        <v>0.9</v>
      </c>
      <c r="F600" s="2" t="n">
        <v>8</v>
      </c>
      <c r="G600" s="2" t="n">
        <v>1.5</v>
      </c>
      <c r="H600" s="2" t="inlineStr">
        <is>
          <t>LC/PC</t>
        </is>
      </c>
      <c r="I600" s="2" t="n"/>
      <c r="J600" s="2" t="n"/>
      <c r="K600" s="2" t="n"/>
      <c r="L600" s="2" t="n"/>
      <c r="M600" s="2" t="n"/>
      <c r="N600" s="2" t="n">
        <v>100</v>
      </c>
      <c r="O600" s="2" t="n"/>
      <c r="P600" s="2" t="n"/>
      <c r="Q600" s="2" t="n">
        <v>101</v>
      </c>
      <c r="R600" s="2" t="n"/>
      <c r="S600" s="2" t="n"/>
      <c r="T600" s="2" t="n">
        <v>100</v>
      </c>
      <c r="U600" s="2" t="n"/>
      <c r="V600" s="2">
        <f>SUM(J600:U600)</f>
        <v/>
      </c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>
        <f>IF(F600=1,V600*2,IF(F600=2,V600*F600*2,IF(F600&gt;2,F600*2*V600)))</f>
        <v/>
      </c>
      <c r="AW600" s="2">
        <f>SUM(W600:AU600)</f>
        <v/>
      </c>
    </row>
    <row r="601">
      <c r="A601" s="2" t="inlineStr">
        <is>
          <t>14-S-084</t>
        </is>
      </c>
      <c r="B601" s="3" t="inlineStr">
        <is>
          <t>SOJC-SM-LC/PC-LC/PC</t>
        </is>
      </c>
      <c r="C601" s="2" t="inlineStr">
        <is>
          <t>0.5M</t>
        </is>
      </c>
      <c r="D601" s="2" t="inlineStr">
        <is>
          <t>a1</t>
        </is>
      </c>
      <c r="E601" s="2" t="inlineStr">
        <is>
          <t>2.0mm</t>
        </is>
      </c>
      <c r="F601" s="2" t="n">
        <v>1</v>
      </c>
      <c r="G601" s="2" t="n">
        <v>0.5</v>
      </c>
      <c r="H601" s="2" t="inlineStr">
        <is>
          <t>LC/PC</t>
        </is>
      </c>
      <c r="I601" s="2" t="inlineStr">
        <is>
          <t>LC/PC</t>
        </is>
      </c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>
        <v>100</v>
      </c>
      <c r="V601" s="2">
        <f>SUM(J601:U601)</f>
        <v/>
      </c>
      <c r="W601" s="2" t="n">
        <v>200</v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>
        <f>IF(F601=1,V601*2,IF(F601=2,V601*F601*2,IF(F601&gt;2,F601*2*V601)))</f>
        <v/>
      </c>
      <c r="AW601" s="2">
        <f>SUM(W601:AU601)</f>
        <v/>
      </c>
    </row>
    <row r="602">
      <c r="A602" s="2" t="inlineStr">
        <is>
          <t>14-S-093</t>
        </is>
      </c>
      <c r="B602" s="3" t="inlineStr">
        <is>
          <t>SOJC-SM-LC/PC-LC/PC</t>
        </is>
      </c>
      <c r="C602" s="2" t="inlineStr">
        <is>
          <t>1M</t>
        </is>
      </c>
      <c r="D602" s="2" t="inlineStr">
        <is>
          <t>a1</t>
        </is>
      </c>
      <c r="E602" s="2" t="inlineStr">
        <is>
          <t>2.0mm</t>
        </is>
      </c>
      <c r="F602" s="2" t="n">
        <v>1</v>
      </c>
      <c r="G602" s="2" t="n">
        <v>1</v>
      </c>
      <c r="H602" s="2" t="inlineStr">
        <is>
          <t>LC/PC</t>
        </is>
      </c>
      <c r="I602" s="2" t="inlineStr">
        <is>
          <t>LC/PC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>
        <v>92</v>
      </c>
      <c r="S602" s="2" t="n"/>
      <c r="T602" s="2" t="n"/>
      <c r="U602" s="2" t="n"/>
      <c r="V602" s="2">
        <f>SUM(J602:U602)</f>
        <v/>
      </c>
      <c r="W602" s="2" t="n">
        <v>184</v>
      </c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>
        <f>IF(F602=1,V602*2,IF(F602=2,V602*F602*2,IF(F602&gt;2,F602*2*V602)))</f>
        <v/>
      </c>
      <c r="AW602" s="2">
        <f>SUM(W602:AU602)</f>
        <v/>
      </c>
    </row>
    <row r="603">
      <c r="A603" s="2" t="inlineStr">
        <is>
          <t>14-S-099</t>
        </is>
      </c>
      <c r="B603" s="3" t="inlineStr">
        <is>
          <t>SOJC-SM-LC/PC-LC/PC</t>
        </is>
      </c>
      <c r="C603" s="2" t="inlineStr">
        <is>
          <t>3M</t>
        </is>
      </c>
      <c r="D603" s="2" t="inlineStr">
        <is>
          <t>a1</t>
        </is>
      </c>
      <c r="E603" s="2" t="inlineStr">
        <is>
          <t>2.0mm</t>
        </is>
      </c>
      <c r="F603" s="2" t="n">
        <v>1</v>
      </c>
      <c r="G603" s="2" t="n">
        <v>3</v>
      </c>
      <c r="H603" s="2" t="inlineStr">
        <is>
          <t>LC/PC</t>
        </is>
      </c>
      <c r="I603" s="2" t="inlineStr">
        <is>
          <t>LC/PC</t>
        </is>
      </c>
      <c r="J603" s="2" t="n"/>
      <c r="K603" s="2" t="n"/>
      <c r="L603" s="2" t="n"/>
      <c r="M603" s="2" t="n"/>
      <c r="N603" s="2" t="n"/>
      <c r="O603" s="2" t="n"/>
      <c r="P603" s="2" t="n">
        <v>50</v>
      </c>
      <c r="Q603" s="2" t="n"/>
      <c r="R603" s="2" t="n"/>
      <c r="S603" s="2" t="n">
        <v>5</v>
      </c>
      <c r="T603" s="2" t="n"/>
      <c r="U603" s="2" t="n"/>
      <c r="V603" s="2">
        <f>SUM(J603:U603)</f>
        <v/>
      </c>
      <c r="W603" s="2" t="n">
        <v>110</v>
      </c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>
        <f>IF(F603=1,V603*2,IF(F603=2,V603*F603*2,IF(F603&gt;2,F603*2*V603)))</f>
        <v/>
      </c>
      <c r="AW603" s="2">
        <f>SUM(W603:AU603)</f>
        <v/>
      </c>
    </row>
    <row r="604">
      <c r="A604" s="2" t="inlineStr">
        <is>
          <t>14-S-110</t>
        </is>
      </c>
      <c r="B604" s="3" t="inlineStr">
        <is>
          <t>SOJC-SM-LC/PC-SC/APC</t>
        </is>
      </c>
      <c r="C604" s="2" t="inlineStr">
        <is>
          <t>1.5M</t>
        </is>
      </c>
      <c r="D604" s="2" t="inlineStr">
        <is>
          <t>a1</t>
        </is>
      </c>
      <c r="E604" s="2" t="inlineStr">
        <is>
          <t>2.0mm</t>
        </is>
      </c>
      <c r="F604" s="2" t="n">
        <v>1</v>
      </c>
      <c r="G604" s="2" t="n">
        <v>1.5</v>
      </c>
      <c r="H604" s="2" t="inlineStr">
        <is>
          <t>LC/PC</t>
        </is>
      </c>
      <c r="I604" s="2" t="inlineStr">
        <is>
          <t>SC/APC</t>
        </is>
      </c>
      <c r="J604" s="2" t="n"/>
      <c r="K604" s="2" t="n"/>
      <c r="L604" s="2" t="n"/>
      <c r="M604" s="2" t="n"/>
      <c r="N604" s="2" t="n">
        <v>20</v>
      </c>
      <c r="O604" s="2" t="n"/>
      <c r="P604" s="2" t="n"/>
      <c r="Q604" s="2" t="n"/>
      <c r="R604" s="2" t="n"/>
      <c r="S604" s="2" t="n"/>
      <c r="T604" s="2" t="n"/>
      <c r="U604" s="2" t="n"/>
      <c r="V604" s="2">
        <f>SUM(J604:U604)</f>
        <v/>
      </c>
      <c r="W604" s="2" t="n">
        <v>20</v>
      </c>
      <c r="X604" s="2" t="n"/>
      <c r="Y604" s="2" t="n"/>
      <c r="Z604" s="2" t="n"/>
      <c r="AA604" s="2" t="n"/>
      <c r="AB604" s="2" t="n"/>
      <c r="AC604" s="2" t="n">
        <v>20</v>
      </c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>
        <f>IF(F604=1,V604*2,IF(F604=2,V604*F604*2,IF(F604&gt;2,F604*2*V604)))</f>
        <v/>
      </c>
      <c r="AW604" s="2">
        <f>SUM(W604:AU604)</f>
        <v/>
      </c>
    </row>
    <row r="605">
      <c r="A605" s="2" t="inlineStr">
        <is>
          <t>14-S-111</t>
        </is>
      </c>
      <c r="B605" s="3" t="inlineStr">
        <is>
          <t>SOJC-SM-LC/PC-SC/APC</t>
        </is>
      </c>
      <c r="C605" s="2" t="inlineStr">
        <is>
          <t>10M</t>
        </is>
      </c>
      <c r="D605" s="2" t="inlineStr">
        <is>
          <t>a1</t>
        </is>
      </c>
      <c r="E605" s="2" t="inlineStr">
        <is>
          <t>2.0mm</t>
        </is>
      </c>
      <c r="F605" s="2" t="n">
        <v>1</v>
      </c>
      <c r="G605" s="2" t="n">
        <v>10</v>
      </c>
      <c r="H605" s="2" t="inlineStr">
        <is>
          <t>LC/PC</t>
        </is>
      </c>
      <c r="I605" s="2" t="inlineStr">
        <is>
          <t>SC/APC</t>
        </is>
      </c>
      <c r="J605" s="2" t="n"/>
      <c r="K605" s="2" t="n"/>
      <c r="L605" s="2" t="n"/>
      <c r="M605" s="2" t="n"/>
      <c r="N605" s="2" t="n">
        <v>10</v>
      </c>
      <c r="O605" s="2" t="n"/>
      <c r="P605" s="2" t="n"/>
      <c r="Q605" s="2" t="n"/>
      <c r="R605" s="2" t="n"/>
      <c r="S605" s="2" t="n"/>
      <c r="T605" s="2" t="n"/>
      <c r="U605" s="2" t="n"/>
      <c r="V605" s="2">
        <f>SUM(J605:U605)</f>
        <v/>
      </c>
      <c r="W605" s="2" t="n">
        <v>10</v>
      </c>
      <c r="X605" s="2" t="n"/>
      <c r="Y605" s="2" t="n"/>
      <c r="Z605" s="2" t="n"/>
      <c r="AA605" s="2" t="n"/>
      <c r="AB605" s="2" t="n"/>
      <c r="AC605" s="2" t="n">
        <v>10</v>
      </c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>
        <f>IF(F605=1,V605*2,IF(F605=2,V605*F605*2,IF(F605&gt;2,F605*2*V605)))</f>
        <v/>
      </c>
      <c r="AW605" s="2">
        <f>SUM(W605:AU605)</f>
        <v/>
      </c>
    </row>
    <row r="606">
      <c r="A606" s="2" t="inlineStr">
        <is>
          <t>14-S-114</t>
        </is>
      </c>
      <c r="B606" s="3" t="inlineStr">
        <is>
          <t>SOJC-SM-LC/PC-SC/APC</t>
        </is>
      </c>
      <c r="C606" s="2" t="inlineStr">
        <is>
          <t>15M</t>
        </is>
      </c>
      <c r="D606" s="2" t="inlineStr">
        <is>
          <t>a1</t>
        </is>
      </c>
      <c r="E606" s="2" t="inlineStr">
        <is>
          <t>2.0mm</t>
        </is>
      </c>
      <c r="F606" s="2" t="n">
        <v>1</v>
      </c>
      <c r="G606" s="2" t="n">
        <v>15</v>
      </c>
      <c r="H606" s="2" t="inlineStr">
        <is>
          <t>LC/PC</t>
        </is>
      </c>
      <c r="I606" s="2" t="inlineStr">
        <is>
          <t>SC/APC</t>
        </is>
      </c>
      <c r="J606" s="2" t="n"/>
      <c r="K606" s="2" t="n"/>
      <c r="L606" s="2" t="n"/>
      <c r="M606" s="2" t="n"/>
      <c r="N606" s="2" t="n">
        <v>10</v>
      </c>
      <c r="O606" s="2" t="n"/>
      <c r="P606" s="2" t="n"/>
      <c r="Q606" s="2" t="n"/>
      <c r="R606" s="2" t="n"/>
      <c r="S606" s="2" t="n"/>
      <c r="T606" s="2" t="n"/>
      <c r="U606" s="2" t="n"/>
      <c r="V606" s="2">
        <f>SUM(J606:U606)</f>
        <v/>
      </c>
      <c r="W606" s="2" t="n">
        <v>10</v>
      </c>
      <c r="X606" s="2" t="n"/>
      <c r="Y606" s="2" t="n"/>
      <c r="Z606" s="2" t="n"/>
      <c r="AA606" s="2" t="n"/>
      <c r="AB606" s="2" t="n"/>
      <c r="AC606" s="2" t="n">
        <v>10</v>
      </c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>
        <f>IF(F606=1,V606*2,IF(F606=2,V606*F606*2,IF(F606&gt;2,F606*2*V606)))</f>
        <v/>
      </c>
      <c r="AW606" s="2">
        <f>SUM(W606:AU606)</f>
        <v/>
      </c>
    </row>
    <row r="607">
      <c r="A607" s="2" t="inlineStr">
        <is>
          <t>14-S-117</t>
        </is>
      </c>
      <c r="B607" s="3" t="inlineStr">
        <is>
          <t>SOJC-SM-LC/PC-SC/APC</t>
        </is>
      </c>
      <c r="C607" s="2" t="inlineStr">
        <is>
          <t>20M</t>
        </is>
      </c>
      <c r="D607" s="2" t="inlineStr">
        <is>
          <t>a1</t>
        </is>
      </c>
      <c r="E607" s="2" t="inlineStr">
        <is>
          <t>2.0mm</t>
        </is>
      </c>
      <c r="F607" s="2" t="n">
        <v>1</v>
      </c>
      <c r="G607" s="2" t="n">
        <v>20</v>
      </c>
      <c r="H607" s="2" t="inlineStr">
        <is>
          <t>LC/PC</t>
        </is>
      </c>
      <c r="I607" s="2" t="inlineStr">
        <is>
          <t>SC/APC</t>
        </is>
      </c>
      <c r="J607" s="2" t="n"/>
      <c r="K607" s="2" t="n"/>
      <c r="L607" s="2" t="n"/>
      <c r="M607" s="2" t="n"/>
      <c r="N607" s="2" t="n">
        <v>10</v>
      </c>
      <c r="O607" s="2" t="n"/>
      <c r="P607" s="2" t="n"/>
      <c r="Q607" s="2" t="n"/>
      <c r="R607" s="2" t="n"/>
      <c r="S607" s="2" t="n"/>
      <c r="T607" s="2" t="n"/>
      <c r="U607" s="2" t="n"/>
      <c r="V607" s="2">
        <f>SUM(J607:U607)</f>
        <v/>
      </c>
      <c r="W607" s="2" t="n">
        <v>10</v>
      </c>
      <c r="X607" s="2" t="n"/>
      <c r="Y607" s="2" t="n"/>
      <c r="Z607" s="2" t="n"/>
      <c r="AA607" s="2" t="n"/>
      <c r="AB607" s="2" t="n"/>
      <c r="AC607" s="2" t="n">
        <v>10</v>
      </c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>
        <f>IF(F607=1,V607*2,IF(F607=2,V607*F607*2,IF(F607&gt;2,F607*2*V607)))</f>
        <v/>
      </c>
      <c r="AW607" s="2">
        <f>SUM(W607:AU607)</f>
        <v/>
      </c>
    </row>
    <row r="608">
      <c r="A608" s="2" t="inlineStr">
        <is>
          <t>14-S-118</t>
        </is>
      </c>
      <c r="B608" s="3" t="inlineStr">
        <is>
          <t>SOJC-SM-LC/PC-SC/APC</t>
        </is>
      </c>
      <c r="C608" s="2" t="inlineStr">
        <is>
          <t>25M</t>
        </is>
      </c>
      <c r="D608" s="2" t="inlineStr">
        <is>
          <t>a1</t>
        </is>
      </c>
      <c r="E608" s="2" t="inlineStr">
        <is>
          <t>2.0mm</t>
        </is>
      </c>
      <c r="F608" s="2" t="n">
        <v>1</v>
      </c>
      <c r="G608" s="2" t="n">
        <v>25</v>
      </c>
      <c r="H608" s="2" t="inlineStr">
        <is>
          <t>LC/PC</t>
        </is>
      </c>
      <c r="I608" s="2" t="inlineStr">
        <is>
          <t>SC/APC</t>
        </is>
      </c>
      <c r="J608" s="2" t="n"/>
      <c r="K608" s="2" t="n"/>
      <c r="L608" s="2" t="n"/>
      <c r="M608" s="2" t="n"/>
      <c r="N608" s="2" t="n">
        <v>5</v>
      </c>
      <c r="O608" s="2" t="n"/>
      <c r="P608" s="2" t="n"/>
      <c r="Q608" s="2" t="n"/>
      <c r="R608" s="2" t="n"/>
      <c r="S608" s="2" t="n"/>
      <c r="T608" s="2" t="n"/>
      <c r="U608" s="2" t="n"/>
      <c r="V608" s="2">
        <f>SUM(J608:U608)</f>
        <v/>
      </c>
      <c r="W608" s="2" t="n">
        <v>5</v>
      </c>
      <c r="X608" s="2" t="n"/>
      <c r="Y608" s="2" t="n"/>
      <c r="Z608" s="2" t="n"/>
      <c r="AA608" s="2" t="n"/>
      <c r="AB608" s="2" t="n"/>
      <c r="AC608" s="2" t="n">
        <v>5</v>
      </c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>
        <f>IF(F608=1,V608*2,IF(F608=2,V608*F608*2,IF(F608&gt;2,F608*2*V608)))</f>
        <v/>
      </c>
      <c r="AW608" s="2">
        <f>SUM(W608:AU608)</f>
        <v/>
      </c>
    </row>
    <row r="609">
      <c r="A609" s="2" t="inlineStr">
        <is>
          <t>14-S-123</t>
        </is>
      </c>
      <c r="B609" s="3" t="inlineStr">
        <is>
          <t>SOJC-SM-LC/PC-SC/APC</t>
        </is>
      </c>
      <c r="C609" s="2" t="inlineStr">
        <is>
          <t>5M</t>
        </is>
      </c>
      <c r="D609" s="2" t="inlineStr">
        <is>
          <t>a1</t>
        </is>
      </c>
      <c r="E609" s="2" t="inlineStr">
        <is>
          <t>2.0mm</t>
        </is>
      </c>
      <c r="F609" s="2" t="n">
        <v>1</v>
      </c>
      <c r="G609" s="2" t="n">
        <v>5</v>
      </c>
      <c r="H609" s="2" t="inlineStr">
        <is>
          <t>LC/PC</t>
        </is>
      </c>
      <c r="I609" s="2" t="inlineStr">
        <is>
          <t>SC/APC</t>
        </is>
      </c>
      <c r="J609" s="2" t="n"/>
      <c r="K609" s="2" t="n"/>
      <c r="L609" s="2" t="n"/>
      <c r="M609" s="2" t="n"/>
      <c r="N609" s="2" t="n">
        <v>20</v>
      </c>
      <c r="O609" s="2" t="n"/>
      <c r="P609" s="2" t="n"/>
      <c r="Q609" s="2" t="n"/>
      <c r="R609" s="2" t="n"/>
      <c r="S609" s="2" t="n"/>
      <c r="T609" s="2" t="n"/>
      <c r="U609" s="2" t="n"/>
      <c r="V609" s="2">
        <f>SUM(J609:U609)</f>
        <v/>
      </c>
      <c r="W609" s="2" t="n">
        <v>20</v>
      </c>
      <c r="X609" s="2" t="n"/>
      <c r="Y609" s="2" t="n"/>
      <c r="Z609" s="2" t="n"/>
      <c r="AA609" s="2" t="n"/>
      <c r="AB609" s="2" t="n"/>
      <c r="AC609" s="2" t="n">
        <v>20</v>
      </c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>
        <f>IF(F609=1,V609*2,IF(F609=2,V609*F609*2,IF(F609&gt;2,F609*2*V609)))</f>
        <v/>
      </c>
      <c r="AW609" s="2">
        <f>SUM(W609:AU609)</f>
        <v/>
      </c>
    </row>
    <row r="610">
      <c r="A610" s="2" t="inlineStr">
        <is>
          <t>14-S-146</t>
        </is>
      </c>
      <c r="B610" s="3" t="inlineStr">
        <is>
          <t>SOJC-SM-LC/PC-SC/PC</t>
        </is>
      </c>
      <c r="C610" s="2" t="inlineStr">
        <is>
          <t>3M</t>
        </is>
      </c>
      <c r="D610" s="2" t="inlineStr">
        <is>
          <t>a1</t>
        </is>
      </c>
      <c r="E610" s="2" t="inlineStr">
        <is>
          <t>2.0mm</t>
        </is>
      </c>
      <c r="F610" s="2" t="n">
        <v>1</v>
      </c>
      <c r="G610" s="2" t="n">
        <v>3</v>
      </c>
      <c r="H610" s="2" t="inlineStr">
        <is>
          <t>LC/PC</t>
        </is>
      </c>
      <c r="I610" s="2" t="inlineStr">
        <is>
          <t>SC/PC</t>
        </is>
      </c>
      <c r="J610" s="2" t="n"/>
      <c r="K610" s="2" t="n"/>
      <c r="L610" s="2" t="n"/>
      <c r="M610" s="2" t="n">
        <v>130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>
        <f>SUM(J610:U610)</f>
        <v/>
      </c>
      <c r="W610" s="2" t="n">
        <v>130</v>
      </c>
      <c r="X610" s="2" t="n"/>
      <c r="Y610" s="2" t="n"/>
      <c r="Z610" s="2" t="n"/>
      <c r="AA610" s="2" t="n">
        <v>130</v>
      </c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>
        <f>IF(F610=1,V610*2,IF(F610=2,V610*F610*2,IF(F610&gt;2,F610*2*V610)))</f>
        <v/>
      </c>
      <c r="AW610" s="2">
        <f>SUM(W610:AU610)</f>
        <v/>
      </c>
    </row>
    <row r="611">
      <c r="A611" s="2" t="inlineStr">
        <is>
          <t>14-S-161</t>
        </is>
      </c>
      <c r="B611" s="3" t="inlineStr">
        <is>
          <t>SOJC-SM-SC/APC-FC/APC</t>
        </is>
      </c>
      <c r="C611" s="2" t="inlineStr">
        <is>
          <t>2M</t>
        </is>
      </c>
      <c r="D611" s="2" t="inlineStr">
        <is>
          <t>a1</t>
        </is>
      </c>
      <c r="E611" s="2" t="inlineStr">
        <is>
          <t>2.0mm</t>
        </is>
      </c>
      <c r="F611" s="2" t="n">
        <v>1</v>
      </c>
      <c r="G611" s="2" t="n">
        <v>2</v>
      </c>
      <c r="H611" s="2" t="inlineStr">
        <is>
          <t>SC/APC</t>
        </is>
      </c>
      <c r="I611" s="2" t="inlineStr">
        <is>
          <t>FC/APC</t>
        </is>
      </c>
      <c r="J611" s="2" t="n"/>
      <c r="K611" s="2" t="n"/>
      <c r="L611" s="2" t="n"/>
      <c r="M611" s="2" t="n">
        <v>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>
        <f>SUM(J611:U611)</f>
        <v/>
      </c>
      <c r="W611" s="2" t="n"/>
      <c r="X611" s="2" t="n"/>
      <c r="Y611" s="2" t="n"/>
      <c r="Z611" s="2" t="n"/>
      <c r="AA611" s="2" t="n"/>
      <c r="AB611" s="2" t="n"/>
      <c r="AC611" s="2" t="n">
        <v>10</v>
      </c>
      <c r="AD611" s="2" t="n"/>
      <c r="AE611" s="2" t="n"/>
      <c r="AF611" s="2" t="n"/>
      <c r="AG611" s="2" t="n">
        <v>10</v>
      </c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>
        <f>IF(F611=1,V611*2,IF(F611=2,V611*F611*2,IF(F611&gt;2,F611*2*V611)))</f>
        <v/>
      </c>
      <c r="AW611" s="2">
        <f>SUM(W611:AU611)</f>
        <v/>
      </c>
    </row>
    <row r="612">
      <c r="A612" s="2" t="inlineStr">
        <is>
          <t>14-S-179</t>
        </is>
      </c>
      <c r="B612" s="3" t="inlineStr">
        <is>
          <t>SOJC-SM-SC/APC-SC/APC</t>
        </is>
      </c>
      <c r="C612" s="2" t="inlineStr">
        <is>
          <t>15M</t>
        </is>
      </c>
      <c r="D612" s="2" t="inlineStr">
        <is>
          <t>a1</t>
        </is>
      </c>
      <c r="E612" s="2" t="inlineStr">
        <is>
          <t>2.0mm</t>
        </is>
      </c>
      <c r="F612" s="2" t="n">
        <v>1</v>
      </c>
      <c r="G612" s="2" t="n">
        <v>15</v>
      </c>
      <c r="H612" s="2" t="inlineStr">
        <is>
          <t>SC/APC</t>
        </is>
      </c>
      <c r="I612" s="2" t="inlineStr">
        <is>
          <t>SC/APC</t>
        </is>
      </c>
      <c r="J612" s="2" t="n"/>
      <c r="K612" s="2" t="n"/>
      <c r="L612" s="2" t="n">
        <v>1</v>
      </c>
      <c r="M612" s="2" t="n"/>
      <c r="N612" s="2" t="n"/>
      <c r="O612" s="2" t="n"/>
      <c r="P612" s="2" t="n">
        <v>50</v>
      </c>
      <c r="Q612" s="2" t="n"/>
      <c r="R612" s="2" t="n"/>
      <c r="S612" s="2" t="n"/>
      <c r="T612" s="2" t="n"/>
      <c r="U612" s="2" t="n"/>
      <c r="V612" s="2">
        <f>SUM(J612:U612)</f>
        <v/>
      </c>
      <c r="W612" s="2" t="n"/>
      <c r="X612" s="2" t="n"/>
      <c r="Y612" s="2" t="n"/>
      <c r="Z612" s="2" t="n"/>
      <c r="AA612" s="2" t="n"/>
      <c r="AB612" s="2" t="n"/>
      <c r="AC612" s="2" t="n">
        <v>102</v>
      </c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>
        <f>IF(F612=1,V612*2,IF(F612=2,V612*F612*2,IF(F612&gt;2,F612*2*V612)))</f>
        <v/>
      </c>
      <c r="AW612" s="2">
        <f>SUM(W612:AU612)</f>
        <v/>
      </c>
    </row>
    <row r="613">
      <c r="A613" s="2" t="inlineStr">
        <is>
          <t>14-S-181</t>
        </is>
      </c>
      <c r="B613" s="3" t="inlineStr">
        <is>
          <t>SOJC-SM-SC/APC-SC/APC</t>
        </is>
      </c>
      <c r="C613" s="2" t="inlineStr">
        <is>
          <t>20M</t>
        </is>
      </c>
      <c r="D613" s="2" t="inlineStr">
        <is>
          <t>a1</t>
        </is>
      </c>
      <c r="E613" s="2" t="inlineStr">
        <is>
          <t>2.0mm</t>
        </is>
      </c>
      <c r="F613" s="2" t="n">
        <v>1</v>
      </c>
      <c r="G613" s="2" t="n">
        <v>20</v>
      </c>
      <c r="H613" s="2" t="inlineStr">
        <is>
          <t>SC/APC</t>
        </is>
      </c>
      <c r="I613" s="2" t="inlineStr">
        <is>
          <t>SC/APC</t>
        </is>
      </c>
      <c r="J613" s="2" t="n"/>
      <c r="K613" s="2" t="n"/>
      <c r="L613" s="2" t="n"/>
      <c r="M613" s="2" t="n"/>
      <c r="N613" s="2" t="n"/>
      <c r="O613" s="2" t="n"/>
      <c r="P613" s="2" t="n">
        <v>50</v>
      </c>
      <c r="Q613" s="2" t="n"/>
      <c r="R613" s="2" t="n"/>
      <c r="S613" s="2" t="n"/>
      <c r="T613" s="2" t="n"/>
      <c r="U613" s="2" t="n"/>
      <c r="V613" s="2">
        <f>SUM(J613:U613)</f>
        <v/>
      </c>
      <c r="W613" s="2" t="n"/>
      <c r="X613" s="2" t="n"/>
      <c r="Y613" s="2" t="n"/>
      <c r="Z613" s="2" t="n"/>
      <c r="AA613" s="2" t="n"/>
      <c r="AB613" s="2" t="n"/>
      <c r="AC613" s="2" t="n">
        <v>100</v>
      </c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>
        <f>IF(F613=1,V613*2,IF(F613=2,V613*F613*2,IF(F613&gt;2,F613*2*V613)))</f>
        <v/>
      </c>
      <c r="AW613" s="2">
        <f>SUM(W613:AU613)</f>
        <v/>
      </c>
    </row>
    <row r="614">
      <c r="A614" s="2" t="inlineStr">
        <is>
          <t>14-S-185</t>
        </is>
      </c>
      <c r="B614" s="3" t="inlineStr">
        <is>
          <t>SOJC-SM-SC/APC-SC/APC</t>
        </is>
      </c>
      <c r="C614" s="2" t="inlineStr">
        <is>
          <t>3M</t>
        </is>
      </c>
      <c r="D614" s="2" t="inlineStr">
        <is>
          <t>a1</t>
        </is>
      </c>
      <c r="E614" s="2" t="inlineStr">
        <is>
          <t>2.0mm</t>
        </is>
      </c>
      <c r="F614" s="2" t="n">
        <v>1</v>
      </c>
      <c r="G614" s="2" t="n">
        <v>3</v>
      </c>
      <c r="H614" s="2" t="inlineStr">
        <is>
          <t>SC/APC</t>
        </is>
      </c>
      <c r="I614" s="2" t="inlineStr">
        <is>
          <t>SC/APC</t>
        </is>
      </c>
      <c r="J614" s="2" t="n"/>
      <c r="K614" s="2" t="n"/>
      <c r="L614" s="2" t="n"/>
      <c r="M614" s="2" t="n">
        <v>20</v>
      </c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>
        <f>SUM(J614:U614)</f>
        <v/>
      </c>
      <c r="W614" s="2" t="n"/>
      <c r="X614" s="2" t="n"/>
      <c r="Y614" s="2" t="n"/>
      <c r="Z614" s="2" t="n"/>
      <c r="AA614" s="2" t="n"/>
      <c r="AB614" s="2" t="n"/>
      <c r="AC614" s="2" t="n">
        <v>40</v>
      </c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>
        <f>IF(F614=1,V614*2,IF(F614=2,V614*F614*2,IF(F614&gt;2,F614*2*V614)))</f>
        <v/>
      </c>
      <c r="AW614" s="2">
        <f>SUM(W614:AU614)</f>
        <v/>
      </c>
    </row>
    <row r="615">
      <c r="A615" s="2" t="inlineStr">
        <is>
          <t>14-S-189</t>
        </is>
      </c>
      <c r="B615" s="3" t="inlineStr">
        <is>
          <t>SOJC-SM-SC/APC-SC/APC</t>
        </is>
      </c>
      <c r="C615" s="2" t="inlineStr">
        <is>
          <t>5M</t>
        </is>
      </c>
      <c r="D615" s="2" t="inlineStr">
        <is>
          <t>a1</t>
        </is>
      </c>
      <c r="E615" s="2" t="inlineStr">
        <is>
          <t>2.0mm</t>
        </is>
      </c>
      <c r="F615" s="2" t="n">
        <v>1</v>
      </c>
      <c r="G615" s="2" t="n">
        <v>5</v>
      </c>
      <c r="H615" s="2" t="inlineStr">
        <is>
          <t>SC/APC</t>
        </is>
      </c>
      <c r="I615" s="2" t="inlineStr">
        <is>
          <t>SC/APC</t>
        </is>
      </c>
      <c r="J615" s="2" t="n"/>
      <c r="K615" s="2" t="n"/>
      <c r="L615" s="2" t="n"/>
      <c r="M615" s="2" t="n"/>
      <c r="N615" s="2" t="n">
        <v>31</v>
      </c>
      <c r="O615" s="2" t="n"/>
      <c r="P615" s="2" t="n"/>
      <c r="Q615" s="2" t="n"/>
      <c r="R615" s="2" t="n"/>
      <c r="S615" s="2" t="n"/>
      <c r="T615" s="2" t="n"/>
      <c r="U615" s="2" t="n"/>
      <c r="V615" s="2">
        <f>SUM(J615:U615)</f>
        <v/>
      </c>
      <c r="W615" s="2" t="n"/>
      <c r="X615" s="2" t="n"/>
      <c r="Y615" s="2" t="n"/>
      <c r="Z615" s="2" t="n"/>
      <c r="AA615" s="2" t="n"/>
      <c r="AB615" s="2" t="n"/>
      <c r="AC615" s="2" t="n">
        <v>62</v>
      </c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>
        <f>IF(F615=1,V615*2,IF(F615=2,V615*F615*2,IF(F615&gt;2,F615*2*V615)))</f>
        <v/>
      </c>
      <c r="AW615" s="2">
        <f>SUM(W615:AU615)</f>
        <v/>
      </c>
    </row>
    <row r="616">
      <c r="A616" s="2" t="inlineStr">
        <is>
          <t>14-S-214</t>
        </is>
      </c>
      <c r="B616" s="3" t="inlineStr">
        <is>
          <t>SOJC-SM-SC/PC-FC/APC</t>
        </is>
      </c>
      <c r="C616" s="2" t="inlineStr">
        <is>
          <t>8M</t>
        </is>
      </c>
      <c r="D616" s="2" t="inlineStr">
        <is>
          <t>a1</t>
        </is>
      </c>
      <c r="E616" s="2" t="inlineStr">
        <is>
          <t>2.0mm</t>
        </is>
      </c>
      <c r="F616" s="2" t="n">
        <v>1</v>
      </c>
      <c r="G616" s="2" t="n">
        <v>8</v>
      </c>
      <c r="H616" s="2" t="inlineStr">
        <is>
          <t>SC/PC</t>
        </is>
      </c>
      <c r="I616" s="2" t="inlineStr">
        <is>
          <t>FC/APC</t>
        </is>
      </c>
      <c r="J616" s="2" t="n"/>
      <c r="K616" s="2" t="n"/>
      <c r="L616" s="2" t="n">
        <v>5</v>
      </c>
      <c r="M616" s="2" t="n">
        <v>2</v>
      </c>
      <c r="N616" s="2" t="n"/>
      <c r="O616" s="2" t="n"/>
      <c r="P616" s="2" t="n">
        <v>3</v>
      </c>
      <c r="Q616" s="2" t="n"/>
      <c r="R616" s="2" t="n"/>
      <c r="S616" s="2" t="n"/>
      <c r="T616" s="2" t="n">
        <v>2</v>
      </c>
      <c r="U616" s="2" t="n"/>
      <c r="V616" s="2">
        <f>SUM(J616:U616)</f>
        <v/>
      </c>
      <c r="W616" s="2" t="n"/>
      <c r="X616" s="2" t="n"/>
      <c r="Y616" s="2" t="n"/>
      <c r="Z616" s="2" t="n"/>
      <c r="AA616" s="2" t="n">
        <v>12</v>
      </c>
      <c r="AB616" s="2" t="n"/>
      <c r="AC616" s="2" t="n"/>
      <c r="AD616" s="2" t="n"/>
      <c r="AE616" s="2" t="n"/>
      <c r="AF616" s="2" t="n"/>
      <c r="AG616" s="2" t="n">
        <v>12</v>
      </c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>
        <f>IF(F616=1,V616*2,IF(F616=2,V616*F616*2,IF(F616&gt;2,F616*2*V616)))</f>
        <v/>
      </c>
      <c r="AW616" s="2">
        <f>SUM(W616:AU616)</f>
        <v/>
      </c>
    </row>
    <row r="617">
      <c r="A617" s="2" t="inlineStr">
        <is>
          <t>14-S-237</t>
        </is>
      </c>
      <c r="B617" s="3" t="inlineStr">
        <is>
          <t>SOJC-SM-SC/PC-SC/APC</t>
        </is>
      </c>
      <c r="C617" s="2" t="inlineStr">
        <is>
          <t>15M</t>
        </is>
      </c>
      <c r="D617" s="2" t="inlineStr">
        <is>
          <t>a1</t>
        </is>
      </c>
      <c r="E617" s="2" t="inlineStr">
        <is>
          <t>2.0mm</t>
        </is>
      </c>
      <c r="F617" s="2" t="n">
        <v>1</v>
      </c>
      <c r="G617" s="2" t="n">
        <v>15</v>
      </c>
      <c r="H617" s="2" t="inlineStr">
        <is>
          <t>SC/PC</t>
        </is>
      </c>
      <c r="I617" s="2" t="inlineStr">
        <is>
          <t>SC/APC</t>
        </is>
      </c>
      <c r="J617" s="2" t="n"/>
      <c r="K617" s="2" t="n"/>
      <c r="L617" s="2" t="n"/>
      <c r="M617" s="2" t="n"/>
      <c r="N617" s="2" t="n"/>
      <c r="O617" s="2" t="n"/>
      <c r="P617" s="2" t="n">
        <v>50</v>
      </c>
      <c r="Q617" s="2" t="n"/>
      <c r="R617" s="2" t="n"/>
      <c r="S617" s="2" t="n"/>
      <c r="T617" s="2" t="n"/>
      <c r="U617" s="2" t="n"/>
      <c r="V617" s="2">
        <f>SUM(J617:U617)</f>
        <v/>
      </c>
      <c r="W617" s="2" t="n"/>
      <c r="X617" s="2" t="n"/>
      <c r="Y617" s="2" t="n"/>
      <c r="Z617" s="2" t="n"/>
      <c r="AA617" s="2" t="n">
        <v>50</v>
      </c>
      <c r="AB617" s="2" t="n"/>
      <c r="AC617" s="2" t="n">
        <v>50</v>
      </c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>
        <f>IF(F617=1,V617*2,IF(F617=2,V617*F617*2,IF(F617&gt;2,F617*2*V617)))</f>
        <v/>
      </c>
      <c r="AW617" s="2">
        <f>SUM(W617:AU617)</f>
        <v/>
      </c>
    </row>
    <row r="618">
      <c r="A618" s="2" t="inlineStr">
        <is>
          <t>14-S-241</t>
        </is>
      </c>
      <c r="B618" s="3" t="inlineStr">
        <is>
          <t>SOJC-SM-SC/PC-SC/APC</t>
        </is>
      </c>
      <c r="C618" s="2" t="inlineStr">
        <is>
          <t>20M</t>
        </is>
      </c>
      <c r="D618" s="2" t="inlineStr">
        <is>
          <t>a1</t>
        </is>
      </c>
      <c r="E618" s="2" t="inlineStr">
        <is>
          <t>2.0mm</t>
        </is>
      </c>
      <c r="F618" s="2" t="n">
        <v>1</v>
      </c>
      <c r="G618" s="2" t="n">
        <v>20</v>
      </c>
      <c r="H618" s="2" t="inlineStr">
        <is>
          <t>SC/PC</t>
        </is>
      </c>
      <c r="I618" s="2" t="inlineStr">
        <is>
          <t>SC/APC</t>
        </is>
      </c>
      <c r="J618" s="2" t="n"/>
      <c r="K618" s="2" t="n"/>
      <c r="L618" s="2" t="n"/>
      <c r="M618" s="2" t="n"/>
      <c r="N618" s="2" t="n"/>
      <c r="O618" s="2" t="n"/>
      <c r="P618" s="2" t="n">
        <v>50</v>
      </c>
      <c r="Q618" s="2" t="n"/>
      <c r="R618" s="2" t="n"/>
      <c r="S618" s="2" t="n"/>
      <c r="T618" s="2" t="n"/>
      <c r="U618" s="2" t="n"/>
      <c r="V618" s="2">
        <f>SUM(J618:U618)</f>
        <v/>
      </c>
      <c r="W618" s="2" t="n"/>
      <c r="X618" s="2" t="n"/>
      <c r="Y618" s="2" t="n"/>
      <c r="Z618" s="2" t="n"/>
      <c r="AA618" s="2" t="n">
        <v>50</v>
      </c>
      <c r="AB618" s="2" t="n"/>
      <c r="AC618" s="2" t="n">
        <v>50</v>
      </c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>
        <f>IF(F618=1,V618*2,IF(F618=2,V618*F618*2,IF(F618&gt;2,F618*2*V618)))</f>
        <v/>
      </c>
      <c r="AW618" s="2">
        <f>SUM(W618:AU618)</f>
        <v/>
      </c>
    </row>
    <row r="619">
      <c r="A619" s="2" t="inlineStr">
        <is>
          <t>14-S-245</t>
        </is>
      </c>
      <c r="B619" s="3" t="inlineStr">
        <is>
          <t>SOJC-SM-SC/PC-SC/APC</t>
        </is>
      </c>
      <c r="C619" s="2" t="inlineStr">
        <is>
          <t>2M</t>
        </is>
      </c>
      <c r="D619" s="2" t="inlineStr">
        <is>
          <t>a1</t>
        </is>
      </c>
      <c r="E619" s="2" t="inlineStr">
        <is>
          <t>2.0mm</t>
        </is>
      </c>
      <c r="F619" s="2" t="n">
        <v>1</v>
      </c>
      <c r="G619" s="2" t="n">
        <v>2</v>
      </c>
      <c r="H619" s="2" t="inlineStr">
        <is>
          <t>SC/PC</t>
        </is>
      </c>
      <c r="I619" s="2" t="inlineStr">
        <is>
          <t>SC/APC</t>
        </is>
      </c>
      <c r="J619" s="2" t="n"/>
      <c r="K619" s="2" t="n"/>
      <c r="L619" s="2" t="n">
        <v>50</v>
      </c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>
        <f>SUM(J619:U619)</f>
        <v/>
      </c>
      <c r="W619" s="2" t="n"/>
      <c r="X619" s="2" t="n"/>
      <c r="Y619" s="2" t="n"/>
      <c r="Z619" s="2" t="n"/>
      <c r="AA619" s="2" t="n">
        <v>50</v>
      </c>
      <c r="AB619" s="2" t="n"/>
      <c r="AC619" s="2" t="n">
        <v>50</v>
      </c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>
        <f>IF(F619=1,V619*2,IF(F619=2,V619*F619*2,IF(F619&gt;2,F619*2*V619)))</f>
        <v/>
      </c>
      <c r="AW619" s="2">
        <f>SUM(W619:AU619)</f>
        <v/>
      </c>
    </row>
    <row r="620">
      <c r="A620" s="2" t="inlineStr">
        <is>
          <t>14-S-249</t>
        </is>
      </c>
      <c r="B620" s="3" t="inlineStr">
        <is>
          <t>SOJC-SM-SC/PC-SC/APC</t>
        </is>
      </c>
      <c r="C620" s="2" t="inlineStr">
        <is>
          <t>3M</t>
        </is>
      </c>
      <c r="D620" s="2" t="inlineStr">
        <is>
          <t>a1</t>
        </is>
      </c>
      <c r="E620" s="2" t="inlineStr">
        <is>
          <t>2.0mm</t>
        </is>
      </c>
      <c r="F620" s="2" t="n">
        <v>1</v>
      </c>
      <c r="G620" s="2" t="n">
        <v>3</v>
      </c>
      <c r="H620" s="2" t="inlineStr">
        <is>
          <t>SC/PC</t>
        </is>
      </c>
      <c r="I620" s="2" t="inlineStr">
        <is>
          <t>SC/APC</t>
        </is>
      </c>
      <c r="J620" s="2" t="n"/>
      <c r="K620" s="2" t="n"/>
      <c r="L620" s="2" t="n">
        <v>60</v>
      </c>
      <c r="M620" s="2" t="n"/>
      <c r="N620" s="2" t="n"/>
      <c r="O620" s="2" t="n"/>
      <c r="P620" s="2" t="n">
        <v>50</v>
      </c>
      <c r="Q620" s="2" t="n"/>
      <c r="R620" s="2" t="n"/>
      <c r="S620" s="2" t="n"/>
      <c r="T620" s="2" t="n">
        <v>140</v>
      </c>
      <c r="U620" s="2" t="n"/>
      <c r="V620" s="2">
        <f>SUM(J620:U620)</f>
        <v/>
      </c>
      <c r="W620" s="2" t="n"/>
      <c r="X620" s="2" t="n"/>
      <c r="Y620" s="2" t="n"/>
      <c r="Z620" s="2" t="n"/>
      <c r="AA620" s="2" t="n">
        <v>250</v>
      </c>
      <c r="AB620" s="2" t="n"/>
      <c r="AC620" s="2" t="n">
        <v>250</v>
      </c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>
        <f>IF(F620=1,V620*2,IF(F620=2,V620*F620*2,IF(F620&gt;2,F620*2*V620)))</f>
        <v/>
      </c>
      <c r="AW620" s="2">
        <f>SUM(W620:AU620)</f>
        <v/>
      </c>
    </row>
    <row r="621">
      <c r="A621" s="2" t="inlineStr">
        <is>
          <t>14-S-251</t>
        </is>
      </c>
      <c r="B621" s="3" t="inlineStr">
        <is>
          <t>SOJC-SM-SC/PC-SC/APC</t>
        </is>
      </c>
      <c r="C621" s="2" t="inlineStr">
        <is>
          <t>5M</t>
        </is>
      </c>
      <c r="D621" s="2" t="inlineStr">
        <is>
          <t>a1</t>
        </is>
      </c>
      <c r="E621" s="2" t="inlineStr">
        <is>
          <t>2.0mm</t>
        </is>
      </c>
      <c r="F621" s="2" t="n">
        <v>1</v>
      </c>
      <c r="G621" s="2" t="n">
        <v>5</v>
      </c>
      <c r="H621" s="2" t="inlineStr">
        <is>
          <t>SC/PC</t>
        </is>
      </c>
      <c r="I621" s="2" t="inlineStr">
        <is>
          <t>SC/APC</t>
        </is>
      </c>
      <c r="J621" s="2" t="n"/>
      <c r="K621" s="2" t="n">
        <v>5</v>
      </c>
      <c r="L621" s="2" t="n"/>
      <c r="M621" s="2" t="n">
        <v>10</v>
      </c>
      <c r="N621" s="2" t="n">
        <v>2</v>
      </c>
      <c r="O621" s="2" t="n"/>
      <c r="P621" s="2" t="n"/>
      <c r="Q621" s="2" t="n"/>
      <c r="R621" s="2" t="n"/>
      <c r="S621" s="2" t="n"/>
      <c r="T621" s="2" t="n"/>
      <c r="U621" s="2" t="n"/>
      <c r="V621" s="2">
        <f>SUM(J621:U621)</f>
        <v/>
      </c>
      <c r="W621" s="2" t="n"/>
      <c r="X621" s="2" t="n"/>
      <c r="Y621" s="2" t="n"/>
      <c r="Z621" s="2" t="n"/>
      <c r="AA621" s="2" t="n">
        <v>17</v>
      </c>
      <c r="AB621" s="2" t="n"/>
      <c r="AC621" s="2" t="n">
        <v>17</v>
      </c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>
        <f>IF(F621=1,V621*2,IF(F621=2,V621*F621*2,IF(F621&gt;2,F621*2*V621)))</f>
        <v/>
      </c>
      <c r="AW621" s="2">
        <f>SUM(W621:AU621)</f>
        <v/>
      </c>
    </row>
    <row r="622">
      <c r="A622" s="2" t="inlineStr">
        <is>
          <t>14-S-256</t>
        </is>
      </c>
      <c r="B622" s="3" t="inlineStr">
        <is>
          <t>SOJC-SM-SC/PC-SC/PC</t>
        </is>
      </c>
      <c r="C622" s="2" t="inlineStr">
        <is>
          <t>0.5M</t>
        </is>
      </c>
      <c r="D622" s="2" t="inlineStr">
        <is>
          <t>a1</t>
        </is>
      </c>
      <c r="E622" s="2" t="inlineStr">
        <is>
          <t>2.0mm</t>
        </is>
      </c>
      <c r="F622" s="2" t="n">
        <v>1</v>
      </c>
      <c r="G622" s="2" t="n">
        <v>0.5</v>
      </c>
      <c r="H622" s="2" t="inlineStr">
        <is>
          <t>SC/PC</t>
        </is>
      </c>
      <c r="I622" s="2" t="inlineStr">
        <is>
          <t>SC/PC</t>
        </is>
      </c>
      <c r="J622" s="2" t="n">
        <v>50</v>
      </c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>
        <f>SUM(J622:U622)</f>
        <v/>
      </c>
      <c r="W622" s="2" t="n"/>
      <c r="X622" s="2" t="n"/>
      <c r="Y622" s="2" t="n"/>
      <c r="Z622" s="2" t="n"/>
      <c r="AA622" s="2" t="n">
        <v>100</v>
      </c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>
        <f>IF(F622=1,V622*2,IF(F622=2,V622*F622*2,IF(F622&gt;2,F622*2*V622)))</f>
        <v/>
      </c>
      <c r="AW622" s="2">
        <f>SUM(W622:AU622)</f>
        <v/>
      </c>
    </row>
    <row r="623">
      <c r="A623" s="2" t="inlineStr">
        <is>
          <t>14-S-256</t>
        </is>
      </c>
      <c r="B623" s="3" t="inlineStr">
        <is>
          <t>SOJC-SM-SC/PC-SC/PC</t>
        </is>
      </c>
      <c r="C623" s="2" t="inlineStr">
        <is>
          <t>0.5M / B3 / 3MM</t>
        </is>
      </c>
      <c r="D623" s="2" t="inlineStr">
        <is>
          <t>b3</t>
        </is>
      </c>
      <c r="E623" s="2" t="inlineStr">
        <is>
          <t>3.0mm</t>
        </is>
      </c>
      <c r="F623" s="2" t="n">
        <v>1</v>
      </c>
      <c r="G623" s="2" t="n">
        <v>0.5</v>
      </c>
      <c r="H623" s="2" t="inlineStr">
        <is>
          <t>SC/PC</t>
        </is>
      </c>
      <c r="I623" s="2" t="inlineStr">
        <is>
          <t>SC/PC</t>
        </is>
      </c>
      <c r="J623" s="2" t="n"/>
      <c r="K623" s="2" t="n"/>
      <c r="L623" s="2" t="n"/>
      <c r="M623" s="2" t="n">
        <v>50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>
        <f>SUM(J623:U623)</f>
        <v/>
      </c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>
        <v>100</v>
      </c>
      <c r="AO623" s="2" t="n"/>
      <c r="AP623" s="2" t="n"/>
      <c r="AQ623" s="2" t="n"/>
      <c r="AR623" s="2" t="n"/>
      <c r="AS623" s="2" t="n"/>
      <c r="AT623" s="2" t="n"/>
      <c r="AU623" s="2" t="n"/>
      <c r="AV623" s="2">
        <f>IF(F623=1,V623*2,IF(F623=2,V623*F623*2,IF(F623&gt;2,F623*2*V623)))</f>
        <v/>
      </c>
      <c r="AW623" s="2">
        <f>SUM(W623:AU623)</f>
        <v/>
      </c>
    </row>
    <row r="624">
      <c r="A624" s="2" t="inlineStr">
        <is>
          <t>14-S-258</t>
        </is>
      </c>
      <c r="B624" s="3" t="inlineStr">
        <is>
          <t>SOJC-SM-SC/PC-SC/PC</t>
        </is>
      </c>
      <c r="C624" s="2" t="inlineStr">
        <is>
          <t>10M</t>
        </is>
      </c>
      <c r="D624" s="2" t="inlineStr">
        <is>
          <t>a1</t>
        </is>
      </c>
      <c r="E624" s="2" t="inlineStr">
        <is>
          <t>2.0mm</t>
        </is>
      </c>
      <c r="F624" s="2" t="n">
        <v>1</v>
      </c>
      <c r="G624" s="2" t="n">
        <v>10</v>
      </c>
      <c r="H624" s="2" t="inlineStr">
        <is>
          <t>SC/PC</t>
        </is>
      </c>
      <c r="I624" s="2" t="inlineStr">
        <is>
          <t>SC/PC</t>
        </is>
      </c>
      <c r="J624" s="2" t="n"/>
      <c r="K624" s="2" t="n"/>
      <c r="L624" s="2" t="n"/>
      <c r="M624" s="2" t="n"/>
      <c r="N624" s="2" t="n">
        <v>5</v>
      </c>
      <c r="O624" s="2" t="n"/>
      <c r="P624" s="2" t="n"/>
      <c r="Q624" s="2" t="n"/>
      <c r="R624" s="2" t="n"/>
      <c r="S624" s="2" t="n"/>
      <c r="T624" s="2" t="n"/>
      <c r="U624" s="2" t="n"/>
      <c r="V624" s="2">
        <f>SUM(J624:U624)</f>
        <v/>
      </c>
      <c r="W624" s="2" t="n"/>
      <c r="X624" s="2" t="n"/>
      <c r="Y624" s="2" t="n"/>
      <c r="Z624" s="2" t="n"/>
      <c r="AA624" s="2" t="n">
        <v>10</v>
      </c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>
        <f>IF(F624=1,V624*2,IF(F624=2,V624*F624*2,IF(F624&gt;2,F624*2*V624)))</f>
        <v/>
      </c>
      <c r="AW624" s="2">
        <f>SUM(W624:AU624)</f>
        <v/>
      </c>
    </row>
    <row r="625">
      <c r="A625" s="2" t="inlineStr">
        <is>
          <t>14-S-260</t>
        </is>
      </c>
      <c r="B625" s="3" t="inlineStr">
        <is>
          <t>SOJC-SM-SC/PC-SC/PC</t>
        </is>
      </c>
      <c r="C625" s="2" t="inlineStr">
        <is>
          <t>15M</t>
        </is>
      </c>
      <c r="D625" s="2" t="inlineStr">
        <is>
          <t>a1</t>
        </is>
      </c>
      <c r="E625" s="2" t="inlineStr">
        <is>
          <t>2.0mm</t>
        </is>
      </c>
      <c r="F625" s="2" t="n">
        <v>1</v>
      </c>
      <c r="G625" s="2" t="n">
        <v>15</v>
      </c>
      <c r="H625" s="2" t="inlineStr">
        <is>
          <t>SC/PC</t>
        </is>
      </c>
      <c r="I625" s="2" t="inlineStr">
        <is>
          <t>SC/PC</t>
        </is>
      </c>
      <c r="J625" s="2" t="n"/>
      <c r="K625" s="2" t="n"/>
      <c r="L625" s="2" t="n"/>
      <c r="M625" s="2" t="n"/>
      <c r="N625" s="2" t="n">
        <v>5</v>
      </c>
      <c r="O625" s="2" t="n"/>
      <c r="P625" s="2" t="n"/>
      <c r="Q625" s="2" t="n"/>
      <c r="R625" s="2" t="n"/>
      <c r="S625" s="2" t="n"/>
      <c r="T625" s="2" t="n"/>
      <c r="U625" s="2" t="n"/>
      <c r="V625" s="2">
        <f>SUM(J625:U625)</f>
        <v/>
      </c>
      <c r="W625" s="2" t="n"/>
      <c r="X625" s="2" t="n"/>
      <c r="Y625" s="2" t="n"/>
      <c r="Z625" s="2" t="n"/>
      <c r="AA625" s="2" t="n">
        <v>10</v>
      </c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>
        <f>IF(F625=1,V625*2,IF(F625=2,V625*F625*2,IF(F625&gt;2,F625*2*V625)))</f>
        <v/>
      </c>
      <c r="AW625" s="2">
        <f>SUM(W625:AU625)</f>
        <v/>
      </c>
    </row>
    <row r="626">
      <c r="A626" s="2" t="inlineStr">
        <is>
          <t>14-S-263</t>
        </is>
      </c>
      <c r="B626" s="3" t="inlineStr">
        <is>
          <t>SOJC-SM-SC/PC-SC/PC</t>
        </is>
      </c>
      <c r="C626" s="2" t="inlineStr">
        <is>
          <t>20M</t>
        </is>
      </c>
      <c r="D626" s="2" t="inlineStr">
        <is>
          <t>a1</t>
        </is>
      </c>
      <c r="E626" s="2" t="inlineStr">
        <is>
          <t>2.0mm</t>
        </is>
      </c>
      <c r="F626" s="2" t="n">
        <v>1</v>
      </c>
      <c r="G626" s="2" t="n">
        <v>20</v>
      </c>
      <c r="H626" s="2" t="inlineStr">
        <is>
          <t>SC/PC</t>
        </is>
      </c>
      <c r="I626" s="2" t="inlineStr">
        <is>
          <t>SC/PC</t>
        </is>
      </c>
      <c r="J626" s="2" t="n"/>
      <c r="K626" s="2" t="n"/>
      <c r="L626" s="2" t="n"/>
      <c r="M626" s="2" t="n"/>
      <c r="N626" s="2" t="n">
        <v>19</v>
      </c>
      <c r="O626" s="2" t="n"/>
      <c r="P626" s="2" t="n"/>
      <c r="Q626" s="2" t="n"/>
      <c r="R626" s="2" t="n"/>
      <c r="S626" s="2" t="n"/>
      <c r="T626" s="2" t="n"/>
      <c r="U626" s="2" t="n"/>
      <c r="V626" s="2">
        <f>SUM(J626:U626)</f>
        <v/>
      </c>
      <c r="W626" s="2" t="n"/>
      <c r="X626" s="2" t="n"/>
      <c r="Y626" s="2" t="n"/>
      <c r="Z626" s="2" t="n"/>
      <c r="AA626" s="2" t="n">
        <v>38</v>
      </c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>
        <f>IF(F626=1,V626*2,IF(F626=2,V626*F626*2,IF(F626&gt;2,F626*2*V626)))</f>
        <v/>
      </c>
      <c r="AW626" s="2">
        <f>SUM(W626:AU626)</f>
        <v/>
      </c>
    </row>
    <row r="627">
      <c r="A627" s="2" t="inlineStr">
        <is>
          <t>14-S-268</t>
        </is>
      </c>
      <c r="B627" s="3" t="inlineStr">
        <is>
          <t>SOJC-SM-SC/PC-SC/PC</t>
        </is>
      </c>
      <c r="C627" s="2" t="inlineStr">
        <is>
          <t>3M</t>
        </is>
      </c>
      <c r="D627" s="2" t="inlineStr">
        <is>
          <t>a1</t>
        </is>
      </c>
      <c r="E627" s="2" t="inlineStr">
        <is>
          <t>2.0mm</t>
        </is>
      </c>
      <c r="F627" s="2" t="n">
        <v>1</v>
      </c>
      <c r="G627" s="2" t="n">
        <v>3</v>
      </c>
      <c r="H627" s="2" t="inlineStr">
        <is>
          <t>SC/PC</t>
        </is>
      </c>
      <c r="I627" s="2" t="inlineStr">
        <is>
          <t>SC/PC</t>
        </is>
      </c>
      <c r="J627" s="2" t="n"/>
      <c r="K627" s="2" t="n">
        <v>160</v>
      </c>
      <c r="L627" s="2" t="n">
        <v>100</v>
      </c>
      <c r="M627" s="2" t="n">
        <v>670</v>
      </c>
      <c r="N627" s="2" t="n">
        <v>20</v>
      </c>
      <c r="O627" s="2" t="n">
        <v>110</v>
      </c>
      <c r="P627" s="2" t="n">
        <v>50</v>
      </c>
      <c r="Q627" s="2" t="n">
        <v>125</v>
      </c>
      <c r="R627" s="2" t="n"/>
      <c r="S627" s="2" t="n"/>
      <c r="T627" s="2" t="n"/>
      <c r="U627" s="2" t="n"/>
      <c r="V627" s="2">
        <f>SUM(J627:U627)</f>
        <v/>
      </c>
      <c r="W627" s="2" t="n"/>
      <c r="X627" s="2" t="n"/>
      <c r="Y627" s="2" t="n"/>
      <c r="Z627" s="2" t="n"/>
      <c r="AA627" s="2" t="n">
        <v>2470</v>
      </c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>
        <f>IF(F627=1,V627*2,IF(F627=2,V627*F627*2,IF(F627&gt;2,F627*2*V627)))</f>
        <v/>
      </c>
      <c r="AW627" s="2">
        <f>SUM(W627:AU627)</f>
        <v/>
      </c>
    </row>
    <row r="628">
      <c r="A628" s="2" t="inlineStr">
        <is>
          <t>14-S-344</t>
        </is>
      </c>
      <c r="B628" s="3" t="inlineStr">
        <is>
          <t>SOJC-SM-LC/PC-LC/PC</t>
        </is>
      </c>
      <c r="C628" s="2" t="inlineStr">
        <is>
          <t>0.3M</t>
        </is>
      </c>
      <c r="D628" s="2" t="inlineStr">
        <is>
          <t>a1</t>
        </is>
      </c>
      <c r="E628" s="2" t="inlineStr">
        <is>
          <t>2.0mm</t>
        </is>
      </c>
      <c r="F628" s="2" t="n">
        <v>1</v>
      </c>
      <c r="G628" s="2" t="n">
        <v>0.3</v>
      </c>
      <c r="H628" s="2" t="inlineStr">
        <is>
          <t>LC/PC</t>
        </is>
      </c>
      <c r="I628" s="2" t="inlineStr">
        <is>
          <t>LC/PC</t>
        </is>
      </c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>
        <v>100</v>
      </c>
      <c r="V628" s="2">
        <f>SUM(J628:U628)</f>
        <v/>
      </c>
      <c r="W628" s="2" t="n">
        <v>200</v>
      </c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>
        <f>IF(F628=1,V628*2,IF(F628=2,V628*F628*2,IF(F628&gt;2,F628*2*V628)))</f>
        <v/>
      </c>
      <c r="AW628" s="2">
        <f>SUM(W628:AU628)</f>
        <v/>
      </c>
    </row>
    <row r="629">
      <c r="A629" s="2" t="inlineStr">
        <is>
          <t>14-S-382</t>
        </is>
      </c>
      <c r="B629" s="3" t="inlineStr">
        <is>
          <t>DOJC-MM(OM3)-LC/PC-LC/PC</t>
        </is>
      </c>
      <c r="C629" s="2" t="inlineStr">
        <is>
          <t>55M</t>
        </is>
      </c>
      <c r="D629" s="2" t="inlineStr">
        <is>
          <t>om3</t>
        </is>
      </c>
      <c r="E629" s="2" t="inlineStr">
        <is>
          <t>2.0mm</t>
        </is>
      </c>
      <c r="F629" s="2" t="n">
        <v>2</v>
      </c>
      <c r="G629" s="2" t="n">
        <v>55</v>
      </c>
      <c r="H629" s="2" t="inlineStr">
        <is>
          <t>LC/PC</t>
        </is>
      </c>
      <c r="I629" s="2" t="inlineStr">
        <is>
          <t>LC/PC</t>
        </is>
      </c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>
        <v>1</v>
      </c>
      <c r="U629" s="2" t="n"/>
      <c r="V629" s="2">
        <f>SUM(J629:U629)</f>
        <v/>
      </c>
      <c r="W629" s="2" t="n"/>
      <c r="X629" s="2" t="n">
        <v>2</v>
      </c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>
        <v>2</v>
      </c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>
        <f>IF(F629=1,V629*2,IF(F629=2,V629*F629*2,IF(F629&gt;2,F629*2*V629)))</f>
        <v/>
      </c>
      <c r="AW629" s="2">
        <f>SUM(W629:AU629)</f>
        <v/>
      </c>
    </row>
    <row r="630">
      <c r="A630" s="2" t="inlineStr">
        <is>
          <t>14-S-459</t>
        </is>
      </c>
      <c r="B630" s="3" t="inlineStr">
        <is>
          <t>SOJC-SM-LC/PC-FC/APC</t>
        </is>
      </c>
      <c r="C630" s="2" t="inlineStr">
        <is>
          <t>50M</t>
        </is>
      </c>
      <c r="D630" s="2" t="inlineStr">
        <is>
          <t>a1</t>
        </is>
      </c>
      <c r="E630" s="2" t="inlineStr">
        <is>
          <t>2.0mm</t>
        </is>
      </c>
      <c r="F630" s="2" t="n">
        <v>1</v>
      </c>
      <c r="G630" s="2" t="n">
        <v>50</v>
      </c>
      <c r="H630" s="2" t="inlineStr">
        <is>
          <t>LC/PC</t>
        </is>
      </c>
      <c r="I630" s="2" t="inlineStr">
        <is>
          <t>FC/APC</t>
        </is>
      </c>
      <c r="J630" s="2" t="n"/>
      <c r="K630" s="2" t="n"/>
      <c r="L630" s="2" t="n"/>
      <c r="M630" s="2" t="n"/>
      <c r="N630" s="2" t="n"/>
      <c r="O630" s="2" t="n"/>
      <c r="P630" s="2" t="n"/>
      <c r="Q630" s="2" t="n">
        <v>3</v>
      </c>
      <c r="R630" s="2" t="n"/>
      <c r="S630" s="2" t="n"/>
      <c r="T630" s="2" t="n"/>
      <c r="U630" s="2" t="n"/>
      <c r="V630" s="2">
        <f>SUM(J630:U630)</f>
        <v/>
      </c>
      <c r="W630" s="2" t="n">
        <v>3</v>
      </c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>
        <v>3</v>
      </c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>
        <f>IF(F630=1,V630*2,IF(F630=2,V630*F630*2,IF(F630&gt;2,F630*2*V630)))</f>
        <v/>
      </c>
      <c r="AW630" s="2">
        <f>SUM(W630:AU630)</f>
        <v/>
      </c>
    </row>
    <row r="631">
      <c r="A631" s="2" t="inlineStr">
        <is>
          <t>14-S-472</t>
        </is>
      </c>
      <c r="B631" s="3" t="inlineStr">
        <is>
          <t>SOJC-SM-SC/APC-FC/PC</t>
        </is>
      </c>
      <c r="C631" s="2" t="inlineStr">
        <is>
          <t>1M</t>
        </is>
      </c>
      <c r="D631" s="2" t="inlineStr">
        <is>
          <t>a1</t>
        </is>
      </c>
      <c r="E631" s="2" t="inlineStr">
        <is>
          <t>2.0mm</t>
        </is>
      </c>
      <c r="F631" s="2" t="n">
        <v>1</v>
      </c>
      <c r="G631" s="2" t="n">
        <v>1</v>
      </c>
      <c r="H631" s="2" t="inlineStr">
        <is>
          <t>SC/APC</t>
        </is>
      </c>
      <c r="I631" s="2" t="inlineStr">
        <is>
          <t>FC/PC</t>
        </is>
      </c>
      <c r="J631" s="2" t="n"/>
      <c r="K631" s="2" t="n"/>
      <c r="L631" s="2" t="n"/>
      <c r="M631" s="2" t="n"/>
      <c r="N631" s="2" t="n"/>
      <c r="O631" s="2" t="n"/>
      <c r="P631" s="2" t="n">
        <v>2</v>
      </c>
      <c r="Q631" s="2" t="n"/>
      <c r="R631" s="2" t="n"/>
      <c r="S631" s="2" t="n"/>
      <c r="T631" s="2" t="n"/>
      <c r="U631" s="2" t="n"/>
      <c r="V631" s="2">
        <f>SUM(J631:U631)</f>
        <v/>
      </c>
      <c r="W631" s="2" t="n"/>
      <c r="X631" s="2" t="n"/>
      <c r="Y631" s="2" t="n"/>
      <c r="Z631" s="2" t="n"/>
      <c r="AA631" s="2" t="n"/>
      <c r="AB631" s="2" t="n"/>
      <c r="AC631" s="2" t="n">
        <v>2</v>
      </c>
      <c r="AD631" s="2" t="n"/>
      <c r="AE631" s="2" t="n">
        <v>2</v>
      </c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>
        <f>IF(F631=1,V631*2,IF(F631=2,V631*F631*2,IF(F631&gt;2,F631*2*V631)))</f>
        <v/>
      </c>
      <c r="AW631" s="2">
        <f>SUM(W631:AU631)</f>
        <v/>
      </c>
    </row>
    <row r="632">
      <c r="A632" s="2" t="inlineStr">
        <is>
          <t>14-S-502</t>
        </is>
      </c>
      <c r="B632" s="3" t="inlineStr">
        <is>
          <t>SOJC-SM-LC/PC-LC/PC</t>
        </is>
      </c>
      <c r="C632" s="2" t="inlineStr">
        <is>
          <t>60M</t>
        </is>
      </c>
      <c r="D632" s="2" t="inlineStr">
        <is>
          <t>a1</t>
        </is>
      </c>
      <c r="E632" s="2" t="inlineStr">
        <is>
          <t>2.0mm</t>
        </is>
      </c>
      <c r="F632" s="2" t="n">
        <v>1</v>
      </c>
      <c r="G632" s="2" t="n">
        <v>60</v>
      </c>
      <c r="H632" s="2" t="inlineStr">
        <is>
          <t>LC/PC</t>
        </is>
      </c>
      <c r="I632" s="2" t="inlineStr">
        <is>
          <t>LC/PC</t>
        </is>
      </c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>
        <v>13</v>
      </c>
      <c r="U632" s="2" t="n"/>
      <c r="V632" s="2">
        <f>SUM(J632:U632)</f>
        <v/>
      </c>
      <c r="W632" s="2" t="n">
        <v>26</v>
      </c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>
        <f>IF(F632=1,V632*2,IF(F632=2,V632*F632*2,IF(F632&gt;2,F632*2*V632)))</f>
        <v/>
      </c>
      <c r="AW632" s="2">
        <f>SUM(W632:AU632)</f>
        <v/>
      </c>
    </row>
    <row r="633">
      <c r="A633" s="2" t="inlineStr">
        <is>
          <t>14-S-775</t>
        </is>
      </c>
      <c r="B633" s="3" t="inlineStr">
        <is>
          <t>SOJC-SM-LC/PC-FC/APC</t>
        </is>
      </c>
      <c r="C633" s="2" t="inlineStr">
        <is>
          <t>60M</t>
        </is>
      </c>
      <c r="D633" s="2" t="inlineStr">
        <is>
          <t>a1</t>
        </is>
      </c>
      <c r="E633" s="2" t="inlineStr">
        <is>
          <t>2.0mm</t>
        </is>
      </c>
      <c r="F633" s="2" t="n">
        <v>1</v>
      </c>
      <c r="G633" s="2" t="n">
        <v>60</v>
      </c>
      <c r="H633" s="2" t="inlineStr">
        <is>
          <t>LC/PC</t>
        </is>
      </c>
      <c r="I633" s="2" t="inlineStr">
        <is>
          <t>FC/APC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>
        <v>2</v>
      </c>
      <c r="U633" s="2" t="n"/>
      <c r="V633" s="2">
        <f>SUM(J633:U633)</f>
        <v/>
      </c>
      <c r="W633" s="2" t="n">
        <v>2</v>
      </c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>
        <v>2</v>
      </c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>
        <f>IF(F633=1,V633*2,IF(F633=2,V633*F633*2,IF(F633&gt;2,F633*2*V633)))</f>
        <v/>
      </c>
      <c r="AW633" s="2">
        <f>SUM(W633:AU633)</f>
        <v/>
      </c>
    </row>
    <row r="634">
      <c r="A634" s="2" t="inlineStr">
        <is>
          <t>14-S-841</t>
        </is>
      </c>
      <c r="B634" s="3" t="inlineStr">
        <is>
          <t>SOJC-SM-LC/PC-SC/PC</t>
        </is>
      </c>
      <c r="C634" s="2" t="inlineStr">
        <is>
          <t>60M</t>
        </is>
      </c>
      <c r="D634" s="2" t="inlineStr">
        <is>
          <t>a1</t>
        </is>
      </c>
      <c r="E634" s="2" t="inlineStr">
        <is>
          <t>2.0mm</t>
        </is>
      </c>
      <c r="F634" s="2" t="n">
        <v>1</v>
      </c>
      <c r="G634" s="2" t="n">
        <v>60</v>
      </c>
      <c r="H634" s="2" t="inlineStr">
        <is>
          <t>LC/PC</t>
        </is>
      </c>
      <c r="I634" s="2" t="inlineStr">
        <is>
          <t>SC/PC</t>
        </is>
      </c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>
        <v>24</v>
      </c>
      <c r="U634" s="2" t="n"/>
      <c r="V634" s="2">
        <f>SUM(J634:U634)</f>
        <v/>
      </c>
      <c r="W634" s="2" t="n">
        <v>24</v>
      </c>
      <c r="X634" s="2" t="n"/>
      <c r="Y634" s="2" t="n"/>
      <c r="Z634" s="2" t="n"/>
      <c r="AA634" s="2" t="n">
        <v>24</v>
      </c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>
        <f>IF(F634=1,V634*2,IF(F634=2,V634*F634*2,IF(F634&gt;2,F634*2*V634)))</f>
        <v/>
      </c>
      <c r="AW634" s="2">
        <f>SUM(W634:AU634)</f>
        <v/>
      </c>
    </row>
    <row r="635">
      <c r="A635" s="2" t="inlineStr">
        <is>
          <t>14-S-852</t>
        </is>
      </c>
      <c r="B635" s="3" t="inlineStr">
        <is>
          <t>OJC-A1-SC/SC-SM-3-PC/PC-SP</t>
        </is>
      </c>
      <c r="C635" s="2" t="inlineStr">
        <is>
          <t>K9088996_녹색</t>
        </is>
      </c>
      <c r="D635" s="2" t="inlineStr">
        <is>
          <t>a1-녹</t>
        </is>
      </c>
      <c r="E635" s="2" t="inlineStr">
        <is>
          <t>2.0mm</t>
        </is>
      </c>
      <c r="F635" s="2" t="n">
        <v>1</v>
      </c>
      <c r="G635" s="2" t="n">
        <v>3</v>
      </c>
      <c r="H635" s="2" t="inlineStr">
        <is>
          <t>SC/PC</t>
        </is>
      </c>
      <c r="I635" s="2" t="inlineStr">
        <is>
          <t>SC/PC</t>
        </is>
      </c>
      <c r="J635" s="2" t="n"/>
      <c r="K635" s="2" t="n"/>
      <c r="L635" s="2" t="n"/>
      <c r="M635" s="2" t="n"/>
      <c r="N635" s="2" t="n"/>
      <c r="O635" s="2" t="n"/>
      <c r="P635" s="2" t="n"/>
      <c r="Q635" s="2" t="n">
        <v>200</v>
      </c>
      <c r="R635" s="2" t="n"/>
      <c r="S635" s="2" t="n">
        <v>200</v>
      </c>
      <c r="T635" s="2" t="n">
        <v>100</v>
      </c>
      <c r="U635" s="2" t="n"/>
      <c r="V635" s="2">
        <f>SUM(J635:U635)</f>
        <v/>
      </c>
      <c r="W635" s="2" t="n"/>
      <c r="X635" s="2" t="n"/>
      <c r="Y635" s="2" t="n"/>
      <c r="Z635" s="2" t="n"/>
      <c r="AA635" s="2" t="n">
        <v>1000</v>
      </c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>
        <f>IF(F635=1,V635*2,IF(F635=2,V635*F635*2,IF(F635&gt;2,F635*2*V635)))</f>
        <v/>
      </c>
      <c r="AW635" s="2">
        <f>SUM(W635:AU635)</f>
        <v/>
      </c>
    </row>
    <row r="636">
      <c r="A636" s="2" t="inlineStr">
        <is>
          <t>14-S-852</t>
        </is>
      </c>
      <c r="B636" s="3" t="inlineStr">
        <is>
          <t>OJC-A1-SC/SC-SM-3-PC/PC-SP</t>
        </is>
      </c>
      <c r="C636" s="2" t="inlineStr">
        <is>
          <t>K9088996_녹색 포앤티</t>
        </is>
      </c>
      <c r="D636" s="2" t="inlineStr">
        <is>
          <t>a1-녹</t>
        </is>
      </c>
      <c r="E636" s="2" t="inlineStr">
        <is>
          <t>2.0mm</t>
        </is>
      </c>
      <c r="F636" s="2" t="n">
        <v>1</v>
      </c>
      <c r="G636" s="2" t="n">
        <v>3</v>
      </c>
      <c r="H636" s="2" t="inlineStr">
        <is>
          <t>SC/PC</t>
        </is>
      </c>
      <c r="I636" s="2" t="inlineStr">
        <is>
          <t>SC/PC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>
        <v>100</v>
      </c>
      <c r="S636" s="2" t="n"/>
      <c r="T636" s="2" t="n"/>
      <c r="U636" s="2" t="n"/>
      <c r="V636" s="2">
        <f>SUM(J636:U636)</f>
        <v/>
      </c>
      <c r="W636" s="2" t="n"/>
      <c r="X636" s="2" t="n"/>
      <c r="Y636" s="2" t="n"/>
      <c r="Z636" s="2" t="n"/>
      <c r="AA636" s="2" t="n">
        <v>200</v>
      </c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>
        <f>IF(F636=1,V636*2,IF(F636=2,V636*F636*2,IF(F636&gt;2,F636*2*V636)))</f>
        <v/>
      </c>
      <c r="AW636" s="2">
        <f>SUM(W636:AU636)</f>
        <v/>
      </c>
    </row>
    <row r="637">
      <c r="A637" s="2" t="inlineStr">
        <is>
          <t>14-S-862</t>
        </is>
      </c>
      <c r="B637" s="3" t="inlineStr">
        <is>
          <t>OJC-A1-SC/LC-SM-2-APC/PC-SP</t>
        </is>
      </c>
      <c r="C637" s="2" t="inlineStr"/>
      <c r="D637" s="2" t="inlineStr">
        <is>
          <t>a1</t>
        </is>
      </c>
      <c r="E637" s="2" t="inlineStr">
        <is>
          <t>2.0mm</t>
        </is>
      </c>
      <c r="F637" s="2" t="n">
        <v>1</v>
      </c>
      <c r="G637" s="2" t="n">
        <v>2</v>
      </c>
      <c r="H637" s="2" t="inlineStr">
        <is>
          <t>SC/APC</t>
        </is>
      </c>
      <c r="I637" s="2" t="inlineStr">
        <is>
          <t>LC/PC</t>
        </is>
      </c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>
        <v>44</v>
      </c>
      <c r="V637" s="2">
        <f>SUM(J637:U637)</f>
        <v/>
      </c>
      <c r="W637" s="2" t="n">
        <v>44</v>
      </c>
      <c r="X637" s="2" t="n"/>
      <c r="Y637" s="2" t="n"/>
      <c r="Z637" s="2" t="n"/>
      <c r="AA637" s="2" t="n"/>
      <c r="AB637" s="2" t="n"/>
      <c r="AC637" s="2" t="n">
        <v>44</v>
      </c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>
        <f>IF(F637=1,V637*2,IF(F637=2,V637*F637*2,IF(F637&gt;2,F637*2*V637)))</f>
        <v/>
      </c>
      <c r="AW637" s="2">
        <f>SUM(W637:AU637)</f>
        <v/>
      </c>
    </row>
    <row r="638">
      <c r="A638" s="2" t="inlineStr">
        <is>
          <t>14-S-A361</t>
        </is>
      </c>
      <c r="B638" s="3" t="inlineStr">
        <is>
          <t>SOJC-MM(OM3)-LC/PC-LC/PC</t>
        </is>
      </c>
      <c r="C638" s="2" t="inlineStr">
        <is>
          <t>1M</t>
        </is>
      </c>
      <c r="D638" s="2" t="inlineStr">
        <is>
          <t>om3</t>
        </is>
      </c>
      <c r="E638" s="2" t="inlineStr">
        <is>
          <t>2.0mm</t>
        </is>
      </c>
      <c r="F638" s="2" t="n">
        <v>1</v>
      </c>
      <c r="G638" s="2" t="n">
        <v>1</v>
      </c>
      <c r="H638" s="2" t="inlineStr">
        <is>
          <t>LC/PC</t>
        </is>
      </c>
      <c r="I638" s="2" t="inlineStr">
        <is>
          <t>LC/PC</t>
        </is>
      </c>
      <c r="J638" s="2" t="n"/>
      <c r="K638" s="2" t="n"/>
      <c r="L638" s="2" t="n"/>
      <c r="M638" s="2" t="n"/>
      <c r="N638" s="2" t="n"/>
      <c r="O638" s="2" t="n"/>
      <c r="P638" s="2" t="n"/>
      <c r="Q638" s="2" t="n">
        <v>1</v>
      </c>
      <c r="R638" s="2" t="n"/>
      <c r="S638" s="2" t="n"/>
      <c r="T638" s="2" t="n"/>
      <c r="U638" s="2" t="n"/>
      <c r="V638" s="2">
        <f>SUM(J638:U638)</f>
        <v/>
      </c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>
        <v>2</v>
      </c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>
        <f>IF(F638=1,V638*2,IF(F638=2,V638*F638*2,IF(F638&gt;2,F638*2*V638)))</f>
        <v/>
      </c>
      <c r="AW638" s="2">
        <f>SUM(W638:AU638)</f>
        <v/>
      </c>
    </row>
    <row r="639">
      <c r="A639" s="2" t="inlineStr">
        <is>
          <t>45-A-123</t>
        </is>
      </c>
      <c r="B639" s="3" t="inlineStr">
        <is>
          <t>MOJC-SM-6C</t>
        </is>
      </c>
      <c r="C639" s="2" t="inlineStr">
        <is>
          <t>커넥터 업체 별도 지정</t>
        </is>
      </c>
      <c r="D639" s="2" t="inlineStr">
        <is>
          <t>b3-6c</t>
        </is>
      </c>
      <c r="E639" s="2" t="inlineStr">
        <is>
          <t>2.0mm</t>
        </is>
      </c>
      <c r="F639" s="2" t="n">
        <v>6</v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>
        <v>3</v>
      </c>
      <c r="S639" s="2" t="n"/>
      <c r="T639" s="2" t="n"/>
      <c r="U639" s="2" t="n"/>
      <c r="V639" s="2">
        <f>SUM(J639:U639)</f>
        <v/>
      </c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>
        <f>IF(F639=1,V639*2,IF(F639=2,V639*F639*2,IF(F639&gt;2,F639*2*V639)))</f>
        <v/>
      </c>
      <c r="AW639" s="2">
        <f>SUM(W639:AU639)</f>
        <v/>
      </c>
    </row>
    <row r="640">
      <c r="A640" s="2" t="inlineStr">
        <is>
          <t>A14-D-FA/FA-B-N-009</t>
        </is>
      </c>
      <c r="B640" s="3" t="inlineStr">
        <is>
          <t>DOJC-SM-FC/APC-FC/APC</t>
        </is>
      </c>
      <c r="C640" s="2" t="inlineStr">
        <is>
          <t>908040648, 3M, B3, 3.0mm</t>
        </is>
      </c>
      <c r="D640" s="2" t="inlineStr">
        <is>
          <t>b3</t>
        </is>
      </c>
      <c r="E640" s="2" t="inlineStr">
        <is>
          <t>3.0mm</t>
        </is>
      </c>
      <c r="F640" s="2" t="n">
        <v>2</v>
      </c>
      <c r="G640" s="2" t="n">
        <v>3</v>
      </c>
      <c r="H640" s="2" t="inlineStr">
        <is>
          <t>FC/APC</t>
        </is>
      </c>
      <c r="I640" s="2" t="inlineStr">
        <is>
          <t>FC/APC</t>
        </is>
      </c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>
        <v>10</v>
      </c>
      <c r="U640" s="2" t="n"/>
      <c r="V640" s="2">
        <f>SUM(J640:U640)</f>
        <v/>
      </c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>
        <v>20</v>
      </c>
      <c r="AU640" s="2" t="n">
        <v>20</v>
      </c>
      <c r="AV640" s="2">
        <f>IF(F640=1,V640*2,IF(F640=2,V640*F640*2,IF(F640&gt;2,F640*2*V640)))</f>
        <v/>
      </c>
      <c r="AW640" s="2">
        <f>SUM(W640:AU640)</f>
        <v/>
      </c>
    </row>
    <row r="641">
      <c r="A641" s="2" t="inlineStr">
        <is>
          <t>A14-D-FP/FA-B-N-001</t>
        </is>
      </c>
      <c r="B641" s="3" t="inlineStr">
        <is>
          <t>DOJC-SM-FC/PC-FC/APC</t>
        </is>
      </c>
      <c r="C641" s="2" t="inlineStr">
        <is>
          <t>908040627, 10M, B3, 2.0mm</t>
        </is>
      </c>
      <c r="D641" s="2" t="inlineStr">
        <is>
          <t>b3</t>
        </is>
      </c>
      <c r="E641" s="2" t="inlineStr">
        <is>
          <t>2.0mm</t>
        </is>
      </c>
      <c r="F641" s="2" t="n">
        <v>2</v>
      </c>
      <c r="G641" s="2" t="n">
        <v>10</v>
      </c>
      <c r="H641" s="2" t="inlineStr">
        <is>
          <t>FC/PC</t>
        </is>
      </c>
      <c r="I641" s="2" t="inlineStr">
        <is>
          <t>FC/APC</t>
        </is>
      </c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>
        <v>10</v>
      </c>
      <c r="U641" s="2" t="n"/>
      <c r="V641" s="2">
        <f>SUM(J641:U641)</f>
        <v/>
      </c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>
        <v>20</v>
      </c>
      <c r="AF641" s="2" t="n"/>
      <c r="AG641" s="2" t="n"/>
      <c r="AH641" s="2" t="n">
        <v>20</v>
      </c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>
        <f>IF(F641=1,V641*2,IF(F641=2,V641*F641*2,IF(F641&gt;2,F641*2*V641)))</f>
        <v/>
      </c>
      <c r="AW641" s="2">
        <f>SUM(W641:AU641)</f>
        <v/>
      </c>
    </row>
    <row r="642">
      <c r="A642" s="2" t="inlineStr">
        <is>
          <t>A14-D-FP/FA-B-N-004</t>
        </is>
      </c>
      <c r="B642" s="3" t="inlineStr">
        <is>
          <t>DOJC-SM-FC/PC-FC/APC</t>
        </is>
      </c>
      <c r="C642" s="2" t="inlineStr">
        <is>
          <t>908040637, 20M, B3, 2.0mm</t>
        </is>
      </c>
      <c r="D642" s="2" t="inlineStr">
        <is>
          <t>b3</t>
        </is>
      </c>
      <c r="E642" s="2" t="inlineStr">
        <is>
          <t>2.0mm</t>
        </is>
      </c>
      <c r="F642" s="2" t="n">
        <v>2</v>
      </c>
      <c r="G642" s="2" t="n">
        <v>20</v>
      </c>
      <c r="H642" s="2" t="inlineStr">
        <is>
          <t>FC/PC</t>
        </is>
      </c>
      <c r="I642" s="2" t="inlineStr">
        <is>
          <t>FC/APC</t>
        </is>
      </c>
      <c r="J642" s="2" t="n"/>
      <c r="K642" s="2" t="n"/>
      <c r="L642" s="2" t="n">
        <v>10</v>
      </c>
      <c r="M642" s="2" t="n"/>
      <c r="N642" s="2" t="n"/>
      <c r="O642" s="2" t="n"/>
      <c r="P642" s="2" t="n"/>
      <c r="Q642" s="2" t="n">
        <v>10</v>
      </c>
      <c r="R642" s="2" t="n"/>
      <c r="S642" s="2" t="n"/>
      <c r="T642" s="2" t="n">
        <v>10</v>
      </c>
      <c r="U642" s="2" t="n"/>
      <c r="V642" s="2">
        <f>SUM(J642:U642)</f>
        <v/>
      </c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>
        <v>60</v>
      </c>
      <c r="AF642" s="2" t="n"/>
      <c r="AG642" s="2" t="n"/>
      <c r="AH642" s="2" t="n">
        <v>60</v>
      </c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>
        <f>IF(F642=1,V642*2,IF(F642=2,V642*F642*2,IF(F642&gt;2,F642*2*V642)))</f>
        <v/>
      </c>
      <c r="AW642" s="2">
        <f>SUM(W642:AU642)</f>
        <v/>
      </c>
    </row>
    <row r="643">
      <c r="A643" s="2" t="inlineStr">
        <is>
          <t>A14-D-FP/FA-B-N-005</t>
        </is>
      </c>
      <c r="B643" s="3" t="inlineStr">
        <is>
          <t>DOJC-SM-FC/PC-FC/APC</t>
        </is>
      </c>
      <c r="C643" s="2" t="inlineStr">
        <is>
          <t>908040642, 25M, B3, 2.0mm</t>
        </is>
      </c>
      <c r="D643" s="2" t="inlineStr">
        <is>
          <t>b3</t>
        </is>
      </c>
      <c r="E643" s="2" t="inlineStr">
        <is>
          <t>2.0mm</t>
        </is>
      </c>
      <c r="F643" s="2" t="n">
        <v>2</v>
      </c>
      <c r="G643" s="2" t="n">
        <v>25</v>
      </c>
      <c r="H643" s="2" t="inlineStr">
        <is>
          <t>FC/PC</t>
        </is>
      </c>
      <c r="I643" s="2" t="inlineStr">
        <is>
          <t>FC/APC</t>
        </is>
      </c>
      <c r="J643" s="2" t="n"/>
      <c r="K643" s="2" t="n"/>
      <c r="L643" s="2" t="n">
        <v>10</v>
      </c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>
        <f>SUM(J643:U643)</f>
        <v/>
      </c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>
        <v>20</v>
      </c>
      <c r="AF643" s="2" t="n"/>
      <c r="AG643" s="2" t="n"/>
      <c r="AH643" s="2" t="n">
        <v>20</v>
      </c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>
        <f>IF(F643=1,V643*2,IF(F643=2,V643*F643*2,IF(F643&gt;2,F643*2*V643)))</f>
        <v/>
      </c>
      <c r="AW643" s="2">
        <f>SUM(W643:AU643)</f>
        <v/>
      </c>
    </row>
    <row r="644">
      <c r="A644" s="2" t="inlineStr">
        <is>
          <t>A14-D-FP/FA-B-N-007</t>
        </is>
      </c>
      <c r="B644" s="3" t="inlineStr">
        <is>
          <t>DOJC-SM-FC/PC-FC/APC</t>
        </is>
      </c>
      <c r="C644" s="2" t="inlineStr">
        <is>
          <t>908040647, 30M, B3, 2.0mm</t>
        </is>
      </c>
      <c r="D644" s="2" t="inlineStr">
        <is>
          <t>b3</t>
        </is>
      </c>
      <c r="E644" s="2" t="inlineStr">
        <is>
          <t>2.0mm</t>
        </is>
      </c>
      <c r="F644" s="2" t="n">
        <v>2</v>
      </c>
      <c r="G644" s="2" t="n">
        <v>30</v>
      </c>
      <c r="H644" s="2" t="inlineStr">
        <is>
          <t>FC/PC</t>
        </is>
      </c>
      <c r="I644" s="2" t="inlineStr">
        <is>
          <t>FC/APC</t>
        </is>
      </c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>
        <v>10</v>
      </c>
      <c r="U644" s="2" t="n"/>
      <c r="V644" s="2">
        <f>SUM(J644:U644)</f>
        <v/>
      </c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>
        <v>20</v>
      </c>
      <c r="AF644" s="2" t="n"/>
      <c r="AG644" s="2" t="n"/>
      <c r="AH644" s="2" t="n">
        <v>20</v>
      </c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>
        <f>IF(F644=1,V644*2,IF(F644=2,V644*F644*2,IF(F644&gt;2,F644*2*V644)))</f>
        <v/>
      </c>
      <c r="AW644" s="2">
        <f>SUM(W644:AU644)</f>
        <v/>
      </c>
    </row>
    <row r="645">
      <c r="A645" s="2" t="inlineStr">
        <is>
          <t>A14-D-FP/FA-B-N-010</t>
        </is>
      </c>
      <c r="B645" s="3" t="inlineStr">
        <is>
          <t>DOJC-SM-FC/PC-FC/APC</t>
        </is>
      </c>
      <c r="C645" s="2" t="inlineStr">
        <is>
          <t>908040622, 5M, B3, 3.0mm</t>
        </is>
      </c>
      <c r="D645" s="2" t="inlineStr">
        <is>
          <t>b3</t>
        </is>
      </c>
      <c r="E645" s="2" t="inlineStr">
        <is>
          <t>3.0mm</t>
        </is>
      </c>
      <c r="F645" s="2" t="n">
        <v>2</v>
      </c>
      <c r="G645" s="2" t="n">
        <v>5</v>
      </c>
      <c r="H645" s="2" t="inlineStr">
        <is>
          <t>FC/PC</t>
        </is>
      </c>
      <c r="I645" s="2" t="inlineStr">
        <is>
          <t>FC/APC</t>
        </is>
      </c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>
        <v>10</v>
      </c>
      <c r="U645" s="2" t="n"/>
      <c r="V645" s="2">
        <f>SUM(J645:U645)</f>
        <v/>
      </c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>
        <v>20</v>
      </c>
      <c r="AS645" s="2" t="n"/>
      <c r="AT645" s="2" t="n"/>
      <c r="AU645" s="2" t="n">
        <v>20</v>
      </c>
      <c r="AV645" s="2">
        <f>IF(F645=1,V645*2,IF(F645=2,V645*F645*2,IF(F645&gt;2,F645*2*V645)))</f>
        <v/>
      </c>
      <c r="AW645" s="2">
        <f>SUM(W645:AU645)</f>
        <v/>
      </c>
    </row>
    <row r="646">
      <c r="A646" s="2" t="inlineStr">
        <is>
          <t>A14-D-FP/FP-B-N-004</t>
        </is>
      </c>
      <c r="B646" s="3" t="inlineStr">
        <is>
          <t>DOJC-SM-FC/PC-FC/PC</t>
        </is>
      </c>
      <c r="C646" s="2" t="inlineStr">
        <is>
          <t>908040607, 20M, B3, 2.0mm</t>
        </is>
      </c>
      <c r="D646" s="2" t="inlineStr">
        <is>
          <t>b3</t>
        </is>
      </c>
      <c r="E646" s="2" t="inlineStr">
        <is>
          <t>2.0mm</t>
        </is>
      </c>
      <c r="F646" s="2" t="n">
        <v>2</v>
      </c>
      <c r="G646" s="2" t="n">
        <v>20</v>
      </c>
      <c r="H646" s="2" t="inlineStr">
        <is>
          <t>FC/PC</t>
        </is>
      </c>
      <c r="I646" s="2" t="inlineStr">
        <is>
          <t>FC/PC</t>
        </is>
      </c>
      <c r="J646" s="2" t="n"/>
      <c r="K646" s="2" t="n"/>
      <c r="L646" s="2" t="n"/>
      <c r="M646" s="2" t="n"/>
      <c r="N646" s="2" t="n"/>
      <c r="O646" s="2" t="n"/>
      <c r="P646" s="2" t="n"/>
      <c r="Q646" s="2" t="n">
        <v>10</v>
      </c>
      <c r="R646" s="2" t="n"/>
      <c r="S646" s="2" t="n"/>
      <c r="T646" s="2" t="n"/>
      <c r="U646" s="2" t="n"/>
      <c r="V646" s="2">
        <f>SUM(J646:U646)</f>
        <v/>
      </c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>
        <v>20</v>
      </c>
      <c r="AF646" s="2" t="n">
        <v>20</v>
      </c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>
        <f>IF(F646=1,V646*2,IF(F646=2,V646*F646*2,IF(F646&gt;2,F646*2*V646)))</f>
        <v/>
      </c>
      <c r="AW646" s="2">
        <f>SUM(W646:AU646)</f>
        <v/>
      </c>
    </row>
    <row r="647">
      <c r="A647" s="2" t="inlineStr">
        <is>
          <t>A14-D-FP/FP-B-N-005</t>
        </is>
      </c>
      <c r="B647" s="3" t="inlineStr">
        <is>
          <t>DOJC-SM-FC/PC-FC/PC</t>
        </is>
      </c>
      <c r="C647" s="2" t="inlineStr">
        <is>
          <t>908040612, 25M, B3, 2.0mm</t>
        </is>
      </c>
      <c r="D647" s="2" t="inlineStr">
        <is>
          <t>b3</t>
        </is>
      </c>
      <c r="E647" s="2" t="inlineStr">
        <is>
          <t>2.0mm</t>
        </is>
      </c>
      <c r="F647" s="2" t="n">
        <v>2</v>
      </c>
      <c r="G647" s="2" t="n">
        <v>25</v>
      </c>
      <c r="H647" s="2" t="inlineStr">
        <is>
          <t>FC/PC</t>
        </is>
      </c>
      <c r="I647" s="2" t="inlineStr">
        <is>
          <t>FC/PC</t>
        </is>
      </c>
      <c r="J647" s="2" t="n"/>
      <c r="K647" s="2" t="n"/>
      <c r="L647" s="2" t="n"/>
      <c r="M647" s="2" t="n"/>
      <c r="N647" s="2" t="n">
        <v>30</v>
      </c>
      <c r="O647" s="2" t="n"/>
      <c r="P647" s="2" t="n"/>
      <c r="Q647" s="2" t="n"/>
      <c r="R647" s="2" t="n"/>
      <c r="S647" s="2" t="n"/>
      <c r="T647" s="2" t="n"/>
      <c r="U647" s="2" t="n"/>
      <c r="V647" s="2">
        <f>SUM(J647:U647)</f>
        <v/>
      </c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>
        <v>60</v>
      </c>
      <c r="AF647" s="2" t="n">
        <v>60</v>
      </c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>
        <f>IF(F647=1,V647*2,IF(F647=2,V647*F647*2,IF(F647&gt;2,F647*2*V647)))</f>
        <v/>
      </c>
      <c r="AW647" s="2">
        <f>SUM(W647:AU647)</f>
        <v/>
      </c>
    </row>
    <row r="648">
      <c r="A648" s="2" t="inlineStr">
        <is>
          <t>A14-D-FP/FP-B-N-006</t>
        </is>
      </c>
      <c r="B648" s="3" t="inlineStr">
        <is>
          <t>DOJC-SM-FC/PC-FC/PC</t>
        </is>
      </c>
      <c r="C648" s="2" t="inlineStr">
        <is>
          <t>908040590, 2M, B3, 3.0mm</t>
        </is>
      </c>
      <c r="D648" s="2" t="inlineStr">
        <is>
          <t>b3</t>
        </is>
      </c>
      <c r="E648" s="2" t="inlineStr">
        <is>
          <t>3.0mm</t>
        </is>
      </c>
      <c r="F648" s="2" t="n">
        <v>2</v>
      </c>
      <c r="G648" s="2" t="n">
        <v>2</v>
      </c>
      <c r="H648" s="2" t="inlineStr">
        <is>
          <t>FC/PC</t>
        </is>
      </c>
      <c r="I648" s="2" t="inlineStr">
        <is>
          <t>FC/PC</t>
        </is>
      </c>
      <c r="J648" s="2" t="n">
        <v>10</v>
      </c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>
        <f>SUM(J648:U648)</f>
        <v/>
      </c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>
        <v>20</v>
      </c>
      <c r="AS648" s="2" t="n">
        <v>20</v>
      </c>
      <c r="AT648" s="2" t="n"/>
      <c r="AU648" s="2" t="n"/>
      <c r="AV648" s="2">
        <f>IF(F648=1,V648*2,IF(F648=2,V648*F648*2,IF(F648&gt;2,F648*2*V648)))</f>
        <v/>
      </c>
      <c r="AW648" s="2">
        <f>SUM(W648:AU648)</f>
        <v/>
      </c>
    </row>
    <row r="649">
      <c r="A649" s="2" t="inlineStr">
        <is>
          <t>A14-D-FP/FP-B-N-008</t>
        </is>
      </c>
      <c r="B649" s="3" t="inlineStr">
        <is>
          <t>DOJC-SM-FC/PC-FC/PC</t>
        </is>
      </c>
      <c r="C649" s="2" t="inlineStr">
        <is>
          <t>908040588, 3M, B3, 3.0mm</t>
        </is>
      </c>
      <c r="D649" s="2" t="inlineStr">
        <is>
          <t>b3</t>
        </is>
      </c>
      <c r="E649" s="2" t="inlineStr">
        <is>
          <t>3.0mm</t>
        </is>
      </c>
      <c r="F649" s="2" t="n">
        <v>2</v>
      </c>
      <c r="G649" s="2" t="n">
        <v>3</v>
      </c>
      <c r="H649" s="2" t="inlineStr">
        <is>
          <t>FC/PC</t>
        </is>
      </c>
      <c r="I649" s="2" t="inlineStr">
        <is>
          <t>FC/PC</t>
        </is>
      </c>
      <c r="J649" s="2" t="n"/>
      <c r="K649" s="2" t="n"/>
      <c r="L649" s="2" t="n"/>
      <c r="M649" s="2" t="n"/>
      <c r="N649" s="2" t="n"/>
      <c r="O649" s="2" t="n">
        <v>10</v>
      </c>
      <c r="P649" s="2" t="n"/>
      <c r="Q649" s="2" t="n"/>
      <c r="R649" s="2" t="n"/>
      <c r="S649" s="2" t="n"/>
      <c r="T649" s="2" t="n"/>
      <c r="U649" s="2" t="n"/>
      <c r="V649" s="2">
        <f>SUM(J649:U649)</f>
        <v/>
      </c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>
        <v>20</v>
      </c>
      <c r="AS649" s="2" t="n">
        <v>20</v>
      </c>
      <c r="AT649" s="2" t="n"/>
      <c r="AU649" s="2" t="n"/>
      <c r="AV649" s="2">
        <f>IF(F649=1,V649*2,IF(F649=2,V649*F649*2,IF(F649&gt;2,F649*2*V649)))</f>
        <v/>
      </c>
      <c r="AW649" s="2">
        <f>SUM(W649:AU649)</f>
        <v/>
      </c>
    </row>
    <row r="650">
      <c r="A650" s="2" t="inlineStr">
        <is>
          <t>A14-D-LA/LA-B-N-007</t>
        </is>
      </c>
      <c r="B650" s="3" t="inlineStr">
        <is>
          <t>DOJC-SM-LC/APC-LC/APC</t>
        </is>
      </c>
      <c r="C650" s="2" t="inlineStr">
        <is>
          <t>930003858, 5M, B3, 3.0mm</t>
        </is>
      </c>
      <c r="D650" s="2" t="inlineStr">
        <is>
          <t>b3</t>
        </is>
      </c>
      <c r="E650" s="2" t="inlineStr">
        <is>
          <t>3.0mm</t>
        </is>
      </c>
      <c r="F650" s="2" t="n">
        <v>2</v>
      </c>
      <c r="G650" s="2" t="n">
        <v>5</v>
      </c>
      <c r="H650" s="2" t="inlineStr">
        <is>
          <t>LC/APC</t>
        </is>
      </c>
      <c r="I650" s="2" t="inlineStr">
        <is>
          <t>LC/APC</t>
        </is>
      </c>
      <c r="J650" s="2" t="n"/>
      <c r="K650" s="2" t="n">
        <v>53</v>
      </c>
      <c r="L650" s="2" t="n"/>
      <c r="M650" s="2" t="n">
        <v>40</v>
      </c>
      <c r="N650" s="2" t="n">
        <v>30</v>
      </c>
      <c r="O650" s="2" t="n">
        <v>5</v>
      </c>
      <c r="P650" s="2" t="n">
        <v>40</v>
      </c>
      <c r="Q650" s="2" t="n"/>
      <c r="R650" s="2" t="n"/>
      <c r="S650" s="2" t="n"/>
      <c r="T650" s="2" t="n"/>
      <c r="U650" s="2" t="n"/>
      <c r="V650" s="2">
        <f>SUM(J650:U650)</f>
        <v/>
      </c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>
        <v>336</v>
      </c>
      <c r="AM650" s="2" t="n">
        <v>336</v>
      </c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>
        <f>IF(F650=1,V650*2,IF(F650=2,V650*F650*2,IF(F650&gt;2,F650*2*V650)))</f>
        <v/>
      </c>
      <c r="AW650" s="2">
        <f>SUM(W650:AU650)</f>
        <v/>
      </c>
    </row>
    <row r="651">
      <c r="A651" s="2" t="inlineStr">
        <is>
          <t>A14-D-LP/FA-B-N-004</t>
        </is>
      </c>
      <c r="B651" s="3" t="inlineStr">
        <is>
          <t>DOJC-SM-LC/PC-FC/APC</t>
        </is>
      </c>
      <c r="C651" s="2" t="inlineStr">
        <is>
          <t>908040524, 1M, B3, 3.0mm</t>
        </is>
      </c>
      <c r="D651" s="2" t="inlineStr">
        <is>
          <t>b3</t>
        </is>
      </c>
      <c r="E651" s="2" t="inlineStr">
        <is>
          <t>3.0mm</t>
        </is>
      </c>
      <c r="F651" s="2" t="n">
        <v>2</v>
      </c>
      <c r="G651" s="2" t="n">
        <v>1</v>
      </c>
      <c r="H651" s="2" t="inlineStr">
        <is>
          <t>LC/PC</t>
        </is>
      </c>
      <c r="I651" s="2" t="inlineStr">
        <is>
          <t>FC/APC</t>
        </is>
      </c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>
        <v>2</v>
      </c>
      <c r="U651" s="2" t="n"/>
      <c r="V651" s="2">
        <f>SUM(J651:U651)</f>
        <v/>
      </c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>
        <v>4</v>
      </c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>
        <v>4</v>
      </c>
      <c r="AV651" s="2">
        <f>IF(F651=1,V651*2,IF(F651=2,V651*F651*2,IF(F651&gt;2,F651*2*V651)))</f>
        <v/>
      </c>
      <c r="AW651" s="2">
        <f>SUM(W651:AU651)</f>
        <v/>
      </c>
    </row>
    <row r="652">
      <c r="A652" s="2" t="inlineStr">
        <is>
          <t>A14-D-LP/FP-B-N-007</t>
        </is>
      </c>
      <c r="B652" s="3" t="inlineStr">
        <is>
          <t>DOJC-SM-LC/PC-FC/PC</t>
        </is>
      </c>
      <c r="C652" s="2" t="inlineStr">
        <is>
          <t>908040715, 2M, B3, 3.0mm</t>
        </is>
      </c>
      <c r="D652" s="2" t="inlineStr">
        <is>
          <t>b3</t>
        </is>
      </c>
      <c r="E652" s="2" t="inlineStr">
        <is>
          <t>3.0mm</t>
        </is>
      </c>
      <c r="F652" s="2" t="n">
        <v>2</v>
      </c>
      <c r="G652" s="2" t="n">
        <v>2</v>
      </c>
      <c r="H652" s="2" t="inlineStr">
        <is>
          <t>LC/PC</t>
        </is>
      </c>
      <c r="I652" s="2" t="inlineStr">
        <is>
          <t>FC/PC</t>
        </is>
      </c>
      <c r="J652" s="2" t="n">
        <v>5</v>
      </c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>
        <f>SUM(J652:U652)</f>
        <v/>
      </c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>
        <v>10</v>
      </c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>
        <v>10</v>
      </c>
      <c r="AT652" s="2" t="n"/>
      <c r="AU652" s="2" t="n"/>
      <c r="AV652" s="2">
        <f>IF(F652=1,V652*2,IF(F652=2,V652*F652*2,IF(F652&gt;2,F652*2*V652)))</f>
        <v/>
      </c>
      <c r="AW652" s="2">
        <f>SUM(W652:AU652)</f>
        <v/>
      </c>
    </row>
    <row r="653">
      <c r="A653" s="2" t="inlineStr">
        <is>
          <t>A14-D-LP/FP-B-N-009</t>
        </is>
      </c>
      <c r="B653" s="3" t="inlineStr">
        <is>
          <t>DOJC-SM-LC/PC-FC/PC</t>
        </is>
      </c>
      <c r="C653" s="2" t="inlineStr">
        <is>
          <t>908040713, 3M, B3, 3.0mm</t>
        </is>
      </c>
      <c r="D653" s="2" t="inlineStr">
        <is>
          <t>b3</t>
        </is>
      </c>
      <c r="E653" s="2" t="inlineStr">
        <is>
          <t>3.0mm</t>
        </is>
      </c>
      <c r="F653" s="2" t="n">
        <v>2</v>
      </c>
      <c r="G653" s="2" t="n">
        <v>3</v>
      </c>
      <c r="H653" s="2" t="inlineStr">
        <is>
          <t>LC/PC</t>
        </is>
      </c>
      <c r="I653" s="2" t="inlineStr">
        <is>
          <t>FC/PC</t>
        </is>
      </c>
      <c r="J653" s="2" t="n">
        <v>3</v>
      </c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>
        <f>SUM(J653:U653)</f>
        <v/>
      </c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>
        <v>6</v>
      </c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>
        <v>6</v>
      </c>
      <c r="AT653" s="2" t="n"/>
      <c r="AU653" s="2" t="n"/>
      <c r="AV653" s="2">
        <f>IF(F653=1,V653*2,IF(F653=2,V653*F653*2,IF(F653&gt;2,F653*2*V653)))</f>
        <v/>
      </c>
      <c r="AW653" s="2">
        <f>SUM(W653:AU653)</f>
        <v/>
      </c>
    </row>
    <row r="654">
      <c r="A654" s="2" t="inlineStr">
        <is>
          <t>A14-D-LP/FP-B-N-012</t>
        </is>
      </c>
      <c r="B654" s="3" t="inlineStr">
        <is>
          <t>DOJC-SM-LC/PC-FC/PC</t>
        </is>
      </c>
      <c r="C654" s="2" t="inlineStr">
        <is>
          <t>908040719, 7M, B3, 2.0mm</t>
        </is>
      </c>
      <c r="D654" s="2" t="inlineStr">
        <is>
          <t>b3</t>
        </is>
      </c>
      <c r="E654" s="2" t="inlineStr">
        <is>
          <t>2.0mm</t>
        </is>
      </c>
      <c r="F654" s="2" t="n">
        <v>2</v>
      </c>
      <c r="G654" s="2" t="n">
        <v>7</v>
      </c>
      <c r="H654" s="2" t="inlineStr">
        <is>
          <t>LC/PC</t>
        </is>
      </c>
      <c r="I654" s="2" t="inlineStr">
        <is>
          <t>FC/PC</t>
        </is>
      </c>
      <c r="J654" s="2" t="n"/>
      <c r="K654" s="2" t="n"/>
      <c r="L654" s="2" t="n"/>
      <c r="M654" s="2" t="n"/>
      <c r="N654" s="2" t="n">
        <v>10</v>
      </c>
      <c r="O654" s="2" t="n"/>
      <c r="P654" s="2" t="n"/>
      <c r="Q654" s="2" t="n"/>
      <c r="R654" s="2" t="n"/>
      <c r="S654" s="2" t="n"/>
      <c r="T654" s="2" t="n"/>
      <c r="U654" s="2" t="n"/>
      <c r="V654" s="2">
        <f>SUM(J654:U654)</f>
        <v/>
      </c>
      <c r="W654" s="2" t="n">
        <v>20</v>
      </c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>
        <v>20</v>
      </c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>
        <f>IF(F654=1,V654*2,IF(F654=2,V654*F654*2,IF(F654&gt;2,F654*2*V654)))</f>
        <v/>
      </c>
      <c r="AW654" s="2">
        <f>SUM(W654:AU654)</f>
        <v/>
      </c>
    </row>
    <row r="655">
      <c r="A655" s="2" t="inlineStr">
        <is>
          <t>A14-D-LP/LP-B-N-002</t>
        </is>
      </c>
      <c r="B655" s="3" t="inlineStr">
        <is>
          <t>DOJC-SM-LC/PC-LC/PC</t>
        </is>
      </c>
      <c r="C655" s="2" t="inlineStr">
        <is>
          <t>908040693, 11M, B3, 2.0mm</t>
        </is>
      </c>
      <c r="D655" s="2" t="inlineStr">
        <is>
          <t>b3</t>
        </is>
      </c>
      <c r="E655" s="2" t="inlineStr">
        <is>
          <t>2.0mm</t>
        </is>
      </c>
      <c r="F655" s="2" t="n">
        <v>2</v>
      </c>
      <c r="G655" s="2" t="n">
        <v>11</v>
      </c>
      <c r="H655" s="2" t="inlineStr">
        <is>
          <t>LC/PC</t>
        </is>
      </c>
      <c r="I655" s="2" t="inlineStr">
        <is>
          <t>LC/PC</t>
        </is>
      </c>
      <c r="J655" s="2" t="n"/>
      <c r="K655" s="2" t="n"/>
      <c r="L655" s="2" t="n"/>
      <c r="M655" s="2" t="n">
        <v>20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>
        <f>SUM(J655:U655)</f>
        <v/>
      </c>
      <c r="W655" s="2" t="n">
        <v>40</v>
      </c>
      <c r="X655" s="2" t="n">
        <v>40</v>
      </c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>
        <f>IF(F655=1,V655*2,IF(F655=2,V655*F655*2,IF(F655&gt;2,F655*2*V655)))</f>
        <v/>
      </c>
      <c r="AW655" s="2">
        <f>SUM(W655:AU655)</f>
        <v/>
      </c>
    </row>
    <row r="656">
      <c r="A656" s="2" t="inlineStr">
        <is>
          <t>A14-D-LP/LP-B-N-019</t>
        </is>
      </c>
      <c r="B656" s="3" t="inlineStr">
        <is>
          <t>DOJC-SM-LC/PC-LC/PC</t>
        </is>
      </c>
      <c r="C656" s="2" t="inlineStr">
        <is>
          <t>908041005, 9M, B3, 2.0mm</t>
        </is>
      </c>
      <c r="D656" s="2" t="inlineStr">
        <is>
          <t>b3</t>
        </is>
      </c>
      <c r="E656" s="2" t="inlineStr">
        <is>
          <t>2.0mm</t>
        </is>
      </c>
      <c r="F656" s="2" t="n">
        <v>2</v>
      </c>
      <c r="G656" s="2" t="n">
        <v>9</v>
      </c>
      <c r="H656" s="2" t="inlineStr">
        <is>
          <t>LC/PC</t>
        </is>
      </c>
      <c r="I656" s="2" t="inlineStr">
        <is>
          <t>LC/PC</t>
        </is>
      </c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>
        <v>20</v>
      </c>
      <c r="U656" s="2" t="n"/>
      <c r="V656" s="2">
        <f>SUM(J656:U656)</f>
        <v/>
      </c>
      <c r="W656" s="2" t="n">
        <v>40</v>
      </c>
      <c r="X656" s="2" t="n">
        <v>40</v>
      </c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>
        <f>IF(F656=1,V656*2,IF(F656=2,V656*F656*2,IF(F656&gt;2,F656*2*V656)))</f>
        <v/>
      </c>
      <c r="AW656" s="2">
        <f>SUM(W656:AU656)</f>
        <v/>
      </c>
    </row>
    <row r="657">
      <c r="A657" s="2" t="inlineStr">
        <is>
          <t>A14-D-LP/LP-B-N-020</t>
        </is>
      </c>
      <c r="B657" s="3" t="inlineStr">
        <is>
          <t>DOJC-SM-LC/PC-LC/PC</t>
        </is>
      </c>
      <c r="C657" s="2" t="inlineStr">
        <is>
          <t>45M, B3, 2.0mm</t>
        </is>
      </c>
      <c r="D657" s="2" t="inlineStr">
        <is>
          <t>b3</t>
        </is>
      </c>
      <c r="E657" s="2" t="inlineStr">
        <is>
          <t>2.0mm</t>
        </is>
      </c>
      <c r="F657" s="2" t="n">
        <v>2</v>
      </c>
      <c r="G657" s="2" t="n">
        <v>45</v>
      </c>
      <c r="H657" s="2" t="inlineStr">
        <is>
          <t>LC/PC</t>
        </is>
      </c>
      <c r="I657" s="2" t="inlineStr">
        <is>
          <t>LC/PC</t>
        </is>
      </c>
      <c r="J657" s="2" t="n"/>
      <c r="K657" s="2" t="n"/>
      <c r="L657" s="2" t="n"/>
      <c r="M657" s="2" t="n"/>
      <c r="N657" s="2" t="n"/>
      <c r="O657" s="2" t="n"/>
      <c r="P657" s="2" t="n">
        <v>10</v>
      </c>
      <c r="Q657" s="2" t="n"/>
      <c r="R657" s="2" t="n"/>
      <c r="S657" s="2" t="n"/>
      <c r="T657" s="2" t="n"/>
      <c r="U657" s="2" t="n"/>
      <c r="V657" s="2">
        <f>SUM(J657:U657)</f>
        <v/>
      </c>
      <c r="W657" s="2" t="n">
        <v>20</v>
      </c>
      <c r="X657" s="2" t="n">
        <v>20</v>
      </c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>
        <f>IF(F657=1,V657*2,IF(F657=2,V657*F657*2,IF(F657&gt;2,F657*2*V657)))</f>
        <v/>
      </c>
      <c r="AW657" s="2">
        <f>SUM(W657:AU657)</f>
        <v/>
      </c>
    </row>
    <row r="658">
      <c r="A658" s="2" t="inlineStr">
        <is>
          <t>A14-D-LP/SA-B-N-012</t>
        </is>
      </c>
      <c r="B658" s="3" t="inlineStr">
        <is>
          <t>DOJC-SM-LC/PC-SC/APC</t>
        </is>
      </c>
      <c r="C658" s="2" t="inlineStr">
        <is>
          <t>908040912, 6M, B3, 2.0mm</t>
        </is>
      </c>
      <c r="D658" s="2" t="inlineStr">
        <is>
          <t>b3</t>
        </is>
      </c>
      <c r="E658" s="2" t="inlineStr">
        <is>
          <t>2.0mm</t>
        </is>
      </c>
      <c r="F658" s="2" t="n">
        <v>2</v>
      </c>
      <c r="G658" s="2" t="n">
        <v>6</v>
      </c>
      <c r="H658" s="2" t="inlineStr">
        <is>
          <t>LC/PC</t>
        </is>
      </c>
      <c r="I658" s="2" t="inlineStr">
        <is>
          <t>SC/APC</t>
        </is>
      </c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>
        <v>10</v>
      </c>
      <c r="V658" s="2">
        <f>SUM(J658:U658)</f>
        <v/>
      </c>
      <c r="W658" s="2" t="n">
        <v>20</v>
      </c>
      <c r="X658" s="2" t="n"/>
      <c r="Y658" s="2" t="n"/>
      <c r="Z658" s="2" t="n"/>
      <c r="AA658" s="2" t="n"/>
      <c r="AB658" s="2" t="n"/>
      <c r="AC658" s="2" t="n"/>
      <c r="AD658" s="2" t="n">
        <v>20</v>
      </c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>
        <f>IF(F658=1,V658*2,IF(F658=2,V658*F658*2,IF(F658&gt;2,F658*2*V658)))</f>
        <v/>
      </c>
      <c r="AW658" s="2">
        <f>SUM(W658:AU658)</f>
        <v/>
      </c>
    </row>
    <row r="659">
      <c r="A659" s="2" t="inlineStr">
        <is>
          <t>A14-D-LP/SA-B-N-014</t>
        </is>
      </c>
      <c r="B659" s="3" t="inlineStr">
        <is>
          <t>DOJC-SM-LC/PC-SC/APC</t>
        </is>
      </c>
      <c r="C659" s="2" t="inlineStr">
        <is>
          <t>908040914, 8M, B3, 2.0mm</t>
        </is>
      </c>
      <c r="D659" s="2" t="inlineStr">
        <is>
          <t>b3</t>
        </is>
      </c>
      <c r="E659" s="2" t="inlineStr">
        <is>
          <t>2.0mm</t>
        </is>
      </c>
      <c r="F659" s="2" t="n">
        <v>2</v>
      </c>
      <c r="G659" s="2" t="n">
        <v>8</v>
      </c>
      <c r="H659" s="2" t="inlineStr">
        <is>
          <t>LC/PC</t>
        </is>
      </c>
      <c r="I659" s="2" t="inlineStr">
        <is>
          <t>SC/APC</t>
        </is>
      </c>
      <c r="J659" s="2" t="n"/>
      <c r="K659" s="2" t="n"/>
      <c r="L659" s="2" t="n">
        <v>2</v>
      </c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>
        <f>SUM(J659:U659)</f>
        <v/>
      </c>
      <c r="W659" s="2" t="n">
        <v>4</v>
      </c>
      <c r="X659" s="2" t="n"/>
      <c r="Y659" s="2" t="n"/>
      <c r="Z659" s="2" t="n"/>
      <c r="AA659" s="2" t="n"/>
      <c r="AB659" s="2" t="n"/>
      <c r="AC659" s="2" t="n"/>
      <c r="AD659" s="2" t="n">
        <v>4</v>
      </c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>
        <f>IF(F659=1,V659*2,IF(F659=2,V659*F659*2,IF(F659&gt;2,F659*2*V659)))</f>
        <v/>
      </c>
      <c r="AW659" s="2">
        <f>SUM(W659:AU659)</f>
        <v/>
      </c>
    </row>
    <row r="660">
      <c r="A660" s="2" t="inlineStr">
        <is>
          <t>A14-D-LP/SP-1-N-007</t>
        </is>
      </c>
      <c r="B660" s="3" t="inlineStr">
        <is>
          <t>DOJC-MM-LC/PC-SC/PC</t>
        </is>
      </c>
      <c r="C660" s="2" t="inlineStr">
        <is>
          <t>908040764, 1M</t>
        </is>
      </c>
      <c r="D660" s="2" t="inlineStr">
        <is>
          <t>om1</t>
        </is>
      </c>
      <c r="E660" s="2" t="inlineStr">
        <is>
          <t>2.0mm</t>
        </is>
      </c>
      <c r="F660" s="2" t="n">
        <v>2</v>
      </c>
      <c r="G660" s="2" t="n">
        <v>1</v>
      </c>
      <c r="H660" s="2" t="inlineStr">
        <is>
          <t>LC/PC</t>
        </is>
      </c>
      <c r="I660" s="2" t="inlineStr">
        <is>
          <t>SC/PC</t>
        </is>
      </c>
      <c r="J660" s="2" t="n"/>
      <c r="K660" s="2" t="n"/>
      <c r="L660" s="2" t="n"/>
      <c r="M660" s="2" t="n"/>
      <c r="N660" s="2" t="n"/>
      <c r="O660" s="2" t="n"/>
      <c r="P660" s="2" t="n"/>
      <c r="Q660" s="2" t="n">
        <v>1</v>
      </c>
      <c r="R660" s="2" t="n"/>
      <c r="S660" s="2" t="n"/>
      <c r="T660" s="2" t="n"/>
      <c r="U660" s="2" t="n"/>
      <c r="V660" s="2">
        <f>SUM(J660:U660)</f>
        <v/>
      </c>
      <c r="W660" s="2" t="n"/>
      <c r="X660" s="2" t="n"/>
      <c r="Y660" s="2" t="n"/>
      <c r="Z660" s="2" t="n"/>
      <c r="AA660" s="2" t="n"/>
      <c r="AB660" s="2" t="n">
        <v>2</v>
      </c>
      <c r="AC660" s="2" t="n"/>
      <c r="AD660" s="2" t="n"/>
      <c r="AE660" s="2" t="n"/>
      <c r="AF660" s="2" t="n"/>
      <c r="AG660" s="2" t="n"/>
      <c r="AH660" s="2" t="n"/>
      <c r="AI660" s="2" t="n">
        <v>2</v>
      </c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>
        <f>IF(F660=1,V660*2,IF(F660=2,V660*F660*2,IF(F660&gt;2,F660*2*V660)))</f>
        <v/>
      </c>
      <c r="AW660" s="2">
        <f>SUM(W660:AU660)</f>
        <v/>
      </c>
    </row>
    <row r="661">
      <c r="A661" s="2" t="inlineStr">
        <is>
          <t>A14-D-LP/SP-1-N-013</t>
        </is>
      </c>
      <c r="B661" s="3" t="inlineStr">
        <is>
          <t>DOJC-MM-LC/PC-SC/PC</t>
        </is>
      </c>
      <c r="C661" s="2" t="inlineStr">
        <is>
          <t>908040792, 30M</t>
        </is>
      </c>
      <c r="D661" s="2" t="inlineStr">
        <is>
          <t>om1</t>
        </is>
      </c>
      <c r="E661" s="2" t="inlineStr">
        <is>
          <t>2.0mm</t>
        </is>
      </c>
      <c r="F661" s="2" t="n">
        <v>2</v>
      </c>
      <c r="G661" s="2" t="n">
        <v>30</v>
      </c>
      <c r="H661" s="2" t="inlineStr">
        <is>
          <t>LC/PC</t>
        </is>
      </c>
      <c r="I661" s="2" t="inlineStr">
        <is>
          <t>SC/PC</t>
        </is>
      </c>
      <c r="J661" s="2" t="n"/>
      <c r="K661" s="2" t="n"/>
      <c r="L661" s="2" t="n"/>
      <c r="M661" s="2" t="n"/>
      <c r="N661" s="2" t="n"/>
      <c r="O661" s="2" t="n"/>
      <c r="P661" s="2" t="n">
        <v>22</v>
      </c>
      <c r="Q661" s="2" t="n"/>
      <c r="R661" s="2" t="n"/>
      <c r="S661" s="2" t="n"/>
      <c r="T661" s="2" t="n"/>
      <c r="U661" s="2" t="n"/>
      <c r="V661" s="2">
        <f>SUM(J661:U661)</f>
        <v/>
      </c>
      <c r="W661" s="2" t="n"/>
      <c r="X661" s="2" t="n"/>
      <c r="Y661" s="2" t="n"/>
      <c r="Z661" s="2" t="n"/>
      <c r="AA661" s="2" t="n"/>
      <c r="AB661" s="2" t="n">
        <v>44</v>
      </c>
      <c r="AC661" s="2" t="n"/>
      <c r="AD661" s="2" t="n"/>
      <c r="AE661" s="2" t="n"/>
      <c r="AF661" s="2" t="n"/>
      <c r="AG661" s="2" t="n"/>
      <c r="AH661" s="2" t="n"/>
      <c r="AI661" s="2" t="n">
        <v>44</v>
      </c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>
        <f>IF(F661=1,V661*2,IF(F661=2,V661*F661*2,IF(F661&gt;2,F661*2*V661)))</f>
        <v/>
      </c>
      <c r="AW661" s="2">
        <f>SUM(W661:AU661)</f>
        <v/>
      </c>
    </row>
    <row r="662">
      <c r="A662" s="2" t="inlineStr">
        <is>
          <t>A14-D-LP/SP-1-N-014</t>
        </is>
      </c>
      <c r="B662" s="3" t="inlineStr">
        <is>
          <t>DOJC-MM-LC/PC-SC/PC</t>
        </is>
      </c>
      <c r="C662" s="2" t="inlineStr">
        <is>
          <t>920000723, 35M</t>
        </is>
      </c>
      <c r="D662" s="2" t="inlineStr">
        <is>
          <t>om1</t>
        </is>
      </c>
      <c r="E662" s="2" t="inlineStr">
        <is>
          <t>2.0mm</t>
        </is>
      </c>
      <c r="F662" s="2" t="n">
        <v>2</v>
      </c>
      <c r="G662" s="2" t="n">
        <v>35</v>
      </c>
      <c r="H662" s="2" t="inlineStr">
        <is>
          <t>LC/PC</t>
        </is>
      </c>
      <c r="I662" s="2" t="inlineStr">
        <is>
          <t>SC/PC</t>
        </is>
      </c>
      <c r="J662" s="2" t="n"/>
      <c r="K662" s="2" t="n"/>
      <c r="L662" s="2" t="n">
        <v>1</v>
      </c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>
        <f>SUM(J662:U662)</f>
        <v/>
      </c>
      <c r="W662" s="2" t="n"/>
      <c r="X662" s="2" t="n"/>
      <c r="Y662" s="2" t="n"/>
      <c r="Z662" s="2" t="n"/>
      <c r="AA662" s="2" t="n"/>
      <c r="AB662" s="2" t="n">
        <v>2</v>
      </c>
      <c r="AC662" s="2" t="n"/>
      <c r="AD662" s="2" t="n"/>
      <c r="AE662" s="2" t="n"/>
      <c r="AF662" s="2" t="n"/>
      <c r="AG662" s="2" t="n"/>
      <c r="AH662" s="2" t="n"/>
      <c r="AI662" s="2" t="n">
        <v>2</v>
      </c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>
        <f>IF(F662=1,V662*2,IF(F662=2,V662*F662*2,IF(F662&gt;2,F662*2*V662)))</f>
        <v/>
      </c>
      <c r="AW662" s="2">
        <f>SUM(W662:AU662)</f>
        <v/>
      </c>
    </row>
    <row r="663">
      <c r="A663" s="2" t="inlineStr">
        <is>
          <t>A14-D-LP/SP-B-N-004</t>
        </is>
      </c>
      <c r="B663" s="3" t="inlineStr">
        <is>
          <t>DOJC-SM-LC/PC-SC/PC</t>
        </is>
      </c>
      <c r="C663" s="2" t="inlineStr">
        <is>
          <t>908040860, 1M, B3, 3.0mm</t>
        </is>
      </c>
      <c r="D663" s="2" t="inlineStr">
        <is>
          <t>b3</t>
        </is>
      </c>
      <c r="E663" s="2" t="inlineStr">
        <is>
          <t>3.0mm</t>
        </is>
      </c>
      <c r="F663" s="2" t="n">
        <v>2</v>
      </c>
      <c r="G663" s="2" t="n">
        <v>1</v>
      </c>
      <c r="H663" s="2" t="inlineStr">
        <is>
          <t>LC/PC</t>
        </is>
      </c>
      <c r="I663" s="2" t="inlineStr">
        <is>
          <t>SC/PC</t>
        </is>
      </c>
      <c r="J663" s="2" t="n"/>
      <c r="K663" s="2" t="n"/>
      <c r="L663" s="2" t="n"/>
      <c r="M663" s="2" t="n"/>
      <c r="N663" s="2" t="n"/>
      <c r="O663" s="2" t="n"/>
      <c r="P663" s="2" t="n">
        <v>30</v>
      </c>
      <c r="Q663" s="2" t="n">
        <v>1</v>
      </c>
      <c r="R663" s="2" t="n"/>
      <c r="S663" s="2" t="n"/>
      <c r="T663" s="2" t="n">
        <v>40</v>
      </c>
      <c r="U663" s="2" t="n">
        <v>2</v>
      </c>
      <c r="V663" s="2">
        <f>SUM(J663:U663)</f>
        <v/>
      </c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>
        <v>146</v>
      </c>
      <c r="AK663" s="2" t="n"/>
      <c r="AL663" s="2" t="n"/>
      <c r="AM663" s="2" t="n"/>
      <c r="AN663" s="2" t="n"/>
      <c r="AO663" s="2" t="n">
        <v>146</v>
      </c>
      <c r="AP663" s="2" t="n"/>
      <c r="AQ663" s="2" t="n"/>
      <c r="AR663" s="2" t="n"/>
      <c r="AS663" s="2" t="n"/>
      <c r="AT663" s="2" t="n"/>
      <c r="AU663" s="2" t="n"/>
      <c r="AV663" s="2">
        <f>IF(F663=1,V663*2,IF(F663=2,V663*F663*2,IF(F663&gt;2,F663*2*V663)))</f>
        <v/>
      </c>
      <c r="AW663" s="2">
        <f>SUM(W663:AU663)</f>
        <v/>
      </c>
    </row>
    <row r="664">
      <c r="A664" s="2" t="inlineStr">
        <is>
          <t>A14-D-LP/SP-B-N-006</t>
        </is>
      </c>
      <c r="B664" s="3" t="inlineStr">
        <is>
          <t>DOJC-SM-LC/PC-SC/PC</t>
        </is>
      </c>
      <c r="C664" s="2" t="inlineStr">
        <is>
          <t>908040880, 22M, B3, 2.0mm</t>
        </is>
      </c>
      <c r="D664" s="2" t="inlineStr">
        <is>
          <t>b3</t>
        </is>
      </c>
      <c r="E664" s="2" t="inlineStr">
        <is>
          <t>2.0mm</t>
        </is>
      </c>
      <c r="F664" s="2" t="n">
        <v>2</v>
      </c>
      <c r="G664" s="2" t="n">
        <v>22</v>
      </c>
      <c r="H664" s="2" t="inlineStr">
        <is>
          <t>LC/PC</t>
        </is>
      </c>
      <c r="I664" s="2" t="inlineStr">
        <is>
          <t>SC/PC</t>
        </is>
      </c>
      <c r="J664" s="2" t="n"/>
      <c r="K664" s="2" t="n"/>
      <c r="L664" s="2" t="n"/>
      <c r="M664" s="2" t="n">
        <v>20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</f>
        <v/>
      </c>
      <c r="W664" s="2" t="n">
        <v>40</v>
      </c>
      <c r="X664" s="2" t="n"/>
      <c r="Y664" s="2" t="n"/>
      <c r="Z664" s="2" t="n"/>
      <c r="AA664" s="2" t="n"/>
      <c r="AB664" s="2" t="n">
        <v>40</v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>
        <f>IF(F664=1,V664*2,IF(F664=2,V664*F664*2,IF(F664&gt;2,F664*2*V664)))</f>
        <v/>
      </c>
      <c r="AW664" s="2">
        <f>SUM(W664:AU664)</f>
        <v/>
      </c>
    </row>
    <row r="665">
      <c r="A665" s="2" t="inlineStr">
        <is>
          <t>A14-D-LP/SP-B-N-010</t>
        </is>
      </c>
      <c r="B665" s="3" t="inlineStr">
        <is>
          <t>DOJC-SM-LC/PC-SC/PC</t>
        </is>
      </c>
      <c r="C665" s="2" t="inlineStr">
        <is>
          <t>920000728, 35M, B3, 2.0mm</t>
        </is>
      </c>
      <c r="D665" s="2" t="inlineStr">
        <is>
          <t>b3</t>
        </is>
      </c>
      <c r="E665" s="2" t="inlineStr">
        <is>
          <t>2.0mm</t>
        </is>
      </c>
      <c r="F665" s="2" t="n">
        <v>2</v>
      </c>
      <c r="G665" s="2" t="n">
        <v>35</v>
      </c>
      <c r="H665" s="2" t="inlineStr">
        <is>
          <t>LC/PC</t>
        </is>
      </c>
      <c r="I665" s="2" t="inlineStr">
        <is>
          <t>SC/PC</t>
        </is>
      </c>
      <c r="J665" s="2" t="n"/>
      <c r="K665" s="2" t="n">
        <v>200</v>
      </c>
      <c r="L665" s="2" t="n"/>
      <c r="M665" s="2" t="n"/>
      <c r="N665" s="2" t="n">
        <v>2</v>
      </c>
      <c r="O665" s="2" t="n"/>
      <c r="P665" s="2" t="n">
        <v>10</v>
      </c>
      <c r="Q665" s="2" t="n">
        <v>20</v>
      </c>
      <c r="R665" s="2" t="n">
        <v>10</v>
      </c>
      <c r="S665" s="2" t="n"/>
      <c r="T665" s="2" t="n"/>
      <c r="U665" s="2" t="n"/>
      <c r="V665" s="2">
        <f>SUM(J665:U665)</f>
        <v/>
      </c>
      <c r="W665" s="2" t="n">
        <v>484</v>
      </c>
      <c r="X665" s="2" t="n"/>
      <c r="Y665" s="2" t="n"/>
      <c r="Z665" s="2" t="n"/>
      <c r="AA665" s="2" t="n"/>
      <c r="AB665" s="2" t="n">
        <v>484</v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>
        <f>IF(F665=1,V665*2,IF(F665=2,V665*F665*2,IF(F665&gt;2,F665*2*V665)))</f>
        <v/>
      </c>
      <c r="AW665" s="2">
        <f>SUM(W665:AU665)</f>
        <v/>
      </c>
    </row>
    <row r="666">
      <c r="A666" s="2" t="inlineStr">
        <is>
          <t>A14-D-LP/SP-B-N-019</t>
        </is>
      </c>
      <c r="B666" s="3" t="inlineStr">
        <is>
          <t>DOJC-SM-LC/PC-SC/PC</t>
        </is>
      </c>
      <c r="C666" s="2" t="inlineStr">
        <is>
          <t>45M, B3, 2.0mm</t>
        </is>
      </c>
      <c r="D666" s="2" t="inlineStr">
        <is>
          <t>b3</t>
        </is>
      </c>
      <c r="E666" s="2" t="inlineStr">
        <is>
          <t>2.0mm</t>
        </is>
      </c>
      <c r="F666" s="2" t="n">
        <v>2</v>
      </c>
      <c r="G666" s="2" t="n">
        <v>45</v>
      </c>
      <c r="H666" s="2" t="inlineStr">
        <is>
          <t>LC/PC</t>
        </is>
      </c>
      <c r="I666" s="2" t="inlineStr">
        <is>
          <t>SC/PC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>
        <v>2</v>
      </c>
      <c r="V666" s="2">
        <f>SUM(J666:U666)</f>
        <v/>
      </c>
      <c r="W666" s="2" t="n">
        <v>4</v>
      </c>
      <c r="X666" s="2" t="n"/>
      <c r="Y666" s="2" t="n"/>
      <c r="Z666" s="2" t="n"/>
      <c r="AA666" s="2" t="n"/>
      <c r="AB666" s="2" t="n">
        <v>4</v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>
        <f>IF(F666=1,V666*2,IF(F666=2,V666*F666*2,IF(F666&gt;2,F666*2*V666)))</f>
        <v/>
      </c>
      <c r="AW666" s="2">
        <f>SUM(W666:AU666)</f>
        <v/>
      </c>
    </row>
    <row r="667">
      <c r="A667" s="2" t="inlineStr">
        <is>
          <t>A14-D-SA/FP-B-N-005</t>
        </is>
      </c>
      <c r="B667" s="3" t="inlineStr">
        <is>
          <t>DOJC-SM-SC/APC-FC/PC</t>
        </is>
      </c>
      <c r="C667" s="2" t="inlineStr">
        <is>
          <t>908040482, 20M, B3, 2.0mm</t>
        </is>
      </c>
      <c r="D667" s="2" t="inlineStr">
        <is>
          <t>b3</t>
        </is>
      </c>
      <c r="E667" s="2" t="inlineStr">
        <is>
          <t>2.0mm</t>
        </is>
      </c>
      <c r="F667" s="2" t="n">
        <v>2</v>
      </c>
      <c r="G667" s="2" t="n">
        <v>20</v>
      </c>
      <c r="H667" s="2" t="inlineStr">
        <is>
          <t>SC/APC</t>
        </is>
      </c>
      <c r="I667" s="2" t="inlineStr">
        <is>
          <t>FC/PC</t>
        </is>
      </c>
      <c r="J667" s="2" t="n"/>
      <c r="K667" s="2" t="n"/>
      <c r="L667" s="2" t="n"/>
      <c r="M667" s="2" t="n"/>
      <c r="N667" s="2" t="n"/>
      <c r="O667" s="2" t="n"/>
      <c r="P667" s="2" t="n"/>
      <c r="Q667" s="2" t="n">
        <v>5</v>
      </c>
      <c r="R667" s="2" t="n"/>
      <c r="S667" s="2" t="n"/>
      <c r="T667" s="2" t="n"/>
      <c r="U667" s="2" t="n"/>
      <c r="V667" s="2">
        <f>SUM(J667:U667)</f>
        <v/>
      </c>
      <c r="W667" s="2" t="n"/>
      <c r="X667" s="2" t="n"/>
      <c r="Y667" s="2" t="n"/>
      <c r="Z667" s="2" t="n"/>
      <c r="AA667" s="2" t="n"/>
      <c r="AB667" s="2" t="n"/>
      <c r="AC667" s="2" t="n">
        <v>10</v>
      </c>
      <c r="AD667" s="2" t="n"/>
      <c r="AE667" s="2" t="n"/>
      <c r="AF667" s="2" t="n">
        <v>10</v>
      </c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>
        <f>IF(F667=1,V667*2,IF(F667=2,V667*F667*2,IF(F667&gt;2,F667*2*V667)))</f>
        <v/>
      </c>
      <c r="AW667" s="2">
        <f>SUM(W667:AU667)</f>
        <v/>
      </c>
    </row>
    <row r="668">
      <c r="A668" s="2" t="inlineStr">
        <is>
          <t>A14-D-SA/SA-B-N-006</t>
        </is>
      </c>
      <c r="B668" s="3" t="inlineStr">
        <is>
          <t>DOJC-SM-SC/APC-SC/APC</t>
        </is>
      </c>
      <c r="C668" s="2" t="inlineStr">
        <is>
          <t>908040560, 2M, B3, 3.0mm</t>
        </is>
      </c>
      <c r="D668" s="2" t="inlineStr">
        <is>
          <t>b3</t>
        </is>
      </c>
      <c r="E668" s="2" t="inlineStr">
        <is>
          <t>3.0mm</t>
        </is>
      </c>
      <c r="F668" s="2" t="n">
        <v>2</v>
      </c>
      <c r="G668" s="2" t="n">
        <v>2</v>
      </c>
      <c r="H668" s="2" t="inlineStr">
        <is>
          <t>SC/APC</t>
        </is>
      </c>
      <c r="I668" s="2" t="inlineStr">
        <is>
          <t>SC/APC</t>
        </is>
      </c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>
        <v>45</v>
      </c>
      <c r="U668" s="2" t="n"/>
      <c r="V668" s="2">
        <f>SUM(J668:U668)</f>
        <v/>
      </c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>
        <v>90</v>
      </c>
      <c r="AQ668" s="2" t="n">
        <v>90</v>
      </c>
      <c r="AR668" s="2" t="n"/>
      <c r="AS668" s="2" t="n"/>
      <c r="AT668" s="2" t="n"/>
      <c r="AU668" s="2" t="n"/>
      <c r="AV668" s="2">
        <f>IF(F668=1,V668*2,IF(F668=2,V668*F668*2,IF(F668&gt;2,F668*2*V668)))</f>
        <v/>
      </c>
      <c r="AW668" s="2">
        <f>SUM(W668:AU668)</f>
        <v/>
      </c>
    </row>
    <row r="669">
      <c r="A669" s="2" t="inlineStr">
        <is>
          <t>A14-D-SA/SA-B-N-011</t>
        </is>
      </c>
      <c r="B669" s="3" t="inlineStr">
        <is>
          <t>DOJC-SM-SC/APC-SC/APC</t>
        </is>
      </c>
      <c r="C669" s="2" t="inlineStr">
        <is>
          <t>908040563, 6M, B3, 2.0mm</t>
        </is>
      </c>
      <c r="D669" s="2" t="inlineStr">
        <is>
          <t>b3</t>
        </is>
      </c>
      <c r="E669" s="2" t="inlineStr">
        <is>
          <t>2.0mm</t>
        </is>
      </c>
      <c r="F669" s="2" t="n">
        <v>2</v>
      </c>
      <c r="G669" s="2" t="n">
        <v>6</v>
      </c>
      <c r="H669" s="2" t="inlineStr">
        <is>
          <t>SC/APC</t>
        </is>
      </c>
      <c r="I669" s="2" t="inlineStr">
        <is>
          <t>SC/APC</t>
        </is>
      </c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>
        <v>120</v>
      </c>
      <c r="T669" s="2" t="n"/>
      <c r="U669" s="2" t="n"/>
      <c r="V669" s="2">
        <f>SUM(J669:U669)</f>
        <v/>
      </c>
      <c r="W669" s="2" t="n"/>
      <c r="X669" s="2" t="n"/>
      <c r="Y669" s="2" t="n"/>
      <c r="Z669" s="2" t="n"/>
      <c r="AA669" s="2" t="n"/>
      <c r="AB669" s="2" t="n"/>
      <c r="AC669" s="2" t="n">
        <v>240</v>
      </c>
      <c r="AD669" s="2" t="n">
        <v>240</v>
      </c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>
        <f>IF(F669=1,V669*2,IF(F669=2,V669*F669*2,IF(F669&gt;2,F669*2*V669)))</f>
        <v/>
      </c>
      <c r="AW669" s="2">
        <f>SUM(W669:AU669)</f>
        <v/>
      </c>
    </row>
    <row r="670">
      <c r="A670" s="2" t="inlineStr">
        <is>
          <t>A14-D-SP/FA-B-N-003</t>
        </is>
      </c>
      <c r="B670" s="3" t="inlineStr">
        <is>
          <t>DOJC-SM-SC/PC-FC/APC</t>
        </is>
      </c>
      <c r="C670" s="2" t="inlineStr">
        <is>
          <t>908040451, 19M, B3, 2.0mm</t>
        </is>
      </c>
      <c r="D670" s="2" t="inlineStr">
        <is>
          <t>b3</t>
        </is>
      </c>
      <c r="E670" s="2" t="inlineStr">
        <is>
          <t>2.0mm</t>
        </is>
      </c>
      <c r="F670" s="2" t="n">
        <v>2</v>
      </c>
      <c r="G670" s="2" t="n">
        <v>19</v>
      </c>
      <c r="H670" s="2" t="inlineStr">
        <is>
          <t>SC/PC</t>
        </is>
      </c>
      <c r="I670" s="2" t="inlineStr">
        <is>
          <t>FC/APC</t>
        </is>
      </c>
      <c r="J670" s="2" t="n">
        <v>15</v>
      </c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>
        <f>SUM(J670:U670)</f>
        <v/>
      </c>
      <c r="W670" s="2" t="n"/>
      <c r="X670" s="2" t="n"/>
      <c r="Y670" s="2" t="n"/>
      <c r="Z670" s="2" t="n"/>
      <c r="AA670" s="2" t="n">
        <v>30</v>
      </c>
      <c r="AB670" s="2" t="n"/>
      <c r="AC670" s="2" t="n"/>
      <c r="AD670" s="2" t="n"/>
      <c r="AE670" s="2" t="n"/>
      <c r="AF670" s="2" t="n"/>
      <c r="AG670" s="2" t="n"/>
      <c r="AH670" s="2" t="n">
        <v>30</v>
      </c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>
        <f>IF(F670=1,V670*2,IF(F670=2,V670*F670*2,IF(F670&gt;2,F670*2*V670)))</f>
        <v/>
      </c>
      <c r="AW670" s="2">
        <f>SUM(W670:AU670)</f>
        <v/>
      </c>
    </row>
    <row r="671">
      <c r="A671" s="2" t="inlineStr">
        <is>
          <t>A14-D-SP/FA-B-N-004</t>
        </is>
      </c>
      <c r="B671" s="3" t="inlineStr">
        <is>
          <t>DOJC-SM-SC/PC-FC/APC</t>
        </is>
      </c>
      <c r="C671" s="2" t="inlineStr">
        <is>
          <t>908040434, 1M, B3, 3.0mm</t>
        </is>
      </c>
      <c r="D671" s="2" t="inlineStr">
        <is>
          <t>b3</t>
        </is>
      </c>
      <c r="E671" s="2" t="inlineStr">
        <is>
          <t>3.0mm</t>
        </is>
      </c>
      <c r="F671" s="2" t="n">
        <v>2</v>
      </c>
      <c r="G671" s="2" t="n">
        <v>1</v>
      </c>
      <c r="H671" s="2" t="inlineStr">
        <is>
          <t>SC/PC</t>
        </is>
      </c>
      <c r="I671" s="2" t="inlineStr">
        <is>
          <t>FC/APC</t>
        </is>
      </c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>
        <v>2</v>
      </c>
      <c r="V671" s="2">
        <f>SUM(J671:U671)</f>
        <v/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>
        <v>4</v>
      </c>
      <c r="AO671" s="2" t="n"/>
      <c r="AP671" s="2" t="n"/>
      <c r="AQ671" s="2" t="n"/>
      <c r="AR671" s="2" t="n"/>
      <c r="AS671" s="2" t="n"/>
      <c r="AT671" s="2" t="n"/>
      <c r="AU671" s="2" t="n">
        <v>4</v>
      </c>
      <c r="AV671" s="2">
        <f>IF(F671=1,V671*2,IF(F671=2,V671*F671*2,IF(F671&gt;2,F671*2*V671)))</f>
        <v/>
      </c>
      <c r="AW671" s="2">
        <f>SUM(W671:AU671)</f>
        <v/>
      </c>
    </row>
    <row r="672">
      <c r="A672" s="2" t="inlineStr">
        <is>
          <t>A14-D-SP/FP-B-N-003</t>
        </is>
      </c>
      <c r="B672" s="3" t="inlineStr">
        <is>
          <t>DOJC-SM-SC/PC-FC/PC</t>
        </is>
      </c>
      <c r="C672" s="2" t="inlineStr">
        <is>
          <t>908040679, 1M, B3, 3.0mm</t>
        </is>
      </c>
      <c r="D672" s="2" t="inlineStr">
        <is>
          <t>b3</t>
        </is>
      </c>
      <c r="E672" s="2" t="inlineStr">
        <is>
          <t>3.0mm</t>
        </is>
      </c>
      <c r="F672" s="2" t="n">
        <v>2</v>
      </c>
      <c r="G672" s="2" t="n">
        <v>1</v>
      </c>
      <c r="H672" s="2" t="inlineStr">
        <is>
          <t>SC/PC</t>
        </is>
      </c>
      <c r="I672" s="2" t="inlineStr">
        <is>
          <t>FC/PC</t>
        </is>
      </c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>
        <v>2</v>
      </c>
      <c r="V672" s="2">
        <f>SUM(J672:U672)</f>
        <v/>
      </c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>
        <v>4</v>
      </c>
      <c r="AO672" s="2" t="n"/>
      <c r="AP672" s="2" t="n"/>
      <c r="AQ672" s="2" t="n"/>
      <c r="AR672" s="2" t="n"/>
      <c r="AS672" s="2" t="n">
        <v>4</v>
      </c>
      <c r="AT672" s="2" t="n"/>
      <c r="AU672" s="2" t="n"/>
      <c r="AV672" s="2">
        <f>IF(F672=1,V672*2,IF(F672=2,V672*F672*2,IF(F672&gt;2,F672*2*V672)))</f>
        <v/>
      </c>
      <c r="AW672" s="2">
        <f>SUM(W672:AU672)</f>
        <v/>
      </c>
    </row>
    <row r="673">
      <c r="A673" s="2" t="inlineStr">
        <is>
          <t>A14-D-SP/FP-B-N-007</t>
        </is>
      </c>
      <c r="B673" s="3" t="inlineStr">
        <is>
          <t>DOJC-SM-SC/PC-FC/PC</t>
        </is>
      </c>
      <c r="C673" s="2" t="inlineStr">
        <is>
          <t>908040432, 30M, B3, 2.0mm</t>
        </is>
      </c>
      <c r="D673" s="2" t="inlineStr">
        <is>
          <t>b3</t>
        </is>
      </c>
      <c r="E673" s="2" t="inlineStr">
        <is>
          <t>2.0mm</t>
        </is>
      </c>
      <c r="F673" s="2" t="n">
        <v>2</v>
      </c>
      <c r="G673" s="2" t="n">
        <v>30</v>
      </c>
      <c r="H673" s="2" t="inlineStr">
        <is>
          <t>SC/PC</t>
        </is>
      </c>
      <c r="I673" s="2" t="inlineStr">
        <is>
          <t>FC/PC</t>
        </is>
      </c>
      <c r="J673" s="2" t="n"/>
      <c r="K673" s="2" t="n"/>
      <c r="L673" s="2" t="n"/>
      <c r="M673" s="2" t="n"/>
      <c r="N673" s="2" t="n"/>
      <c r="O673" s="2" t="n"/>
      <c r="P673" s="2" t="n">
        <v>10</v>
      </c>
      <c r="Q673" s="2" t="n"/>
      <c r="R673" s="2" t="n"/>
      <c r="S673" s="2" t="n"/>
      <c r="T673" s="2" t="n"/>
      <c r="U673" s="2" t="n"/>
      <c r="V673" s="2">
        <f>SUM(J673:U673)</f>
        <v/>
      </c>
      <c r="W673" s="2" t="n"/>
      <c r="X673" s="2" t="n"/>
      <c r="Y673" s="2" t="n"/>
      <c r="Z673" s="2" t="n"/>
      <c r="AA673" s="2" t="n">
        <v>20</v>
      </c>
      <c r="AB673" s="2" t="n"/>
      <c r="AC673" s="2" t="n"/>
      <c r="AD673" s="2" t="n"/>
      <c r="AE673" s="2" t="n"/>
      <c r="AF673" s="2" t="n">
        <v>20</v>
      </c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>
        <f>IF(F673=1,V673*2,IF(F673=2,V673*F673*2,IF(F673&gt;2,F673*2*V673)))</f>
        <v/>
      </c>
      <c r="AW673" s="2">
        <f>SUM(W673:AU673)</f>
        <v/>
      </c>
    </row>
    <row r="674">
      <c r="A674" s="2" t="inlineStr">
        <is>
          <t>A14-D-SP/FP-B-N-012</t>
        </is>
      </c>
      <c r="B674" s="3" t="inlineStr">
        <is>
          <t>DOJC-SM-SC/PC-FC/PC</t>
        </is>
      </c>
      <c r="C674" s="2" t="inlineStr">
        <is>
          <t>908040684, 7M, B3, 2.0mm</t>
        </is>
      </c>
      <c r="D674" s="2" t="inlineStr">
        <is>
          <t>b3</t>
        </is>
      </c>
      <c r="E674" s="2" t="inlineStr">
        <is>
          <t>2.0mm</t>
        </is>
      </c>
      <c r="F674" s="2" t="n">
        <v>2</v>
      </c>
      <c r="G674" s="2" t="n">
        <v>7</v>
      </c>
      <c r="H674" s="2" t="inlineStr">
        <is>
          <t>SC/PC</t>
        </is>
      </c>
      <c r="I674" s="2" t="inlineStr">
        <is>
          <t>FC/PC</t>
        </is>
      </c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>
        <v>5</v>
      </c>
      <c r="T674" s="2" t="n"/>
      <c r="U674" s="2" t="n"/>
      <c r="V674" s="2">
        <f>SUM(J674:U674)</f>
        <v/>
      </c>
      <c r="W674" s="2" t="n"/>
      <c r="X674" s="2" t="n"/>
      <c r="Y674" s="2" t="n"/>
      <c r="Z674" s="2" t="n"/>
      <c r="AA674" s="2" t="n">
        <v>10</v>
      </c>
      <c r="AB674" s="2" t="n"/>
      <c r="AC674" s="2" t="n"/>
      <c r="AD674" s="2" t="n"/>
      <c r="AE674" s="2" t="n"/>
      <c r="AF674" s="2" t="n">
        <v>10</v>
      </c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>
        <f>IF(F674=1,V674*2,IF(F674=2,V674*F674*2,IF(F674&gt;2,F674*2*V674)))</f>
        <v/>
      </c>
      <c r="AW674" s="2">
        <f>SUM(W674:AU674)</f>
        <v/>
      </c>
    </row>
    <row r="675">
      <c r="A675" s="2" t="inlineStr">
        <is>
          <t>A14-D-SP/SA-B-N-005</t>
        </is>
      </c>
      <c r="B675" s="3" t="inlineStr">
        <is>
          <t>DOJC-SM-SC/PC-SC/APC</t>
        </is>
      </c>
      <c r="C675" s="2" t="inlineStr">
        <is>
          <t>908040552, 25M, B3, 2.0mm</t>
        </is>
      </c>
      <c r="D675" s="2" t="inlineStr">
        <is>
          <t>b3</t>
        </is>
      </c>
      <c r="E675" s="2" t="inlineStr">
        <is>
          <t>2.0mm</t>
        </is>
      </c>
      <c r="F675" s="2" t="n">
        <v>2</v>
      </c>
      <c r="G675" s="2" t="n">
        <v>25</v>
      </c>
      <c r="H675" s="2" t="inlineStr">
        <is>
          <t>SC/PC</t>
        </is>
      </c>
      <c r="I675" s="2" t="inlineStr">
        <is>
          <t>SC/APC</t>
        </is>
      </c>
      <c r="J675" s="2" t="n"/>
      <c r="K675" s="2" t="n">
        <v>20</v>
      </c>
      <c r="L675" s="2" t="n">
        <v>5</v>
      </c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>
        <f>SUM(J675:U675)</f>
        <v/>
      </c>
      <c r="W675" s="2" t="n"/>
      <c r="X675" s="2" t="n"/>
      <c r="Y675" s="2" t="n"/>
      <c r="Z675" s="2" t="n"/>
      <c r="AA675" s="2" t="n">
        <v>50</v>
      </c>
      <c r="AB675" s="2" t="n"/>
      <c r="AC675" s="2" t="n"/>
      <c r="AD675" s="2" t="n">
        <v>50</v>
      </c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>
        <f>IF(F675=1,V675*2,IF(F675=2,V675*F675*2,IF(F675&gt;2,F675*2*V675)))</f>
        <v/>
      </c>
      <c r="AW675" s="2">
        <f>SUM(W675:AU675)</f>
        <v/>
      </c>
    </row>
    <row r="676">
      <c r="A676" s="2" t="inlineStr">
        <is>
          <t>A14-D-SP/SA-B-N-008</t>
        </is>
      </c>
      <c r="B676" s="3" t="inlineStr">
        <is>
          <t>DOJC-SM-SC/PC-SC/APC</t>
        </is>
      </c>
      <c r="C676" s="2" t="inlineStr">
        <is>
          <t>908040557, 30M, B3, 2.0mm</t>
        </is>
      </c>
      <c r="D676" s="2" t="inlineStr">
        <is>
          <t>b3</t>
        </is>
      </c>
      <c r="E676" s="2" t="inlineStr">
        <is>
          <t>2.0mm</t>
        </is>
      </c>
      <c r="F676" s="2" t="n">
        <v>2</v>
      </c>
      <c r="G676" s="2" t="n">
        <v>30</v>
      </c>
      <c r="H676" s="2" t="inlineStr">
        <is>
          <t>SC/PC</t>
        </is>
      </c>
      <c r="I676" s="2" t="inlineStr">
        <is>
          <t>SC/APC</t>
        </is>
      </c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>
        <v>30</v>
      </c>
      <c r="U676" s="2" t="n"/>
      <c r="V676" s="2">
        <f>SUM(J676:U676)</f>
        <v/>
      </c>
      <c r="W676" s="2" t="n"/>
      <c r="X676" s="2" t="n"/>
      <c r="Y676" s="2" t="n"/>
      <c r="Z676" s="2" t="n"/>
      <c r="AA676" s="2" t="n">
        <v>60</v>
      </c>
      <c r="AB676" s="2" t="n"/>
      <c r="AC676" s="2" t="n"/>
      <c r="AD676" s="2" t="n">
        <v>60</v>
      </c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>
        <f>IF(F676=1,V676*2,IF(F676=2,V676*F676*2,IF(F676&gt;2,F676*2*V676)))</f>
        <v/>
      </c>
      <c r="AW676" s="2">
        <f>SUM(W676:AU676)</f>
        <v/>
      </c>
    </row>
    <row r="677">
      <c r="A677" s="2" t="inlineStr">
        <is>
          <t>A14-D-SP/SA-B-N-014</t>
        </is>
      </c>
      <c r="B677" s="3" t="inlineStr">
        <is>
          <t>DOJC-SM-SC/PC-SC/APC</t>
        </is>
      </c>
      <c r="C677" s="2" t="inlineStr">
        <is>
          <t>908040258, 8M, B3, 2.0mm</t>
        </is>
      </c>
      <c r="D677" s="2" t="inlineStr">
        <is>
          <t>b3</t>
        </is>
      </c>
      <c r="E677" s="2" t="inlineStr">
        <is>
          <t>2.0mm</t>
        </is>
      </c>
      <c r="F677" s="2" t="n">
        <v>2</v>
      </c>
      <c r="G677" s="2" t="n">
        <v>8</v>
      </c>
      <c r="H677" s="2" t="inlineStr">
        <is>
          <t>SC/PC</t>
        </is>
      </c>
      <c r="I677" s="2" t="inlineStr">
        <is>
          <t>SC/APC</t>
        </is>
      </c>
      <c r="J677" s="2" t="n"/>
      <c r="K677" s="2" t="n"/>
      <c r="L677" s="2" t="n"/>
      <c r="M677" s="2" t="n"/>
      <c r="N677" s="2" t="n"/>
      <c r="O677" s="2" t="n"/>
      <c r="P677" s="2" t="n">
        <v>15</v>
      </c>
      <c r="Q677" s="2" t="n"/>
      <c r="R677" s="2" t="n"/>
      <c r="S677" s="2" t="n"/>
      <c r="T677" s="2" t="n"/>
      <c r="U677" s="2" t="n"/>
      <c r="V677" s="2">
        <f>SUM(J677:U677)</f>
        <v/>
      </c>
      <c r="W677" s="2" t="n"/>
      <c r="X677" s="2" t="n"/>
      <c r="Y677" s="2" t="n"/>
      <c r="Z677" s="2" t="n"/>
      <c r="AA677" s="2" t="n">
        <v>30</v>
      </c>
      <c r="AB677" s="2" t="n"/>
      <c r="AC677" s="2" t="n"/>
      <c r="AD677" s="2" t="n">
        <v>30</v>
      </c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>
        <f>IF(F677=1,V677*2,IF(F677=2,V677*F677*2,IF(F677&gt;2,F677*2*V677)))</f>
        <v/>
      </c>
      <c r="AW677" s="2">
        <f>SUM(W677:AU677)</f>
        <v/>
      </c>
    </row>
    <row r="678">
      <c r="A678" s="2" t="inlineStr">
        <is>
          <t>A14-D-SP/SP-B-N-002</t>
        </is>
      </c>
      <c r="B678" s="3" t="inlineStr">
        <is>
          <t>DOJC-SM-SC/PC-SC/PC</t>
        </is>
      </c>
      <c r="C678" s="2" t="inlineStr">
        <is>
          <t>908040232, 12M, B3, 2.0mm</t>
        </is>
      </c>
      <c r="D678" s="2" t="inlineStr">
        <is>
          <t>b3</t>
        </is>
      </c>
      <c r="E678" s="2" t="inlineStr">
        <is>
          <t>2.0mm</t>
        </is>
      </c>
      <c r="F678" s="2" t="n">
        <v>2</v>
      </c>
      <c r="G678" s="2" t="n">
        <v>12</v>
      </c>
      <c r="H678" s="2" t="inlineStr">
        <is>
          <t>SC/PC</t>
        </is>
      </c>
      <c r="I678" s="2" t="inlineStr">
        <is>
          <t>SC/PC</t>
        </is>
      </c>
      <c r="J678" s="2" t="n"/>
      <c r="K678" s="2" t="n"/>
      <c r="L678" s="2" t="n"/>
      <c r="M678" s="2" t="n"/>
      <c r="N678" s="2" t="n"/>
      <c r="O678" s="2" t="n">
        <v>10</v>
      </c>
      <c r="P678" s="2" t="n"/>
      <c r="Q678" s="2" t="n"/>
      <c r="R678" s="2" t="n"/>
      <c r="S678" s="2" t="n"/>
      <c r="T678" s="2" t="n">
        <v>20</v>
      </c>
      <c r="U678" s="2" t="n"/>
      <c r="V678" s="2">
        <f>SUM(J678:U678)</f>
        <v/>
      </c>
      <c r="W678" s="2" t="n"/>
      <c r="X678" s="2" t="n"/>
      <c r="Y678" s="2" t="n"/>
      <c r="Z678" s="2" t="n"/>
      <c r="AA678" s="2" t="n">
        <v>60</v>
      </c>
      <c r="AB678" s="2" t="n">
        <v>60</v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>
        <f>IF(F678=1,V678*2,IF(F678=2,V678*F678*2,IF(F678&gt;2,F678*2*V678)))</f>
        <v/>
      </c>
      <c r="AW678" s="2">
        <f>SUM(W678:AU678)</f>
        <v/>
      </c>
    </row>
    <row r="679">
      <c r="A679" s="2" t="inlineStr">
        <is>
          <t>A14-D-SP/SP-B-N-015</t>
        </is>
      </c>
      <c r="B679" s="3" t="inlineStr">
        <is>
          <t>DOJC-SM-SC/PC-SC/PC</t>
        </is>
      </c>
      <c r="C679" s="2" t="inlineStr">
        <is>
          <t>908040227, 7M, B3, 2.0mm</t>
        </is>
      </c>
      <c r="D679" s="2" t="inlineStr">
        <is>
          <t>b3</t>
        </is>
      </c>
      <c r="E679" s="2" t="inlineStr">
        <is>
          <t>2.0mm</t>
        </is>
      </c>
      <c r="F679" s="2" t="n">
        <v>2</v>
      </c>
      <c r="G679" s="2" t="n">
        <v>7</v>
      </c>
      <c r="H679" s="2" t="inlineStr">
        <is>
          <t>SC/PC</t>
        </is>
      </c>
      <c r="I679" s="2" t="inlineStr">
        <is>
          <t>SC/PC</t>
        </is>
      </c>
      <c r="J679" s="2" t="n">
        <v>20</v>
      </c>
      <c r="K679" s="2" t="n"/>
      <c r="L679" s="2" t="n"/>
      <c r="M679" s="2" t="n">
        <v>30</v>
      </c>
      <c r="N679" s="2" t="n"/>
      <c r="O679" s="2" t="n"/>
      <c r="P679" s="2" t="n">
        <v>20</v>
      </c>
      <c r="Q679" s="2" t="n"/>
      <c r="R679" s="2" t="n"/>
      <c r="S679" s="2" t="n"/>
      <c r="T679" s="2" t="n"/>
      <c r="U679" s="2" t="n"/>
      <c r="V679" s="2">
        <f>SUM(J679:U679)</f>
        <v/>
      </c>
      <c r="W679" s="2" t="n"/>
      <c r="X679" s="2" t="n"/>
      <c r="Y679" s="2" t="n"/>
      <c r="Z679" s="2" t="n"/>
      <c r="AA679" s="2" t="n">
        <v>140</v>
      </c>
      <c r="AB679" s="2" t="n">
        <v>140</v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>
        <f>IF(F679=1,V679*2,IF(F679=2,V679*F679*2,IF(F679&gt;2,F679*2*V679)))</f>
        <v/>
      </c>
      <c r="AW679" s="2">
        <f>SUM(W679:AU679)</f>
        <v/>
      </c>
    </row>
    <row r="680">
      <c r="A680" s="2" t="inlineStr">
        <is>
          <t>A14-D1-N001</t>
        </is>
      </c>
      <c r="B680" s="3" t="inlineStr">
        <is>
          <t>DOJC-MM-LC/PC-LC/PC</t>
        </is>
      </c>
      <c r="C680" s="2" t="inlineStr">
        <is>
          <t>920000784, 2M</t>
        </is>
      </c>
      <c r="D680" s="2" t="inlineStr">
        <is>
          <t>om1</t>
        </is>
      </c>
      <c r="E680" s="2" t="inlineStr">
        <is>
          <t>2.0mm</t>
        </is>
      </c>
      <c r="F680" s="2" t="n">
        <v>2</v>
      </c>
      <c r="G680" s="2" t="n">
        <v>2</v>
      </c>
      <c r="H680" s="2" t="inlineStr">
        <is>
          <t>LC/PC</t>
        </is>
      </c>
      <c r="I680" s="2" t="inlineStr">
        <is>
          <t>LC/PC</t>
        </is>
      </c>
      <c r="J680" s="2" t="n"/>
      <c r="K680" s="2" t="n"/>
      <c r="L680" s="2" t="n">
        <v>1</v>
      </c>
      <c r="M680" s="2" t="n">
        <v>2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>
        <f>SUM(J680:U680)</f>
        <v/>
      </c>
      <c r="W680" s="2" t="n"/>
      <c r="X680" s="2" t="n">
        <v>6</v>
      </c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>
        <v>6</v>
      </c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>
        <f>IF(F680=1,V680*2,IF(F680=2,V680*F680*2,IF(F680&gt;2,F680*2*V680)))</f>
        <v/>
      </c>
      <c r="AW680" s="2">
        <f>SUM(W680:AU680)</f>
        <v/>
      </c>
    </row>
    <row r="681">
      <c r="A681" s="2" t="inlineStr">
        <is>
          <t>A14-D1-N002</t>
        </is>
      </c>
      <c r="B681" s="3" t="inlineStr">
        <is>
          <t>DOJC-MM-LC/PC-LC/PC</t>
        </is>
      </c>
      <c r="C681" s="2" t="inlineStr">
        <is>
          <t>920000812, 30M</t>
        </is>
      </c>
      <c r="D681" s="2" t="inlineStr">
        <is>
          <t>om1</t>
        </is>
      </c>
      <c r="E681" s="2" t="inlineStr">
        <is>
          <t>2.0mm</t>
        </is>
      </c>
      <c r="F681" s="2" t="n">
        <v>2</v>
      </c>
      <c r="G681" s="2" t="n">
        <v>30</v>
      </c>
      <c r="H681" s="2" t="inlineStr">
        <is>
          <t>LC/PC</t>
        </is>
      </c>
      <c r="I681" s="2" t="inlineStr">
        <is>
          <t>LC/PC</t>
        </is>
      </c>
      <c r="J681" s="2" t="n"/>
      <c r="K681" s="2" t="n"/>
      <c r="L681" s="2" t="n">
        <v>10</v>
      </c>
      <c r="M681" s="2" t="n">
        <v>10</v>
      </c>
      <c r="N681" s="2" t="n"/>
      <c r="O681" s="2" t="n"/>
      <c r="P681" s="2" t="n">
        <v>54</v>
      </c>
      <c r="Q681" s="2" t="n">
        <v>22</v>
      </c>
      <c r="R681" s="2" t="n"/>
      <c r="S681" s="2" t="n">
        <v>20</v>
      </c>
      <c r="T681" s="2" t="n">
        <v>10</v>
      </c>
      <c r="U681" s="2" t="n"/>
      <c r="V681" s="2">
        <f>SUM(J681:U681)</f>
        <v/>
      </c>
      <c r="W681" s="2" t="n"/>
      <c r="X681" s="2" t="n">
        <v>252</v>
      </c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>
        <v>252</v>
      </c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>
        <f>IF(F681=1,V681*2,IF(F681=2,V681*F681*2,IF(F681&gt;2,F681*2*V681)))</f>
        <v/>
      </c>
      <c r="AW681" s="2">
        <f>SUM(W681:AU681)</f>
        <v/>
      </c>
    </row>
    <row r="682">
      <c r="A682" s="2" t="inlineStr">
        <is>
          <t>A14-D1-N003</t>
        </is>
      </c>
      <c r="B682" s="3" t="inlineStr">
        <is>
          <t>DOJC-MM-LC/PC-LC/PC</t>
        </is>
      </c>
      <c r="C682" s="2" t="inlineStr">
        <is>
          <t>920000788, 6M</t>
        </is>
      </c>
      <c r="D682" s="2" t="inlineStr">
        <is>
          <t>om1</t>
        </is>
      </c>
      <c r="E682" s="2" t="inlineStr">
        <is>
          <t>2.0mm</t>
        </is>
      </c>
      <c r="F682" s="2" t="n">
        <v>2</v>
      </c>
      <c r="G682" s="2" t="n">
        <v>6</v>
      </c>
      <c r="H682" s="2" t="inlineStr">
        <is>
          <t>LC/PC</t>
        </is>
      </c>
      <c r="I682" s="2" t="inlineStr">
        <is>
          <t>LC/PC</t>
        </is>
      </c>
      <c r="J682" s="2" t="n">
        <v>20</v>
      </c>
      <c r="K682" s="2" t="n"/>
      <c r="L682" s="2" t="n">
        <v>5</v>
      </c>
      <c r="M682" s="2" t="n"/>
      <c r="N682" s="2" t="n"/>
      <c r="O682" s="2" t="n"/>
      <c r="P682" s="2" t="n"/>
      <c r="Q682" s="2" t="n"/>
      <c r="R682" s="2" t="n">
        <v>2</v>
      </c>
      <c r="S682" s="2" t="n"/>
      <c r="T682" s="2" t="n"/>
      <c r="U682" s="2" t="n"/>
      <c r="V682" s="2">
        <f>SUM(J682:U682)</f>
        <v/>
      </c>
      <c r="W682" s="2" t="n"/>
      <c r="X682" s="2" t="n">
        <v>54</v>
      </c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>
        <v>54</v>
      </c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>
        <f>IF(F682=1,V682*2,IF(F682=2,V682*F682*2,IF(F682&gt;2,F682*2*V682)))</f>
        <v/>
      </c>
      <c r="AW682" s="2">
        <f>SUM(W682:AU682)</f>
        <v/>
      </c>
    </row>
    <row r="683">
      <c r="A683" s="2" t="inlineStr">
        <is>
          <t>A14-D1-N004</t>
        </is>
      </c>
      <c r="B683" s="3" t="inlineStr">
        <is>
          <t>DOJC-MM-LC/PC-LC/PC</t>
        </is>
      </c>
      <c r="C683" s="2" t="inlineStr">
        <is>
          <t>920000789, 7M</t>
        </is>
      </c>
      <c r="D683" s="2" t="inlineStr">
        <is>
          <t>om1</t>
        </is>
      </c>
      <c r="E683" s="2" t="inlineStr">
        <is>
          <t>2.0mm</t>
        </is>
      </c>
      <c r="F683" s="2" t="n">
        <v>2</v>
      </c>
      <c r="G683" s="2" t="n">
        <v>7</v>
      </c>
      <c r="H683" s="2" t="inlineStr">
        <is>
          <t>LC/PC</t>
        </is>
      </c>
      <c r="I683" s="2" t="inlineStr">
        <is>
          <t>LC/PC</t>
        </is>
      </c>
      <c r="J683" s="2" t="n">
        <v>2</v>
      </c>
      <c r="K683" s="2" t="n"/>
      <c r="L683" s="2" t="n">
        <v>28</v>
      </c>
      <c r="M683" s="2" t="n">
        <v>23</v>
      </c>
      <c r="N683" s="2" t="n"/>
      <c r="O683" s="2" t="n"/>
      <c r="P683" s="2" t="n"/>
      <c r="Q683" s="2" t="n">
        <v>24</v>
      </c>
      <c r="R683" s="2" t="n"/>
      <c r="S683" s="2" t="n">
        <v>4</v>
      </c>
      <c r="T683" s="2" t="n"/>
      <c r="U683" s="2" t="n"/>
      <c r="V683" s="2">
        <f>SUM(J683:U683)</f>
        <v/>
      </c>
      <c r="W683" s="2" t="n"/>
      <c r="X683" s="2" t="n">
        <v>162</v>
      </c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>
        <v>162</v>
      </c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>
        <f>IF(F683=1,V683*2,IF(F683=2,V683*F683*2,IF(F683&gt;2,F683*2*V683)))</f>
        <v/>
      </c>
      <c r="AW683" s="2">
        <f>SUM(W683:AU683)</f>
        <v/>
      </c>
    </row>
    <row r="684">
      <c r="A684" s="2" t="inlineStr">
        <is>
          <t>A14-D1-N006</t>
        </is>
      </c>
      <c r="B684" s="3" t="inlineStr">
        <is>
          <t>DOJC-MM-LC/PC-SC/PC</t>
        </is>
      </c>
      <c r="C684" s="2" t="inlineStr">
        <is>
          <t>908040777, 15M</t>
        </is>
      </c>
      <c r="D684" s="2" t="inlineStr">
        <is>
          <t>om1</t>
        </is>
      </c>
      <c r="E684" s="2" t="inlineStr">
        <is>
          <t>2.0mm</t>
        </is>
      </c>
      <c r="F684" s="2" t="n">
        <v>2</v>
      </c>
      <c r="G684" s="2" t="n">
        <v>15</v>
      </c>
      <c r="H684" s="2" t="inlineStr">
        <is>
          <t>LC/PC</t>
        </is>
      </c>
      <c r="I684" s="2" t="inlineStr">
        <is>
          <t>SC/PC</t>
        </is>
      </c>
      <c r="J684" s="2" t="n">
        <v>4</v>
      </c>
      <c r="K684" s="2" t="n"/>
      <c r="L684" s="2" t="n">
        <v>18</v>
      </c>
      <c r="M684" s="2" t="n"/>
      <c r="N684" s="2" t="n"/>
      <c r="O684" s="2" t="n"/>
      <c r="P684" s="2" t="n"/>
      <c r="Q684" s="2" t="n"/>
      <c r="R684" s="2" t="n">
        <v>20</v>
      </c>
      <c r="S684" s="2" t="n">
        <v>40</v>
      </c>
      <c r="T684" s="2" t="n"/>
      <c r="U684" s="2" t="n"/>
      <c r="V684" s="2">
        <f>SUM(J684:U684)</f>
        <v/>
      </c>
      <c r="W684" s="2" t="n"/>
      <c r="X684" s="2" t="n"/>
      <c r="Y684" s="2" t="n"/>
      <c r="Z684" s="2" t="n"/>
      <c r="AA684" s="2" t="n"/>
      <c r="AB684" s="2" t="n">
        <v>164</v>
      </c>
      <c r="AC684" s="2" t="n"/>
      <c r="AD684" s="2" t="n"/>
      <c r="AE684" s="2" t="n"/>
      <c r="AF684" s="2" t="n"/>
      <c r="AG684" s="2" t="n"/>
      <c r="AH684" s="2" t="n"/>
      <c r="AI684" s="2" t="n">
        <v>164</v>
      </c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>
        <f>IF(F684=1,V684*2,IF(F684=2,V684*F684*2,IF(F684&gt;2,F684*2*V684)))</f>
        <v/>
      </c>
      <c r="AW684" s="2">
        <f>SUM(W684:AU684)</f>
        <v/>
      </c>
    </row>
    <row r="685">
      <c r="A685" s="2" t="inlineStr">
        <is>
          <t>A14-D1-N007</t>
        </is>
      </c>
      <c r="B685" s="3" t="inlineStr">
        <is>
          <t>DOJC-MM-LC/PC-SC/PC</t>
        </is>
      </c>
      <c r="C685" s="2" t="inlineStr">
        <is>
          <t>908040782, 20M</t>
        </is>
      </c>
      <c r="D685" s="2" t="inlineStr">
        <is>
          <t>om1</t>
        </is>
      </c>
      <c r="E685" s="2" t="inlineStr">
        <is>
          <t>2.0mm</t>
        </is>
      </c>
      <c r="F685" s="2" t="n">
        <v>2</v>
      </c>
      <c r="G685" s="2" t="n">
        <v>20</v>
      </c>
      <c r="H685" s="2" t="inlineStr">
        <is>
          <t>LC/PC</t>
        </is>
      </c>
      <c r="I685" s="2" t="inlineStr">
        <is>
          <t>SC/PC</t>
        </is>
      </c>
      <c r="J685" s="2" t="n"/>
      <c r="K685" s="2" t="n"/>
      <c r="L685" s="2" t="n"/>
      <c r="M685" s="2" t="n"/>
      <c r="N685" s="2" t="n"/>
      <c r="O685" s="2" t="n"/>
      <c r="P685" s="2" t="n">
        <v>40</v>
      </c>
      <c r="Q685" s="2" t="n"/>
      <c r="R685" s="2" t="n"/>
      <c r="S685" s="2" t="n"/>
      <c r="T685" s="2" t="n"/>
      <c r="U685" s="2" t="n"/>
      <c r="V685" s="2">
        <f>SUM(J685:U685)</f>
        <v/>
      </c>
      <c r="W685" s="2" t="n"/>
      <c r="X685" s="2" t="n"/>
      <c r="Y685" s="2" t="n"/>
      <c r="Z685" s="2" t="n"/>
      <c r="AA685" s="2" t="n"/>
      <c r="AB685" s="2" t="n">
        <v>80</v>
      </c>
      <c r="AC685" s="2" t="n"/>
      <c r="AD685" s="2" t="n"/>
      <c r="AE685" s="2" t="n"/>
      <c r="AF685" s="2" t="n"/>
      <c r="AG685" s="2" t="n"/>
      <c r="AH685" s="2" t="n"/>
      <c r="AI685" s="2" t="n">
        <v>80</v>
      </c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>
        <f>IF(F685=1,V685*2,IF(F685=2,V685*F685*2,IF(F685&gt;2,F685*2*V685)))</f>
        <v/>
      </c>
      <c r="AW685" s="2">
        <f>SUM(W685:AU685)</f>
        <v/>
      </c>
    </row>
    <row r="686">
      <c r="A686" s="2" t="inlineStr">
        <is>
          <t>A14-D1-N009</t>
        </is>
      </c>
      <c r="B686" s="3" t="inlineStr">
        <is>
          <t>DOJC-MM-LC/PC-SC/PC</t>
        </is>
      </c>
      <c r="C686" s="2" t="inlineStr">
        <is>
          <t>908040765, 2M</t>
        </is>
      </c>
      <c r="D686" s="2" t="inlineStr">
        <is>
          <t>om1</t>
        </is>
      </c>
      <c r="E686" s="2" t="inlineStr">
        <is>
          <t>2.0mm</t>
        </is>
      </c>
      <c r="F686" s="2" t="n">
        <v>2</v>
      </c>
      <c r="G686" s="2" t="n">
        <v>2</v>
      </c>
      <c r="H686" s="2" t="inlineStr">
        <is>
          <t>LC/PC</t>
        </is>
      </c>
      <c r="I686" s="2" t="inlineStr">
        <is>
          <t>SC/PC</t>
        </is>
      </c>
      <c r="J686" s="2" t="n"/>
      <c r="K686" s="2" t="n"/>
      <c r="L686" s="2" t="n"/>
      <c r="M686" s="2" t="n"/>
      <c r="N686" s="2" t="n"/>
      <c r="O686" s="2" t="n"/>
      <c r="P686" s="2" t="n">
        <v>30</v>
      </c>
      <c r="Q686" s="2" t="n"/>
      <c r="R686" s="2" t="n"/>
      <c r="S686" s="2" t="n"/>
      <c r="T686" s="2" t="n"/>
      <c r="U686" s="2" t="n"/>
      <c r="V686" s="2">
        <f>SUM(J686:U686)</f>
        <v/>
      </c>
      <c r="W686" s="2" t="n"/>
      <c r="X686" s="2" t="n"/>
      <c r="Y686" s="2" t="n"/>
      <c r="Z686" s="2" t="n"/>
      <c r="AA686" s="2" t="n"/>
      <c r="AB686" s="2" t="n">
        <v>60</v>
      </c>
      <c r="AC686" s="2" t="n"/>
      <c r="AD686" s="2" t="n"/>
      <c r="AE686" s="2" t="n"/>
      <c r="AF686" s="2" t="n"/>
      <c r="AG686" s="2" t="n"/>
      <c r="AH686" s="2" t="n"/>
      <c r="AI686" s="2" t="n">
        <v>60</v>
      </c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>
        <f>IF(F686=1,V686*2,IF(F686=2,V686*F686*2,IF(F686&gt;2,F686*2*V686)))</f>
        <v/>
      </c>
      <c r="AW686" s="2">
        <f>SUM(W686:AU686)</f>
        <v/>
      </c>
    </row>
    <row r="687">
      <c r="A687" s="2" t="inlineStr">
        <is>
          <t>A14-D1-N010</t>
        </is>
      </c>
      <c r="B687" s="3" t="inlineStr">
        <is>
          <t>DOJC-MM-LC/PC-SC/PC</t>
        </is>
      </c>
      <c r="C687" s="2" t="inlineStr">
        <is>
          <t>908040763, 3M</t>
        </is>
      </c>
      <c r="D687" s="2" t="inlineStr">
        <is>
          <t>om1</t>
        </is>
      </c>
      <c r="E687" s="2" t="inlineStr">
        <is>
          <t>2.0mm</t>
        </is>
      </c>
      <c r="F687" s="2" t="n">
        <v>2</v>
      </c>
      <c r="G687" s="2" t="n">
        <v>3</v>
      </c>
      <c r="H687" s="2" t="inlineStr">
        <is>
          <t>LC/PC</t>
        </is>
      </c>
      <c r="I687" s="2" t="inlineStr">
        <is>
          <t>SC/PC</t>
        </is>
      </c>
      <c r="J687" s="2" t="n"/>
      <c r="K687" s="2" t="n"/>
      <c r="L687" s="2" t="n"/>
      <c r="M687" s="2" t="n">
        <v>3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>
        <f>SUM(J687:U687)</f>
        <v/>
      </c>
      <c r="W687" s="2" t="n"/>
      <c r="X687" s="2" t="n"/>
      <c r="Y687" s="2" t="n"/>
      <c r="Z687" s="2" t="n"/>
      <c r="AA687" s="2" t="n"/>
      <c r="AB687" s="2" t="n">
        <v>6</v>
      </c>
      <c r="AC687" s="2" t="n"/>
      <c r="AD687" s="2" t="n"/>
      <c r="AE687" s="2" t="n"/>
      <c r="AF687" s="2" t="n"/>
      <c r="AG687" s="2" t="n"/>
      <c r="AH687" s="2" t="n"/>
      <c r="AI687" s="2" t="n">
        <v>6</v>
      </c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>
        <f>IF(F687=1,V687*2,IF(F687=2,V687*F687*2,IF(F687&gt;2,F687*2*V687)))</f>
        <v/>
      </c>
      <c r="AW687" s="2">
        <f>SUM(W687:AU687)</f>
        <v/>
      </c>
    </row>
    <row r="688">
      <c r="A688" s="2" t="inlineStr">
        <is>
          <t>A14-D1-N012</t>
        </is>
      </c>
      <c r="B688" s="3" t="inlineStr">
        <is>
          <t>DOJC-MM-LC/PC-LC/PC</t>
        </is>
      </c>
      <c r="C688" s="2" t="inlineStr">
        <is>
          <t>920000790, 8M</t>
        </is>
      </c>
      <c r="D688" s="2" t="inlineStr">
        <is>
          <t>om1</t>
        </is>
      </c>
      <c r="E688" s="2" t="inlineStr">
        <is>
          <t>2.0mm</t>
        </is>
      </c>
      <c r="F688" s="2" t="n">
        <v>2</v>
      </c>
      <c r="G688" s="2" t="n">
        <v>8</v>
      </c>
      <c r="H688" s="2" t="inlineStr">
        <is>
          <t>LC/PC</t>
        </is>
      </c>
      <c r="I688" s="2" t="inlineStr">
        <is>
          <t>LC/PC</t>
        </is>
      </c>
      <c r="J688" s="2" t="n"/>
      <c r="K688" s="2" t="n"/>
      <c r="L688" s="2" t="n"/>
      <c r="M688" s="2" t="n"/>
      <c r="N688" s="2" t="n"/>
      <c r="O688" s="2" t="n">
        <v>2</v>
      </c>
      <c r="P688" s="2" t="n">
        <v>10</v>
      </c>
      <c r="Q688" s="2" t="n"/>
      <c r="R688" s="2" t="n">
        <v>6</v>
      </c>
      <c r="S688" s="2" t="n"/>
      <c r="T688" s="2" t="n"/>
      <c r="U688" s="2" t="n"/>
      <c r="V688" s="2">
        <f>SUM(J688:U688)</f>
        <v/>
      </c>
      <c r="W688" s="2" t="n"/>
      <c r="X688" s="2" t="n">
        <v>36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>
        <v>36</v>
      </c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>
        <f>IF(F688=1,V688*2,IF(F688=2,V688*F688*2,IF(F688&gt;2,F688*2*V688)))</f>
        <v/>
      </c>
      <c r="AW688" s="2">
        <f>SUM(W688:AU688)</f>
        <v/>
      </c>
    </row>
    <row r="689">
      <c r="A689" s="2" t="inlineStr">
        <is>
          <t>A14-D1-N013</t>
        </is>
      </c>
      <c r="B689" s="3" t="inlineStr">
        <is>
          <t>DOJC-MM-LC/PC-SC/PC</t>
        </is>
      </c>
      <c r="C689" s="2" t="inlineStr">
        <is>
          <t>908040769, 7M</t>
        </is>
      </c>
      <c r="D689" s="2" t="inlineStr">
        <is>
          <t>om1</t>
        </is>
      </c>
      <c r="E689" s="2" t="inlineStr">
        <is>
          <t>2.0mm</t>
        </is>
      </c>
      <c r="F689" s="2" t="n">
        <v>2</v>
      </c>
      <c r="G689" s="2" t="n">
        <v>7</v>
      </c>
      <c r="H689" s="2" t="inlineStr">
        <is>
          <t>LC/PC</t>
        </is>
      </c>
      <c r="I689" s="2" t="inlineStr">
        <is>
          <t>SC/PC</t>
        </is>
      </c>
      <c r="J689" s="2" t="n"/>
      <c r="K689" s="2" t="n"/>
      <c r="L689" s="2" t="n"/>
      <c r="M689" s="2" t="n">
        <v>3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>
        <f>SUM(J689:U689)</f>
        <v/>
      </c>
      <c r="W689" s="2" t="n"/>
      <c r="X689" s="2" t="n"/>
      <c r="Y689" s="2" t="n"/>
      <c r="Z689" s="2" t="n"/>
      <c r="AA689" s="2" t="n"/>
      <c r="AB689" s="2" t="n">
        <v>6</v>
      </c>
      <c r="AC689" s="2" t="n"/>
      <c r="AD689" s="2" t="n"/>
      <c r="AE689" s="2" t="n"/>
      <c r="AF689" s="2" t="n"/>
      <c r="AG689" s="2" t="n"/>
      <c r="AH689" s="2" t="n"/>
      <c r="AI689" s="2" t="n">
        <v>6</v>
      </c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>
        <f>IF(F689=1,V689*2,IF(F689=2,V689*F689*2,IF(F689&gt;2,F689*2*V689)))</f>
        <v/>
      </c>
      <c r="AW689" s="2">
        <f>SUM(W689:AU689)</f>
        <v/>
      </c>
    </row>
    <row r="690">
      <c r="A690" s="2" t="inlineStr">
        <is>
          <t>A14-D1-N035R</t>
        </is>
      </c>
      <c r="B690" s="3" t="inlineStr">
        <is>
          <t>DOJC-MM-LC/PC-LC/PC</t>
        </is>
      </c>
      <c r="C690" s="2" t="inlineStr">
        <is>
          <t>920000792, 10M</t>
        </is>
      </c>
      <c r="D690" s="2" t="inlineStr">
        <is>
          <t>om1</t>
        </is>
      </c>
      <c r="E690" s="2" t="inlineStr">
        <is>
          <t>2.0mm</t>
        </is>
      </c>
      <c r="F690" s="2" t="n">
        <v>2</v>
      </c>
      <c r="G690" s="2" t="n">
        <v>10</v>
      </c>
      <c r="H690" s="2" t="inlineStr">
        <is>
          <t>LC/PC</t>
        </is>
      </c>
      <c r="I690" s="2" t="inlineStr">
        <is>
          <t>LC/PC</t>
        </is>
      </c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>
        <v>22</v>
      </c>
      <c r="T690" s="2" t="n"/>
      <c r="U690" s="2" t="n"/>
      <c r="V690" s="2">
        <f>SUM(J690:U690)</f>
        <v/>
      </c>
      <c r="W690" s="2" t="n"/>
      <c r="X690" s="2" t="n">
        <v>44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>
        <v>44</v>
      </c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>
        <f>IF(F690=1,V690*2,IF(F690=2,V690*F690*2,IF(F690&gt;2,F690*2*V690)))</f>
        <v/>
      </c>
      <c r="AW690" s="2">
        <f>SUM(W690:AU690)</f>
        <v/>
      </c>
    </row>
    <row r="691">
      <c r="A691" s="2" t="inlineStr">
        <is>
          <t>A14-D1-N040</t>
        </is>
      </c>
      <c r="B691" s="3" t="inlineStr">
        <is>
          <t>DOJC-MM-LC/PC-LC/PC</t>
        </is>
      </c>
      <c r="C691" s="2" t="inlineStr">
        <is>
          <t>920000797, 15M</t>
        </is>
      </c>
      <c r="D691" s="2" t="inlineStr">
        <is>
          <t>om1</t>
        </is>
      </c>
      <c r="E691" s="2" t="inlineStr">
        <is>
          <t>2.0mm</t>
        </is>
      </c>
      <c r="F691" s="2" t="n">
        <v>2</v>
      </c>
      <c r="G691" s="2" t="n">
        <v>15</v>
      </c>
      <c r="H691" s="2" t="inlineStr">
        <is>
          <t>LC/PC</t>
        </is>
      </c>
      <c r="I691" s="2" t="inlineStr">
        <is>
          <t>LC/PC</t>
        </is>
      </c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>
        <v>76</v>
      </c>
      <c r="T691" s="2" t="n">
        <v>18</v>
      </c>
      <c r="U691" s="2" t="n"/>
      <c r="V691" s="2">
        <f>SUM(J691:U691)</f>
        <v/>
      </c>
      <c r="W691" s="2" t="n"/>
      <c r="X691" s="2" t="n">
        <v>188</v>
      </c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>
        <v>188</v>
      </c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>
        <f>IF(F691=1,V691*2,IF(F691=2,V691*F691*2,IF(F691&gt;2,F691*2*V691)))</f>
        <v/>
      </c>
      <c r="AW691" s="2">
        <f>SUM(W691:AU691)</f>
        <v/>
      </c>
    </row>
    <row r="692">
      <c r="A692" s="2" t="inlineStr">
        <is>
          <t>A14-D1-N048</t>
        </is>
      </c>
      <c r="B692" s="3" t="inlineStr">
        <is>
          <t>DOJC-MM-LC/PC-LC/PC</t>
        </is>
      </c>
      <c r="C692" s="2" t="inlineStr">
        <is>
          <t>920000807, 25M</t>
        </is>
      </c>
      <c r="D692" s="2" t="inlineStr">
        <is>
          <t>om1</t>
        </is>
      </c>
      <c r="E692" s="2" t="inlineStr">
        <is>
          <t>2.0mm</t>
        </is>
      </c>
      <c r="F692" s="2" t="n">
        <v>2</v>
      </c>
      <c r="G692" s="2" t="n">
        <v>25</v>
      </c>
      <c r="H692" s="2" t="inlineStr">
        <is>
          <t>LC/PC</t>
        </is>
      </c>
      <c r="I692" s="2" t="inlineStr">
        <is>
          <t>LC/PC</t>
        </is>
      </c>
      <c r="J692" s="2" t="n"/>
      <c r="K692" s="2" t="n"/>
      <c r="L692" s="2" t="n"/>
      <c r="M692" s="2" t="n"/>
      <c r="N692" s="2" t="n"/>
      <c r="O692" s="2" t="n"/>
      <c r="P692" s="2" t="n"/>
      <c r="Q692" s="2" t="n">
        <v>27</v>
      </c>
      <c r="R692" s="2" t="n">
        <v>28</v>
      </c>
      <c r="S692" s="2" t="n">
        <v>8</v>
      </c>
      <c r="T692" s="2" t="n"/>
      <c r="U692" s="2" t="n">
        <v>12</v>
      </c>
      <c r="V692" s="2">
        <f>SUM(J692:U692)</f>
        <v/>
      </c>
      <c r="W692" s="2" t="n"/>
      <c r="X692" s="2" t="n">
        <v>150</v>
      </c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>
        <v>150</v>
      </c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>
        <f>IF(F692=1,V692*2,IF(F692=2,V692*F692*2,IF(F692&gt;2,F692*2*V692)))</f>
        <v/>
      </c>
      <c r="AW692" s="2">
        <f>SUM(W692:AU692)</f>
        <v/>
      </c>
    </row>
    <row r="693">
      <c r="A693" s="2" t="inlineStr">
        <is>
          <t>A14-D1-N052</t>
        </is>
      </c>
      <c r="B693" s="3" t="inlineStr">
        <is>
          <t>DOJC-MM-LC/PC-LC/PC</t>
        </is>
      </c>
      <c r="C693" s="2" t="inlineStr">
        <is>
          <t>920000785, 3M</t>
        </is>
      </c>
      <c r="D693" s="2" t="inlineStr">
        <is>
          <t>om1</t>
        </is>
      </c>
      <c r="E693" s="2" t="inlineStr">
        <is>
          <t>2.0mm</t>
        </is>
      </c>
      <c r="F693" s="2" t="n">
        <v>2</v>
      </c>
      <c r="G693" s="2" t="n">
        <v>3</v>
      </c>
      <c r="H693" s="2" t="inlineStr">
        <is>
          <t>LC/PC</t>
        </is>
      </c>
      <c r="I693" s="2" t="inlineStr">
        <is>
          <t>LC/PC</t>
        </is>
      </c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>
        <v>13</v>
      </c>
      <c r="T693" s="2" t="n"/>
      <c r="U693" s="2" t="n"/>
      <c r="V693" s="2">
        <f>SUM(J693:U693)</f>
        <v/>
      </c>
      <c r="W693" s="2" t="n"/>
      <c r="X693" s="2" t="n">
        <v>26</v>
      </c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>
        <v>26</v>
      </c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>
        <f>IF(F693=1,V693*2,IF(F693=2,V693*F693*2,IF(F693&gt;2,F693*2*V693)))</f>
        <v/>
      </c>
      <c r="AW693" s="2">
        <f>SUM(W693:AU693)</f>
        <v/>
      </c>
    </row>
    <row r="694">
      <c r="A694" s="2" t="inlineStr">
        <is>
          <t>A14-D3-N008</t>
        </is>
      </c>
      <c r="B694" s="3" t="inlineStr">
        <is>
          <t>DOJC-MM(OM3)-LC/PC-LC/PC</t>
        </is>
      </c>
      <c r="C694" s="2" t="inlineStr">
        <is>
          <t>10M</t>
        </is>
      </c>
      <c r="D694" s="2" t="inlineStr">
        <is>
          <t>om3</t>
        </is>
      </c>
      <c r="E694" s="2" t="inlineStr">
        <is>
          <t>2.0mm</t>
        </is>
      </c>
      <c r="F694" s="2" t="n">
        <v>2</v>
      </c>
      <c r="G694" s="2" t="n">
        <v>10</v>
      </c>
      <c r="H694" s="2" t="inlineStr">
        <is>
          <t>LC/PC</t>
        </is>
      </c>
      <c r="I694" s="2" t="inlineStr">
        <is>
          <t>LC/PC</t>
        </is>
      </c>
      <c r="J694" s="2" t="n">
        <v>12</v>
      </c>
      <c r="K694" s="2" t="n"/>
      <c r="L694" s="2" t="n">
        <v>6</v>
      </c>
      <c r="M694" s="2" t="n"/>
      <c r="N694" s="2" t="n">
        <v>7</v>
      </c>
      <c r="O694" s="2" t="n"/>
      <c r="P694" s="2" t="n"/>
      <c r="Q694" s="2" t="n"/>
      <c r="R694" s="2" t="n"/>
      <c r="S694" s="2" t="n">
        <v>4</v>
      </c>
      <c r="T694" s="2" t="n"/>
      <c r="U694" s="2" t="n"/>
      <c r="V694" s="2">
        <f>SUM(J694:U694)</f>
        <v/>
      </c>
      <c r="W694" s="2" t="n"/>
      <c r="X694" s="2" t="n">
        <v>58</v>
      </c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>
        <v>58</v>
      </c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>
        <f>IF(F694=1,V694*2,IF(F694=2,V694*F694*2,IF(F694&gt;2,F694*2*V694)))</f>
        <v/>
      </c>
      <c r="AW694" s="2">
        <f>SUM(W694:AU694)</f>
        <v/>
      </c>
    </row>
    <row r="695">
      <c r="A695" s="2" t="inlineStr">
        <is>
          <t>A14-D3-N010</t>
        </is>
      </c>
      <c r="B695" s="3" t="inlineStr">
        <is>
          <t>DOJC-MM(OM3)-LC/PC-LC/PC</t>
        </is>
      </c>
      <c r="C695" s="2" t="inlineStr">
        <is>
          <t>15M</t>
        </is>
      </c>
      <c r="D695" s="2" t="inlineStr">
        <is>
          <t>om3</t>
        </is>
      </c>
      <c r="E695" s="2" t="inlineStr">
        <is>
          <t>2.0mm</t>
        </is>
      </c>
      <c r="F695" s="2" t="n">
        <v>2</v>
      </c>
      <c r="G695" s="2" t="n">
        <v>15</v>
      </c>
      <c r="H695" s="2" t="inlineStr">
        <is>
          <t>LC/PC</t>
        </is>
      </c>
      <c r="I695" s="2" t="inlineStr">
        <is>
          <t>LC/PC</t>
        </is>
      </c>
      <c r="J695" s="2" t="n">
        <v>11</v>
      </c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>
        <v>4</v>
      </c>
      <c r="T695" s="2" t="n">
        <v>30</v>
      </c>
      <c r="U695" s="2" t="n">
        <v>10</v>
      </c>
      <c r="V695" s="2">
        <f>SUM(J695:U695)</f>
        <v/>
      </c>
      <c r="W695" s="2" t="n"/>
      <c r="X695" s="2" t="n">
        <v>110</v>
      </c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>
        <v>110</v>
      </c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>
        <f>IF(F695=1,V695*2,IF(F695=2,V695*F695*2,IF(F695&gt;2,F695*2*V695)))</f>
        <v/>
      </c>
      <c r="AW695" s="2">
        <f>SUM(W695:AU695)</f>
        <v/>
      </c>
    </row>
    <row r="696">
      <c r="A696" s="2" t="inlineStr">
        <is>
          <t>A14-D3-N011</t>
        </is>
      </c>
      <c r="B696" s="3" t="inlineStr">
        <is>
          <t>DOJC-MM(OM3)-LC/PC-LC/PC</t>
        </is>
      </c>
      <c r="C696" s="2" t="inlineStr">
        <is>
          <t>20M</t>
        </is>
      </c>
      <c r="D696" s="2" t="inlineStr">
        <is>
          <t>om3</t>
        </is>
      </c>
      <c r="E696" s="2" t="inlineStr">
        <is>
          <t>2.0mm</t>
        </is>
      </c>
      <c r="F696" s="2" t="n">
        <v>2</v>
      </c>
      <c r="G696" s="2" t="n">
        <v>20</v>
      </c>
      <c r="H696" s="2" t="inlineStr">
        <is>
          <t>LC/PC</t>
        </is>
      </c>
      <c r="I696" s="2" t="inlineStr">
        <is>
          <t>LC/PC</t>
        </is>
      </c>
      <c r="J696" s="2" t="n">
        <v>3</v>
      </c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>
        <v>10</v>
      </c>
      <c r="V696" s="2">
        <f>SUM(J696:U696)</f>
        <v/>
      </c>
      <c r="W696" s="2" t="n"/>
      <c r="X696" s="2" t="n">
        <v>26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>
        <v>26</v>
      </c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>
        <f>IF(F696=1,V696*2,IF(F696=2,V696*F696*2,IF(F696&gt;2,F696*2*V696)))</f>
        <v/>
      </c>
      <c r="AW696" s="2">
        <f>SUM(W696:AU696)</f>
        <v/>
      </c>
    </row>
    <row r="697">
      <c r="A697" s="2" t="inlineStr">
        <is>
          <t>A14-D3-N016</t>
        </is>
      </c>
      <c r="B697" s="3" t="inlineStr">
        <is>
          <t>DOJC-MM(OM3)-LC/PC-LC/PC</t>
        </is>
      </c>
      <c r="C697" s="2" t="inlineStr">
        <is>
          <t>25M</t>
        </is>
      </c>
      <c r="D697" s="2" t="inlineStr">
        <is>
          <t>om3</t>
        </is>
      </c>
      <c r="E697" s="2" t="inlineStr">
        <is>
          <t>2.0mm</t>
        </is>
      </c>
      <c r="F697" s="2" t="n">
        <v>2</v>
      </c>
      <c r="G697" s="2" t="n">
        <v>25</v>
      </c>
      <c r="H697" s="2" t="inlineStr">
        <is>
          <t>LC/PC</t>
        </is>
      </c>
      <c r="I697" s="2" t="inlineStr">
        <is>
          <t>LC/PC</t>
        </is>
      </c>
      <c r="J697" s="2" t="n"/>
      <c r="K697" s="2" t="n"/>
      <c r="L697" s="2" t="n">
        <v>3</v>
      </c>
      <c r="M697" s="2" t="n"/>
      <c r="N697" s="2" t="n"/>
      <c r="O697" s="2" t="n"/>
      <c r="P697" s="2" t="n"/>
      <c r="Q697" s="2" t="n"/>
      <c r="R697" s="2" t="n"/>
      <c r="S697" s="2" t="n"/>
      <c r="T697" s="2" t="n">
        <v>1</v>
      </c>
      <c r="U697" s="2" t="n"/>
      <c r="V697" s="2">
        <f>SUM(J697:U697)</f>
        <v/>
      </c>
      <c r="W697" s="2" t="n"/>
      <c r="X697" s="2" t="n">
        <v>8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>
        <v>8</v>
      </c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>
        <f>IF(F697=1,V697*2,IF(F697=2,V697*F697*2,IF(F697&gt;2,F697*2*V697)))</f>
        <v/>
      </c>
      <c r="AW697" s="2">
        <f>SUM(W697:AU697)</f>
        <v/>
      </c>
    </row>
    <row r="698">
      <c r="A698" s="2" t="inlineStr">
        <is>
          <t>A14-D3-N025</t>
        </is>
      </c>
      <c r="B698" s="3" t="inlineStr">
        <is>
          <t>DOJC-MM(OM3)-LC/PC-LC/PC</t>
        </is>
      </c>
      <c r="C698" s="2" t="inlineStr">
        <is>
          <t>5M</t>
        </is>
      </c>
      <c r="D698" s="2" t="inlineStr">
        <is>
          <t>om3</t>
        </is>
      </c>
      <c r="E698" s="2" t="inlineStr">
        <is>
          <t>2.0mm</t>
        </is>
      </c>
      <c r="F698" s="2" t="n">
        <v>2</v>
      </c>
      <c r="G698" s="2" t="n">
        <v>5</v>
      </c>
      <c r="H698" s="2" t="inlineStr">
        <is>
          <t>LC/PC</t>
        </is>
      </c>
      <c r="I698" s="2" t="inlineStr">
        <is>
          <t>LC/PC</t>
        </is>
      </c>
      <c r="J698" s="2" t="n">
        <v>4</v>
      </c>
      <c r="K698" s="2" t="n">
        <v>1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>
        <f>SUM(J698:U698)</f>
        <v/>
      </c>
      <c r="W698" s="2" t="n"/>
      <c r="X698" s="2" t="n">
        <v>10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>
        <v>10</v>
      </c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>
        <f>IF(F698=1,V698*2,IF(F698=2,V698*F698*2,IF(F698&gt;2,F698*2*V698)))</f>
        <v/>
      </c>
      <c r="AW698" s="2">
        <f>SUM(W698:AU698)</f>
        <v/>
      </c>
    </row>
    <row r="699">
      <c r="A699" s="2" t="inlineStr">
        <is>
          <t>A14-D3-N036</t>
        </is>
      </c>
      <c r="B699" s="3" t="inlineStr">
        <is>
          <t>DOJC-MM(OM3)-LC/PC-LC/PC</t>
        </is>
      </c>
      <c r="C699" s="2" t="inlineStr">
        <is>
          <t>11M</t>
        </is>
      </c>
      <c r="D699" s="2" t="inlineStr">
        <is>
          <t>om3</t>
        </is>
      </c>
      <c r="E699" s="2" t="inlineStr">
        <is>
          <t>2.0mm</t>
        </is>
      </c>
      <c r="F699" s="2" t="n">
        <v>2</v>
      </c>
      <c r="G699" s="2" t="n">
        <v>11</v>
      </c>
      <c r="H699" s="2" t="inlineStr">
        <is>
          <t>LC/PC</t>
        </is>
      </c>
      <c r="I699" s="2" t="inlineStr">
        <is>
          <t>LC/PC</t>
        </is>
      </c>
      <c r="J699" s="2" t="n"/>
      <c r="K699" s="2" t="n"/>
      <c r="L699" s="2" t="n"/>
      <c r="M699" s="2" t="n"/>
      <c r="N699" s="2" t="n"/>
      <c r="O699" s="2" t="n">
        <v>16</v>
      </c>
      <c r="P699" s="2" t="n"/>
      <c r="Q699" s="2" t="n"/>
      <c r="R699" s="2" t="n"/>
      <c r="S699" s="2" t="n"/>
      <c r="T699" s="2" t="n"/>
      <c r="U699" s="2" t="n"/>
      <c r="V699" s="2">
        <f>SUM(J699:U699)</f>
        <v/>
      </c>
      <c r="W699" s="2" t="n"/>
      <c r="X699" s="2" t="n">
        <v>32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>
        <v>32</v>
      </c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>
        <f>IF(F699=1,V699*2,IF(F699=2,V699*F699*2,IF(F699&gt;2,F699*2*V699)))</f>
        <v/>
      </c>
      <c r="AW699" s="2">
        <f>SUM(W699:AU699)</f>
        <v/>
      </c>
    </row>
    <row r="700">
      <c r="A700" s="2" t="inlineStr">
        <is>
          <t>A14-DA-N663</t>
        </is>
      </c>
      <c r="B700" s="3" t="inlineStr">
        <is>
          <t>DOJC-SM-LC/PC-LC/PC</t>
        </is>
      </c>
      <c r="C700" s="2" t="inlineStr">
        <is>
          <t>10M_적색케이블</t>
        </is>
      </c>
      <c r="D700" s="2" t="inlineStr">
        <is>
          <t>a1-적</t>
        </is>
      </c>
      <c r="E700" s="2" t="inlineStr">
        <is>
          <t>2.0mm</t>
        </is>
      </c>
      <c r="F700" s="2" t="n">
        <v>2</v>
      </c>
      <c r="G700" s="2" t="n">
        <v>10</v>
      </c>
      <c r="H700" s="2" t="inlineStr">
        <is>
          <t>LC/PC</t>
        </is>
      </c>
      <c r="I700" s="2" t="inlineStr">
        <is>
          <t>LC/PC</t>
        </is>
      </c>
      <c r="J700" s="2" t="n"/>
      <c r="K700" s="2" t="n">
        <v>20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>
        <f>SUM(J700:U700)</f>
        <v/>
      </c>
      <c r="W700" s="2" t="n">
        <v>40</v>
      </c>
      <c r="X700" s="2" t="n">
        <v>40</v>
      </c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>
        <f>IF(F700=1,V700*2,IF(F700=2,V700*F700*2,IF(F700&gt;2,F700*2*V700)))</f>
        <v/>
      </c>
      <c r="AW700" s="2">
        <f>SUM(W700:AU700)</f>
        <v/>
      </c>
    </row>
    <row r="701">
      <c r="A701" s="2" t="inlineStr">
        <is>
          <t>A14-DB-N110</t>
        </is>
      </c>
      <c r="B701" s="3" t="inlineStr">
        <is>
          <t>DOJC-SM-FC/APC-FC/APC</t>
        </is>
      </c>
      <c r="C701" s="2" t="inlineStr">
        <is>
          <t>908040667, 20M, B3, 2.0mm</t>
        </is>
      </c>
      <c r="D701" s="2" t="inlineStr">
        <is>
          <t>b3</t>
        </is>
      </c>
      <c r="E701" s="2" t="inlineStr">
        <is>
          <t>2.0mm</t>
        </is>
      </c>
      <c r="F701" s="2" t="n">
        <v>2</v>
      </c>
      <c r="G701" s="2" t="n">
        <v>20</v>
      </c>
      <c r="H701" s="2" t="inlineStr">
        <is>
          <t>FC/APC</t>
        </is>
      </c>
      <c r="I701" s="2" t="inlineStr">
        <is>
          <t>FC/APC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>
        <v>7</v>
      </c>
      <c r="T701" s="2" t="n">
        <v>10</v>
      </c>
      <c r="U701" s="2" t="n"/>
      <c r="V701" s="2">
        <f>SUM(J701:U701)</f>
        <v/>
      </c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>
        <v>34</v>
      </c>
      <c r="AH701" s="2" t="n">
        <v>34</v>
      </c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>
        <f>IF(F701=1,V701*2,IF(F701=2,V701*F701*2,IF(F701&gt;2,F701*2*V701)))</f>
        <v/>
      </c>
      <c r="AW701" s="2">
        <f>SUM(W701:AU701)</f>
        <v/>
      </c>
    </row>
    <row r="702">
      <c r="A702" s="2" t="inlineStr">
        <is>
          <t>A14-DB-N113</t>
        </is>
      </c>
      <c r="B702" s="3" t="inlineStr">
        <is>
          <t>DOJC-SM-FC/APC-FC/APC</t>
        </is>
      </c>
      <c r="C702" s="2" t="inlineStr">
        <is>
          <t>908040672, 25M, B3, 2.0mm</t>
        </is>
      </c>
      <c r="D702" s="2" t="inlineStr">
        <is>
          <t>b3</t>
        </is>
      </c>
      <c r="E702" s="2" t="inlineStr">
        <is>
          <t>2.0mm</t>
        </is>
      </c>
      <c r="F702" s="2" t="n">
        <v>2</v>
      </c>
      <c r="G702" s="2" t="n">
        <v>25</v>
      </c>
      <c r="H702" s="2" t="inlineStr">
        <is>
          <t>FC/APC</t>
        </is>
      </c>
      <c r="I702" s="2" t="inlineStr">
        <is>
          <t>FC/APC</t>
        </is>
      </c>
      <c r="J702" s="2" t="n"/>
      <c r="K702" s="2" t="n"/>
      <c r="L702" s="2" t="n">
        <v>10</v>
      </c>
      <c r="M702" s="2" t="n"/>
      <c r="N702" s="2" t="n"/>
      <c r="O702" s="2" t="n"/>
      <c r="P702" s="2" t="n">
        <v>20</v>
      </c>
      <c r="Q702" s="2" t="n"/>
      <c r="R702" s="2" t="n"/>
      <c r="S702" s="2" t="n"/>
      <c r="T702" s="2" t="n"/>
      <c r="U702" s="2" t="n"/>
      <c r="V702" s="2">
        <f>SUM(J702:U702)</f>
        <v/>
      </c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>
        <v>60</v>
      </c>
      <c r="AH702" s="2" t="n">
        <v>60</v>
      </c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>
        <f>IF(F702=1,V702*2,IF(F702=2,V702*F702*2,IF(F702&gt;2,F702*2*V702)))</f>
        <v/>
      </c>
      <c r="AW702" s="2">
        <f>SUM(W702:AU702)</f>
        <v/>
      </c>
    </row>
    <row r="703">
      <c r="A703" s="2" t="inlineStr">
        <is>
          <t>A14-DB-N115</t>
        </is>
      </c>
      <c r="B703" s="3" t="inlineStr">
        <is>
          <t>DOJC-SM-FC/APC-FC/APC</t>
        </is>
      </c>
      <c r="C703" s="2" t="inlineStr">
        <is>
          <t>908040677, 30M, B3, 2.0mm</t>
        </is>
      </c>
      <c r="D703" s="2" t="inlineStr">
        <is>
          <t>b3</t>
        </is>
      </c>
      <c r="E703" s="2" t="inlineStr">
        <is>
          <t>2.0mm</t>
        </is>
      </c>
      <c r="F703" s="2" t="n">
        <v>2</v>
      </c>
      <c r="G703" s="2" t="n">
        <v>30</v>
      </c>
      <c r="H703" s="2" t="inlineStr">
        <is>
          <t>FC/APC</t>
        </is>
      </c>
      <c r="I703" s="2" t="inlineStr">
        <is>
          <t>FC/APC</t>
        </is>
      </c>
      <c r="J703" s="2" t="n"/>
      <c r="K703" s="2" t="n"/>
      <c r="L703" s="2" t="n">
        <v>12</v>
      </c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>
        <f>SUM(J703:U703)</f>
        <v/>
      </c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>
        <v>24</v>
      </c>
      <c r="AH703" s="2" t="n">
        <v>24</v>
      </c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>
        <f>IF(F703=1,V703*2,IF(F703=2,V703*F703*2,IF(F703&gt;2,F703*2*V703)))</f>
        <v/>
      </c>
      <c r="AW703" s="2">
        <f>SUM(W703:AU703)</f>
        <v/>
      </c>
    </row>
    <row r="704">
      <c r="A704" s="2" t="inlineStr">
        <is>
          <t>A14-DB-N140</t>
        </is>
      </c>
      <c r="B704" s="3" t="inlineStr">
        <is>
          <t>DOJC-SM-FC/PC-FC/PC</t>
        </is>
      </c>
      <c r="C704" s="2" t="inlineStr">
        <is>
          <t>908040597, 10M, B3, 2.0mm</t>
        </is>
      </c>
      <c r="D704" s="2" t="inlineStr">
        <is>
          <t>b3</t>
        </is>
      </c>
      <c r="E704" s="2" t="inlineStr">
        <is>
          <t>2.0mm</t>
        </is>
      </c>
      <c r="F704" s="2" t="n">
        <v>2</v>
      </c>
      <c r="G704" s="2" t="n">
        <v>10</v>
      </c>
      <c r="H704" s="2" t="inlineStr">
        <is>
          <t>FC/PC</t>
        </is>
      </c>
      <c r="I704" s="2" t="inlineStr">
        <is>
          <t>FC/PC</t>
        </is>
      </c>
      <c r="J704" s="2" t="n"/>
      <c r="K704" s="2" t="n"/>
      <c r="L704" s="2" t="n">
        <v>30</v>
      </c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>
        <f>SUM(J704:U704)</f>
        <v/>
      </c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>
        <v>60</v>
      </c>
      <c r="AF704" s="2" t="n">
        <v>60</v>
      </c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>
        <f>IF(F704=1,V704*2,IF(F704=2,V704*F704*2,IF(F704&gt;2,F704*2*V704)))</f>
        <v/>
      </c>
      <c r="AW704" s="2">
        <f>SUM(W704:AU704)</f>
        <v/>
      </c>
    </row>
    <row r="705">
      <c r="A705" s="2" t="inlineStr">
        <is>
          <t>A14-DB-N158</t>
        </is>
      </c>
      <c r="B705" s="3" t="inlineStr">
        <is>
          <t>DOJC-SM-LC/PC-FC/APC</t>
        </is>
      </c>
      <c r="C705" s="2" t="inlineStr">
        <is>
          <t>12M, B3, 2.0mm</t>
        </is>
      </c>
      <c r="D705" s="2" t="inlineStr">
        <is>
          <t>b3</t>
        </is>
      </c>
      <c r="E705" s="2" t="inlineStr">
        <is>
          <t>2.0mm</t>
        </is>
      </c>
      <c r="F705" s="2" t="n">
        <v>2</v>
      </c>
      <c r="G705" s="2" t="n">
        <v>12</v>
      </c>
      <c r="H705" s="2" t="inlineStr">
        <is>
          <t>LC/PC</t>
        </is>
      </c>
      <c r="I705" s="2" t="inlineStr">
        <is>
          <t>FC/APC</t>
        </is>
      </c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>
        <v>3</v>
      </c>
      <c r="S705" s="2" t="n"/>
      <c r="T705" s="2" t="n"/>
      <c r="U705" s="2" t="n"/>
      <c r="V705" s="2">
        <f>SUM(J705:U705)</f>
        <v/>
      </c>
      <c r="W705" s="2" t="n">
        <v>6</v>
      </c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>
        <v>6</v>
      </c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>
        <f>IF(F705=1,V705*2,IF(F705=2,V705*F705*2,IF(F705&gt;2,F705*2*V705)))</f>
        <v/>
      </c>
      <c r="AW705" s="2">
        <f>SUM(W705:AU705)</f>
        <v/>
      </c>
    </row>
    <row r="706">
      <c r="A706" s="2" t="inlineStr">
        <is>
          <t>A14-DB-N164</t>
        </is>
      </c>
      <c r="B706" s="3" t="inlineStr">
        <is>
          <t>DOJC-SM-LC/PC-FC/APC</t>
        </is>
      </c>
      <c r="C706" s="2" t="inlineStr">
        <is>
          <t>18M, B3, 2.0mm</t>
        </is>
      </c>
      <c r="D706" s="2" t="inlineStr">
        <is>
          <t>b3</t>
        </is>
      </c>
      <c r="E706" s="2" t="inlineStr">
        <is>
          <t>2.0mm</t>
        </is>
      </c>
      <c r="F706" s="2" t="n">
        <v>2</v>
      </c>
      <c r="G706" s="2" t="n">
        <v>18</v>
      </c>
      <c r="H706" s="2" t="inlineStr">
        <is>
          <t>LC/PC</t>
        </is>
      </c>
      <c r="I706" s="2" t="inlineStr">
        <is>
          <t>FC/APC</t>
        </is>
      </c>
      <c r="J706" s="2" t="n"/>
      <c r="K706" s="2" t="n"/>
      <c r="L706" s="2" t="n"/>
      <c r="M706" s="2" t="n"/>
      <c r="N706" s="2" t="n">
        <v>12</v>
      </c>
      <c r="O706" s="2" t="n"/>
      <c r="P706" s="2" t="n"/>
      <c r="Q706" s="2" t="n"/>
      <c r="R706" s="2" t="n"/>
      <c r="S706" s="2" t="n"/>
      <c r="T706" s="2" t="n"/>
      <c r="U706" s="2" t="n"/>
      <c r="V706" s="2">
        <f>SUM(J706:U706)</f>
        <v/>
      </c>
      <c r="W706" s="2" t="n">
        <v>24</v>
      </c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>
        <v>24</v>
      </c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>
        <f>IF(F706=1,V706*2,IF(F706=2,V706*F706*2,IF(F706&gt;2,F706*2*V706)))</f>
        <v/>
      </c>
      <c r="AW706" s="2">
        <f>SUM(W706:AU706)</f>
        <v/>
      </c>
    </row>
    <row r="707">
      <c r="A707" s="2" t="inlineStr">
        <is>
          <t>A14-DB-N166</t>
        </is>
      </c>
      <c r="B707" s="3" t="inlineStr">
        <is>
          <t>DOJC-SM-LC/PC-FC/APC</t>
        </is>
      </c>
      <c r="C707" s="2" t="inlineStr">
        <is>
          <t>908040896, 20M, B3, 2.0mm</t>
        </is>
      </c>
      <c r="D707" s="2" t="inlineStr">
        <is>
          <t>b3</t>
        </is>
      </c>
      <c r="E707" s="2" t="inlineStr">
        <is>
          <t>2.0mm</t>
        </is>
      </c>
      <c r="F707" s="2" t="n">
        <v>2</v>
      </c>
      <c r="G707" s="2" t="n">
        <v>20</v>
      </c>
      <c r="H707" s="2" t="inlineStr">
        <is>
          <t>LC/PC</t>
        </is>
      </c>
      <c r="I707" s="2" t="inlineStr">
        <is>
          <t>FC/APC</t>
        </is>
      </c>
      <c r="J707" s="2" t="n"/>
      <c r="K707" s="2" t="n"/>
      <c r="L707" s="2" t="n"/>
      <c r="M707" s="2" t="n"/>
      <c r="N707" s="2" t="n"/>
      <c r="O707" s="2" t="n"/>
      <c r="P707" s="2" t="n">
        <v>15</v>
      </c>
      <c r="Q707" s="2" t="n"/>
      <c r="R707" s="2" t="n"/>
      <c r="S707" s="2" t="n"/>
      <c r="T707" s="2" t="n"/>
      <c r="U707" s="2" t="n"/>
      <c r="V707" s="2">
        <f>SUM(J707:U707)</f>
        <v/>
      </c>
      <c r="W707" s="2" t="n">
        <v>30</v>
      </c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>
        <v>30</v>
      </c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>
        <f>IF(F707=1,V707*2,IF(F707=2,V707*F707*2,IF(F707&gt;2,F707*2*V707)))</f>
        <v/>
      </c>
      <c r="AW707" s="2">
        <f>SUM(W707:AU707)</f>
        <v/>
      </c>
    </row>
    <row r="708">
      <c r="A708" s="2" t="inlineStr">
        <is>
          <t>A14-DB-N170</t>
        </is>
      </c>
      <c r="B708" s="3" t="inlineStr">
        <is>
          <t>DOJC-SM-LC/PC-FC/APC</t>
        </is>
      </c>
      <c r="C708" s="2" t="inlineStr">
        <is>
          <t>908040901, 25M, B3, 2.0mm</t>
        </is>
      </c>
      <c r="D708" s="2" t="inlineStr">
        <is>
          <t>b3</t>
        </is>
      </c>
      <c r="E708" s="2" t="inlineStr">
        <is>
          <t>2.0mm</t>
        </is>
      </c>
      <c r="F708" s="2" t="n">
        <v>2</v>
      </c>
      <c r="G708" s="2" t="n">
        <v>25</v>
      </c>
      <c r="H708" s="2" t="inlineStr">
        <is>
          <t>LC/PC</t>
        </is>
      </c>
      <c r="I708" s="2" t="inlineStr">
        <is>
          <t>FC/APC</t>
        </is>
      </c>
      <c r="J708" s="2" t="n"/>
      <c r="K708" s="2" t="n"/>
      <c r="L708" s="2" t="n"/>
      <c r="M708" s="2" t="n"/>
      <c r="N708" s="2" t="n"/>
      <c r="O708" s="2" t="n">
        <v>59</v>
      </c>
      <c r="P708" s="2" t="n">
        <v>40</v>
      </c>
      <c r="Q708" s="2" t="n"/>
      <c r="R708" s="2" t="n"/>
      <c r="S708" s="2" t="n"/>
      <c r="T708" s="2" t="n"/>
      <c r="U708" s="2" t="n"/>
      <c r="V708" s="2">
        <f>SUM(J708:U708)</f>
        <v/>
      </c>
      <c r="W708" s="2" t="n">
        <v>198</v>
      </c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>
        <v>198</v>
      </c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>
        <f>IF(F708=1,V708*2,IF(F708=2,V708*F708*2,IF(F708&gt;2,F708*2*V708)))</f>
        <v/>
      </c>
      <c r="AW708" s="2">
        <f>SUM(W708:AU708)</f>
        <v/>
      </c>
    </row>
    <row r="709">
      <c r="A709" s="2" t="inlineStr">
        <is>
          <t>A14-DB-N173</t>
        </is>
      </c>
      <c r="B709" s="3" t="inlineStr">
        <is>
          <t>DOJC-SM-LC/PC-FC/APC</t>
        </is>
      </c>
      <c r="C709" s="2" t="inlineStr">
        <is>
          <t>908040906, 30M, B3, 2.0mm</t>
        </is>
      </c>
      <c r="D709" s="2" t="inlineStr">
        <is>
          <t>b3</t>
        </is>
      </c>
      <c r="E709" s="2" t="inlineStr">
        <is>
          <t>2.0mm</t>
        </is>
      </c>
      <c r="F709" s="2" t="n">
        <v>2</v>
      </c>
      <c r="G709" s="2" t="n">
        <v>30</v>
      </c>
      <c r="H709" s="2" t="inlineStr">
        <is>
          <t>LC/PC</t>
        </is>
      </c>
      <c r="I709" s="2" t="inlineStr">
        <is>
          <t>FC/APC</t>
        </is>
      </c>
      <c r="J709" s="2" t="n"/>
      <c r="K709" s="2" t="n"/>
      <c r="L709" s="2" t="n"/>
      <c r="M709" s="2" t="n"/>
      <c r="N709" s="2" t="n">
        <v>5</v>
      </c>
      <c r="O709" s="2" t="n">
        <v>5</v>
      </c>
      <c r="P709" s="2" t="n">
        <v>2</v>
      </c>
      <c r="Q709" s="2" t="n"/>
      <c r="R709" s="2" t="n"/>
      <c r="S709" s="2" t="n"/>
      <c r="T709" s="2" t="n"/>
      <c r="U709" s="2" t="n"/>
      <c r="V709" s="2">
        <f>SUM(J709:U709)</f>
        <v/>
      </c>
      <c r="W709" s="2" t="n">
        <v>24</v>
      </c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>
        <v>24</v>
      </c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>
        <f>IF(F709=1,V709*2,IF(F709=2,V709*F709*2,IF(F709&gt;2,F709*2*V709)))</f>
        <v/>
      </c>
      <c r="AW709" s="2">
        <f>SUM(W709:AU709)</f>
        <v/>
      </c>
    </row>
    <row r="710">
      <c r="A710" s="2" t="inlineStr">
        <is>
          <t>A14-DB-N174</t>
        </is>
      </c>
      <c r="B710" s="3" t="inlineStr">
        <is>
          <t>DOJC-SM-LC/PC-FC/APC</t>
        </is>
      </c>
      <c r="C710" s="2" t="inlineStr">
        <is>
          <t>35M, B3, 2.0mm</t>
        </is>
      </c>
      <c r="D710" s="2" t="inlineStr">
        <is>
          <t>b3</t>
        </is>
      </c>
      <c r="E710" s="2" t="inlineStr">
        <is>
          <t>2.0mm</t>
        </is>
      </c>
      <c r="F710" s="2" t="n">
        <v>2</v>
      </c>
      <c r="G710" s="2" t="n">
        <v>35</v>
      </c>
      <c r="H710" s="2" t="inlineStr">
        <is>
          <t>LC/PC</t>
        </is>
      </c>
      <c r="I710" s="2" t="inlineStr">
        <is>
          <t>FC/APC</t>
        </is>
      </c>
      <c r="J710" s="2" t="n"/>
      <c r="K710" s="2" t="n"/>
      <c r="L710" s="2" t="n"/>
      <c r="M710" s="2" t="n">
        <v>10</v>
      </c>
      <c r="N710" s="2" t="n"/>
      <c r="O710" s="2" t="n">
        <v>8</v>
      </c>
      <c r="P710" s="2" t="n"/>
      <c r="Q710" s="2" t="n"/>
      <c r="R710" s="2" t="n"/>
      <c r="S710" s="2" t="n">
        <v>15</v>
      </c>
      <c r="T710" s="2" t="n"/>
      <c r="U710" s="2" t="n"/>
      <c r="V710" s="2">
        <f>SUM(J710:U710)</f>
        <v/>
      </c>
      <c r="W710" s="2" t="n">
        <v>66</v>
      </c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>
        <v>66</v>
      </c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>
        <f>IF(F710=1,V710*2,IF(F710=2,V710*F710*2,IF(F710&gt;2,F710*2*V710)))</f>
        <v/>
      </c>
      <c r="AW710" s="2">
        <f>SUM(W710:AU710)</f>
        <v/>
      </c>
    </row>
    <row r="711">
      <c r="A711" s="2" t="inlineStr">
        <is>
          <t>A14-DB-N175</t>
        </is>
      </c>
      <c r="B711" s="3" t="inlineStr">
        <is>
          <t>DOJC-SM-LC/PC-FC/APC</t>
        </is>
      </c>
      <c r="C711" s="2" t="inlineStr">
        <is>
          <t>908040523, 3M, B3, 3.0mm</t>
        </is>
      </c>
      <c r="D711" s="2" t="inlineStr">
        <is>
          <t>b3</t>
        </is>
      </c>
      <c r="E711" s="2" t="inlineStr">
        <is>
          <t>3.0mm</t>
        </is>
      </c>
      <c r="F711" s="2" t="n">
        <v>2</v>
      </c>
      <c r="G711" s="2" t="n">
        <v>3</v>
      </c>
      <c r="H711" s="2" t="inlineStr">
        <is>
          <t>LC/PC</t>
        </is>
      </c>
      <c r="I711" s="2" t="inlineStr">
        <is>
          <t>FC/APC</t>
        </is>
      </c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>
        <v>25</v>
      </c>
      <c r="S711" s="2" t="n">
        <v>10</v>
      </c>
      <c r="T711" s="2" t="n"/>
      <c r="U711" s="2" t="n"/>
      <c r="V711" s="2">
        <f>SUM(J711:U711)</f>
        <v/>
      </c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>
        <v>70</v>
      </c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>
        <v>70</v>
      </c>
      <c r="AV711" s="2">
        <f>IF(F711=1,V711*2,IF(F711=2,V711*F711*2,IF(F711&gt;2,F711*2*V711)))</f>
        <v/>
      </c>
      <c r="AW711" s="2">
        <f>SUM(W711:AU711)</f>
        <v/>
      </c>
    </row>
    <row r="712">
      <c r="A712" s="2" t="inlineStr">
        <is>
          <t>A14-DB-N176</t>
        </is>
      </c>
      <c r="B712" s="3" t="inlineStr">
        <is>
          <t>DOJC-SM-LC/PC-FC/APC</t>
        </is>
      </c>
      <c r="C712" s="2" t="inlineStr">
        <is>
          <t>40M, B3, 2.0mm</t>
        </is>
      </c>
      <c r="D712" s="2" t="inlineStr">
        <is>
          <t>b3</t>
        </is>
      </c>
      <c r="E712" s="2" t="inlineStr">
        <is>
          <t>2.0mm</t>
        </is>
      </c>
      <c r="F712" s="2" t="n">
        <v>2</v>
      </c>
      <c r="G712" s="2" t="n">
        <v>40</v>
      </c>
      <c r="H712" s="2" t="inlineStr">
        <is>
          <t>LC/PC</t>
        </is>
      </c>
      <c r="I712" s="2" t="inlineStr">
        <is>
          <t>FC/APC</t>
        </is>
      </c>
      <c r="J712" s="2" t="n">
        <v>30</v>
      </c>
      <c r="K712" s="2" t="n"/>
      <c r="L712" s="2" t="n">
        <v>5</v>
      </c>
      <c r="M712" s="2" t="n"/>
      <c r="N712" s="2" t="n">
        <v>10</v>
      </c>
      <c r="O712" s="2" t="n"/>
      <c r="P712" s="2" t="n"/>
      <c r="Q712" s="2" t="n"/>
      <c r="R712" s="2" t="n">
        <v>10</v>
      </c>
      <c r="S712" s="2" t="n"/>
      <c r="T712" s="2" t="n"/>
      <c r="U712" s="2" t="n"/>
      <c r="V712" s="2">
        <f>SUM(J712:U712)</f>
        <v/>
      </c>
      <c r="W712" s="2" t="n">
        <v>110</v>
      </c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>
        <v>110</v>
      </c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>
        <f>IF(F712=1,V712*2,IF(F712=2,V712*F712*2,IF(F712&gt;2,F712*2*V712)))</f>
        <v/>
      </c>
      <c r="AW712" s="2">
        <f>SUM(W712:AU712)</f>
        <v/>
      </c>
    </row>
    <row r="713">
      <c r="A713" s="2" t="inlineStr">
        <is>
          <t>A14-DB-N177</t>
        </is>
      </c>
      <c r="B713" s="3" t="inlineStr">
        <is>
          <t>DOJC-SM-LC/PC-FC/APC</t>
        </is>
      </c>
      <c r="C713" s="2" t="inlineStr">
        <is>
          <t>45M, B3, 2.0mm</t>
        </is>
      </c>
      <c r="D713" s="2" t="inlineStr">
        <is>
          <t>b3</t>
        </is>
      </c>
      <c r="E713" s="2" t="inlineStr">
        <is>
          <t>2.0mm</t>
        </is>
      </c>
      <c r="F713" s="2" t="n">
        <v>2</v>
      </c>
      <c r="G713" s="2" t="n">
        <v>45</v>
      </c>
      <c r="H713" s="2" t="inlineStr">
        <is>
          <t>LC/PC</t>
        </is>
      </c>
      <c r="I713" s="2" t="inlineStr">
        <is>
          <t>FC/APC</t>
        </is>
      </c>
      <c r="J713" s="2" t="n"/>
      <c r="K713" s="2" t="n"/>
      <c r="L713" s="2" t="n"/>
      <c r="M713" s="2" t="n"/>
      <c r="N713" s="2" t="n">
        <v>6</v>
      </c>
      <c r="O713" s="2" t="n">
        <v>5</v>
      </c>
      <c r="P713" s="2" t="n">
        <v>10</v>
      </c>
      <c r="Q713" s="2" t="n"/>
      <c r="R713" s="2" t="n"/>
      <c r="S713" s="2" t="n"/>
      <c r="T713" s="2" t="n"/>
      <c r="U713" s="2" t="n">
        <v>2</v>
      </c>
      <c r="V713" s="2">
        <f>SUM(J713:U713)</f>
        <v/>
      </c>
      <c r="W713" s="2" t="n">
        <v>46</v>
      </c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>
        <v>46</v>
      </c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>
        <f>IF(F713=1,V713*2,IF(F713=2,V713*F713*2,IF(F713&gt;2,F713*2*V713)))</f>
        <v/>
      </c>
      <c r="AW713" s="2">
        <f>SUM(W713:AU713)</f>
        <v/>
      </c>
    </row>
    <row r="714">
      <c r="A714" s="2" t="inlineStr">
        <is>
          <t>A14-DB-N179</t>
        </is>
      </c>
      <c r="B714" s="3" t="inlineStr">
        <is>
          <t>DOJC-SM-LC/PC-FC/APC</t>
        </is>
      </c>
      <c r="C714" s="2" t="inlineStr">
        <is>
          <t>50M, B3, 2.0mm</t>
        </is>
      </c>
      <c r="D714" s="2" t="inlineStr">
        <is>
          <t>b3</t>
        </is>
      </c>
      <c r="E714" s="2" t="inlineStr">
        <is>
          <t>2.0mm</t>
        </is>
      </c>
      <c r="F714" s="2" t="n">
        <v>2</v>
      </c>
      <c r="G714" s="2" t="n">
        <v>50</v>
      </c>
      <c r="H714" s="2" t="inlineStr">
        <is>
          <t>LC/PC</t>
        </is>
      </c>
      <c r="I714" s="2" t="inlineStr">
        <is>
          <t>FC/APC</t>
        </is>
      </c>
      <c r="J714" s="2" t="n">
        <v>3</v>
      </c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>
        <f>SUM(J714:U714)</f>
        <v/>
      </c>
      <c r="W714" s="2" t="n">
        <v>6</v>
      </c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>
        <v>6</v>
      </c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>
        <f>IF(F714=1,V714*2,IF(F714=2,V714*F714*2,IF(F714&gt;2,F714*2*V714)))</f>
        <v/>
      </c>
      <c r="AW714" s="2">
        <f>SUM(W714:AU714)</f>
        <v/>
      </c>
    </row>
    <row r="715">
      <c r="A715" s="2" t="inlineStr">
        <is>
          <t>A14-DB-N180</t>
        </is>
      </c>
      <c r="B715" s="3" t="inlineStr">
        <is>
          <t>DOJC-SM-LC/PC-FC/APC</t>
        </is>
      </c>
      <c r="C715" s="2" t="inlineStr">
        <is>
          <t>55M, B3, 2.0mm</t>
        </is>
      </c>
      <c r="D715" s="2" t="inlineStr">
        <is>
          <t>b3</t>
        </is>
      </c>
      <c r="E715" s="2" t="inlineStr">
        <is>
          <t>2.0mm</t>
        </is>
      </c>
      <c r="F715" s="2" t="n">
        <v>2</v>
      </c>
      <c r="G715" s="2" t="n">
        <v>55</v>
      </c>
      <c r="H715" s="2" t="inlineStr">
        <is>
          <t>LC/PC</t>
        </is>
      </c>
      <c r="I715" s="2" t="inlineStr">
        <is>
          <t>FC/APC</t>
        </is>
      </c>
      <c r="J715" s="2" t="n">
        <v>2</v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>
        <f>SUM(J715:U715)</f>
        <v/>
      </c>
      <c r="W715" s="2" t="n">
        <v>4</v>
      </c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>
        <v>4</v>
      </c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>
        <f>IF(F715=1,V715*2,IF(F715=2,V715*F715*2,IF(F715&gt;2,F715*2*V715)))</f>
        <v/>
      </c>
      <c r="AW715" s="2">
        <f>SUM(W715:AU715)</f>
        <v/>
      </c>
    </row>
    <row r="716">
      <c r="A716" s="2" t="inlineStr">
        <is>
          <t>A14-DB-N187</t>
        </is>
      </c>
      <c r="B716" s="3" t="inlineStr">
        <is>
          <t>DOJC-SM-LC/PC-FC/APC</t>
        </is>
      </c>
      <c r="C716" s="2" t="inlineStr">
        <is>
          <t>908040529, 7M, B3, 2.0mm</t>
        </is>
      </c>
      <c r="D716" s="2" t="inlineStr">
        <is>
          <t>b3</t>
        </is>
      </c>
      <c r="E716" s="2" t="inlineStr">
        <is>
          <t>2.0mm</t>
        </is>
      </c>
      <c r="F716" s="2" t="n">
        <v>2</v>
      </c>
      <c r="G716" s="2" t="n">
        <v>7</v>
      </c>
      <c r="H716" s="2" t="inlineStr">
        <is>
          <t>LC/PC</t>
        </is>
      </c>
      <c r="I716" s="2" t="inlineStr">
        <is>
          <t>FC/APC</t>
        </is>
      </c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>
        <v>10</v>
      </c>
      <c r="S716" s="2" t="n"/>
      <c r="T716" s="2" t="n"/>
      <c r="U716" s="2" t="n"/>
      <c r="V716" s="2">
        <f>SUM(J716:U716)</f>
        <v/>
      </c>
      <c r="W716" s="2" t="n">
        <v>20</v>
      </c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>
        <v>20</v>
      </c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>
        <f>IF(F716=1,V716*2,IF(F716=2,V716*F716*2,IF(F716&gt;2,F716*2*V716)))</f>
        <v/>
      </c>
      <c r="AW716" s="2">
        <f>SUM(W716:AU716)</f>
        <v/>
      </c>
    </row>
    <row r="717">
      <c r="A717" s="2" t="inlineStr">
        <is>
          <t>A14-DB-N196</t>
        </is>
      </c>
      <c r="B717" s="3" t="inlineStr">
        <is>
          <t>DOJC-SM-LC/PC-FC/PC</t>
        </is>
      </c>
      <c r="C717" s="2" t="inlineStr">
        <is>
          <t>908040727, 15M, B3, 2.0mm</t>
        </is>
      </c>
      <c r="D717" s="2" t="inlineStr">
        <is>
          <t>b3</t>
        </is>
      </c>
      <c r="E717" s="2" t="inlineStr">
        <is>
          <t>2.0mm</t>
        </is>
      </c>
      <c r="F717" s="2" t="n">
        <v>2</v>
      </c>
      <c r="G717" s="2" t="n">
        <v>15</v>
      </c>
      <c r="H717" s="2" t="inlineStr">
        <is>
          <t>LC/PC</t>
        </is>
      </c>
      <c r="I717" s="2" t="inlineStr">
        <is>
          <t>FC/PC</t>
        </is>
      </c>
      <c r="J717" s="2" t="n">
        <v>24</v>
      </c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>
        <f>SUM(J717:U717)</f>
        <v/>
      </c>
      <c r="W717" s="2" t="n">
        <v>48</v>
      </c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>
        <v>48</v>
      </c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>
        <f>IF(F717=1,V717*2,IF(F717=2,V717*F717*2,IF(F717&gt;2,F717*2*V717)))</f>
        <v/>
      </c>
      <c r="AW717" s="2">
        <f>SUM(W717:AU717)</f>
        <v/>
      </c>
    </row>
    <row r="718">
      <c r="A718" s="2" t="inlineStr">
        <is>
          <t>A14-DB-N199</t>
        </is>
      </c>
      <c r="B718" s="3" t="inlineStr">
        <is>
          <t>DOJC-SM-LC/PC-FC/PC</t>
        </is>
      </c>
      <c r="C718" s="2" t="inlineStr">
        <is>
          <t>908040732, 20M, B3, 2.0mm</t>
        </is>
      </c>
      <c r="D718" s="2" t="inlineStr">
        <is>
          <t>b3</t>
        </is>
      </c>
      <c r="E718" s="2" t="inlineStr">
        <is>
          <t>2.0mm</t>
        </is>
      </c>
      <c r="F718" s="2" t="n">
        <v>2</v>
      </c>
      <c r="G718" s="2" t="n">
        <v>20</v>
      </c>
      <c r="H718" s="2" t="inlineStr">
        <is>
          <t>LC/PC</t>
        </is>
      </c>
      <c r="I718" s="2" t="inlineStr">
        <is>
          <t>FC/PC</t>
        </is>
      </c>
      <c r="J718" s="2" t="n"/>
      <c r="K718" s="2" t="n"/>
      <c r="L718" s="2" t="n"/>
      <c r="M718" s="2" t="n"/>
      <c r="N718" s="2" t="n"/>
      <c r="O718" s="2" t="n"/>
      <c r="P718" s="2" t="n">
        <v>6</v>
      </c>
      <c r="Q718" s="2" t="n">
        <v>5</v>
      </c>
      <c r="R718" s="2" t="n"/>
      <c r="S718" s="2" t="n"/>
      <c r="T718" s="2" t="n"/>
      <c r="U718" s="2" t="n"/>
      <c r="V718" s="2">
        <f>SUM(J718:U718)</f>
        <v/>
      </c>
      <c r="W718" s="2" t="n">
        <v>22</v>
      </c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>
        <v>22</v>
      </c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>
        <f>IF(F718=1,V718*2,IF(F718=2,V718*F718*2,IF(F718&gt;2,F718*2*V718)))</f>
        <v/>
      </c>
      <c r="AW718" s="2">
        <f>SUM(W718:AU718)</f>
        <v/>
      </c>
    </row>
    <row r="719">
      <c r="A719" s="2" t="inlineStr">
        <is>
          <t>A14-DB-N202</t>
        </is>
      </c>
      <c r="B719" s="3" t="inlineStr">
        <is>
          <t>DOJC-SM-LC/PC-FC/PC</t>
        </is>
      </c>
      <c r="C719" s="2" t="inlineStr">
        <is>
          <t>908040853, 25M, B3, 2.0mm</t>
        </is>
      </c>
      <c r="D719" s="2" t="inlineStr">
        <is>
          <t>b3</t>
        </is>
      </c>
      <c r="E719" s="2" t="inlineStr">
        <is>
          <t>2.0mm</t>
        </is>
      </c>
      <c r="F719" s="2" t="n">
        <v>2</v>
      </c>
      <c r="G719" s="2" t="n">
        <v>25</v>
      </c>
      <c r="H719" s="2" t="inlineStr">
        <is>
          <t>LC/PC</t>
        </is>
      </c>
      <c r="I719" s="2" t="inlineStr">
        <is>
          <t>FC/PC</t>
        </is>
      </c>
      <c r="J719" s="2" t="n"/>
      <c r="K719" s="2" t="n"/>
      <c r="L719" s="2" t="n"/>
      <c r="M719" s="2" t="n"/>
      <c r="N719" s="2" t="n"/>
      <c r="O719" s="2" t="n"/>
      <c r="P719" s="2" t="n">
        <v>10</v>
      </c>
      <c r="Q719" s="2" t="n"/>
      <c r="R719" s="2" t="n"/>
      <c r="S719" s="2" t="n"/>
      <c r="T719" s="2" t="n"/>
      <c r="U719" s="2" t="n"/>
      <c r="V719" s="2">
        <f>SUM(J719:U719)</f>
        <v/>
      </c>
      <c r="W719" s="2" t="n">
        <v>20</v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>
        <v>20</v>
      </c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>
        <f>IF(F719=1,V719*2,IF(F719=2,V719*F719*2,IF(F719&gt;2,F719*2*V719)))</f>
        <v/>
      </c>
      <c r="AW719" s="2">
        <f>SUM(W719:AU719)</f>
        <v/>
      </c>
    </row>
    <row r="720">
      <c r="A720" s="2" t="inlineStr">
        <is>
          <t>A14-DB-N205</t>
        </is>
      </c>
      <c r="B720" s="3" t="inlineStr">
        <is>
          <t>DOJC-SM-LC/PC-FC/PC</t>
        </is>
      </c>
      <c r="C720" s="2" t="inlineStr">
        <is>
          <t>908040858, 30M, B3, 2.0mm</t>
        </is>
      </c>
      <c r="D720" s="2" t="inlineStr">
        <is>
          <t>b3</t>
        </is>
      </c>
      <c r="E720" s="2" t="inlineStr">
        <is>
          <t>2.0mm</t>
        </is>
      </c>
      <c r="F720" s="2" t="n">
        <v>2</v>
      </c>
      <c r="G720" s="2" t="n">
        <v>30</v>
      </c>
      <c r="H720" s="2" t="inlineStr">
        <is>
          <t>LC/PC</t>
        </is>
      </c>
      <c r="I720" s="2" t="inlineStr">
        <is>
          <t>FC/PC</t>
        </is>
      </c>
      <c r="J720" s="2" t="n">
        <v>1</v>
      </c>
      <c r="K720" s="2" t="n"/>
      <c r="L720" s="2" t="n">
        <v>33</v>
      </c>
      <c r="M720" s="2" t="n"/>
      <c r="N720" s="2" t="n"/>
      <c r="O720" s="2" t="n"/>
      <c r="P720" s="2" t="n"/>
      <c r="Q720" s="2" t="n"/>
      <c r="R720" s="2" t="n"/>
      <c r="S720" s="2" t="n">
        <v>12</v>
      </c>
      <c r="T720" s="2" t="n"/>
      <c r="U720" s="2" t="n">
        <v>3</v>
      </c>
      <c r="V720" s="2">
        <f>SUM(J720:U720)</f>
        <v/>
      </c>
      <c r="W720" s="2" t="n">
        <v>98</v>
      </c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>
        <v>98</v>
      </c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>
        <f>IF(F720=1,V720*2,IF(F720=2,V720*F720*2,IF(F720&gt;2,F720*2*V720)))</f>
        <v/>
      </c>
      <c r="AW720" s="2">
        <f>SUM(W720:AU720)</f>
        <v/>
      </c>
    </row>
    <row r="721">
      <c r="A721" s="2" t="inlineStr">
        <is>
          <t>A14-DB-N206</t>
        </is>
      </c>
      <c r="B721" s="3" t="inlineStr">
        <is>
          <t>DOJC-SM-LC/PC-FC/PC</t>
        </is>
      </c>
      <c r="C721" s="2" t="inlineStr">
        <is>
          <t>35M, B3, 2.0mm</t>
        </is>
      </c>
      <c r="D721" s="2" t="inlineStr">
        <is>
          <t>b3</t>
        </is>
      </c>
      <c r="E721" s="2" t="inlineStr">
        <is>
          <t>2.0mm</t>
        </is>
      </c>
      <c r="F721" s="2" t="n">
        <v>2</v>
      </c>
      <c r="G721" s="2" t="n">
        <v>35</v>
      </c>
      <c r="H721" s="2" t="inlineStr">
        <is>
          <t>LC/PC</t>
        </is>
      </c>
      <c r="I721" s="2" t="inlineStr">
        <is>
          <t>FC/PC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>
        <v>15</v>
      </c>
      <c r="T721" s="2" t="n"/>
      <c r="U721" s="2" t="n"/>
      <c r="V721" s="2">
        <f>SUM(J721:U721)</f>
        <v/>
      </c>
      <c r="W721" s="2" t="n">
        <v>30</v>
      </c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>
        <v>30</v>
      </c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>
        <f>IF(F721=1,V721*2,IF(F721=2,V721*F721*2,IF(F721&gt;2,F721*2*V721)))</f>
        <v/>
      </c>
      <c r="AW721" s="2">
        <f>SUM(W721:AU721)</f>
        <v/>
      </c>
    </row>
    <row r="722">
      <c r="A722" s="2" t="inlineStr">
        <is>
          <t>A14-DB-N208</t>
        </is>
      </c>
      <c r="B722" s="3" t="inlineStr">
        <is>
          <t>DOJC-SM-LC/PC-FC/PC</t>
        </is>
      </c>
      <c r="C722" s="2" t="inlineStr">
        <is>
          <t>40M, B3, 2.0mm</t>
        </is>
      </c>
      <c r="D722" s="2" t="inlineStr">
        <is>
          <t>b3</t>
        </is>
      </c>
      <c r="E722" s="2" t="inlineStr">
        <is>
          <t>2.0mm</t>
        </is>
      </c>
      <c r="F722" s="2" t="n">
        <v>2</v>
      </c>
      <c r="G722" s="2" t="n">
        <v>40</v>
      </c>
      <c r="H722" s="2" t="inlineStr">
        <is>
          <t>LC/PC</t>
        </is>
      </c>
      <c r="I722" s="2" t="inlineStr">
        <is>
          <t>FC/PC</t>
        </is>
      </c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>
        <v>22</v>
      </c>
      <c r="T722" s="2" t="n"/>
      <c r="U722" s="2" t="n">
        <v>5</v>
      </c>
      <c r="V722" s="2">
        <f>SUM(J722:U722)</f>
        <v/>
      </c>
      <c r="W722" s="2" t="n">
        <v>54</v>
      </c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>
        <v>54</v>
      </c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>
        <f>IF(F722=1,V722*2,IF(F722=2,V722*F722*2,IF(F722&gt;2,F722*2*V722)))</f>
        <v/>
      </c>
      <c r="AW722" s="2">
        <f>SUM(W722:AU722)</f>
        <v/>
      </c>
    </row>
    <row r="723">
      <c r="A723" s="2" t="inlineStr">
        <is>
          <t>A14-DB-N223</t>
        </is>
      </c>
      <c r="B723" s="3" t="inlineStr">
        <is>
          <t>DOJC-SM-LC/PC-LC/PC</t>
        </is>
      </c>
      <c r="C723" s="2" t="inlineStr">
        <is>
          <t>908041006, 10M, B3, 2.0mm</t>
        </is>
      </c>
      <c r="D723" s="2" t="inlineStr">
        <is>
          <t>b3</t>
        </is>
      </c>
      <c r="E723" s="2" t="inlineStr">
        <is>
          <t>2.0mm</t>
        </is>
      </c>
      <c r="F723" s="2" t="n">
        <v>2</v>
      </c>
      <c r="G723" s="2" t="n">
        <v>10</v>
      </c>
      <c r="H723" s="2" t="inlineStr">
        <is>
          <t>LC/PC</t>
        </is>
      </c>
      <c r="I723" s="2" t="inlineStr">
        <is>
          <t>LC/PC</t>
        </is>
      </c>
      <c r="J723" s="2" t="n">
        <v>500</v>
      </c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>
        <f>SUM(J723:U723)</f>
        <v/>
      </c>
      <c r="W723" s="2" t="n">
        <v>1000</v>
      </c>
      <c r="X723" s="2" t="n">
        <v>1000</v>
      </c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>
        <f>IF(F723=1,V723*2,IF(F723=2,V723*F723*2,IF(F723&gt;2,F723*2*V723)))</f>
        <v/>
      </c>
      <c r="AW723" s="2">
        <f>SUM(W723:AU723)</f>
        <v/>
      </c>
    </row>
    <row r="724">
      <c r="A724" s="2" t="inlineStr">
        <is>
          <t>A14-DB-N225</t>
        </is>
      </c>
      <c r="B724" s="3" t="inlineStr">
        <is>
          <t>DOJC-SM-LC/PC-LC/PC</t>
        </is>
      </c>
      <c r="C724" s="2" t="inlineStr">
        <is>
          <t>908040694, 12M, B3, 2.0mm</t>
        </is>
      </c>
      <c r="D724" s="2" t="inlineStr">
        <is>
          <t>b3</t>
        </is>
      </c>
      <c r="E724" s="2" t="inlineStr">
        <is>
          <t>2.0mm</t>
        </is>
      </c>
      <c r="F724" s="2" t="n">
        <v>2</v>
      </c>
      <c r="G724" s="2" t="n">
        <v>12</v>
      </c>
      <c r="H724" s="2" t="inlineStr">
        <is>
          <t>LC/PC</t>
        </is>
      </c>
      <c r="I724" s="2" t="inlineStr">
        <is>
          <t>LC/PC</t>
        </is>
      </c>
      <c r="J724" s="2" t="n">
        <v>27</v>
      </c>
      <c r="K724" s="2" t="n">
        <v>160</v>
      </c>
      <c r="L724" s="2" t="n">
        <v>55</v>
      </c>
      <c r="M724" s="2" t="n"/>
      <c r="N724" s="2" t="n"/>
      <c r="O724" s="2" t="n"/>
      <c r="P724" s="2" t="n"/>
      <c r="Q724" s="2" t="n">
        <v>334</v>
      </c>
      <c r="R724" s="2" t="n">
        <v>32</v>
      </c>
      <c r="S724" s="2" t="n"/>
      <c r="T724" s="2" t="n">
        <v>20</v>
      </c>
      <c r="U724" s="2" t="n">
        <v>10</v>
      </c>
      <c r="V724" s="2">
        <f>SUM(J724:U724)</f>
        <v/>
      </c>
      <c r="W724" s="2" t="n">
        <v>1276</v>
      </c>
      <c r="X724" s="2" t="n">
        <v>1276</v>
      </c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>
        <f>IF(F724=1,V724*2,IF(F724=2,V724*F724*2,IF(F724&gt;2,F724*2*V724)))</f>
        <v/>
      </c>
      <c r="AW724" s="2">
        <f>SUM(W724:AU724)</f>
        <v/>
      </c>
    </row>
    <row r="725">
      <c r="A725" s="2" t="inlineStr">
        <is>
          <t>A14-DB-N226</t>
        </is>
      </c>
      <c r="B725" s="3" t="inlineStr">
        <is>
          <t>DOJC-SM-LC/PC-LC/PC</t>
        </is>
      </c>
      <c r="C725" s="2" t="inlineStr">
        <is>
          <t>908040695, 13M, B3, 2.0mm</t>
        </is>
      </c>
      <c r="D725" s="2" t="inlineStr">
        <is>
          <t>b3</t>
        </is>
      </c>
      <c r="E725" s="2" t="inlineStr">
        <is>
          <t>2.0mm</t>
        </is>
      </c>
      <c r="F725" s="2" t="n">
        <v>2</v>
      </c>
      <c r="G725" s="2" t="n">
        <v>13</v>
      </c>
      <c r="H725" s="2" t="inlineStr">
        <is>
          <t>LC/PC</t>
        </is>
      </c>
      <c r="I725" s="2" t="inlineStr">
        <is>
          <t>LC/PC</t>
        </is>
      </c>
      <c r="J725" s="2" t="n">
        <v>600</v>
      </c>
      <c r="K725" s="2" t="n"/>
      <c r="L725" s="2" t="n"/>
      <c r="M725" s="2" t="n">
        <v>23</v>
      </c>
      <c r="N725" s="2" t="n"/>
      <c r="O725" s="2" t="n"/>
      <c r="P725" s="2" t="n"/>
      <c r="Q725" s="2" t="n"/>
      <c r="R725" s="2" t="n"/>
      <c r="S725" s="2" t="n">
        <v>30</v>
      </c>
      <c r="T725" s="2" t="n"/>
      <c r="U725" s="2" t="n"/>
      <c r="V725" s="2">
        <f>SUM(J725:U725)</f>
        <v/>
      </c>
      <c r="W725" s="2" t="n">
        <v>1306</v>
      </c>
      <c r="X725" s="2" t="n">
        <v>1306</v>
      </c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>
        <f>IF(F725=1,V725*2,IF(F725=2,V725*F725*2,IF(F725&gt;2,F725*2*V725)))</f>
        <v/>
      </c>
      <c r="AW725" s="2">
        <f>SUM(W725:AU725)</f>
        <v/>
      </c>
    </row>
    <row r="726">
      <c r="A726" s="2" t="inlineStr">
        <is>
          <t>A14-DB-N228</t>
        </is>
      </c>
      <c r="B726" s="3" t="inlineStr">
        <is>
          <t>DOJC-SM-LC/PC-LC/PC</t>
        </is>
      </c>
      <c r="C726" s="2" t="inlineStr">
        <is>
          <t>908040697, 15M, B3, 2.0mm</t>
        </is>
      </c>
      <c r="D726" s="2" t="inlineStr">
        <is>
          <t>b3</t>
        </is>
      </c>
      <c r="E726" s="2" t="inlineStr">
        <is>
          <t>2.0mm</t>
        </is>
      </c>
      <c r="F726" s="2" t="n">
        <v>2</v>
      </c>
      <c r="G726" s="2" t="n">
        <v>15</v>
      </c>
      <c r="H726" s="2" t="inlineStr">
        <is>
          <t>LC/PC</t>
        </is>
      </c>
      <c r="I726" s="2" t="inlineStr">
        <is>
          <t>LC/PC</t>
        </is>
      </c>
      <c r="J726" s="2" t="n">
        <v>500</v>
      </c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>
        <f>SUM(J726:U726)</f>
        <v/>
      </c>
      <c r="W726" s="2" t="n">
        <v>1000</v>
      </c>
      <c r="X726" s="2" t="n">
        <v>1000</v>
      </c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>
        <f>IF(F726=1,V726*2,IF(F726=2,V726*F726*2,IF(F726&gt;2,F726*2*V726)))</f>
        <v/>
      </c>
      <c r="AW726" s="2">
        <f>SUM(W726:AU726)</f>
        <v/>
      </c>
    </row>
    <row r="727">
      <c r="A727" s="2" t="inlineStr">
        <is>
          <t>A14-DB-N231</t>
        </is>
      </c>
      <c r="B727" s="3" t="inlineStr">
        <is>
          <t>DOJC-SM-LC/PC-LC/PC</t>
        </is>
      </c>
      <c r="C727" s="2" t="inlineStr">
        <is>
          <t>18M, B3, 2.0mm</t>
        </is>
      </c>
      <c r="D727" s="2" t="inlineStr">
        <is>
          <t>b3</t>
        </is>
      </c>
      <c r="E727" s="2" t="inlineStr">
        <is>
          <t>2.0mm</t>
        </is>
      </c>
      <c r="F727" s="2" t="n">
        <v>2</v>
      </c>
      <c r="G727" s="2" t="n">
        <v>18</v>
      </c>
      <c r="H727" s="2" t="inlineStr">
        <is>
          <t>LC/PC</t>
        </is>
      </c>
      <c r="I727" s="2" t="inlineStr">
        <is>
          <t>LC/PC</t>
        </is>
      </c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>
        <v>30</v>
      </c>
      <c r="T727" s="2" t="n"/>
      <c r="U727" s="2" t="n"/>
      <c r="V727" s="2">
        <f>SUM(J727:U727)</f>
        <v/>
      </c>
      <c r="W727" s="2" t="n">
        <v>60</v>
      </c>
      <c r="X727" s="2" t="n">
        <v>60</v>
      </c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>
        <f>IF(F727=1,V727*2,IF(F727=2,V727*F727*2,IF(F727&gt;2,F727*2*V727)))</f>
        <v/>
      </c>
      <c r="AW727" s="2">
        <f>SUM(W727:AU727)</f>
        <v/>
      </c>
    </row>
    <row r="728">
      <c r="A728" s="2" t="inlineStr">
        <is>
          <t>A14-DB-N234</t>
        </is>
      </c>
      <c r="B728" s="3" t="inlineStr">
        <is>
          <t>DOJC-SM-LC/PC-LC/PC</t>
        </is>
      </c>
      <c r="C728" s="2" t="inlineStr">
        <is>
          <t>908040702, 20M, B3, 2.0mm</t>
        </is>
      </c>
      <c r="D728" s="2" t="inlineStr">
        <is>
          <t>b3</t>
        </is>
      </c>
      <c r="E728" s="2" t="inlineStr">
        <is>
          <t>2.0mm</t>
        </is>
      </c>
      <c r="F728" s="2" t="n">
        <v>2</v>
      </c>
      <c r="G728" s="2" t="n">
        <v>20</v>
      </c>
      <c r="H728" s="2" t="inlineStr">
        <is>
          <t>LC/PC</t>
        </is>
      </c>
      <c r="I728" s="2" t="inlineStr">
        <is>
          <t>LC/PC</t>
        </is>
      </c>
      <c r="J728" s="2" t="n"/>
      <c r="K728" s="2" t="n"/>
      <c r="L728" s="2" t="n"/>
      <c r="M728" s="2" t="n">
        <v>265</v>
      </c>
      <c r="N728" s="2" t="n">
        <v>46</v>
      </c>
      <c r="O728" s="2" t="n"/>
      <c r="P728" s="2" t="n"/>
      <c r="Q728" s="2" t="n"/>
      <c r="R728" s="2" t="n"/>
      <c r="S728" s="2" t="n">
        <v>50</v>
      </c>
      <c r="T728" s="2" t="n"/>
      <c r="U728" s="2" t="n"/>
      <c r="V728" s="2">
        <f>SUM(J728:U728)</f>
        <v/>
      </c>
      <c r="W728" s="2" t="n">
        <v>722</v>
      </c>
      <c r="X728" s="2" t="n">
        <v>722</v>
      </c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>
        <f>IF(F728=1,V728*2,IF(F728=2,V728*F728*2,IF(F728&gt;2,F728*2*V728)))</f>
        <v/>
      </c>
      <c r="AW728" s="2">
        <f>SUM(W728:AU728)</f>
        <v/>
      </c>
    </row>
    <row r="729">
      <c r="A729" s="2" t="inlineStr">
        <is>
          <t>A14-DB-N237</t>
        </is>
      </c>
      <c r="B729" s="3" t="inlineStr">
        <is>
          <t>DOJC-SM-LC/PC-LC/PC</t>
        </is>
      </c>
      <c r="C729" s="2" t="inlineStr">
        <is>
          <t>908040707, 25M, B3, 2.0mm</t>
        </is>
      </c>
      <c r="D729" s="2" t="inlineStr">
        <is>
          <t>b3</t>
        </is>
      </c>
      <c r="E729" s="2" t="inlineStr">
        <is>
          <t>2.0mm</t>
        </is>
      </c>
      <c r="F729" s="2" t="n">
        <v>2</v>
      </c>
      <c r="G729" s="2" t="n">
        <v>25</v>
      </c>
      <c r="H729" s="2" t="inlineStr">
        <is>
          <t>LC/PC</t>
        </is>
      </c>
      <c r="I729" s="2" t="inlineStr">
        <is>
          <t>LC/PC</t>
        </is>
      </c>
      <c r="J729" s="2" t="n"/>
      <c r="K729" s="2" t="n"/>
      <c r="L729" s="2" t="n"/>
      <c r="M729" s="2" t="n"/>
      <c r="N729" s="2" t="n"/>
      <c r="O729" s="2" t="n">
        <v>105</v>
      </c>
      <c r="P729" s="2" t="n">
        <v>154</v>
      </c>
      <c r="Q729" s="2" t="n">
        <v>18</v>
      </c>
      <c r="R729" s="2" t="n"/>
      <c r="S729" s="2" t="n"/>
      <c r="T729" s="2" t="n"/>
      <c r="U729" s="2" t="n"/>
      <c r="V729" s="2">
        <f>SUM(J729:U729)</f>
        <v/>
      </c>
      <c r="W729" s="2" t="n">
        <v>554</v>
      </c>
      <c r="X729" s="2" t="n">
        <v>554</v>
      </c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>
        <f>IF(F729=1,V729*2,IF(F729=2,V729*F729*2,IF(F729&gt;2,F729*2*V729)))</f>
        <v/>
      </c>
      <c r="AW729" s="2">
        <f>SUM(W729:AU729)</f>
        <v/>
      </c>
    </row>
    <row r="730">
      <c r="A730" s="2" t="inlineStr">
        <is>
          <t>A14-DB-N240</t>
        </is>
      </c>
      <c r="B730" s="3" t="inlineStr">
        <is>
          <t>DOJC-SM-LC/PC-LC/PC</t>
        </is>
      </c>
      <c r="C730" s="2" t="inlineStr">
        <is>
          <t>908040999, 2M, B3, 3.0mm</t>
        </is>
      </c>
      <c r="D730" s="2" t="inlineStr">
        <is>
          <t>b3</t>
        </is>
      </c>
      <c r="E730" s="2" t="inlineStr">
        <is>
          <t>3.0mm</t>
        </is>
      </c>
      <c r="F730" s="2" t="n">
        <v>2</v>
      </c>
      <c r="G730" s="2" t="n">
        <v>2</v>
      </c>
      <c r="H730" s="2" t="inlineStr">
        <is>
          <t>LC/PC</t>
        </is>
      </c>
      <c r="I730" s="2" t="inlineStr">
        <is>
          <t>LC/PC</t>
        </is>
      </c>
      <c r="J730" s="2" t="n"/>
      <c r="K730" s="2" t="n"/>
      <c r="L730" s="2" t="n">
        <v>15</v>
      </c>
      <c r="M730" s="2" t="n">
        <v>40</v>
      </c>
      <c r="N730" s="2" t="n"/>
      <c r="O730" s="2" t="n"/>
      <c r="P730" s="2" t="n"/>
      <c r="Q730" s="2" t="n">
        <v>150</v>
      </c>
      <c r="R730" s="2" t="n"/>
      <c r="S730" s="2" t="n"/>
      <c r="T730" s="2" t="n"/>
      <c r="U730" s="2" t="n"/>
      <c r="V730" s="2">
        <f>SUM(J730:U730)</f>
        <v/>
      </c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>
        <v>410</v>
      </c>
      <c r="AK730" s="2" t="n">
        <v>410</v>
      </c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>
        <f>IF(F730=1,V730*2,IF(F730=2,V730*F730*2,IF(F730&gt;2,F730*2*V730)))</f>
        <v/>
      </c>
      <c r="AW730" s="2">
        <f>SUM(W730:AU730)</f>
        <v/>
      </c>
    </row>
    <row r="731">
      <c r="A731" s="2" t="inlineStr">
        <is>
          <t>A14-DB-N241</t>
        </is>
      </c>
      <c r="B731" s="3" t="inlineStr">
        <is>
          <t>DOJC-SM-LC/PC-LC/PC</t>
        </is>
      </c>
      <c r="C731" s="2" t="inlineStr">
        <is>
          <t>908040712, 30M, B3, 2.0mm</t>
        </is>
      </c>
      <c r="D731" s="2" t="inlineStr">
        <is>
          <t>b3</t>
        </is>
      </c>
      <c r="E731" s="2" t="inlineStr">
        <is>
          <t>2.0mm</t>
        </is>
      </c>
      <c r="F731" s="2" t="n">
        <v>2</v>
      </c>
      <c r="G731" s="2" t="n">
        <v>30</v>
      </c>
      <c r="H731" s="2" t="inlineStr">
        <is>
          <t>LC/PC</t>
        </is>
      </c>
      <c r="I731" s="2" t="inlineStr">
        <is>
          <t>LC/PC</t>
        </is>
      </c>
      <c r="J731" s="2" t="n"/>
      <c r="K731" s="2" t="n"/>
      <c r="L731" s="2" t="n"/>
      <c r="M731" s="2" t="n"/>
      <c r="N731" s="2" t="n"/>
      <c r="O731" s="2" t="n"/>
      <c r="P731" s="2" t="n">
        <v>33</v>
      </c>
      <c r="Q731" s="2" t="n">
        <v>92</v>
      </c>
      <c r="R731" s="2" t="n"/>
      <c r="S731" s="2" t="n">
        <v>84</v>
      </c>
      <c r="T731" s="2" t="n"/>
      <c r="U731" s="2" t="n"/>
      <c r="V731" s="2">
        <f>SUM(J731:U731)</f>
        <v/>
      </c>
      <c r="W731" s="2" t="n">
        <v>418</v>
      </c>
      <c r="X731" s="2" t="n">
        <v>418</v>
      </c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>
        <f>IF(F731=1,V731*2,IF(F731=2,V731*F731*2,IF(F731&gt;2,F731*2*V731)))</f>
        <v/>
      </c>
      <c r="AW731" s="2">
        <f>SUM(W731:AU731)</f>
        <v/>
      </c>
    </row>
    <row r="732">
      <c r="A732" s="2" t="inlineStr">
        <is>
          <t>A14-DB-N243</t>
        </is>
      </c>
      <c r="B732" s="3" t="inlineStr">
        <is>
          <t>DOJC-SM-LC/PC-LC/PC</t>
        </is>
      </c>
      <c r="C732" s="2" t="inlineStr">
        <is>
          <t>920000726, 35M, B3, 2.0mm</t>
        </is>
      </c>
      <c r="D732" s="2" t="inlineStr">
        <is>
          <t>b3</t>
        </is>
      </c>
      <c r="E732" s="2" t="inlineStr">
        <is>
          <t>2.0mm</t>
        </is>
      </c>
      <c r="F732" s="2" t="n">
        <v>2</v>
      </c>
      <c r="G732" s="2" t="n">
        <v>35</v>
      </c>
      <c r="H732" s="2" t="inlineStr">
        <is>
          <t>LC/PC</t>
        </is>
      </c>
      <c r="I732" s="2" t="inlineStr">
        <is>
          <t>LC/PC</t>
        </is>
      </c>
      <c r="J732" s="2" t="n">
        <v>9</v>
      </c>
      <c r="K732" s="2" t="n">
        <v>190</v>
      </c>
      <c r="L732" s="2" t="n">
        <v>10</v>
      </c>
      <c r="M732" s="2" t="n">
        <v>43</v>
      </c>
      <c r="N732" s="2" t="n">
        <v>26</v>
      </c>
      <c r="O732" s="2" t="n">
        <v>24</v>
      </c>
      <c r="P732" s="2" t="n">
        <v>60</v>
      </c>
      <c r="Q732" s="2" t="n"/>
      <c r="R732" s="2" t="n">
        <v>30</v>
      </c>
      <c r="S732" s="2" t="n">
        <v>7</v>
      </c>
      <c r="T732" s="2" t="n"/>
      <c r="U732" s="2" t="n">
        <v>37</v>
      </c>
      <c r="V732" s="2">
        <f>SUM(J732:U732)</f>
        <v/>
      </c>
      <c r="W732" s="2" t="n">
        <v>872</v>
      </c>
      <c r="X732" s="2" t="n">
        <v>872</v>
      </c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>
        <f>IF(F732=1,V732*2,IF(F732=2,V732*F732*2,IF(F732&gt;2,F732*2*V732)))</f>
        <v/>
      </c>
      <c r="AW732" s="2">
        <f>SUM(W732:AU732)</f>
        <v/>
      </c>
    </row>
    <row r="733">
      <c r="A733" s="2" t="inlineStr">
        <is>
          <t>A14-DB-N244</t>
        </is>
      </c>
      <c r="B733" s="3" t="inlineStr">
        <is>
          <t>DOJC-SM-LC/PC-LC/PC</t>
        </is>
      </c>
      <c r="C733" s="2" t="inlineStr">
        <is>
          <t>908040997, 3M, B3, 3.0mm</t>
        </is>
      </c>
      <c r="D733" s="2" t="inlineStr">
        <is>
          <t>b3</t>
        </is>
      </c>
      <c r="E733" s="2" t="inlineStr">
        <is>
          <t>3.0mm</t>
        </is>
      </c>
      <c r="F733" s="2" t="n">
        <v>2</v>
      </c>
      <c r="G733" s="2" t="n">
        <v>3</v>
      </c>
      <c r="H733" s="2" t="inlineStr">
        <is>
          <t>LC/PC</t>
        </is>
      </c>
      <c r="I733" s="2" t="inlineStr">
        <is>
          <t>LC/PC</t>
        </is>
      </c>
      <c r="J733" s="2" t="n"/>
      <c r="K733" s="2" t="n"/>
      <c r="L733" s="2" t="n"/>
      <c r="M733" s="2" t="n"/>
      <c r="N733" s="2" t="n"/>
      <c r="O733" s="2" t="n"/>
      <c r="P733" s="2" t="n"/>
      <c r="Q733" s="2" t="n">
        <v>15</v>
      </c>
      <c r="R733" s="2" t="n">
        <v>10</v>
      </c>
      <c r="S733" s="2" t="n">
        <v>50</v>
      </c>
      <c r="T733" s="2" t="n">
        <v>50</v>
      </c>
      <c r="U733" s="2" t="n">
        <v>60</v>
      </c>
      <c r="V733" s="2">
        <f>SUM(J733:U733)</f>
        <v/>
      </c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>
        <v>370</v>
      </c>
      <c r="AK733" s="2" t="n">
        <v>370</v>
      </c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>
        <f>IF(F733=1,V733*2,IF(F733=2,V733*F733*2,IF(F733&gt;2,F733*2*V733)))</f>
        <v/>
      </c>
      <c r="AW733" s="2">
        <f>SUM(W733:AU733)</f>
        <v/>
      </c>
    </row>
    <row r="734">
      <c r="A734" s="2" t="inlineStr">
        <is>
          <t>A14-DB-N246</t>
        </is>
      </c>
      <c r="B734" s="3" t="inlineStr">
        <is>
          <t>DOJC-SM-LC/PC-LC/PC</t>
        </is>
      </c>
      <c r="C734" s="2" t="inlineStr">
        <is>
          <t>920000727, 40M, B3, 2.0mm</t>
        </is>
      </c>
      <c r="D734" s="2" t="inlineStr">
        <is>
          <t>b3</t>
        </is>
      </c>
      <c r="E734" s="2" t="inlineStr">
        <is>
          <t>2.0mm</t>
        </is>
      </c>
      <c r="F734" s="2" t="n">
        <v>2</v>
      </c>
      <c r="G734" s="2" t="n">
        <v>40</v>
      </c>
      <c r="H734" s="2" t="inlineStr">
        <is>
          <t>LC/PC</t>
        </is>
      </c>
      <c r="I734" s="2" t="inlineStr">
        <is>
          <t>LC/PC</t>
        </is>
      </c>
      <c r="J734" s="2" t="n"/>
      <c r="K734" s="2" t="n">
        <v>22</v>
      </c>
      <c r="L734" s="2" t="n">
        <v>15</v>
      </c>
      <c r="M734" s="2" t="n">
        <v>25</v>
      </c>
      <c r="N734" s="2" t="n">
        <v>4</v>
      </c>
      <c r="O734" s="2" t="n">
        <v>95</v>
      </c>
      <c r="P734" s="2" t="n">
        <v>20</v>
      </c>
      <c r="Q734" s="2" t="n">
        <v>16</v>
      </c>
      <c r="R734" s="2" t="n">
        <v>10</v>
      </c>
      <c r="S734" s="2" t="n">
        <v>20</v>
      </c>
      <c r="T734" s="2" t="n">
        <v>6</v>
      </c>
      <c r="U734" s="2" t="n">
        <v>11</v>
      </c>
      <c r="V734" s="2">
        <f>SUM(J734:U734)</f>
        <v/>
      </c>
      <c r="W734" s="2" t="n">
        <v>488</v>
      </c>
      <c r="X734" s="2" t="n">
        <v>488</v>
      </c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>
        <f>IF(F734=1,V734*2,IF(F734=2,V734*F734*2,IF(F734&gt;2,F734*2*V734)))</f>
        <v/>
      </c>
      <c r="AW734" s="2">
        <f>SUM(W734:AU734)</f>
        <v/>
      </c>
    </row>
    <row r="735">
      <c r="A735" s="2" t="inlineStr">
        <is>
          <t>A14-DB-N247</t>
        </is>
      </c>
      <c r="B735" s="3" t="inlineStr">
        <is>
          <t>DOJC-SM-LC/PC-LC/PC</t>
        </is>
      </c>
      <c r="C735" s="2" t="inlineStr">
        <is>
          <t>45M, B3, 2.0mm</t>
        </is>
      </c>
      <c r="D735" s="2" t="inlineStr">
        <is>
          <t>b3</t>
        </is>
      </c>
      <c r="E735" s="2" t="inlineStr">
        <is>
          <t>2.0mm</t>
        </is>
      </c>
      <c r="F735" s="2" t="n">
        <v>2</v>
      </c>
      <c r="G735" s="2" t="n">
        <v>45</v>
      </c>
      <c r="H735" s="2" t="inlineStr">
        <is>
          <t>LC/PC</t>
        </is>
      </c>
      <c r="I735" s="2" t="inlineStr">
        <is>
          <t>LC/PC</t>
        </is>
      </c>
      <c r="J735" s="2" t="n">
        <v>11</v>
      </c>
      <c r="K735" s="2" t="n"/>
      <c r="L735" s="2" t="n">
        <v>14</v>
      </c>
      <c r="M735" s="2" t="n">
        <v>20</v>
      </c>
      <c r="N735" s="2" t="n">
        <v>20</v>
      </c>
      <c r="O735" s="2" t="n"/>
      <c r="P735" s="2" t="n">
        <v>4</v>
      </c>
      <c r="Q735" s="2" t="n"/>
      <c r="R735" s="2" t="n"/>
      <c r="S735" s="2" t="n">
        <v>5</v>
      </c>
      <c r="T735" s="2" t="n">
        <v>20</v>
      </c>
      <c r="U735" s="2" t="n">
        <v>16</v>
      </c>
      <c r="V735" s="2">
        <f>SUM(J735:U735)</f>
        <v/>
      </c>
      <c r="W735" s="2" t="n">
        <v>220</v>
      </c>
      <c r="X735" s="2" t="n">
        <v>220</v>
      </c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>
        <f>IF(F735=1,V735*2,IF(F735=2,V735*F735*2,IF(F735&gt;2,F735*2*V735)))</f>
        <v/>
      </c>
      <c r="AW735" s="2">
        <f>SUM(W735:AU735)</f>
        <v/>
      </c>
    </row>
    <row r="736">
      <c r="A736" s="2" t="inlineStr">
        <is>
          <t>A14-DB-N249</t>
        </is>
      </c>
      <c r="B736" s="3" t="inlineStr">
        <is>
          <t>DOJC-SM-LC/PC-LC/PC</t>
        </is>
      </c>
      <c r="C736" s="2" t="inlineStr">
        <is>
          <t>50M, B3, 2.0mm</t>
        </is>
      </c>
      <c r="D736" s="2" t="inlineStr">
        <is>
          <t>b3</t>
        </is>
      </c>
      <c r="E736" s="2" t="inlineStr">
        <is>
          <t>2.0mm</t>
        </is>
      </c>
      <c r="F736" s="2" t="n">
        <v>2</v>
      </c>
      <c r="G736" s="2" t="n">
        <v>50</v>
      </c>
      <c r="H736" s="2" t="inlineStr">
        <is>
          <t>LC/PC</t>
        </is>
      </c>
      <c r="I736" s="2" t="inlineStr">
        <is>
          <t>LC/PC</t>
        </is>
      </c>
      <c r="J736" s="2" t="n"/>
      <c r="K736" s="2" t="n"/>
      <c r="L736" s="2" t="n">
        <v>5</v>
      </c>
      <c r="M736" s="2" t="n">
        <v>10</v>
      </c>
      <c r="N736" s="2" t="n"/>
      <c r="O736" s="2" t="n">
        <v>20</v>
      </c>
      <c r="P736" s="2" t="n">
        <v>4</v>
      </c>
      <c r="Q736" s="2" t="n"/>
      <c r="R736" s="2" t="n">
        <v>6</v>
      </c>
      <c r="S736" s="2" t="n"/>
      <c r="T736" s="2" t="n"/>
      <c r="U736" s="2" t="n"/>
      <c r="V736" s="2">
        <f>SUM(J736:U736)</f>
        <v/>
      </c>
      <c r="W736" s="2" t="n">
        <v>90</v>
      </c>
      <c r="X736" s="2" t="n">
        <v>90</v>
      </c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>
        <f>IF(F736=1,V736*2,IF(F736=2,V736*F736*2,IF(F736&gt;2,F736*2*V736)))</f>
        <v/>
      </c>
      <c r="AW736" s="2">
        <f>SUM(W736:AU736)</f>
        <v/>
      </c>
    </row>
    <row r="737">
      <c r="A737" s="2" t="inlineStr">
        <is>
          <t>A14-DB-N252</t>
        </is>
      </c>
      <c r="B737" s="3" t="inlineStr">
        <is>
          <t>DOJC-SM-LC/PC-LC/PC</t>
        </is>
      </c>
      <c r="C737" s="2" t="inlineStr">
        <is>
          <t>55M, B3, 2.0mm</t>
        </is>
      </c>
      <c r="D737" s="2" t="inlineStr">
        <is>
          <t>b3</t>
        </is>
      </c>
      <c r="E737" s="2" t="inlineStr">
        <is>
          <t>2.0mm</t>
        </is>
      </c>
      <c r="F737" s="2" t="n">
        <v>2</v>
      </c>
      <c r="G737" s="2" t="n">
        <v>55</v>
      </c>
      <c r="H737" s="2" t="inlineStr">
        <is>
          <t>LC/PC</t>
        </is>
      </c>
      <c r="I737" s="2" t="inlineStr">
        <is>
          <t>LC/PC</t>
        </is>
      </c>
      <c r="J737" s="2" t="n"/>
      <c r="K737" s="2" t="n"/>
      <c r="L737" s="2" t="n">
        <v>2</v>
      </c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>
        <f>SUM(J737:U737)</f>
        <v/>
      </c>
      <c r="W737" s="2" t="n">
        <v>4</v>
      </c>
      <c r="X737" s="2" t="n">
        <v>4</v>
      </c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>
        <f>IF(F737=1,V737*2,IF(F737=2,V737*F737*2,IF(F737&gt;2,F737*2*V737)))</f>
        <v/>
      </c>
      <c r="AW737" s="2">
        <f>SUM(W737:AU737)</f>
        <v/>
      </c>
    </row>
    <row r="738">
      <c r="A738" s="2" t="inlineStr">
        <is>
          <t>A14-DB-N253</t>
        </is>
      </c>
      <c r="B738" s="3" t="inlineStr">
        <is>
          <t>DOJC-SM-LC/PC-LC/PC</t>
        </is>
      </c>
      <c r="C738" s="2" t="inlineStr">
        <is>
          <t>908041001, 5M, B3, 3.0mm</t>
        </is>
      </c>
      <c r="D738" s="2" t="inlineStr">
        <is>
          <t>b3</t>
        </is>
      </c>
      <c r="E738" s="2" t="inlineStr">
        <is>
          <t>3.0mm</t>
        </is>
      </c>
      <c r="F738" s="2" t="n">
        <v>2</v>
      </c>
      <c r="G738" s="2" t="n">
        <v>5</v>
      </c>
      <c r="H738" s="2" t="inlineStr">
        <is>
          <t>LC/PC</t>
        </is>
      </c>
      <c r="I738" s="2" t="inlineStr">
        <is>
          <t>LC/PC</t>
        </is>
      </c>
      <c r="J738" s="2" t="n"/>
      <c r="K738" s="2" t="n"/>
      <c r="L738" s="2" t="n"/>
      <c r="M738" s="2" t="n"/>
      <c r="N738" s="2" t="n"/>
      <c r="O738" s="2" t="n"/>
      <c r="P738" s="2" t="n"/>
      <c r="Q738" s="2" t="n">
        <v>10</v>
      </c>
      <c r="R738" s="2" t="n"/>
      <c r="S738" s="2" t="n"/>
      <c r="T738" s="2" t="n">
        <v>28</v>
      </c>
      <c r="U738" s="2" t="n"/>
      <c r="V738" s="2">
        <f>SUM(J738:U738)</f>
        <v/>
      </c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>
        <v>76</v>
      </c>
      <c r="AK738" s="2" t="n">
        <v>76</v>
      </c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>
        <f>IF(F738=1,V738*2,IF(F738=2,V738*F738*2,IF(F738&gt;2,F738*2*V738)))</f>
        <v/>
      </c>
      <c r="AW738" s="2">
        <f>SUM(W738:AU738)</f>
        <v/>
      </c>
    </row>
    <row r="739">
      <c r="A739" s="2" t="inlineStr">
        <is>
          <t>A14-DB-N254</t>
        </is>
      </c>
      <c r="B739" s="3" t="inlineStr">
        <is>
          <t>DOJC-SM-LC/PC-LC/PC</t>
        </is>
      </c>
      <c r="C739" s="2" t="inlineStr">
        <is>
          <t>60M, B3, 2.0mm</t>
        </is>
      </c>
      <c r="D739" s="2" t="inlineStr">
        <is>
          <t>b3</t>
        </is>
      </c>
      <c r="E739" s="2" t="inlineStr">
        <is>
          <t>2.0mm</t>
        </is>
      </c>
      <c r="F739" s="2" t="n">
        <v>2</v>
      </c>
      <c r="G739" s="2" t="n">
        <v>60</v>
      </c>
      <c r="H739" s="2" t="inlineStr">
        <is>
          <t>LC/PC</t>
        </is>
      </c>
      <c r="I739" s="2" t="inlineStr">
        <is>
          <t>LC/PC</t>
        </is>
      </c>
      <c r="J739" s="2" t="n"/>
      <c r="K739" s="2" t="n"/>
      <c r="L739" s="2" t="n"/>
      <c r="M739" s="2" t="n"/>
      <c r="N739" s="2" t="n"/>
      <c r="O739" s="2" t="n">
        <v>3</v>
      </c>
      <c r="P739" s="2" t="n"/>
      <c r="Q739" s="2" t="n"/>
      <c r="R739" s="2" t="n"/>
      <c r="S739" s="2" t="n"/>
      <c r="T739" s="2" t="n"/>
      <c r="U739" s="2" t="n"/>
      <c r="V739" s="2">
        <f>SUM(J739:U739)</f>
        <v/>
      </c>
      <c r="W739" s="2" t="n">
        <v>6</v>
      </c>
      <c r="X739" s="2" t="n">
        <v>6</v>
      </c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>
        <f>IF(F739=1,V739*2,IF(F739=2,V739*F739*2,IF(F739&gt;2,F739*2*V739)))</f>
        <v/>
      </c>
      <c r="AW739" s="2">
        <f>SUM(W739:AU739)</f>
        <v/>
      </c>
    </row>
    <row r="740">
      <c r="A740" s="2" t="inlineStr">
        <is>
          <t>A14-DB-N256</t>
        </is>
      </c>
      <c r="B740" s="3" t="inlineStr">
        <is>
          <t>DOJC-SM-LC/PC-LC/PC</t>
        </is>
      </c>
      <c r="C740" s="2" t="inlineStr">
        <is>
          <t>908041002, 6M, B3, 2.0mm</t>
        </is>
      </c>
      <c r="D740" s="2" t="inlineStr">
        <is>
          <t>b3</t>
        </is>
      </c>
      <c r="E740" s="2" t="inlineStr">
        <is>
          <t>2.0mm</t>
        </is>
      </c>
      <c r="F740" s="2" t="n">
        <v>2</v>
      </c>
      <c r="G740" s="2" t="n">
        <v>6</v>
      </c>
      <c r="H740" s="2" t="inlineStr">
        <is>
          <t>LC/PC</t>
        </is>
      </c>
      <c r="I740" s="2" t="inlineStr">
        <is>
          <t>LC/PC</t>
        </is>
      </c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>
        <v>11</v>
      </c>
      <c r="V740" s="2">
        <f>SUM(J740:U740)</f>
        <v/>
      </c>
      <c r="W740" s="2" t="n">
        <v>22</v>
      </c>
      <c r="X740" s="2" t="n">
        <v>22</v>
      </c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>
        <f>IF(F740=1,V740*2,IF(F740=2,V740*F740*2,IF(F740&gt;2,F740*2*V740)))</f>
        <v/>
      </c>
      <c r="AW740" s="2">
        <f>SUM(W740:AU740)</f>
        <v/>
      </c>
    </row>
    <row r="741">
      <c r="A741" s="2" t="inlineStr">
        <is>
          <t>A14-DB-N258</t>
        </is>
      </c>
      <c r="B741" s="3" t="inlineStr">
        <is>
          <t>DOJC-SM-LC/PC-LC/PC</t>
        </is>
      </c>
      <c r="C741" s="2" t="inlineStr">
        <is>
          <t>908041003, 7M, B3, 2.0mm</t>
        </is>
      </c>
      <c r="D741" s="2" t="inlineStr">
        <is>
          <t>b3</t>
        </is>
      </c>
      <c r="E741" s="2" t="inlineStr">
        <is>
          <t>2.0mm</t>
        </is>
      </c>
      <c r="F741" s="2" t="n">
        <v>2</v>
      </c>
      <c r="G741" s="2" t="n">
        <v>7</v>
      </c>
      <c r="H741" s="2" t="inlineStr">
        <is>
          <t>LC/PC</t>
        </is>
      </c>
      <c r="I741" s="2" t="inlineStr">
        <is>
          <t>LC/PC</t>
        </is>
      </c>
      <c r="J741" s="2" t="n">
        <v>500</v>
      </c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>
        <v>200</v>
      </c>
      <c r="V741" s="2">
        <f>SUM(J741:U741)</f>
        <v/>
      </c>
      <c r="W741" s="2" t="n">
        <v>1400</v>
      </c>
      <c r="X741" s="2" t="n">
        <v>1400</v>
      </c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>
        <f>IF(F741=1,V741*2,IF(F741=2,V741*F741*2,IF(F741&gt;2,F741*2*V741)))</f>
        <v/>
      </c>
      <c r="AW741" s="2">
        <f>SUM(W741:AU741)</f>
        <v/>
      </c>
    </row>
    <row r="742">
      <c r="A742" s="2" t="inlineStr">
        <is>
          <t>A14-DB-N260</t>
        </is>
      </c>
      <c r="B742" s="3" t="inlineStr">
        <is>
          <t>DOJC-SM-LC/PC-LC/PC</t>
        </is>
      </c>
      <c r="C742" s="2" t="inlineStr">
        <is>
          <t>908041004, 8M, B3, 2.0mm</t>
        </is>
      </c>
      <c r="D742" s="2" t="inlineStr">
        <is>
          <t>b3</t>
        </is>
      </c>
      <c r="E742" s="2" t="inlineStr">
        <is>
          <t>2.0mm</t>
        </is>
      </c>
      <c r="F742" s="2" t="n">
        <v>2</v>
      </c>
      <c r="G742" s="2" t="n">
        <v>8</v>
      </c>
      <c r="H742" s="2" t="inlineStr">
        <is>
          <t>LC/PC</t>
        </is>
      </c>
      <c r="I742" s="2" t="inlineStr">
        <is>
          <t>LC/PC</t>
        </is>
      </c>
      <c r="J742" s="2" t="n"/>
      <c r="K742" s="2" t="n"/>
      <c r="L742" s="2" t="n"/>
      <c r="M742" s="2" t="n"/>
      <c r="N742" s="2" t="n"/>
      <c r="O742" s="2" t="n"/>
      <c r="P742" s="2" t="n"/>
      <c r="Q742" s="2" t="n">
        <v>8</v>
      </c>
      <c r="R742" s="2" t="n">
        <v>64</v>
      </c>
      <c r="S742" s="2" t="n"/>
      <c r="T742" s="2" t="n">
        <v>4</v>
      </c>
      <c r="U742" s="2" t="n">
        <v>25</v>
      </c>
      <c r="V742" s="2">
        <f>SUM(J742:U742)</f>
        <v/>
      </c>
      <c r="W742" s="2" t="n">
        <v>202</v>
      </c>
      <c r="X742" s="2" t="n">
        <v>202</v>
      </c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>
        <f>IF(F742=1,V742*2,IF(F742=2,V742*F742*2,IF(F742&gt;2,F742*2*V742)))</f>
        <v/>
      </c>
      <c r="AW742" s="2">
        <f>SUM(W742:AU742)</f>
        <v/>
      </c>
    </row>
    <row r="743">
      <c r="A743" s="2" t="inlineStr">
        <is>
          <t>A14-DB-N263</t>
        </is>
      </c>
      <c r="B743" s="3" t="inlineStr">
        <is>
          <t>DOJC-SM-LC/PC-SC/APC</t>
        </is>
      </c>
      <c r="C743" s="2" t="inlineStr">
        <is>
          <t>908040916, 10M, B3, 2.0mm</t>
        </is>
      </c>
      <c r="D743" s="2" t="inlineStr">
        <is>
          <t>b3</t>
        </is>
      </c>
      <c r="E743" s="2" t="inlineStr">
        <is>
          <t>2.0mm</t>
        </is>
      </c>
      <c r="F743" s="2" t="n">
        <v>2</v>
      </c>
      <c r="G743" s="2" t="n">
        <v>10</v>
      </c>
      <c r="H743" s="2" t="inlineStr">
        <is>
          <t>LC/PC</t>
        </is>
      </c>
      <c r="I743" s="2" t="inlineStr">
        <is>
          <t>SC/APC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>
        <v>46</v>
      </c>
      <c r="S743" s="2" t="n">
        <v>20</v>
      </c>
      <c r="T743" s="2" t="n"/>
      <c r="U743" s="2" t="n"/>
      <c r="V743" s="2">
        <f>SUM(J743:U743)</f>
        <v/>
      </c>
      <c r="W743" s="2" t="n">
        <v>132</v>
      </c>
      <c r="X743" s="2" t="n"/>
      <c r="Y743" s="2" t="n"/>
      <c r="Z743" s="2" t="n"/>
      <c r="AA743" s="2" t="n"/>
      <c r="AB743" s="2" t="n"/>
      <c r="AC743" s="2" t="n"/>
      <c r="AD743" s="2" t="n">
        <v>132</v>
      </c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>
        <f>IF(F743=1,V743*2,IF(F743=2,V743*F743*2,IF(F743&gt;2,F743*2*V743)))</f>
        <v/>
      </c>
      <c r="AW743" s="2">
        <f>SUM(W743:AU743)</f>
        <v/>
      </c>
    </row>
    <row r="744">
      <c r="A744" s="2" t="inlineStr">
        <is>
          <t>A14-DB-N266</t>
        </is>
      </c>
      <c r="B744" s="3" t="inlineStr">
        <is>
          <t>DOJC-SM-LC/PC-SC/APC</t>
        </is>
      </c>
      <c r="C744" s="2" t="inlineStr">
        <is>
          <t>908040921, 15M, B3, 2.0mm</t>
        </is>
      </c>
      <c r="D744" s="2" t="inlineStr">
        <is>
          <t>b3</t>
        </is>
      </c>
      <c r="E744" s="2" t="inlineStr">
        <is>
          <t>2.0mm</t>
        </is>
      </c>
      <c r="F744" s="2" t="n">
        <v>2</v>
      </c>
      <c r="G744" s="2" t="n">
        <v>15</v>
      </c>
      <c r="H744" s="2" t="inlineStr">
        <is>
          <t>LC/PC</t>
        </is>
      </c>
      <c r="I744" s="2" t="inlineStr">
        <is>
          <t>SC/APC</t>
        </is>
      </c>
      <c r="J744" s="2" t="n"/>
      <c r="K744" s="2" t="n">
        <v>7</v>
      </c>
      <c r="L744" s="2" t="n">
        <v>24</v>
      </c>
      <c r="M744" s="2" t="n">
        <v>14</v>
      </c>
      <c r="N744" s="2" t="n">
        <v>2</v>
      </c>
      <c r="O744" s="2" t="n"/>
      <c r="P744" s="2" t="n"/>
      <c r="Q744" s="2" t="n">
        <v>26</v>
      </c>
      <c r="R744" s="2" t="n"/>
      <c r="S744" s="2" t="n"/>
      <c r="T744" s="2" t="n"/>
      <c r="U744" s="2" t="n">
        <v>30</v>
      </c>
      <c r="V744" s="2">
        <f>SUM(J744:U744)</f>
        <v/>
      </c>
      <c r="W744" s="2" t="n">
        <v>206</v>
      </c>
      <c r="X744" s="2" t="n"/>
      <c r="Y744" s="2" t="n"/>
      <c r="Z744" s="2" t="n"/>
      <c r="AA744" s="2" t="n"/>
      <c r="AB744" s="2" t="n"/>
      <c r="AC744" s="2" t="n"/>
      <c r="AD744" s="2" t="n">
        <v>206</v>
      </c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>
        <f>IF(F744=1,V744*2,IF(F744=2,V744*F744*2,IF(F744&gt;2,F744*2*V744)))</f>
        <v/>
      </c>
      <c r="AW744" s="2">
        <f>SUM(W744:AU744)</f>
        <v/>
      </c>
    </row>
    <row r="745">
      <c r="A745" s="2" t="inlineStr">
        <is>
          <t>A14-DB-N267</t>
        </is>
      </c>
      <c r="B745" s="3" t="inlineStr">
        <is>
          <t>DOJC-SM-LC/PC-SC/APC</t>
        </is>
      </c>
      <c r="C745" s="2" t="inlineStr">
        <is>
          <t>908040908, 1M, B3, 3.0mm</t>
        </is>
      </c>
      <c r="D745" s="2" t="inlineStr">
        <is>
          <t>b3</t>
        </is>
      </c>
      <c r="E745" s="2" t="inlineStr">
        <is>
          <t>3.0mm</t>
        </is>
      </c>
      <c r="F745" s="2" t="n">
        <v>2</v>
      </c>
      <c r="G745" s="2" t="n">
        <v>1</v>
      </c>
      <c r="H745" s="2" t="inlineStr">
        <is>
          <t>LC/PC</t>
        </is>
      </c>
      <c r="I745" s="2" t="inlineStr">
        <is>
          <t>SC/APC</t>
        </is>
      </c>
      <c r="J745" s="2" t="n"/>
      <c r="K745" s="2" t="n"/>
      <c r="L745" s="2" t="n"/>
      <c r="M745" s="2" t="n"/>
      <c r="N745" s="2" t="n"/>
      <c r="O745" s="2" t="n"/>
      <c r="P745" s="2" t="n">
        <v>50</v>
      </c>
      <c r="Q745" s="2" t="n"/>
      <c r="R745" s="2" t="n"/>
      <c r="S745" s="2" t="n"/>
      <c r="T745" s="2" t="n">
        <v>30</v>
      </c>
      <c r="U745" s="2" t="n">
        <v>7</v>
      </c>
      <c r="V745" s="2">
        <f>SUM(J745:U745)</f>
        <v/>
      </c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>
        <v>174</v>
      </c>
      <c r="AK745" s="2" t="n"/>
      <c r="AL745" s="2" t="n"/>
      <c r="AM745" s="2" t="n"/>
      <c r="AN745" s="2" t="n"/>
      <c r="AO745" s="2" t="n"/>
      <c r="AP745" s="2" t="n"/>
      <c r="AQ745" s="2" t="n">
        <v>174</v>
      </c>
      <c r="AR745" s="2" t="n"/>
      <c r="AS745" s="2" t="n"/>
      <c r="AT745" s="2" t="n"/>
      <c r="AU745" s="2" t="n"/>
      <c r="AV745" s="2">
        <f>IF(F745=1,V745*2,IF(F745=2,V745*F745*2,IF(F745&gt;2,F745*2*V745)))</f>
        <v/>
      </c>
      <c r="AW745" s="2">
        <f>SUM(W745:AU745)</f>
        <v/>
      </c>
    </row>
    <row r="746">
      <c r="A746" s="2" t="inlineStr">
        <is>
          <t>A14-DB-N268</t>
        </is>
      </c>
      <c r="B746" s="3" t="inlineStr">
        <is>
          <t>DOJC-SM-LC/PC-SC/APC</t>
        </is>
      </c>
      <c r="C746" s="2" t="inlineStr">
        <is>
          <t>908040926, 20M, B3, 2.0mm</t>
        </is>
      </c>
      <c r="D746" s="2" t="inlineStr">
        <is>
          <t>b3</t>
        </is>
      </c>
      <c r="E746" s="2" t="inlineStr">
        <is>
          <t>2.0mm</t>
        </is>
      </c>
      <c r="F746" s="2" t="n">
        <v>2</v>
      </c>
      <c r="G746" s="2" t="n">
        <v>20</v>
      </c>
      <c r="H746" s="2" t="inlineStr">
        <is>
          <t>LC/PC</t>
        </is>
      </c>
      <c r="I746" s="2" t="inlineStr">
        <is>
          <t>SC/APC</t>
        </is>
      </c>
      <c r="J746" s="2" t="n">
        <v>5</v>
      </c>
      <c r="K746" s="2" t="n">
        <v>27</v>
      </c>
      <c r="L746" s="2" t="n">
        <v>30</v>
      </c>
      <c r="M746" s="2" t="n">
        <v>2</v>
      </c>
      <c r="N746" s="2" t="n">
        <v>5</v>
      </c>
      <c r="O746" s="2" t="n">
        <v>15</v>
      </c>
      <c r="P746" s="2" t="n"/>
      <c r="Q746" s="2" t="n">
        <v>25</v>
      </c>
      <c r="R746" s="2" t="n">
        <v>20</v>
      </c>
      <c r="S746" s="2" t="n"/>
      <c r="T746" s="2" t="n"/>
      <c r="U746" s="2" t="n"/>
      <c r="V746" s="2">
        <f>SUM(J746:U746)</f>
        <v/>
      </c>
      <c r="W746" s="2" t="n">
        <v>258</v>
      </c>
      <c r="X746" s="2" t="n"/>
      <c r="Y746" s="2" t="n"/>
      <c r="Z746" s="2" t="n"/>
      <c r="AA746" s="2" t="n"/>
      <c r="AB746" s="2" t="n"/>
      <c r="AC746" s="2" t="n"/>
      <c r="AD746" s="2" t="n">
        <v>258</v>
      </c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>
        <f>IF(F746=1,V746*2,IF(F746=2,V746*F746*2,IF(F746&gt;2,F746*2*V746)))</f>
        <v/>
      </c>
      <c r="AW746" s="2">
        <f>SUM(W746:AU746)</f>
        <v/>
      </c>
    </row>
    <row r="747">
      <c r="A747" s="2" t="inlineStr">
        <is>
          <t>A14-DB-N270</t>
        </is>
      </c>
      <c r="B747" s="3" t="inlineStr">
        <is>
          <t>DOJC-SM-LC/PC-SC/APC</t>
        </is>
      </c>
      <c r="C747" s="2" t="inlineStr">
        <is>
          <t>908040931, 25M, B3, 2.0mm</t>
        </is>
      </c>
      <c r="D747" s="2" t="inlineStr">
        <is>
          <t>b3</t>
        </is>
      </c>
      <c r="E747" s="2" t="inlineStr">
        <is>
          <t>2.0mm</t>
        </is>
      </c>
      <c r="F747" s="2" t="n">
        <v>2</v>
      </c>
      <c r="G747" s="2" t="n">
        <v>25</v>
      </c>
      <c r="H747" s="2" t="inlineStr">
        <is>
          <t>LC/PC</t>
        </is>
      </c>
      <c r="I747" s="2" t="inlineStr">
        <is>
          <t>SC/APC</t>
        </is>
      </c>
      <c r="J747" s="2" t="n"/>
      <c r="K747" s="2" t="n">
        <v>5</v>
      </c>
      <c r="L747" s="2" t="n"/>
      <c r="M747" s="2" t="n"/>
      <c r="N747" s="2" t="n"/>
      <c r="O747" s="2" t="n"/>
      <c r="P747" s="2" t="n">
        <v>5</v>
      </c>
      <c r="Q747" s="2" t="n">
        <v>25</v>
      </c>
      <c r="R747" s="2" t="n">
        <v>20</v>
      </c>
      <c r="S747" s="2" t="n"/>
      <c r="T747" s="2" t="n">
        <v>2</v>
      </c>
      <c r="U747" s="2" t="n">
        <v>4</v>
      </c>
      <c r="V747" s="2">
        <f>SUM(J747:U747)</f>
        <v/>
      </c>
      <c r="W747" s="2" t="n">
        <v>122</v>
      </c>
      <c r="X747" s="2" t="n"/>
      <c r="Y747" s="2" t="n"/>
      <c r="Z747" s="2" t="n"/>
      <c r="AA747" s="2" t="n"/>
      <c r="AB747" s="2" t="n"/>
      <c r="AC747" s="2" t="n"/>
      <c r="AD747" s="2" t="n">
        <v>122</v>
      </c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>
        <f>IF(F747=1,V747*2,IF(F747=2,V747*F747*2,IF(F747&gt;2,F747*2*V747)))</f>
        <v/>
      </c>
      <c r="AW747" s="2">
        <f>SUM(W747:AU747)</f>
        <v/>
      </c>
    </row>
    <row r="748">
      <c r="A748" s="2" t="inlineStr">
        <is>
          <t>A14-DB-N272</t>
        </is>
      </c>
      <c r="B748" s="3" t="inlineStr">
        <is>
          <t>DOJC-SM-LC/PC-SC/APC</t>
        </is>
      </c>
      <c r="C748" s="2" t="inlineStr">
        <is>
          <t>908040936, 30M, B3, 2.0mm</t>
        </is>
      </c>
      <c r="D748" s="2" t="inlineStr">
        <is>
          <t>b3</t>
        </is>
      </c>
      <c r="E748" s="2" t="inlineStr">
        <is>
          <t>2.0mm</t>
        </is>
      </c>
      <c r="F748" s="2" t="n">
        <v>2</v>
      </c>
      <c r="G748" s="2" t="n">
        <v>30</v>
      </c>
      <c r="H748" s="2" t="inlineStr">
        <is>
          <t>LC/PC</t>
        </is>
      </c>
      <c r="I748" s="2" t="inlineStr">
        <is>
          <t>SC/APC</t>
        </is>
      </c>
      <c r="J748" s="2" t="n"/>
      <c r="K748" s="2" t="n"/>
      <c r="L748" s="2" t="n"/>
      <c r="M748" s="2" t="n">
        <v>10</v>
      </c>
      <c r="N748" s="2" t="n"/>
      <c r="O748" s="2" t="n"/>
      <c r="P748" s="2" t="n"/>
      <c r="Q748" s="2" t="n"/>
      <c r="R748" s="2" t="n"/>
      <c r="S748" s="2" t="n">
        <v>4</v>
      </c>
      <c r="T748" s="2" t="n"/>
      <c r="U748" s="2" t="n"/>
      <c r="V748" s="2">
        <f>SUM(J748:U748)</f>
        <v/>
      </c>
      <c r="W748" s="2" t="n">
        <v>28</v>
      </c>
      <c r="X748" s="2" t="n"/>
      <c r="Y748" s="2" t="n"/>
      <c r="Z748" s="2" t="n"/>
      <c r="AA748" s="2" t="n"/>
      <c r="AB748" s="2" t="n"/>
      <c r="AC748" s="2" t="n"/>
      <c r="AD748" s="2" t="n">
        <v>28</v>
      </c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>
        <f>IF(F748=1,V748*2,IF(F748=2,V748*F748*2,IF(F748&gt;2,F748*2*V748)))</f>
        <v/>
      </c>
      <c r="AW748" s="2">
        <f>SUM(W748:AU748)</f>
        <v/>
      </c>
    </row>
    <row r="749">
      <c r="A749" s="2" t="inlineStr">
        <is>
          <t>A14-DB-N273</t>
        </is>
      </c>
      <c r="B749" s="3" t="inlineStr">
        <is>
          <t>DOJC-SM-LC/PC-SC/APC</t>
        </is>
      </c>
      <c r="C749" s="2" t="inlineStr">
        <is>
          <t>35M, B3, 2.0mm</t>
        </is>
      </c>
      <c r="D749" s="2" t="inlineStr">
        <is>
          <t>b3</t>
        </is>
      </c>
      <c r="E749" s="2" t="inlineStr">
        <is>
          <t>2.0mm</t>
        </is>
      </c>
      <c r="F749" s="2" t="n">
        <v>2</v>
      </c>
      <c r="G749" s="2" t="n">
        <v>35</v>
      </c>
      <c r="H749" s="2" t="inlineStr">
        <is>
          <t>LC/PC</t>
        </is>
      </c>
      <c r="I749" s="2" t="inlineStr">
        <is>
          <t>SC/APC</t>
        </is>
      </c>
      <c r="J749" s="2" t="n"/>
      <c r="K749" s="2" t="n"/>
      <c r="L749" s="2" t="n"/>
      <c r="M749" s="2" t="n"/>
      <c r="N749" s="2" t="n"/>
      <c r="O749" s="2" t="n"/>
      <c r="P749" s="2" t="n"/>
      <c r="Q749" s="2" t="n">
        <v>20</v>
      </c>
      <c r="R749" s="2" t="n"/>
      <c r="S749" s="2" t="n"/>
      <c r="T749" s="2" t="n"/>
      <c r="U749" s="2" t="n"/>
      <c r="V749" s="2">
        <f>SUM(J749:U749)</f>
        <v/>
      </c>
      <c r="W749" s="2" t="n">
        <v>40</v>
      </c>
      <c r="X749" s="2" t="n"/>
      <c r="Y749" s="2" t="n"/>
      <c r="Z749" s="2" t="n"/>
      <c r="AA749" s="2" t="n"/>
      <c r="AB749" s="2" t="n"/>
      <c r="AC749" s="2" t="n"/>
      <c r="AD749" s="2" t="n">
        <v>40</v>
      </c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>
        <f>IF(F749=1,V749*2,IF(F749=2,V749*F749*2,IF(F749&gt;2,F749*2*V749)))</f>
        <v/>
      </c>
      <c r="AW749" s="2">
        <f>SUM(W749:AU749)</f>
        <v/>
      </c>
    </row>
    <row r="750">
      <c r="A750" s="2" t="inlineStr">
        <is>
          <t>A14-DB-N274</t>
        </is>
      </c>
      <c r="B750" s="3" t="inlineStr">
        <is>
          <t>DOJC-SM-LC/PC-SC/APC</t>
        </is>
      </c>
      <c r="C750" s="2" t="inlineStr">
        <is>
          <t>908040907, 3M, B3, 3.0mm</t>
        </is>
      </c>
      <c r="D750" s="2" t="inlineStr">
        <is>
          <t>b3</t>
        </is>
      </c>
      <c r="E750" s="2" t="inlineStr">
        <is>
          <t>3.0mm</t>
        </is>
      </c>
      <c r="F750" s="2" t="n">
        <v>2</v>
      </c>
      <c r="G750" s="2" t="n">
        <v>3</v>
      </c>
      <c r="H750" s="2" t="inlineStr">
        <is>
          <t>LC/PC</t>
        </is>
      </c>
      <c r="I750" s="2" t="inlineStr">
        <is>
          <t>SC/APC</t>
        </is>
      </c>
      <c r="J750" s="2" t="n">
        <v>2</v>
      </c>
      <c r="K750" s="2" t="n"/>
      <c r="L750" s="2" t="n"/>
      <c r="M750" s="2" t="n"/>
      <c r="N750" s="2" t="n"/>
      <c r="O750" s="2" t="n"/>
      <c r="P750" s="2" t="n"/>
      <c r="Q750" s="2" t="n"/>
      <c r="R750" s="2" t="n">
        <v>10</v>
      </c>
      <c r="S750" s="2" t="n">
        <v>60</v>
      </c>
      <c r="T750" s="2" t="n">
        <v>10</v>
      </c>
      <c r="U750" s="2" t="n">
        <v>30</v>
      </c>
      <c r="V750" s="2">
        <f>SUM(J750:U750)</f>
        <v/>
      </c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>
        <v>224</v>
      </c>
      <c r="AK750" s="2" t="n"/>
      <c r="AL750" s="2" t="n"/>
      <c r="AM750" s="2" t="n"/>
      <c r="AN750" s="2" t="n"/>
      <c r="AO750" s="2" t="n"/>
      <c r="AP750" s="2" t="n"/>
      <c r="AQ750" s="2" t="n">
        <v>224</v>
      </c>
      <c r="AR750" s="2" t="n"/>
      <c r="AS750" s="2" t="n"/>
      <c r="AT750" s="2" t="n"/>
      <c r="AU750" s="2" t="n"/>
      <c r="AV750" s="2">
        <f>IF(F750=1,V750*2,IF(F750=2,V750*F750*2,IF(F750&gt;2,F750*2*V750)))</f>
        <v/>
      </c>
      <c r="AW750" s="2">
        <f>SUM(W750:AU750)</f>
        <v/>
      </c>
    </row>
    <row r="751">
      <c r="A751" s="2" t="inlineStr">
        <is>
          <t>A14-DB-N277</t>
        </is>
      </c>
      <c r="B751" s="3" t="inlineStr">
        <is>
          <t>DOJC-SM-LC/PC-SC/APC</t>
        </is>
      </c>
      <c r="C751" s="2" t="inlineStr">
        <is>
          <t>908040911, 5M, B3, 3.0mm</t>
        </is>
      </c>
      <c r="D751" s="2" t="inlineStr">
        <is>
          <t>b3</t>
        </is>
      </c>
      <c r="E751" s="2" t="inlineStr">
        <is>
          <t>3.0mm</t>
        </is>
      </c>
      <c r="F751" s="2" t="n">
        <v>2</v>
      </c>
      <c r="G751" s="2" t="n">
        <v>5</v>
      </c>
      <c r="H751" s="2" t="inlineStr">
        <is>
          <t>LC/PC</t>
        </is>
      </c>
      <c r="I751" s="2" t="inlineStr">
        <is>
          <t>SC/APC</t>
        </is>
      </c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>
        <v>15</v>
      </c>
      <c r="U751" s="2" t="n"/>
      <c r="V751" s="2">
        <f>SUM(J751:U751)</f>
        <v/>
      </c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>
        <v>30</v>
      </c>
      <c r="AK751" s="2" t="n"/>
      <c r="AL751" s="2" t="n"/>
      <c r="AM751" s="2" t="n"/>
      <c r="AN751" s="2" t="n"/>
      <c r="AO751" s="2" t="n"/>
      <c r="AP751" s="2" t="n"/>
      <c r="AQ751" s="2" t="n">
        <v>30</v>
      </c>
      <c r="AR751" s="2" t="n"/>
      <c r="AS751" s="2" t="n"/>
      <c r="AT751" s="2" t="n"/>
      <c r="AU751" s="2" t="n"/>
      <c r="AV751" s="2">
        <f>IF(F751=1,V751*2,IF(F751=2,V751*F751*2,IF(F751&gt;2,F751*2*V751)))</f>
        <v/>
      </c>
      <c r="AW751" s="2">
        <f>SUM(W751:AU751)</f>
        <v/>
      </c>
    </row>
    <row r="752">
      <c r="A752" s="2" t="inlineStr">
        <is>
          <t>A14-DB-N279</t>
        </is>
      </c>
      <c r="B752" s="3" t="inlineStr">
        <is>
          <t>DOJC-SM-LC/PC-SC/APC</t>
        </is>
      </c>
      <c r="C752" s="2" t="inlineStr">
        <is>
          <t>908040913, 7M, B3, 2.0mm</t>
        </is>
      </c>
      <c r="D752" s="2" t="inlineStr">
        <is>
          <t>b3</t>
        </is>
      </c>
      <c r="E752" s="2" t="inlineStr">
        <is>
          <t>2.0mm</t>
        </is>
      </c>
      <c r="F752" s="2" t="n">
        <v>2</v>
      </c>
      <c r="G752" s="2" t="n">
        <v>7</v>
      </c>
      <c r="H752" s="2" t="inlineStr">
        <is>
          <t>LC/PC</t>
        </is>
      </c>
      <c r="I752" s="2" t="inlineStr">
        <is>
          <t>SC/APC</t>
        </is>
      </c>
      <c r="J752" s="2" t="n"/>
      <c r="K752" s="2" t="n"/>
      <c r="L752" s="2" t="n"/>
      <c r="M752" s="2" t="n">
        <v>20</v>
      </c>
      <c r="N752" s="2" t="n"/>
      <c r="O752" s="2" t="n"/>
      <c r="P752" s="2" t="n"/>
      <c r="Q752" s="2" t="n"/>
      <c r="R752" s="2" t="n">
        <v>30</v>
      </c>
      <c r="S752" s="2" t="n">
        <v>30</v>
      </c>
      <c r="T752" s="2" t="n"/>
      <c r="U752" s="2" t="n"/>
      <c r="V752" s="2">
        <f>SUM(J752:U752)</f>
        <v/>
      </c>
      <c r="W752" s="2" t="n">
        <v>160</v>
      </c>
      <c r="X752" s="2" t="n"/>
      <c r="Y752" s="2" t="n"/>
      <c r="Z752" s="2" t="n"/>
      <c r="AA752" s="2" t="n"/>
      <c r="AB752" s="2" t="n"/>
      <c r="AC752" s="2" t="n"/>
      <c r="AD752" s="2" t="n">
        <v>160</v>
      </c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>
        <f>IF(F752=1,V752*2,IF(F752=2,V752*F752*2,IF(F752&gt;2,F752*2*V752)))</f>
        <v/>
      </c>
      <c r="AW752" s="2">
        <f>SUM(W752:AU752)</f>
        <v/>
      </c>
    </row>
    <row r="753">
      <c r="A753" s="2" t="inlineStr">
        <is>
          <t>A14-DB-N284</t>
        </is>
      </c>
      <c r="B753" s="3" t="inlineStr">
        <is>
          <t>DOJC-SM-LC/PC-SC/PC</t>
        </is>
      </c>
      <c r="C753" s="2" t="inlineStr">
        <is>
          <t>908040868, 10M,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2</v>
      </c>
      <c r="G753" s="2" t="n">
        <v>10</v>
      </c>
      <c r="H753" s="2" t="inlineStr">
        <is>
          <t>LC/PC</t>
        </is>
      </c>
      <c r="I753" s="2" t="inlineStr">
        <is>
          <t>SC/PC</t>
        </is>
      </c>
      <c r="J753" s="2" t="n">
        <v>50</v>
      </c>
      <c r="K753" s="2" t="n"/>
      <c r="L753" s="2" t="n"/>
      <c r="M753" s="2" t="n"/>
      <c r="N753" s="2" t="n"/>
      <c r="O753" s="2" t="n"/>
      <c r="P753" s="2" t="n">
        <v>6</v>
      </c>
      <c r="Q753" s="2" t="n">
        <v>150</v>
      </c>
      <c r="R753" s="2" t="n"/>
      <c r="S753" s="2" t="n"/>
      <c r="T753" s="2" t="n"/>
      <c r="U753" s="2" t="n"/>
      <c r="V753" s="2">
        <f>SUM(J753:U753)</f>
        <v/>
      </c>
      <c r="W753" s="2" t="n">
        <v>412</v>
      </c>
      <c r="X753" s="2" t="n"/>
      <c r="Y753" s="2" t="n"/>
      <c r="Z753" s="2" t="n"/>
      <c r="AA753" s="2" t="n"/>
      <c r="AB753" s="2" t="n">
        <v>412</v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>
        <f>IF(F753=1,V753*2,IF(F753=2,V753*F753*2,IF(F753&gt;2,F753*2*V753)))</f>
        <v/>
      </c>
      <c r="AW753" s="2">
        <f>SUM(W753:AU753)</f>
        <v/>
      </c>
    </row>
    <row r="754">
      <c r="A754" s="2" t="inlineStr">
        <is>
          <t>A14-DB-N286</t>
        </is>
      </c>
      <c r="B754" s="3" t="inlineStr">
        <is>
          <t>DOJC-SM-LC/PC-SC/PC</t>
        </is>
      </c>
      <c r="C754" s="2" t="inlineStr">
        <is>
          <t>908040870, 12M,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2</v>
      </c>
      <c r="G754" s="2" t="n">
        <v>12</v>
      </c>
      <c r="H754" s="2" t="inlineStr">
        <is>
          <t>LC/PC</t>
        </is>
      </c>
      <c r="I754" s="2" t="inlineStr">
        <is>
          <t>SC/PC</t>
        </is>
      </c>
      <c r="J754" s="2" t="n"/>
      <c r="K754" s="2" t="n">
        <v>120</v>
      </c>
      <c r="L754" s="2" t="n"/>
      <c r="M754" s="2" t="n"/>
      <c r="N754" s="2" t="n"/>
      <c r="O754" s="2" t="n"/>
      <c r="P754" s="2" t="n"/>
      <c r="Q754" s="2" t="n"/>
      <c r="R754" s="2" t="n">
        <v>20</v>
      </c>
      <c r="S754" s="2" t="n">
        <v>50</v>
      </c>
      <c r="T754" s="2" t="n">
        <v>20</v>
      </c>
      <c r="U754" s="2" t="n"/>
      <c r="V754" s="2">
        <f>SUM(J754:U754)</f>
        <v/>
      </c>
      <c r="W754" s="2" t="n">
        <v>420</v>
      </c>
      <c r="X754" s="2" t="n"/>
      <c r="Y754" s="2" t="n"/>
      <c r="Z754" s="2" t="n"/>
      <c r="AA754" s="2" t="n"/>
      <c r="AB754" s="2" t="n">
        <v>420</v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>
        <f>IF(F754=1,V754*2,IF(F754=2,V754*F754*2,IF(F754&gt;2,F754*2*V754)))</f>
        <v/>
      </c>
      <c r="AW754" s="2">
        <f>SUM(W754:AU754)</f>
        <v/>
      </c>
    </row>
    <row r="755">
      <c r="A755" s="2" t="inlineStr">
        <is>
          <t>A14-DB-N291</t>
        </is>
      </c>
      <c r="B755" s="3" t="inlineStr">
        <is>
          <t>DOJC-SM-LC/PC-SC/PC</t>
        </is>
      </c>
      <c r="C755" s="2" t="inlineStr">
        <is>
          <t>17M,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2</v>
      </c>
      <c r="G755" s="2" t="n">
        <v>17</v>
      </c>
      <c r="H755" s="2" t="inlineStr">
        <is>
          <t>LC/PC</t>
        </is>
      </c>
      <c r="I755" s="2" t="inlineStr">
        <is>
          <t>SC/PC</t>
        </is>
      </c>
      <c r="J755" s="2" t="n"/>
      <c r="K755" s="2" t="n"/>
      <c r="L755" s="2" t="n"/>
      <c r="M755" s="2" t="n"/>
      <c r="N755" s="2" t="n"/>
      <c r="O755" s="2" t="n">
        <v>7</v>
      </c>
      <c r="P755" s="2" t="n"/>
      <c r="Q755" s="2" t="n"/>
      <c r="R755" s="2" t="n"/>
      <c r="S755" s="2" t="n"/>
      <c r="T755" s="2" t="n"/>
      <c r="U755" s="2" t="n"/>
      <c r="V755" s="2">
        <f>SUM(J755:U755)</f>
        <v/>
      </c>
      <c r="W755" s="2" t="n">
        <v>14</v>
      </c>
      <c r="X755" s="2" t="n"/>
      <c r="Y755" s="2" t="n"/>
      <c r="Z755" s="2" t="n"/>
      <c r="AA755" s="2" t="n"/>
      <c r="AB755" s="2" t="n">
        <v>14</v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>
        <f>IF(F755=1,V755*2,IF(F755=2,V755*F755*2,IF(F755&gt;2,F755*2*V755)))</f>
        <v/>
      </c>
      <c r="AW755" s="2">
        <f>SUM(W755:AU755)</f>
        <v/>
      </c>
    </row>
    <row r="756">
      <c r="A756" s="2" t="inlineStr">
        <is>
          <t>A14-DB-N304</t>
        </is>
      </c>
      <c r="B756" s="3" t="inlineStr">
        <is>
          <t>DOJC-SM-LC/PC-SC/PC</t>
        </is>
      </c>
      <c r="C756" s="2" t="inlineStr">
        <is>
          <t>908040888, 30M, B3, 2.0mm</t>
        </is>
      </c>
      <c r="D756" s="2" t="inlineStr">
        <is>
          <t>b3</t>
        </is>
      </c>
      <c r="E756" s="2" t="inlineStr">
        <is>
          <t>2.0mm</t>
        </is>
      </c>
      <c r="F756" s="2" t="n">
        <v>2</v>
      </c>
      <c r="G756" s="2" t="n">
        <v>30</v>
      </c>
      <c r="H756" s="2" t="inlineStr">
        <is>
          <t>LC/PC</t>
        </is>
      </c>
      <c r="I756" s="2" t="inlineStr">
        <is>
          <t>SC/PC</t>
        </is>
      </c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>
        <v>2</v>
      </c>
      <c r="S756" s="2" t="n">
        <v>10</v>
      </c>
      <c r="T756" s="2" t="n">
        <v>41</v>
      </c>
      <c r="U756" s="2" t="n">
        <v>51</v>
      </c>
      <c r="V756" s="2">
        <f>SUM(J756:U756)</f>
        <v/>
      </c>
      <c r="W756" s="2" t="n">
        <v>208</v>
      </c>
      <c r="X756" s="2" t="n"/>
      <c r="Y756" s="2" t="n"/>
      <c r="Z756" s="2" t="n"/>
      <c r="AA756" s="2" t="n"/>
      <c r="AB756" s="2" t="n">
        <v>208</v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>
        <f>IF(F756=1,V756*2,IF(F756=2,V756*F756*2,IF(F756&gt;2,F756*2*V756)))</f>
        <v/>
      </c>
      <c r="AW756" s="2">
        <f>SUM(W756:AU756)</f>
        <v/>
      </c>
    </row>
    <row r="757">
      <c r="A757" s="2" t="inlineStr">
        <is>
          <t>A14-DB-N307</t>
        </is>
      </c>
      <c r="B757" s="3" t="inlineStr">
        <is>
          <t>DOJC-SM-LC/PC-SC/PC</t>
        </is>
      </c>
      <c r="C757" s="2" t="inlineStr">
        <is>
          <t>908040859, 3M, B3, 3.0mm</t>
        </is>
      </c>
      <c r="D757" s="2" t="inlineStr">
        <is>
          <t>b3</t>
        </is>
      </c>
      <c r="E757" s="2" t="inlineStr">
        <is>
          <t>3.0mm</t>
        </is>
      </c>
      <c r="F757" s="2" t="n">
        <v>2</v>
      </c>
      <c r="G757" s="2" t="n">
        <v>3</v>
      </c>
      <c r="H757" s="2" t="inlineStr">
        <is>
          <t>LC/PC</t>
        </is>
      </c>
      <c r="I757" s="2" t="inlineStr">
        <is>
          <t>SC/PC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>
        <v>50</v>
      </c>
      <c r="S757" s="2" t="n"/>
      <c r="T757" s="2" t="n"/>
      <c r="U757" s="2" t="n"/>
      <c r="V757" s="2">
        <f>SUM(J757:U757)</f>
        <v/>
      </c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>
        <v>100</v>
      </c>
      <c r="AK757" s="2" t="n"/>
      <c r="AL757" s="2" t="n"/>
      <c r="AM757" s="2" t="n"/>
      <c r="AN757" s="2" t="n"/>
      <c r="AO757" s="2" t="n">
        <v>100</v>
      </c>
      <c r="AP757" s="2" t="n"/>
      <c r="AQ757" s="2" t="n"/>
      <c r="AR757" s="2" t="n"/>
      <c r="AS757" s="2" t="n"/>
      <c r="AT757" s="2" t="n"/>
      <c r="AU757" s="2" t="n"/>
      <c r="AV757" s="2">
        <f>IF(F757=1,V757*2,IF(F757=2,V757*F757*2,IF(F757&gt;2,F757*2*V757)))</f>
        <v/>
      </c>
      <c r="AW757" s="2">
        <f>SUM(W757:AU757)</f>
        <v/>
      </c>
    </row>
    <row r="758">
      <c r="A758" s="2" t="inlineStr">
        <is>
          <t>A14-DB-N308</t>
        </is>
      </c>
      <c r="B758" s="3" t="inlineStr">
        <is>
          <t>DOJC-SM-LC/PC-SC/PC</t>
        </is>
      </c>
      <c r="C758" s="2" t="inlineStr">
        <is>
          <t>920000729, 40M, B3, 2.0mm</t>
        </is>
      </c>
      <c r="D758" s="2" t="inlineStr">
        <is>
          <t>b3</t>
        </is>
      </c>
      <c r="E758" s="2" t="inlineStr">
        <is>
          <t>2.0mm</t>
        </is>
      </c>
      <c r="F758" s="2" t="n">
        <v>2</v>
      </c>
      <c r="G758" s="2" t="n">
        <v>40</v>
      </c>
      <c r="H758" s="2" t="inlineStr">
        <is>
          <t>LC/PC</t>
        </is>
      </c>
      <c r="I758" s="2" t="inlineStr">
        <is>
          <t>SC/PC</t>
        </is>
      </c>
      <c r="J758" s="2" t="n"/>
      <c r="K758" s="2" t="n"/>
      <c r="L758" s="2" t="n"/>
      <c r="M758" s="2" t="n"/>
      <c r="N758" s="2" t="n"/>
      <c r="O758" s="2" t="n"/>
      <c r="P758" s="2" t="n">
        <v>5</v>
      </c>
      <c r="Q758" s="2" t="n"/>
      <c r="R758" s="2" t="n">
        <v>10</v>
      </c>
      <c r="S758" s="2" t="n">
        <v>2</v>
      </c>
      <c r="T758" s="2" t="n">
        <v>7</v>
      </c>
      <c r="U758" s="2" t="n">
        <v>5</v>
      </c>
      <c r="V758" s="2">
        <f>SUM(J758:U758)</f>
        <v/>
      </c>
      <c r="W758" s="2" t="n">
        <v>58</v>
      </c>
      <c r="X758" s="2" t="n"/>
      <c r="Y758" s="2" t="n"/>
      <c r="Z758" s="2" t="n"/>
      <c r="AA758" s="2" t="n"/>
      <c r="AB758" s="2" t="n">
        <v>58</v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>
        <f>IF(F758=1,V758*2,IF(F758=2,V758*F758*2,IF(F758&gt;2,F758*2*V758)))</f>
        <v/>
      </c>
      <c r="AW758" s="2">
        <f>SUM(W758:AU758)</f>
        <v/>
      </c>
    </row>
    <row r="759">
      <c r="A759" s="2" t="inlineStr">
        <is>
          <t>A14-DB-N310</t>
        </is>
      </c>
      <c r="B759" s="3" t="inlineStr">
        <is>
          <t>DOJC-SM-LC/PC-SC/PC</t>
        </is>
      </c>
      <c r="C759" s="2" t="inlineStr">
        <is>
          <t>908040862, 4M, B3, 3.0mm</t>
        </is>
      </c>
      <c r="D759" s="2" t="inlineStr">
        <is>
          <t>b3</t>
        </is>
      </c>
      <c r="E759" s="2" t="inlineStr">
        <is>
          <t>3.0mm</t>
        </is>
      </c>
      <c r="F759" s="2" t="n">
        <v>2</v>
      </c>
      <c r="G759" s="2" t="n">
        <v>4</v>
      </c>
      <c r="H759" s="2" t="inlineStr">
        <is>
          <t>LC/PC</t>
        </is>
      </c>
      <c r="I759" s="2" t="inlineStr">
        <is>
          <t>SC/PC</t>
        </is>
      </c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>
        <v>15</v>
      </c>
      <c r="T759" s="2" t="n"/>
      <c r="U759" s="2" t="n"/>
      <c r="V759" s="2">
        <f>SUM(J759:U759)</f>
        <v/>
      </c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>
        <v>30</v>
      </c>
      <c r="AK759" s="2" t="n"/>
      <c r="AL759" s="2" t="n"/>
      <c r="AM759" s="2" t="n"/>
      <c r="AN759" s="2" t="n"/>
      <c r="AO759" s="2" t="n">
        <v>30</v>
      </c>
      <c r="AP759" s="2" t="n"/>
      <c r="AQ759" s="2" t="n"/>
      <c r="AR759" s="2" t="n"/>
      <c r="AS759" s="2" t="n"/>
      <c r="AT759" s="2" t="n"/>
      <c r="AU759" s="2" t="n"/>
      <c r="AV759" s="2">
        <f>IF(F759=1,V759*2,IF(F759=2,V759*F759*2,IF(F759&gt;2,F759*2*V759)))</f>
        <v/>
      </c>
      <c r="AW759" s="2">
        <f>SUM(W759:AU759)</f>
        <v/>
      </c>
    </row>
    <row r="760">
      <c r="A760" s="2" t="inlineStr">
        <is>
          <t>A14-DB-N313</t>
        </is>
      </c>
      <c r="B760" s="3" t="inlineStr">
        <is>
          <t>DOJC-SM-LC/PC-SC/PC</t>
        </is>
      </c>
      <c r="C760" s="2" t="inlineStr">
        <is>
          <t>908040863, 5M, B3, 3.0mm</t>
        </is>
      </c>
      <c r="D760" s="2" t="inlineStr">
        <is>
          <t>b3</t>
        </is>
      </c>
      <c r="E760" s="2" t="inlineStr">
        <is>
          <t>3.0mm</t>
        </is>
      </c>
      <c r="F760" s="2" t="n">
        <v>2</v>
      </c>
      <c r="G760" s="2" t="n">
        <v>5</v>
      </c>
      <c r="H760" s="2" t="inlineStr">
        <is>
          <t>LC/PC</t>
        </is>
      </c>
      <c r="I760" s="2" t="inlineStr">
        <is>
          <t>SC/PC</t>
        </is>
      </c>
      <c r="J760" s="2" t="n"/>
      <c r="K760" s="2" t="n"/>
      <c r="L760" s="2" t="n">
        <v>55</v>
      </c>
      <c r="M760" s="2" t="n">
        <v>10</v>
      </c>
      <c r="N760" s="2" t="n">
        <v>10</v>
      </c>
      <c r="O760" s="2" t="n"/>
      <c r="P760" s="2" t="n"/>
      <c r="Q760" s="2" t="n">
        <v>10</v>
      </c>
      <c r="R760" s="2" t="n"/>
      <c r="S760" s="2" t="n"/>
      <c r="T760" s="2" t="n">
        <v>15</v>
      </c>
      <c r="U760" s="2" t="n"/>
      <c r="V760" s="2">
        <f>SUM(J760:U760)</f>
        <v/>
      </c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>
        <v>200</v>
      </c>
      <c r="AK760" s="2" t="n"/>
      <c r="AL760" s="2" t="n"/>
      <c r="AM760" s="2" t="n"/>
      <c r="AN760" s="2" t="n"/>
      <c r="AO760" s="2" t="n">
        <v>200</v>
      </c>
      <c r="AP760" s="2" t="n"/>
      <c r="AQ760" s="2" t="n"/>
      <c r="AR760" s="2" t="n"/>
      <c r="AS760" s="2" t="n"/>
      <c r="AT760" s="2" t="n"/>
      <c r="AU760" s="2" t="n"/>
      <c r="AV760" s="2">
        <f>IF(F760=1,V760*2,IF(F760=2,V760*F760*2,IF(F760&gt;2,F760*2*V760)))</f>
        <v/>
      </c>
      <c r="AW760" s="2">
        <f>SUM(W760:AU760)</f>
        <v/>
      </c>
    </row>
    <row r="761">
      <c r="A761" s="2" t="inlineStr">
        <is>
          <t>A14-DB-N315</t>
        </is>
      </c>
      <c r="B761" s="3" t="inlineStr">
        <is>
          <t>DOJC-SM-FC/APC-FC/APC</t>
        </is>
      </c>
      <c r="C761" s="2" t="inlineStr">
        <is>
          <t>50m, B3, 2.0mm</t>
        </is>
      </c>
      <c r="D761" s="2" t="inlineStr">
        <is>
          <t>b3</t>
        </is>
      </c>
      <c r="E761" s="2" t="inlineStr">
        <is>
          <t>2.0mm</t>
        </is>
      </c>
      <c r="F761" s="2" t="n">
        <v>2</v>
      </c>
      <c r="G761" s="2" t="n">
        <v>50</v>
      </c>
      <c r="H761" s="2" t="inlineStr">
        <is>
          <t>FC/APC</t>
        </is>
      </c>
      <c r="I761" s="2" t="inlineStr">
        <is>
          <t>FC/APC</t>
        </is>
      </c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>
        <v>10</v>
      </c>
      <c r="T761" s="2" t="n"/>
      <c r="U761" s="2" t="n"/>
      <c r="V761" s="2">
        <f>SUM(J761:U761)</f>
        <v/>
      </c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>
        <v>20</v>
      </c>
      <c r="AH761" s="2" t="n">
        <v>20</v>
      </c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>
        <f>IF(F761=1,V761*2,IF(F761=2,V761*F761*2,IF(F761&gt;2,F761*2*V761)))</f>
        <v/>
      </c>
      <c r="AW761" s="2">
        <f>SUM(W761:AU761)</f>
        <v/>
      </c>
    </row>
    <row r="762">
      <c r="A762" s="2" t="inlineStr">
        <is>
          <t>A14-DB-N316</t>
        </is>
      </c>
      <c r="B762" s="3" t="inlineStr">
        <is>
          <t>DOJC-SM-LC/PC-SC/PC</t>
        </is>
      </c>
      <c r="C762" s="2" t="inlineStr">
        <is>
          <t>908040864, 6M,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2</v>
      </c>
      <c r="G762" s="2" t="n">
        <v>6</v>
      </c>
      <c r="H762" s="2" t="inlineStr">
        <is>
          <t>LC/PC</t>
        </is>
      </c>
      <c r="I762" s="2" t="inlineStr">
        <is>
          <t>SC/PC</t>
        </is>
      </c>
      <c r="J762" s="2" t="n"/>
      <c r="K762" s="2" t="n"/>
      <c r="L762" s="2" t="n"/>
      <c r="M762" s="2" t="n"/>
      <c r="N762" s="2" t="n"/>
      <c r="O762" s="2" t="n">
        <v>50</v>
      </c>
      <c r="P762" s="2" t="n"/>
      <c r="Q762" s="2" t="n"/>
      <c r="R762" s="2" t="n"/>
      <c r="S762" s="2" t="n"/>
      <c r="T762" s="2" t="n">
        <v>10</v>
      </c>
      <c r="U762" s="2" t="n"/>
      <c r="V762" s="2">
        <f>SUM(J762:U762)</f>
        <v/>
      </c>
      <c r="W762" s="2" t="n">
        <v>120</v>
      </c>
      <c r="X762" s="2" t="n"/>
      <c r="Y762" s="2" t="n"/>
      <c r="Z762" s="2" t="n"/>
      <c r="AA762" s="2" t="n"/>
      <c r="AB762" s="2" t="n">
        <v>120</v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>
        <f>IF(F762=1,V762*2,IF(F762=2,V762*F762*2,IF(F762&gt;2,F762*2*V762)))</f>
        <v/>
      </c>
      <c r="AW762" s="2">
        <f>SUM(W762:AU762)</f>
        <v/>
      </c>
    </row>
    <row r="763">
      <c r="A763" s="2" t="inlineStr">
        <is>
          <t>A14-DB-N318</t>
        </is>
      </c>
      <c r="B763" s="3" t="inlineStr">
        <is>
          <t>DOJC-SM-LC/PC-SC/PC</t>
        </is>
      </c>
      <c r="C763" s="2" t="inlineStr">
        <is>
          <t>908040865, 7M,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2</v>
      </c>
      <c r="G763" s="2" t="n">
        <v>7</v>
      </c>
      <c r="H763" s="2" t="inlineStr">
        <is>
          <t>LC/PC</t>
        </is>
      </c>
      <c r="I763" s="2" t="inlineStr">
        <is>
          <t>SC/PC</t>
        </is>
      </c>
      <c r="J763" s="2" t="n">
        <v>60</v>
      </c>
      <c r="K763" s="2" t="n">
        <v>5</v>
      </c>
      <c r="L763" s="2" t="n">
        <v>50</v>
      </c>
      <c r="M763" s="2" t="n">
        <v>60</v>
      </c>
      <c r="N763" s="2" t="n">
        <v>5</v>
      </c>
      <c r="O763" s="2" t="n">
        <v>30</v>
      </c>
      <c r="P763" s="2" t="n">
        <v>50</v>
      </c>
      <c r="Q763" s="2" t="n"/>
      <c r="R763" s="2" t="n"/>
      <c r="S763" s="2" t="n">
        <v>90</v>
      </c>
      <c r="T763" s="2" t="n">
        <v>20</v>
      </c>
      <c r="U763" s="2" t="n"/>
      <c r="V763" s="2">
        <f>SUM(J763:U763)</f>
        <v/>
      </c>
      <c r="W763" s="2" t="n">
        <v>740</v>
      </c>
      <c r="X763" s="2" t="n"/>
      <c r="Y763" s="2" t="n"/>
      <c r="Z763" s="2" t="n"/>
      <c r="AA763" s="2" t="n"/>
      <c r="AB763" s="2" t="n">
        <v>740</v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>
        <f>IF(F763=1,V763*2,IF(F763=2,V763*F763*2,IF(F763&gt;2,F763*2*V763)))</f>
        <v/>
      </c>
      <c r="AW763" s="2">
        <f>SUM(W763:AU763)</f>
        <v/>
      </c>
    </row>
    <row r="764">
      <c r="A764" s="2" t="inlineStr">
        <is>
          <t>A14-DB-N320</t>
        </is>
      </c>
      <c r="B764" s="3" t="inlineStr">
        <is>
          <t>DOJC-SM-LC/PC-SC/PC</t>
        </is>
      </c>
      <c r="C764" s="2" t="inlineStr">
        <is>
          <t>908040866, 8M, B3, 2.0mm</t>
        </is>
      </c>
      <c r="D764" s="2" t="inlineStr">
        <is>
          <t>b3</t>
        </is>
      </c>
      <c r="E764" s="2" t="inlineStr">
        <is>
          <t>2.0mm</t>
        </is>
      </c>
      <c r="F764" s="2" t="n">
        <v>2</v>
      </c>
      <c r="G764" s="2" t="n">
        <v>8</v>
      </c>
      <c r="H764" s="2" t="inlineStr">
        <is>
          <t>LC/PC</t>
        </is>
      </c>
      <c r="I764" s="2" t="inlineStr">
        <is>
          <t>SC/PC</t>
        </is>
      </c>
      <c r="J764" s="2" t="n"/>
      <c r="K764" s="2" t="n"/>
      <c r="L764" s="2" t="n">
        <v>1</v>
      </c>
      <c r="M764" s="2" t="n">
        <v>30</v>
      </c>
      <c r="N764" s="2" t="n"/>
      <c r="O764" s="2" t="n"/>
      <c r="P764" s="2" t="n"/>
      <c r="Q764" s="2" t="n"/>
      <c r="R764" s="2" t="n">
        <v>20</v>
      </c>
      <c r="S764" s="2" t="n"/>
      <c r="T764" s="2" t="n"/>
      <c r="U764" s="2" t="n"/>
      <c r="V764" s="2">
        <f>SUM(J764:U764)</f>
        <v/>
      </c>
      <c r="W764" s="2" t="n">
        <v>102</v>
      </c>
      <c r="X764" s="2" t="n"/>
      <c r="Y764" s="2" t="n"/>
      <c r="Z764" s="2" t="n"/>
      <c r="AA764" s="2" t="n"/>
      <c r="AB764" s="2" t="n">
        <v>102</v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>
        <f>IF(F764=1,V764*2,IF(F764=2,V764*F764*2,IF(F764&gt;2,F764*2*V764)))</f>
        <v/>
      </c>
      <c r="AW764" s="2">
        <f>SUM(W764:AU764)</f>
        <v/>
      </c>
    </row>
    <row r="765">
      <c r="A765" s="2" t="inlineStr">
        <is>
          <t>A14-DB-N379</t>
        </is>
      </c>
      <c r="B765" s="3" t="inlineStr">
        <is>
          <t>DOJC-SM-SC/APC-SC/APC</t>
        </is>
      </c>
      <c r="C765" s="2" t="inlineStr">
        <is>
          <t>908040567, 10M,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2</v>
      </c>
      <c r="G765" s="2" t="n">
        <v>10</v>
      </c>
      <c r="H765" s="2" t="inlineStr">
        <is>
          <t>SC/APC</t>
        </is>
      </c>
      <c r="I765" s="2" t="inlineStr">
        <is>
          <t>SC/APC</t>
        </is>
      </c>
      <c r="J765" s="2" t="n"/>
      <c r="K765" s="2" t="n"/>
      <c r="L765" s="2" t="n"/>
      <c r="M765" s="2" t="n"/>
      <c r="N765" s="2" t="n"/>
      <c r="O765" s="2" t="n">
        <v>5</v>
      </c>
      <c r="P765" s="2" t="n"/>
      <c r="Q765" s="2" t="n"/>
      <c r="R765" s="2" t="n">
        <v>10</v>
      </c>
      <c r="S765" s="2" t="n"/>
      <c r="T765" s="2" t="n"/>
      <c r="U765" s="2" t="n"/>
      <c r="V765" s="2">
        <f>SUM(J765:U765)</f>
        <v/>
      </c>
      <c r="W765" s="2" t="n"/>
      <c r="X765" s="2" t="n"/>
      <c r="Y765" s="2" t="n"/>
      <c r="Z765" s="2" t="n"/>
      <c r="AA765" s="2" t="n"/>
      <c r="AB765" s="2" t="n"/>
      <c r="AC765" s="2" t="n">
        <v>30</v>
      </c>
      <c r="AD765" s="2" t="n">
        <v>30</v>
      </c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>
        <f>IF(F765=1,V765*2,IF(F765=2,V765*F765*2,IF(F765&gt;2,F765*2*V765)))</f>
        <v/>
      </c>
      <c r="AW765" s="2">
        <f>SUM(W765:AU765)</f>
        <v/>
      </c>
    </row>
    <row r="766">
      <c r="A766" s="2" t="inlineStr">
        <is>
          <t>A14-DB-N381</t>
        </is>
      </c>
      <c r="B766" s="3" t="inlineStr">
        <is>
          <t>DOJC-SM-SC/APC-SC/APC</t>
        </is>
      </c>
      <c r="C766" s="2" t="inlineStr">
        <is>
          <t>908040572, 15M,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2</v>
      </c>
      <c r="G766" s="2" t="n">
        <v>15</v>
      </c>
      <c r="H766" s="2" t="inlineStr">
        <is>
          <t>SC/APC</t>
        </is>
      </c>
      <c r="I766" s="2" t="inlineStr">
        <is>
          <t>SC/APC</t>
        </is>
      </c>
      <c r="J766" s="2" t="n"/>
      <c r="K766" s="2" t="n">
        <v>10</v>
      </c>
      <c r="L766" s="2" t="n"/>
      <c r="M766" s="2" t="n"/>
      <c r="N766" s="2" t="n"/>
      <c r="O766" s="2" t="n"/>
      <c r="P766" s="2" t="n"/>
      <c r="Q766" s="2" t="n"/>
      <c r="R766" s="2" t="n">
        <v>10</v>
      </c>
      <c r="S766" s="2" t="n"/>
      <c r="T766" s="2" t="n">
        <v>20</v>
      </c>
      <c r="U766" s="2" t="n"/>
      <c r="V766" s="2">
        <f>SUM(J766:U766)</f>
        <v/>
      </c>
      <c r="W766" s="2" t="n"/>
      <c r="X766" s="2" t="n"/>
      <c r="Y766" s="2" t="n"/>
      <c r="Z766" s="2" t="n"/>
      <c r="AA766" s="2" t="n"/>
      <c r="AB766" s="2" t="n"/>
      <c r="AC766" s="2" t="n">
        <v>80</v>
      </c>
      <c r="AD766" s="2" t="n">
        <v>80</v>
      </c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>
        <f>IF(F766=1,V766*2,IF(F766=2,V766*F766*2,IF(F766&gt;2,F766*2*V766)))</f>
        <v/>
      </c>
      <c r="AW766" s="2">
        <f>SUM(W766:AU766)</f>
        <v/>
      </c>
    </row>
    <row r="767">
      <c r="A767" s="2" t="inlineStr">
        <is>
          <t>A14-DB-N383</t>
        </is>
      </c>
      <c r="B767" s="3" t="inlineStr">
        <is>
          <t>DOJC-SM-SC/APC-SC/APC</t>
        </is>
      </c>
      <c r="C767" s="2" t="inlineStr">
        <is>
          <t>908040577, 20M,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2</v>
      </c>
      <c r="G767" s="2" t="n">
        <v>20</v>
      </c>
      <c r="H767" s="2" t="inlineStr">
        <is>
          <t>SC/APC</t>
        </is>
      </c>
      <c r="I767" s="2" t="inlineStr">
        <is>
          <t>SC/APC</t>
        </is>
      </c>
      <c r="J767" s="2" t="n"/>
      <c r="K767" s="2" t="n"/>
      <c r="L767" s="2" t="n"/>
      <c r="M767" s="2" t="n"/>
      <c r="N767" s="2" t="n">
        <v>7</v>
      </c>
      <c r="O767" s="2" t="n"/>
      <c r="P767" s="2" t="n"/>
      <c r="Q767" s="2" t="n"/>
      <c r="R767" s="2" t="n"/>
      <c r="S767" s="2" t="n"/>
      <c r="T767" s="2" t="n"/>
      <c r="U767" s="2" t="n"/>
      <c r="V767" s="2">
        <f>SUM(J767:U767)</f>
        <v/>
      </c>
      <c r="W767" s="2" t="n"/>
      <c r="X767" s="2" t="n"/>
      <c r="Y767" s="2" t="n"/>
      <c r="Z767" s="2" t="n"/>
      <c r="AA767" s="2" t="n"/>
      <c r="AB767" s="2" t="n"/>
      <c r="AC767" s="2" t="n">
        <v>14</v>
      </c>
      <c r="AD767" s="2" t="n">
        <v>14</v>
      </c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>
        <f>IF(F767=1,V767*2,IF(F767=2,V767*F767*2,IF(F767&gt;2,F767*2*V767)))</f>
        <v/>
      </c>
      <c r="AW767" s="2">
        <f>SUM(W767:AU767)</f>
        <v/>
      </c>
    </row>
    <row r="768">
      <c r="A768" s="2" t="inlineStr">
        <is>
          <t>A14-DB-N388</t>
        </is>
      </c>
      <c r="B768" s="3" t="inlineStr">
        <is>
          <t>DOJC-SM-SC/APC-SC/APC</t>
        </is>
      </c>
      <c r="C768" s="2" t="inlineStr">
        <is>
          <t>908040558, 3M, B3, 3.0mm</t>
        </is>
      </c>
      <c r="D768" s="2" t="inlineStr">
        <is>
          <t>b3</t>
        </is>
      </c>
      <c r="E768" s="2" t="inlineStr">
        <is>
          <t>3.0mm</t>
        </is>
      </c>
      <c r="F768" s="2" t="n">
        <v>2</v>
      </c>
      <c r="G768" s="2" t="n">
        <v>3</v>
      </c>
      <c r="H768" s="2" t="inlineStr">
        <is>
          <t>SC/APC</t>
        </is>
      </c>
      <c r="I768" s="2" t="inlineStr">
        <is>
          <t>SC/APC</t>
        </is>
      </c>
      <c r="J768" s="2" t="n">
        <v>73</v>
      </c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>
        <v>62</v>
      </c>
      <c r="T768" s="2" t="n"/>
      <c r="U768" s="2" t="n"/>
      <c r="V768" s="2">
        <f>SUM(J768:U768)</f>
        <v/>
      </c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>
        <v>270</v>
      </c>
      <c r="AQ768" s="2" t="n">
        <v>270</v>
      </c>
      <c r="AR768" s="2" t="n"/>
      <c r="AS768" s="2" t="n"/>
      <c r="AT768" s="2" t="n"/>
      <c r="AU768" s="2" t="n"/>
      <c r="AV768" s="2">
        <f>IF(F768=1,V768*2,IF(F768=2,V768*F768*2,IF(F768&gt;2,F768*2*V768)))</f>
        <v/>
      </c>
      <c r="AW768" s="2">
        <f>SUM(W768:AU768)</f>
        <v/>
      </c>
    </row>
    <row r="769">
      <c r="A769" s="2" t="inlineStr">
        <is>
          <t>A14-DB-N392</t>
        </is>
      </c>
      <c r="B769" s="3" t="inlineStr">
        <is>
          <t>DOJC-SM-SC/APC-SC/APC</t>
        </is>
      </c>
      <c r="C769" s="2" t="inlineStr">
        <is>
          <t>908040562, 5M, B3, 3.0mm</t>
        </is>
      </c>
      <c r="D769" s="2" t="inlineStr">
        <is>
          <t>b3</t>
        </is>
      </c>
      <c r="E769" s="2" t="inlineStr">
        <is>
          <t>3.0mm</t>
        </is>
      </c>
      <c r="F769" s="2" t="n">
        <v>2</v>
      </c>
      <c r="G769" s="2" t="n">
        <v>5</v>
      </c>
      <c r="H769" s="2" t="inlineStr">
        <is>
          <t>SC/APC</t>
        </is>
      </c>
      <c r="I769" s="2" t="inlineStr">
        <is>
          <t>SC/APC</t>
        </is>
      </c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>
        <v>10</v>
      </c>
      <c r="S769" s="2" t="n"/>
      <c r="T769" s="2" t="n"/>
      <c r="U769" s="2" t="n"/>
      <c r="V769" s="2">
        <f>SUM(J769:U769)</f>
        <v/>
      </c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>
        <v>20</v>
      </c>
      <c r="AQ769" s="2" t="n">
        <v>20</v>
      </c>
      <c r="AR769" s="2" t="n"/>
      <c r="AS769" s="2" t="n"/>
      <c r="AT769" s="2" t="n"/>
      <c r="AU769" s="2" t="n"/>
      <c r="AV769" s="2">
        <f>IF(F769=1,V769*2,IF(F769=2,V769*F769*2,IF(F769&gt;2,F769*2*V769)))</f>
        <v/>
      </c>
      <c r="AW769" s="2">
        <f>SUM(W769:AU769)</f>
        <v/>
      </c>
    </row>
    <row r="770">
      <c r="A770" s="2" t="inlineStr">
        <is>
          <t>A14-DB-N400</t>
        </is>
      </c>
      <c r="B770" s="3" t="inlineStr">
        <is>
          <t>DOJC-SM-SC/PC-FC/APC</t>
        </is>
      </c>
      <c r="C770" s="2" t="inlineStr">
        <is>
          <t>908040447, 15M,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2</v>
      </c>
      <c r="G770" s="2" t="n">
        <v>15</v>
      </c>
      <c r="H770" s="2" t="inlineStr">
        <is>
          <t>SC/PC</t>
        </is>
      </c>
      <c r="I770" s="2" t="inlineStr">
        <is>
          <t>FC/APC</t>
        </is>
      </c>
      <c r="J770" s="2" t="n">
        <v>20</v>
      </c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>
        <f>SUM(J770:U770)</f>
        <v/>
      </c>
      <c r="W770" s="2" t="n"/>
      <c r="X770" s="2" t="n"/>
      <c r="Y770" s="2" t="n"/>
      <c r="Z770" s="2" t="n"/>
      <c r="AA770" s="2" t="n">
        <v>40</v>
      </c>
      <c r="AB770" s="2" t="n"/>
      <c r="AC770" s="2" t="n"/>
      <c r="AD770" s="2" t="n"/>
      <c r="AE770" s="2" t="n"/>
      <c r="AF770" s="2" t="n"/>
      <c r="AG770" s="2" t="n"/>
      <c r="AH770" s="2" t="n">
        <v>40</v>
      </c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>
        <f>IF(F770=1,V770*2,IF(F770=2,V770*F770*2,IF(F770&gt;2,F770*2*V770)))</f>
        <v/>
      </c>
      <c r="AW770" s="2">
        <f>SUM(W770:AU770)</f>
        <v/>
      </c>
    </row>
    <row r="771">
      <c r="A771" s="2" t="inlineStr">
        <is>
          <t>A14-DB-N407</t>
        </is>
      </c>
      <c r="B771" s="3" t="inlineStr">
        <is>
          <t>DOJC-SM-SC/PC-FC/APC</t>
        </is>
      </c>
      <c r="C771" s="2" t="inlineStr">
        <is>
          <t>908040457, 25M,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2</v>
      </c>
      <c r="G771" s="2" t="n">
        <v>25</v>
      </c>
      <c r="H771" s="2" t="inlineStr">
        <is>
          <t>SC/PC</t>
        </is>
      </c>
      <c r="I771" s="2" t="inlineStr">
        <is>
          <t>FC/APC</t>
        </is>
      </c>
      <c r="J771" s="2" t="n"/>
      <c r="K771" s="2" t="n">
        <v>14</v>
      </c>
      <c r="L771" s="2" t="n">
        <v>20</v>
      </c>
      <c r="M771" s="2" t="n"/>
      <c r="N771" s="2" t="n"/>
      <c r="O771" s="2" t="n"/>
      <c r="P771" s="2" t="n">
        <v>5</v>
      </c>
      <c r="Q771" s="2" t="n">
        <v>21</v>
      </c>
      <c r="R771" s="2" t="n"/>
      <c r="S771" s="2" t="n"/>
      <c r="T771" s="2" t="n"/>
      <c r="U771" s="2" t="n"/>
      <c r="V771" s="2">
        <f>SUM(J771:U771)</f>
        <v/>
      </c>
      <c r="W771" s="2" t="n"/>
      <c r="X771" s="2" t="n"/>
      <c r="Y771" s="2" t="n"/>
      <c r="Z771" s="2" t="n"/>
      <c r="AA771" s="2" t="n">
        <v>120</v>
      </c>
      <c r="AB771" s="2" t="n"/>
      <c r="AC771" s="2" t="n"/>
      <c r="AD771" s="2" t="n"/>
      <c r="AE771" s="2" t="n"/>
      <c r="AF771" s="2" t="n"/>
      <c r="AG771" s="2" t="n"/>
      <c r="AH771" s="2" t="n">
        <v>120</v>
      </c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>
        <f>IF(F771=1,V771*2,IF(F771=2,V771*F771*2,IF(F771&gt;2,F771*2*V771)))</f>
        <v/>
      </c>
      <c r="AW771" s="2">
        <f>SUM(W771:AU771)</f>
        <v/>
      </c>
    </row>
    <row r="772">
      <c r="A772" s="2" t="inlineStr">
        <is>
          <t>A14-DB-N409</t>
        </is>
      </c>
      <c r="B772" s="3" t="inlineStr">
        <is>
          <t>DOJC-SM-SC/PC-FC/APC</t>
        </is>
      </c>
      <c r="C772" s="2" t="inlineStr">
        <is>
          <t>908040462, 30M,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2</v>
      </c>
      <c r="G772" s="2" t="n">
        <v>30</v>
      </c>
      <c r="H772" s="2" t="inlineStr">
        <is>
          <t>SC/PC</t>
        </is>
      </c>
      <c r="I772" s="2" t="inlineStr">
        <is>
          <t>FC/APC</t>
        </is>
      </c>
      <c r="J772" s="2" t="n">
        <v>10</v>
      </c>
      <c r="K772" s="2" t="n">
        <v>5</v>
      </c>
      <c r="L772" s="2" t="n"/>
      <c r="M772" s="2" t="n">
        <v>10</v>
      </c>
      <c r="N772" s="2" t="n">
        <v>10</v>
      </c>
      <c r="O772" s="2" t="n"/>
      <c r="P772" s="2" t="n"/>
      <c r="Q772" s="2" t="n"/>
      <c r="R772" s="2" t="n"/>
      <c r="S772" s="2" t="n"/>
      <c r="T772" s="2" t="n"/>
      <c r="U772" s="2" t="n"/>
      <c r="V772" s="2">
        <f>SUM(J772:U772)</f>
        <v/>
      </c>
      <c r="W772" s="2" t="n"/>
      <c r="X772" s="2" t="n"/>
      <c r="Y772" s="2" t="n"/>
      <c r="Z772" s="2" t="n"/>
      <c r="AA772" s="2" t="n">
        <v>70</v>
      </c>
      <c r="AB772" s="2" t="n"/>
      <c r="AC772" s="2" t="n"/>
      <c r="AD772" s="2" t="n"/>
      <c r="AE772" s="2" t="n"/>
      <c r="AF772" s="2" t="n"/>
      <c r="AG772" s="2" t="n"/>
      <c r="AH772" s="2" t="n">
        <v>70</v>
      </c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>
        <f>IF(F772=1,V772*2,IF(F772=2,V772*F772*2,IF(F772&gt;2,F772*2*V772)))</f>
        <v/>
      </c>
      <c r="AW772" s="2">
        <f>SUM(W772:AU772)</f>
        <v/>
      </c>
    </row>
    <row r="773">
      <c r="A773" s="2" t="inlineStr">
        <is>
          <t>A14-DB-N426</t>
        </is>
      </c>
      <c r="B773" s="3" t="inlineStr">
        <is>
          <t>DOJC-SM-SC/PC-FC/PC</t>
        </is>
      </c>
      <c r="C773" s="2" t="inlineStr">
        <is>
          <t>908040687, 10M,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2</v>
      </c>
      <c r="G773" s="2" t="n">
        <v>10</v>
      </c>
      <c r="H773" s="2" t="inlineStr">
        <is>
          <t>SC/PC</t>
        </is>
      </c>
      <c r="I773" s="2" t="inlineStr">
        <is>
          <t>FC/PC</t>
        </is>
      </c>
      <c r="J773" s="2" t="n"/>
      <c r="K773" s="2" t="n">
        <v>15</v>
      </c>
      <c r="L773" s="2" t="n"/>
      <c r="M773" s="2" t="n"/>
      <c r="N773" s="2" t="n">
        <v>5</v>
      </c>
      <c r="O773" s="2" t="n"/>
      <c r="P773" s="2" t="n"/>
      <c r="Q773" s="2" t="n">
        <v>5</v>
      </c>
      <c r="R773" s="2" t="n"/>
      <c r="S773" s="2" t="n"/>
      <c r="T773" s="2" t="n"/>
      <c r="U773" s="2" t="n">
        <v>5</v>
      </c>
      <c r="V773" s="2">
        <f>SUM(J773:U773)</f>
        <v/>
      </c>
      <c r="W773" s="2" t="n"/>
      <c r="X773" s="2" t="n"/>
      <c r="Y773" s="2" t="n"/>
      <c r="Z773" s="2" t="n"/>
      <c r="AA773" s="2" t="n">
        <v>60</v>
      </c>
      <c r="AB773" s="2" t="n"/>
      <c r="AC773" s="2" t="n"/>
      <c r="AD773" s="2" t="n"/>
      <c r="AE773" s="2" t="n"/>
      <c r="AF773" s="2" t="n">
        <v>60</v>
      </c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>
        <f>IF(F773=1,V773*2,IF(F773=2,V773*F773*2,IF(F773&gt;2,F773*2*V773)))</f>
        <v/>
      </c>
      <c r="AW773" s="2">
        <f>SUM(W773:AU773)</f>
        <v/>
      </c>
    </row>
    <row r="774">
      <c r="A774" s="2" t="inlineStr">
        <is>
          <t>A14-DB-N444</t>
        </is>
      </c>
      <c r="B774" s="3" t="inlineStr">
        <is>
          <t>DOJC-SM-SC/PC-SC/APC</t>
        </is>
      </c>
      <c r="C774" s="2" t="inlineStr">
        <is>
          <t>908040537, 10M, B3, 2.0mm</t>
        </is>
      </c>
      <c r="D774" s="2" t="inlineStr">
        <is>
          <t>b3</t>
        </is>
      </c>
      <c r="E774" s="2" t="inlineStr">
        <is>
          <t>2.0mm</t>
        </is>
      </c>
      <c r="F774" s="2" t="n">
        <v>2</v>
      </c>
      <c r="G774" s="2" t="n">
        <v>10</v>
      </c>
      <c r="H774" s="2" t="inlineStr">
        <is>
          <t>SC/PC</t>
        </is>
      </c>
      <c r="I774" s="2" t="inlineStr">
        <is>
          <t>SC/APC</t>
        </is>
      </c>
      <c r="J774" s="2" t="n"/>
      <c r="K774" s="2" t="n">
        <v>50</v>
      </c>
      <c r="L774" s="2" t="n">
        <v>22</v>
      </c>
      <c r="M774" s="2" t="n">
        <v>30</v>
      </c>
      <c r="N774" s="2" t="n">
        <v>25</v>
      </c>
      <c r="O774" s="2" t="n"/>
      <c r="P774" s="2" t="n"/>
      <c r="Q774" s="2" t="n"/>
      <c r="R774" s="2" t="n"/>
      <c r="S774" s="2" t="n"/>
      <c r="T774" s="2" t="n"/>
      <c r="U774" s="2" t="n"/>
      <c r="V774" s="2">
        <f>SUM(J774:U774)</f>
        <v/>
      </c>
      <c r="W774" s="2" t="n"/>
      <c r="X774" s="2" t="n"/>
      <c r="Y774" s="2" t="n"/>
      <c r="Z774" s="2" t="n"/>
      <c r="AA774" s="2" t="n">
        <v>254</v>
      </c>
      <c r="AB774" s="2" t="n"/>
      <c r="AC774" s="2" t="n"/>
      <c r="AD774" s="2" t="n">
        <v>254</v>
      </c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>
        <f>IF(F774=1,V774*2,IF(F774=2,V774*F774*2,IF(F774&gt;2,F774*2*V774)))</f>
        <v/>
      </c>
      <c r="AW774" s="2">
        <f>SUM(W774:AU774)</f>
        <v/>
      </c>
    </row>
    <row r="775">
      <c r="A775" s="2" t="inlineStr">
        <is>
          <t>A14-DB-N447</t>
        </is>
      </c>
      <c r="B775" s="3" t="inlineStr">
        <is>
          <t>DOJC-SM-SC/PC-SC/APC</t>
        </is>
      </c>
      <c r="C775" s="2" t="inlineStr">
        <is>
          <t>908040542, 15M, B3, 2.0mm</t>
        </is>
      </c>
      <c r="D775" s="2" t="inlineStr">
        <is>
          <t>b3</t>
        </is>
      </c>
      <c r="E775" s="2" t="inlineStr">
        <is>
          <t>2.0mm</t>
        </is>
      </c>
      <c r="F775" s="2" t="n">
        <v>2</v>
      </c>
      <c r="G775" s="2" t="n">
        <v>15</v>
      </c>
      <c r="H775" s="2" t="inlineStr">
        <is>
          <t>SC/PC</t>
        </is>
      </c>
      <c r="I775" s="2" t="inlineStr">
        <is>
          <t>SC/APC</t>
        </is>
      </c>
      <c r="J775" s="2" t="n"/>
      <c r="K775" s="2" t="n">
        <v>20</v>
      </c>
      <c r="L775" s="2" t="n">
        <v>10</v>
      </c>
      <c r="M775" s="2" t="n"/>
      <c r="N775" s="2" t="n">
        <v>2</v>
      </c>
      <c r="O775" s="2" t="n"/>
      <c r="P775" s="2" t="n">
        <v>5</v>
      </c>
      <c r="Q775" s="2" t="n">
        <v>1</v>
      </c>
      <c r="R775" s="2" t="n"/>
      <c r="S775" s="2" t="n">
        <v>1</v>
      </c>
      <c r="T775" s="2" t="n"/>
      <c r="U775" s="2" t="n">
        <v>20</v>
      </c>
      <c r="V775" s="2">
        <f>SUM(J775:U775)</f>
        <v/>
      </c>
      <c r="W775" s="2" t="n"/>
      <c r="X775" s="2" t="n"/>
      <c r="Y775" s="2" t="n"/>
      <c r="Z775" s="2" t="n"/>
      <c r="AA775" s="2" t="n">
        <v>118</v>
      </c>
      <c r="AB775" s="2" t="n"/>
      <c r="AC775" s="2" t="n"/>
      <c r="AD775" s="2" t="n">
        <v>118</v>
      </c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>
        <f>IF(F775=1,V775*2,IF(F775=2,V775*F775*2,IF(F775&gt;2,F775*2*V775)))</f>
        <v/>
      </c>
      <c r="AW775" s="2">
        <f>SUM(W775:AU775)</f>
        <v/>
      </c>
    </row>
    <row r="776">
      <c r="A776" s="2" t="inlineStr">
        <is>
          <t>A14-DB-N448</t>
        </is>
      </c>
      <c r="B776" s="3" t="inlineStr">
        <is>
          <t>DOJC-SM-SC/PC-SC/APC</t>
        </is>
      </c>
      <c r="C776" s="2" t="inlineStr">
        <is>
          <t>908040252, 1M, B3, 3.0mm</t>
        </is>
      </c>
      <c r="D776" s="2" t="inlineStr">
        <is>
          <t>b3</t>
        </is>
      </c>
      <c r="E776" s="2" t="inlineStr">
        <is>
          <t>3.0mm</t>
        </is>
      </c>
      <c r="F776" s="2" t="n">
        <v>2</v>
      </c>
      <c r="G776" s="2" t="n">
        <v>1</v>
      </c>
      <c r="H776" s="2" t="inlineStr">
        <is>
          <t>SC/PC</t>
        </is>
      </c>
      <c r="I776" s="2" t="inlineStr">
        <is>
          <t>SC/APC</t>
        </is>
      </c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>
        <v>25</v>
      </c>
      <c r="T776" s="2" t="n">
        <v>10</v>
      </c>
      <c r="U776" s="2" t="n">
        <v>2</v>
      </c>
      <c r="V776" s="2">
        <f>SUM(J776:U776)</f>
        <v/>
      </c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>
        <v>74</v>
      </c>
      <c r="AO776" s="2" t="n"/>
      <c r="AP776" s="2" t="n"/>
      <c r="AQ776" s="2" t="n">
        <v>74</v>
      </c>
      <c r="AR776" s="2" t="n"/>
      <c r="AS776" s="2" t="n"/>
      <c r="AT776" s="2" t="n"/>
      <c r="AU776" s="2" t="n"/>
      <c r="AV776" s="2">
        <f>IF(F776=1,V776*2,IF(F776=2,V776*F776*2,IF(F776&gt;2,F776*2*V776)))</f>
        <v/>
      </c>
      <c r="AW776" s="2">
        <f>SUM(W776:AU776)</f>
        <v/>
      </c>
    </row>
    <row r="777">
      <c r="A777" s="2" t="inlineStr">
        <is>
          <t>A14-DB-N449</t>
        </is>
      </c>
      <c r="B777" s="3" t="inlineStr">
        <is>
          <t>DOJC-SM-SC/PC-SC/APC</t>
        </is>
      </c>
      <c r="C777" s="2" t="inlineStr">
        <is>
          <t>908040547, 20M, B3, 2.0mm</t>
        </is>
      </c>
      <c r="D777" s="2" t="inlineStr">
        <is>
          <t>b3</t>
        </is>
      </c>
      <c r="E777" s="2" t="inlineStr">
        <is>
          <t>2.0mm</t>
        </is>
      </c>
      <c r="F777" s="2" t="n">
        <v>2</v>
      </c>
      <c r="G777" s="2" t="n">
        <v>20</v>
      </c>
      <c r="H777" s="2" t="inlineStr">
        <is>
          <t>SC/PC</t>
        </is>
      </c>
      <c r="I777" s="2" t="inlineStr">
        <is>
          <t>SC/APC</t>
        </is>
      </c>
      <c r="J777" s="2" t="n"/>
      <c r="K777" s="2" t="n">
        <v>20</v>
      </c>
      <c r="L777" s="2" t="n">
        <v>10</v>
      </c>
      <c r="M777" s="2" t="n"/>
      <c r="N777" s="2" t="n">
        <v>8</v>
      </c>
      <c r="O777" s="2" t="n"/>
      <c r="P777" s="2" t="n"/>
      <c r="Q777" s="2" t="n"/>
      <c r="R777" s="2" t="n">
        <v>20</v>
      </c>
      <c r="S777" s="2" t="n"/>
      <c r="T777" s="2" t="n"/>
      <c r="U777" s="2" t="n">
        <v>10</v>
      </c>
      <c r="V777" s="2">
        <f>SUM(J777:U777)</f>
        <v/>
      </c>
      <c r="W777" s="2" t="n"/>
      <c r="X777" s="2" t="n"/>
      <c r="Y777" s="2" t="n"/>
      <c r="Z777" s="2" t="n"/>
      <c r="AA777" s="2" t="n">
        <v>136</v>
      </c>
      <c r="AB777" s="2" t="n"/>
      <c r="AC777" s="2" t="n"/>
      <c r="AD777" s="2" t="n">
        <v>136</v>
      </c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>
        <f>IF(F777=1,V777*2,IF(F777=2,V777*F777*2,IF(F777&gt;2,F777*2*V777)))</f>
        <v/>
      </c>
      <c r="AW777" s="2">
        <f>SUM(W777:AU777)</f>
        <v/>
      </c>
    </row>
    <row r="778">
      <c r="A778" s="2" t="inlineStr">
        <is>
          <t>A14-DB-N451</t>
        </is>
      </c>
      <c r="B778" s="3" t="inlineStr">
        <is>
          <t>DOJC-SM-SC/PC-SC/APC</t>
        </is>
      </c>
      <c r="C778" s="2" t="inlineStr">
        <is>
          <t>908040253, 2M, B3, 3.0mm</t>
        </is>
      </c>
      <c r="D778" s="2" t="inlineStr">
        <is>
          <t>b3</t>
        </is>
      </c>
      <c r="E778" s="2" t="inlineStr">
        <is>
          <t>3.0mm</t>
        </is>
      </c>
      <c r="F778" s="2" t="n">
        <v>2</v>
      </c>
      <c r="G778" s="2" t="n">
        <v>2</v>
      </c>
      <c r="H778" s="2" t="inlineStr">
        <is>
          <t>SC/PC</t>
        </is>
      </c>
      <c r="I778" s="2" t="inlineStr">
        <is>
          <t>SC/APC</t>
        </is>
      </c>
      <c r="J778" s="2" t="n"/>
      <c r="K778" s="2" t="n"/>
      <c r="L778" s="2" t="n"/>
      <c r="M778" s="2" t="n"/>
      <c r="N778" s="2" t="n"/>
      <c r="O778" s="2" t="n"/>
      <c r="P778" s="2" t="n">
        <v>42</v>
      </c>
      <c r="Q778" s="2" t="n"/>
      <c r="R778" s="2" t="n"/>
      <c r="S778" s="2" t="n"/>
      <c r="T778" s="2" t="n">
        <v>135</v>
      </c>
      <c r="U778" s="2" t="n"/>
      <c r="V778" s="2">
        <f>SUM(J778:U778)</f>
        <v/>
      </c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>
        <v>354</v>
      </c>
      <c r="AO778" s="2" t="n"/>
      <c r="AP778" s="2" t="n"/>
      <c r="AQ778" s="2" t="n">
        <v>354</v>
      </c>
      <c r="AR778" s="2" t="n"/>
      <c r="AS778" s="2" t="n"/>
      <c r="AT778" s="2" t="n"/>
      <c r="AU778" s="2" t="n"/>
      <c r="AV778" s="2">
        <f>IF(F778=1,V778*2,IF(F778=2,V778*F778*2,IF(F778&gt;2,F778*2*V778)))</f>
        <v/>
      </c>
      <c r="AW778" s="2">
        <f>SUM(W778:AU778)</f>
        <v/>
      </c>
    </row>
    <row r="779">
      <c r="A779" s="2" t="inlineStr">
        <is>
          <t>A14-DB-N455</t>
        </is>
      </c>
      <c r="B779" s="3" t="inlineStr">
        <is>
          <t>DOJC-SM-SC/PC-SC/APC</t>
        </is>
      </c>
      <c r="C779" s="2" t="inlineStr">
        <is>
          <t>908040251, 3M, B3, 3.0mm</t>
        </is>
      </c>
      <c r="D779" s="2" t="inlineStr">
        <is>
          <t>b3</t>
        </is>
      </c>
      <c r="E779" s="2" t="inlineStr">
        <is>
          <t>3.0mm</t>
        </is>
      </c>
      <c r="F779" s="2" t="n">
        <v>2</v>
      </c>
      <c r="G779" s="2" t="n">
        <v>3</v>
      </c>
      <c r="H779" s="2" t="inlineStr">
        <is>
          <t>SC/PC</t>
        </is>
      </c>
      <c r="I779" s="2" t="inlineStr">
        <is>
          <t>SC/APC</t>
        </is>
      </c>
      <c r="J779" s="2" t="n"/>
      <c r="K779" s="2" t="n"/>
      <c r="L779" s="2" t="n"/>
      <c r="M779" s="2" t="n"/>
      <c r="N779" s="2" t="n"/>
      <c r="O779" s="2" t="n"/>
      <c r="P779" s="2" t="n">
        <v>200</v>
      </c>
      <c r="Q779" s="2" t="n">
        <v>80</v>
      </c>
      <c r="R779" s="2" t="n"/>
      <c r="S779" s="2" t="n">
        <v>20</v>
      </c>
      <c r="T779" s="2" t="n"/>
      <c r="U779" s="2" t="n">
        <v>108</v>
      </c>
      <c r="V779" s="2">
        <f>SUM(J779:U779)</f>
        <v/>
      </c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>
        <v>816</v>
      </c>
      <c r="AO779" s="2" t="n"/>
      <c r="AP779" s="2" t="n"/>
      <c r="AQ779" s="2" t="n">
        <v>816</v>
      </c>
      <c r="AR779" s="2" t="n"/>
      <c r="AS779" s="2" t="n"/>
      <c r="AT779" s="2" t="n"/>
      <c r="AU779" s="2" t="n"/>
      <c r="AV779" s="2">
        <f>IF(F779=1,V779*2,IF(F779=2,V779*F779*2,IF(F779&gt;2,F779*2*V779)))</f>
        <v/>
      </c>
      <c r="AW779" s="2">
        <f>SUM(W779:AU779)</f>
        <v/>
      </c>
    </row>
    <row r="780">
      <c r="A780" s="2" t="inlineStr">
        <is>
          <t>A14-DB-N458</t>
        </is>
      </c>
      <c r="B780" s="3" t="inlineStr">
        <is>
          <t>DOJC-SM-SC/PC-SC/APC</t>
        </is>
      </c>
      <c r="C780" s="2" t="inlineStr">
        <is>
          <t>908040254, 4M, B3, 3.0mm</t>
        </is>
      </c>
      <c r="D780" s="2" t="inlineStr">
        <is>
          <t>b3</t>
        </is>
      </c>
      <c r="E780" s="2" t="inlineStr">
        <is>
          <t>3.0mm</t>
        </is>
      </c>
      <c r="F780" s="2" t="n">
        <v>2</v>
      </c>
      <c r="G780" s="2" t="n">
        <v>4</v>
      </c>
      <c r="H780" s="2" t="inlineStr">
        <is>
          <t>SC/PC</t>
        </is>
      </c>
      <c r="I780" s="2" t="inlineStr">
        <is>
          <t>SC/APC</t>
        </is>
      </c>
      <c r="J780" s="2" t="n"/>
      <c r="K780" s="2" t="n"/>
      <c r="L780" s="2" t="n"/>
      <c r="M780" s="2" t="n"/>
      <c r="N780" s="2" t="n"/>
      <c r="O780" s="2" t="n"/>
      <c r="P780" s="2" t="n">
        <v>10</v>
      </c>
      <c r="Q780" s="2" t="n"/>
      <c r="R780" s="2" t="n"/>
      <c r="S780" s="2" t="n">
        <v>30</v>
      </c>
      <c r="T780" s="2" t="n"/>
      <c r="U780" s="2" t="n"/>
      <c r="V780" s="2">
        <f>SUM(J780:U780)</f>
        <v/>
      </c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>
        <v>80</v>
      </c>
      <c r="AO780" s="2" t="n"/>
      <c r="AP780" s="2" t="n"/>
      <c r="AQ780" s="2" t="n">
        <v>80</v>
      </c>
      <c r="AR780" s="2" t="n"/>
      <c r="AS780" s="2" t="n"/>
      <c r="AT780" s="2" t="n"/>
      <c r="AU780" s="2" t="n"/>
      <c r="AV780" s="2">
        <f>IF(F780=1,V780*2,IF(F780=2,V780*F780*2,IF(F780&gt;2,F780*2*V780)))</f>
        <v/>
      </c>
      <c r="AW780" s="2">
        <f>SUM(W780:AU780)</f>
        <v/>
      </c>
    </row>
    <row r="781">
      <c r="A781" s="2" t="inlineStr">
        <is>
          <t>A14-DB-N459</t>
        </is>
      </c>
      <c r="B781" s="3" t="inlineStr">
        <is>
          <t>DOJC-SM-SC/PC-SC/APC</t>
        </is>
      </c>
      <c r="C781" s="2" t="inlineStr">
        <is>
          <t>908040255, 5M, B3, 3.0mm</t>
        </is>
      </c>
      <c r="D781" s="2" t="inlineStr">
        <is>
          <t>b3</t>
        </is>
      </c>
      <c r="E781" s="2" t="inlineStr">
        <is>
          <t>3.0mm</t>
        </is>
      </c>
      <c r="F781" s="2" t="n">
        <v>2</v>
      </c>
      <c r="G781" s="2" t="n">
        <v>5</v>
      </c>
      <c r="H781" s="2" t="inlineStr">
        <is>
          <t>SC/PC</t>
        </is>
      </c>
      <c r="I781" s="2" t="inlineStr">
        <is>
          <t>SC/APC</t>
        </is>
      </c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>
        <v>25</v>
      </c>
      <c r="U781" s="2" t="n"/>
      <c r="V781" s="2">
        <f>SUM(J781:U781)</f>
        <v/>
      </c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>
        <v>50</v>
      </c>
      <c r="AO781" s="2" t="n"/>
      <c r="AP781" s="2" t="n"/>
      <c r="AQ781" s="2" t="n">
        <v>50</v>
      </c>
      <c r="AR781" s="2" t="n"/>
      <c r="AS781" s="2" t="n"/>
      <c r="AT781" s="2" t="n"/>
      <c r="AU781" s="2" t="n"/>
      <c r="AV781" s="2">
        <f>IF(F781=1,V781*2,IF(F781=2,V781*F781*2,IF(F781&gt;2,F781*2*V781)))</f>
        <v/>
      </c>
      <c r="AW781" s="2">
        <f>SUM(W781:AU781)</f>
        <v/>
      </c>
    </row>
    <row r="782">
      <c r="A782" s="2" t="inlineStr">
        <is>
          <t>A14-DB-N461</t>
        </is>
      </c>
      <c r="B782" s="3" t="inlineStr">
        <is>
          <t>DOJC-SM-SC/PC-SC/APC</t>
        </is>
      </c>
      <c r="C782" s="2" t="inlineStr">
        <is>
          <t>908040257, 7M, B3, 2.0mm</t>
        </is>
      </c>
      <c r="D782" s="2" t="inlineStr">
        <is>
          <t>b3</t>
        </is>
      </c>
      <c r="E782" s="2" t="inlineStr">
        <is>
          <t>2.0mm</t>
        </is>
      </c>
      <c r="F782" s="2" t="n">
        <v>2</v>
      </c>
      <c r="G782" s="2" t="n">
        <v>7</v>
      </c>
      <c r="H782" s="2" t="inlineStr">
        <is>
          <t>SC/PC</t>
        </is>
      </c>
      <c r="I782" s="2" t="inlineStr">
        <is>
          <t>SC/APC</t>
        </is>
      </c>
      <c r="J782" s="2" t="n"/>
      <c r="K782" s="2" t="n"/>
      <c r="L782" s="2" t="n"/>
      <c r="M782" s="2" t="n"/>
      <c r="N782" s="2" t="n"/>
      <c r="O782" s="2" t="n"/>
      <c r="P782" s="2" t="n">
        <v>10</v>
      </c>
      <c r="Q782" s="2" t="n"/>
      <c r="R782" s="2" t="n"/>
      <c r="S782" s="2" t="n"/>
      <c r="T782" s="2" t="n"/>
      <c r="U782" s="2" t="n"/>
      <c r="V782" s="2">
        <f>SUM(J782:U782)</f>
        <v/>
      </c>
      <c r="W782" s="2" t="n"/>
      <c r="X782" s="2" t="n"/>
      <c r="Y782" s="2" t="n"/>
      <c r="Z782" s="2" t="n"/>
      <c r="AA782" s="2" t="n">
        <v>20</v>
      </c>
      <c r="AB782" s="2" t="n"/>
      <c r="AC782" s="2" t="n"/>
      <c r="AD782" s="2" t="n">
        <v>20</v>
      </c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>
        <f>IF(F782=1,V782*2,IF(F782=2,V782*F782*2,IF(F782&gt;2,F782*2*V782)))</f>
        <v/>
      </c>
      <c r="AW782" s="2">
        <f>SUM(W782:AU782)</f>
        <v/>
      </c>
    </row>
    <row r="783">
      <c r="A783" s="2" t="inlineStr">
        <is>
          <t>A14-DB-N464</t>
        </is>
      </c>
      <c r="B783" s="3" t="inlineStr">
        <is>
          <t>DOJC-SM-SC/PC-SC/PC</t>
        </is>
      </c>
      <c r="C783" s="2" t="inlineStr">
        <is>
          <t>908040230, 10M, B3, 2.0mm</t>
        </is>
      </c>
      <c r="D783" s="2" t="inlineStr">
        <is>
          <t>b3</t>
        </is>
      </c>
      <c r="E783" s="2" t="inlineStr">
        <is>
          <t>2.0mm</t>
        </is>
      </c>
      <c r="F783" s="2" t="n">
        <v>2</v>
      </c>
      <c r="G783" s="2" t="n">
        <v>10</v>
      </c>
      <c r="H783" s="2" t="inlineStr">
        <is>
          <t>SC/PC</t>
        </is>
      </c>
      <c r="I783" s="2" t="inlineStr">
        <is>
          <t>SC/PC</t>
        </is>
      </c>
      <c r="J783" s="2" t="n">
        <v>20</v>
      </c>
      <c r="K783" s="2" t="n"/>
      <c r="L783" s="2" t="n">
        <v>31</v>
      </c>
      <c r="M783" s="2" t="n">
        <v>145</v>
      </c>
      <c r="N783" s="2" t="n">
        <v>2</v>
      </c>
      <c r="O783" s="2" t="n">
        <v>120</v>
      </c>
      <c r="P783" s="2" t="n">
        <v>95</v>
      </c>
      <c r="Q783" s="2" t="n">
        <v>86</v>
      </c>
      <c r="R783" s="2" t="n"/>
      <c r="S783" s="2" t="n"/>
      <c r="T783" s="2" t="n"/>
      <c r="U783" s="2" t="n">
        <v>210</v>
      </c>
      <c r="V783" s="2">
        <f>SUM(J783:U783)</f>
        <v/>
      </c>
      <c r="W783" s="2" t="n"/>
      <c r="X783" s="2" t="n"/>
      <c r="Y783" s="2" t="n"/>
      <c r="Z783" s="2" t="n"/>
      <c r="AA783" s="2" t="n">
        <v>1418</v>
      </c>
      <c r="AB783" s="2" t="n">
        <v>1418</v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>
        <f>IF(F783=1,V783*2,IF(F783=2,V783*F783*2,IF(F783&gt;2,F783*2*V783)))</f>
        <v/>
      </c>
      <c r="AW783" s="2">
        <f>SUM(W783:AU783)</f>
        <v/>
      </c>
    </row>
    <row r="784">
      <c r="A784" s="2" t="inlineStr">
        <is>
          <t>A14-DB-N466</t>
        </is>
      </c>
      <c r="B784" s="3" t="inlineStr">
        <is>
          <t>DOJC-SM-SC/PC-SC/PC</t>
        </is>
      </c>
      <c r="C784" s="2" t="inlineStr">
        <is>
          <t>908040235, 15M, B3, 2.0mm</t>
        </is>
      </c>
      <c r="D784" s="2" t="inlineStr">
        <is>
          <t>b3</t>
        </is>
      </c>
      <c r="E784" s="2" t="inlineStr">
        <is>
          <t>2.0mm</t>
        </is>
      </c>
      <c r="F784" s="2" t="n">
        <v>2</v>
      </c>
      <c r="G784" s="2" t="n">
        <v>15</v>
      </c>
      <c r="H784" s="2" t="inlineStr">
        <is>
          <t>SC/PC</t>
        </is>
      </c>
      <c r="I784" s="2" t="inlineStr">
        <is>
          <t>SC/PC</t>
        </is>
      </c>
      <c r="J784" s="2" t="n">
        <v>100</v>
      </c>
      <c r="K784" s="2" t="n"/>
      <c r="L784" s="2" t="n"/>
      <c r="M784" s="2" t="n"/>
      <c r="N784" s="2" t="n">
        <v>3</v>
      </c>
      <c r="O784" s="2" t="n"/>
      <c r="P784" s="2" t="n"/>
      <c r="Q784" s="2" t="n"/>
      <c r="R784" s="2" t="n"/>
      <c r="S784" s="2" t="n"/>
      <c r="T784" s="2" t="n"/>
      <c r="U784" s="2" t="n"/>
      <c r="V784" s="2">
        <f>SUM(J784:U784)</f>
        <v/>
      </c>
      <c r="W784" s="2" t="n"/>
      <c r="X784" s="2" t="n"/>
      <c r="Y784" s="2" t="n"/>
      <c r="Z784" s="2" t="n"/>
      <c r="AA784" s="2" t="n">
        <v>206</v>
      </c>
      <c r="AB784" s="2" t="n">
        <v>206</v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>
        <f>IF(F784=1,V784*2,IF(F784=2,V784*F784*2,IF(F784&gt;2,F784*2*V784)))</f>
        <v/>
      </c>
      <c r="AW784" s="2">
        <f>SUM(W784:AU784)</f>
        <v/>
      </c>
    </row>
    <row r="785">
      <c r="A785" s="2" t="inlineStr">
        <is>
          <t>A14-DB-N467</t>
        </is>
      </c>
      <c r="B785" s="3" t="inlineStr">
        <is>
          <t>DOJC-SM-SC/PC-SC/PC</t>
        </is>
      </c>
      <c r="C785" s="2" t="inlineStr">
        <is>
          <t>908040222, 1M, B3, 3.0mm</t>
        </is>
      </c>
      <c r="D785" s="2" t="inlineStr">
        <is>
          <t>b3</t>
        </is>
      </c>
      <c r="E785" s="2" t="inlineStr">
        <is>
          <t>3.0mm</t>
        </is>
      </c>
      <c r="F785" s="2" t="n">
        <v>2</v>
      </c>
      <c r="G785" s="2" t="n">
        <v>1</v>
      </c>
      <c r="H785" s="2" t="inlineStr">
        <is>
          <t>SC/PC</t>
        </is>
      </c>
      <c r="I785" s="2" t="inlineStr">
        <is>
          <t>SC/PC</t>
        </is>
      </c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>
        <v>34</v>
      </c>
      <c r="V785" s="2">
        <f>SUM(J785:U785)</f>
        <v/>
      </c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>
        <v>68</v>
      </c>
      <c r="AO785" s="2" t="n">
        <v>68</v>
      </c>
      <c r="AP785" s="2" t="n"/>
      <c r="AQ785" s="2" t="n"/>
      <c r="AR785" s="2" t="n"/>
      <c r="AS785" s="2" t="n"/>
      <c r="AT785" s="2" t="n"/>
      <c r="AU785" s="2" t="n"/>
      <c r="AV785" s="2">
        <f>IF(F785=1,V785*2,IF(F785=2,V785*F785*2,IF(F785&gt;2,F785*2*V785)))</f>
        <v/>
      </c>
      <c r="AW785" s="2">
        <f>SUM(W785:AU785)</f>
        <v/>
      </c>
    </row>
    <row r="786">
      <c r="A786" s="2" t="inlineStr">
        <is>
          <t>A14-DB-N468</t>
        </is>
      </c>
      <c r="B786" s="3" t="inlineStr">
        <is>
          <t>DOJC-SM-SC/PC-SC/PC</t>
        </is>
      </c>
      <c r="C786" s="2" t="inlineStr">
        <is>
          <t>908040240, 20M, B3, 2.0mm</t>
        </is>
      </c>
      <c r="D786" s="2" t="inlineStr">
        <is>
          <t>b3</t>
        </is>
      </c>
      <c r="E786" s="2" t="inlineStr">
        <is>
          <t>2.0mm</t>
        </is>
      </c>
      <c r="F786" s="2" t="n">
        <v>2</v>
      </c>
      <c r="G786" s="2" t="n">
        <v>20</v>
      </c>
      <c r="H786" s="2" t="inlineStr">
        <is>
          <t>SC/PC</t>
        </is>
      </c>
      <c r="I786" s="2" t="inlineStr">
        <is>
          <t>SC/PC</t>
        </is>
      </c>
      <c r="J786" s="2" t="n">
        <v>10</v>
      </c>
      <c r="K786" s="2" t="n"/>
      <c r="L786" s="2" t="n"/>
      <c r="M786" s="2" t="n"/>
      <c r="N786" s="2" t="n"/>
      <c r="O786" s="2" t="n"/>
      <c r="P786" s="2" t="n">
        <v>15</v>
      </c>
      <c r="Q786" s="2" t="n">
        <v>4</v>
      </c>
      <c r="R786" s="2" t="n"/>
      <c r="S786" s="2" t="n">
        <v>10</v>
      </c>
      <c r="T786" s="2" t="n">
        <v>50</v>
      </c>
      <c r="U786" s="2" t="n"/>
      <c r="V786" s="2">
        <f>SUM(J786:U786)</f>
        <v/>
      </c>
      <c r="W786" s="2" t="n"/>
      <c r="X786" s="2" t="n"/>
      <c r="Y786" s="2" t="n"/>
      <c r="Z786" s="2" t="n"/>
      <c r="AA786" s="2" t="n">
        <v>178</v>
      </c>
      <c r="AB786" s="2" t="n">
        <v>178</v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>
        <f>IF(F786=1,V786*2,IF(F786=2,V786*F786*2,IF(F786&gt;2,F786*2*V786)))</f>
        <v/>
      </c>
      <c r="AW786" s="2">
        <f>SUM(W786:AU786)</f>
        <v/>
      </c>
    </row>
    <row r="787">
      <c r="A787" s="2" t="inlineStr">
        <is>
          <t>A14-DB-N470</t>
        </is>
      </c>
      <c r="B787" s="3" t="inlineStr">
        <is>
          <t>DOJC-SM-SC/PC-SC/PC</t>
        </is>
      </c>
      <c r="C787" s="2" t="inlineStr">
        <is>
          <t>908040245, 25M, B3, 2.0mm</t>
        </is>
      </c>
      <c r="D787" s="2" t="inlineStr">
        <is>
          <t>b3</t>
        </is>
      </c>
      <c r="E787" s="2" t="inlineStr">
        <is>
          <t>2.0mm</t>
        </is>
      </c>
      <c r="F787" s="2" t="n">
        <v>2</v>
      </c>
      <c r="G787" s="2" t="n">
        <v>25</v>
      </c>
      <c r="H787" s="2" t="inlineStr">
        <is>
          <t>SC/PC</t>
        </is>
      </c>
      <c r="I787" s="2" t="inlineStr">
        <is>
          <t>SC/PC</t>
        </is>
      </c>
      <c r="J787" s="2" t="n"/>
      <c r="K787" s="2" t="n"/>
      <c r="L787" s="2" t="n"/>
      <c r="M787" s="2" t="n"/>
      <c r="N787" s="2" t="n"/>
      <c r="O787" s="2" t="n"/>
      <c r="P787" s="2" t="n"/>
      <c r="Q787" s="2" t="n">
        <v>4</v>
      </c>
      <c r="R787" s="2" t="n"/>
      <c r="S787" s="2" t="n">
        <v>10</v>
      </c>
      <c r="T787" s="2" t="n"/>
      <c r="U787" s="2" t="n"/>
      <c r="V787" s="2">
        <f>SUM(J787:U787)</f>
        <v/>
      </c>
      <c r="W787" s="2" t="n"/>
      <c r="X787" s="2" t="n"/>
      <c r="Y787" s="2" t="n"/>
      <c r="Z787" s="2" t="n"/>
      <c r="AA787" s="2" t="n">
        <v>28</v>
      </c>
      <c r="AB787" s="2" t="n">
        <v>28</v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>
        <f>IF(F787=1,V787*2,IF(F787=2,V787*F787*2,IF(F787&gt;2,F787*2*V787)))</f>
        <v/>
      </c>
      <c r="AW787" s="2">
        <f>SUM(W787:AU787)</f>
        <v/>
      </c>
    </row>
    <row r="788">
      <c r="A788" s="2" t="inlineStr">
        <is>
          <t>A14-DB-N471</t>
        </is>
      </c>
      <c r="B788" s="3" t="inlineStr">
        <is>
          <t>DOJC-SM-SC/PC-SC/PC</t>
        </is>
      </c>
      <c r="C788" s="2" t="inlineStr">
        <is>
          <t>908040223, 2M, B3, 3.0mm</t>
        </is>
      </c>
      <c r="D788" s="2" t="inlineStr">
        <is>
          <t>b3</t>
        </is>
      </c>
      <c r="E788" s="2" t="inlineStr">
        <is>
          <t>3.0mm</t>
        </is>
      </c>
      <c r="F788" s="2" t="n">
        <v>2</v>
      </c>
      <c r="G788" s="2" t="n">
        <v>2</v>
      </c>
      <c r="H788" s="2" t="inlineStr">
        <is>
          <t>SC/PC</t>
        </is>
      </c>
      <c r="I788" s="2" t="inlineStr">
        <is>
          <t>SC/PC</t>
        </is>
      </c>
      <c r="J788" s="2" t="n"/>
      <c r="K788" s="2" t="n"/>
      <c r="L788" s="2" t="n"/>
      <c r="M788" s="2" t="n"/>
      <c r="N788" s="2" t="n">
        <v>14</v>
      </c>
      <c r="O788" s="2" t="n">
        <v>120</v>
      </c>
      <c r="P788" s="2" t="n"/>
      <c r="Q788" s="2" t="n"/>
      <c r="R788" s="2" t="n"/>
      <c r="S788" s="2" t="n">
        <v>81</v>
      </c>
      <c r="T788" s="2" t="n">
        <v>20</v>
      </c>
      <c r="U788" s="2" t="n"/>
      <c r="V788" s="2">
        <f>SUM(J788:U788)</f>
        <v/>
      </c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>
        <v>470</v>
      </c>
      <c r="AO788" s="2" t="n">
        <v>470</v>
      </c>
      <c r="AP788" s="2" t="n"/>
      <c r="AQ788" s="2" t="n"/>
      <c r="AR788" s="2" t="n"/>
      <c r="AS788" s="2" t="n"/>
      <c r="AT788" s="2" t="n"/>
      <c r="AU788" s="2" t="n"/>
      <c r="AV788" s="2">
        <f>IF(F788=1,V788*2,IF(F788=2,V788*F788*2,IF(F788&gt;2,F788*2*V788)))</f>
        <v/>
      </c>
      <c r="AW788" s="2">
        <f>SUM(W788:AU788)</f>
        <v/>
      </c>
    </row>
    <row r="789">
      <c r="A789" s="2" t="inlineStr">
        <is>
          <t>A14-DB-N472</t>
        </is>
      </c>
      <c r="B789" s="3" t="inlineStr">
        <is>
          <t>DOJC-SM-SC/PC-SC/PC</t>
        </is>
      </c>
      <c r="C789" s="2" t="inlineStr">
        <is>
          <t>908040250, 30M, B3, 2.0mm</t>
        </is>
      </c>
      <c r="D789" s="2" t="inlineStr">
        <is>
          <t>b3</t>
        </is>
      </c>
      <c r="E789" s="2" t="inlineStr">
        <is>
          <t>2.0mm</t>
        </is>
      </c>
      <c r="F789" s="2" t="n">
        <v>2</v>
      </c>
      <c r="G789" s="2" t="n">
        <v>30</v>
      </c>
      <c r="H789" s="2" t="inlineStr">
        <is>
          <t>SC/PC</t>
        </is>
      </c>
      <c r="I789" s="2" t="inlineStr">
        <is>
          <t>SC/PC</t>
        </is>
      </c>
      <c r="J789" s="2" t="n"/>
      <c r="K789" s="2" t="n"/>
      <c r="L789" s="2" t="n"/>
      <c r="M789" s="2" t="n">
        <v>20</v>
      </c>
      <c r="N789" s="2" t="n"/>
      <c r="O789" s="2" t="n"/>
      <c r="P789" s="2" t="n"/>
      <c r="Q789" s="2" t="n"/>
      <c r="R789" s="2" t="n"/>
      <c r="S789" s="2" t="n">
        <v>10</v>
      </c>
      <c r="T789" s="2" t="n"/>
      <c r="U789" s="2" t="n"/>
      <c r="V789" s="2">
        <f>SUM(J789:U789)</f>
        <v/>
      </c>
      <c r="W789" s="2" t="n"/>
      <c r="X789" s="2" t="n"/>
      <c r="Y789" s="2" t="n"/>
      <c r="Z789" s="2" t="n"/>
      <c r="AA789" s="2" t="n">
        <v>60</v>
      </c>
      <c r="AB789" s="2" t="n">
        <v>60</v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>
        <f>IF(F789=1,V789*2,IF(F789=2,V789*F789*2,IF(F789&gt;2,F789*2*V789)))</f>
        <v/>
      </c>
      <c r="AW789" s="2">
        <f>SUM(W789:AU789)</f>
        <v/>
      </c>
    </row>
    <row r="790">
      <c r="A790" s="2" t="inlineStr">
        <is>
          <t>A14-DB-N474</t>
        </is>
      </c>
      <c r="B790" s="3" t="inlineStr">
        <is>
          <t>DOJC-SM-SC/PC-SC/PC</t>
        </is>
      </c>
      <c r="C790" s="2" t="inlineStr">
        <is>
          <t>908040221, 3M, B3, 3.0mm</t>
        </is>
      </c>
      <c r="D790" s="2" t="inlineStr">
        <is>
          <t>b3</t>
        </is>
      </c>
      <c r="E790" s="2" t="inlineStr">
        <is>
          <t>3.0mm</t>
        </is>
      </c>
      <c r="F790" s="2" t="n">
        <v>2</v>
      </c>
      <c r="G790" s="2" t="n">
        <v>3</v>
      </c>
      <c r="H790" s="2" t="inlineStr">
        <is>
          <t>SC/PC</t>
        </is>
      </c>
      <c r="I790" s="2" t="inlineStr">
        <is>
          <t>SC/PC</t>
        </is>
      </c>
      <c r="J790" s="2" t="n"/>
      <c r="K790" s="2" t="n"/>
      <c r="L790" s="2" t="n"/>
      <c r="M790" s="2" t="n"/>
      <c r="N790" s="2" t="n"/>
      <c r="O790" s="2" t="n"/>
      <c r="P790" s="2" t="n"/>
      <c r="Q790" s="2" t="n">
        <v>50</v>
      </c>
      <c r="R790" s="2" t="n">
        <v>50</v>
      </c>
      <c r="S790" s="2" t="n">
        <v>15</v>
      </c>
      <c r="T790" s="2" t="n"/>
      <c r="U790" s="2" t="n">
        <v>180</v>
      </c>
      <c r="V790" s="2">
        <f>SUM(J790:U790)</f>
        <v/>
      </c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>
        <v>590</v>
      </c>
      <c r="AO790" s="2" t="n">
        <v>590</v>
      </c>
      <c r="AP790" s="2" t="n"/>
      <c r="AQ790" s="2" t="n"/>
      <c r="AR790" s="2" t="n"/>
      <c r="AS790" s="2" t="n"/>
      <c r="AT790" s="2" t="n"/>
      <c r="AU790" s="2" t="n"/>
      <c r="AV790" s="2">
        <f>IF(F790=1,V790*2,IF(F790=2,V790*F790*2,IF(F790&gt;2,F790*2*V790)))</f>
        <v/>
      </c>
      <c r="AW790" s="2">
        <f>SUM(W790:AU790)</f>
        <v/>
      </c>
    </row>
    <row r="791">
      <c r="A791" s="2" t="inlineStr">
        <is>
          <t>A14-DB-N481</t>
        </is>
      </c>
      <c r="B791" s="3" t="inlineStr">
        <is>
          <t>DOJC-SM-SC/PC-SC/PC</t>
        </is>
      </c>
      <c r="C791" s="2" t="inlineStr">
        <is>
          <t>908040225, 5M, B3, 3.0mm</t>
        </is>
      </c>
      <c r="D791" s="2" t="inlineStr">
        <is>
          <t>b3</t>
        </is>
      </c>
      <c r="E791" s="2" t="inlineStr">
        <is>
          <t>3.0mm</t>
        </is>
      </c>
      <c r="F791" s="2" t="n">
        <v>2</v>
      </c>
      <c r="G791" s="2" t="n">
        <v>5</v>
      </c>
      <c r="H791" s="2" t="inlineStr">
        <is>
          <t>SC/PC</t>
        </is>
      </c>
      <c r="I791" s="2" t="inlineStr">
        <is>
          <t>SC/PC</t>
        </is>
      </c>
      <c r="J791" s="2" t="n"/>
      <c r="K791" s="2" t="n"/>
      <c r="L791" s="2" t="n"/>
      <c r="M791" s="2" t="n"/>
      <c r="N791" s="2" t="n"/>
      <c r="O791" s="2" t="n">
        <v>59</v>
      </c>
      <c r="P791" s="2" t="n"/>
      <c r="Q791" s="2" t="n"/>
      <c r="R791" s="2" t="n"/>
      <c r="S791" s="2" t="n"/>
      <c r="T791" s="2" t="n"/>
      <c r="U791" s="2" t="n"/>
      <c r="V791" s="2">
        <f>SUM(J791:U791)</f>
        <v/>
      </c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>
        <v>118</v>
      </c>
      <c r="AO791" s="2" t="n">
        <v>118</v>
      </c>
      <c r="AP791" s="2" t="n"/>
      <c r="AQ791" s="2" t="n"/>
      <c r="AR791" s="2" t="n"/>
      <c r="AS791" s="2" t="n"/>
      <c r="AT791" s="2" t="n"/>
      <c r="AU791" s="2" t="n"/>
      <c r="AV791" s="2">
        <f>IF(F791=1,V791*2,IF(F791=2,V791*F791*2,IF(F791&gt;2,F791*2*V791)))</f>
        <v/>
      </c>
      <c r="AW791" s="2">
        <f>SUM(W791:AU791)</f>
        <v/>
      </c>
    </row>
    <row r="792">
      <c r="A792" s="2" t="inlineStr">
        <is>
          <t>A14-DB-N487</t>
        </is>
      </c>
      <c r="B792" s="3" t="inlineStr">
        <is>
          <t>DOJC-SM-SC/PC-SC/PC</t>
        </is>
      </c>
      <c r="C792" s="2" t="inlineStr">
        <is>
          <t>908040228, 8M, B3, 2.0mm</t>
        </is>
      </c>
      <c r="D792" s="2" t="inlineStr">
        <is>
          <t>b3</t>
        </is>
      </c>
      <c r="E792" s="2" t="inlineStr">
        <is>
          <t>2.0mm</t>
        </is>
      </c>
      <c r="F792" s="2" t="n">
        <v>2</v>
      </c>
      <c r="G792" s="2" t="n">
        <v>8</v>
      </c>
      <c r="H792" s="2" t="inlineStr">
        <is>
          <t>SC/PC</t>
        </is>
      </c>
      <c r="I792" s="2" t="inlineStr">
        <is>
          <t>SC/PC</t>
        </is>
      </c>
      <c r="J792" s="2" t="n"/>
      <c r="K792" s="2" t="n"/>
      <c r="L792" s="2" t="n"/>
      <c r="M792" s="2" t="n"/>
      <c r="N792" s="2" t="n">
        <v>20</v>
      </c>
      <c r="O792" s="2" t="n"/>
      <c r="P792" s="2" t="n"/>
      <c r="Q792" s="2" t="n"/>
      <c r="R792" s="2" t="n"/>
      <c r="S792" s="2" t="n"/>
      <c r="T792" s="2" t="n">
        <v>20</v>
      </c>
      <c r="U792" s="2" t="n">
        <v>40</v>
      </c>
      <c r="V792" s="2">
        <f>SUM(J792:U792)</f>
        <v/>
      </c>
      <c r="W792" s="2" t="n"/>
      <c r="X792" s="2" t="n"/>
      <c r="Y792" s="2" t="n"/>
      <c r="Z792" s="2" t="n"/>
      <c r="AA792" s="2" t="n">
        <v>160</v>
      </c>
      <c r="AB792" s="2" t="n">
        <v>160</v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>
        <f>IF(F792=1,V792*2,IF(F792=2,V792*F792*2,IF(F792&gt;2,F792*2*V792)))</f>
        <v/>
      </c>
      <c r="AW792" s="2">
        <f>SUM(W792:AU792)</f>
        <v/>
      </c>
    </row>
    <row r="793">
      <c r="A793" s="2" t="inlineStr">
        <is>
          <t>A14-DB-N540</t>
        </is>
      </c>
      <c r="B793" s="3" t="inlineStr">
        <is>
          <t>DOJC-SM-LC/APC-LC/APC</t>
        </is>
      </c>
      <c r="C793" s="2" t="inlineStr">
        <is>
          <t>930003860, 15M, B3, 2.0mm</t>
        </is>
      </c>
      <c r="D793" s="2" t="inlineStr">
        <is>
          <t>b3</t>
        </is>
      </c>
      <c r="E793" s="2" t="inlineStr">
        <is>
          <t>2.0mm</t>
        </is>
      </c>
      <c r="F793" s="2" t="n">
        <v>2</v>
      </c>
      <c r="G793" s="2" t="n">
        <v>15</v>
      </c>
      <c r="H793" s="2" t="inlineStr">
        <is>
          <t>LC/APC</t>
        </is>
      </c>
      <c r="I793" s="2" t="inlineStr">
        <is>
          <t>LC/APC</t>
        </is>
      </c>
      <c r="J793" s="2" t="n"/>
      <c r="K793" s="2" t="n"/>
      <c r="L793" s="2" t="n"/>
      <c r="M793" s="2" t="n"/>
      <c r="N793" s="2" t="n">
        <v>53</v>
      </c>
      <c r="O793" s="2" t="n">
        <v>73</v>
      </c>
      <c r="P793" s="2" t="n">
        <v>60</v>
      </c>
      <c r="Q793" s="2" t="n"/>
      <c r="R793" s="2" t="n"/>
      <c r="S793" s="2" t="n"/>
      <c r="T793" s="2" t="n"/>
      <c r="U793" s="2" t="n"/>
      <c r="V793" s="2">
        <f>SUM(J793:U793)</f>
        <v/>
      </c>
      <c r="W793" s="2" t="n"/>
      <c r="X793" s="2" t="n"/>
      <c r="Y793" s="2" t="n">
        <v>372</v>
      </c>
      <c r="Z793" s="2" t="n">
        <v>372</v>
      </c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>
        <f>IF(F793=1,V793*2,IF(F793=2,V793*F793*2,IF(F793&gt;2,F793*2*V793)))</f>
        <v/>
      </c>
      <c r="AW793" s="2">
        <f>SUM(W793:AU793)</f>
        <v/>
      </c>
    </row>
    <row r="794">
      <c r="A794" s="2" t="inlineStr">
        <is>
          <t>A14-DB-N541</t>
        </is>
      </c>
      <c r="B794" s="3" t="inlineStr">
        <is>
          <t>DOJC-SM-LC/APC-LC/APC</t>
        </is>
      </c>
      <c r="C794" s="2" t="inlineStr">
        <is>
          <t>930003861, 20M, B3, 2.0mm</t>
        </is>
      </c>
      <c r="D794" s="2" t="inlineStr">
        <is>
          <t>b3</t>
        </is>
      </c>
      <c r="E794" s="2" t="inlineStr">
        <is>
          <t>2.0mm</t>
        </is>
      </c>
      <c r="F794" s="2" t="n">
        <v>2</v>
      </c>
      <c r="G794" s="2" t="n">
        <v>20</v>
      </c>
      <c r="H794" s="2" t="inlineStr">
        <is>
          <t>LC/APC</t>
        </is>
      </c>
      <c r="I794" s="2" t="inlineStr">
        <is>
          <t>LC/APC</t>
        </is>
      </c>
      <c r="J794" s="2" t="n"/>
      <c r="K794" s="2" t="n">
        <v>11</v>
      </c>
      <c r="L794" s="2" t="n">
        <v>165</v>
      </c>
      <c r="M794" s="2" t="n">
        <v>3</v>
      </c>
      <c r="N794" s="2" t="n">
        <v>155</v>
      </c>
      <c r="O794" s="2" t="n">
        <v>12</v>
      </c>
      <c r="P794" s="2" t="n">
        <v>20</v>
      </c>
      <c r="Q794" s="2" t="n">
        <v>100</v>
      </c>
      <c r="R794" s="2" t="n"/>
      <c r="S794" s="2" t="n"/>
      <c r="T794" s="2" t="n"/>
      <c r="U794" s="2" t="n"/>
      <c r="V794" s="2">
        <f>SUM(J794:U794)</f>
        <v/>
      </c>
      <c r="W794" s="2" t="n"/>
      <c r="X794" s="2" t="n"/>
      <c r="Y794" s="2" t="n">
        <v>932</v>
      </c>
      <c r="Z794" s="2" t="n">
        <v>932</v>
      </c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>
        <f>IF(F794=1,V794*2,IF(F794=2,V794*F794*2,IF(F794&gt;2,F794*2*V794)))</f>
        <v/>
      </c>
      <c r="AW794" s="2">
        <f>SUM(W794:AU794)</f>
        <v/>
      </c>
    </row>
    <row r="795">
      <c r="A795" s="2" t="inlineStr">
        <is>
          <t>A14-DB-N542</t>
        </is>
      </c>
      <c r="B795" s="3" t="inlineStr">
        <is>
          <t>DOJC-SM-LC/APC-LC/APC</t>
        </is>
      </c>
      <c r="C795" s="2" t="inlineStr">
        <is>
          <t>25M, B3, 2.0mm</t>
        </is>
      </c>
      <c r="D795" s="2" t="inlineStr">
        <is>
          <t>b3</t>
        </is>
      </c>
      <c r="E795" s="2" t="inlineStr">
        <is>
          <t>2.0mm</t>
        </is>
      </c>
      <c r="F795" s="2" t="n">
        <v>2</v>
      </c>
      <c r="G795" s="2" t="n">
        <v>25</v>
      </c>
      <c r="H795" s="2" t="inlineStr">
        <is>
          <t>LC/APC</t>
        </is>
      </c>
      <c r="I795" s="2" t="inlineStr">
        <is>
          <t>LC/APC</t>
        </is>
      </c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>
        <v>92</v>
      </c>
      <c r="S795" s="2" t="n"/>
      <c r="T795" s="2" t="n"/>
      <c r="U795" s="2" t="n"/>
      <c r="V795" s="2">
        <f>SUM(J795:U795)</f>
        <v/>
      </c>
      <c r="W795" s="2" t="n"/>
      <c r="X795" s="2" t="n"/>
      <c r="Y795" s="2" t="n">
        <v>184</v>
      </c>
      <c r="Z795" s="2" t="n">
        <v>184</v>
      </c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>
        <f>IF(F795=1,V795*2,IF(F795=2,V795*F795*2,IF(F795&gt;2,F795*2*V795)))</f>
        <v/>
      </c>
      <c r="AW795" s="2">
        <f>SUM(W795:AU795)</f>
        <v/>
      </c>
    </row>
    <row r="796">
      <c r="A796" s="2" t="inlineStr">
        <is>
          <t>A14-DB-N609</t>
        </is>
      </c>
      <c r="B796" s="3" t="inlineStr">
        <is>
          <t>DOJC-SM-LC/PC-LC/APC</t>
        </is>
      </c>
      <c r="C796" s="2" t="inlineStr">
        <is>
          <t>10M,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2</v>
      </c>
      <c r="G796" s="2" t="n">
        <v>10</v>
      </c>
      <c r="H796" s="2" t="inlineStr">
        <is>
          <t>LC/PC</t>
        </is>
      </c>
      <c r="I796" s="2" t="inlineStr">
        <is>
          <t>LC/APC</t>
        </is>
      </c>
      <c r="J796" s="2" t="n"/>
      <c r="K796" s="2" t="n"/>
      <c r="L796" s="2" t="n">
        <v>40</v>
      </c>
      <c r="M796" s="2" t="n"/>
      <c r="N796" s="2" t="n"/>
      <c r="O796" s="2" t="n"/>
      <c r="P796" s="2" t="n"/>
      <c r="Q796" s="2" t="n"/>
      <c r="R796" s="2" t="n">
        <v>32</v>
      </c>
      <c r="S796" s="2" t="n"/>
      <c r="T796" s="2" t="n"/>
      <c r="U796" s="2" t="n"/>
      <c r="V796" s="2">
        <f>SUM(J796:U796)</f>
        <v/>
      </c>
      <c r="W796" s="2" t="n">
        <v>144</v>
      </c>
      <c r="X796" s="2" t="n"/>
      <c r="Y796" s="2" t="n"/>
      <c r="Z796" s="2" t="n">
        <v>144</v>
      </c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>
        <f>IF(F796=1,V796*2,IF(F796=2,V796*F796*2,IF(F796&gt;2,F796*2*V796)))</f>
        <v/>
      </c>
      <c r="AW796" s="2">
        <f>SUM(W796:AU796)</f>
        <v/>
      </c>
    </row>
    <row r="797">
      <c r="A797" s="2" t="inlineStr">
        <is>
          <t>A14-DB-N610</t>
        </is>
      </c>
      <c r="B797" s="3" t="inlineStr">
        <is>
          <t>DOJC-SM-LC/PC-LC/APC</t>
        </is>
      </c>
      <c r="C797" s="2" t="inlineStr">
        <is>
          <t>15M, B3, 2.0mm</t>
        </is>
      </c>
      <c r="D797" s="2" t="inlineStr">
        <is>
          <t>b3</t>
        </is>
      </c>
      <c r="E797" s="2" t="inlineStr">
        <is>
          <t>2.0mm</t>
        </is>
      </c>
      <c r="F797" s="2" t="n">
        <v>2</v>
      </c>
      <c r="G797" s="2" t="n">
        <v>15</v>
      </c>
      <c r="H797" s="2" t="inlineStr">
        <is>
          <t>LC/PC</t>
        </is>
      </c>
      <c r="I797" s="2" t="inlineStr">
        <is>
          <t>LC/APC</t>
        </is>
      </c>
      <c r="J797" s="2" t="n"/>
      <c r="K797" s="2" t="n">
        <v>10</v>
      </c>
      <c r="L797" s="2" t="n">
        <v>50</v>
      </c>
      <c r="M797" s="2" t="n"/>
      <c r="N797" s="2" t="n"/>
      <c r="O797" s="2" t="n">
        <v>5</v>
      </c>
      <c r="P797" s="2" t="n"/>
      <c r="Q797" s="2" t="n"/>
      <c r="R797" s="2" t="n"/>
      <c r="S797" s="2" t="n"/>
      <c r="T797" s="2" t="n"/>
      <c r="U797" s="2" t="n"/>
      <c r="V797" s="2">
        <f>SUM(J797:U797)</f>
        <v/>
      </c>
      <c r="W797" s="2" t="n">
        <v>130</v>
      </c>
      <c r="X797" s="2" t="n"/>
      <c r="Y797" s="2" t="n"/>
      <c r="Z797" s="2" t="n">
        <v>130</v>
      </c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>
        <f>IF(F797=1,V797*2,IF(F797=2,V797*F797*2,IF(F797&gt;2,F797*2*V797)))</f>
        <v/>
      </c>
      <c r="AW797" s="2">
        <f>SUM(W797:AU797)</f>
        <v/>
      </c>
    </row>
    <row r="798">
      <c r="A798" s="2" t="inlineStr">
        <is>
          <t>A14-DB-N611</t>
        </is>
      </c>
      <c r="B798" s="3" t="inlineStr">
        <is>
          <t>DOJC-SM-LC/PC-LC/APC</t>
        </is>
      </c>
      <c r="C798" s="2" t="inlineStr">
        <is>
          <t>20M,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2</v>
      </c>
      <c r="G798" s="2" t="n">
        <v>20</v>
      </c>
      <c r="H798" s="2" t="inlineStr">
        <is>
          <t>LC/PC</t>
        </is>
      </c>
      <c r="I798" s="2" t="inlineStr">
        <is>
          <t>LC/APC</t>
        </is>
      </c>
      <c r="J798" s="2" t="n"/>
      <c r="K798" s="2" t="n"/>
      <c r="L798" s="2" t="n">
        <v>47</v>
      </c>
      <c r="M798" s="2" t="n"/>
      <c r="N798" s="2" t="n">
        <v>4</v>
      </c>
      <c r="O798" s="2" t="n">
        <v>2</v>
      </c>
      <c r="P798" s="2" t="n"/>
      <c r="Q798" s="2" t="n"/>
      <c r="R798" s="2" t="n"/>
      <c r="S798" s="2" t="n"/>
      <c r="T798" s="2" t="n"/>
      <c r="U798" s="2" t="n"/>
      <c r="V798" s="2">
        <f>SUM(J798:U798)</f>
        <v/>
      </c>
      <c r="W798" s="2" t="n">
        <v>106</v>
      </c>
      <c r="X798" s="2" t="n"/>
      <c r="Y798" s="2" t="n"/>
      <c r="Z798" s="2" t="n">
        <v>106</v>
      </c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>
        <f>IF(F798=1,V798*2,IF(F798=2,V798*F798*2,IF(F798&gt;2,F798*2*V798)))</f>
        <v/>
      </c>
      <c r="AW798" s="2">
        <f>SUM(W798:AU798)</f>
        <v/>
      </c>
    </row>
    <row r="799">
      <c r="A799" s="2" t="inlineStr">
        <is>
          <t>A14-DB-N612</t>
        </is>
      </c>
      <c r="B799" s="3" t="inlineStr">
        <is>
          <t>DOJC-SM-LC/PC-LC/APC</t>
        </is>
      </c>
      <c r="C799" s="2" t="inlineStr">
        <is>
          <t>25M, B3, 2.0mm</t>
        </is>
      </c>
      <c r="D799" s="2" t="inlineStr">
        <is>
          <t>b3</t>
        </is>
      </c>
      <c r="E799" s="2" t="inlineStr">
        <is>
          <t>2.0mm</t>
        </is>
      </c>
      <c r="F799" s="2" t="n">
        <v>2</v>
      </c>
      <c r="G799" s="2" t="n">
        <v>25</v>
      </c>
      <c r="H799" s="2" t="inlineStr">
        <is>
          <t>LC/PC</t>
        </is>
      </c>
      <c r="I799" s="2" t="inlineStr">
        <is>
          <t>LC/APC</t>
        </is>
      </c>
      <c r="J799" s="2" t="n"/>
      <c r="K799" s="2" t="n"/>
      <c r="L799" s="2" t="n">
        <v>20</v>
      </c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>
        <f>SUM(J799:U799)</f>
        <v/>
      </c>
      <c r="W799" s="2" t="n">
        <v>40</v>
      </c>
      <c r="X799" s="2" t="n"/>
      <c r="Y799" s="2" t="n"/>
      <c r="Z799" s="2" t="n">
        <v>40</v>
      </c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>
        <f>IF(F799=1,V799*2,IF(F799=2,V799*F799*2,IF(F799&gt;2,F799*2*V799)))</f>
        <v/>
      </c>
      <c r="AW799" s="2">
        <f>SUM(W799:AU799)</f>
        <v/>
      </c>
    </row>
    <row r="800">
      <c r="A800" s="2" t="inlineStr">
        <is>
          <t>A14-DB-N653</t>
        </is>
      </c>
      <c r="B800" s="3" t="inlineStr">
        <is>
          <t>DOJC-SM-LC/PC-SC/APC</t>
        </is>
      </c>
      <c r="C800" s="2" t="inlineStr">
        <is>
          <t>50M,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2</v>
      </c>
      <c r="G800" s="2" t="n">
        <v>50</v>
      </c>
      <c r="H800" s="2" t="inlineStr">
        <is>
          <t>LC/PC</t>
        </is>
      </c>
      <c r="I800" s="2" t="inlineStr">
        <is>
          <t>SC/APC</t>
        </is>
      </c>
      <c r="J800" s="2" t="n"/>
      <c r="K800" s="2" t="n"/>
      <c r="L800" s="2" t="n"/>
      <c r="M800" s="2" t="n"/>
      <c r="N800" s="2" t="n"/>
      <c r="O800" s="2" t="n"/>
      <c r="P800" s="2" t="n"/>
      <c r="Q800" s="2" t="n">
        <v>20</v>
      </c>
      <c r="R800" s="2" t="n"/>
      <c r="S800" s="2" t="n"/>
      <c r="T800" s="2" t="n"/>
      <c r="U800" s="2" t="n"/>
      <c r="V800" s="2">
        <f>SUM(J800:U800)</f>
        <v/>
      </c>
      <c r="W800" s="2" t="n">
        <v>40</v>
      </c>
      <c r="X800" s="2" t="n"/>
      <c r="Y800" s="2" t="n"/>
      <c r="Z800" s="2" t="n"/>
      <c r="AA800" s="2" t="n"/>
      <c r="AB800" s="2" t="n"/>
      <c r="AC800" s="2" t="n"/>
      <c r="AD800" s="2" t="n">
        <v>40</v>
      </c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>
        <f>IF(F800=1,V800*2,IF(F800=2,V800*F800*2,IF(F800&gt;2,F800*2*V800)))</f>
        <v/>
      </c>
      <c r="AW800" s="2">
        <f>SUM(W800:AU800)</f>
        <v/>
      </c>
    </row>
    <row r="801">
      <c r="A801" s="2" t="inlineStr">
        <is>
          <t>A14-DB-N676</t>
        </is>
      </c>
      <c r="B801" s="3" t="inlineStr">
        <is>
          <t>DOJC-SM-LC/PC-FC/PC</t>
        </is>
      </c>
      <c r="C801" s="2" t="inlineStr">
        <is>
          <t>45M,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2</v>
      </c>
      <c r="G801" s="2" t="n">
        <v>45</v>
      </c>
      <c r="H801" s="2" t="inlineStr">
        <is>
          <t>LC/PC</t>
        </is>
      </c>
      <c r="I801" s="2" t="inlineStr">
        <is>
          <t>FC/PC</t>
        </is>
      </c>
      <c r="J801" s="2" t="n"/>
      <c r="K801" s="2" t="n"/>
      <c r="L801" s="2" t="n">
        <v>2</v>
      </c>
      <c r="M801" s="2" t="n">
        <v>10</v>
      </c>
      <c r="N801" s="2" t="n"/>
      <c r="O801" s="2" t="n"/>
      <c r="P801" s="2" t="n"/>
      <c r="Q801" s="2" t="n"/>
      <c r="R801" s="2" t="n"/>
      <c r="S801" s="2" t="n">
        <v>20</v>
      </c>
      <c r="T801" s="2" t="n"/>
      <c r="U801" s="2" t="n">
        <v>2</v>
      </c>
      <c r="V801" s="2">
        <f>SUM(J801:U801)</f>
        <v/>
      </c>
      <c r="W801" s="2" t="n">
        <v>68</v>
      </c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>
        <v>68</v>
      </c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>
        <f>IF(F801=1,V801*2,IF(F801=2,V801*F801*2,IF(F801&gt;2,F801*2*V801)))</f>
        <v/>
      </c>
      <c r="AW801" s="2">
        <f>SUM(W801:AU801)</f>
        <v/>
      </c>
    </row>
    <row r="802">
      <c r="A802" s="2" t="inlineStr">
        <is>
          <t>A14-DB-N677</t>
        </is>
      </c>
      <c r="B802" s="3" t="inlineStr">
        <is>
          <t>DOJC-SM-LC/PC-LC/PC</t>
        </is>
      </c>
      <c r="C802" s="2" t="inlineStr">
        <is>
          <t>2.5M, B3, 3.0mm</t>
        </is>
      </c>
      <c r="D802" s="2" t="inlineStr">
        <is>
          <t>b3</t>
        </is>
      </c>
      <c r="E802" s="2" t="inlineStr">
        <is>
          <t>3.0mm</t>
        </is>
      </c>
      <c r="F802" s="2" t="n">
        <v>2</v>
      </c>
      <c r="G802" s="2" t="n">
        <v>2.5</v>
      </c>
      <c r="H802" s="2" t="inlineStr">
        <is>
          <t>LC/PC</t>
        </is>
      </c>
      <c r="I802" s="2" t="inlineStr">
        <is>
          <t>LC/PC</t>
        </is>
      </c>
      <c r="J802" s="2" t="n"/>
      <c r="K802" s="2" t="n"/>
      <c r="L802" s="2" t="n"/>
      <c r="M802" s="2" t="n"/>
      <c r="N802" s="2" t="n"/>
      <c r="O802" s="2" t="n"/>
      <c r="P802" s="2" t="n">
        <v>40</v>
      </c>
      <c r="Q802" s="2" t="n"/>
      <c r="R802" s="2" t="n"/>
      <c r="S802" s="2" t="n"/>
      <c r="T802" s="2" t="n"/>
      <c r="U802" s="2" t="n"/>
      <c r="V802" s="2">
        <f>SUM(J802:U802)</f>
        <v/>
      </c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>
        <v>80</v>
      </c>
      <c r="AK802" s="2" t="n">
        <v>80</v>
      </c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>
        <f>IF(F802=1,V802*2,IF(F802=2,V802*F802*2,IF(F802&gt;2,F802*2*V802)))</f>
        <v/>
      </c>
      <c r="AW802" s="2">
        <f>SUM(W802:AU802)</f>
        <v/>
      </c>
    </row>
    <row r="803">
      <c r="A803" s="2" t="inlineStr">
        <is>
          <t>A14-DB-N726</t>
        </is>
      </c>
      <c r="B803" s="3" t="inlineStr">
        <is>
          <t>DOJC-SM-SC/PC-SC/PC</t>
        </is>
      </c>
      <c r="C803" s="2" t="inlineStr">
        <is>
          <t>0.5M,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2</v>
      </c>
      <c r="G803" s="2" t="n">
        <v>0.5</v>
      </c>
      <c r="H803" s="2" t="inlineStr">
        <is>
          <t>SC/PC</t>
        </is>
      </c>
      <c r="I803" s="2" t="inlineStr">
        <is>
          <t>SC/PC</t>
        </is>
      </c>
      <c r="J803" s="2" t="n">
        <v>100</v>
      </c>
      <c r="K803" s="2" t="n"/>
      <c r="L803" s="2" t="n"/>
      <c r="M803" s="2" t="n"/>
      <c r="N803" s="2" t="n"/>
      <c r="O803" s="2" t="n"/>
      <c r="P803" s="2" t="n"/>
      <c r="Q803" s="2" t="n"/>
      <c r="R803" s="2" t="n">
        <v>200</v>
      </c>
      <c r="S803" s="2" t="n"/>
      <c r="T803" s="2" t="n"/>
      <c r="U803" s="2" t="n"/>
      <c r="V803" s="2">
        <f>SUM(J803:U803)</f>
        <v/>
      </c>
      <c r="W803" s="2" t="n"/>
      <c r="X803" s="2" t="n"/>
      <c r="Y803" s="2" t="n"/>
      <c r="Z803" s="2" t="n"/>
      <c r="AA803" s="2" t="n">
        <v>600</v>
      </c>
      <c r="AB803" s="2" t="n">
        <v>600</v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>
        <f>IF(F803=1,V803*2,IF(F803=2,V803*F803*2,IF(F803&gt;2,F803*2*V803)))</f>
        <v/>
      </c>
      <c r="AW803" s="2">
        <f>SUM(W803:AU803)</f>
        <v/>
      </c>
    </row>
    <row r="804">
      <c r="A804" s="2" t="inlineStr">
        <is>
          <t>A14-DB-N891</t>
        </is>
      </c>
      <c r="B804" s="3" t="inlineStr">
        <is>
          <t>DOJC-SM-LC/APC-LC/APC</t>
        </is>
      </c>
      <c r="C804" s="2" t="inlineStr">
        <is>
          <t>930003857, 3M, B3, 3.0mm</t>
        </is>
      </c>
      <c r="D804" s="2" t="inlineStr">
        <is>
          <t>b3</t>
        </is>
      </c>
      <c r="E804" s="2" t="inlineStr">
        <is>
          <t>3.0mm</t>
        </is>
      </c>
      <c r="F804" s="2" t="n">
        <v>2</v>
      </c>
      <c r="G804" s="2" t="n">
        <v>3</v>
      </c>
      <c r="H804" s="2" t="inlineStr">
        <is>
          <t>LC/APC</t>
        </is>
      </c>
      <c r="I804" s="2" t="inlineStr">
        <is>
          <t>LC/APC</t>
        </is>
      </c>
      <c r="J804" s="2" t="n">
        <v>20</v>
      </c>
      <c r="K804" s="2" t="n"/>
      <c r="L804" s="2" t="n"/>
      <c r="M804" s="2" t="n"/>
      <c r="N804" s="2" t="n"/>
      <c r="O804" s="2" t="n"/>
      <c r="P804" s="2" t="n">
        <v>20</v>
      </c>
      <c r="Q804" s="2" t="n">
        <v>5</v>
      </c>
      <c r="R804" s="2" t="n"/>
      <c r="S804" s="2" t="n">
        <v>100</v>
      </c>
      <c r="T804" s="2" t="n"/>
      <c r="U804" s="2" t="n">
        <v>40</v>
      </c>
      <c r="V804" s="2">
        <f>SUM(J804:U804)</f>
        <v/>
      </c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>
        <v>370</v>
      </c>
      <c r="AM804" s="2" t="n">
        <v>370</v>
      </c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>
        <f>IF(F804=1,V804*2,IF(F804=2,V804*F804*2,IF(F804&gt;2,F804*2*V804)))</f>
        <v/>
      </c>
      <c r="AW804" s="2">
        <f>SUM(W804:AU804)</f>
        <v/>
      </c>
    </row>
    <row r="805">
      <c r="A805" s="2" t="inlineStr">
        <is>
          <t>A14-DB-N902</t>
        </is>
      </c>
      <c r="B805" s="3" t="inlineStr">
        <is>
          <t>DOJC-SM-LC/APC-LC/APC</t>
        </is>
      </c>
      <c r="C805" s="2" t="inlineStr">
        <is>
          <t>30M,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2</v>
      </c>
      <c r="G805" s="2" t="n">
        <v>30</v>
      </c>
      <c r="H805" s="2" t="inlineStr">
        <is>
          <t>LC/APC</t>
        </is>
      </c>
      <c r="I805" s="2" t="inlineStr">
        <is>
          <t>LC/APC</t>
        </is>
      </c>
      <c r="J805" s="2" t="n"/>
      <c r="K805" s="2" t="n"/>
      <c r="L805" s="2" t="n"/>
      <c r="M805" s="2" t="n"/>
      <c r="N805" s="2" t="n">
        <v>7</v>
      </c>
      <c r="O805" s="2" t="n"/>
      <c r="P805" s="2" t="n"/>
      <c r="Q805" s="2" t="n"/>
      <c r="R805" s="2" t="n"/>
      <c r="S805" s="2" t="n"/>
      <c r="T805" s="2" t="n"/>
      <c r="U805" s="2" t="n"/>
      <c r="V805" s="2">
        <f>SUM(J805:U805)</f>
        <v/>
      </c>
      <c r="W805" s="2" t="n"/>
      <c r="X805" s="2" t="n"/>
      <c r="Y805" s="2" t="n">
        <v>14</v>
      </c>
      <c r="Z805" s="2" t="n">
        <v>14</v>
      </c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>
        <f>IF(F805=1,V805*2,IF(F805=2,V805*F805*2,IF(F805&gt;2,F805*2*V805)))</f>
        <v/>
      </c>
      <c r="AW805" s="2">
        <f>SUM(W805:AU805)</f>
        <v/>
      </c>
    </row>
    <row r="806">
      <c r="A806" s="2" t="inlineStr">
        <is>
          <t>A14-DB-N903</t>
        </is>
      </c>
      <c r="B806" s="3" t="inlineStr">
        <is>
          <t>DOJC-SM-LC/APC-LC/APC</t>
        </is>
      </c>
      <c r="C806" s="2" t="inlineStr">
        <is>
          <t>35M,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2</v>
      </c>
      <c r="G806" s="2" t="n">
        <v>35</v>
      </c>
      <c r="H806" s="2" t="inlineStr">
        <is>
          <t>LC/APC</t>
        </is>
      </c>
      <c r="I806" s="2" t="inlineStr">
        <is>
          <t>LC/APC</t>
        </is>
      </c>
      <c r="J806" s="2" t="n"/>
      <c r="K806" s="2" t="n"/>
      <c r="L806" s="2" t="n"/>
      <c r="M806" s="2" t="n"/>
      <c r="N806" s="2" t="n">
        <v>7</v>
      </c>
      <c r="O806" s="2" t="n"/>
      <c r="P806" s="2" t="n"/>
      <c r="Q806" s="2" t="n"/>
      <c r="R806" s="2" t="n"/>
      <c r="S806" s="2" t="n"/>
      <c r="T806" s="2" t="n"/>
      <c r="U806" s="2" t="n"/>
      <c r="V806" s="2">
        <f>SUM(J806:U806)</f>
        <v/>
      </c>
      <c r="W806" s="2" t="n"/>
      <c r="X806" s="2" t="n"/>
      <c r="Y806" s="2" t="n">
        <v>14</v>
      </c>
      <c r="Z806" s="2" t="n">
        <v>14</v>
      </c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>
        <f>IF(F806=1,V806*2,IF(F806=2,V806*F806*2,IF(F806&gt;2,F806*2*V806)))</f>
        <v/>
      </c>
      <c r="AW806" s="2">
        <f>SUM(W806:AU806)</f>
        <v/>
      </c>
    </row>
    <row r="807">
      <c r="A807" s="2" t="inlineStr">
        <is>
          <t>A14-DB-N905</t>
        </is>
      </c>
      <c r="B807" s="3" t="inlineStr">
        <is>
          <t>DOJC-SM-LC/APC-SC/PC</t>
        </is>
      </c>
      <c r="C807" s="2" t="inlineStr">
        <is>
          <t>1M, B3, 3.0mm</t>
        </is>
      </c>
      <c r="D807" s="2" t="inlineStr">
        <is>
          <t>b3</t>
        </is>
      </c>
      <c r="E807" s="2" t="inlineStr">
        <is>
          <t>3.0mm</t>
        </is>
      </c>
      <c r="F807" s="2" t="n">
        <v>2</v>
      </c>
      <c r="G807" s="2" t="n">
        <v>1</v>
      </c>
      <c r="H807" s="2" t="inlineStr">
        <is>
          <t>LC/APC</t>
        </is>
      </c>
      <c r="I807" s="2" t="inlineStr">
        <is>
          <t>SC/PC</t>
        </is>
      </c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>
        <v>2</v>
      </c>
      <c r="V807" s="2">
        <f>SUM(J807:U807)</f>
        <v/>
      </c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>
        <v>4</v>
      </c>
      <c r="AM807" s="2" t="n"/>
      <c r="AN807" s="2" t="n"/>
      <c r="AO807" s="2" t="n">
        <v>4</v>
      </c>
      <c r="AP807" s="2" t="n"/>
      <c r="AQ807" s="2" t="n"/>
      <c r="AR807" s="2" t="n"/>
      <c r="AS807" s="2" t="n"/>
      <c r="AT807" s="2" t="n"/>
      <c r="AU807" s="2" t="n"/>
      <c r="AV807" s="2">
        <f>IF(F807=1,V807*2,IF(F807=2,V807*F807*2,IF(F807&gt;2,F807*2*V807)))</f>
        <v/>
      </c>
      <c r="AW807" s="2">
        <f>SUM(W807:AU807)</f>
        <v/>
      </c>
    </row>
    <row r="808">
      <c r="A808" s="2" t="inlineStr">
        <is>
          <t>A14-DB-NA124</t>
        </is>
      </c>
      <c r="B808" s="3" t="inlineStr">
        <is>
          <t>DOJC-SM-LC/APC-FC/APC</t>
        </is>
      </c>
      <c r="C808" s="2" t="inlineStr">
        <is>
          <t>15M, B3, 2.0mm</t>
        </is>
      </c>
      <c r="D808" s="2" t="inlineStr">
        <is>
          <t>b3</t>
        </is>
      </c>
      <c r="E808" s="2" t="inlineStr">
        <is>
          <t>2.0mm</t>
        </is>
      </c>
      <c r="F808" s="2" t="n">
        <v>2</v>
      </c>
      <c r="G808" s="2" t="n">
        <v>15</v>
      </c>
      <c r="H808" s="2" t="inlineStr">
        <is>
          <t>LC/APC</t>
        </is>
      </c>
      <c r="I808" s="2" t="inlineStr">
        <is>
          <t>FC/APC</t>
        </is>
      </c>
      <c r="J808" s="2" t="n"/>
      <c r="K808" s="2" t="n"/>
      <c r="L808" s="2" t="n"/>
      <c r="M808" s="2" t="n"/>
      <c r="N808" s="2" t="n"/>
      <c r="O808" s="2" t="n">
        <v>15</v>
      </c>
      <c r="P808" s="2" t="n"/>
      <c r="Q808" s="2" t="n">
        <v>2</v>
      </c>
      <c r="R808" s="2" t="n"/>
      <c r="S808" s="2" t="n"/>
      <c r="T808" s="2" t="n"/>
      <c r="U808" s="2" t="n"/>
      <c r="V808" s="2">
        <f>SUM(J808:U808)</f>
        <v/>
      </c>
      <c r="W808" s="2" t="n"/>
      <c r="X808" s="2" t="n"/>
      <c r="Y808" s="2" t="n">
        <v>34</v>
      </c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>
        <v>34</v>
      </c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>
        <f>IF(F808=1,V808*2,IF(F808=2,V808*F808*2,IF(F808&gt;2,F808*2*V808)))</f>
        <v/>
      </c>
      <c r="AW808" s="2">
        <f>SUM(W808:AU808)</f>
        <v/>
      </c>
    </row>
    <row r="809">
      <c r="A809" s="2" t="inlineStr">
        <is>
          <t>A14-DB-NA142</t>
        </is>
      </c>
      <c r="B809" s="3" t="inlineStr">
        <is>
          <t>DOJC-SM-LC/APC-LC/APC</t>
        </is>
      </c>
      <c r="C809" s="2" t="inlineStr">
        <is>
          <t>7M, B3, 2.0mm</t>
        </is>
      </c>
      <c r="D809" s="2" t="inlineStr">
        <is>
          <t>b3</t>
        </is>
      </c>
      <c r="E809" s="2" t="inlineStr">
        <is>
          <t>2.0mm</t>
        </is>
      </c>
      <c r="F809" s="2" t="n">
        <v>2</v>
      </c>
      <c r="G809" s="2" t="n">
        <v>7</v>
      </c>
      <c r="H809" s="2" t="inlineStr">
        <is>
          <t>LC/APC</t>
        </is>
      </c>
      <c r="I809" s="2" t="inlineStr">
        <is>
          <t>LC/APC</t>
        </is>
      </c>
      <c r="J809" s="2" t="n"/>
      <c r="K809" s="2" t="n">
        <v>20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>
        <f>SUM(J809:U809)</f>
        <v/>
      </c>
      <c r="W809" s="2" t="n"/>
      <c r="X809" s="2" t="n"/>
      <c r="Y809" s="2" t="n">
        <v>40</v>
      </c>
      <c r="Z809" s="2" t="n">
        <v>40</v>
      </c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>
        <f>IF(F809=1,V809*2,IF(F809=2,V809*F809*2,IF(F809&gt;2,F809*2*V809)))</f>
        <v/>
      </c>
      <c r="AW809" s="2">
        <f>SUM(W809:AU809)</f>
        <v/>
      </c>
    </row>
    <row r="810">
      <c r="A810" s="2" t="inlineStr">
        <is>
          <t>A14-DB-NA55</t>
        </is>
      </c>
      <c r="B810" s="3" t="inlineStr">
        <is>
          <t>DOJC-SM-LC/APC-FC/PC</t>
        </is>
      </c>
      <c r="C810" s="2" t="inlineStr">
        <is>
          <t>20M,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2</v>
      </c>
      <c r="G810" s="2" t="n">
        <v>20</v>
      </c>
      <c r="H810" s="2" t="inlineStr">
        <is>
          <t>LC/APC</t>
        </is>
      </c>
      <c r="I810" s="2" t="inlineStr">
        <is>
          <t>FC/PC</t>
        </is>
      </c>
      <c r="J810" s="2" t="n">
        <v>5</v>
      </c>
      <c r="K810" s="2" t="n"/>
      <c r="L810" s="2" t="n">
        <v>21</v>
      </c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>
        <f>SUM(J810:U810)</f>
        <v/>
      </c>
      <c r="W810" s="2" t="n"/>
      <c r="X810" s="2" t="n"/>
      <c r="Y810" s="2" t="n">
        <v>52</v>
      </c>
      <c r="Z810" s="2" t="n"/>
      <c r="AA810" s="2" t="n"/>
      <c r="AB810" s="2" t="n"/>
      <c r="AC810" s="2" t="n"/>
      <c r="AD810" s="2" t="n"/>
      <c r="AE810" s="2" t="n"/>
      <c r="AF810" s="2" t="n">
        <v>52</v>
      </c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>
        <f>IF(F810=1,V810*2,IF(F810=2,V810*F810*2,IF(F810&gt;2,F810*2*V810)))</f>
        <v/>
      </c>
      <c r="AW810" s="2">
        <f>SUM(W810:AU810)</f>
        <v/>
      </c>
    </row>
    <row r="811">
      <c r="A811" s="2" t="inlineStr">
        <is>
          <t>A14-DB-NA56</t>
        </is>
      </c>
      <c r="B811" s="3" t="inlineStr">
        <is>
          <t>DOJC-SM-LC/APC-FC/PC</t>
        </is>
      </c>
      <c r="C811" s="2" t="inlineStr">
        <is>
          <t>15M,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2</v>
      </c>
      <c r="G811" s="2" t="n">
        <v>15</v>
      </c>
      <c r="H811" s="2" t="inlineStr">
        <is>
          <t>LC/APC</t>
        </is>
      </c>
      <c r="I811" s="2" t="inlineStr">
        <is>
          <t>FC/PC</t>
        </is>
      </c>
      <c r="J811" s="2" t="n"/>
      <c r="K811" s="2" t="n"/>
      <c r="L811" s="2" t="n">
        <v>20</v>
      </c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>
        <f>SUM(J811:U811)</f>
        <v/>
      </c>
      <c r="W811" s="2" t="n"/>
      <c r="X811" s="2" t="n"/>
      <c r="Y811" s="2" t="n">
        <v>40</v>
      </c>
      <c r="Z811" s="2" t="n"/>
      <c r="AA811" s="2" t="n"/>
      <c r="AB811" s="2" t="n"/>
      <c r="AC811" s="2" t="n"/>
      <c r="AD811" s="2" t="n"/>
      <c r="AE811" s="2" t="n"/>
      <c r="AF811" s="2" t="n">
        <v>40</v>
      </c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>
        <f>IF(F811=1,V811*2,IF(F811=2,V811*F811*2,IF(F811&gt;2,F811*2*V811)))</f>
        <v/>
      </c>
      <c r="AW811" s="2">
        <f>SUM(W811:AU811)</f>
        <v/>
      </c>
    </row>
    <row r="812">
      <c r="A812" s="2" t="inlineStr">
        <is>
          <t>A14-DB-NA68</t>
        </is>
      </c>
      <c r="B812" s="3" t="inlineStr">
        <is>
          <t>DOJC-SM-LC/APC-LC/APC</t>
        </is>
      </c>
      <c r="C812" s="2" t="inlineStr">
        <is>
          <t>930003859, 10M,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2</v>
      </c>
      <c r="G812" s="2" t="n">
        <v>10</v>
      </c>
      <c r="H812" s="2" t="inlineStr">
        <is>
          <t>LC/APC</t>
        </is>
      </c>
      <c r="I812" s="2" t="inlineStr">
        <is>
          <t>LC/APC</t>
        </is>
      </c>
      <c r="J812" s="2" t="n"/>
      <c r="K812" s="2" t="n"/>
      <c r="L812" s="2" t="n"/>
      <c r="M812" s="2" t="n">
        <v>48</v>
      </c>
      <c r="N812" s="2" t="n">
        <v>130</v>
      </c>
      <c r="O812" s="2" t="n">
        <v>42</v>
      </c>
      <c r="P812" s="2" t="n">
        <v>40</v>
      </c>
      <c r="Q812" s="2" t="n"/>
      <c r="R812" s="2" t="n"/>
      <c r="S812" s="2" t="n"/>
      <c r="T812" s="2" t="n"/>
      <c r="U812" s="2" t="n"/>
      <c r="V812" s="2">
        <f>SUM(J812:U812)</f>
        <v/>
      </c>
      <c r="W812" s="2" t="n"/>
      <c r="X812" s="2" t="n"/>
      <c r="Y812" s="2" t="n">
        <v>520</v>
      </c>
      <c r="Z812" s="2" t="n">
        <v>520</v>
      </c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>
        <f>IF(F812=1,V812*2,IF(F812=2,V812*F812*2,IF(F812&gt;2,F812*2*V812)))</f>
        <v/>
      </c>
      <c r="AW812" s="2">
        <f>SUM(W812:AU812)</f>
        <v/>
      </c>
    </row>
    <row r="813">
      <c r="A813" s="2" t="inlineStr">
        <is>
          <t>A14-DB-NA95</t>
        </is>
      </c>
      <c r="B813" s="3" t="inlineStr">
        <is>
          <t>DOJC-SM-LC/APC-LC/APC</t>
        </is>
      </c>
      <c r="C813" s="2" t="inlineStr">
        <is>
          <t>13M,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2</v>
      </c>
      <c r="G813" s="2" t="n">
        <v>13</v>
      </c>
      <c r="H813" s="2" t="inlineStr">
        <is>
          <t>LC/APC</t>
        </is>
      </c>
      <c r="I813" s="2" t="inlineStr">
        <is>
          <t>LC/APC</t>
        </is>
      </c>
      <c r="J813" s="2" t="n"/>
      <c r="K813" s="2" t="n">
        <v>30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>
        <f>SUM(J813:U813)</f>
        <v/>
      </c>
      <c r="W813" s="2" t="n"/>
      <c r="X813" s="2" t="n"/>
      <c r="Y813" s="2" t="n">
        <v>60</v>
      </c>
      <c r="Z813" s="2" t="n">
        <v>60</v>
      </c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>
        <f>IF(F813=1,V813*2,IF(F813=2,V813*F813*2,IF(F813&gt;2,F813*2*V813)))</f>
        <v/>
      </c>
      <c r="AW813" s="2">
        <f>SUM(W813:AU813)</f>
        <v/>
      </c>
    </row>
    <row r="814">
      <c r="A814" s="2" t="inlineStr">
        <is>
          <t>A14-DB-NAN8</t>
        </is>
      </c>
      <c r="B814" s="3" t="inlineStr">
        <is>
          <t>DOJC-SM-LC/APC-FC/APC</t>
        </is>
      </c>
      <c r="C814" s="2" t="inlineStr">
        <is>
          <t>10M, B3, 2.0mm</t>
        </is>
      </c>
      <c r="D814" s="2" t="inlineStr">
        <is>
          <t>b3</t>
        </is>
      </c>
      <c r="E814" s="2" t="inlineStr">
        <is>
          <t>2.0mm</t>
        </is>
      </c>
      <c r="F814" s="2" t="n">
        <v>2</v>
      </c>
      <c r="G814" s="2" t="n">
        <v>10</v>
      </c>
      <c r="H814" s="2" t="inlineStr">
        <is>
          <t>LC/APC</t>
        </is>
      </c>
      <c r="I814" s="2" t="inlineStr">
        <is>
          <t>FC/APC</t>
        </is>
      </c>
      <c r="J814" s="2" t="n"/>
      <c r="K814" s="2" t="n">
        <v>4</v>
      </c>
      <c r="L814" s="2" t="n"/>
      <c r="M814" s="2" t="n"/>
      <c r="N814" s="2" t="n"/>
      <c r="O814" s="2" t="n">
        <v>10</v>
      </c>
      <c r="P814" s="2" t="n"/>
      <c r="Q814" s="2" t="n"/>
      <c r="R814" s="2" t="n"/>
      <c r="S814" s="2" t="n"/>
      <c r="T814" s="2" t="n"/>
      <c r="U814" s="2" t="n"/>
      <c r="V814" s="2">
        <f>SUM(J814:U814)</f>
        <v/>
      </c>
      <c r="W814" s="2" t="n"/>
      <c r="X814" s="2" t="n"/>
      <c r="Y814" s="2" t="n">
        <v>28</v>
      </c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>
        <v>28</v>
      </c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>
        <f>IF(F814=1,V814*2,IF(F814=2,V814*F814*2,IF(F814&gt;2,F814*2*V814)))</f>
        <v/>
      </c>
      <c r="AW814" s="2">
        <f>SUM(W814:AU814)</f>
        <v/>
      </c>
    </row>
    <row r="815">
      <c r="A815" s="2" t="inlineStr">
        <is>
          <t>A14-DB-NAN9</t>
        </is>
      </c>
      <c r="B815" s="3" t="inlineStr">
        <is>
          <t>DOJC-SM-LC/APC-FC/APC</t>
        </is>
      </c>
      <c r="C815" s="2" t="inlineStr">
        <is>
          <t>20M, B3, 2.0mm</t>
        </is>
      </c>
      <c r="D815" s="2" t="inlineStr">
        <is>
          <t>b3</t>
        </is>
      </c>
      <c r="E815" s="2" t="inlineStr">
        <is>
          <t>2.0mm</t>
        </is>
      </c>
      <c r="F815" s="2" t="n">
        <v>2</v>
      </c>
      <c r="G815" s="2" t="n">
        <v>20</v>
      </c>
      <c r="H815" s="2" t="inlineStr">
        <is>
          <t>LC/APC</t>
        </is>
      </c>
      <c r="I815" s="2" t="inlineStr">
        <is>
          <t>FC/APC</t>
        </is>
      </c>
      <c r="J815" s="2" t="n">
        <v>5</v>
      </c>
      <c r="K815" s="2" t="n"/>
      <c r="L815" s="2" t="n">
        <v>20</v>
      </c>
      <c r="M815" s="2" t="n"/>
      <c r="N815" s="2" t="n">
        <v>10</v>
      </c>
      <c r="O815" s="2" t="n"/>
      <c r="P815" s="2" t="n"/>
      <c r="Q815" s="2" t="n">
        <v>1</v>
      </c>
      <c r="R815" s="2" t="n"/>
      <c r="S815" s="2" t="n"/>
      <c r="T815" s="2" t="n"/>
      <c r="U815" s="2" t="n"/>
      <c r="V815" s="2">
        <f>SUM(J815:U815)</f>
        <v/>
      </c>
      <c r="W815" s="2" t="n"/>
      <c r="X815" s="2" t="n"/>
      <c r="Y815" s="2" t="n">
        <v>72</v>
      </c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>
        <v>72</v>
      </c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>
        <f>IF(F815=1,V815*2,IF(F815=2,V815*F815*2,IF(F815&gt;2,F815*2*V815)))</f>
        <v/>
      </c>
      <c r="AW815" s="2">
        <f>SUM(W815:AU815)</f>
        <v/>
      </c>
    </row>
    <row r="816">
      <c r="A816" s="2" t="inlineStr">
        <is>
          <t>A14-DB-NAP2</t>
        </is>
      </c>
      <c r="B816" s="3" t="inlineStr">
        <is>
          <t>DOJC-SM-LC/APC-LC/APC</t>
        </is>
      </c>
      <c r="C816" s="2" t="inlineStr">
        <is>
          <t>6M,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2</v>
      </c>
      <c r="G816" s="2" t="n">
        <v>6</v>
      </c>
      <c r="H816" s="2" t="inlineStr">
        <is>
          <t>LC/APC</t>
        </is>
      </c>
      <c r="I816" s="2" t="inlineStr">
        <is>
          <t>LC/APC</t>
        </is>
      </c>
      <c r="J816" s="2" t="n">
        <v>10</v>
      </c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>
        <f>SUM(J816:U816)</f>
        <v/>
      </c>
      <c r="W816" s="2" t="n"/>
      <c r="X816" s="2" t="n"/>
      <c r="Y816" s="2" t="n">
        <v>20</v>
      </c>
      <c r="Z816" s="2" t="n">
        <v>20</v>
      </c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>
        <f>IF(F816=1,V816*2,IF(F816=2,V816*F816*2,IF(F816&gt;2,F816*2*V816)))</f>
        <v/>
      </c>
      <c r="AW816" s="2">
        <f>SUM(W816:AU816)</f>
        <v/>
      </c>
    </row>
    <row r="817">
      <c r="A817" s="2" t="inlineStr">
        <is>
          <t>A14-DB-NC14</t>
        </is>
      </c>
      <c r="B817" s="3" t="inlineStr">
        <is>
          <t>DOJC-SM-LC/APC-LC/APC</t>
        </is>
      </c>
      <c r="C817" s="2" t="inlineStr">
        <is>
          <t>930003855, 1M, B3, 3.0mm</t>
        </is>
      </c>
      <c r="D817" s="2" t="inlineStr">
        <is>
          <t>b3</t>
        </is>
      </c>
      <c r="E817" s="2" t="inlineStr">
        <is>
          <t>3.0mm</t>
        </is>
      </c>
      <c r="F817" s="2" t="n">
        <v>2</v>
      </c>
      <c r="G817" s="2" t="n">
        <v>1</v>
      </c>
      <c r="H817" s="2" t="inlineStr">
        <is>
          <t>LC/APC</t>
        </is>
      </c>
      <c r="I817" s="2" t="inlineStr">
        <is>
          <t>LC/APC</t>
        </is>
      </c>
      <c r="J817" s="2" t="n"/>
      <c r="K817" s="2" t="n"/>
      <c r="L817" s="2" t="n"/>
      <c r="M817" s="2" t="n"/>
      <c r="N817" s="2" t="n">
        <v>20</v>
      </c>
      <c r="O817" s="2" t="n"/>
      <c r="P817" s="2" t="n"/>
      <c r="Q817" s="2" t="n"/>
      <c r="R817" s="2" t="n"/>
      <c r="S817" s="2" t="n"/>
      <c r="T817" s="2" t="n"/>
      <c r="U817" s="2" t="n"/>
      <c r="V817" s="2">
        <f>SUM(J817:U817)</f>
        <v/>
      </c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>
        <v>40</v>
      </c>
      <c r="AM817" s="2" t="n">
        <v>40</v>
      </c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>
        <f>IF(F817=1,V817*2,IF(F817=2,V817*F817*2,IF(F817&gt;2,F817*2*V817)))</f>
        <v/>
      </c>
      <c r="AW817" s="2">
        <f>SUM(W817:AU817)</f>
        <v/>
      </c>
    </row>
    <row r="818">
      <c r="A818" s="2" t="inlineStr">
        <is>
          <t>A14-DB-NC34</t>
        </is>
      </c>
      <c r="B818" s="3" t="inlineStr">
        <is>
          <t>DOJC-SM-LC/APC-SC/APC</t>
        </is>
      </c>
      <c r="C818" s="2" t="inlineStr">
        <is>
          <t>15M,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2</v>
      </c>
      <c r="G818" s="2" t="n">
        <v>15</v>
      </c>
      <c r="H818" s="2" t="inlineStr">
        <is>
          <t>LC/APC</t>
        </is>
      </c>
      <c r="I818" s="2" t="inlineStr">
        <is>
          <t>SC/APC</t>
        </is>
      </c>
      <c r="J818" s="2" t="n"/>
      <c r="K818" s="2" t="n"/>
      <c r="L818" s="2" t="n">
        <v>10</v>
      </c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>
        <f>SUM(J818:U818)</f>
        <v/>
      </c>
      <c r="W818" s="2" t="n"/>
      <c r="X818" s="2" t="n"/>
      <c r="Y818" s="2" t="n">
        <v>20</v>
      </c>
      <c r="Z818" s="2" t="n"/>
      <c r="AA818" s="2" t="n"/>
      <c r="AB818" s="2" t="n"/>
      <c r="AC818" s="2" t="n"/>
      <c r="AD818" s="2" t="n">
        <v>20</v>
      </c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>
        <f>IF(F818=1,V818*2,IF(F818=2,V818*F818*2,IF(F818&gt;2,F818*2*V818)))</f>
        <v/>
      </c>
      <c r="AW818" s="2">
        <f>SUM(W818:AU818)</f>
        <v/>
      </c>
    </row>
    <row r="819">
      <c r="A819" s="2" t="inlineStr">
        <is>
          <t>A14-DB-NC60</t>
        </is>
      </c>
      <c r="B819" s="3" t="inlineStr">
        <is>
          <t>DOJC-SM-LC/APC-FC/PC</t>
        </is>
      </c>
      <c r="C819" s="2" t="inlineStr">
        <is>
          <t>10M,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2</v>
      </c>
      <c r="G819" s="2" t="n">
        <v>10</v>
      </c>
      <c r="H819" s="2" t="inlineStr">
        <is>
          <t>LC/APC</t>
        </is>
      </c>
      <c r="I819" s="2" t="inlineStr">
        <is>
          <t>FC/PC</t>
        </is>
      </c>
      <c r="J819" s="2" t="n"/>
      <c r="K819" s="2" t="n"/>
      <c r="L819" s="2" t="n">
        <v>3</v>
      </c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>
        <f>SUM(J819:U819)</f>
        <v/>
      </c>
      <c r="W819" s="2" t="n"/>
      <c r="X819" s="2" t="n"/>
      <c r="Y819" s="2" t="n">
        <v>6</v>
      </c>
      <c r="Z819" s="2" t="n"/>
      <c r="AA819" s="2" t="n"/>
      <c r="AB819" s="2" t="n"/>
      <c r="AC819" s="2" t="n"/>
      <c r="AD819" s="2" t="n"/>
      <c r="AE819" s="2" t="n"/>
      <c r="AF819" s="2" t="n">
        <v>6</v>
      </c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>
        <f>IF(F819=1,V819*2,IF(F819=2,V819*F819*2,IF(F819&gt;2,F819*2*V819)))</f>
        <v/>
      </c>
      <c r="AW819" s="2">
        <f>SUM(W819:AU819)</f>
        <v/>
      </c>
    </row>
    <row r="820">
      <c r="A820" s="2" t="inlineStr">
        <is>
          <t>A14-DB-NC79</t>
        </is>
      </c>
      <c r="B820" s="3" t="inlineStr">
        <is>
          <t>DOJC-SM-LC/APC-LC/APC</t>
        </is>
      </c>
      <c r="C820" s="2" t="inlineStr">
        <is>
          <t>930003856, 2M, B3, 3.0mm</t>
        </is>
      </c>
      <c r="D820" s="2" t="inlineStr">
        <is>
          <t>b3</t>
        </is>
      </c>
      <c r="E820" s="2" t="inlineStr">
        <is>
          <t>3.0mm</t>
        </is>
      </c>
      <c r="F820" s="2" t="n">
        <v>2</v>
      </c>
      <c r="G820" s="2" t="n">
        <v>2</v>
      </c>
      <c r="H820" s="2" t="inlineStr">
        <is>
          <t>LC/APC</t>
        </is>
      </c>
      <c r="I820" s="2" t="inlineStr">
        <is>
          <t>LC/APC</t>
        </is>
      </c>
      <c r="J820" s="2" t="n">
        <v>100</v>
      </c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>
        <f>SUM(J820:U820)</f>
        <v/>
      </c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>
        <v>200</v>
      </c>
      <c r="AM820" s="2" t="n">
        <v>200</v>
      </c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>
        <f>IF(F820=1,V820*2,IF(F820=2,V820*F820*2,IF(F820&gt;2,F820*2*V820)))</f>
        <v/>
      </c>
      <c r="AW820" s="2">
        <f>SUM(W820:AU820)</f>
        <v/>
      </c>
    </row>
    <row r="821">
      <c r="A821" s="2" t="inlineStr">
        <is>
          <t>A14-DB-ND42</t>
        </is>
      </c>
      <c r="B821" s="3" t="inlineStr">
        <is>
          <t>DOJC-SM-LC/APC-SC/PC</t>
        </is>
      </c>
      <c r="C821" s="2" t="inlineStr">
        <is>
          <t>10M, B3, 2.0mm</t>
        </is>
      </c>
      <c r="D821" s="2" t="inlineStr">
        <is>
          <t>b3</t>
        </is>
      </c>
      <c r="E821" s="2" t="inlineStr">
        <is>
          <t>2.0mm</t>
        </is>
      </c>
      <c r="F821" s="2" t="n">
        <v>2</v>
      </c>
      <c r="G821" s="2" t="n">
        <v>10</v>
      </c>
      <c r="H821" s="2" t="inlineStr">
        <is>
          <t>LC/APC</t>
        </is>
      </c>
      <c r="I821" s="2" t="inlineStr">
        <is>
          <t>SC/PC</t>
        </is>
      </c>
      <c r="J821" s="2" t="n"/>
      <c r="K821" s="2" t="n"/>
      <c r="L821" s="2" t="n">
        <v>1</v>
      </c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>
        <f>SUM(J821:U821)</f>
        <v/>
      </c>
      <c r="W821" s="2" t="n"/>
      <c r="X821" s="2" t="n"/>
      <c r="Y821" s="2" t="n">
        <v>2</v>
      </c>
      <c r="Z821" s="2" t="n"/>
      <c r="AA821" s="2" t="n"/>
      <c r="AB821" s="2" t="n">
        <v>2</v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>
        <f>IF(F821=1,V821*2,IF(F821=2,V821*F821*2,IF(F821&gt;2,F821*2*V821)))</f>
        <v/>
      </c>
      <c r="AW821" s="2">
        <f>SUM(W821:AU821)</f>
        <v/>
      </c>
    </row>
    <row r="822">
      <c r="A822" s="2" t="inlineStr">
        <is>
          <t>A14-DB-ND98</t>
        </is>
      </c>
      <c r="B822" s="3" t="inlineStr">
        <is>
          <t>DOJC-SM-SC/APC-SC/APC</t>
        </is>
      </c>
      <c r="C822" s="2" t="inlineStr">
        <is>
          <t>60M,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2</v>
      </c>
      <c r="G822" s="2" t="n">
        <v>60</v>
      </c>
      <c r="H822" s="2" t="inlineStr">
        <is>
          <t>SC/APC</t>
        </is>
      </c>
      <c r="I822" s="2" t="inlineStr">
        <is>
          <t>SC/APC</t>
        </is>
      </c>
      <c r="J822" s="2" t="n"/>
      <c r="K822" s="2" t="n"/>
      <c r="L822" s="2" t="n"/>
      <c r="M822" s="2" t="n"/>
      <c r="N822" s="2" t="n">
        <v>3</v>
      </c>
      <c r="O822" s="2" t="n"/>
      <c r="P822" s="2" t="n"/>
      <c r="Q822" s="2" t="n"/>
      <c r="R822" s="2" t="n"/>
      <c r="S822" s="2" t="n"/>
      <c r="T822" s="2" t="n"/>
      <c r="U822" s="2" t="n"/>
      <c r="V822" s="2">
        <f>SUM(J822:U822)</f>
        <v/>
      </c>
      <c r="W822" s="2" t="n"/>
      <c r="X822" s="2" t="n"/>
      <c r="Y822" s="2" t="n"/>
      <c r="Z822" s="2" t="n"/>
      <c r="AA822" s="2" t="n"/>
      <c r="AB822" s="2" t="n"/>
      <c r="AC822" s="2" t="n">
        <v>6</v>
      </c>
      <c r="AD822" s="2" t="n">
        <v>6</v>
      </c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>
        <f>IF(F822=1,V822*2,IF(F822=2,V822*F822*2,IF(F822&gt;2,F822*2*V822)))</f>
        <v/>
      </c>
      <c r="AW822" s="2">
        <f>SUM(W822:AU822)</f>
        <v/>
      </c>
    </row>
    <row r="823">
      <c r="A823" s="2" t="inlineStr">
        <is>
          <t>A14-DB-ND99</t>
        </is>
      </c>
      <c r="B823" s="3" t="inlineStr">
        <is>
          <t>DOJC-SM-LC/APC-SC/PC</t>
        </is>
      </c>
      <c r="C823" s="2" t="inlineStr">
        <is>
          <t>20M, B3, 2.0mm</t>
        </is>
      </c>
      <c r="D823" s="2" t="inlineStr">
        <is>
          <t>b3</t>
        </is>
      </c>
      <c r="E823" s="2" t="inlineStr">
        <is>
          <t>2.0mm</t>
        </is>
      </c>
      <c r="F823" s="2" t="n">
        <v>2</v>
      </c>
      <c r="G823" s="2" t="n">
        <v>20</v>
      </c>
      <c r="H823" s="2" t="inlineStr">
        <is>
          <t>LC/APC</t>
        </is>
      </c>
      <c r="I823" s="2" t="inlineStr">
        <is>
          <t>SC/PC</t>
        </is>
      </c>
      <c r="J823" s="2" t="n">
        <v>5</v>
      </c>
      <c r="K823" s="2" t="n"/>
      <c r="L823" s="2" t="n">
        <v>1</v>
      </c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>
        <f>SUM(J823:U823)</f>
        <v/>
      </c>
      <c r="W823" s="2" t="n"/>
      <c r="X823" s="2" t="n"/>
      <c r="Y823" s="2" t="n">
        <v>12</v>
      </c>
      <c r="Z823" s="2" t="n"/>
      <c r="AA823" s="2" t="n"/>
      <c r="AB823" s="2" t="n">
        <v>12</v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>
        <f>IF(F823=1,V823*2,IF(F823=2,V823*F823*2,IF(F823&gt;2,F823*2*V823)))</f>
        <v/>
      </c>
      <c r="AW823" s="2">
        <f>SUM(W823:AU823)</f>
        <v/>
      </c>
    </row>
    <row r="824">
      <c r="A824" s="2" t="inlineStr">
        <is>
          <t>A14-DB-NF46</t>
        </is>
      </c>
      <c r="B824" s="3" t="inlineStr">
        <is>
          <t>DOJC-SM-LC/APC-FC/PC</t>
        </is>
      </c>
      <c r="C824" s="2" t="inlineStr">
        <is>
          <t>25M, B3, 2.0mm</t>
        </is>
      </c>
      <c r="D824" s="2" t="inlineStr">
        <is>
          <t>b3</t>
        </is>
      </c>
      <c r="E824" s="2" t="inlineStr">
        <is>
          <t>2.0mm</t>
        </is>
      </c>
      <c r="F824" s="2" t="n">
        <v>2</v>
      </c>
      <c r="G824" s="2" t="n">
        <v>25</v>
      </c>
      <c r="H824" s="2" t="inlineStr">
        <is>
          <t>LC/APC</t>
        </is>
      </c>
      <c r="I824" s="2" t="inlineStr">
        <is>
          <t>FC/PC</t>
        </is>
      </c>
      <c r="J824" s="2" t="n"/>
      <c r="K824" s="2" t="n"/>
      <c r="L824" s="2" t="n"/>
      <c r="M824" s="2" t="n"/>
      <c r="N824" s="2" t="n"/>
      <c r="O824" s="2" t="n"/>
      <c r="P824" s="2" t="n"/>
      <c r="Q824" s="2" t="n">
        <v>5</v>
      </c>
      <c r="R824" s="2" t="n"/>
      <c r="S824" s="2" t="n"/>
      <c r="T824" s="2" t="n"/>
      <c r="U824" s="2" t="n"/>
      <c r="V824" s="2">
        <f>SUM(J824:U824)</f>
        <v/>
      </c>
      <c r="W824" s="2" t="n"/>
      <c r="X824" s="2" t="n"/>
      <c r="Y824" s="2" t="n">
        <v>10</v>
      </c>
      <c r="Z824" s="2" t="n"/>
      <c r="AA824" s="2" t="n"/>
      <c r="AB824" s="2" t="n"/>
      <c r="AC824" s="2" t="n"/>
      <c r="AD824" s="2" t="n"/>
      <c r="AE824" s="2" t="n"/>
      <c r="AF824" s="2" t="n">
        <v>10</v>
      </c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>
        <f>IF(F824=1,V824*2,IF(F824=2,V824*F824*2,IF(F824&gt;2,F824*2*V824)))</f>
        <v/>
      </c>
      <c r="AW824" s="2">
        <f>SUM(W824:AU824)</f>
        <v/>
      </c>
    </row>
    <row r="825">
      <c r="A825" s="2" t="inlineStr">
        <is>
          <t>A14-M-LP/LP-B-N-001</t>
        </is>
      </c>
      <c r="B825" s="3" t="inlineStr">
        <is>
          <t>MOJC-SM-12C-LC/PC-LC/PC</t>
        </is>
      </c>
      <c r="C825" s="2" t="inlineStr">
        <is>
          <t>920001090, 3M, B3</t>
        </is>
      </c>
      <c r="D825" s="2" t="inlineStr">
        <is>
          <t>b3-12c</t>
        </is>
      </c>
      <c r="E825" s="2" t="inlineStr">
        <is>
          <t>2.0mm</t>
        </is>
      </c>
      <c r="F825" s="2" t="n">
        <v>12</v>
      </c>
      <c r="G825" s="2" t="n">
        <v>3</v>
      </c>
      <c r="H825" s="2" t="inlineStr">
        <is>
          <t>LC/PC</t>
        </is>
      </c>
      <c r="I825" s="2" t="inlineStr">
        <is>
          <t>LC/PC</t>
        </is>
      </c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>
        <v>8</v>
      </c>
      <c r="U825" s="2" t="n">
        <v>2</v>
      </c>
      <c r="V825" s="2">
        <f>SUM(J825:U825)</f>
        <v/>
      </c>
      <c r="W825" s="2" t="n">
        <v>240</v>
      </c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>
        <f>IF(F825=1,V825*2,IF(F825=2,V825*F825*2,IF(F825&gt;2,F825*2*V825)))</f>
        <v/>
      </c>
      <c r="AW825" s="2">
        <f>SUM(W825:AU825)</f>
        <v/>
      </c>
    </row>
    <row r="826">
      <c r="A826" s="2" t="inlineStr">
        <is>
          <t>A14-M-LP/LP-B-N-003</t>
        </is>
      </c>
      <c r="B826" s="3" t="inlineStr">
        <is>
          <t>MOJC-SM-12C-LC/PC-LC/PC</t>
        </is>
      </c>
      <c r="C826" s="2" t="inlineStr">
        <is>
          <t>930003872, 20M, B3</t>
        </is>
      </c>
      <c r="D826" s="2" t="inlineStr">
        <is>
          <t>b3-12c</t>
        </is>
      </c>
      <c r="E826" s="2" t="inlineStr">
        <is>
          <t>2.0mm</t>
        </is>
      </c>
      <c r="F826" s="2" t="n">
        <v>12</v>
      </c>
      <c r="G826" s="2" t="n">
        <v>20</v>
      </c>
      <c r="H826" s="2" t="inlineStr">
        <is>
          <t>LC/PC</t>
        </is>
      </c>
      <c r="I826" s="2" t="inlineStr">
        <is>
          <t>LC/PC</t>
        </is>
      </c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>
        <v>2</v>
      </c>
      <c r="U826" s="2" t="n"/>
      <c r="V826" s="2">
        <f>SUM(J826:U826)</f>
        <v/>
      </c>
      <c r="W826" s="2" t="n">
        <v>48</v>
      </c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>
        <f>IF(F826=1,V826*2,IF(F826=2,V826*F826*2,IF(F826&gt;2,F826*2*V826)))</f>
        <v/>
      </c>
      <c r="AW826" s="2">
        <f>SUM(W826:AU826)</f>
        <v/>
      </c>
    </row>
    <row r="827">
      <c r="A827" s="2" t="inlineStr">
        <is>
          <t>A14-M-SP/LP-B-N-010</t>
        </is>
      </c>
      <c r="B827" s="3" t="inlineStr">
        <is>
          <t>MOJC-SM-12C-SC/PC-LC/PC</t>
        </is>
      </c>
      <c r="C827" s="2" t="inlineStr">
        <is>
          <t>920000612, 10M, B3</t>
        </is>
      </c>
      <c r="D827" s="2" t="inlineStr">
        <is>
          <t>b3-12c</t>
        </is>
      </c>
      <c r="E827" s="2" t="inlineStr">
        <is>
          <t>2.0mm</t>
        </is>
      </c>
      <c r="F827" s="2" t="n">
        <v>12</v>
      </c>
      <c r="G827" s="2" t="n">
        <v>10</v>
      </c>
      <c r="H827" s="2" t="inlineStr">
        <is>
          <t>SC/PC</t>
        </is>
      </c>
      <c r="I827" s="2" t="inlineStr">
        <is>
          <t>LC/PC</t>
        </is>
      </c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>
        <v>4</v>
      </c>
      <c r="U827" s="2" t="n"/>
      <c r="V827" s="2">
        <f>SUM(J827:U827)</f>
        <v/>
      </c>
      <c r="W827" s="2" t="n">
        <v>48</v>
      </c>
      <c r="X827" s="2" t="n"/>
      <c r="Y827" s="2" t="n"/>
      <c r="Z827" s="2" t="n"/>
      <c r="AA827" s="2" t="n">
        <v>48</v>
      </c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>
        <f>IF(F827=1,V827*2,IF(F827=2,V827*F827*2,IF(F827&gt;2,F827*2*V827)))</f>
        <v/>
      </c>
      <c r="AW827" s="2">
        <f>SUM(W827:AU827)</f>
        <v/>
      </c>
    </row>
    <row r="828">
      <c r="A828" s="2" t="inlineStr">
        <is>
          <t>A14-M-SP/LP-B-N-026</t>
        </is>
      </c>
      <c r="B828" s="3" t="inlineStr">
        <is>
          <t>MOJC-SM-6C-SC/PC-LC/PC</t>
        </is>
      </c>
      <c r="C828" s="2" t="inlineStr">
        <is>
          <t>920000492, 10M, B3</t>
        </is>
      </c>
      <c r="D828" s="2" t="inlineStr">
        <is>
          <t>b3-6c</t>
        </is>
      </c>
      <c r="E828" s="2" t="inlineStr">
        <is>
          <t>2.0mm</t>
        </is>
      </c>
      <c r="F828" s="2" t="n">
        <v>6</v>
      </c>
      <c r="G828" s="2" t="n">
        <v>10</v>
      </c>
      <c r="H828" s="2" t="inlineStr">
        <is>
          <t>SC/PC</t>
        </is>
      </c>
      <c r="I828" s="2" t="inlineStr">
        <is>
          <t>LC/PC</t>
        </is>
      </c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>
        <v>2</v>
      </c>
      <c r="U828" s="2" t="n"/>
      <c r="V828" s="2">
        <f>SUM(J828:U828)</f>
        <v/>
      </c>
      <c r="W828" s="2" t="n">
        <v>12</v>
      </c>
      <c r="X828" s="2" t="n"/>
      <c r="Y828" s="2" t="n"/>
      <c r="Z828" s="2" t="n"/>
      <c r="AA828" s="2" t="n">
        <v>12</v>
      </c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>
        <f>IF(F828=1,V828*2,IF(F828=2,V828*F828*2,IF(F828&gt;2,F828*2*V828)))</f>
        <v/>
      </c>
      <c r="AW828" s="2">
        <f>SUM(W828:AU828)</f>
        <v/>
      </c>
    </row>
    <row r="829">
      <c r="A829" s="2" t="inlineStr">
        <is>
          <t>A14-M-SP/SP-B-N-003</t>
        </is>
      </c>
      <c r="B829" s="3" t="inlineStr">
        <is>
          <t>MOJC-SM-12C-SC/PC-SC/PC</t>
        </is>
      </c>
      <c r="C829" s="2" t="inlineStr">
        <is>
          <t>908040793, 3M, B3</t>
        </is>
      </c>
      <c r="D829" s="2" t="inlineStr">
        <is>
          <t>b3-12c</t>
        </is>
      </c>
      <c r="E829" s="2" t="inlineStr">
        <is>
          <t>2.0mm</t>
        </is>
      </c>
      <c r="F829" s="2" t="n">
        <v>12</v>
      </c>
      <c r="G829" s="2" t="n">
        <v>3</v>
      </c>
      <c r="H829" s="2" t="inlineStr">
        <is>
          <t>SC/PC</t>
        </is>
      </c>
      <c r="I829" s="2" t="inlineStr">
        <is>
          <t>SC/PC</t>
        </is>
      </c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>
        <v>36</v>
      </c>
      <c r="S829" s="2" t="n"/>
      <c r="T829" s="2" t="n"/>
      <c r="U829" s="2" t="n"/>
      <c r="V829" s="2">
        <f>SUM(J829:U829)</f>
        <v/>
      </c>
      <c r="W829" s="2" t="n"/>
      <c r="X829" s="2" t="n"/>
      <c r="Y829" s="2" t="n"/>
      <c r="Z829" s="2" t="n"/>
      <c r="AA829" s="2" t="n">
        <v>864</v>
      </c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>
        <f>IF(F829=1,V829*2,IF(F829=2,V829*F829*2,IF(F829&gt;2,F829*2*V829)))</f>
        <v/>
      </c>
      <c r="AW829" s="2">
        <f>SUM(W829:AU829)</f>
        <v/>
      </c>
    </row>
    <row r="830">
      <c r="A830" s="2" t="inlineStr">
        <is>
          <t>A14-M-SP/SP-B-N-007</t>
        </is>
      </c>
      <c r="B830" s="3" t="inlineStr">
        <is>
          <t>MOJC-SM-12C-SC/PC-SC/PC</t>
        </is>
      </c>
      <c r="C830" s="2" t="inlineStr">
        <is>
          <t>908040799, 7M, B3</t>
        </is>
      </c>
      <c r="D830" s="2" t="inlineStr">
        <is>
          <t>b3-12c</t>
        </is>
      </c>
      <c r="E830" s="2" t="inlineStr">
        <is>
          <t>2.0mm</t>
        </is>
      </c>
      <c r="F830" s="2" t="n">
        <v>12</v>
      </c>
      <c r="G830" s="2" t="n">
        <v>7</v>
      </c>
      <c r="H830" s="2" t="inlineStr">
        <is>
          <t>SC/PC</t>
        </is>
      </c>
      <c r="I830" s="2" t="inlineStr">
        <is>
          <t>SC/PC</t>
        </is>
      </c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>
        <v>35</v>
      </c>
      <c r="T830" s="2" t="n"/>
      <c r="U830" s="2" t="n"/>
      <c r="V830" s="2">
        <f>SUM(J830:U830)</f>
        <v/>
      </c>
      <c r="W830" s="2" t="n"/>
      <c r="X830" s="2" t="n"/>
      <c r="Y830" s="2" t="n"/>
      <c r="Z830" s="2" t="n"/>
      <c r="AA830" s="2" t="n">
        <v>840</v>
      </c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>
        <f>IF(F830=1,V830*2,IF(F830=2,V830*F830*2,IF(F830&gt;2,F830*2*V830)))</f>
        <v/>
      </c>
      <c r="AW830" s="2">
        <f>SUM(W830:AU830)</f>
        <v/>
      </c>
    </row>
    <row r="831">
      <c r="A831" s="2" t="inlineStr">
        <is>
          <t>A14-M-SP/SP-B-N-008</t>
        </is>
      </c>
      <c r="B831" s="3" t="inlineStr">
        <is>
          <t>MOJC-SM-12C-SC/PC-SC/PC</t>
        </is>
      </c>
      <c r="C831" s="2" t="inlineStr">
        <is>
          <t>908040800, 8M, B3</t>
        </is>
      </c>
      <c r="D831" s="2" t="inlineStr">
        <is>
          <t>b3-12c</t>
        </is>
      </c>
      <c r="E831" s="2" t="inlineStr">
        <is>
          <t>2.0mm</t>
        </is>
      </c>
      <c r="F831" s="2" t="n">
        <v>12</v>
      </c>
      <c r="G831" s="2" t="n">
        <v>8</v>
      </c>
      <c r="H831" s="2" t="inlineStr">
        <is>
          <t>SC/PC</t>
        </is>
      </c>
      <c r="I831" s="2" t="inlineStr">
        <is>
          <t>SC/PC</t>
        </is>
      </c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>
        <v>50</v>
      </c>
      <c r="T831" s="2" t="n">
        <v>6</v>
      </c>
      <c r="U831" s="2" t="n">
        <v>35</v>
      </c>
      <c r="V831" s="2">
        <f>SUM(J831:U831)</f>
        <v/>
      </c>
      <c r="W831" s="2" t="n"/>
      <c r="X831" s="2" t="n"/>
      <c r="Y831" s="2" t="n"/>
      <c r="Z831" s="2" t="n"/>
      <c r="AA831" s="2" t="n">
        <v>2184</v>
      </c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>
        <f>IF(F831=1,V831*2,IF(F831=2,V831*F831*2,IF(F831&gt;2,F831*2*V831)))</f>
        <v/>
      </c>
      <c r="AW831" s="2">
        <f>SUM(W831:AU831)</f>
        <v/>
      </c>
    </row>
    <row r="832">
      <c r="A832" s="2" t="inlineStr">
        <is>
          <t>A14-M-SP/SP-B-N-011</t>
        </is>
      </c>
      <c r="B832" s="3" t="inlineStr">
        <is>
          <t>MOJC-SM-12C-SC/PC-SC/PC</t>
        </is>
      </c>
      <c r="C832" s="2" t="inlineStr">
        <is>
          <t>908040804, 12M, B3</t>
        </is>
      </c>
      <c r="D832" s="2" t="inlineStr">
        <is>
          <t>b3-12c</t>
        </is>
      </c>
      <c r="E832" s="2" t="inlineStr">
        <is>
          <t>2.0mm</t>
        </is>
      </c>
      <c r="F832" s="2" t="n">
        <v>12</v>
      </c>
      <c r="G832" s="2" t="n">
        <v>12</v>
      </c>
      <c r="H832" s="2" t="inlineStr">
        <is>
          <t>SC/PC</t>
        </is>
      </c>
      <c r="I832" s="2" t="inlineStr">
        <is>
          <t>SC/PC</t>
        </is>
      </c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>
        <v>6</v>
      </c>
      <c r="V832" s="2">
        <f>SUM(J832:U832)</f>
        <v/>
      </c>
      <c r="W832" s="2" t="n"/>
      <c r="X832" s="2" t="n"/>
      <c r="Y832" s="2" t="n"/>
      <c r="Z832" s="2" t="n"/>
      <c r="AA832" s="2" t="n">
        <v>144</v>
      </c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>
        <f>IF(F832=1,V832*2,IF(F832=2,V832*F832*2,IF(F832&gt;2,F832*2*V832)))</f>
        <v/>
      </c>
      <c r="AW832" s="2">
        <f>SUM(W832:AU832)</f>
        <v/>
      </c>
    </row>
    <row r="833">
      <c r="A833" s="2" t="inlineStr">
        <is>
          <t>A14-M-SP/SP-B-N-012</t>
        </is>
      </c>
      <c r="B833" s="3" t="inlineStr">
        <is>
          <t>MOJC-SM-12C-SC/PC-SC/PC</t>
        </is>
      </c>
      <c r="C833" s="2" t="inlineStr">
        <is>
          <t>908040807, 15M, B3</t>
        </is>
      </c>
      <c r="D833" s="2" t="inlineStr">
        <is>
          <t>b3-12c</t>
        </is>
      </c>
      <c r="E833" s="2" t="inlineStr">
        <is>
          <t>2.0mm</t>
        </is>
      </c>
      <c r="F833" s="2" t="n">
        <v>12</v>
      </c>
      <c r="G833" s="2" t="n">
        <v>15</v>
      </c>
      <c r="H833" s="2" t="inlineStr">
        <is>
          <t>SC/PC</t>
        </is>
      </c>
      <c r="I833" s="2" t="inlineStr">
        <is>
          <t>SC/PC</t>
        </is>
      </c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>
        <v>11</v>
      </c>
      <c r="S833" s="2" t="n"/>
      <c r="T833" s="2" t="n"/>
      <c r="U833" s="2" t="n">
        <v>2</v>
      </c>
      <c r="V833" s="2">
        <f>SUM(J833:U833)</f>
        <v/>
      </c>
      <c r="W833" s="2" t="n"/>
      <c r="X833" s="2" t="n"/>
      <c r="Y833" s="2" t="n"/>
      <c r="Z833" s="2" t="n"/>
      <c r="AA833" s="2" t="n">
        <v>312</v>
      </c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>
        <f>IF(F833=1,V833*2,IF(F833=2,V833*F833*2,IF(F833&gt;2,F833*2*V833)))</f>
        <v/>
      </c>
      <c r="AW833" s="2">
        <f>SUM(W833:AU833)</f>
        <v/>
      </c>
    </row>
    <row r="834">
      <c r="A834" s="2" t="inlineStr">
        <is>
          <t>A14-M-SP/SP-B-N-024</t>
        </is>
      </c>
      <c r="B834" s="3" t="inlineStr">
        <is>
          <t>MOJC-SM-6C-SC/PC-SC/PC</t>
        </is>
      </c>
      <c r="C834" s="2" t="inlineStr">
        <is>
          <t>920000159, 7M, B3</t>
        </is>
      </c>
      <c r="D834" s="2" t="inlineStr">
        <is>
          <t>b3-6c</t>
        </is>
      </c>
      <c r="E834" s="2" t="inlineStr">
        <is>
          <t>2.0mm</t>
        </is>
      </c>
      <c r="F834" s="2" t="n">
        <v>6</v>
      </c>
      <c r="G834" s="2" t="n">
        <v>7</v>
      </c>
      <c r="H834" s="2" t="inlineStr">
        <is>
          <t>SC/PC</t>
        </is>
      </c>
      <c r="I834" s="2" t="inlineStr">
        <is>
          <t>SC/PC</t>
        </is>
      </c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>
        <v>4</v>
      </c>
      <c r="V834" s="2">
        <f>SUM(J834:U834)</f>
        <v/>
      </c>
      <c r="W834" s="2" t="n"/>
      <c r="X834" s="2" t="n"/>
      <c r="Y834" s="2" t="n"/>
      <c r="Z834" s="2" t="n"/>
      <c r="AA834" s="2" t="n">
        <v>48</v>
      </c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>
        <f>IF(F834=1,V834*2,IF(F834=2,V834*F834*2,IF(F834&gt;2,F834*2*V834)))</f>
        <v/>
      </c>
      <c r="AW834" s="2">
        <f>SUM(W834:AU834)</f>
        <v/>
      </c>
    </row>
    <row r="835">
      <c r="A835" s="2" t="inlineStr">
        <is>
          <t>A14-M-SP/SP-B-N-026</t>
        </is>
      </c>
      <c r="B835" s="3" t="inlineStr">
        <is>
          <t>MOJC-SM-6C-SC/PC-SC/PC</t>
        </is>
      </c>
      <c r="C835" s="2" t="inlineStr">
        <is>
          <t>920000162, 10M, B3</t>
        </is>
      </c>
      <c r="D835" s="2" t="inlineStr">
        <is>
          <t>b3-6c</t>
        </is>
      </c>
      <c r="E835" s="2" t="inlineStr">
        <is>
          <t>2.0mm</t>
        </is>
      </c>
      <c r="F835" s="2" t="n">
        <v>6</v>
      </c>
      <c r="G835" s="2" t="n">
        <v>10</v>
      </c>
      <c r="H835" s="2" t="inlineStr">
        <is>
          <t>SC/PC</t>
        </is>
      </c>
      <c r="I835" s="2" t="inlineStr">
        <is>
          <t>SC/PC</t>
        </is>
      </c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>
        <v>10</v>
      </c>
      <c r="T835" s="2" t="n"/>
      <c r="U835" s="2" t="n"/>
      <c r="V835" s="2">
        <f>SUM(J835:U835)</f>
        <v/>
      </c>
      <c r="W835" s="2" t="n"/>
      <c r="X835" s="2" t="n"/>
      <c r="Y835" s="2" t="n"/>
      <c r="Z835" s="2" t="n"/>
      <c r="AA835" s="2" t="n">
        <v>120</v>
      </c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>
        <f>IF(F835=1,V835*2,IF(F835=2,V835*F835*2,IF(F835&gt;2,F835*2*V835)))</f>
        <v/>
      </c>
      <c r="AW835" s="2">
        <f>SUM(W835:AU835)</f>
        <v/>
      </c>
    </row>
    <row r="836">
      <c r="A836" s="2" t="inlineStr">
        <is>
          <t>A14-MB-N043</t>
        </is>
      </c>
      <c r="B836" s="3" t="inlineStr">
        <is>
          <t>MOJC-SM-12C-SC/PC-SC/PC</t>
        </is>
      </c>
      <c r="C836" s="2" t="inlineStr">
        <is>
          <t>908040802, 10M, B3</t>
        </is>
      </c>
      <c r="D836" s="2" t="inlineStr">
        <is>
          <t>b3-12c</t>
        </is>
      </c>
      <c r="E836" s="2" t="inlineStr">
        <is>
          <t>2.0mm</t>
        </is>
      </c>
      <c r="F836" s="2" t="n">
        <v>12</v>
      </c>
      <c r="G836" s="2" t="n">
        <v>10</v>
      </c>
      <c r="H836" s="2" t="inlineStr">
        <is>
          <t>SC/PC</t>
        </is>
      </c>
      <c r="I836" s="2" t="inlineStr">
        <is>
          <t>SC/PC</t>
        </is>
      </c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>
        <v>50</v>
      </c>
      <c r="T836" s="2" t="n">
        <v>50</v>
      </c>
      <c r="U836" s="2" t="n">
        <v>10</v>
      </c>
      <c r="V836" s="2">
        <f>SUM(J836:U836)</f>
        <v/>
      </c>
      <c r="W836" s="2" t="n"/>
      <c r="X836" s="2" t="n"/>
      <c r="Y836" s="2" t="n"/>
      <c r="Z836" s="2" t="n"/>
      <c r="AA836" s="2" t="n">
        <v>2640</v>
      </c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>
        <f>IF(F836=1,V836*2,IF(F836=2,V836*F836*2,IF(F836&gt;2,F836*2*V836)))</f>
        <v/>
      </c>
      <c r="AW836" s="2">
        <f>SUM(W836:AU836)</f>
        <v/>
      </c>
    </row>
    <row r="837">
      <c r="A837" s="2" t="inlineStr">
        <is>
          <t>A14-S-FA/FA-B-N-004</t>
        </is>
      </c>
      <c r="B837" s="3" t="inlineStr">
        <is>
          <t>SOJC-SM-FC/APC-FC/APC</t>
        </is>
      </c>
      <c r="C837" s="2" t="inlineStr">
        <is>
          <t>908041360, 20M, B3, 2.0mm</t>
        </is>
      </c>
      <c r="D837" s="2" t="inlineStr">
        <is>
          <t>b3</t>
        </is>
      </c>
      <c r="E837" s="2" t="inlineStr">
        <is>
          <t>2.0mm</t>
        </is>
      </c>
      <c r="F837" s="2" t="n">
        <v>1</v>
      </c>
      <c r="G837" s="2" t="n">
        <v>20</v>
      </c>
      <c r="H837" s="2" t="inlineStr">
        <is>
          <t>FC/APC</t>
        </is>
      </c>
      <c r="I837" s="2" t="inlineStr">
        <is>
          <t>FC/APC</t>
        </is>
      </c>
      <c r="J837" s="2" t="n"/>
      <c r="K837" s="2" t="n"/>
      <c r="L837" s="2" t="n"/>
      <c r="M837" s="2" t="n">
        <v>10</v>
      </c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>
        <f>SUM(J837:U837)</f>
        <v/>
      </c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>
        <v>20</v>
      </c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>
        <f>IF(F837=1,V837*2,IF(F837=2,V837*F837*2,IF(F837&gt;2,F837*2*V837)))</f>
        <v/>
      </c>
      <c r="AW837" s="2">
        <f>SUM(W837:AU837)</f>
        <v/>
      </c>
    </row>
    <row r="838">
      <c r="A838" s="2" t="inlineStr">
        <is>
          <t>A14-S-LP/FA-B-N-006</t>
        </is>
      </c>
      <c r="B838" s="3" t="inlineStr">
        <is>
          <t>SOJC-SM-LC/PC-FC/APC</t>
        </is>
      </c>
      <c r="C838" s="2" t="inlineStr">
        <is>
          <t>930001517, 30M, B3, 2.0mm</t>
        </is>
      </c>
      <c r="D838" s="2" t="inlineStr">
        <is>
          <t>b3</t>
        </is>
      </c>
      <c r="E838" s="2" t="inlineStr">
        <is>
          <t>2.0mm</t>
        </is>
      </c>
      <c r="F838" s="2" t="n">
        <v>1</v>
      </c>
      <c r="G838" s="2" t="n">
        <v>30</v>
      </c>
      <c r="H838" s="2" t="inlineStr">
        <is>
          <t>LC/PC</t>
        </is>
      </c>
      <c r="I838" s="2" t="inlineStr">
        <is>
          <t>FC/APC</t>
        </is>
      </c>
      <c r="J838" s="2" t="n"/>
      <c r="K838" s="2" t="n"/>
      <c r="L838" s="2" t="n"/>
      <c r="M838" s="2" t="n"/>
      <c r="N838" s="2" t="n"/>
      <c r="O838" s="2" t="n">
        <v>10</v>
      </c>
      <c r="P838" s="2" t="n"/>
      <c r="Q838" s="2" t="n"/>
      <c r="R838" s="2" t="n"/>
      <c r="S838" s="2" t="n"/>
      <c r="T838" s="2" t="n">
        <v>20</v>
      </c>
      <c r="U838" s="2" t="n">
        <v>30</v>
      </c>
      <c r="V838" s="2">
        <f>SUM(J838:U838)</f>
        <v/>
      </c>
      <c r="W838" s="2" t="n">
        <v>60</v>
      </c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>
        <v>60</v>
      </c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>
        <f>IF(F838=1,V838*2,IF(F838=2,V838*F838*2,IF(F838&gt;2,F838*2*V838)))</f>
        <v/>
      </c>
      <c r="AW838" s="2">
        <f>SUM(W838:AU838)</f>
        <v/>
      </c>
    </row>
    <row r="839">
      <c r="A839" s="2" t="inlineStr">
        <is>
          <t>A14-S-LP/FA-B-N-007</t>
        </is>
      </c>
      <c r="B839" s="3" t="inlineStr">
        <is>
          <t>SOJC-SM-LC/PC-FC/APC</t>
        </is>
      </c>
      <c r="C839" s="2" t="inlineStr">
        <is>
          <t>930001518, 35M,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1</v>
      </c>
      <c r="G839" s="2" t="n">
        <v>35</v>
      </c>
      <c r="H839" s="2" t="inlineStr">
        <is>
          <t>LC/PC</t>
        </is>
      </c>
      <c r="I839" s="2" t="inlineStr">
        <is>
          <t>FC/APC</t>
        </is>
      </c>
      <c r="J839" s="2" t="n"/>
      <c r="K839" s="2" t="n"/>
      <c r="L839" s="2" t="n">
        <v>70</v>
      </c>
      <c r="M839" s="2" t="n">
        <v>5</v>
      </c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>
        <f>SUM(J839:U839)</f>
        <v/>
      </c>
      <c r="W839" s="2" t="n">
        <v>75</v>
      </c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>
        <v>75</v>
      </c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>
        <f>IF(F839=1,V839*2,IF(F839=2,V839*F839*2,IF(F839&gt;2,F839*2*V839)))</f>
        <v/>
      </c>
      <c r="AW839" s="2">
        <f>SUM(W839:AU839)</f>
        <v/>
      </c>
    </row>
    <row r="840">
      <c r="A840" s="2" t="inlineStr">
        <is>
          <t>A14-S-LP/FA-B-N-008</t>
        </is>
      </c>
      <c r="B840" s="3" t="inlineStr">
        <is>
          <t>SOJC-SM-LC/PC-FC/APC</t>
        </is>
      </c>
      <c r="C840" s="2" t="inlineStr">
        <is>
          <t>920001071, 3M, B3, 3.0mm</t>
        </is>
      </c>
      <c r="D840" s="2" t="inlineStr">
        <is>
          <t>b3</t>
        </is>
      </c>
      <c r="E840" s="2" t="inlineStr">
        <is>
          <t>3.0mm</t>
        </is>
      </c>
      <c r="F840" s="2" t="n">
        <v>1</v>
      </c>
      <c r="G840" s="2" t="n">
        <v>3</v>
      </c>
      <c r="H840" s="2" t="inlineStr">
        <is>
          <t>LC/PC</t>
        </is>
      </c>
      <c r="I840" s="2" t="inlineStr">
        <is>
          <t>FC/APC</t>
        </is>
      </c>
      <c r="J840" s="2" t="n">
        <v>20</v>
      </c>
      <c r="K840" s="2" t="n"/>
      <c r="L840" s="2" t="n"/>
      <c r="M840" s="2" t="n"/>
      <c r="N840" s="2" t="n"/>
      <c r="O840" s="2" t="n">
        <v>5</v>
      </c>
      <c r="P840" s="2" t="n"/>
      <c r="Q840" s="2" t="n"/>
      <c r="R840" s="2" t="n"/>
      <c r="S840" s="2" t="n"/>
      <c r="T840" s="2" t="n"/>
      <c r="U840" s="2" t="n"/>
      <c r="V840" s="2">
        <f>SUM(J840:U840)</f>
        <v/>
      </c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>
        <v>25</v>
      </c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>
        <v>25</v>
      </c>
      <c r="AU840" s="2" t="n"/>
      <c r="AV840" s="2">
        <f>IF(F840=1,V840*2,IF(F840=2,V840*F840*2,IF(F840&gt;2,F840*2*V840)))</f>
        <v/>
      </c>
      <c r="AW840" s="2">
        <f>SUM(W840:AU840)</f>
        <v/>
      </c>
    </row>
    <row r="841">
      <c r="A841" s="2" t="inlineStr">
        <is>
          <t>A14-S-LP/FP-B-N-007</t>
        </is>
      </c>
      <c r="B841" s="3" t="inlineStr">
        <is>
          <t>SOJC-SM-LC/PC-FC/PC</t>
        </is>
      </c>
      <c r="C841" s="2" t="inlineStr">
        <is>
          <t>908040160, 30M,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1</v>
      </c>
      <c r="G841" s="2" t="n">
        <v>30</v>
      </c>
      <c r="H841" s="2" t="inlineStr">
        <is>
          <t>LC/PC</t>
        </is>
      </c>
      <c r="I841" s="2" t="inlineStr">
        <is>
          <t>FC/PC</t>
        </is>
      </c>
      <c r="J841" s="2" t="n"/>
      <c r="K841" s="2" t="n"/>
      <c r="L841" s="2" t="n"/>
      <c r="M841" s="2" t="n"/>
      <c r="N841" s="2" t="n"/>
      <c r="O841" s="2" t="n">
        <v>5</v>
      </c>
      <c r="P841" s="2" t="n"/>
      <c r="Q841" s="2" t="n"/>
      <c r="R841" s="2" t="n"/>
      <c r="S841" s="2" t="n"/>
      <c r="T841" s="2" t="n"/>
      <c r="U841" s="2" t="n"/>
      <c r="V841" s="2">
        <f>SUM(J841:U841)</f>
        <v/>
      </c>
      <c r="W841" s="2" t="n">
        <v>5</v>
      </c>
      <c r="X841" s="2" t="n"/>
      <c r="Y841" s="2" t="n"/>
      <c r="Z841" s="2" t="n"/>
      <c r="AA841" s="2" t="n"/>
      <c r="AB841" s="2" t="n"/>
      <c r="AC841" s="2" t="n"/>
      <c r="AD841" s="2" t="n"/>
      <c r="AE841" s="2" t="n">
        <v>5</v>
      </c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>
        <f>IF(F841=1,V841*2,IF(F841=2,V841*F841*2,IF(F841&gt;2,F841*2*V841)))</f>
        <v/>
      </c>
      <c r="AW841" s="2">
        <f>SUM(W841:AU841)</f>
        <v/>
      </c>
    </row>
    <row r="842">
      <c r="A842" s="2" t="inlineStr">
        <is>
          <t>A14-S-LP/FP-B-N-010</t>
        </is>
      </c>
      <c r="B842" s="3" t="inlineStr">
        <is>
          <t>SOJC-SM-LC/PC-FC/PC</t>
        </is>
      </c>
      <c r="C842" s="2" t="inlineStr">
        <is>
          <t>908040294, 5M, B3, 3.0mm</t>
        </is>
      </c>
      <c r="D842" s="2" t="inlineStr">
        <is>
          <t>b3</t>
        </is>
      </c>
      <c r="E842" s="2" t="inlineStr">
        <is>
          <t>3.0mm</t>
        </is>
      </c>
      <c r="F842" s="2" t="n">
        <v>1</v>
      </c>
      <c r="G842" s="2" t="n">
        <v>5</v>
      </c>
      <c r="H842" s="2" t="inlineStr">
        <is>
          <t>LC/PC</t>
        </is>
      </c>
      <c r="I842" s="2" t="inlineStr">
        <is>
          <t>FC/PC</t>
        </is>
      </c>
      <c r="J842" s="2" t="n"/>
      <c r="K842" s="2" t="n"/>
      <c r="L842" s="2" t="n"/>
      <c r="M842" s="2" t="n"/>
      <c r="N842" s="2" t="n">
        <v>15</v>
      </c>
      <c r="O842" s="2" t="n"/>
      <c r="P842" s="2" t="n"/>
      <c r="Q842" s="2" t="n"/>
      <c r="R842" s="2" t="n"/>
      <c r="S842" s="2" t="n"/>
      <c r="T842" s="2" t="n"/>
      <c r="U842" s="2" t="n"/>
      <c r="V842" s="2">
        <f>SUM(J842:U842)</f>
        <v/>
      </c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>
        <v>15</v>
      </c>
      <c r="AK842" s="2" t="n"/>
      <c r="AL842" s="2" t="n"/>
      <c r="AM842" s="2" t="n"/>
      <c r="AN842" s="2" t="n"/>
      <c r="AO842" s="2" t="n"/>
      <c r="AP842" s="2" t="n"/>
      <c r="AQ842" s="2" t="n"/>
      <c r="AR842" s="2" t="n">
        <v>15</v>
      </c>
      <c r="AS842" s="2" t="n"/>
      <c r="AT842" s="2" t="n"/>
      <c r="AU842" s="2" t="n"/>
      <c r="AV842" s="2">
        <f>IF(F842=1,V842*2,IF(F842=2,V842*F842*2,IF(F842&gt;2,F842*2*V842)))</f>
        <v/>
      </c>
      <c r="AW842" s="2">
        <f>SUM(W842:AU842)</f>
        <v/>
      </c>
    </row>
    <row r="843">
      <c r="A843" s="2" t="inlineStr">
        <is>
          <t>A14-S-LP/FP-B-N-011</t>
        </is>
      </c>
      <c r="B843" s="3" t="inlineStr">
        <is>
          <t>SOJC-SM-LC/PC-FC/PC</t>
        </is>
      </c>
      <c r="C843" s="2" t="inlineStr">
        <is>
          <t>908040295, 6M,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1</v>
      </c>
      <c r="G843" s="2" t="n">
        <v>6</v>
      </c>
      <c r="H843" s="2" t="inlineStr">
        <is>
          <t>LC/PC</t>
        </is>
      </c>
      <c r="I843" s="2" t="inlineStr">
        <is>
          <t>FC/PC</t>
        </is>
      </c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>
        <v>35</v>
      </c>
      <c r="S843" s="2" t="n"/>
      <c r="T843" s="2" t="n"/>
      <c r="U843" s="2" t="n"/>
      <c r="V843" s="2">
        <f>SUM(J843:U843)</f>
        <v/>
      </c>
      <c r="W843" s="2" t="n">
        <v>35</v>
      </c>
      <c r="X843" s="2" t="n"/>
      <c r="Y843" s="2" t="n"/>
      <c r="Z843" s="2" t="n"/>
      <c r="AA843" s="2" t="n"/>
      <c r="AB843" s="2" t="n"/>
      <c r="AC843" s="2" t="n"/>
      <c r="AD843" s="2" t="n"/>
      <c r="AE843" s="2" t="n">
        <v>35</v>
      </c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>
        <f>IF(F843=1,V843*2,IF(F843=2,V843*F843*2,IF(F843&gt;2,F843*2*V843)))</f>
        <v/>
      </c>
      <c r="AW843" s="2">
        <f>SUM(W843:AU843)</f>
        <v/>
      </c>
    </row>
    <row r="844">
      <c r="A844" s="2" t="inlineStr">
        <is>
          <t>A14-S-SA/FA-B-N-002</t>
        </is>
      </c>
      <c r="B844" s="3" t="inlineStr">
        <is>
          <t>SOJC-SM-SC/APC-FC/APC</t>
        </is>
      </c>
      <c r="C844" s="2" t="inlineStr">
        <is>
          <t>908040381, 12M, B3, 2.0mm</t>
        </is>
      </c>
      <c r="D844" s="2" t="inlineStr">
        <is>
          <t>b3</t>
        </is>
      </c>
      <c r="E844" s="2" t="inlineStr">
        <is>
          <t>2.0mm</t>
        </is>
      </c>
      <c r="F844" s="2" t="n">
        <v>1</v>
      </c>
      <c r="G844" s="2" t="n">
        <v>12</v>
      </c>
      <c r="H844" s="2" t="inlineStr">
        <is>
          <t>SC/APC</t>
        </is>
      </c>
      <c r="I844" s="2" t="inlineStr">
        <is>
          <t>FC/APC</t>
        </is>
      </c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>
        <v>24</v>
      </c>
      <c r="S844" s="2" t="n"/>
      <c r="T844" s="2" t="n"/>
      <c r="U844" s="2" t="n"/>
      <c r="V844" s="2">
        <f>SUM(J844:U844)</f>
        <v/>
      </c>
      <c r="W844" s="2" t="n"/>
      <c r="X844" s="2" t="n"/>
      <c r="Y844" s="2" t="n"/>
      <c r="Z844" s="2" t="n"/>
      <c r="AA844" s="2" t="n"/>
      <c r="AB844" s="2" t="n"/>
      <c r="AC844" s="2" t="n">
        <v>24</v>
      </c>
      <c r="AD844" s="2" t="n"/>
      <c r="AE844" s="2" t="n"/>
      <c r="AF844" s="2" t="n"/>
      <c r="AG844" s="2" t="n">
        <v>24</v>
      </c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>
        <f>IF(F844=1,V844*2,IF(F844=2,V844*F844*2,IF(F844&gt;2,F844*2*V844)))</f>
        <v/>
      </c>
      <c r="AW844" s="2">
        <f>SUM(W844:AU844)</f>
        <v/>
      </c>
    </row>
    <row r="845">
      <c r="A845" s="2" t="inlineStr">
        <is>
          <t>A14-S-SA/FA-B-N-006</t>
        </is>
      </c>
      <c r="B845" s="3" t="inlineStr">
        <is>
          <t>SOJC-SM-SC/APC-FC/APC</t>
        </is>
      </c>
      <c r="C845" s="2" t="inlineStr">
        <is>
          <t>908040389, 20M,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1</v>
      </c>
      <c r="G845" s="2" t="n">
        <v>20</v>
      </c>
      <c r="H845" s="2" t="inlineStr">
        <is>
          <t>SC/APC</t>
        </is>
      </c>
      <c r="I845" s="2" t="inlineStr">
        <is>
          <t>FC/APC</t>
        </is>
      </c>
      <c r="J845" s="2" t="n"/>
      <c r="K845" s="2" t="n"/>
      <c r="L845" s="2" t="n"/>
      <c r="M845" s="2" t="n"/>
      <c r="N845" s="2" t="n"/>
      <c r="O845" s="2" t="n"/>
      <c r="P845" s="2" t="n">
        <v>10</v>
      </c>
      <c r="Q845" s="2" t="n"/>
      <c r="R845" s="2" t="n"/>
      <c r="S845" s="2" t="n"/>
      <c r="T845" s="2" t="n"/>
      <c r="U845" s="2" t="n"/>
      <c r="V845" s="2">
        <f>SUM(J845:U845)</f>
        <v/>
      </c>
      <c r="W845" s="2" t="n"/>
      <c r="X845" s="2" t="n"/>
      <c r="Y845" s="2" t="n"/>
      <c r="Z845" s="2" t="n"/>
      <c r="AA845" s="2" t="n"/>
      <c r="AB845" s="2" t="n"/>
      <c r="AC845" s="2" t="n">
        <v>10</v>
      </c>
      <c r="AD845" s="2" t="n"/>
      <c r="AE845" s="2" t="n"/>
      <c r="AF845" s="2" t="n"/>
      <c r="AG845" s="2" t="n">
        <v>10</v>
      </c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>
        <f>IF(F845=1,V845*2,IF(F845=2,V845*F845*2,IF(F845&gt;2,F845*2*V845)))</f>
        <v/>
      </c>
      <c r="AW845" s="2">
        <f>SUM(W845:AU845)</f>
        <v/>
      </c>
    </row>
    <row r="846">
      <c r="A846" s="2" t="inlineStr">
        <is>
          <t>A14-S-SA/FA-B-N-008</t>
        </is>
      </c>
      <c r="B846" s="3" t="inlineStr">
        <is>
          <t>SOJC-SM-SC/APC-FC/APC</t>
        </is>
      </c>
      <c r="C846" s="2" t="inlineStr">
        <is>
          <t>908040372, 2M, B3, 3.0mm</t>
        </is>
      </c>
      <c r="D846" s="2" t="inlineStr">
        <is>
          <t>b3</t>
        </is>
      </c>
      <c r="E846" s="2" t="inlineStr">
        <is>
          <t>3.0mm</t>
        </is>
      </c>
      <c r="F846" s="2" t="n">
        <v>1</v>
      </c>
      <c r="G846" s="2" t="n">
        <v>2</v>
      </c>
      <c r="H846" s="2" t="inlineStr">
        <is>
          <t>SC/APC</t>
        </is>
      </c>
      <c r="I846" s="2" t="inlineStr">
        <is>
          <t>FC/APC</t>
        </is>
      </c>
      <c r="J846" s="2" t="n">
        <v>20</v>
      </c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>
        <f>SUM(J846:U846)</f>
        <v/>
      </c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>
        <v>20</v>
      </c>
      <c r="AQ846" s="2" t="n"/>
      <c r="AR846" s="2" t="n"/>
      <c r="AS846" s="2" t="n"/>
      <c r="AT846" s="2" t="n">
        <v>20</v>
      </c>
      <c r="AU846" s="2" t="n"/>
      <c r="AV846" s="2">
        <f>IF(F846=1,V846*2,IF(F846=2,V846*F846*2,IF(F846&gt;2,F846*2*V846)))</f>
        <v/>
      </c>
      <c r="AW846" s="2">
        <f>SUM(W846:AU846)</f>
        <v/>
      </c>
    </row>
    <row r="847">
      <c r="A847" s="2" t="inlineStr">
        <is>
          <t>A14-S-SA/FA-B-N-010</t>
        </is>
      </c>
      <c r="B847" s="3" t="inlineStr">
        <is>
          <t>SOJC-SM-SC/APC-FC/APC</t>
        </is>
      </c>
      <c r="C847" s="2" t="inlineStr">
        <is>
          <t>908040370, 3M, B3, 3.0mm</t>
        </is>
      </c>
      <c r="D847" s="2" t="inlineStr">
        <is>
          <t>b3</t>
        </is>
      </c>
      <c r="E847" s="2" t="inlineStr">
        <is>
          <t>3.0mm</t>
        </is>
      </c>
      <c r="F847" s="2" t="n">
        <v>1</v>
      </c>
      <c r="G847" s="2" t="n">
        <v>3</v>
      </c>
      <c r="H847" s="2" t="inlineStr">
        <is>
          <t>SC/APC</t>
        </is>
      </c>
      <c r="I847" s="2" t="inlineStr">
        <is>
          <t>FC/APC</t>
        </is>
      </c>
      <c r="J847" s="2" t="n">
        <v>5</v>
      </c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>
        <f>SUM(J847:U847)</f>
        <v/>
      </c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>
        <v>5</v>
      </c>
      <c r="AQ847" s="2" t="n"/>
      <c r="AR847" s="2" t="n"/>
      <c r="AS847" s="2" t="n"/>
      <c r="AT847" s="2" t="n">
        <v>5</v>
      </c>
      <c r="AU847" s="2" t="n"/>
      <c r="AV847" s="2">
        <f>IF(F847=1,V847*2,IF(F847=2,V847*F847*2,IF(F847&gt;2,F847*2*V847)))</f>
        <v/>
      </c>
      <c r="AW847" s="2">
        <f>SUM(W847:AU847)</f>
        <v/>
      </c>
    </row>
    <row r="848">
      <c r="A848" s="2" t="inlineStr">
        <is>
          <t>A14-S-SP/FA-B-N-007</t>
        </is>
      </c>
      <c r="B848" s="3" t="inlineStr">
        <is>
          <t>SOJC-SM-SC/PC-FC/APC</t>
        </is>
      </c>
      <c r="C848" s="2" t="inlineStr">
        <is>
          <t>908040312, 2M, B3, 3.0mm</t>
        </is>
      </c>
      <c r="D848" s="2" t="inlineStr">
        <is>
          <t>b3</t>
        </is>
      </c>
      <c r="E848" s="2" t="inlineStr">
        <is>
          <t>3.0mm</t>
        </is>
      </c>
      <c r="F848" s="2" t="n">
        <v>1</v>
      </c>
      <c r="G848" s="2" t="n">
        <v>2</v>
      </c>
      <c r="H848" s="2" t="inlineStr">
        <is>
          <t>SC/PC</t>
        </is>
      </c>
      <c r="I848" s="2" t="inlineStr">
        <is>
          <t>FC/APC</t>
        </is>
      </c>
      <c r="J848" s="2" t="n">
        <v>20</v>
      </c>
      <c r="K848" s="2" t="n"/>
      <c r="L848" s="2" t="n"/>
      <c r="M848" s="2" t="n">
        <v>10</v>
      </c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>
        <f>SUM(J848:U848)</f>
        <v/>
      </c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>
        <v>30</v>
      </c>
      <c r="AO848" s="2" t="n"/>
      <c r="AP848" s="2" t="n"/>
      <c r="AQ848" s="2" t="n"/>
      <c r="AR848" s="2" t="n"/>
      <c r="AS848" s="2" t="n"/>
      <c r="AT848" s="2" t="n">
        <v>30</v>
      </c>
      <c r="AU848" s="2" t="n"/>
      <c r="AV848" s="2">
        <f>IF(F848=1,V848*2,IF(F848=2,V848*F848*2,IF(F848&gt;2,F848*2*V848)))</f>
        <v/>
      </c>
      <c r="AW848" s="2">
        <f>SUM(W848:AU848)</f>
        <v/>
      </c>
    </row>
    <row r="849">
      <c r="A849" s="2" t="inlineStr">
        <is>
          <t>A14-S-SP/FA-B-N-008</t>
        </is>
      </c>
      <c r="B849" s="3" t="inlineStr">
        <is>
          <t>SOJC-SM-SC/PC-FC/APC</t>
        </is>
      </c>
      <c r="C849" s="2" t="inlineStr">
        <is>
          <t>908040339, 30M,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1</v>
      </c>
      <c r="G849" s="2" t="n">
        <v>30</v>
      </c>
      <c r="H849" s="2" t="inlineStr">
        <is>
          <t>SC/PC</t>
        </is>
      </c>
      <c r="I849" s="2" t="inlineStr">
        <is>
          <t>FC/APC</t>
        </is>
      </c>
      <c r="J849" s="2" t="n"/>
      <c r="K849" s="2" t="n"/>
      <c r="L849" s="2" t="n"/>
      <c r="M849" s="2" t="n"/>
      <c r="N849" s="2" t="n"/>
      <c r="O849" s="2" t="n">
        <v>10</v>
      </c>
      <c r="P849" s="2" t="n"/>
      <c r="Q849" s="2" t="n"/>
      <c r="R849" s="2" t="n"/>
      <c r="S849" s="2" t="n"/>
      <c r="T849" s="2" t="n"/>
      <c r="U849" s="2" t="n"/>
      <c r="V849" s="2">
        <f>SUM(J849:U849)</f>
        <v/>
      </c>
      <c r="W849" s="2" t="n"/>
      <c r="X849" s="2" t="n"/>
      <c r="Y849" s="2" t="n"/>
      <c r="Z849" s="2" t="n"/>
      <c r="AA849" s="2" t="n">
        <v>10</v>
      </c>
      <c r="AB849" s="2" t="n"/>
      <c r="AC849" s="2" t="n"/>
      <c r="AD849" s="2" t="n"/>
      <c r="AE849" s="2" t="n"/>
      <c r="AF849" s="2" t="n"/>
      <c r="AG849" s="2" t="n">
        <v>10</v>
      </c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>
        <f>IF(F849=1,V849*2,IF(F849=2,V849*F849*2,IF(F849&gt;2,F849*2*V849)))</f>
        <v/>
      </c>
      <c r="AW849" s="2">
        <f>SUM(W849:AU849)</f>
        <v/>
      </c>
    </row>
    <row r="850">
      <c r="A850" s="2" t="inlineStr">
        <is>
          <t>A14-S-SP/FP-B-N-007</t>
        </is>
      </c>
      <c r="B850" s="3" t="inlineStr">
        <is>
          <t>SOJC-SM-SC/PC-FC/PC</t>
        </is>
      </c>
      <c r="C850" s="2" t="inlineStr">
        <is>
          <t>908040309, 30M, B3, 2.0mm</t>
        </is>
      </c>
      <c r="D850" s="2" t="inlineStr">
        <is>
          <t>b3</t>
        </is>
      </c>
      <c r="E850" s="2" t="inlineStr">
        <is>
          <t>2.0mm</t>
        </is>
      </c>
      <c r="F850" s="2" t="n">
        <v>1</v>
      </c>
      <c r="G850" s="2" t="n">
        <v>30</v>
      </c>
      <c r="H850" s="2" t="inlineStr">
        <is>
          <t>SC/PC</t>
        </is>
      </c>
      <c r="I850" s="2" t="inlineStr">
        <is>
          <t>FC/PC</t>
        </is>
      </c>
      <c r="J850" s="2" t="n"/>
      <c r="K850" s="2" t="n"/>
      <c r="L850" s="2" t="n"/>
      <c r="M850" s="2" t="n"/>
      <c r="N850" s="2" t="n">
        <v>3</v>
      </c>
      <c r="O850" s="2" t="n"/>
      <c r="P850" s="2" t="n">
        <v>5</v>
      </c>
      <c r="Q850" s="2" t="n"/>
      <c r="R850" s="2" t="n"/>
      <c r="S850" s="2" t="n"/>
      <c r="T850" s="2" t="n"/>
      <c r="U850" s="2" t="n"/>
      <c r="V850" s="2">
        <f>SUM(J850:U850)</f>
        <v/>
      </c>
      <c r="W850" s="2" t="n"/>
      <c r="X850" s="2" t="n"/>
      <c r="Y850" s="2" t="n"/>
      <c r="Z850" s="2" t="n"/>
      <c r="AA850" s="2" t="n">
        <v>8</v>
      </c>
      <c r="AB850" s="2" t="n"/>
      <c r="AC850" s="2" t="n"/>
      <c r="AD850" s="2" t="n"/>
      <c r="AE850" s="2" t="n">
        <v>8</v>
      </c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>
        <f>IF(F850=1,V850*2,IF(F850=2,V850*F850*2,IF(F850&gt;2,F850*2*V850)))</f>
        <v/>
      </c>
      <c r="AW850" s="2">
        <f>SUM(W850:AU850)</f>
        <v/>
      </c>
    </row>
    <row r="851">
      <c r="A851" s="2" t="inlineStr">
        <is>
          <t>A14-S-SP/FP-B-N-012</t>
        </is>
      </c>
      <c r="B851" s="3" t="inlineStr">
        <is>
          <t>SOJC-SM-SC/PC-FC/PC</t>
        </is>
      </c>
      <c r="C851" s="2" t="inlineStr">
        <is>
          <t>908041377, 7M,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1</v>
      </c>
      <c r="G851" s="2" t="n">
        <v>7</v>
      </c>
      <c r="H851" s="2" t="inlineStr">
        <is>
          <t>SC/PC</t>
        </is>
      </c>
      <c r="I851" s="2" t="inlineStr">
        <is>
          <t>FC/PC</t>
        </is>
      </c>
      <c r="J851" s="2" t="n"/>
      <c r="K851" s="2" t="n"/>
      <c r="L851" s="2" t="n"/>
      <c r="M851" s="2" t="n"/>
      <c r="N851" s="2" t="n">
        <v>25</v>
      </c>
      <c r="O851" s="2" t="n"/>
      <c r="P851" s="2" t="n"/>
      <c r="Q851" s="2" t="n"/>
      <c r="R851" s="2" t="n"/>
      <c r="S851" s="2" t="n"/>
      <c r="T851" s="2" t="n"/>
      <c r="U851" s="2" t="n"/>
      <c r="V851" s="2">
        <f>SUM(J851:U851)</f>
        <v/>
      </c>
      <c r="W851" s="2" t="n"/>
      <c r="X851" s="2" t="n"/>
      <c r="Y851" s="2" t="n"/>
      <c r="Z851" s="2" t="n"/>
      <c r="AA851" s="2" t="n">
        <v>25</v>
      </c>
      <c r="AB851" s="2" t="n"/>
      <c r="AC851" s="2" t="n"/>
      <c r="AD851" s="2" t="n"/>
      <c r="AE851" s="2" t="n">
        <v>25</v>
      </c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>
        <f>IF(F851=1,V851*2,IF(F851=2,V851*F851*2,IF(F851&gt;2,F851*2*V851)))</f>
        <v/>
      </c>
      <c r="AW851" s="2">
        <f>SUM(W851:AU851)</f>
        <v/>
      </c>
    </row>
    <row r="852">
      <c r="A852" s="2" t="inlineStr">
        <is>
          <t>A14-S-SP/SA-B-N-006</t>
        </is>
      </c>
      <c r="B852" s="3" t="inlineStr">
        <is>
          <t>SOJC-SM-SC/PC-SC/APC</t>
        </is>
      </c>
      <c r="C852" s="2" t="inlineStr">
        <is>
          <t>908041444, 25M, B3, 2.0mm</t>
        </is>
      </c>
      <c r="D852" s="2" t="inlineStr">
        <is>
          <t>b3</t>
        </is>
      </c>
      <c r="E852" s="2" t="inlineStr">
        <is>
          <t>2.0mm</t>
        </is>
      </c>
      <c r="F852" s="2" t="n">
        <v>1</v>
      </c>
      <c r="G852" s="2" t="n">
        <v>25</v>
      </c>
      <c r="H852" s="2" t="inlineStr">
        <is>
          <t>SC/PC</t>
        </is>
      </c>
      <c r="I852" s="2" t="inlineStr">
        <is>
          <t>SC/APC</t>
        </is>
      </c>
      <c r="J852" s="2" t="n"/>
      <c r="K852" s="2" t="n">
        <v>5</v>
      </c>
      <c r="L852" s="2" t="n"/>
      <c r="M852" s="2" t="n"/>
      <c r="N852" s="2" t="n">
        <v>4</v>
      </c>
      <c r="O852" s="2" t="n"/>
      <c r="P852" s="2" t="n"/>
      <c r="Q852" s="2" t="n"/>
      <c r="R852" s="2" t="n"/>
      <c r="S852" s="2" t="n"/>
      <c r="T852" s="2" t="n"/>
      <c r="U852" s="2" t="n"/>
      <c r="V852" s="2">
        <f>SUM(J852:U852)</f>
        <v/>
      </c>
      <c r="W852" s="2" t="n"/>
      <c r="X852" s="2" t="n"/>
      <c r="Y852" s="2" t="n"/>
      <c r="Z852" s="2" t="n"/>
      <c r="AA852" s="2" t="n">
        <v>9</v>
      </c>
      <c r="AB852" s="2" t="n"/>
      <c r="AC852" s="2" t="n">
        <v>9</v>
      </c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>
        <f>IF(F852=1,V852*2,IF(F852=2,V852*F852*2,IF(F852&gt;2,F852*2*V852)))</f>
        <v/>
      </c>
      <c r="AW852" s="2">
        <f>SUM(W852:AU852)</f>
        <v/>
      </c>
    </row>
    <row r="853">
      <c r="A853" s="2" t="inlineStr">
        <is>
          <t>A14-S-SP/SA-B-N-010</t>
        </is>
      </c>
      <c r="B853" s="3" t="inlineStr">
        <is>
          <t>SOJC-SM-SC/PC-SC/APC</t>
        </is>
      </c>
      <c r="C853" s="2" t="inlineStr">
        <is>
          <t>908041423, 4M, B3, 3.0mm</t>
        </is>
      </c>
      <c r="D853" s="2" t="inlineStr">
        <is>
          <t>b3</t>
        </is>
      </c>
      <c r="E853" s="2" t="inlineStr">
        <is>
          <t>3.0mm</t>
        </is>
      </c>
      <c r="F853" s="2" t="n">
        <v>1</v>
      </c>
      <c r="G853" s="2" t="n">
        <v>4</v>
      </c>
      <c r="H853" s="2" t="inlineStr">
        <is>
          <t>SC/PC</t>
        </is>
      </c>
      <c r="I853" s="2" t="inlineStr">
        <is>
          <t>SC/APC</t>
        </is>
      </c>
      <c r="J853" s="2" t="n"/>
      <c r="K853" s="2" t="n"/>
      <c r="L853" s="2" t="n">
        <v>12</v>
      </c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>
        <f>SUM(J853:U853)</f>
        <v/>
      </c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>
        <v>12</v>
      </c>
      <c r="AO853" s="2" t="n"/>
      <c r="AP853" s="2" t="n">
        <v>12</v>
      </c>
      <c r="AQ853" s="2" t="n"/>
      <c r="AR853" s="2" t="n"/>
      <c r="AS853" s="2" t="n"/>
      <c r="AT853" s="2" t="n"/>
      <c r="AU853" s="2" t="n"/>
      <c r="AV853" s="2">
        <f>IF(F853=1,V853*2,IF(F853=2,V853*F853*2,IF(F853&gt;2,F853*2*V853)))</f>
        <v/>
      </c>
      <c r="AW853" s="2">
        <f>SUM(W853:AU853)</f>
        <v/>
      </c>
    </row>
    <row r="854">
      <c r="A854" s="2" t="inlineStr">
        <is>
          <t>A14-S-SP/SA-B-N-012</t>
        </is>
      </c>
      <c r="B854" s="3" t="inlineStr">
        <is>
          <t>SOJC-SM-SC/PC-SC/APC</t>
        </is>
      </c>
      <c r="C854" s="2" t="inlineStr">
        <is>
          <t>908041425, 6M, B3, 2.0mm</t>
        </is>
      </c>
      <c r="D854" s="2" t="inlineStr">
        <is>
          <t>b3</t>
        </is>
      </c>
      <c r="E854" s="2" t="inlineStr">
        <is>
          <t>2.0mm</t>
        </is>
      </c>
      <c r="F854" s="2" t="n">
        <v>1</v>
      </c>
      <c r="G854" s="2" t="n">
        <v>6</v>
      </c>
      <c r="H854" s="2" t="inlineStr">
        <is>
          <t>SC/PC</t>
        </is>
      </c>
      <c r="I854" s="2" t="inlineStr">
        <is>
          <t>SC/APC</t>
        </is>
      </c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>
        <v>40</v>
      </c>
      <c r="V854" s="2">
        <f>SUM(J854:U854)</f>
        <v/>
      </c>
      <c r="W854" s="2" t="n"/>
      <c r="X854" s="2" t="n"/>
      <c r="Y854" s="2" t="n"/>
      <c r="Z854" s="2" t="n"/>
      <c r="AA854" s="2" t="n">
        <v>40</v>
      </c>
      <c r="AB854" s="2" t="n"/>
      <c r="AC854" s="2" t="n">
        <v>40</v>
      </c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>
        <f>IF(F854=1,V854*2,IF(F854=2,V854*F854*2,IF(F854&gt;2,F854*2*V854)))</f>
        <v/>
      </c>
      <c r="AW854" s="2">
        <f>SUM(W854:AU854)</f>
        <v/>
      </c>
    </row>
    <row r="855">
      <c r="A855" s="2" t="inlineStr">
        <is>
          <t>A14-S-SP/SP-1-N-001</t>
        </is>
      </c>
      <c r="B855" s="3" t="inlineStr">
        <is>
          <t>SOJC-MM-SC/PC-SC/PC</t>
        </is>
      </c>
      <c r="C855" s="2" t="inlineStr">
        <is>
          <t>908040120, 10M</t>
        </is>
      </c>
      <c r="D855" s="2" t="inlineStr">
        <is>
          <t>om1</t>
        </is>
      </c>
      <c r="E855" s="2" t="inlineStr">
        <is>
          <t>2.0mm</t>
        </is>
      </c>
      <c r="F855" s="2" t="n">
        <v>1</v>
      </c>
      <c r="G855" s="2" t="n">
        <v>10</v>
      </c>
      <c r="H855" s="2" t="inlineStr">
        <is>
          <t>SC/PC</t>
        </is>
      </c>
      <c r="I855" s="2" t="inlineStr">
        <is>
          <t>SC/PC</t>
        </is>
      </c>
      <c r="J855" s="2" t="n"/>
      <c r="K855" s="2" t="n"/>
      <c r="L855" s="2" t="n"/>
      <c r="M855" s="2" t="n"/>
      <c r="N855" s="2" t="n"/>
      <c r="O855" s="2" t="n">
        <v>10</v>
      </c>
      <c r="P855" s="2" t="n"/>
      <c r="Q855" s="2" t="n"/>
      <c r="R855" s="2" t="n"/>
      <c r="S855" s="2" t="n"/>
      <c r="T855" s="2" t="n"/>
      <c r="U855" s="2" t="n"/>
      <c r="V855" s="2">
        <f>SUM(J855:U855)</f>
        <v/>
      </c>
      <c r="W855" s="2" t="n"/>
      <c r="X855" s="2" t="n"/>
      <c r="Y855" s="2" t="n"/>
      <c r="Z855" s="2" t="n"/>
      <c r="AA855" s="2" t="n">
        <v>20</v>
      </c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>
        <f>IF(F855=1,V855*2,IF(F855=2,V855*F855*2,IF(F855&gt;2,F855*2*V855)))</f>
        <v/>
      </c>
      <c r="AW855" s="2">
        <f>SUM(W855:AU855)</f>
        <v/>
      </c>
    </row>
    <row r="856">
      <c r="A856" s="2" t="inlineStr">
        <is>
          <t>A14-S-SP/SP-1-N-002</t>
        </is>
      </c>
      <c r="B856" s="3" t="inlineStr">
        <is>
          <t>SOJC-MM-SC/PC-SC/PC</t>
        </is>
      </c>
      <c r="C856" s="2" t="inlineStr">
        <is>
          <t>908040112, 1M</t>
        </is>
      </c>
      <c r="D856" s="2" t="inlineStr">
        <is>
          <t>om1</t>
        </is>
      </c>
      <c r="E856" s="2" t="inlineStr">
        <is>
          <t>2.0mm</t>
        </is>
      </c>
      <c r="F856" s="2" t="n">
        <v>1</v>
      </c>
      <c r="G856" s="2" t="n">
        <v>1</v>
      </c>
      <c r="H856" s="2" t="inlineStr">
        <is>
          <t>SC/PC</t>
        </is>
      </c>
      <c r="I856" s="2" t="inlineStr">
        <is>
          <t>SC/PC</t>
        </is>
      </c>
      <c r="J856" s="2" t="n"/>
      <c r="K856" s="2" t="n"/>
      <c r="L856" s="2" t="n"/>
      <c r="M856" s="2" t="n"/>
      <c r="N856" s="2" t="n"/>
      <c r="O856" s="2" t="n">
        <v>5</v>
      </c>
      <c r="P856" s="2" t="n">
        <v>20</v>
      </c>
      <c r="Q856" s="2" t="n"/>
      <c r="R856" s="2" t="n"/>
      <c r="S856" s="2" t="n"/>
      <c r="T856" s="2" t="n"/>
      <c r="U856" s="2" t="n"/>
      <c r="V856" s="2">
        <f>SUM(J856:U856)</f>
        <v/>
      </c>
      <c r="W856" s="2" t="n"/>
      <c r="X856" s="2" t="n"/>
      <c r="Y856" s="2" t="n"/>
      <c r="Z856" s="2" t="n"/>
      <c r="AA856" s="2" t="n">
        <v>50</v>
      </c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>
        <f>IF(F856=1,V856*2,IF(F856=2,V856*F856*2,IF(F856&gt;2,F856*2*V856)))</f>
        <v/>
      </c>
      <c r="AW856" s="2">
        <f>SUM(W856:AU856)</f>
        <v/>
      </c>
    </row>
    <row r="857">
      <c r="A857" s="2" t="inlineStr">
        <is>
          <t>A14-S-SP/SP-1-N-003</t>
        </is>
      </c>
      <c r="B857" s="3" t="inlineStr">
        <is>
          <t>SOJC-MM-SC/PC-SC/PC</t>
        </is>
      </c>
      <c r="C857" s="2" t="inlineStr">
        <is>
          <t>908040130, 20M</t>
        </is>
      </c>
      <c r="D857" s="2" t="inlineStr">
        <is>
          <t>om1</t>
        </is>
      </c>
      <c r="E857" s="2" t="inlineStr">
        <is>
          <t>2.0mm</t>
        </is>
      </c>
      <c r="F857" s="2" t="n">
        <v>1</v>
      </c>
      <c r="G857" s="2" t="n">
        <v>20</v>
      </c>
      <c r="H857" s="2" t="inlineStr">
        <is>
          <t>SC/PC</t>
        </is>
      </c>
      <c r="I857" s="2" t="inlineStr">
        <is>
          <t>SC/PC</t>
        </is>
      </c>
      <c r="J857" s="2" t="n"/>
      <c r="K857" s="2" t="n"/>
      <c r="L857" s="2" t="n"/>
      <c r="M857" s="2" t="n"/>
      <c r="N857" s="2" t="n"/>
      <c r="O857" s="2" t="n"/>
      <c r="P857" s="2" t="n">
        <v>25</v>
      </c>
      <c r="Q857" s="2" t="n"/>
      <c r="R857" s="2" t="n"/>
      <c r="S857" s="2" t="n"/>
      <c r="T857" s="2" t="n"/>
      <c r="U857" s="2" t="n"/>
      <c r="V857" s="2">
        <f>SUM(J857:U857)</f>
        <v/>
      </c>
      <c r="W857" s="2" t="n"/>
      <c r="X857" s="2" t="n"/>
      <c r="Y857" s="2" t="n"/>
      <c r="Z857" s="2" t="n"/>
      <c r="AA857" s="2" t="n">
        <v>50</v>
      </c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>
        <f>IF(F857=1,V857*2,IF(F857=2,V857*F857*2,IF(F857&gt;2,F857*2*V857)))</f>
        <v/>
      </c>
      <c r="AW857" s="2">
        <f>SUM(W857:AU857)</f>
        <v/>
      </c>
    </row>
    <row r="858">
      <c r="A858" s="2" t="inlineStr">
        <is>
          <t>A14-S-SP/SP-1-N-006</t>
        </is>
      </c>
      <c r="B858" s="3" t="inlineStr">
        <is>
          <t>SOJC-MM-SC/PC-SC/PC</t>
        </is>
      </c>
      <c r="C858" s="2" t="inlineStr">
        <is>
          <t>908040115, 5M</t>
        </is>
      </c>
      <c r="D858" s="2" t="inlineStr">
        <is>
          <t>om1</t>
        </is>
      </c>
      <c r="E858" s="2" t="inlineStr">
        <is>
          <t>2.0mm</t>
        </is>
      </c>
      <c r="F858" s="2" t="n">
        <v>1</v>
      </c>
      <c r="G858" s="2" t="n">
        <v>5</v>
      </c>
      <c r="H858" s="2" t="inlineStr">
        <is>
          <t>SC/PC</t>
        </is>
      </c>
      <c r="I858" s="2" t="inlineStr">
        <is>
          <t>SC/PC</t>
        </is>
      </c>
      <c r="J858" s="2" t="n"/>
      <c r="K858" s="2" t="n"/>
      <c r="L858" s="2" t="n"/>
      <c r="M858" s="2" t="n"/>
      <c r="N858" s="2" t="n"/>
      <c r="O858" s="2" t="n">
        <v>10</v>
      </c>
      <c r="P858" s="2" t="n"/>
      <c r="Q858" s="2" t="n"/>
      <c r="R858" s="2" t="n"/>
      <c r="S858" s="2" t="n"/>
      <c r="T858" s="2" t="n"/>
      <c r="U858" s="2" t="n"/>
      <c r="V858" s="2">
        <f>SUM(J858:U858)</f>
        <v/>
      </c>
      <c r="W858" s="2" t="n"/>
      <c r="X858" s="2" t="n"/>
      <c r="Y858" s="2" t="n"/>
      <c r="Z858" s="2" t="n"/>
      <c r="AA858" s="2" t="n">
        <v>20</v>
      </c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>
        <f>IF(F858=1,V858*2,IF(F858=2,V858*F858*2,IF(F858&gt;2,F858*2*V858)))</f>
        <v/>
      </c>
      <c r="AW858" s="2">
        <f>SUM(W858:AU858)</f>
        <v/>
      </c>
    </row>
    <row r="859">
      <c r="A859" s="2" t="inlineStr">
        <is>
          <t>A14-S-SP/SP-1-N-011</t>
        </is>
      </c>
      <c r="B859" s="3" t="inlineStr">
        <is>
          <t>SOJC-MM-SC/PC-SC/PC</t>
        </is>
      </c>
      <c r="C859" s="2" t="inlineStr">
        <is>
          <t>908040117, 7M</t>
        </is>
      </c>
      <c r="D859" s="2" t="inlineStr">
        <is>
          <t>om1</t>
        </is>
      </c>
      <c r="E859" s="2" t="inlineStr">
        <is>
          <t>2.0mm</t>
        </is>
      </c>
      <c r="F859" s="2" t="n">
        <v>1</v>
      </c>
      <c r="G859" s="2" t="n">
        <v>7</v>
      </c>
      <c r="H859" s="2" t="inlineStr">
        <is>
          <t>SC/PC</t>
        </is>
      </c>
      <c r="I859" s="2" t="inlineStr">
        <is>
          <t>SC/PC</t>
        </is>
      </c>
      <c r="J859" s="2" t="n"/>
      <c r="K859" s="2" t="n"/>
      <c r="L859" s="2" t="n"/>
      <c r="M859" s="2" t="n"/>
      <c r="N859" s="2" t="n"/>
      <c r="O859" s="2" t="n">
        <v>10</v>
      </c>
      <c r="P859" s="2" t="n"/>
      <c r="Q859" s="2" t="n"/>
      <c r="R859" s="2" t="n"/>
      <c r="S859" s="2" t="n"/>
      <c r="T859" s="2" t="n"/>
      <c r="U859" s="2" t="n"/>
      <c r="V859" s="2">
        <f>SUM(J859:U859)</f>
        <v/>
      </c>
      <c r="W859" s="2" t="n"/>
      <c r="X859" s="2" t="n"/>
      <c r="Y859" s="2" t="n"/>
      <c r="Z859" s="2" t="n"/>
      <c r="AA859" s="2" t="n">
        <v>20</v>
      </c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>
        <f>IF(F859=1,V859*2,IF(F859=2,V859*F859*2,IF(F859&gt;2,F859*2*V859)))</f>
        <v/>
      </c>
      <c r="AW859" s="2">
        <f>SUM(W859:AU859)</f>
        <v/>
      </c>
    </row>
    <row r="860">
      <c r="A860" s="2" t="inlineStr">
        <is>
          <t>A14-SB-N048</t>
        </is>
      </c>
      <c r="B860" s="3" t="inlineStr">
        <is>
          <t>SOJC-SM-LC/PC-FC/APC</t>
        </is>
      </c>
      <c r="C860" s="2" t="inlineStr">
        <is>
          <t>930001505, 10M, B3, 2.0mm</t>
        </is>
      </c>
      <c r="D860" s="2" t="inlineStr">
        <is>
          <t>b3</t>
        </is>
      </c>
      <c r="E860" s="2" t="inlineStr">
        <is>
          <t>2.0mm</t>
        </is>
      </c>
      <c r="F860" s="2" t="n">
        <v>1</v>
      </c>
      <c r="G860" s="2" t="n">
        <v>10</v>
      </c>
      <c r="H860" s="2" t="inlineStr">
        <is>
          <t>LC/PC</t>
        </is>
      </c>
      <c r="I860" s="2" t="inlineStr">
        <is>
          <t>FC/APC</t>
        </is>
      </c>
      <c r="J860" s="2" t="n"/>
      <c r="K860" s="2" t="n"/>
      <c r="L860" s="2" t="n"/>
      <c r="M860" s="2" t="n"/>
      <c r="N860" s="2" t="n"/>
      <c r="O860" s="2" t="n"/>
      <c r="P860" s="2" t="n"/>
      <c r="Q860" s="2" t="n">
        <v>5</v>
      </c>
      <c r="R860" s="2" t="n"/>
      <c r="S860" s="2" t="n"/>
      <c r="T860" s="2" t="n">
        <v>10</v>
      </c>
      <c r="U860" s="2" t="n"/>
      <c r="V860" s="2">
        <f>SUM(J860:U860)</f>
        <v/>
      </c>
      <c r="W860" s="2" t="n">
        <v>15</v>
      </c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>
        <v>15</v>
      </c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>
        <f>IF(F860=1,V860*2,IF(F860=2,V860*F860*2,IF(F860&gt;2,F860*2*V860)))</f>
        <v/>
      </c>
      <c r="AW860" s="2">
        <f>SUM(W860:AU860)</f>
        <v/>
      </c>
    </row>
    <row r="861">
      <c r="A861" s="2" t="inlineStr">
        <is>
          <t>A14-SB-N052</t>
        </is>
      </c>
      <c r="B861" s="3" t="inlineStr">
        <is>
          <t>SOJC-SM-LC/PC-FC/APC</t>
        </is>
      </c>
      <c r="C861" s="2" t="inlineStr">
        <is>
          <t>930001510, 15M, B3, 2.0mm</t>
        </is>
      </c>
      <c r="D861" s="2" t="inlineStr">
        <is>
          <t>b3</t>
        </is>
      </c>
      <c r="E861" s="2" t="inlineStr">
        <is>
          <t>2.0mm</t>
        </is>
      </c>
      <c r="F861" s="2" t="n">
        <v>1</v>
      </c>
      <c r="G861" s="2" t="n">
        <v>15</v>
      </c>
      <c r="H861" s="2" t="inlineStr">
        <is>
          <t>LC/PC</t>
        </is>
      </c>
      <c r="I861" s="2" t="inlineStr">
        <is>
          <t>FC/APC</t>
        </is>
      </c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>
        <v>7</v>
      </c>
      <c r="V861" s="2">
        <f>SUM(J861:U861)</f>
        <v/>
      </c>
      <c r="W861" s="2" t="n">
        <v>7</v>
      </c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>
        <v>7</v>
      </c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>
        <f>IF(F861=1,V861*2,IF(F861=2,V861*F861*2,IF(F861&gt;2,F861*2*V861)))</f>
        <v/>
      </c>
      <c r="AW861" s="2">
        <f>SUM(W861:AU861)</f>
        <v/>
      </c>
    </row>
    <row r="862">
      <c r="A862" s="2" t="inlineStr">
        <is>
          <t>A14-SB-N056</t>
        </is>
      </c>
      <c r="B862" s="3" t="inlineStr">
        <is>
          <t>SOJC-SM-LC/PC-FC/APC</t>
        </is>
      </c>
      <c r="C862" s="2" t="inlineStr">
        <is>
          <t>930001515, 20M, B3, 2.0mm</t>
        </is>
      </c>
      <c r="D862" s="2" t="inlineStr">
        <is>
          <t>b3</t>
        </is>
      </c>
      <c r="E862" s="2" t="inlineStr">
        <is>
          <t>2.0mm</t>
        </is>
      </c>
      <c r="F862" s="2" t="n">
        <v>1</v>
      </c>
      <c r="G862" s="2" t="n">
        <v>20</v>
      </c>
      <c r="H862" s="2" t="inlineStr">
        <is>
          <t>LC/PC</t>
        </is>
      </c>
      <c r="I862" s="2" t="inlineStr">
        <is>
          <t>FC/APC</t>
        </is>
      </c>
      <c r="J862" s="2" t="n"/>
      <c r="K862" s="2" t="n"/>
      <c r="L862" s="2" t="n"/>
      <c r="M862" s="2" t="n"/>
      <c r="N862" s="2" t="n"/>
      <c r="O862" s="2" t="n">
        <v>20</v>
      </c>
      <c r="P862" s="2" t="n"/>
      <c r="Q862" s="2" t="n"/>
      <c r="R862" s="2" t="n"/>
      <c r="S862" s="2" t="n"/>
      <c r="T862" s="2" t="n"/>
      <c r="U862" s="2" t="n"/>
      <c r="V862" s="2">
        <f>SUM(J862:U862)</f>
        <v/>
      </c>
      <c r="W862" s="2" t="n">
        <v>20</v>
      </c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>
        <v>20</v>
      </c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>
        <f>IF(F862=1,V862*2,IF(F862=2,V862*F862*2,IF(F862&gt;2,F862*2*V862)))</f>
        <v/>
      </c>
      <c r="AW862" s="2">
        <f>SUM(W862:AU862)</f>
        <v/>
      </c>
    </row>
    <row r="863">
      <c r="A863" s="2" t="inlineStr">
        <is>
          <t>A14-SB-N057</t>
        </is>
      </c>
      <c r="B863" s="3" t="inlineStr">
        <is>
          <t>SOJC-SM-LC/PC-FC/APC</t>
        </is>
      </c>
      <c r="C863" s="2" t="inlineStr">
        <is>
          <t>930001516, 25M, B3, 2.0mm</t>
        </is>
      </c>
      <c r="D863" s="2" t="inlineStr">
        <is>
          <t>b3</t>
        </is>
      </c>
      <c r="E863" s="2" t="inlineStr">
        <is>
          <t>2.0mm</t>
        </is>
      </c>
      <c r="F863" s="2" t="n">
        <v>1</v>
      </c>
      <c r="G863" s="2" t="n">
        <v>25</v>
      </c>
      <c r="H863" s="2" t="inlineStr">
        <is>
          <t>LC/PC</t>
        </is>
      </c>
      <c r="I863" s="2" t="inlineStr">
        <is>
          <t>FC/APC</t>
        </is>
      </c>
      <c r="J863" s="2" t="n"/>
      <c r="K863" s="2" t="n"/>
      <c r="L863" s="2" t="n"/>
      <c r="M863" s="2" t="n">
        <v>18</v>
      </c>
      <c r="N863" s="2" t="n"/>
      <c r="O863" s="2" t="n">
        <v>20</v>
      </c>
      <c r="P863" s="2" t="n"/>
      <c r="Q863" s="2" t="n"/>
      <c r="R863" s="2" t="n"/>
      <c r="S863" s="2" t="n"/>
      <c r="T863" s="2" t="n"/>
      <c r="U863" s="2" t="n"/>
      <c r="V863" s="2">
        <f>SUM(J863:U863)</f>
        <v/>
      </c>
      <c r="W863" s="2" t="n">
        <v>38</v>
      </c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>
        <v>38</v>
      </c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>
        <f>IF(F863=1,V863*2,IF(F863=2,V863*F863*2,IF(F863&gt;2,F863*2*V863)))</f>
        <v/>
      </c>
      <c r="AW863" s="2">
        <f>SUM(W863:AU863)</f>
        <v/>
      </c>
    </row>
    <row r="864">
      <c r="A864" s="2" t="inlineStr">
        <is>
          <t>A14-SB-N069</t>
        </is>
      </c>
      <c r="B864" s="3" t="inlineStr">
        <is>
          <t>SOJC-SM-LC/PC-FC/PC</t>
        </is>
      </c>
      <c r="C864" s="2" t="inlineStr">
        <is>
          <t>908040145, 15M, B3, 2.0mm</t>
        </is>
      </c>
      <c r="D864" s="2" t="inlineStr">
        <is>
          <t>b3</t>
        </is>
      </c>
      <c r="E864" s="2" t="inlineStr">
        <is>
          <t>2.0mm</t>
        </is>
      </c>
      <c r="F864" s="2" t="n">
        <v>1</v>
      </c>
      <c r="G864" s="2" t="n">
        <v>15</v>
      </c>
      <c r="H864" s="2" t="inlineStr">
        <is>
          <t>LC/PC</t>
        </is>
      </c>
      <c r="I864" s="2" t="inlineStr">
        <is>
          <t>FC/PC</t>
        </is>
      </c>
      <c r="J864" s="2" t="n"/>
      <c r="K864" s="2" t="n">
        <v>8</v>
      </c>
      <c r="L864" s="2" t="n"/>
      <c r="M864" s="2" t="n"/>
      <c r="N864" s="2" t="n">
        <v>30</v>
      </c>
      <c r="O864" s="2" t="n"/>
      <c r="P864" s="2" t="n"/>
      <c r="Q864" s="2" t="n"/>
      <c r="R864" s="2" t="n"/>
      <c r="S864" s="2" t="n"/>
      <c r="T864" s="2" t="n"/>
      <c r="U864" s="2" t="n"/>
      <c r="V864" s="2">
        <f>SUM(J864:U864)</f>
        <v/>
      </c>
      <c r="W864" s="2" t="n">
        <v>38</v>
      </c>
      <c r="X864" s="2" t="n"/>
      <c r="Y864" s="2" t="n"/>
      <c r="Z864" s="2" t="n"/>
      <c r="AA864" s="2" t="n"/>
      <c r="AB864" s="2" t="n"/>
      <c r="AC864" s="2" t="n"/>
      <c r="AD864" s="2" t="n"/>
      <c r="AE864" s="2" t="n">
        <v>38</v>
      </c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>
        <f>IF(F864=1,V864*2,IF(F864=2,V864*F864*2,IF(F864&gt;2,F864*2*V864)))</f>
        <v/>
      </c>
      <c r="AW864" s="2">
        <f>SUM(W864:AU864)</f>
        <v/>
      </c>
    </row>
    <row r="865">
      <c r="A865" s="2" t="inlineStr">
        <is>
          <t>A14-SB-N071</t>
        </is>
      </c>
      <c r="B865" s="3" t="inlineStr">
        <is>
          <t>SOJC-SM-LC/PC-FC/PC</t>
        </is>
      </c>
      <c r="C865" s="2" t="inlineStr">
        <is>
          <t>908040150, 20M, B3, 2.0mm</t>
        </is>
      </c>
      <c r="D865" s="2" t="inlineStr">
        <is>
          <t>b3</t>
        </is>
      </c>
      <c r="E865" s="2" t="inlineStr">
        <is>
          <t>2.0mm</t>
        </is>
      </c>
      <c r="F865" s="2" t="n">
        <v>1</v>
      </c>
      <c r="G865" s="2" t="n">
        <v>20</v>
      </c>
      <c r="H865" s="2" t="inlineStr">
        <is>
          <t>LC/PC</t>
        </is>
      </c>
      <c r="I865" s="2" t="inlineStr">
        <is>
          <t>FC/PC</t>
        </is>
      </c>
      <c r="J865" s="2" t="n">
        <v>20</v>
      </c>
      <c r="K865" s="2" t="n"/>
      <c r="L865" s="2" t="n">
        <v>2</v>
      </c>
      <c r="M865" s="2" t="n"/>
      <c r="N865" s="2" t="n">
        <v>30</v>
      </c>
      <c r="O865" s="2" t="n"/>
      <c r="P865" s="2" t="n"/>
      <c r="Q865" s="2" t="n"/>
      <c r="R865" s="2" t="n"/>
      <c r="S865" s="2" t="n"/>
      <c r="T865" s="2" t="n"/>
      <c r="U865" s="2" t="n"/>
      <c r="V865" s="2">
        <f>SUM(J865:U865)</f>
        <v/>
      </c>
      <c r="W865" s="2" t="n">
        <v>52</v>
      </c>
      <c r="X865" s="2" t="n"/>
      <c r="Y865" s="2" t="n"/>
      <c r="Z865" s="2" t="n"/>
      <c r="AA865" s="2" t="n"/>
      <c r="AB865" s="2" t="n"/>
      <c r="AC865" s="2" t="n"/>
      <c r="AD865" s="2" t="n"/>
      <c r="AE865" s="2" t="n">
        <v>52</v>
      </c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>
        <f>IF(F865=1,V865*2,IF(F865=2,V865*F865*2,IF(F865&gt;2,F865*2*V865)))</f>
        <v/>
      </c>
      <c r="AW865" s="2">
        <f>SUM(W865:AU865)</f>
        <v/>
      </c>
    </row>
    <row r="866">
      <c r="A866" s="2" t="inlineStr">
        <is>
          <t>A14-SB-N080</t>
        </is>
      </c>
      <c r="B866" s="3" t="inlineStr">
        <is>
          <t>SOJC-SM-LC/PC-LC/APC</t>
        </is>
      </c>
      <c r="C866" s="2" t="inlineStr">
        <is>
          <t>15M, B3, 2.0mm</t>
        </is>
      </c>
      <c r="D866" s="2" t="inlineStr">
        <is>
          <t>b3</t>
        </is>
      </c>
      <c r="E866" s="2" t="inlineStr">
        <is>
          <t>2.0mm</t>
        </is>
      </c>
      <c r="F866" s="2" t="n">
        <v>1</v>
      </c>
      <c r="G866" s="2" t="n">
        <v>15</v>
      </c>
      <c r="H866" s="2" t="inlineStr">
        <is>
          <t>LC/PC</t>
        </is>
      </c>
      <c r="I866" s="2" t="inlineStr">
        <is>
          <t>LC/APC</t>
        </is>
      </c>
      <c r="J866" s="2" t="n"/>
      <c r="K866" s="2" t="n"/>
      <c r="L866" s="2" t="n"/>
      <c r="M866" s="2" t="n"/>
      <c r="N866" s="2" t="n"/>
      <c r="O866" s="2" t="n">
        <v>35</v>
      </c>
      <c r="P866" s="2" t="n"/>
      <c r="Q866" s="2" t="n"/>
      <c r="R866" s="2" t="n"/>
      <c r="S866" s="2" t="n"/>
      <c r="T866" s="2" t="n"/>
      <c r="U866" s="2" t="n"/>
      <c r="V866" s="2">
        <f>SUM(J866:U866)</f>
        <v/>
      </c>
      <c r="W866" s="2" t="n">
        <v>35</v>
      </c>
      <c r="X866" s="2" t="n"/>
      <c r="Y866" s="2" t="n">
        <v>35</v>
      </c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>
        <f>IF(F866=1,V866*2,IF(F866=2,V866*F866*2,IF(F866&gt;2,F866*2*V866)))</f>
        <v/>
      </c>
      <c r="AW866" s="2">
        <f>SUM(W866:AU866)</f>
        <v/>
      </c>
    </row>
    <row r="867">
      <c r="A867" s="2" t="inlineStr">
        <is>
          <t>A14-SB-N081</t>
        </is>
      </c>
      <c r="B867" s="3" t="inlineStr">
        <is>
          <t>SOJC-SM-LC/PC-LC/APC</t>
        </is>
      </c>
      <c r="C867" s="2" t="inlineStr">
        <is>
          <t>20M, B3, 2.0mm</t>
        </is>
      </c>
      <c r="D867" s="2" t="inlineStr">
        <is>
          <t>b3</t>
        </is>
      </c>
      <c r="E867" s="2" t="inlineStr">
        <is>
          <t>2.0mm</t>
        </is>
      </c>
      <c r="F867" s="2" t="n">
        <v>1</v>
      </c>
      <c r="G867" s="2" t="n">
        <v>20</v>
      </c>
      <c r="H867" s="2" t="inlineStr">
        <is>
          <t>LC/PC</t>
        </is>
      </c>
      <c r="I867" s="2" t="inlineStr">
        <is>
          <t>LC/APC</t>
        </is>
      </c>
      <c r="J867" s="2" t="n"/>
      <c r="K867" s="2" t="n"/>
      <c r="L867" s="2" t="n">
        <v>11</v>
      </c>
      <c r="M867" s="2" t="n"/>
      <c r="N867" s="2" t="n">
        <v>6</v>
      </c>
      <c r="O867" s="2" t="n">
        <v>25</v>
      </c>
      <c r="P867" s="2" t="n"/>
      <c r="Q867" s="2" t="n"/>
      <c r="R867" s="2" t="n"/>
      <c r="S867" s="2" t="n"/>
      <c r="T867" s="2" t="n"/>
      <c r="U867" s="2" t="n"/>
      <c r="V867" s="2">
        <f>SUM(J867:U867)</f>
        <v/>
      </c>
      <c r="W867" s="2" t="n">
        <v>42</v>
      </c>
      <c r="X867" s="2" t="n"/>
      <c r="Y867" s="2" t="n">
        <v>42</v>
      </c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>
        <f>IF(F867=1,V867*2,IF(F867=2,V867*F867*2,IF(F867&gt;2,F867*2*V867)))</f>
        <v/>
      </c>
      <c r="AW867" s="2">
        <f>SUM(W867:AU867)</f>
        <v/>
      </c>
    </row>
    <row r="868">
      <c r="A868" s="2" t="inlineStr">
        <is>
          <t>A14-SB-N082</t>
        </is>
      </c>
      <c r="B868" s="3" t="inlineStr">
        <is>
          <t>SOJC-SM-LC/PC-LC/APC</t>
        </is>
      </c>
      <c r="C868" s="2" t="inlineStr">
        <is>
          <t>25M, B3, 2.0mm</t>
        </is>
      </c>
      <c r="D868" s="2" t="inlineStr">
        <is>
          <t>b3</t>
        </is>
      </c>
      <c r="E868" s="2" t="inlineStr">
        <is>
          <t>2.0mm</t>
        </is>
      </c>
      <c r="F868" s="2" t="n">
        <v>1</v>
      </c>
      <c r="G868" s="2" t="n">
        <v>25</v>
      </c>
      <c r="H868" s="2" t="inlineStr">
        <is>
          <t>LC/PC</t>
        </is>
      </c>
      <c r="I868" s="2" t="inlineStr">
        <is>
          <t>LC/APC</t>
        </is>
      </c>
      <c r="J868" s="2" t="n"/>
      <c r="K868" s="2" t="n">
        <v>10</v>
      </c>
      <c r="L868" s="2" t="n"/>
      <c r="M868" s="2" t="n"/>
      <c r="N868" s="2" t="n"/>
      <c r="O868" s="2" t="n"/>
      <c r="P868" s="2" t="n"/>
      <c r="Q868" s="2" t="n"/>
      <c r="R868" s="2" t="n">
        <v>5</v>
      </c>
      <c r="S868" s="2" t="n"/>
      <c r="T868" s="2" t="n"/>
      <c r="U868" s="2" t="n"/>
      <c r="V868" s="2">
        <f>SUM(J868:U868)</f>
        <v/>
      </c>
      <c r="W868" s="2" t="n">
        <v>15</v>
      </c>
      <c r="X868" s="2" t="n"/>
      <c r="Y868" s="2" t="n">
        <v>15</v>
      </c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>
        <f>IF(F868=1,V868*2,IF(F868=2,V868*F868*2,IF(F868&gt;2,F868*2*V868)))</f>
        <v/>
      </c>
      <c r="AW868" s="2">
        <f>SUM(W868:AU868)</f>
        <v/>
      </c>
    </row>
    <row r="869">
      <c r="A869" s="2" t="inlineStr">
        <is>
          <t>A14-SB-N086</t>
        </is>
      </c>
      <c r="B869" s="3" t="inlineStr">
        <is>
          <t>SOJC-SM-LC/PC-LC/PC</t>
        </is>
      </c>
      <c r="C869" s="2" t="inlineStr">
        <is>
          <t>908040269, 10M, B3, 2.0mm</t>
        </is>
      </c>
      <c r="D869" s="2" t="inlineStr">
        <is>
          <t>b3</t>
        </is>
      </c>
      <c r="E869" s="2" t="inlineStr">
        <is>
          <t>2.0mm</t>
        </is>
      </c>
      <c r="F869" s="2" t="n">
        <v>1</v>
      </c>
      <c r="G869" s="2" t="n">
        <v>10</v>
      </c>
      <c r="H869" s="2" t="inlineStr">
        <is>
          <t>LC/PC</t>
        </is>
      </c>
      <c r="I869" s="2" t="inlineStr">
        <is>
          <t>LC/PC</t>
        </is>
      </c>
      <c r="J869" s="2" t="n">
        <v>100</v>
      </c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>
        <v>17</v>
      </c>
      <c r="T869" s="2" t="n"/>
      <c r="U869" s="2" t="n"/>
      <c r="V869" s="2">
        <f>SUM(J869:U869)</f>
        <v/>
      </c>
      <c r="W869" s="2" t="n">
        <v>234</v>
      </c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>
        <f>IF(F869=1,V869*2,IF(F869=2,V869*F869*2,IF(F869&gt;2,F869*2*V869)))</f>
        <v/>
      </c>
      <c r="AW869" s="2">
        <f>SUM(W869:AU869)</f>
        <v/>
      </c>
    </row>
    <row r="870">
      <c r="A870" s="2" t="inlineStr">
        <is>
          <t>A14-SB-N087</t>
        </is>
      </c>
      <c r="B870" s="3" t="inlineStr">
        <is>
          <t>SOJC-SM-LC/PC-LC/PC</t>
        </is>
      </c>
      <c r="C870" s="2" t="inlineStr">
        <is>
          <t>12M, B3, 2.0mm</t>
        </is>
      </c>
      <c r="D870" s="2" t="inlineStr">
        <is>
          <t>b3</t>
        </is>
      </c>
      <c r="E870" s="2" t="inlineStr">
        <is>
          <t>2.0mm</t>
        </is>
      </c>
      <c r="F870" s="2" t="n">
        <v>1</v>
      </c>
      <c r="G870" s="2" t="n">
        <v>12</v>
      </c>
      <c r="H870" s="2" t="inlineStr">
        <is>
          <t>LC/PC</t>
        </is>
      </c>
      <c r="I870" s="2" t="inlineStr">
        <is>
          <t>LC/PC</t>
        </is>
      </c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>
        <v>20</v>
      </c>
      <c r="S870" s="2" t="n"/>
      <c r="T870" s="2" t="n"/>
      <c r="U870" s="2" t="n">
        <v>150</v>
      </c>
      <c r="V870" s="2">
        <f>SUM(J870:U870)</f>
        <v/>
      </c>
      <c r="W870" s="2" t="n">
        <v>340</v>
      </c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>
        <f>IF(F870=1,V870*2,IF(F870=2,V870*F870*2,IF(F870&gt;2,F870*2*V870)))</f>
        <v/>
      </c>
      <c r="AW870" s="2">
        <f>SUM(W870:AU870)</f>
        <v/>
      </c>
    </row>
    <row r="871">
      <c r="A871" s="2" t="inlineStr">
        <is>
          <t>A14-SB-N088</t>
        </is>
      </c>
      <c r="B871" s="3" t="inlineStr">
        <is>
          <t>SOJC-SM-LC/PC-LC/PC</t>
        </is>
      </c>
      <c r="C871" s="2" t="inlineStr">
        <is>
          <t>13M, B3, 2.0mm</t>
        </is>
      </c>
      <c r="D871" s="2" t="inlineStr">
        <is>
          <t>b3</t>
        </is>
      </c>
      <c r="E871" s="2" t="inlineStr">
        <is>
          <t>2.0mm</t>
        </is>
      </c>
      <c r="F871" s="2" t="n">
        <v>1</v>
      </c>
      <c r="G871" s="2" t="n">
        <v>13</v>
      </c>
      <c r="H871" s="2" t="inlineStr">
        <is>
          <t>LC/PC</t>
        </is>
      </c>
      <c r="I871" s="2" t="inlineStr">
        <is>
          <t>LC/PC</t>
        </is>
      </c>
      <c r="J871" s="2" t="n">
        <v>110</v>
      </c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>
        <f>SUM(J871:U871)</f>
        <v/>
      </c>
      <c r="W871" s="2" t="n">
        <v>220</v>
      </c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>
        <f>IF(F871=1,V871*2,IF(F871=2,V871*F871*2,IF(F871&gt;2,F871*2*V871)))</f>
        <v/>
      </c>
      <c r="AW871" s="2">
        <f>SUM(W871:AU871)</f>
        <v/>
      </c>
    </row>
    <row r="872">
      <c r="A872" s="2" t="inlineStr">
        <is>
          <t>A14-SB-N089</t>
        </is>
      </c>
      <c r="B872" s="3" t="inlineStr">
        <is>
          <t>SOJC-SM-LC/PC-LC/PC</t>
        </is>
      </c>
      <c r="C872" s="2" t="inlineStr">
        <is>
          <t>908040274, 15M, B3, 2.0mm</t>
        </is>
      </c>
      <c r="D872" s="2" t="inlineStr">
        <is>
          <t>b3</t>
        </is>
      </c>
      <c r="E872" s="2" t="inlineStr">
        <is>
          <t>2.0mm</t>
        </is>
      </c>
      <c r="F872" s="2" t="n">
        <v>1</v>
      </c>
      <c r="G872" s="2" t="n">
        <v>15</v>
      </c>
      <c r="H872" s="2" t="inlineStr">
        <is>
          <t>LC/PC</t>
        </is>
      </c>
      <c r="I872" s="2" t="inlineStr">
        <is>
          <t>LC/PC</t>
        </is>
      </c>
      <c r="J872" s="2" t="n">
        <v>220</v>
      </c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>
        <f>SUM(J872:U872)</f>
        <v/>
      </c>
      <c r="W872" s="2" t="n">
        <v>440</v>
      </c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>
        <f>IF(F872=1,V872*2,IF(F872=2,V872*F872*2,IF(F872&gt;2,F872*2*V872)))</f>
        <v/>
      </c>
      <c r="AW872" s="2">
        <f>SUM(W872:AU872)</f>
        <v/>
      </c>
    </row>
    <row r="873">
      <c r="A873" s="2" t="inlineStr">
        <is>
          <t>A14-SB-N093</t>
        </is>
      </c>
      <c r="B873" s="3" t="inlineStr">
        <is>
          <t>SOJC-SM-LC/PC-LC/PC</t>
        </is>
      </c>
      <c r="C873" s="2" t="inlineStr">
        <is>
          <t>908040261, 1M, B3, 3.0mm</t>
        </is>
      </c>
      <c r="D873" s="2" t="inlineStr">
        <is>
          <t>b3</t>
        </is>
      </c>
      <c r="E873" s="2" t="inlineStr">
        <is>
          <t>3.0mm</t>
        </is>
      </c>
      <c r="F873" s="2" t="n">
        <v>1</v>
      </c>
      <c r="G873" s="2" t="n">
        <v>1</v>
      </c>
      <c r="H873" s="2" t="inlineStr">
        <is>
          <t>LC/PC</t>
        </is>
      </c>
      <c r="I873" s="2" t="inlineStr">
        <is>
          <t>LC/PC</t>
        </is>
      </c>
      <c r="J873" s="2" t="n">
        <v>40</v>
      </c>
      <c r="K873" s="2" t="n">
        <v>30</v>
      </c>
      <c r="L873" s="2" t="n">
        <v>5</v>
      </c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>
        <f>SUM(J873:U873)</f>
        <v/>
      </c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>
        <v>150</v>
      </c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>
        <f>IF(F873=1,V873*2,IF(F873=2,V873*F873*2,IF(F873&gt;2,F873*2*V873)))</f>
        <v/>
      </c>
      <c r="AW873" s="2">
        <f>SUM(W873:AU873)</f>
        <v/>
      </c>
    </row>
    <row r="874">
      <c r="A874" s="2" t="inlineStr">
        <is>
          <t>A14-SB-N094</t>
        </is>
      </c>
      <c r="B874" s="3" t="inlineStr">
        <is>
          <t>SOJC-SM-LC/PC-LC/PC</t>
        </is>
      </c>
      <c r="C874" s="2" t="inlineStr">
        <is>
          <t>908040279, 20M, B3, 2.0mm</t>
        </is>
      </c>
      <c r="D874" s="2" t="inlineStr">
        <is>
          <t>b3</t>
        </is>
      </c>
      <c r="E874" s="2" t="inlineStr">
        <is>
          <t>2.0mm</t>
        </is>
      </c>
      <c r="F874" s="2" t="n">
        <v>1</v>
      </c>
      <c r="G874" s="2" t="n">
        <v>20</v>
      </c>
      <c r="H874" s="2" t="inlineStr">
        <is>
          <t>LC/PC</t>
        </is>
      </c>
      <c r="I874" s="2" t="inlineStr">
        <is>
          <t>LC/PC</t>
        </is>
      </c>
      <c r="J874" s="2" t="n">
        <v>80</v>
      </c>
      <c r="K874" s="2" t="n"/>
      <c r="L874" s="2" t="n"/>
      <c r="M874" s="2" t="n"/>
      <c r="N874" s="2" t="n"/>
      <c r="O874" s="2" t="n">
        <v>18</v>
      </c>
      <c r="P874" s="2" t="n">
        <v>10</v>
      </c>
      <c r="Q874" s="2" t="n"/>
      <c r="R874" s="2" t="n"/>
      <c r="S874" s="2" t="n"/>
      <c r="T874" s="2" t="n"/>
      <c r="U874" s="2" t="n"/>
      <c r="V874" s="2">
        <f>SUM(J874:U874)</f>
        <v/>
      </c>
      <c r="W874" s="2" t="n">
        <v>216</v>
      </c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>
        <f>IF(F874=1,V874*2,IF(F874=2,V874*F874*2,IF(F874&gt;2,F874*2*V874)))</f>
        <v/>
      </c>
      <c r="AW874" s="2">
        <f>SUM(W874:AU874)</f>
        <v/>
      </c>
    </row>
    <row r="875">
      <c r="A875" s="2" t="inlineStr">
        <is>
          <t>A14-SB-N096</t>
        </is>
      </c>
      <c r="B875" s="3" t="inlineStr">
        <is>
          <t>SOJC-SM-LC/PC-LC/PC</t>
        </is>
      </c>
      <c r="C875" s="2" t="inlineStr">
        <is>
          <t>908040284, 25M, B3, 2.0mm</t>
        </is>
      </c>
      <c r="D875" s="2" t="inlineStr">
        <is>
          <t>b3</t>
        </is>
      </c>
      <c r="E875" s="2" t="inlineStr">
        <is>
          <t>2.0mm</t>
        </is>
      </c>
      <c r="F875" s="2" t="n">
        <v>1</v>
      </c>
      <c r="G875" s="2" t="n">
        <v>25</v>
      </c>
      <c r="H875" s="2" t="inlineStr">
        <is>
          <t>LC/PC</t>
        </is>
      </c>
      <c r="I875" s="2" t="inlineStr">
        <is>
          <t>LC/PC</t>
        </is>
      </c>
      <c r="J875" s="2" t="n"/>
      <c r="K875" s="2" t="n"/>
      <c r="L875" s="2" t="n"/>
      <c r="M875" s="2" t="n"/>
      <c r="N875" s="2" t="n"/>
      <c r="O875" s="2" t="n"/>
      <c r="P875" s="2" t="n">
        <v>58</v>
      </c>
      <c r="Q875" s="2" t="n"/>
      <c r="R875" s="2" t="n"/>
      <c r="S875" s="2" t="n">
        <v>5</v>
      </c>
      <c r="T875" s="2" t="n"/>
      <c r="U875" s="2" t="n"/>
      <c r="V875" s="2">
        <f>SUM(J875:U875)</f>
        <v/>
      </c>
      <c r="W875" s="2" t="n">
        <v>126</v>
      </c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>
        <f>IF(F875=1,V875*2,IF(F875=2,V875*F875*2,IF(F875&gt;2,F875*2*V875)))</f>
        <v/>
      </c>
      <c r="AW875" s="2">
        <f>SUM(W875:AU875)</f>
        <v/>
      </c>
    </row>
    <row r="876">
      <c r="A876" s="2" t="inlineStr">
        <is>
          <t>A14-SB-N099</t>
        </is>
      </c>
      <c r="B876" s="3" t="inlineStr">
        <is>
          <t>SOJC-SM-LC/PC-LC/PC</t>
        </is>
      </c>
      <c r="C876" s="2" t="inlineStr">
        <is>
          <t>908040260, 3M, B3, 3.0mm</t>
        </is>
      </c>
      <c r="D876" s="2" t="inlineStr">
        <is>
          <t>b3</t>
        </is>
      </c>
      <c r="E876" s="2" t="inlineStr">
        <is>
          <t>3.0mm</t>
        </is>
      </c>
      <c r="F876" s="2" t="n">
        <v>1</v>
      </c>
      <c r="G876" s="2" t="n">
        <v>3</v>
      </c>
      <c r="H876" s="2" t="inlineStr">
        <is>
          <t>LC/PC</t>
        </is>
      </c>
      <c r="I876" s="2" t="inlineStr">
        <is>
          <t>LC/PC</t>
        </is>
      </c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>
        <v>25</v>
      </c>
      <c r="U876" s="2" t="n"/>
      <c r="V876" s="2">
        <f>SUM(J876:U876)</f>
        <v/>
      </c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>
        <v>50</v>
      </c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>
        <f>IF(F876=1,V876*2,IF(F876=2,V876*F876*2,IF(F876&gt;2,F876*2*V876)))</f>
        <v/>
      </c>
      <c r="AW876" s="2">
        <f>SUM(W876:AU876)</f>
        <v/>
      </c>
    </row>
    <row r="877">
      <c r="A877" s="2" t="inlineStr">
        <is>
          <t>A14-SB-N104</t>
        </is>
      </c>
      <c r="B877" s="3" t="inlineStr">
        <is>
          <t>SOJC-SM-LC/PC-LC/PC</t>
        </is>
      </c>
      <c r="C877" s="2" t="inlineStr">
        <is>
          <t>908040264, 5M, B3, 3.0mm</t>
        </is>
      </c>
      <c r="D877" s="2" t="inlineStr">
        <is>
          <t>b3</t>
        </is>
      </c>
      <c r="E877" s="2" t="inlineStr">
        <is>
          <t>3.0mm</t>
        </is>
      </c>
      <c r="F877" s="2" t="n">
        <v>1</v>
      </c>
      <c r="G877" s="2" t="n">
        <v>5</v>
      </c>
      <c r="H877" s="2" t="inlineStr">
        <is>
          <t>LC/PC</t>
        </is>
      </c>
      <c r="I877" s="2" t="inlineStr">
        <is>
          <t>LC/PC</t>
        </is>
      </c>
      <c r="J877" s="2" t="n">
        <v>20</v>
      </c>
      <c r="K877" s="2" t="n">
        <v>76</v>
      </c>
      <c r="L877" s="2" t="n"/>
      <c r="M877" s="2" t="n">
        <v>10</v>
      </c>
      <c r="N877" s="2" t="n"/>
      <c r="O877" s="2" t="n"/>
      <c r="P877" s="2" t="n">
        <v>26</v>
      </c>
      <c r="Q877" s="2" t="n">
        <v>50</v>
      </c>
      <c r="R877" s="2" t="n"/>
      <c r="S877" s="2" t="n"/>
      <c r="T877" s="2" t="n"/>
      <c r="U877" s="2" t="n"/>
      <c r="V877" s="2">
        <f>SUM(J877:U877)</f>
        <v/>
      </c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>
        <v>364</v>
      </c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>
        <f>IF(F877=1,V877*2,IF(F877=2,V877*F877*2,IF(F877&gt;2,F877*2*V877)))</f>
        <v/>
      </c>
      <c r="AW877" s="2">
        <f>SUM(W877:AU877)</f>
        <v/>
      </c>
    </row>
    <row r="878">
      <c r="A878" s="2" t="inlineStr">
        <is>
          <t>A14-SB-N105</t>
        </is>
      </c>
      <c r="B878" s="3" t="inlineStr">
        <is>
          <t>SOJC-SM-LC/PC-LC/PC</t>
        </is>
      </c>
      <c r="C878" s="2" t="inlineStr">
        <is>
          <t>908040265, 6M, B3, 2.0mm</t>
        </is>
      </c>
      <c r="D878" s="2" t="inlineStr">
        <is>
          <t>b3</t>
        </is>
      </c>
      <c r="E878" s="2" t="inlineStr">
        <is>
          <t>2.0mm</t>
        </is>
      </c>
      <c r="F878" s="2" t="n">
        <v>1</v>
      </c>
      <c r="G878" s="2" t="n">
        <v>6</v>
      </c>
      <c r="H878" s="2" t="inlineStr">
        <is>
          <t>LC/PC</t>
        </is>
      </c>
      <c r="I878" s="2" t="inlineStr">
        <is>
          <t>LC/PC</t>
        </is>
      </c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>
        <v>3</v>
      </c>
      <c r="U878" s="2" t="n"/>
      <c r="V878" s="2">
        <f>SUM(J878:U878)</f>
        <v/>
      </c>
      <c r="W878" s="2" t="n">
        <v>6</v>
      </c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>
        <f>IF(F878=1,V878*2,IF(F878=2,V878*F878*2,IF(F878&gt;2,F878*2*V878)))</f>
        <v/>
      </c>
      <c r="AW878" s="2">
        <f>SUM(W878:AU878)</f>
        <v/>
      </c>
    </row>
    <row r="879">
      <c r="A879" s="2" t="inlineStr">
        <is>
          <t>A14-SB-N106</t>
        </is>
      </c>
      <c r="B879" s="3" t="inlineStr">
        <is>
          <t>SOJC-SM-LC/PC-LC/PC</t>
        </is>
      </c>
      <c r="C879" s="2" t="inlineStr">
        <is>
          <t>908040266, 7M, B3, 2.0mm</t>
        </is>
      </c>
      <c r="D879" s="2" t="inlineStr">
        <is>
          <t>b3</t>
        </is>
      </c>
      <c r="E879" s="2" t="inlineStr">
        <is>
          <t>2.0mm</t>
        </is>
      </c>
      <c r="F879" s="2" t="n">
        <v>1</v>
      </c>
      <c r="G879" s="2" t="n">
        <v>7</v>
      </c>
      <c r="H879" s="2" t="inlineStr">
        <is>
          <t>LC/PC</t>
        </is>
      </c>
      <c r="I879" s="2" t="inlineStr">
        <is>
          <t>LC/PC</t>
        </is>
      </c>
      <c r="J879" s="2" t="n">
        <v>230</v>
      </c>
      <c r="K879" s="2" t="n">
        <v>90</v>
      </c>
      <c r="L879" s="2" t="n"/>
      <c r="M879" s="2" t="n"/>
      <c r="N879" s="2" t="n">
        <v>25</v>
      </c>
      <c r="O879" s="2" t="n"/>
      <c r="P879" s="2" t="n"/>
      <c r="Q879" s="2" t="n"/>
      <c r="R879" s="2" t="n"/>
      <c r="S879" s="2" t="n"/>
      <c r="T879" s="2" t="n"/>
      <c r="U879" s="2" t="n"/>
      <c r="V879" s="2">
        <f>SUM(J879:U879)</f>
        <v/>
      </c>
      <c r="W879" s="2" t="n">
        <v>690</v>
      </c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>
        <f>IF(F879=1,V879*2,IF(F879=2,V879*F879*2,IF(F879&gt;2,F879*2*V879)))</f>
        <v/>
      </c>
      <c r="AW879" s="2">
        <f>SUM(W879:AU879)</f>
        <v/>
      </c>
    </row>
    <row r="880">
      <c r="A880" s="2" t="inlineStr">
        <is>
          <t>A14-SB-N107</t>
        </is>
      </c>
      <c r="B880" s="3" t="inlineStr">
        <is>
          <t>SOJC-SM-LC/PC-LC/PC</t>
        </is>
      </c>
      <c r="C880" s="2" t="inlineStr">
        <is>
          <t>908040267, 8M, B3, 2.0mm</t>
        </is>
      </c>
      <c r="D880" s="2" t="inlineStr">
        <is>
          <t>b3</t>
        </is>
      </c>
      <c r="E880" s="2" t="inlineStr">
        <is>
          <t>2.0mm</t>
        </is>
      </c>
      <c r="F880" s="2" t="n">
        <v>1</v>
      </c>
      <c r="G880" s="2" t="n">
        <v>8</v>
      </c>
      <c r="H880" s="2" t="inlineStr">
        <is>
          <t>LC/PC</t>
        </is>
      </c>
      <c r="I880" s="2" t="inlineStr">
        <is>
          <t>LC/PC</t>
        </is>
      </c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>
        <v>80</v>
      </c>
      <c r="S880" s="2" t="n"/>
      <c r="T880" s="2" t="n"/>
      <c r="U880" s="2" t="n"/>
      <c r="V880" s="2">
        <f>SUM(J880:U880)</f>
        <v/>
      </c>
      <c r="W880" s="2" t="n">
        <v>160</v>
      </c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>
        <f>IF(F880=1,V880*2,IF(F880=2,V880*F880*2,IF(F880&gt;2,F880*2*V880)))</f>
        <v/>
      </c>
      <c r="AW880" s="2">
        <f>SUM(W880:AU880)</f>
        <v/>
      </c>
    </row>
    <row r="881">
      <c r="A881" s="2" t="inlineStr">
        <is>
          <t>A14-SB-N109</t>
        </is>
      </c>
      <c r="B881" s="3" t="inlineStr">
        <is>
          <t>SOJC-SM-LC/PC-LC/PC</t>
        </is>
      </c>
      <c r="C881" s="2" t="inlineStr">
        <is>
          <t>1.5M, B3, 3.0mm</t>
        </is>
      </c>
      <c r="D881" s="2" t="inlineStr">
        <is>
          <t>b3</t>
        </is>
      </c>
      <c r="E881" s="2" t="inlineStr">
        <is>
          <t>3.0mm</t>
        </is>
      </c>
      <c r="F881" s="2" t="n">
        <v>1</v>
      </c>
      <c r="G881" s="2" t="n">
        <v>1.5</v>
      </c>
      <c r="H881" s="2" t="inlineStr">
        <is>
          <t>LC/PC</t>
        </is>
      </c>
      <c r="I881" s="2" t="inlineStr">
        <is>
          <t>LC/PC</t>
        </is>
      </c>
      <c r="J881" s="2" t="n"/>
      <c r="K881" s="2" t="n"/>
      <c r="L881" s="2" t="n"/>
      <c r="M881" s="2" t="n"/>
      <c r="N881" s="2" t="n">
        <v>30</v>
      </c>
      <c r="O881" s="2" t="n"/>
      <c r="P881" s="2" t="n"/>
      <c r="Q881" s="2" t="n"/>
      <c r="R881" s="2" t="n"/>
      <c r="S881" s="2" t="n"/>
      <c r="T881" s="2" t="n"/>
      <c r="U881" s="2" t="n"/>
      <c r="V881" s="2">
        <f>SUM(J881:U881)</f>
        <v/>
      </c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>
        <v>60</v>
      </c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>
        <f>IF(F881=1,V881*2,IF(F881=2,V881*F881*2,IF(F881&gt;2,F881*2*V881)))</f>
        <v/>
      </c>
      <c r="AW881" s="2">
        <f>SUM(W881:AU881)</f>
        <v/>
      </c>
    </row>
    <row r="882">
      <c r="A882" s="2" t="inlineStr">
        <is>
          <t>A14-SB-N110</t>
        </is>
      </c>
      <c r="B882" s="3" t="inlineStr">
        <is>
          <t>SOJC-SM-LC/PC-SC/PC</t>
        </is>
      </c>
      <c r="C882" s="2" t="inlineStr">
        <is>
          <t>1.5M, B3, 3.0mm</t>
        </is>
      </c>
      <c r="D882" s="2" t="inlineStr">
        <is>
          <t>b3</t>
        </is>
      </c>
      <c r="E882" s="2" t="inlineStr">
        <is>
          <t>3.0mm</t>
        </is>
      </c>
      <c r="F882" s="2" t="n">
        <v>1</v>
      </c>
      <c r="G882" s="2" t="n">
        <v>1.5</v>
      </c>
      <c r="H882" s="2" t="inlineStr">
        <is>
          <t>LC/PC</t>
        </is>
      </c>
      <c r="I882" s="2" t="inlineStr">
        <is>
          <t>SC/PC</t>
        </is>
      </c>
      <c r="J882" s="2" t="n"/>
      <c r="K882" s="2" t="n"/>
      <c r="L882" s="2" t="n"/>
      <c r="M882" s="2" t="n"/>
      <c r="N882" s="2" t="n"/>
      <c r="O882" s="2" t="n"/>
      <c r="P882" s="2" t="n">
        <v>20</v>
      </c>
      <c r="Q882" s="2" t="n"/>
      <c r="R882" s="2" t="n"/>
      <c r="S882" s="2" t="n"/>
      <c r="T882" s="2" t="n"/>
      <c r="U882" s="2" t="n"/>
      <c r="V882" s="2">
        <f>SUM(J882:U882)</f>
        <v/>
      </c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>
        <v>20</v>
      </c>
      <c r="AK882" s="2" t="n"/>
      <c r="AL882" s="2" t="n"/>
      <c r="AM882" s="2" t="n"/>
      <c r="AN882" s="2" t="n">
        <v>20</v>
      </c>
      <c r="AO882" s="2" t="n"/>
      <c r="AP882" s="2" t="n"/>
      <c r="AQ882" s="2" t="n"/>
      <c r="AR882" s="2" t="n"/>
      <c r="AS882" s="2" t="n"/>
      <c r="AT882" s="2" t="n"/>
      <c r="AU882" s="2" t="n"/>
      <c r="AV882" s="2">
        <f>IF(F882=1,V882*2,IF(F882=2,V882*F882*2,IF(F882&gt;2,F882*2*V882)))</f>
        <v/>
      </c>
      <c r="AW882" s="2">
        <f>SUM(W882:AU882)</f>
        <v/>
      </c>
    </row>
    <row r="883">
      <c r="A883" s="2" t="inlineStr">
        <is>
          <t>A14-SB-N111</t>
        </is>
      </c>
      <c r="B883" s="3" t="inlineStr">
        <is>
          <t>SOJC-SM-LC/PC-SC/APC</t>
        </is>
      </c>
      <c r="C883" s="2" t="inlineStr">
        <is>
          <t>920000744, 10M, B3, 2.0mm</t>
        </is>
      </c>
      <c r="D883" s="2" t="inlineStr">
        <is>
          <t>b3</t>
        </is>
      </c>
      <c r="E883" s="2" t="inlineStr">
        <is>
          <t>2.0mm</t>
        </is>
      </c>
      <c r="F883" s="2" t="n">
        <v>1</v>
      </c>
      <c r="G883" s="2" t="n">
        <v>10</v>
      </c>
      <c r="H883" s="2" t="inlineStr">
        <is>
          <t>LC/PC</t>
        </is>
      </c>
      <c r="I883" s="2" t="inlineStr">
        <is>
          <t>SC/APC</t>
        </is>
      </c>
      <c r="J883" s="2" t="n"/>
      <c r="K883" s="2" t="n"/>
      <c r="L883" s="2" t="n">
        <v>21</v>
      </c>
      <c r="M883" s="2" t="n"/>
      <c r="N883" s="2" t="n">
        <v>10</v>
      </c>
      <c r="O883" s="2" t="n"/>
      <c r="P883" s="2" t="n"/>
      <c r="Q883" s="2" t="n"/>
      <c r="R883" s="2" t="n"/>
      <c r="S883" s="2" t="n"/>
      <c r="T883" s="2" t="n"/>
      <c r="U883" s="2" t="n"/>
      <c r="V883" s="2">
        <f>SUM(J883:U883)</f>
        <v/>
      </c>
      <c r="W883" s="2" t="n">
        <v>31</v>
      </c>
      <c r="X883" s="2" t="n"/>
      <c r="Y883" s="2" t="n"/>
      <c r="Z883" s="2" t="n"/>
      <c r="AA883" s="2" t="n"/>
      <c r="AB883" s="2" t="n"/>
      <c r="AC883" s="2" t="n">
        <v>31</v>
      </c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>
        <f>IF(F883=1,V883*2,IF(F883=2,V883*F883*2,IF(F883&gt;2,F883*2*V883)))</f>
        <v/>
      </c>
      <c r="AW883" s="2">
        <f>SUM(W883:AU883)</f>
        <v/>
      </c>
    </row>
    <row r="884">
      <c r="A884" s="2" t="inlineStr">
        <is>
          <t>A14-SB-N114</t>
        </is>
      </c>
      <c r="B884" s="3" t="inlineStr">
        <is>
          <t>SOJC-SM-LC/PC-SC/APC</t>
        </is>
      </c>
      <c r="C884" s="2" t="inlineStr">
        <is>
          <t>920000749, 15M, B3, 2.0mm</t>
        </is>
      </c>
      <c r="D884" s="2" t="inlineStr">
        <is>
          <t>b3</t>
        </is>
      </c>
      <c r="E884" s="2" t="inlineStr">
        <is>
          <t>2.0mm</t>
        </is>
      </c>
      <c r="F884" s="2" t="n">
        <v>1</v>
      </c>
      <c r="G884" s="2" t="n">
        <v>15</v>
      </c>
      <c r="H884" s="2" t="inlineStr">
        <is>
          <t>LC/PC</t>
        </is>
      </c>
      <c r="I884" s="2" t="inlineStr">
        <is>
          <t>SC/APC</t>
        </is>
      </c>
      <c r="J884" s="2" t="n"/>
      <c r="K884" s="2" t="n"/>
      <c r="L884" s="2" t="n"/>
      <c r="M884" s="2" t="n"/>
      <c r="N884" s="2" t="n">
        <v>20</v>
      </c>
      <c r="O884" s="2" t="n">
        <v>10</v>
      </c>
      <c r="P884" s="2" t="n">
        <v>40</v>
      </c>
      <c r="Q884" s="2" t="n"/>
      <c r="R884" s="2" t="n"/>
      <c r="S884" s="2" t="n">
        <v>20</v>
      </c>
      <c r="T884" s="2" t="n">
        <v>30</v>
      </c>
      <c r="U884" s="2" t="n">
        <v>60</v>
      </c>
      <c r="V884" s="2">
        <f>SUM(J884:U884)</f>
        <v/>
      </c>
      <c r="W884" s="2" t="n">
        <v>180</v>
      </c>
      <c r="X884" s="2" t="n"/>
      <c r="Y884" s="2" t="n"/>
      <c r="Z884" s="2" t="n"/>
      <c r="AA884" s="2" t="n"/>
      <c r="AB884" s="2" t="n"/>
      <c r="AC884" s="2" t="n">
        <v>180</v>
      </c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>
        <f>IF(F884=1,V884*2,IF(F884=2,V884*F884*2,IF(F884&gt;2,F884*2*V884)))</f>
        <v/>
      </c>
      <c r="AW884" s="2">
        <f>SUM(W884:AU884)</f>
        <v/>
      </c>
    </row>
    <row r="885">
      <c r="A885" s="2" t="inlineStr">
        <is>
          <t>A14-SB-N117</t>
        </is>
      </c>
      <c r="B885" s="3" t="inlineStr">
        <is>
          <t>SOJC-SM-LC/PC-SC/APC</t>
        </is>
      </c>
      <c r="C885" s="2" t="inlineStr">
        <is>
          <t>920000754, 20M, B3, 2.0mm</t>
        </is>
      </c>
      <c r="D885" s="2" t="inlineStr">
        <is>
          <t>b3</t>
        </is>
      </c>
      <c r="E885" s="2" t="inlineStr">
        <is>
          <t>2.0mm</t>
        </is>
      </c>
      <c r="F885" s="2" t="n">
        <v>1</v>
      </c>
      <c r="G885" s="2" t="n">
        <v>20</v>
      </c>
      <c r="H885" s="2" t="inlineStr">
        <is>
          <t>LC/PC</t>
        </is>
      </c>
      <c r="I885" s="2" t="inlineStr">
        <is>
          <t>SC/APC</t>
        </is>
      </c>
      <c r="J885" s="2" t="n"/>
      <c r="K885" s="2" t="n"/>
      <c r="L885" s="2" t="n">
        <v>1</v>
      </c>
      <c r="M885" s="2" t="n">
        <v>20</v>
      </c>
      <c r="N885" s="2" t="n">
        <v>10</v>
      </c>
      <c r="O885" s="2" t="n"/>
      <c r="P885" s="2" t="n">
        <v>20</v>
      </c>
      <c r="Q885" s="2" t="n"/>
      <c r="R885" s="2" t="n"/>
      <c r="S885" s="2" t="n">
        <v>5</v>
      </c>
      <c r="T885" s="2" t="n">
        <v>10</v>
      </c>
      <c r="U885" s="2" t="n"/>
      <c r="V885" s="2">
        <f>SUM(J885:U885)</f>
        <v/>
      </c>
      <c r="W885" s="2" t="n">
        <v>66</v>
      </c>
      <c r="X885" s="2" t="n"/>
      <c r="Y885" s="2" t="n"/>
      <c r="Z885" s="2" t="n"/>
      <c r="AA885" s="2" t="n"/>
      <c r="AB885" s="2" t="n"/>
      <c r="AC885" s="2" t="n">
        <v>66</v>
      </c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>
        <f>IF(F885=1,V885*2,IF(F885=2,V885*F885*2,IF(F885&gt;2,F885*2*V885)))</f>
        <v/>
      </c>
      <c r="AW885" s="2">
        <f>SUM(W885:AU885)</f>
        <v/>
      </c>
    </row>
    <row r="886">
      <c r="A886" s="2" t="inlineStr">
        <is>
          <t>A14-SB-N120</t>
        </is>
      </c>
      <c r="B886" s="3" t="inlineStr">
        <is>
          <t>SOJC-SM-LC/PC-SC/APC</t>
        </is>
      </c>
      <c r="C886" s="2" t="inlineStr">
        <is>
          <t>920000764, 30M, B3, 2.0mm</t>
        </is>
      </c>
      <c r="D886" s="2" t="inlineStr">
        <is>
          <t>b3</t>
        </is>
      </c>
      <c r="E886" s="2" t="inlineStr">
        <is>
          <t>2.0mm</t>
        </is>
      </c>
      <c r="F886" s="2" t="n">
        <v>1</v>
      </c>
      <c r="G886" s="2" t="n">
        <v>30</v>
      </c>
      <c r="H886" s="2" t="inlineStr">
        <is>
          <t>LC/PC</t>
        </is>
      </c>
      <c r="I886" s="2" t="inlineStr">
        <is>
          <t>SC/APC</t>
        </is>
      </c>
      <c r="J886" s="2" t="n"/>
      <c r="K886" s="2" t="n"/>
      <c r="L886" s="2" t="n">
        <v>57</v>
      </c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>
        <f>SUM(J886:U886)</f>
        <v/>
      </c>
      <c r="W886" s="2" t="n">
        <v>57</v>
      </c>
      <c r="X886" s="2" t="n"/>
      <c r="Y886" s="2" t="n"/>
      <c r="Z886" s="2" t="n"/>
      <c r="AA886" s="2" t="n"/>
      <c r="AB886" s="2" t="n"/>
      <c r="AC886" s="2" t="n">
        <v>57</v>
      </c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>
        <f>IF(F886=1,V886*2,IF(F886=2,V886*F886*2,IF(F886&gt;2,F886*2*V886)))</f>
        <v/>
      </c>
      <c r="AW886" s="2">
        <f>SUM(W886:AU886)</f>
        <v/>
      </c>
    </row>
    <row r="887">
      <c r="A887" s="2" t="inlineStr">
        <is>
          <t>A14-SB-N130</t>
        </is>
      </c>
      <c r="B887" s="3" t="inlineStr">
        <is>
          <t>SOJC-SM-LC/PC-SC/PC</t>
        </is>
      </c>
      <c r="C887" s="2" t="inlineStr">
        <is>
          <t>908040170, 10M, B3, 2.0mm</t>
        </is>
      </c>
      <c r="D887" s="2" t="inlineStr">
        <is>
          <t>b3</t>
        </is>
      </c>
      <c r="E887" s="2" t="inlineStr">
        <is>
          <t>2.0mm</t>
        </is>
      </c>
      <c r="F887" s="2" t="n">
        <v>1</v>
      </c>
      <c r="G887" s="2" t="n">
        <v>10</v>
      </c>
      <c r="H887" s="2" t="inlineStr">
        <is>
          <t>LC/PC</t>
        </is>
      </c>
      <c r="I887" s="2" t="inlineStr">
        <is>
          <t>SC/PC</t>
        </is>
      </c>
      <c r="J887" s="2" t="n">
        <v>500</v>
      </c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>
        <v>28</v>
      </c>
      <c r="V887" s="2">
        <f>SUM(J887:U887)</f>
        <v/>
      </c>
      <c r="W887" s="2" t="n">
        <v>528</v>
      </c>
      <c r="X887" s="2" t="n"/>
      <c r="Y887" s="2" t="n"/>
      <c r="Z887" s="2" t="n"/>
      <c r="AA887" s="2" t="n">
        <v>528</v>
      </c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>
        <f>IF(F887=1,V887*2,IF(F887=2,V887*F887*2,IF(F887&gt;2,F887*2*V887)))</f>
        <v/>
      </c>
      <c r="AW887" s="2">
        <f>SUM(W887:AU887)</f>
        <v/>
      </c>
    </row>
    <row r="888">
      <c r="A888" s="2" t="inlineStr">
        <is>
          <t>A14-SB-N132</t>
        </is>
      </c>
      <c r="B888" s="3" t="inlineStr">
        <is>
          <t>SOJC-SM-LC/PC-SC/PC</t>
        </is>
      </c>
      <c r="C888" s="2" t="inlineStr">
        <is>
          <t>12M, B3, 2.0mm</t>
        </is>
      </c>
      <c r="D888" s="2" t="inlineStr">
        <is>
          <t>b3</t>
        </is>
      </c>
      <c r="E888" s="2" t="inlineStr">
        <is>
          <t>2.0mm</t>
        </is>
      </c>
      <c r="F888" s="2" t="n">
        <v>1</v>
      </c>
      <c r="G888" s="2" t="n">
        <v>12</v>
      </c>
      <c r="H888" s="2" t="inlineStr">
        <is>
          <t>LC/PC</t>
        </is>
      </c>
      <c r="I888" s="2" t="inlineStr">
        <is>
          <t>SC/PC</t>
        </is>
      </c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>
        <v>10</v>
      </c>
      <c r="S888" s="2" t="n"/>
      <c r="T888" s="2" t="n"/>
      <c r="U888" s="2" t="n"/>
      <c r="V888" s="2">
        <f>SUM(J888:U888)</f>
        <v/>
      </c>
      <c r="W888" s="2" t="n">
        <v>10</v>
      </c>
      <c r="X888" s="2" t="n"/>
      <c r="Y888" s="2" t="n"/>
      <c r="Z888" s="2" t="n"/>
      <c r="AA888" s="2" t="n">
        <v>10</v>
      </c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>
        <f>IF(F888=1,V888*2,IF(F888=2,V888*F888*2,IF(F888&gt;2,F888*2*V888)))</f>
        <v/>
      </c>
      <c r="AW888" s="2">
        <f>SUM(W888:AU888)</f>
        <v/>
      </c>
    </row>
    <row r="889">
      <c r="A889" s="2" t="inlineStr">
        <is>
          <t>A14-SB-N134</t>
        </is>
      </c>
      <c r="B889" s="3" t="inlineStr">
        <is>
          <t>SOJC-SM-LC/PC-SC/PC</t>
        </is>
      </c>
      <c r="C889" s="2" t="inlineStr">
        <is>
          <t>15M, B3, 2.0mm</t>
        </is>
      </c>
      <c r="D889" s="2" t="inlineStr">
        <is>
          <t>b3</t>
        </is>
      </c>
      <c r="E889" s="2" t="inlineStr">
        <is>
          <t>2.0mm</t>
        </is>
      </c>
      <c r="F889" s="2" t="n">
        <v>1</v>
      </c>
      <c r="G889" s="2" t="n">
        <v>15</v>
      </c>
      <c r="H889" s="2" t="inlineStr">
        <is>
          <t>LC/PC</t>
        </is>
      </c>
      <c r="I889" s="2" t="inlineStr">
        <is>
          <t>SC/PC</t>
        </is>
      </c>
      <c r="J889" s="2" t="n">
        <v>500</v>
      </c>
      <c r="K889" s="2" t="n"/>
      <c r="L889" s="2" t="n"/>
      <c r="M889" s="2" t="n"/>
      <c r="N889" s="2" t="n"/>
      <c r="O889" s="2" t="n"/>
      <c r="P889" s="2" t="n">
        <v>150</v>
      </c>
      <c r="Q889" s="2" t="n"/>
      <c r="R889" s="2" t="n"/>
      <c r="S889" s="2" t="n"/>
      <c r="T889" s="2" t="n"/>
      <c r="U889" s="2" t="n"/>
      <c r="V889" s="2">
        <f>SUM(J889:U889)</f>
        <v/>
      </c>
      <c r="W889" s="2" t="n">
        <v>650</v>
      </c>
      <c r="X889" s="2" t="n"/>
      <c r="Y889" s="2" t="n"/>
      <c r="Z889" s="2" t="n"/>
      <c r="AA889" s="2" t="n">
        <v>650</v>
      </c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>
        <f>IF(F889=1,V889*2,IF(F889=2,V889*F889*2,IF(F889&gt;2,F889*2*V889)))</f>
        <v/>
      </c>
      <c r="AW889" s="2">
        <f>SUM(W889:AU889)</f>
        <v/>
      </c>
    </row>
    <row r="890">
      <c r="A890" s="2" t="inlineStr">
        <is>
          <t>A14-SB-N138</t>
        </is>
      </c>
      <c r="B890" s="3" t="inlineStr">
        <is>
          <t>SOJC-SM-LC/PC-SC/PC</t>
        </is>
      </c>
      <c r="C890" s="2" t="inlineStr">
        <is>
          <t>908040162, 1M, B3, 3.0mm</t>
        </is>
      </c>
      <c r="D890" s="2" t="inlineStr">
        <is>
          <t>b3</t>
        </is>
      </c>
      <c r="E890" s="2" t="inlineStr">
        <is>
          <t>3.0mm</t>
        </is>
      </c>
      <c r="F890" s="2" t="n">
        <v>1</v>
      </c>
      <c r="G890" s="2" t="n">
        <v>1</v>
      </c>
      <c r="H890" s="2" t="inlineStr">
        <is>
          <t>LC/PC</t>
        </is>
      </c>
      <c r="I890" s="2" t="inlineStr">
        <is>
          <t>SC/PC</t>
        </is>
      </c>
      <c r="J890" s="2" t="n">
        <v>70</v>
      </c>
      <c r="K890" s="2" t="n">
        <v>115</v>
      </c>
      <c r="L890" s="2" t="n">
        <v>111</v>
      </c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>
        <f>SUM(J890:U890)</f>
        <v/>
      </c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>
        <v>296</v>
      </c>
      <c r="AK890" s="2" t="n"/>
      <c r="AL890" s="2" t="n"/>
      <c r="AM890" s="2" t="n"/>
      <c r="AN890" s="2" t="n">
        <v>296</v>
      </c>
      <c r="AO890" s="2" t="n"/>
      <c r="AP890" s="2" t="n"/>
      <c r="AQ890" s="2" t="n"/>
      <c r="AR890" s="2" t="n"/>
      <c r="AS890" s="2" t="n"/>
      <c r="AT890" s="2" t="n"/>
      <c r="AU890" s="2" t="n"/>
      <c r="AV890" s="2">
        <f>IF(F890=1,V890*2,IF(F890=2,V890*F890*2,IF(F890&gt;2,F890*2*V890)))</f>
        <v/>
      </c>
      <c r="AW890" s="2">
        <f>SUM(W890:AU890)</f>
        <v/>
      </c>
    </row>
    <row r="891">
      <c r="A891" s="2" t="inlineStr">
        <is>
          <t>A14-SB-N139</t>
        </is>
      </c>
      <c r="B891" s="3" t="inlineStr">
        <is>
          <t>SOJC-SM-LC/PC-SC/PC</t>
        </is>
      </c>
      <c r="C891" s="2" t="inlineStr">
        <is>
          <t>908040180, 20M, B3, 2.0mm</t>
        </is>
      </c>
      <c r="D891" s="2" t="inlineStr">
        <is>
          <t>b3</t>
        </is>
      </c>
      <c r="E891" s="2" t="inlineStr">
        <is>
          <t>2.0mm</t>
        </is>
      </c>
      <c r="F891" s="2" t="n">
        <v>1</v>
      </c>
      <c r="G891" s="2" t="n">
        <v>20</v>
      </c>
      <c r="H891" s="2" t="inlineStr">
        <is>
          <t>LC/PC</t>
        </is>
      </c>
      <c r="I891" s="2" t="inlineStr">
        <is>
          <t>SC/PC</t>
        </is>
      </c>
      <c r="J891" s="2" t="n"/>
      <c r="K891" s="2" t="n"/>
      <c r="L891" s="2" t="n"/>
      <c r="M891" s="2" t="n"/>
      <c r="N891" s="2" t="n"/>
      <c r="O891" s="2" t="n">
        <v>30</v>
      </c>
      <c r="P891" s="2" t="n">
        <v>10</v>
      </c>
      <c r="Q891" s="2" t="n"/>
      <c r="R891" s="2" t="n"/>
      <c r="S891" s="2" t="n">
        <v>29</v>
      </c>
      <c r="T891" s="2" t="n"/>
      <c r="U891" s="2" t="n"/>
      <c r="V891" s="2">
        <f>SUM(J891:U891)</f>
        <v/>
      </c>
      <c r="W891" s="2" t="n">
        <v>69</v>
      </c>
      <c r="X891" s="2" t="n"/>
      <c r="Y891" s="2" t="n"/>
      <c r="Z891" s="2" t="n"/>
      <c r="AA891" s="2" t="n">
        <v>69</v>
      </c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>
        <f>IF(F891=1,V891*2,IF(F891=2,V891*F891*2,IF(F891&gt;2,F891*2*V891)))</f>
        <v/>
      </c>
      <c r="AW891" s="2">
        <f>SUM(W891:AU891)</f>
        <v/>
      </c>
    </row>
    <row r="892">
      <c r="A892" s="2" t="inlineStr">
        <is>
          <t>A14-SB-N141</t>
        </is>
      </c>
      <c r="B892" s="3" t="inlineStr">
        <is>
          <t>SOJC-SM-LC/PC-SC/PC</t>
        </is>
      </c>
      <c r="C892" s="2" t="inlineStr">
        <is>
          <t>908040185, 25M, B3, 2.0mm</t>
        </is>
      </c>
      <c r="D892" s="2" t="inlineStr">
        <is>
          <t>b3</t>
        </is>
      </c>
      <c r="E892" s="2" t="inlineStr">
        <is>
          <t>2.0mm</t>
        </is>
      </c>
      <c r="F892" s="2" t="n">
        <v>1</v>
      </c>
      <c r="G892" s="2" t="n">
        <v>25</v>
      </c>
      <c r="H892" s="2" t="inlineStr">
        <is>
          <t>LC/PC</t>
        </is>
      </c>
      <c r="I892" s="2" t="inlineStr">
        <is>
          <t>SC/PC</t>
        </is>
      </c>
      <c r="J892" s="2" t="n">
        <v>1</v>
      </c>
      <c r="K892" s="2" t="n">
        <v>5</v>
      </c>
      <c r="L892" s="2" t="n">
        <v>12</v>
      </c>
      <c r="M892" s="2" t="n"/>
      <c r="N892" s="2" t="n">
        <v>50</v>
      </c>
      <c r="O892" s="2" t="n">
        <v>40</v>
      </c>
      <c r="P892" s="2" t="n">
        <v>55</v>
      </c>
      <c r="Q892" s="2" t="n"/>
      <c r="R892" s="2" t="n">
        <v>12</v>
      </c>
      <c r="S892" s="2" t="n">
        <v>18</v>
      </c>
      <c r="T892" s="2" t="n">
        <v>40</v>
      </c>
      <c r="U892" s="2" t="n">
        <v>10</v>
      </c>
      <c r="V892" s="2">
        <f>SUM(J892:U892)</f>
        <v/>
      </c>
      <c r="W892" s="2" t="n">
        <v>243</v>
      </c>
      <c r="X892" s="2" t="n"/>
      <c r="Y892" s="2" t="n"/>
      <c r="Z892" s="2" t="n"/>
      <c r="AA892" s="2" t="n">
        <v>243</v>
      </c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>
        <f>IF(F892=1,V892*2,IF(F892=2,V892*F892*2,IF(F892&gt;2,F892*2*V892)))</f>
        <v/>
      </c>
      <c r="AW892" s="2">
        <f>SUM(W892:AU892)</f>
        <v/>
      </c>
    </row>
    <row r="893">
      <c r="A893" s="2" t="inlineStr">
        <is>
          <t>A14-SB-N143</t>
        </is>
      </c>
      <c r="B893" s="3" t="inlineStr">
        <is>
          <t>SOJC-SM-LC/PC-SC/PC</t>
        </is>
      </c>
      <c r="C893" s="2" t="inlineStr">
        <is>
          <t>908040163, 2M, B3, 3.0mm</t>
        </is>
      </c>
      <c r="D893" s="2" t="inlineStr">
        <is>
          <t>b3</t>
        </is>
      </c>
      <c r="E893" s="2" t="inlineStr">
        <is>
          <t>3.0mm</t>
        </is>
      </c>
      <c r="F893" s="2" t="n">
        <v>1</v>
      </c>
      <c r="G893" s="2" t="n">
        <v>2</v>
      </c>
      <c r="H893" s="2" t="inlineStr">
        <is>
          <t>LC/PC</t>
        </is>
      </c>
      <c r="I893" s="2" t="inlineStr">
        <is>
          <t>SC/PC</t>
        </is>
      </c>
      <c r="J893" s="2" t="n"/>
      <c r="K893" s="2" t="n">
        <v>113</v>
      </c>
      <c r="L893" s="2" t="n">
        <v>10</v>
      </c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>
        <f>SUM(J893:U893)</f>
        <v/>
      </c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>
        <v>123</v>
      </c>
      <c r="AK893" s="2" t="n"/>
      <c r="AL893" s="2" t="n"/>
      <c r="AM893" s="2" t="n"/>
      <c r="AN893" s="2" t="n">
        <v>123</v>
      </c>
      <c r="AO893" s="2" t="n"/>
      <c r="AP893" s="2" t="n"/>
      <c r="AQ893" s="2" t="n"/>
      <c r="AR893" s="2" t="n"/>
      <c r="AS893" s="2" t="n"/>
      <c r="AT893" s="2" t="n"/>
      <c r="AU893" s="2" t="n"/>
      <c r="AV893" s="2">
        <f>IF(F893=1,V893*2,IF(F893=2,V893*F893*2,IF(F893&gt;2,F893*2*V893)))</f>
        <v/>
      </c>
      <c r="AW893" s="2">
        <f>SUM(W893:AU893)</f>
        <v/>
      </c>
    </row>
    <row r="894">
      <c r="A894" s="2" t="inlineStr">
        <is>
          <t>A14-SB-N144</t>
        </is>
      </c>
      <c r="B894" s="3" t="inlineStr">
        <is>
          <t>SOJC-SM-LC/PC-SC/PC</t>
        </is>
      </c>
      <c r="C894" s="2" t="inlineStr">
        <is>
          <t>908040190, 30M, B3, 2.0mm</t>
        </is>
      </c>
      <c r="D894" s="2" t="inlineStr">
        <is>
          <t>b3</t>
        </is>
      </c>
      <c r="E894" s="2" t="inlineStr">
        <is>
          <t>2.0mm</t>
        </is>
      </c>
      <c r="F894" s="2" t="n">
        <v>1</v>
      </c>
      <c r="G894" s="2" t="n">
        <v>30</v>
      </c>
      <c r="H894" s="2" t="inlineStr">
        <is>
          <t>LC/PC</t>
        </is>
      </c>
      <c r="I894" s="2" t="inlineStr">
        <is>
          <t>SC/PC</t>
        </is>
      </c>
      <c r="J894" s="2" t="n"/>
      <c r="K894" s="2" t="n"/>
      <c r="L894" s="2" t="n"/>
      <c r="M894" s="2" t="n"/>
      <c r="N894" s="2" t="n">
        <v>20</v>
      </c>
      <c r="O894" s="2" t="n">
        <v>1</v>
      </c>
      <c r="P894" s="2" t="n">
        <v>10</v>
      </c>
      <c r="Q894" s="2" t="n">
        <v>10</v>
      </c>
      <c r="R894" s="2" t="n">
        <v>10</v>
      </c>
      <c r="S894" s="2" t="n">
        <v>1</v>
      </c>
      <c r="T894" s="2" t="n"/>
      <c r="U894" s="2" t="n"/>
      <c r="V894" s="2">
        <f>SUM(J894:U894)</f>
        <v/>
      </c>
      <c r="W894" s="2" t="n">
        <v>52</v>
      </c>
      <c r="X894" s="2" t="n"/>
      <c r="Y894" s="2" t="n"/>
      <c r="Z894" s="2" t="n"/>
      <c r="AA894" s="2" t="n">
        <v>52</v>
      </c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>
        <f>IF(F894=1,V894*2,IF(F894=2,V894*F894*2,IF(F894&gt;2,F894*2*V894)))</f>
        <v/>
      </c>
      <c r="AW894" s="2">
        <f>SUM(W894:AU894)</f>
        <v/>
      </c>
    </row>
    <row r="895">
      <c r="A895" s="2" t="inlineStr">
        <is>
          <t>A14-SB-N146</t>
        </is>
      </c>
      <c r="B895" s="3" t="inlineStr">
        <is>
          <t>SOJC-SM-LC/PC-SC/PC</t>
        </is>
      </c>
      <c r="C895" s="2" t="inlineStr">
        <is>
          <t>908040161, 3M, B3, 3.0mm</t>
        </is>
      </c>
      <c r="D895" s="2" t="inlineStr">
        <is>
          <t>b3</t>
        </is>
      </c>
      <c r="E895" s="2" t="inlineStr">
        <is>
          <t>3.0mm</t>
        </is>
      </c>
      <c r="F895" s="2" t="n">
        <v>1</v>
      </c>
      <c r="G895" s="2" t="n">
        <v>3</v>
      </c>
      <c r="H895" s="2" t="inlineStr">
        <is>
          <t>LC/PC</t>
        </is>
      </c>
      <c r="I895" s="2" t="inlineStr">
        <is>
          <t>SC/PC</t>
        </is>
      </c>
      <c r="J895" s="2" t="n"/>
      <c r="K895" s="2" t="n">
        <v>16</v>
      </c>
      <c r="L895" s="2" t="n">
        <v>50</v>
      </c>
      <c r="M895" s="2" t="n"/>
      <c r="N895" s="2" t="n"/>
      <c r="O895" s="2" t="n"/>
      <c r="P895" s="2" t="n"/>
      <c r="Q895" s="2" t="n"/>
      <c r="R895" s="2" t="n"/>
      <c r="S895" s="2" t="n"/>
      <c r="T895" s="2" t="n">
        <v>30</v>
      </c>
      <c r="U895" s="2" t="n"/>
      <c r="V895" s="2">
        <f>SUM(J895:U895)</f>
        <v/>
      </c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>
        <v>96</v>
      </c>
      <c r="AK895" s="2" t="n"/>
      <c r="AL895" s="2" t="n"/>
      <c r="AM895" s="2" t="n"/>
      <c r="AN895" s="2" t="n">
        <v>96</v>
      </c>
      <c r="AO895" s="2" t="n"/>
      <c r="AP895" s="2" t="n"/>
      <c r="AQ895" s="2" t="n"/>
      <c r="AR895" s="2" t="n"/>
      <c r="AS895" s="2" t="n"/>
      <c r="AT895" s="2" t="n"/>
      <c r="AU895" s="2" t="n"/>
      <c r="AV895" s="2">
        <f>IF(F895=1,V895*2,IF(F895=2,V895*F895*2,IF(F895&gt;2,F895*2*V895)))</f>
        <v/>
      </c>
      <c r="AW895" s="2">
        <f>SUM(W895:AU895)</f>
        <v/>
      </c>
    </row>
    <row r="896">
      <c r="A896" s="2" t="inlineStr">
        <is>
          <t>A14-SB-N148</t>
        </is>
      </c>
      <c r="B896" s="3" t="inlineStr">
        <is>
          <t>SOJC-SM-LC/PC-SC/PC</t>
        </is>
      </c>
      <c r="C896" s="2" t="inlineStr">
        <is>
          <t>908040165, 5M, B3, 3.0mm</t>
        </is>
      </c>
      <c r="D896" s="2" t="inlineStr">
        <is>
          <t>b3</t>
        </is>
      </c>
      <c r="E896" s="2" t="inlineStr">
        <is>
          <t>3.0mm</t>
        </is>
      </c>
      <c r="F896" s="2" t="n">
        <v>1</v>
      </c>
      <c r="G896" s="2" t="n">
        <v>5</v>
      </c>
      <c r="H896" s="2" t="inlineStr">
        <is>
          <t>LC/PC</t>
        </is>
      </c>
      <c r="I896" s="2" t="inlineStr">
        <is>
          <t>SC/PC</t>
        </is>
      </c>
      <c r="J896" s="2" t="n"/>
      <c r="K896" s="2" t="n">
        <v>152</v>
      </c>
      <c r="L896" s="2" t="n"/>
      <c r="M896" s="2" t="n">
        <v>20</v>
      </c>
      <c r="N896" s="2" t="n">
        <v>10</v>
      </c>
      <c r="O896" s="2" t="n"/>
      <c r="P896" s="2" t="n"/>
      <c r="Q896" s="2" t="n"/>
      <c r="R896" s="2" t="n"/>
      <c r="S896" s="2" t="n">
        <v>60</v>
      </c>
      <c r="T896" s="2" t="n"/>
      <c r="U896" s="2" t="n"/>
      <c r="V896" s="2">
        <f>SUM(J896:U896)</f>
        <v/>
      </c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>
        <v>242</v>
      </c>
      <c r="AK896" s="2" t="n"/>
      <c r="AL896" s="2" t="n"/>
      <c r="AM896" s="2" t="n"/>
      <c r="AN896" s="2" t="n">
        <v>242</v>
      </c>
      <c r="AO896" s="2" t="n"/>
      <c r="AP896" s="2" t="n"/>
      <c r="AQ896" s="2" t="n"/>
      <c r="AR896" s="2" t="n"/>
      <c r="AS896" s="2" t="n"/>
      <c r="AT896" s="2" t="n"/>
      <c r="AU896" s="2" t="n"/>
      <c r="AV896" s="2">
        <f>IF(F896=1,V896*2,IF(F896=2,V896*F896*2,IF(F896&gt;2,F896*2*V896)))</f>
        <v/>
      </c>
      <c r="AW896" s="2">
        <f>SUM(W896:AU896)</f>
        <v/>
      </c>
    </row>
    <row r="897">
      <c r="A897" s="2" t="inlineStr">
        <is>
          <t>A14-SB-N149</t>
        </is>
      </c>
      <c r="B897" s="3" t="inlineStr">
        <is>
          <t>SOJC-SM-LC/PC-SC/PC</t>
        </is>
      </c>
      <c r="C897" s="2" t="inlineStr">
        <is>
          <t>908040166, 6M, B3, 2.0mm</t>
        </is>
      </c>
      <c r="D897" s="2" t="inlineStr">
        <is>
          <t>b3</t>
        </is>
      </c>
      <c r="E897" s="2" t="inlineStr">
        <is>
          <t>2.0mm</t>
        </is>
      </c>
      <c r="F897" s="2" t="n">
        <v>1</v>
      </c>
      <c r="G897" s="2" t="n">
        <v>6</v>
      </c>
      <c r="H897" s="2" t="inlineStr">
        <is>
          <t>LC/PC</t>
        </is>
      </c>
      <c r="I897" s="2" t="inlineStr">
        <is>
          <t>SC/PC</t>
        </is>
      </c>
      <c r="J897" s="2" t="n"/>
      <c r="K897" s="2" t="n"/>
      <c r="L897" s="2" t="n"/>
      <c r="M897" s="2" t="n"/>
      <c r="N897" s="2" t="n"/>
      <c r="O897" s="2" t="n"/>
      <c r="P897" s="2" t="n">
        <v>20</v>
      </c>
      <c r="Q897" s="2" t="n"/>
      <c r="R897" s="2" t="n">
        <v>3</v>
      </c>
      <c r="S897" s="2" t="n"/>
      <c r="T897" s="2" t="n">
        <v>5</v>
      </c>
      <c r="U897" s="2" t="n"/>
      <c r="V897" s="2">
        <f>SUM(J897:U897)</f>
        <v/>
      </c>
      <c r="W897" s="2" t="n">
        <v>28</v>
      </c>
      <c r="X897" s="2" t="n"/>
      <c r="Y897" s="2" t="n"/>
      <c r="Z897" s="2" t="n"/>
      <c r="AA897" s="2" t="n">
        <v>28</v>
      </c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>
        <f>IF(F897=1,V897*2,IF(F897=2,V897*F897*2,IF(F897&gt;2,F897*2*V897)))</f>
        <v/>
      </c>
      <c r="AW897" s="2">
        <f>SUM(W897:AU897)</f>
        <v/>
      </c>
    </row>
    <row r="898">
      <c r="A898" s="2" t="inlineStr">
        <is>
          <t>A14-SB-N151</t>
        </is>
      </c>
      <c r="B898" s="3" t="inlineStr">
        <is>
          <t>SOJC-SM-LC/PC-SC/PC</t>
        </is>
      </c>
      <c r="C898" s="2" t="inlineStr">
        <is>
          <t>908040167, 7M, B3, 2.0mm</t>
        </is>
      </c>
      <c r="D898" s="2" t="inlineStr">
        <is>
          <t>b3</t>
        </is>
      </c>
      <c r="E898" s="2" t="inlineStr">
        <is>
          <t>2.0mm</t>
        </is>
      </c>
      <c r="F898" s="2" t="n">
        <v>1</v>
      </c>
      <c r="G898" s="2" t="n">
        <v>7</v>
      </c>
      <c r="H898" s="2" t="inlineStr">
        <is>
          <t>LC/PC</t>
        </is>
      </c>
      <c r="I898" s="2" t="inlineStr">
        <is>
          <t>SC/PC</t>
        </is>
      </c>
      <c r="J898" s="2" t="n"/>
      <c r="K898" s="2" t="n"/>
      <c r="L898" s="2" t="n"/>
      <c r="M898" s="2" t="n">
        <v>50</v>
      </c>
      <c r="N898" s="2" t="n">
        <v>20</v>
      </c>
      <c r="O898" s="2" t="n"/>
      <c r="P898" s="2" t="n">
        <v>20</v>
      </c>
      <c r="Q898" s="2" t="n"/>
      <c r="R898" s="2" t="n">
        <v>10</v>
      </c>
      <c r="S898" s="2" t="n">
        <v>20</v>
      </c>
      <c r="T898" s="2" t="n"/>
      <c r="U898" s="2" t="n"/>
      <c r="V898" s="2">
        <f>SUM(J898:U898)</f>
        <v/>
      </c>
      <c r="W898" s="2" t="n">
        <v>120</v>
      </c>
      <c r="X898" s="2" t="n"/>
      <c r="Y898" s="2" t="n"/>
      <c r="Z898" s="2" t="n"/>
      <c r="AA898" s="2" t="n">
        <v>120</v>
      </c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>
        <f>IF(F898=1,V898*2,IF(F898=2,V898*F898*2,IF(F898&gt;2,F898*2*V898)))</f>
        <v/>
      </c>
      <c r="AW898" s="2">
        <f>SUM(W898:AU898)</f>
        <v/>
      </c>
    </row>
    <row r="899">
      <c r="A899" s="2" t="inlineStr">
        <is>
          <t>A14-SB-N152</t>
        </is>
      </c>
      <c r="B899" s="3" t="inlineStr">
        <is>
          <t>SOJC-SM-LC/PC-SC/PC</t>
        </is>
      </c>
      <c r="C899" s="2" t="inlineStr">
        <is>
          <t>908040168, 8M, B3, 2.0mm</t>
        </is>
      </c>
      <c r="D899" s="2" t="inlineStr">
        <is>
          <t>b3</t>
        </is>
      </c>
      <c r="E899" s="2" t="inlineStr">
        <is>
          <t>2.0mm</t>
        </is>
      </c>
      <c r="F899" s="2" t="n">
        <v>1</v>
      </c>
      <c r="G899" s="2" t="n">
        <v>8</v>
      </c>
      <c r="H899" s="2" t="inlineStr">
        <is>
          <t>LC/PC</t>
        </is>
      </c>
      <c r="I899" s="2" t="inlineStr">
        <is>
          <t>SC/PC</t>
        </is>
      </c>
      <c r="J899" s="2" t="n">
        <v>20</v>
      </c>
      <c r="K899" s="2" t="n"/>
      <c r="L899" s="2" t="n"/>
      <c r="M899" s="2" t="n"/>
      <c r="N899" s="2" t="n"/>
      <c r="O899" s="2" t="n"/>
      <c r="P899" s="2" t="n"/>
      <c r="Q899" s="2" t="n">
        <v>50</v>
      </c>
      <c r="R899" s="2" t="n">
        <v>40</v>
      </c>
      <c r="S899" s="2" t="n"/>
      <c r="T899" s="2" t="n">
        <v>28</v>
      </c>
      <c r="U899" s="2" t="n"/>
      <c r="V899" s="2">
        <f>SUM(J899:U899)</f>
        <v/>
      </c>
      <c r="W899" s="2" t="n">
        <v>138</v>
      </c>
      <c r="X899" s="2" t="n"/>
      <c r="Y899" s="2" t="n"/>
      <c r="Z899" s="2" t="n"/>
      <c r="AA899" s="2" t="n">
        <v>138</v>
      </c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>
        <f>IF(F899=1,V899*2,IF(F899=2,V899*F899*2,IF(F899&gt;2,F899*2*V899)))</f>
        <v/>
      </c>
      <c r="AW899" s="2">
        <f>SUM(W899:AU899)</f>
        <v/>
      </c>
    </row>
    <row r="900">
      <c r="A900" s="2" t="inlineStr">
        <is>
          <t>A14-SB-N176</t>
        </is>
      </c>
      <c r="B900" s="3" t="inlineStr">
        <is>
          <t>SOJC-SM-SC/APC-SC/APC</t>
        </is>
      </c>
      <c r="C900" s="2" t="inlineStr">
        <is>
          <t>908041459, 10M, B3, 2.0mm</t>
        </is>
      </c>
      <c r="D900" s="2" t="inlineStr">
        <is>
          <t>b3</t>
        </is>
      </c>
      <c r="E900" s="2" t="inlineStr">
        <is>
          <t>2.0mm</t>
        </is>
      </c>
      <c r="F900" s="2" t="n">
        <v>1</v>
      </c>
      <c r="G900" s="2" t="n">
        <v>10</v>
      </c>
      <c r="H900" s="2" t="inlineStr">
        <is>
          <t>SC/APC</t>
        </is>
      </c>
      <c r="I900" s="2" t="inlineStr">
        <is>
          <t>SC/APC</t>
        </is>
      </c>
      <c r="J900" s="2" t="n"/>
      <c r="K900" s="2" t="n"/>
      <c r="L900" s="2" t="n"/>
      <c r="M900" s="2" t="n"/>
      <c r="N900" s="2" t="n">
        <v>50</v>
      </c>
      <c r="O900" s="2" t="n"/>
      <c r="P900" s="2" t="n">
        <v>50</v>
      </c>
      <c r="Q900" s="2" t="n"/>
      <c r="R900" s="2" t="n">
        <v>90</v>
      </c>
      <c r="S900" s="2" t="n"/>
      <c r="T900" s="2" t="n">
        <v>118</v>
      </c>
      <c r="U900" s="2" t="n">
        <v>45</v>
      </c>
      <c r="V900" s="2">
        <f>SUM(J900:U900)</f>
        <v/>
      </c>
      <c r="W900" s="2" t="n"/>
      <c r="X900" s="2" t="n"/>
      <c r="Y900" s="2" t="n"/>
      <c r="Z900" s="2" t="n"/>
      <c r="AA900" s="2" t="n"/>
      <c r="AB900" s="2" t="n"/>
      <c r="AC900" s="2" t="n">
        <v>706</v>
      </c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>
        <f>IF(F900=1,V900*2,IF(F900=2,V900*F900*2,IF(F900&gt;2,F900*2*V900)))</f>
        <v/>
      </c>
      <c r="AW900" s="2">
        <f>SUM(W900:AU900)</f>
        <v/>
      </c>
    </row>
    <row r="901">
      <c r="A901" s="2" t="inlineStr">
        <is>
          <t>A14-SB-N177</t>
        </is>
      </c>
      <c r="B901" s="3" t="inlineStr">
        <is>
          <t>SOJC-SM-SC/APC-SC/APC</t>
        </is>
      </c>
      <c r="C901" s="2" t="inlineStr">
        <is>
          <t>12M, B3, 2.0mm</t>
        </is>
      </c>
      <c r="D901" s="2" t="inlineStr">
        <is>
          <t>b3</t>
        </is>
      </c>
      <c r="E901" s="2" t="inlineStr">
        <is>
          <t>2.0mm</t>
        </is>
      </c>
      <c r="F901" s="2" t="n">
        <v>1</v>
      </c>
      <c r="G901" s="2" t="n">
        <v>12</v>
      </c>
      <c r="H901" s="2" t="inlineStr">
        <is>
          <t>SC/APC</t>
        </is>
      </c>
      <c r="I901" s="2" t="inlineStr">
        <is>
          <t>SC/APC</t>
        </is>
      </c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>
        <v>12</v>
      </c>
      <c r="S901" s="2" t="n"/>
      <c r="T901" s="2" t="n"/>
      <c r="U901" s="2" t="n"/>
      <c r="V901" s="2">
        <f>SUM(J901:U901)</f>
        <v/>
      </c>
      <c r="W901" s="2" t="n"/>
      <c r="X901" s="2" t="n"/>
      <c r="Y901" s="2" t="n"/>
      <c r="Z901" s="2" t="n"/>
      <c r="AA901" s="2" t="n"/>
      <c r="AB901" s="2" t="n"/>
      <c r="AC901" s="2" t="n">
        <v>24</v>
      </c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>
        <f>IF(F901=1,V901*2,IF(F901=2,V901*F901*2,IF(F901&gt;2,F901*2*V901)))</f>
        <v/>
      </c>
      <c r="AW901" s="2">
        <f>SUM(W901:AU901)</f>
        <v/>
      </c>
    </row>
    <row r="902">
      <c r="A902" s="2" t="inlineStr">
        <is>
          <t>A14-SB-N179</t>
        </is>
      </c>
      <c r="B902" s="3" t="inlineStr">
        <is>
          <t>SOJC-SM-SC/APC-SC/APC</t>
        </is>
      </c>
      <c r="C902" s="2" t="inlineStr">
        <is>
          <t>908041464, 15M, B3, 2.0mm</t>
        </is>
      </c>
      <c r="D902" s="2" t="inlineStr">
        <is>
          <t>b3</t>
        </is>
      </c>
      <c r="E902" s="2" t="inlineStr">
        <is>
          <t>2.0mm</t>
        </is>
      </c>
      <c r="F902" s="2" t="n">
        <v>1</v>
      </c>
      <c r="G902" s="2" t="n">
        <v>15</v>
      </c>
      <c r="H902" s="2" t="inlineStr">
        <is>
          <t>SC/APC</t>
        </is>
      </c>
      <c r="I902" s="2" t="inlineStr">
        <is>
          <t>SC/APC</t>
        </is>
      </c>
      <c r="J902" s="2" t="n"/>
      <c r="K902" s="2" t="n"/>
      <c r="L902" s="2" t="n"/>
      <c r="M902" s="2" t="n"/>
      <c r="N902" s="2" t="n">
        <v>65</v>
      </c>
      <c r="O902" s="2" t="n"/>
      <c r="P902" s="2" t="n"/>
      <c r="Q902" s="2" t="n"/>
      <c r="R902" s="2" t="n"/>
      <c r="S902" s="2" t="n"/>
      <c r="T902" s="2" t="n"/>
      <c r="U902" s="2" t="n"/>
      <c r="V902" s="2">
        <f>SUM(J902:U902)</f>
        <v/>
      </c>
      <c r="W902" s="2" t="n"/>
      <c r="X902" s="2" t="n"/>
      <c r="Y902" s="2" t="n"/>
      <c r="Z902" s="2" t="n"/>
      <c r="AA902" s="2" t="n"/>
      <c r="AB902" s="2" t="n"/>
      <c r="AC902" s="2" t="n">
        <v>130</v>
      </c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>
        <f>IF(F902=1,V902*2,IF(F902=2,V902*F902*2,IF(F902&gt;2,F902*2*V902)))</f>
        <v/>
      </c>
      <c r="AW902" s="2">
        <f>SUM(W902:AU902)</f>
        <v/>
      </c>
    </row>
    <row r="903">
      <c r="A903" s="2" t="inlineStr">
        <is>
          <t>A14-SB-N183</t>
        </is>
      </c>
      <c r="B903" s="3" t="inlineStr">
        <is>
          <t>SOJC-SM-SC/APC-SC/APC</t>
        </is>
      </c>
      <c r="C903" s="2" t="inlineStr">
        <is>
          <t>908041452, 2M, B3, 3.0mm</t>
        </is>
      </c>
      <c r="D903" s="2" t="inlineStr">
        <is>
          <t>b3</t>
        </is>
      </c>
      <c r="E903" s="2" t="inlineStr">
        <is>
          <t>3.0mm</t>
        </is>
      </c>
      <c r="F903" s="2" t="n">
        <v>1</v>
      </c>
      <c r="G903" s="2" t="n">
        <v>2</v>
      </c>
      <c r="H903" s="2" t="inlineStr">
        <is>
          <t>SC/APC</t>
        </is>
      </c>
      <c r="I903" s="2" t="inlineStr">
        <is>
          <t>SC/APC</t>
        </is>
      </c>
      <c r="J903" s="2" t="n">
        <v>20</v>
      </c>
      <c r="K903" s="2" t="n">
        <v>136</v>
      </c>
      <c r="L903" s="2" t="n">
        <v>10</v>
      </c>
      <c r="M903" s="2" t="n">
        <v>15</v>
      </c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>
        <f>SUM(J903:U903)</f>
        <v/>
      </c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>
        <v>362</v>
      </c>
      <c r="AQ903" s="2" t="n"/>
      <c r="AR903" s="2" t="n"/>
      <c r="AS903" s="2" t="n"/>
      <c r="AT903" s="2" t="n"/>
      <c r="AU903" s="2" t="n"/>
      <c r="AV903" s="2">
        <f>IF(F903=1,V903*2,IF(F903=2,V903*F903*2,IF(F903&gt;2,F903*2*V903)))</f>
        <v/>
      </c>
      <c r="AW903" s="2">
        <f>SUM(W903:AU903)</f>
        <v/>
      </c>
    </row>
    <row r="904">
      <c r="A904" s="2" t="inlineStr">
        <is>
          <t>A14-SB-N185</t>
        </is>
      </c>
      <c r="B904" s="3" t="inlineStr">
        <is>
          <t>SOJC-SM-SC/APC-SC/APC</t>
        </is>
      </c>
      <c r="C904" s="2" t="inlineStr">
        <is>
          <t>908041450, 3M, B3, 3.0mm</t>
        </is>
      </c>
      <c r="D904" s="2" t="inlineStr">
        <is>
          <t>b3</t>
        </is>
      </c>
      <c r="E904" s="2" t="inlineStr">
        <is>
          <t>3.0mm</t>
        </is>
      </c>
      <c r="F904" s="2" t="n">
        <v>1</v>
      </c>
      <c r="G904" s="2" t="n">
        <v>3</v>
      </c>
      <c r="H904" s="2" t="inlineStr">
        <is>
          <t>SC/APC</t>
        </is>
      </c>
      <c r="I904" s="2" t="inlineStr">
        <is>
          <t>SC/APC</t>
        </is>
      </c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>
        <v>100</v>
      </c>
      <c r="U904" s="2" t="n"/>
      <c r="V904" s="2">
        <f>SUM(J904:U904)</f>
        <v/>
      </c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>
        <v>200</v>
      </c>
      <c r="AQ904" s="2" t="n"/>
      <c r="AR904" s="2" t="n"/>
      <c r="AS904" s="2" t="n"/>
      <c r="AT904" s="2" t="n"/>
      <c r="AU904" s="2" t="n"/>
      <c r="AV904" s="2">
        <f>IF(F904=1,V904*2,IF(F904=2,V904*F904*2,IF(F904&gt;2,F904*2*V904)))</f>
        <v/>
      </c>
      <c r="AW904" s="2">
        <f>SUM(W904:AU904)</f>
        <v/>
      </c>
    </row>
    <row r="905">
      <c r="A905" s="2" t="inlineStr">
        <is>
          <t>A14-SB-N189</t>
        </is>
      </c>
      <c r="B905" s="3" t="inlineStr">
        <is>
          <t>SOJC-SM-SC/APC-SC/APC</t>
        </is>
      </c>
      <c r="C905" s="2" t="inlineStr">
        <is>
          <t>908041454, 5M, B3, 3.0mm</t>
        </is>
      </c>
      <c r="D905" s="2" t="inlineStr">
        <is>
          <t>b3</t>
        </is>
      </c>
      <c r="E905" s="2" t="inlineStr">
        <is>
          <t>3.0mm</t>
        </is>
      </c>
      <c r="F905" s="2" t="n">
        <v>1</v>
      </c>
      <c r="G905" s="2" t="n">
        <v>5</v>
      </c>
      <c r="H905" s="2" t="inlineStr">
        <is>
          <t>SC/APC</t>
        </is>
      </c>
      <c r="I905" s="2" t="inlineStr">
        <is>
          <t>SC/APC</t>
        </is>
      </c>
      <c r="J905" s="2" t="n"/>
      <c r="K905" s="2" t="n"/>
      <c r="L905" s="2" t="n"/>
      <c r="M905" s="2" t="n"/>
      <c r="N905" s="2" t="n">
        <v>5</v>
      </c>
      <c r="O905" s="2" t="n"/>
      <c r="P905" s="2" t="n"/>
      <c r="Q905" s="2" t="n"/>
      <c r="R905" s="2" t="n"/>
      <c r="S905" s="2" t="n"/>
      <c r="T905" s="2" t="n">
        <v>30</v>
      </c>
      <c r="U905" s="2" t="n"/>
      <c r="V905" s="2">
        <f>SUM(J905:U905)</f>
        <v/>
      </c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>
        <v>70</v>
      </c>
      <c r="AQ905" s="2" t="n"/>
      <c r="AR905" s="2" t="n"/>
      <c r="AS905" s="2" t="n"/>
      <c r="AT905" s="2" t="n"/>
      <c r="AU905" s="2" t="n"/>
      <c r="AV905" s="2">
        <f>IF(F905=1,V905*2,IF(F905=2,V905*F905*2,IF(F905&gt;2,F905*2*V905)))</f>
        <v/>
      </c>
      <c r="AW905" s="2">
        <f>SUM(W905:AU905)</f>
        <v/>
      </c>
    </row>
    <row r="906">
      <c r="A906" s="2" t="inlineStr">
        <is>
          <t>A14-SB-N193</t>
        </is>
      </c>
      <c r="B906" s="3" t="inlineStr">
        <is>
          <t>SOJC-SM-SC/PC-FC/APC</t>
        </is>
      </c>
      <c r="C906" s="2" t="inlineStr">
        <is>
          <t>908040319, 10M, B3, 2.0mm</t>
        </is>
      </c>
      <c r="D906" s="2" t="inlineStr">
        <is>
          <t>b3</t>
        </is>
      </c>
      <c r="E906" s="2" t="inlineStr">
        <is>
          <t>2.0mm</t>
        </is>
      </c>
      <c r="F906" s="2" t="n">
        <v>1</v>
      </c>
      <c r="G906" s="2" t="n">
        <v>10</v>
      </c>
      <c r="H906" s="2" t="inlineStr">
        <is>
          <t>SC/PC</t>
        </is>
      </c>
      <c r="I906" s="2" t="inlineStr">
        <is>
          <t>FC/APC</t>
        </is>
      </c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>
        <v>42</v>
      </c>
      <c r="T906" s="2" t="n">
        <v>10</v>
      </c>
      <c r="U906" s="2" t="n"/>
      <c r="V906" s="2">
        <f>SUM(J906:U906)</f>
        <v/>
      </c>
      <c r="W906" s="2" t="n"/>
      <c r="X906" s="2" t="n"/>
      <c r="Y906" s="2" t="n"/>
      <c r="Z906" s="2" t="n"/>
      <c r="AA906" s="2" t="n">
        <v>52</v>
      </c>
      <c r="AB906" s="2" t="n"/>
      <c r="AC906" s="2" t="n"/>
      <c r="AD906" s="2" t="n"/>
      <c r="AE906" s="2" t="n"/>
      <c r="AF906" s="2" t="n"/>
      <c r="AG906" s="2" t="n">
        <v>52</v>
      </c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>
        <f>IF(F906=1,V906*2,IF(F906=2,V906*F906*2,IF(F906&gt;2,F906*2*V906)))</f>
        <v/>
      </c>
      <c r="AW906" s="2">
        <f>SUM(W906:AU906)</f>
        <v/>
      </c>
    </row>
    <row r="907">
      <c r="A907" s="2" t="inlineStr">
        <is>
          <t>A14-SB-N198</t>
        </is>
      </c>
      <c r="B907" s="3" t="inlineStr">
        <is>
          <t>SOJC-SM-SC/PC-FC/APC</t>
        </is>
      </c>
      <c r="C907" s="2" t="inlineStr">
        <is>
          <t>908040324, 15M, B3, 2.0mm</t>
        </is>
      </c>
      <c r="D907" s="2" t="inlineStr">
        <is>
          <t>b3</t>
        </is>
      </c>
      <c r="E907" s="2" t="inlineStr">
        <is>
          <t>2.0mm</t>
        </is>
      </c>
      <c r="F907" s="2" t="n">
        <v>1</v>
      </c>
      <c r="G907" s="2" t="n">
        <v>15</v>
      </c>
      <c r="H907" s="2" t="inlineStr">
        <is>
          <t>SC/PC</t>
        </is>
      </c>
      <c r="I907" s="2" t="inlineStr">
        <is>
          <t>FC/APC</t>
        </is>
      </c>
      <c r="J907" s="2" t="n"/>
      <c r="K907" s="2" t="n"/>
      <c r="L907" s="2" t="n"/>
      <c r="M907" s="2" t="n"/>
      <c r="N907" s="2" t="n"/>
      <c r="O907" s="2" t="n"/>
      <c r="P907" s="2" t="n">
        <v>13</v>
      </c>
      <c r="Q907" s="2" t="n"/>
      <c r="R907" s="2" t="n"/>
      <c r="S907" s="2" t="n"/>
      <c r="T907" s="2" t="n"/>
      <c r="U907" s="2" t="n"/>
      <c r="V907" s="2">
        <f>SUM(J907:U907)</f>
        <v/>
      </c>
      <c r="W907" s="2" t="n"/>
      <c r="X907" s="2" t="n"/>
      <c r="Y907" s="2" t="n"/>
      <c r="Z907" s="2" t="n"/>
      <c r="AA907" s="2" t="n">
        <v>13</v>
      </c>
      <c r="AB907" s="2" t="n"/>
      <c r="AC907" s="2" t="n"/>
      <c r="AD907" s="2" t="n"/>
      <c r="AE907" s="2" t="n"/>
      <c r="AF907" s="2" t="n"/>
      <c r="AG907" s="2" t="n">
        <v>13</v>
      </c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>
        <f>IF(F907=1,V907*2,IF(F907=2,V907*F907*2,IF(F907&gt;2,F907*2*V907)))</f>
        <v/>
      </c>
      <c r="AW907" s="2">
        <f>SUM(W907:AU907)</f>
        <v/>
      </c>
    </row>
    <row r="908">
      <c r="A908" s="2" t="inlineStr">
        <is>
          <t>A14-SB-N200</t>
        </is>
      </c>
      <c r="B908" s="3" t="inlineStr">
        <is>
          <t>SOJC-SM-SC/PC-FC/APC</t>
        </is>
      </c>
      <c r="C908" s="2" t="inlineStr">
        <is>
          <t>908040329, 20M, B3, 2.0mm</t>
        </is>
      </c>
      <c r="D908" s="2" t="inlineStr">
        <is>
          <t>b3</t>
        </is>
      </c>
      <c r="E908" s="2" t="inlineStr">
        <is>
          <t>2.0mm</t>
        </is>
      </c>
      <c r="F908" s="2" t="n">
        <v>1</v>
      </c>
      <c r="G908" s="2" t="n">
        <v>20</v>
      </c>
      <c r="H908" s="2" t="inlineStr">
        <is>
          <t>SC/PC</t>
        </is>
      </c>
      <c r="I908" s="2" t="inlineStr">
        <is>
          <t>FC/APC</t>
        </is>
      </c>
      <c r="J908" s="2" t="n"/>
      <c r="K908" s="2" t="n">
        <v>8</v>
      </c>
      <c r="L908" s="2" t="n">
        <v>30</v>
      </c>
      <c r="M908" s="2" t="n"/>
      <c r="N908" s="2" t="n">
        <v>20</v>
      </c>
      <c r="O908" s="2" t="n">
        <v>32</v>
      </c>
      <c r="P908" s="2" t="n">
        <v>1</v>
      </c>
      <c r="Q908" s="2" t="n">
        <v>20</v>
      </c>
      <c r="R908" s="2" t="n"/>
      <c r="S908" s="2" t="n"/>
      <c r="T908" s="2" t="n"/>
      <c r="U908" s="2" t="n">
        <v>19</v>
      </c>
      <c r="V908" s="2">
        <f>SUM(J908:U908)</f>
        <v/>
      </c>
      <c r="W908" s="2" t="n"/>
      <c r="X908" s="2" t="n"/>
      <c r="Y908" s="2" t="n"/>
      <c r="Z908" s="2" t="n"/>
      <c r="AA908" s="2" t="n">
        <v>130</v>
      </c>
      <c r="AB908" s="2" t="n"/>
      <c r="AC908" s="2" t="n"/>
      <c r="AD908" s="2" t="n"/>
      <c r="AE908" s="2" t="n"/>
      <c r="AF908" s="2" t="n"/>
      <c r="AG908" s="2" t="n">
        <v>130</v>
      </c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>
        <f>IF(F908=1,V908*2,IF(F908=2,V908*F908*2,IF(F908&gt;2,F908*2*V908)))</f>
        <v/>
      </c>
      <c r="AW908" s="2">
        <f>SUM(W908:AU908)</f>
        <v/>
      </c>
    </row>
    <row r="909">
      <c r="A909" s="2" t="inlineStr">
        <is>
          <t>A14-SB-N203</t>
        </is>
      </c>
      <c r="B909" s="3" t="inlineStr">
        <is>
          <t>SOJC-SM-SC/PC-FC/APC</t>
        </is>
      </c>
      <c r="C909" s="2" t="inlineStr">
        <is>
          <t>908040334, 25M, B3, 2.0mm</t>
        </is>
      </c>
      <c r="D909" s="2" t="inlineStr">
        <is>
          <t>b3</t>
        </is>
      </c>
      <c r="E909" s="2" t="inlineStr">
        <is>
          <t>2.0mm</t>
        </is>
      </c>
      <c r="F909" s="2" t="n">
        <v>1</v>
      </c>
      <c r="G909" s="2" t="n">
        <v>25</v>
      </c>
      <c r="H909" s="2" t="inlineStr">
        <is>
          <t>SC/PC</t>
        </is>
      </c>
      <c r="I909" s="2" t="inlineStr">
        <is>
          <t>FC/APC</t>
        </is>
      </c>
      <c r="J909" s="2" t="n">
        <v>7</v>
      </c>
      <c r="K909" s="2" t="n">
        <v>5</v>
      </c>
      <c r="L909" s="2" t="n"/>
      <c r="M909" s="2" t="n"/>
      <c r="N909" s="2" t="n"/>
      <c r="O909" s="2" t="n"/>
      <c r="P909" s="2" t="n"/>
      <c r="Q909" s="2" t="n"/>
      <c r="R909" s="2" t="n">
        <v>4</v>
      </c>
      <c r="S909" s="2" t="n"/>
      <c r="T909" s="2" t="n"/>
      <c r="U909" s="2" t="n"/>
      <c r="V909" s="2">
        <f>SUM(J909:U909)</f>
        <v/>
      </c>
      <c r="W909" s="2" t="n"/>
      <c r="X909" s="2" t="n"/>
      <c r="Y909" s="2" t="n"/>
      <c r="Z909" s="2" t="n"/>
      <c r="AA909" s="2" t="n">
        <v>16</v>
      </c>
      <c r="AB909" s="2" t="n"/>
      <c r="AC909" s="2" t="n"/>
      <c r="AD909" s="2" t="n"/>
      <c r="AE909" s="2" t="n"/>
      <c r="AF909" s="2" t="n"/>
      <c r="AG909" s="2" t="n">
        <v>16</v>
      </c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>
        <f>IF(F909=1,V909*2,IF(F909=2,V909*F909*2,IF(F909&gt;2,F909*2*V909)))</f>
        <v/>
      </c>
      <c r="AW909" s="2">
        <f>SUM(W909:AU909)</f>
        <v/>
      </c>
    </row>
    <row r="910">
      <c r="A910" s="2" t="inlineStr">
        <is>
          <t>A14-SB-N207</t>
        </is>
      </c>
      <c r="B910" s="3" t="inlineStr">
        <is>
          <t>SOJC-SM-SC/PC-FC/APC</t>
        </is>
      </c>
      <c r="C910" s="2" t="inlineStr">
        <is>
          <t>908040310, 3M, B3, 3.0mm</t>
        </is>
      </c>
      <c r="D910" s="2" t="inlineStr">
        <is>
          <t>b3</t>
        </is>
      </c>
      <c r="E910" s="2" t="inlineStr">
        <is>
          <t>3.0mm</t>
        </is>
      </c>
      <c r="F910" s="2" t="n">
        <v>1</v>
      </c>
      <c r="G910" s="2" t="n">
        <v>3</v>
      </c>
      <c r="H910" s="2" t="inlineStr">
        <is>
          <t>SC/PC</t>
        </is>
      </c>
      <c r="I910" s="2" t="inlineStr">
        <is>
          <t>FC/APC</t>
        </is>
      </c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>
        <v>100</v>
      </c>
      <c r="T910" s="2" t="n"/>
      <c r="U910" s="2" t="n"/>
      <c r="V910" s="2">
        <f>SUM(J910:U910)</f>
        <v/>
      </c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>
        <v>100</v>
      </c>
      <c r="AO910" s="2" t="n"/>
      <c r="AP910" s="2" t="n"/>
      <c r="AQ910" s="2" t="n"/>
      <c r="AR910" s="2" t="n"/>
      <c r="AS910" s="2" t="n"/>
      <c r="AT910" s="2" t="n">
        <v>100</v>
      </c>
      <c r="AU910" s="2" t="n"/>
      <c r="AV910" s="2">
        <f>IF(F910=1,V910*2,IF(F910=2,V910*F910*2,IF(F910&gt;2,F910*2*V910)))</f>
        <v/>
      </c>
      <c r="AW910" s="2">
        <f>SUM(W910:AU910)</f>
        <v/>
      </c>
    </row>
    <row r="911">
      <c r="A911" s="2" t="inlineStr">
        <is>
          <t>A14-SB-N210</t>
        </is>
      </c>
      <c r="B911" s="3" t="inlineStr">
        <is>
          <t>SOJC-SM-SC/PC-FC/APC</t>
        </is>
      </c>
      <c r="C911" s="2" t="inlineStr">
        <is>
          <t>908040314, 5M, B3, 3.0mm</t>
        </is>
      </c>
      <c r="D911" s="2" t="inlineStr">
        <is>
          <t>b3</t>
        </is>
      </c>
      <c r="E911" s="2" t="inlineStr">
        <is>
          <t>3.0mm</t>
        </is>
      </c>
      <c r="F911" s="2" t="n">
        <v>1</v>
      </c>
      <c r="G911" s="2" t="n">
        <v>5</v>
      </c>
      <c r="H911" s="2" t="inlineStr">
        <is>
          <t>SC/PC</t>
        </is>
      </c>
      <c r="I911" s="2" t="inlineStr">
        <is>
          <t>FC/APC</t>
        </is>
      </c>
      <c r="J911" s="2" t="n"/>
      <c r="K911" s="2" t="n"/>
      <c r="L911" s="2" t="n">
        <v>15</v>
      </c>
      <c r="M911" s="2" t="n"/>
      <c r="N911" s="2" t="n"/>
      <c r="O911" s="2" t="n"/>
      <c r="P911" s="2" t="n">
        <v>5</v>
      </c>
      <c r="Q911" s="2" t="n"/>
      <c r="R911" s="2" t="n"/>
      <c r="S911" s="2" t="n"/>
      <c r="T911" s="2" t="n"/>
      <c r="U911" s="2" t="n"/>
      <c r="V911" s="2">
        <f>SUM(J911:U911)</f>
        <v/>
      </c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>
        <v>20</v>
      </c>
      <c r="AO911" s="2" t="n"/>
      <c r="AP911" s="2" t="n"/>
      <c r="AQ911" s="2" t="n"/>
      <c r="AR911" s="2" t="n"/>
      <c r="AS911" s="2" t="n"/>
      <c r="AT911" s="2" t="n">
        <v>20</v>
      </c>
      <c r="AU911" s="2" t="n"/>
      <c r="AV911" s="2">
        <f>IF(F911=1,V911*2,IF(F911=2,V911*F911*2,IF(F911&gt;2,F911*2*V911)))</f>
        <v/>
      </c>
      <c r="AW911" s="2">
        <f>SUM(W911:AU911)</f>
        <v/>
      </c>
    </row>
    <row r="912">
      <c r="A912" s="2" t="inlineStr">
        <is>
          <t>A14-SB-N215</t>
        </is>
      </c>
      <c r="B912" s="3" t="inlineStr">
        <is>
          <t>SOJC-SM-SC/PC-FC/PC</t>
        </is>
      </c>
      <c r="C912" s="2" t="inlineStr">
        <is>
          <t>908041380, 10M, B3, 2.0mm</t>
        </is>
      </c>
      <c r="D912" s="2" t="inlineStr">
        <is>
          <t>b3</t>
        </is>
      </c>
      <c r="E912" s="2" t="inlineStr">
        <is>
          <t>2.0mm</t>
        </is>
      </c>
      <c r="F912" s="2" t="n">
        <v>1</v>
      </c>
      <c r="G912" s="2" t="n">
        <v>10</v>
      </c>
      <c r="H912" s="2" t="inlineStr">
        <is>
          <t>SC/PC</t>
        </is>
      </c>
      <c r="I912" s="2" t="inlineStr">
        <is>
          <t>FC/PC</t>
        </is>
      </c>
      <c r="J912" s="2" t="n"/>
      <c r="K912" s="2" t="n">
        <v>5</v>
      </c>
      <c r="L912" s="2" t="n"/>
      <c r="M912" s="2" t="n"/>
      <c r="N912" s="2" t="n"/>
      <c r="O912" s="2" t="n"/>
      <c r="P912" s="2" t="n">
        <v>20</v>
      </c>
      <c r="Q912" s="2" t="n">
        <v>5</v>
      </c>
      <c r="R912" s="2" t="n"/>
      <c r="S912" s="2" t="n"/>
      <c r="T912" s="2" t="n"/>
      <c r="U912" s="2" t="n">
        <v>40</v>
      </c>
      <c r="V912" s="2">
        <f>SUM(J912:U912)</f>
        <v/>
      </c>
      <c r="W912" s="2" t="n"/>
      <c r="X912" s="2" t="n"/>
      <c r="Y912" s="2" t="n"/>
      <c r="Z912" s="2" t="n"/>
      <c r="AA912" s="2" t="n">
        <v>70</v>
      </c>
      <c r="AB912" s="2" t="n"/>
      <c r="AC912" s="2" t="n"/>
      <c r="AD912" s="2" t="n"/>
      <c r="AE912" s="2" t="n">
        <v>70</v>
      </c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>
        <f>IF(F912=1,V912*2,IF(F912=2,V912*F912*2,IF(F912&gt;2,F912*2*V912)))</f>
        <v/>
      </c>
      <c r="AW912" s="2">
        <f>SUM(W912:AU912)</f>
        <v/>
      </c>
    </row>
    <row r="913">
      <c r="A913" s="2" t="inlineStr">
        <is>
          <t>A14-SB-N218</t>
        </is>
      </c>
      <c r="B913" s="3" t="inlineStr">
        <is>
          <t>SOJC-SM-SC/PC-FC/PC</t>
        </is>
      </c>
      <c r="C913" s="2" t="inlineStr">
        <is>
          <t>908041385, 15M, B3, 2.0mm</t>
        </is>
      </c>
      <c r="D913" s="2" t="inlineStr">
        <is>
          <t>b3</t>
        </is>
      </c>
      <c r="E913" s="2" t="inlineStr">
        <is>
          <t>2.0mm</t>
        </is>
      </c>
      <c r="F913" s="2" t="n">
        <v>1</v>
      </c>
      <c r="G913" s="2" t="n">
        <v>15</v>
      </c>
      <c r="H913" s="2" t="inlineStr">
        <is>
          <t>SC/PC</t>
        </is>
      </c>
      <c r="I913" s="2" t="inlineStr">
        <is>
          <t>FC/PC</t>
        </is>
      </c>
      <c r="J913" s="2" t="n"/>
      <c r="K913" s="2" t="n">
        <v>5</v>
      </c>
      <c r="L913" s="2" t="n"/>
      <c r="M913" s="2" t="n"/>
      <c r="N913" s="2" t="n"/>
      <c r="O913" s="2" t="n"/>
      <c r="P913" s="2" t="n"/>
      <c r="Q913" s="2" t="n"/>
      <c r="R913" s="2" t="n">
        <v>5</v>
      </c>
      <c r="S913" s="2" t="n"/>
      <c r="T913" s="2" t="n"/>
      <c r="U913" s="2" t="n">
        <v>40</v>
      </c>
      <c r="V913" s="2">
        <f>SUM(J913:U913)</f>
        <v/>
      </c>
      <c r="W913" s="2" t="n"/>
      <c r="X913" s="2" t="n"/>
      <c r="Y913" s="2" t="n"/>
      <c r="Z913" s="2" t="n"/>
      <c r="AA913" s="2" t="n">
        <v>50</v>
      </c>
      <c r="AB913" s="2" t="n"/>
      <c r="AC913" s="2" t="n"/>
      <c r="AD913" s="2" t="n"/>
      <c r="AE913" s="2" t="n">
        <v>50</v>
      </c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>
        <f>IF(F913=1,V913*2,IF(F913=2,V913*F913*2,IF(F913&gt;2,F913*2*V913)))</f>
        <v/>
      </c>
      <c r="AW913" s="2">
        <f>SUM(W913:AU913)</f>
        <v/>
      </c>
    </row>
    <row r="914">
      <c r="A914" s="2" t="inlineStr">
        <is>
          <t>A14-SB-N220</t>
        </is>
      </c>
      <c r="B914" s="3" t="inlineStr">
        <is>
          <t>SOJC-SM-SC/PC-FC/PC</t>
        </is>
      </c>
      <c r="C914" s="2" t="inlineStr">
        <is>
          <t>908040299, 20M, B3, 2.0mm</t>
        </is>
      </c>
      <c r="D914" s="2" t="inlineStr">
        <is>
          <t>b3</t>
        </is>
      </c>
      <c r="E914" s="2" t="inlineStr">
        <is>
          <t>2.0mm</t>
        </is>
      </c>
      <c r="F914" s="2" t="n">
        <v>1</v>
      </c>
      <c r="G914" s="2" t="n">
        <v>20</v>
      </c>
      <c r="H914" s="2" t="inlineStr">
        <is>
          <t>SC/PC</t>
        </is>
      </c>
      <c r="I914" s="2" t="inlineStr">
        <is>
          <t>FC/PC</t>
        </is>
      </c>
      <c r="J914" s="2" t="n"/>
      <c r="K914" s="2" t="n">
        <v>5</v>
      </c>
      <c r="L914" s="2" t="n"/>
      <c r="M914" s="2" t="n"/>
      <c r="N914" s="2" t="n"/>
      <c r="O914" s="2" t="n"/>
      <c r="P914" s="2" t="n"/>
      <c r="Q914" s="2" t="n">
        <v>25</v>
      </c>
      <c r="R914" s="2" t="n"/>
      <c r="S914" s="2" t="n"/>
      <c r="T914" s="2" t="n"/>
      <c r="U914" s="2" t="n">
        <v>20</v>
      </c>
      <c r="V914" s="2">
        <f>SUM(J914:U914)</f>
        <v/>
      </c>
      <c r="W914" s="2" t="n"/>
      <c r="X914" s="2" t="n"/>
      <c r="Y914" s="2" t="n"/>
      <c r="Z914" s="2" t="n"/>
      <c r="AA914" s="2" t="n">
        <v>50</v>
      </c>
      <c r="AB914" s="2" t="n"/>
      <c r="AC914" s="2" t="n"/>
      <c r="AD914" s="2" t="n"/>
      <c r="AE914" s="2" t="n">
        <v>50</v>
      </c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>
        <f>IF(F914=1,V914*2,IF(F914=2,V914*F914*2,IF(F914&gt;2,F914*2*V914)))</f>
        <v/>
      </c>
      <c r="AW914" s="2">
        <f>SUM(W914:AU914)</f>
        <v/>
      </c>
    </row>
    <row r="915">
      <c r="A915" s="2" t="inlineStr">
        <is>
          <t>A14-SB-N221</t>
        </is>
      </c>
      <c r="B915" s="3" t="inlineStr">
        <is>
          <t>SOJC-SM-SC/PC-FC/PC</t>
        </is>
      </c>
      <c r="C915" s="2" t="inlineStr">
        <is>
          <t>908040304, 25M, B3, 2.0mm</t>
        </is>
      </c>
      <c r="D915" s="2" t="inlineStr">
        <is>
          <t>b3</t>
        </is>
      </c>
      <c r="E915" s="2" t="inlineStr">
        <is>
          <t>2.0mm</t>
        </is>
      </c>
      <c r="F915" s="2" t="n">
        <v>1</v>
      </c>
      <c r="G915" s="2" t="n">
        <v>25</v>
      </c>
      <c r="H915" s="2" t="inlineStr">
        <is>
          <t>SC/PC</t>
        </is>
      </c>
      <c r="I915" s="2" t="inlineStr">
        <is>
          <t>FC/PC</t>
        </is>
      </c>
      <c r="J915" s="2" t="n"/>
      <c r="K915" s="2" t="n">
        <v>10</v>
      </c>
      <c r="L915" s="2" t="n"/>
      <c r="M915" s="2" t="n"/>
      <c r="N915" s="2" t="n">
        <v>8</v>
      </c>
      <c r="O915" s="2" t="n"/>
      <c r="P915" s="2" t="n">
        <v>30</v>
      </c>
      <c r="Q915" s="2" t="n">
        <v>25</v>
      </c>
      <c r="R915" s="2" t="n"/>
      <c r="S915" s="2" t="n"/>
      <c r="T915" s="2" t="n"/>
      <c r="U915" s="2" t="n"/>
      <c r="V915" s="2">
        <f>SUM(J915:U915)</f>
        <v/>
      </c>
      <c r="W915" s="2" t="n"/>
      <c r="X915" s="2" t="n"/>
      <c r="Y915" s="2" t="n"/>
      <c r="Z915" s="2" t="n"/>
      <c r="AA915" s="2" t="n">
        <v>73</v>
      </c>
      <c r="AB915" s="2" t="n"/>
      <c r="AC915" s="2" t="n"/>
      <c r="AD915" s="2" t="n"/>
      <c r="AE915" s="2" t="n">
        <v>73</v>
      </c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>
        <f>IF(F915=1,V915*2,IF(F915=2,V915*F915*2,IF(F915&gt;2,F915*2*V915)))</f>
        <v/>
      </c>
      <c r="AW915" s="2">
        <f>SUM(W915:AU915)</f>
        <v/>
      </c>
    </row>
    <row r="916">
      <c r="A916" s="2" t="inlineStr">
        <is>
          <t>A14-SB-N232</t>
        </is>
      </c>
      <c r="B916" s="3" t="inlineStr">
        <is>
          <t>SOJC-SM-SC/PC-SC/APC</t>
        </is>
      </c>
      <c r="C916" s="2" t="inlineStr">
        <is>
          <t>B3, 0.5M, 3.0mm</t>
        </is>
      </c>
      <c r="D916" s="2" t="inlineStr">
        <is>
          <t>b3</t>
        </is>
      </c>
      <c r="E916" s="2" t="inlineStr">
        <is>
          <t>3.0mm</t>
        </is>
      </c>
      <c r="F916" s="2" t="n">
        <v>1</v>
      </c>
      <c r="G916" s="2" t="n">
        <v>0.5</v>
      </c>
      <c r="H916" s="2" t="inlineStr">
        <is>
          <t>SC/PC</t>
        </is>
      </c>
      <c r="I916" s="2" t="inlineStr">
        <is>
          <t>SC/APC</t>
        </is>
      </c>
      <c r="J916" s="2" t="n"/>
      <c r="K916" s="2" t="n"/>
      <c r="L916" s="2" t="n">
        <v>351</v>
      </c>
      <c r="M916" s="2" t="n">
        <v>970</v>
      </c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>
        <f>SUM(J916:U916)</f>
        <v/>
      </c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>
        <v>1321</v>
      </c>
      <c r="AO916" s="2" t="n"/>
      <c r="AP916" s="2" t="n">
        <v>1321</v>
      </c>
      <c r="AQ916" s="2" t="n"/>
      <c r="AR916" s="2" t="n"/>
      <c r="AS916" s="2" t="n"/>
      <c r="AT916" s="2" t="n"/>
      <c r="AU916" s="2" t="n"/>
      <c r="AV916" s="2">
        <f>IF(F916=1,V916*2,IF(F916=2,V916*F916*2,IF(F916&gt;2,F916*2*V916)))</f>
        <v/>
      </c>
      <c r="AW916" s="2">
        <f>SUM(W916:AU916)</f>
        <v/>
      </c>
    </row>
    <row r="917">
      <c r="A917" s="2" t="inlineStr">
        <is>
          <t>A14-SB-N234</t>
        </is>
      </c>
      <c r="B917" s="3" t="inlineStr">
        <is>
          <t>SOJC-SM-SC/PC-SC/APC</t>
        </is>
      </c>
      <c r="C917" s="2" t="inlineStr">
        <is>
          <t>908041429, 10M, B3, 2.0mm</t>
        </is>
      </c>
      <c r="D917" s="2" t="inlineStr">
        <is>
          <t>b3</t>
        </is>
      </c>
      <c r="E917" s="2" t="inlineStr">
        <is>
          <t>2.0mm</t>
        </is>
      </c>
      <c r="F917" s="2" t="n">
        <v>1</v>
      </c>
      <c r="G917" s="2" t="n">
        <v>10</v>
      </c>
      <c r="H917" s="2" t="inlineStr">
        <is>
          <t>SC/PC</t>
        </is>
      </c>
      <c r="I917" s="2" t="inlineStr">
        <is>
          <t>SC/APC</t>
        </is>
      </c>
      <c r="J917" s="2" t="n"/>
      <c r="K917" s="2" t="n"/>
      <c r="L917" s="2" t="n"/>
      <c r="M917" s="2" t="n"/>
      <c r="N917" s="2" t="n"/>
      <c r="O917" s="2" t="n">
        <v>10</v>
      </c>
      <c r="P917" s="2" t="n"/>
      <c r="Q917" s="2" t="n"/>
      <c r="R917" s="2" t="n">
        <v>20</v>
      </c>
      <c r="S917" s="2" t="n"/>
      <c r="T917" s="2" t="n"/>
      <c r="U917" s="2" t="n"/>
      <c r="V917" s="2">
        <f>SUM(J917:U917)</f>
        <v/>
      </c>
      <c r="W917" s="2" t="n"/>
      <c r="X917" s="2" t="n"/>
      <c r="Y917" s="2" t="n"/>
      <c r="Z917" s="2" t="n"/>
      <c r="AA917" s="2" t="n">
        <v>30</v>
      </c>
      <c r="AB917" s="2" t="n"/>
      <c r="AC917" s="2" t="n">
        <v>30</v>
      </c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>
        <f>IF(F917=1,V917*2,IF(F917=2,V917*F917*2,IF(F917&gt;2,F917*2*V917)))</f>
        <v/>
      </c>
      <c r="AW917" s="2">
        <f>SUM(W917:AU917)</f>
        <v/>
      </c>
    </row>
    <row r="918">
      <c r="A918" s="2" t="inlineStr">
        <is>
          <t>A14-SB-N237</t>
        </is>
      </c>
      <c r="B918" s="3" t="inlineStr">
        <is>
          <t>SOJC-SM-SC/PC-SC/APC</t>
        </is>
      </c>
      <c r="C918" s="2" t="inlineStr">
        <is>
          <t>908041434, 15M, B3, 2.0mm</t>
        </is>
      </c>
      <c r="D918" s="2" t="inlineStr">
        <is>
          <t>b3</t>
        </is>
      </c>
      <c r="E918" s="2" t="inlineStr">
        <is>
          <t>2.0mm</t>
        </is>
      </c>
      <c r="F918" s="2" t="n">
        <v>1</v>
      </c>
      <c r="G918" s="2" t="n">
        <v>15</v>
      </c>
      <c r="H918" s="2" t="inlineStr">
        <is>
          <t>SC/PC</t>
        </is>
      </c>
      <c r="I918" s="2" t="inlineStr">
        <is>
          <t>SC/APC</t>
        </is>
      </c>
      <c r="J918" s="2" t="n"/>
      <c r="K918" s="2" t="n"/>
      <c r="L918" s="2" t="n"/>
      <c r="M918" s="2" t="n"/>
      <c r="N918" s="2" t="n"/>
      <c r="O918" s="2" t="n">
        <v>10</v>
      </c>
      <c r="P918" s="2" t="n"/>
      <c r="Q918" s="2" t="n"/>
      <c r="R918" s="2" t="n"/>
      <c r="S918" s="2" t="n"/>
      <c r="T918" s="2" t="n">
        <v>43</v>
      </c>
      <c r="U918" s="2" t="n"/>
      <c r="V918" s="2">
        <f>SUM(J918:U918)</f>
        <v/>
      </c>
      <c r="W918" s="2" t="n"/>
      <c r="X918" s="2" t="n"/>
      <c r="Y918" s="2" t="n"/>
      <c r="Z918" s="2" t="n"/>
      <c r="AA918" s="2" t="n">
        <v>53</v>
      </c>
      <c r="AB918" s="2" t="n"/>
      <c r="AC918" s="2" t="n">
        <v>53</v>
      </c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>
        <f>IF(F918=1,V918*2,IF(F918=2,V918*F918*2,IF(F918&gt;2,F918*2*V918)))</f>
        <v/>
      </c>
      <c r="AW918" s="2">
        <f>SUM(W918:AU918)</f>
        <v/>
      </c>
    </row>
    <row r="919">
      <c r="A919" s="2" t="inlineStr">
        <is>
          <t>A14-SB-N239</t>
        </is>
      </c>
      <c r="B919" s="3" t="inlineStr">
        <is>
          <t>SOJC-SM-SC/PC-SC/APC</t>
        </is>
      </c>
      <c r="C919" s="2" t="inlineStr">
        <is>
          <t>908041421, 1M, B3, 3.0mm</t>
        </is>
      </c>
      <c r="D919" s="2" t="inlineStr">
        <is>
          <t>b3</t>
        </is>
      </c>
      <c r="E919" s="2" t="inlineStr">
        <is>
          <t>3.0mm</t>
        </is>
      </c>
      <c r="F919" s="2" t="n">
        <v>1</v>
      </c>
      <c r="G919" s="2" t="n">
        <v>1</v>
      </c>
      <c r="H919" s="2" t="inlineStr">
        <is>
          <t>SC/PC</t>
        </is>
      </c>
      <c r="I919" s="2" t="inlineStr">
        <is>
          <t>SC/APC</t>
        </is>
      </c>
      <c r="J919" s="2" t="n">
        <v>100</v>
      </c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>
        <f>SUM(J919:U919)</f>
        <v/>
      </c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>
        <v>100</v>
      </c>
      <c r="AO919" s="2" t="n"/>
      <c r="AP919" s="2" t="n">
        <v>100</v>
      </c>
      <c r="AQ919" s="2" t="n"/>
      <c r="AR919" s="2" t="n"/>
      <c r="AS919" s="2" t="n"/>
      <c r="AT919" s="2" t="n"/>
      <c r="AU919" s="2" t="n"/>
      <c r="AV919" s="2">
        <f>IF(F919=1,V919*2,IF(F919=2,V919*F919*2,IF(F919&gt;2,F919*2*V919)))</f>
        <v/>
      </c>
      <c r="AW919" s="2">
        <f>SUM(W919:AU919)</f>
        <v/>
      </c>
    </row>
    <row r="920">
      <c r="A920" s="2" t="inlineStr">
        <is>
          <t>A14-SB-N241</t>
        </is>
      </c>
      <c r="B920" s="3" t="inlineStr">
        <is>
          <t>SOJC-SM-SC/PC-SC/APC</t>
        </is>
      </c>
      <c r="C920" s="2" t="inlineStr">
        <is>
          <t>908041439, 20M, B3, 2.0mm</t>
        </is>
      </c>
      <c r="D920" s="2" t="inlineStr">
        <is>
          <t>b3</t>
        </is>
      </c>
      <c r="E920" s="2" t="inlineStr">
        <is>
          <t>2.0mm</t>
        </is>
      </c>
      <c r="F920" s="2" t="n">
        <v>1</v>
      </c>
      <c r="G920" s="2" t="n">
        <v>20</v>
      </c>
      <c r="H920" s="2" t="inlineStr">
        <is>
          <t>SC/PC</t>
        </is>
      </c>
      <c r="I920" s="2" t="inlineStr">
        <is>
          <t>SC/APC</t>
        </is>
      </c>
      <c r="J920" s="2" t="n"/>
      <c r="K920" s="2" t="n"/>
      <c r="L920" s="2" t="n"/>
      <c r="M920" s="2" t="n"/>
      <c r="N920" s="2" t="n">
        <v>8</v>
      </c>
      <c r="O920" s="2" t="n">
        <v>10</v>
      </c>
      <c r="P920" s="2" t="n">
        <v>15</v>
      </c>
      <c r="Q920" s="2" t="n"/>
      <c r="R920" s="2" t="n">
        <v>5</v>
      </c>
      <c r="S920" s="2" t="n"/>
      <c r="T920" s="2" t="n"/>
      <c r="U920" s="2" t="n"/>
      <c r="V920" s="2">
        <f>SUM(J920:U920)</f>
        <v/>
      </c>
      <c r="W920" s="2" t="n"/>
      <c r="X920" s="2" t="n"/>
      <c r="Y920" s="2" t="n"/>
      <c r="Z920" s="2" t="n"/>
      <c r="AA920" s="2" t="n">
        <v>38</v>
      </c>
      <c r="AB920" s="2" t="n"/>
      <c r="AC920" s="2" t="n">
        <v>38</v>
      </c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>
        <f>IF(F920=1,V920*2,IF(F920=2,V920*F920*2,IF(F920&gt;2,F920*2*V920)))</f>
        <v/>
      </c>
      <c r="AW920" s="2">
        <f>SUM(W920:AU920)</f>
        <v/>
      </c>
    </row>
    <row r="921">
      <c r="A921" s="2" t="inlineStr">
        <is>
          <t>A14-SB-N245</t>
        </is>
      </c>
      <c r="B921" s="3" t="inlineStr">
        <is>
          <t>SOJC-SM-SC/PC-SC/APC</t>
        </is>
      </c>
      <c r="C921" s="2" t="inlineStr">
        <is>
          <t>908041422, 2M, B3, 3.0mm</t>
        </is>
      </c>
      <c r="D921" s="2" t="inlineStr">
        <is>
          <t>b3</t>
        </is>
      </c>
      <c r="E921" s="2" t="inlineStr">
        <is>
          <t>3.0mm</t>
        </is>
      </c>
      <c r="F921" s="2" t="n">
        <v>1</v>
      </c>
      <c r="G921" s="2" t="n">
        <v>2</v>
      </c>
      <c r="H921" s="2" t="inlineStr">
        <is>
          <t>SC/PC</t>
        </is>
      </c>
      <c r="I921" s="2" t="inlineStr">
        <is>
          <t>SC/APC</t>
        </is>
      </c>
      <c r="J921" s="2" t="n">
        <v>17</v>
      </c>
      <c r="K921" s="2" t="n"/>
      <c r="L921" s="2" t="n"/>
      <c r="M921" s="2" t="n">
        <v>58</v>
      </c>
      <c r="N921" s="2" t="n"/>
      <c r="O921" s="2" t="n"/>
      <c r="P921" s="2" t="n"/>
      <c r="Q921" s="2" t="n"/>
      <c r="R921" s="2" t="n"/>
      <c r="S921" s="2" t="n"/>
      <c r="T921" s="2" t="n"/>
      <c r="U921" s="2" t="n">
        <v>50</v>
      </c>
      <c r="V921" s="2">
        <f>SUM(J921:U921)</f>
        <v/>
      </c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>
        <v>125</v>
      </c>
      <c r="AO921" s="2" t="n"/>
      <c r="AP921" s="2" t="n">
        <v>125</v>
      </c>
      <c r="AQ921" s="2" t="n"/>
      <c r="AR921" s="2" t="n"/>
      <c r="AS921" s="2" t="n"/>
      <c r="AT921" s="2" t="n"/>
      <c r="AU921" s="2" t="n"/>
      <c r="AV921" s="2">
        <f>IF(F921=1,V921*2,IF(F921=2,V921*F921*2,IF(F921&gt;2,F921*2*V921)))</f>
        <v/>
      </c>
      <c r="AW921" s="2">
        <f>SUM(W921:AU921)</f>
        <v/>
      </c>
    </row>
    <row r="922">
      <c r="A922" s="2" t="inlineStr">
        <is>
          <t>A14-SB-N249</t>
        </is>
      </c>
      <c r="B922" s="3" t="inlineStr">
        <is>
          <t>SOJC-SM-SC/PC-SC/APC</t>
        </is>
      </c>
      <c r="C922" s="2" t="inlineStr">
        <is>
          <t>908041420, 3M, B3, 3.0mm</t>
        </is>
      </c>
      <c r="D922" s="2" t="inlineStr">
        <is>
          <t>b3</t>
        </is>
      </c>
      <c r="E922" s="2" t="inlineStr">
        <is>
          <t>3.0mm</t>
        </is>
      </c>
      <c r="F922" s="2" t="n">
        <v>1</v>
      </c>
      <c r="G922" s="2" t="n">
        <v>3</v>
      </c>
      <c r="H922" s="2" t="inlineStr">
        <is>
          <t>SC/PC</t>
        </is>
      </c>
      <c r="I922" s="2" t="inlineStr">
        <is>
          <t>SC/APC</t>
        </is>
      </c>
      <c r="J922" s="2" t="n">
        <v>100</v>
      </c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>
        <f>SUM(J922:U922)</f>
        <v/>
      </c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>
        <v>100</v>
      </c>
      <c r="AO922" s="2" t="n"/>
      <c r="AP922" s="2" t="n">
        <v>100</v>
      </c>
      <c r="AQ922" s="2" t="n"/>
      <c r="AR922" s="2" t="n"/>
      <c r="AS922" s="2" t="n"/>
      <c r="AT922" s="2" t="n"/>
      <c r="AU922" s="2" t="n"/>
      <c r="AV922" s="2">
        <f>IF(F922=1,V922*2,IF(F922=2,V922*F922*2,IF(F922&gt;2,F922*2*V922)))</f>
        <v/>
      </c>
      <c r="AW922" s="2">
        <f>SUM(W922:AU922)</f>
        <v/>
      </c>
    </row>
    <row r="923">
      <c r="A923" s="2" t="inlineStr">
        <is>
          <t>A14-SB-N251</t>
        </is>
      </c>
      <c r="B923" s="3" t="inlineStr">
        <is>
          <t>SOJC-SM-SC/PC-SC/APC</t>
        </is>
      </c>
      <c r="C923" s="2" t="inlineStr">
        <is>
          <t>908041424, 5M, B3, 3.0mm</t>
        </is>
      </c>
      <c r="D923" s="2" t="inlineStr">
        <is>
          <t>b3</t>
        </is>
      </c>
      <c r="E923" s="2" t="inlineStr">
        <is>
          <t>3.0mm</t>
        </is>
      </c>
      <c r="F923" s="2" t="n">
        <v>1</v>
      </c>
      <c r="G923" s="2" t="n">
        <v>5</v>
      </c>
      <c r="H923" s="2" t="inlineStr">
        <is>
          <t>SC/PC</t>
        </is>
      </c>
      <c r="I923" s="2" t="inlineStr">
        <is>
          <t>SC/APC</t>
        </is>
      </c>
      <c r="J923" s="2" t="n"/>
      <c r="K923" s="2" t="n"/>
      <c r="L923" s="2" t="n">
        <v>26</v>
      </c>
      <c r="M923" s="2" t="n">
        <v>30</v>
      </c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>
        <f>SUM(J923:U923)</f>
        <v/>
      </c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>
        <v>56</v>
      </c>
      <c r="AO923" s="2" t="n"/>
      <c r="AP923" s="2" t="n">
        <v>56</v>
      </c>
      <c r="AQ923" s="2" t="n"/>
      <c r="AR923" s="2" t="n"/>
      <c r="AS923" s="2" t="n"/>
      <c r="AT923" s="2" t="n"/>
      <c r="AU923" s="2" t="n"/>
      <c r="AV923" s="2">
        <f>IF(F923=1,V923*2,IF(F923=2,V923*F923*2,IF(F923&gt;2,F923*2*V923)))</f>
        <v/>
      </c>
      <c r="AW923" s="2">
        <f>SUM(W923:AU923)</f>
        <v/>
      </c>
    </row>
    <row r="924">
      <c r="A924" s="2" t="inlineStr">
        <is>
          <t>A14-SB-N253</t>
        </is>
      </c>
      <c r="B924" s="3" t="inlineStr">
        <is>
          <t>SOJC-SM-SC/PC-SC/APC</t>
        </is>
      </c>
      <c r="C924" s="2" t="inlineStr">
        <is>
          <t>908041427, 8M, B3, 2.0mm</t>
        </is>
      </c>
      <c r="D924" s="2" t="inlineStr">
        <is>
          <t>b3</t>
        </is>
      </c>
      <c r="E924" s="2" t="inlineStr">
        <is>
          <t>2.0mm</t>
        </is>
      </c>
      <c r="F924" s="2" t="n">
        <v>1</v>
      </c>
      <c r="G924" s="2" t="n">
        <v>8</v>
      </c>
      <c r="H924" s="2" t="inlineStr">
        <is>
          <t>SC/PC</t>
        </is>
      </c>
      <c r="I924" s="2" t="inlineStr">
        <is>
          <t>SC/APC</t>
        </is>
      </c>
      <c r="J924" s="2" t="n"/>
      <c r="K924" s="2" t="n"/>
      <c r="L924" s="2" t="n"/>
      <c r="M924" s="2" t="n"/>
      <c r="N924" s="2" t="n"/>
      <c r="O924" s="2" t="n"/>
      <c r="P924" s="2" t="n"/>
      <c r="Q924" s="2" t="n">
        <v>30</v>
      </c>
      <c r="R924" s="2" t="n"/>
      <c r="S924" s="2" t="n"/>
      <c r="T924" s="2" t="n"/>
      <c r="U924" s="2" t="n"/>
      <c r="V924" s="2">
        <f>SUM(J924:U924)</f>
        <v/>
      </c>
      <c r="W924" s="2" t="n"/>
      <c r="X924" s="2" t="n"/>
      <c r="Y924" s="2" t="n"/>
      <c r="Z924" s="2" t="n"/>
      <c r="AA924" s="2" t="n">
        <v>30</v>
      </c>
      <c r="AB924" s="2" t="n"/>
      <c r="AC924" s="2" t="n">
        <v>30</v>
      </c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>
        <f>IF(F924=1,V924*2,IF(F924=2,V924*F924*2,IF(F924&gt;2,F924*2*V924)))</f>
        <v/>
      </c>
      <c r="AW924" s="2">
        <f>SUM(W924:AU924)</f>
        <v/>
      </c>
    </row>
    <row r="925">
      <c r="A925" s="2" t="inlineStr">
        <is>
          <t>A14-SB-N257</t>
        </is>
      </c>
      <c r="B925" s="3" t="inlineStr">
        <is>
          <t>SOJC-SM-SC/PC-SC/PC</t>
        </is>
      </c>
      <c r="C925" s="2" t="inlineStr">
        <is>
          <t>1.5M, B3, 3.0mm</t>
        </is>
      </c>
      <c r="D925" s="2" t="inlineStr">
        <is>
          <t>b3</t>
        </is>
      </c>
      <c r="E925" s="2" t="inlineStr">
        <is>
          <t>3.0mm</t>
        </is>
      </c>
      <c r="F925" s="2" t="n">
        <v>1</v>
      </c>
      <c r="G925" s="2" t="n">
        <v>1.5</v>
      </c>
      <c r="H925" s="2" t="inlineStr">
        <is>
          <t>SC/PC</t>
        </is>
      </c>
      <c r="I925" s="2" t="inlineStr">
        <is>
          <t>SC/PC</t>
        </is>
      </c>
      <c r="J925" s="2" t="n"/>
      <c r="K925" s="2" t="n">
        <v>50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>
        <f>SUM(J925:U925)</f>
        <v/>
      </c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>
        <v>100</v>
      </c>
      <c r="AO925" s="2" t="n"/>
      <c r="AP925" s="2" t="n"/>
      <c r="AQ925" s="2" t="n"/>
      <c r="AR925" s="2" t="n"/>
      <c r="AS925" s="2" t="n"/>
      <c r="AT925" s="2" t="n"/>
      <c r="AU925" s="2" t="n"/>
      <c r="AV925" s="2">
        <f>IF(F925=1,V925*2,IF(F925=2,V925*F925*2,IF(F925&gt;2,F925*2*V925)))</f>
        <v/>
      </c>
      <c r="AW925" s="2">
        <f>SUM(W925:AU925)</f>
        <v/>
      </c>
    </row>
    <row r="926">
      <c r="A926" s="2" t="inlineStr">
        <is>
          <t>A14-SB-N259</t>
        </is>
      </c>
      <c r="B926" s="3" t="inlineStr">
        <is>
          <t>SOJC-SM-SC/PC-SC/PC</t>
        </is>
      </c>
      <c r="C926" s="2" t="inlineStr">
        <is>
          <t>12M, B3, 2.0mm</t>
        </is>
      </c>
      <c r="D926" s="2" t="inlineStr">
        <is>
          <t>b3</t>
        </is>
      </c>
      <c r="E926" s="2" t="inlineStr">
        <is>
          <t>2.0mm</t>
        </is>
      </c>
      <c r="F926" s="2" t="n">
        <v>1</v>
      </c>
      <c r="G926" s="2" t="n">
        <v>12</v>
      </c>
      <c r="H926" s="2" t="inlineStr">
        <is>
          <t>SC/PC</t>
        </is>
      </c>
      <c r="I926" s="2" t="inlineStr">
        <is>
          <t>SC/PC</t>
        </is>
      </c>
      <c r="J926" s="2" t="n"/>
      <c r="K926" s="2" t="n"/>
      <c r="L926" s="2" t="n"/>
      <c r="M926" s="2" t="n">
        <v>50</v>
      </c>
      <c r="N926" s="2" t="n"/>
      <c r="O926" s="2" t="n">
        <v>100</v>
      </c>
      <c r="P926" s="2" t="n"/>
      <c r="Q926" s="2" t="n"/>
      <c r="R926" s="2" t="n"/>
      <c r="S926" s="2" t="n">
        <v>50</v>
      </c>
      <c r="T926" s="2" t="n"/>
      <c r="U926" s="2" t="n"/>
      <c r="V926" s="2">
        <f>SUM(J926:U926)</f>
        <v/>
      </c>
      <c r="W926" s="2" t="n"/>
      <c r="X926" s="2" t="n"/>
      <c r="Y926" s="2" t="n"/>
      <c r="Z926" s="2" t="n"/>
      <c r="AA926" s="2" t="n">
        <v>400</v>
      </c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>
        <f>IF(F926=1,V926*2,IF(F926=2,V926*F926*2,IF(F926&gt;2,F926*2*V926)))</f>
        <v/>
      </c>
      <c r="AW926" s="2">
        <f>SUM(W926:AU926)</f>
        <v/>
      </c>
    </row>
    <row r="927">
      <c r="A927" s="2" t="inlineStr">
        <is>
          <t>A14-SB-N263</t>
        </is>
      </c>
      <c r="B927" s="3" t="inlineStr">
        <is>
          <t>SOJC-SM-SC/PC-SC/PC</t>
        </is>
      </c>
      <c r="C927" s="2" t="inlineStr">
        <is>
          <t>908041409, 20M, B3, 2.0mm</t>
        </is>
      </c>
      <c r="D927" s="2" t="inlineStr">
        <is>
          <t>b3</t>
        </is>
      </c>
      <c r="E927" s="2" t="inlineStr">
        <is>
          <t>2.0mm</t>
        </is>
      </c>
      <c r="F927" s="2" t="n">
        <v>1</v>
      </c>
      <c r="G927" s="2" t="n">
        <v>20</v>
      </c>
      <c r="H927" s="2" t="inlineStr">
        <is>
          <t>SC/PC</t>
        </is>
      </c>
      <c r="I927" s="2" t="inlineStr">
        <is>
          <t>SC/PC</t>
        </is>
      </c>
      <c r="J927" s="2" t="n">
        <v>50</v>
      </c>
      <c r="K927" s="2" t="n"/>
      <c r="L927" s="2" t="n">
        <v>20</v>
      </c>
      <c r="M927" s="2" t="n">
        <v>3</v>
      </c>
      <c r="N927" s="2" t="n"/>
      <c r="O927" s="2" t="n"/>
      <c r="P927" s="2" t="n"/>
      <c r="Q927" s="2" t="n"/>
      <c r="R927" s="2" t="n"/>
      <c r="S927" s="2" t="n">
        <v>6</v>
      </c>
      <c r="T927" s="2" t="n"/>
      <c r="U927" s="2" t="n"/>
      <c r="V927" s="2">
        <f>SUM(J927:U927)</f>
        <v/>
      </c>
      <c r="W927" s="2" t="n"/>
      <c r="X927" s="2" t="n"/>
      <c r="Y927" s="2" t="n"/>
      <c r="Z927" s="2" t="n"/>
      <c r="AA927" s="2" t="n">
        <v>158</v>
      </c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>
        <f>IF(F927=1,V927*2,IF(F927=2,V927*F927*2,IF(F927&gt;2,F927*2*V927)))</f>
        <v/>
      </c>
      <c r="AW927" s="2">
        <f>SUM(W927:AU927)</f>
        <v/>
      </c>
    </row>
    <row r="928">
      <c r="A928" s="2" t="inlineStr">
        <is>
          <t>A14-SB-N264</t>
        </is>
      </c>
      <c r="B928" s="3" t="inlineStr">
        <is>
          <t>SOJC-SM-SC/PC-SC/PC</t>
        </is>
      </c>
      <c r="C928" s="2" t="inlineStr">
        <is>
          <t>908041414, 25M, B3, 2.0mm</t>
        </is>
      </c>
      <c r="D928" s="2" t="inlineStr">
        <is>
          <t>b3</t>
        </is>
      </c>
      <c r="E928" s="2" t="inlineStr">
        <is>
          <t>2.0mm</t>
        </is>
      </c>
      <c r="F928" s="2" t="n">
        <v>1</v>
      </c>
      <c r="G928" s="2" t="n">
        <v>25</v>
      </c>
      <c r="H928" s="2" t="inlineStr">
        <is>
          <t>SC/PC</t>
        </is>
      </c>
      <c r="I928" s="2" t="inlineStr">
        <is>
          <t>SC/PC</t>
        </is>
      </c>
      <c r="J928" s="2" t="n"/>
      <c r="K928" s="2" t="n"/>
      <c r="L928" s="2" t="n"/>
      <c r="M928" s="2" t="n">
        <v>50</v>
      </c>
      <c r="N928" s="2" t="n"/>
      <c r="O928" s="2" t="n"/>
      <c r="P928" s="2" t="n"/>
      <c r="Q928" s="2" t="n"/>
      <c r="R928" s="2" t="n"/>
      <c r="S928" s="2" t="n">
        <v>24</v>
      </c>
      <c r="T928" s="2" t="n"/>
      <c r="U928" s="2" t="n"/>
      <c r="V928" s="2">
        <f>SUM(J928:U928)</f>
        <v/>
      </c>
      <c r="W928" s="2" t="n"/>
      <c r="X928" s="2" t="n"/>
      <c r="Y928" s="2" t="n"/>
      <c r="Z928" s="2" t="n"/>
      <c r="AA928" s="2" t="n">
        <v>148</v>
      </c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>
        <f>IF(F928=1,V928*2,IF(F928=2,V928*F928*2,IF(F928&gt;2,F928*2*V928)))</f>
        <v/>
      </c>
      <c r="AW928" s="2">
        <f>SUM(W928:AU928)</f>
        <v/>
      </c>
    </row>
    <row r="929">
      <c r="A929" s="2" t="inlineStr">
        <is>
          <t>A14-SB-N268</t>
        </is>
      </c>
      <c r="B929" s="3" t="inlineStr">
        <is>
          <t>SOJC-SM-SC/PC-SC/PC</t>
        </is>
      </c>
      <c r="C929" s="2" t="inlineStr">
        <is>
          <t>908041390, 3M, B3, 3.0mm</t>
        </is>
      </c>
      <c r="D929" s="2" t="inlineStr">
        <is>
          <t>b3</t>
        </is>
      </c>
      <c r="E929" s="2" t="inlineStr">
        <is>
          <t>3.0mm</t>
        </is>
      </c>
      <c r="F929" s="2" t="n">
        <v>1</v>
      </c>
      <c r="G929" s="2" t="n">
        <v>3</v>
      </c>
      <c r="H929" s="2" t="inlineStr">
        <is>
          <t>SC/PC</t>
        </is>
      </c>
      <c r="I929" s="2" t="inlineStr">
        <is>
          <t>SC/PC</t>
        </is>
      </c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>
        <v>1760</v>
      </c>
      <c r="S929" s="2" t="n">
        <v>250</v>
      </c>
      <c r="T929" s="2" t="n">
        <v>115</v>
      </c>
      <c r="U929" s="2" t="n">
        <v>120</v>
      </c>
      <c r="V929" s="2">
        <f>SUM(J929:U929)</f>
        <v/>
      </c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>
        <v>4490</v>
      </c>
      <c r="AO929" s="2" t="n"/>
      <c r="AP929" s="2" t="n"/>
      <c r="AQ929" s="2" t="n"/>
      <c r="AR929" s="2" t="n"/>
      <c r="AS929" s="2" t="n"/>
      <c r="AT929" s="2" t="n"/>
      <c r="AU929" s="2" t="n"/>
      <c r="AV929" s="2">
        <f>IF(F929=1,V929*2,IF(F929=2,V929*F929*2,IF(F929&gt;2,F929*2*V929)))</f>
        <v/>
      </c>
      <c r="AW929" s="2">
        <f>SUM(W929:AU929)</f>
        <v/>
      </c>
    </row>
    <row r="930">
      <c r="A930" s="2" t="inlineStr">
        <is>
          <t>A14-SB-N273</t>
        </is>
      </c>
      <c r="B930" s="3" t="inlineStr">
        <is>
          <t>SOJC-SM-SC/PC-SC/PC</t>
        </is>
      </c>
      <c r="C930" s="2" t="inlineStr">
        <is>
          <t>908041396, 7M, B3, 2.0mm</t>
        </is>
      </c>
      <c r="D930" s="2" t="inlineStr">
        <is>
          <t>b3</t>
        </is>
      </c>
      <c r="E930" s="2" t="inlineStr">
        <is>
          <t>2.0mm</t>
        </is>
      </c>
      <c r="F930" s="2" t="n">
        <v>1</v>
      </c>
      <c r="G930" s="2" t="n">
        <v>7</v>
      </c>
      <c r="H930" s="2" t="inlineStr">
        <is>
          <t>SC/PC</t>
        </is>
      </c>
      <c r="I930" s="2" t="inlineStr">
        <is>
          <t>SC/PC</t>
        </is>
      </c>
      <c r="J930" s="2" t="n">
        <v>100</v>
      </c>
      <c r="K930" s="2" t="n">
        <v>10</v>
      </c>
      <c r="L930" s="2" t="n">
        <v>10</v>
      </c>
      <c r="M930" s="2" t="n"/>
      <c r="N930" s="2" t="n">
        <v>100</v>
      </c>
      <c r="O930" s="2" t="n"/>
      <c r="P930" s="2" t="n"/>
      <c r="Q930" s="2" t="n"/>
      <c r="R930" s="2" t="n"/>
      <c r="S930" s="2" t="n">
        <v>40</v>
      </c>
      <c r="T930" s="2" t="n"/>
      <c r="U930" s="2" t="n"/>
      <c r="V930" s="2">
        <f>SUM(J930:U930)</f>
        <v/>
      </c>
      <c r="W930" s="2" t="n"/>
      <c r="X930" s="2" t="n"/>
      <c r="Y930" s="2" t="n"/>
      <c r="Z930" s="2" t="n"/>
      <c r="AA930" s="2" t="n">
        <v>520</v>
      </c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>
        <f>IF(F930=1,V930*2,IF(F930=2,V930*F930*2,IF(F930&gt;2,F930*2*V930)))</f>
        <v/>
      </c>
      <c r="AW930" s="2">
        <f>SUM(W930:AU930)</f>
        <v/>
      </c>
    </row>
    <row r="931">
      <c r="A931" s="2" t="inlineStr">
        <is>
          <t>A14-SB-N285</t>
        </is>
      </c>
      <c r="B931" s="3" t="inlineStr">
        <is>
          <t>SOJC-SM-SC/PC-SC/PC</t>
        </is>
      </c>
      <c r="C931" s="2" t="inlineStr">
        <is>
          <t>908041395, 6M, B3, 2.0mm</t>
        </is>
      </c>
      <c r="D931" s="2" t="inlineStr">
        <is>
          <t>b3</t>
        </is>
      </c>
      <c r="E931" s="2" t="inlineStr">
        <is>
          <t>2.0mm</t>
        </is>
      </c>
      <c r="F931" s="2" t="n">
        <v>1</v>
      </c>
      <c r="G931" s="2" t="n">
        <v>6</v>
      </c>
      <c r="H931" s="2" t="inlineStr">
        <is>
          <t>SC/PC</t>
        </is>
      </c>
      <c r="I931" s="2" t="inlineStr">
        <is>
          <t>SC/PC</t>
        </is>
      </c>
      <c r="J931" s="2" t="n"/>
      <c r="K931" s="2" t="n"/>
      <c r="L931" s="2" t="n">
        <v>165</v>
      </c>
      <c r="M931" s="2" t="n">
        <v>50</v>
      </c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>
        <f>SUM(J931:U931)</f>
        <v/>
      </c>
      <c r="W931" s="2" t="n"/>
      <c r="X931" s="2" t="n"/>
      <c r="Y931" s="2" t="n"/>
      <c r="Z931" s="2" t="n"/>
      <c r="AA931" s="2" t="n">
        <v>430</v>
      </c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>
        <f>IF(F931=1,V931*2,IF(F931=2,V931*F931*2,IF(F931&gt;2,F931*2*V931)))</f>
        <v/>
      </c>
      <c r="AW931" s="2">
        <f>SUM(W931:AU931)</f>
        <v/>
      </c>
    </row>
    <row r="932">
      <c r="A932" s="2" t="inlineStr">
        <is>
          <t>A14-SB-N299</t>
        </is>
      </c>
      <c r="B932" s="3" t="inlineStr">
        <is>
          <t>SOJC-SM-LC/APC-FC/APC</t>
        </is>
      </c>
      <c r="C932" s="2" t="inlineStr">
        <is>
          <t>20M, B3, 2.0mm</t>
        </is>
      </c>
      <c r="D932" s="2" t="inlineStr">
        <is>
          <t>b3</t>
        </is>
      </c>
      <c r="E932" s="2" t="inlineStr">
        <is>
          <t>2.0mm</t>
        </is>
      </c>
      <c r="F932" s="2" t="n">
        <v>1</v>
      </c>
      <c r="G932" s="2" t="n">
        <v>20</v>
      </c>
      <c r="H932" s="2" t="inlineStr">
        <is>
          <t>LC/APC</t>
        </is>
      </c>
      <c r="I932" s="2" t="inlineStr">
        <is>
          <t>FC/APC</t>
        </is>
      </c>
      <c r="J932" s="2" t="n"/>
      <c r="K932" s="2" t="n"/>
      <c r="L932" s="2" t="n"/>
      <c r="M932" s="2" t="n"/>
      <c r="N932" s="2" t="n"/>
      <c r="O932" s="2" t="n"/>
      <c r="P932" s="2" t="n"/>
      <c r="Q932" s="2" t="n">
        <v>20</v>
      </c>
      <c r="R932" s="2" t="n"/>
      <c r="S932" s="2" t="n"/>
      <c r="T932" s="2" t="n"/>
      <c r="U932" s="2" t="n"/>
      <c r="V932" s="2">
        <f>SUM(J932:U932)</f>
        <v/>
      </c>
      <c r="W932" s="2" t="n"/>
      <c r="X932" s="2" t="n"/>
      <c r="Y932" s="2" t="n">
        <v>20</v>
      </c>
      <c r="Z932" s="2" t="n"/>
      <c r="AA932" s="2" t="n"/>
      <c r="AB932" s="2" t="n"/>
      <c r="AC932" s="2" t="n"/>
      <c r="AD932" s="2" t="n"/>
      <c r="AE932" s="2" t="n"/>
      <c r="AF932" s="2" t="n"/>
      <c r="AG932" s="2" t="n">
        <v>20</v>
      </c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>
        <f>IF(F932=1,V932*2,IF(F932=2,V932*F932*2,IF(F932&gt;2,F932*2*V932)))</f>
        <v/>
      </c>
      <c r="AW932" s="2">
        <f>SUM(W932:AU932)</f>
        <v/>
      </c>
    </row>
    <row r="933">
      <c r="A933" s="2" t="inlineStr">
        <is>
          <t>A14-SB-N302</t>
        </is>
      </c>
      <c r="B933" s="3" t="inlineStr">
        <is>
          <t>SOJC-SM-LC/APC-SC/APC</t>
        </is>
      </c>
      <c r="C933" s="2" t="inlineStr">
        <is>
          <t>2M, B3, 3.0mm</t>
        </is>
      </c>
      <c r="D933" s="2" t="inlineStr">
        <is>
          <t>b3</t>
        </is>
      </c>
      <c r="E933" s="2" t="inlineStr">
        <is>
          <t>3.0mm</t>
        </is>
      </c>
      <c r="F933" s="2" t="n">
        <v>1</v>
      </c>
      <c r="G933" s="2" t="n">
        <v>2</v>
      </c>
      <c r="H933" s="2" t="inlineStr">
        <is>
          <t>LC/APC</t>
        </is>
      </c>
      <c r="I933" s="2" t="inlineStr">
        <is>
          <t>SC/APC</t>
        </is>
      </c>
      <c r="J933" s="2" t="n"/>
      <c r="K933" s="2" t="n">
        <v>16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>
        <f>SUM(J933:U933)</f>
        <v/>
      </c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>
        <v>16</v>
      </c>
      <c r="AM933" s="2" t="n"/>
      <c r="AN933" s="2" t="n"/>
      <c r="AO933" s="2" t="n"/>
      <c r="AP933" s="2" t="n">
        <v>16</v>
      </c>
      <c r="AQ933" s="2" t="n"/>
      <c r="AR933" s="2" t="n"/>
      <c r="AS933" s="2" t="n"/>
      <c r="AT933" s="2" t="n"/>
      <c r="AU933" s="2" t="n"/>
      <c r="AV933" s="2">
        <f>IF(F933=1,V933*2,IF(F933=2,V933*F933*2,IF(F933&gt;2,F933*2*V933)))</f>
        <v/>
      </c>
      <c r="AW933" s="2">
        <f>SUM(W933:AU933)</f>
        <v/>
      </c>
    </row>
    <row r="934">
      <c r="A934" s="2" t="inlineStr">
        <is>
          <t>A14-SB-N308</t>
        </is>
      </c>
      <c r="B934" s="3" t="inlineStr">
        <is>
          <t>SOJC-SM-LC/PC-SC/PC</t>
        </is>
      </c>
      <c r="C934" s="2" t="inlineStr">
        <is>
          <t>0.5M, B3, 3.0mm</t>
        </is>
      </c>
      <c r="D934" s="2" t="inlineStr">
        <is>
          <t>b3</t>
        </is>
      </c>
      <c r="E934" s="2" t="inlineStr">
        <is>
          <t>3.0mm</t>
        </is>
      </c>
      <c r="F934" s="2" t="n">
        <v>1</v>
      </c>
      <c r="G934" s="2" t="n">
        <v>0.5</v>
      </c>
      <c r="H934" s="2" t="inlineStr">
        <is>
          <t>LC/PC</t>
        </is>
      </c>
      <c r="I934" s="2" t="inlineStr">
        <is>
          <t>SC/PC</t>
        </is>
      </c>
      <c r="J934" s="2" t="n"/>
      <c r="K934" s="2" t="n"/>
      <c r="L934" s="2" t="n"/>
      <c r="M934" s="2" t="n"/>
      <c r="N934" s="2" t="n"/>
      <c r="O934" s="2" t="n">
        <v>5</v>
      </c>
      <c r="P934" s="2" t="n"/>
      <c r="Q934" s="2" t="n"/>
      <c r="R934" s="2" t="n"/>
      <c r="S934" s="2" t="n"/>
      <c r="T934" s="2" t="n"/>
      <c r="U934" s="2" t="n"/>
      <c r="V934" s="2">
        <f>SUM(J934:U934)</f>
        <v/>
      </c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>
        <v>5</v>
      </c>
      <c r="AK934" s="2" t="n"/>
      <c r="AL934" s="2" t="n"/>
      <c r="AM934" s="2" t="n"/>
      <c r="AN934" s="2" t="n">
        <v>5</v>
      </c>
      <c r="AO934" s="2" t="n"/>
      <c r="AP934" s="2" t="n"/>
      <c r="AQ934" s="2" t="n"/>
      <c r="AR934" s="2" t="n"/>
      <c r="AS934" s="2" t="n"/>
      <c r="AT934" s="2" t="n"/>
      <c r="AU934" s="2" t="n"/>
      <c r="AV934" s="2">
        <f>IF(F934=1,V934*2,IF(F934=2,V934*F934*2,IF(F934&gt;2,F934*2*V934)))</f>
        <v/>
      </c>
      <c r="AW934" s="2">
        <f>SUM(W934:AU934)</f>
        <v/>
      </c>
    </row>
    <row r="935">
      <c r="A935" s="2" t="inlineStr">
        <is>
          <t>A14-SB-N361</t>
        </is>
      </c>
      <c r="B935" s="3" t="inlineStr">
        <is>
          <t>SOJC-SM-LC/APC-FC/APC</t>
        </is>
      </c>
      <c r="C935" s="2" t="inlineStr">
        <is>
          <t>10M, B3, 2.0mm</t>
        </is>
      </c>
      <c r="D935" s="2" t="inlineStr">
        <is>
          <t>b3</t>
        </is>
      </c>
      <c r="E935" s="2" t="inlineStr">
        <is>
          <t>2.0mm</t>
        </is>
      </c>
      <c r="F935" s="2" t="n">
        <v>1</v>
      </c>
      <c r="G935" s="2" t="n">
        <v>10</v>
      </c>
      <c r="H935" s="2" t="inlineStr">
        <is>
          <t>LC/APC</t>
        </is>
      </c>
      <c r="I935" s="2" t="inlineStr">
        <is>
          <t>FC/APC</t>
        </is>
      </c>
      <c r="J935" s="2" t="n">
        <v>6</v>
      </c>
      <c r="K935" s="2" t="n"/>
      <c r="L935" s="2" t="n"/>
      <c r="M935" s="2" t="n"/>
      <c r="N935" s="2" t="n"/>
      <c r="O935" s="2" t="n">
        <v>16</v>
      </c>
      <c r="P935" s="2" t="n"/>
      <c r="Q935" s="2" t="n"/>
      <c r="R935" s="2" t="n"/>
      <c r="S935" s="2" t="n"/>
      <c r="T935" s="2" t="n"/>
      <c r="U935" s="2" t="n"/>
      <c r="V935" s="2">
        <f>SUM(J935:U935)</f>
        <v/>
      </c>
      <c r="W935" s="2" t="n"/>
      <c r="X935" s="2" t="n"/>
      <c r="Y935" s="2" t="n">
        <v>22</v>
      </c>
      <c r="Z935" s="2" t="n"/>
      <c r="AA935" s="2" t="n"/>
      <c r="AB935" s="2" t="n"/>
      <c r="AC935" s="2" t="n"/>
      <c r="AD935" s="2" t="n"/>
      <c r="AE935" s="2" t="n"/>
      <c r="AF935" s="2" t="n"/>
      <c r="AG935" s="2" t="n">
        <v>22</v>
      </c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>
        <f>IF(F935=1,V935*2,IF(F935=2,V935*F935*2,IF(F935&gt;2,F935*2*V935)))</f>
        <v/>
      </c>
      <c r="AW935" s="2">
        <f>SUM(W935:AU935)</f>
        <v/>
      </c>
    </row>
    <row r="936">
      <c r="A936" s="2" t="inlineStr">
        <is>
          <t>A14-SB-N381</t>
        </is>
      </c>
      <c r="B936" s="3" t="inlineStr">
        <is>
          <t>SOJC-SM-LC/PC-SC/APC</t>
        </is>
      </c>
      <c r="C936" s="2" t="inlineStr">
        <is>
          <t>0.5M, B3, 3.0mm</t>
        </is>
      </c>
      <c r="D936" s="2" t="inlineStr">
        <is>
          <t>b3</t>
        </is>
      </c>
      <c r="E936" s="2" t="inlineStr">
        <is>
          <t>3.0mm</t>
        </is>
      </c>
      <c r="F936" s="2" t="n">
        <v>1</v>
      </c>
      <c r="G936" s="2" t="n">
        <v>0.5</v>
      </c>
      <c r="H936" s="2" t="inlineStr">
        <is>
          <t>LC/PC</t>
        </is>
      </c>
      <c r="I936" s="2" t="inlineStr">
        <is>
          <t>SC/APC</t>
        </is>
      </c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>
        <v>50</v>
      </c>
      <c r="T936" s="2" t="n"/>
      <c r="U936" s="2" t="n"/>
      <c r="V936" s="2">
        <f>SUM(J936:U936)</f>
        <v/>
      </c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>
        <v>50</v>
      </c>
      <c r="AK936" s="2" t="n"/>
      <c r="AL936" s="2" t="n"/>
      <c r="AM936" s="2" t="n"/>
      <c r="AN936" s="2" t="n"/>
      <c r="AO936" s="2" t="n"/>
      <c r="AP936" s="2" t="n">
        <v>50</v>
      </c>
      <c r="AQ936" s="2" t="n"/>
      <c r="AR936" s="2" t="n"/>
      <c r="AS936" s="2" t="n"/>
      <c r="AT936" s="2" t="n"/>
      <c r="AU936" s="2" t="n"/>
      <c r="AV936" s="2">
        <f>IF(F936=1,V936*2,IF(F936=2,V936*F936*2,IF(F936&gt;2,F936*2*V936)))</f>
        <v/>
      </c>
      <c r="AW936" s="2">
        <f>SUM(W936:AU936)</f>
        <v/>
      </c>
    </row>
    <row r="937">
      <c r="A937" s="2" t="inlineStr">
        <is>
          <t>A14-SB-N455</t>
        </is>
      </c>
      <c r="B937" s="3" t="inlineStr">
        <is>
          <t>SOJC-SM-LC/APC-SC/PC</t>
        </is>
      </c>
      <c r="C937" s="2" t="inlineStr">
        <is>
          <t>10M, B3, 2.0mm</t>
        </is>
      </c>
      <c r="D937" s="2" t="inlineStr">
        <is>
          <t>b3</t>
        </is>
      </c>
      <c r="E937" s="2" t="inlineStr">
        <is>
          <t>2.0mm</t>
        </is>
      </c>
      <c r="F937" s="2" t="n">
        <v>1</v>
      </c>
      <c r="G937" s="2" t="n">
        <v>10</v>
      </c>
      <c r="H937" s="2" t="inlineStr">
        <is>
          <t>LC/APC</t>
        </is>
      </c>
      <c r="I937" s="2" t="inlineStr">
        <is>
          <t>SC/PC</t>
        </is>
      </c>
      <c r="J937" s="2" t="n"/>
      <c r="K937" s="2" t="n"/>
      <c r="L937" s="2" t="n">
        <v>1</v>
      </c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>
        <f>SUM(J937:U937)</f>
        <v/>
      </c>
      <c r="W937" s="2" t="n"/>
      <c r="X937" s="2" t="n"/>
      <c r="Y937" s="2" t="n">
        <v>1</v>
      </c>
      <c r="Z937" s="2" t="n"/>
      <c r="AA937" s="2" t="n">
        <v>1</v>
      </c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>
        <f>IF(F937=1,V937*2,IF(F937=2,V937*F937*2,IF(F937&gt;2,F937*2*V937)))</f>
        <v/>
      </c>
      <c r="AW937" s="2">
        <f>SUM(W937:AU937)</f>
        <v/>
      </c>
    </row>
    <row r="938">
      <c r="A938" s="2" t="inlineStr">
        <is>
          <t>A14-SB-N456</t>
        </is>
      </c>
      <c r="B938" s="3" t="inlineStr">
        <is>
          <t>SOJC-SM-LC/APC-SC/PC</t>
        </is>
      </c>
      <c r="C938" s="2" t="inlineStr">
        <is>
          <t>15M, B3, 2.0mm</t>
        </is>
      </c>
      <c r="D938" s="2" t="inlineStr">
        <is>
          <t>b3</t>
        </is>
      </c>
      <c r="E938" s="2" t="inlineStr">
        <is>
          <t>2.0mm</t>
        </is>
      </c>
      <c r="F938" s="2" t="n">
        <v>1</v>
      </c>
      <c r="G938" s="2" t="n">
        <v>15</v>
      </c>
      <c r="H938" s="2" t="inlineStr">
        <is>
          <t>LC/APC</t>
        </is>
      </c>
      <c r="I938" s="2" t="inlineStr">
        <is>
          <t>SC/PC</t>
        </is>
      </c>
      <c r="J938" s="2" t="n"/>
      <c r="K938" s="2" t="n"/>
      <c r="L938" s="2" t="n">
        <v>3</v>
      </c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>
        <f>SUM(J938:U938)</f>
        <v/>
      </c>
      <c r="W938" s="2" t="n"/>
      <c r="X938" s="2" t="n"/>
      <c r="Y938" s="2" t="n">
        <v>3</v>
      </c>
      <c r="Z938" s="2" t="n"/>
      <c r="AA938" s="2" t="n">
        <v>3</v>
      </c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>
        <f>IF(F938=1,V938*2,IF(F938=2,V938*F938*2,IF(F938&gt;2,F938*2*V938)))</f>
        <v/>
      </c>
      <c r="AW938" s="2">
        <f>SUM(W938:AU938)</f>
        <v/>
      </c>
    </row>
    <row r="939">
      <c r="A939" s="2" t="inlineStr">
        <is>
          <t>A14-SB-N488</t>
        </is>
      </c>
      <c r="B939" s="3" t="inlineStr">
        <is>
          <t>SOJC-SM-LC/PC-LC/PC</t>
        </is>
      </c>
      <c r="C939" s="2" t="inlineStr">
        <is>
          <t>22M, B3, 2.0mm</t>
        </is>
      </c>
      <c r="D939" s="2" t="inlineStr">
        <is>
          <t>b3</t>
        </is>
      </c>
      <c r="E939" s="2" t="inlineStr">
        <is>
          <t>2.0mm</t>
        </is>
      </c>
      <c r="F939" s="2" t="n">
        <v>1</v>
      </c>
      <c r="G939" s="2" t="n">
        <v>22</v>
      </c>
      <c r="H939" s="2" t="inlineStr">
        <is>
          <t>LC/PC</t>
        </is>
      </c>
      <c r="I939" s="2" t="inlineStr">
        <is>
          <t>LC/PC</t>
        </is>
      </c>
      <c r="J939" s="2" t="n"/>
      <c r="K939" s="2" t="n"/>
      <c r="L939" s="2" t="n"/>
      <c r="M939" s="2" t="n">
        <v>3</v>
      </c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>
        <f>SUM(J939:U939)</f>
        <v/>
      </c>
      <c r="W939" s="2" t="n">
        <v>6</v>
      </c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>
        <f>IF(F939=1,V939*2,IF(F939=2,V939*F939*2,IF(F939&gt;2,F939*2*V939)))</f>
        <v/>
      </c>
      <c r="AW939" s="2">
        <f>SUM(W939:AU939)</f>
        <v/>
      </c>
    </row>
    <row r="940">
      <c r="A940" s="2" t="inlineStr">
        <is>
          <t>A14-SB-N657</t>
        </is>
      </c>
      <c r="B940" s="3" t="inlineStr">
        <is>
          <t>SOJC-SM-LC/PC-LC/APC</t>
        </is>
      </c>
      <c r="C940" s="2" t="inlineStr">
        <is>
          <t>920001072, 3M, B3, 3.0mm</t>
        </is>
      </c>
      <c r="D940" s="2" t="inlineStr">
        <is>
          <t>b3</t>
        </is>
      </c>
      <c r="E940" s="2" t="inlineStr">
        <is>
          <t>3.0mm</t>
        </is>
      </c>
      <c r="F940" s="2" t="n">
        <v>1</v>
      </c>
      <c r="G940" s="2" t="n">
        <v>3</v>
      </c>
      <c r="H940" s="2" t="inlineStr">
        <is>
          <t>LC/PC</t>
        </is>
      </c>
      <c r="I940" s="2" t="inlineStr">
        <is>
          <t>LC/APC</t>
        </is>
      </c>
      <c r="J940" s="2" t="n"/>
      <c r="K940" s="2" t="n">
        <v>5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>
        <f>SUM(J940:U940)</f>
        <v/>
      </c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>
        <v>5</v>
      </c>
      <c r="AK940" s="2" t="n"/>
      <c r="AL940" s="2" t="n">
        <v>5</v>
      </c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>
        <f>IF(F940=1,V940*2,IF(F940=2,V940*F940*2,IF(F940&gt;2,F940*2*V940)))</f>
        <v/>
      </c>
      <c r="AW940" s="2">
        <f>SUM(W940:AU940)</f>
        <v/>
      </c>
    </row>
    <row r="941">
      <c r="A941" s="2" t="inlineStr">
        <is>
          <t>A14-SB-N816</t>
        </is>
      </c>
      <c r="B941" s="3" t="inlineStr">
        <is>
          <t>SOJC-SM-LC/PC-FC/PC</t>
        </is>
      </c>
      <c r="C941" s="2" t="inlineStr">
        <is>
          <t>12M, B3, 2.0mm</t>
        </is>
      </c>
      <c r="D941" s="2" t="inlineStr">
        <is>
          <t>b3</t>
        </is>
      </c>
      <c r="E941" s="2" t="inlineStr">
        <is>
          <t>2.0mm</t>
        </is>
      </c>
      <c r="F941" s="2" t="n">
        <v>1</v>
      </c>
      <c r="G941" s="2" t="n">
        <v>12</v>
      </c>
      <c r="H941" s="2" t="inlineStr">
        <is>
          <t>LC/PC</t>
        </is>
      </c>
      <c r="I941" s="2" t="inlineStr">
        <is>
          <t>FC/PC</t>
        </is>
      </c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>
        <v>3</v>
      </c>
      <c r="S941" s="2" t="n"/>
      <c r="T941" s="2" t="n"/>
      <c r="U941" s="2" t="n"/>
      <c r="V941" s="2">
        <f>SUM(J941:U941)</f>
        <v/>
      </c>
      <c r="W941" s="2" t="n">
        <v>3</v>
      </c>
      <c r="X941" s="2" t="n"/>
      <c r="Y941" s="2" t="n"/>
      <c r="Z941" s="2" t="n"/>
      <c r="AA941" s="2" t="n"/>
      <c r="AB941" s="2" t="n"/>
      <c r="AC941" s="2" t="n"/>
      <c r="AD941" s="2" t="n"/>
      <c r="AE941" s="2" t="n">
        <v>3</v>
      </c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>
        <f>IF(F941=1,V941*2,IF(F941=2,V941*F941*2,IF(F941&gt;2,F941*2*V941)))</f>
        <v/>
      </c>
      <c r="AW941" s="2">
        <f>SUM(W941:AU941)</f>
        <v/>
      </c>
    </row>
    <row r="942">
      <c r="A942" s="2" t="inlineStr">
        <is>
          <t>A14-SB-N822</t>
        </is>
      </c>
      <c r="B942" s="3" t="inlineStr">
        <is>
          <t>SOJC-SM-LC/PC-LC/PC</t>
        </is>
      </c>
      <c r="C942" s="2" t="inlineStr">
        <is>
          <t>45M, B3, 2.0mm</t>
        </is>
      </c>
      <c r="D942" s="2" t="inlineStr">
        <is>
          <t>b3</t>
        </is>
      </c>
      <c r="E942" s="2" t="inlineStr">
        <is>
          <t>2.0mm</t>
        </is>
      </c>
      <c r="F942" s="2" t="n">
        <v>1</v>
      </c>
      <c r="G942" s="2" t="n">
        <v>45</v>
      </c>
      <c r="H942" s="2" t="inlineStr">
        <is>
          <t>LC/PC</t>
        </is>
      </c>
      <c r="I942" s="2" t="inlineStr">
        <is>
          <t>LC/PC</t>
        </is>
      </c>
      <c r="J942" s="2" t="n"/>
      <c r="K942" s="2" t="n"/>
      <c r="L942" s="2" t="n"/>
      <c r="M942" s="2" t="n"/>
      <c r="N942" s="2" t="n"/>
      <c r="O942" s="2" t="n"/>
      <c r="P942" s="2" t="n"/>
      <c r="Q942" s="2" t="n">
        <v>15</v>
      </c>
      <c r="R942" s="2" t="n"/>
      <c r="S942" s="2" t="n"/>
      <c r="T942" s="2" t="n"/>
      <c r="U942" s="2" t="n"/>
      <c r="V942" s="2">
        <f>SUM(J942:U942)</f>
        <v/>
      </c>
      <c r="W942" s="2" t="n">
        <v>30</v>
      </c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>
        <f>IF(F942=1,V942*2,IF(F942=2,V942*F942*2,IF(F942&gt;2,F942*2*V942)))</f>
        <v/>
      </c>
      <c r="AW942" s="2">
        <f>SUM(W942:AU942)</f>
        <v/>
      </c>
    </row>
    <row r="943">
      <c r="A943" s="2" t="inlineStr">
        <is>
          <t>A14-SB-N834</t>
        </is>
      </c>
      <c r="B943" s="3" t="inlineStr">
        <is>
          <t>SOJC-SM-LC/APC-FC/APC</t>
        </is>
      </c>
      <c r="C943" s="2" t="inlineStr">
        <is>
          <t>15M, B3, 2.0mm</t>
        </is>
      </c>
      <c r="D943" s="2" t="inlineStr">
        <is>
          <t>b3</t>
        </is>
      </c>
      <c r="E943" s="2" t="inlineStr">
        <is>
          <t>2.0mm</t>
        </is>
      </c>
      <c r="F943" s="2" t="n">
        <v>1</v>
      </c>
      <c r="G943" s="2" t="n">
        <v>15</v>
      </c>
      <c r="H943" s="2" t="inlineStr">
        <is>
          <t>LC/APC</t>
        </is>
      </c>
      <c r="I943" s="2" t="inlineStr">
        <is>
          <t>FC/APC</t>
        </is>
      </c>
      <c r="J943" s="2" t="n">
        <v>6</v>
      </c>
      <c r="K943" s="2" t="n"/>
      <c r="L943" s="2" t="n"/>
      <c r="M943" s="2" t="n"/>
      <c r="N943" s="2" t="n">
        <v>20</v>
      </c>
      <c r="O943" s="2" t="n">
        <v>25</v>
      </c>
      <c r="P943" s="2" t="n"/>
      <c r="Q943" s="2" t="n"/>
      <c r="R943" s="2" t="n"/>
      <c r="S943" s="2" t="n"/>
      <c r="T943" s="2" t="n"/>
      <c r="U943" s="2" t="n"/>
      <c r="V943" s="2">
        <f>SUM(J943:U943)</f>
        <v/>
      </c>
      <c r="W943" s="2" t="n"/>
      <c r="X943" s="2" t="n"/>
      <c r="Y943" s="2" t="n">
        <v>51</v>
      </c>
      <c r="Z943" s="2" t="n"/>
      <c r="AA943" s="2" t="n"/>
      <c r="AB943" s="2" t="n"/>
      <c r="AC943" s="2" t="n"/>
      <c r="AD943" s="2" t="n"/>
      <c r="AE943" s="2" t="n"/>
      <c r="AF943" s="2" t="n"/>
      <c r="AG943" s="2" t="n">
        <v>51</v>
      </c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>
        <f>IF(F943=1,V943*2,IF(F943=2,V943*F943*2,IF(F943&gt;2,F943*2*V943)))</f>
        <v/>
      </c>
      <c r="AW943" s="2">
        <f>SUM(W943:AU943)</f>
        <v/>
      </c>
    </row>
    <row r="944">
      <c r="A944" s="2" t="inlineStr">
        <is>
          <t>A14-SB-N835</t>
        </is>
      </c>
      <c r="B944" s="3" t="inlineStr">
        <is>
          <t>SOJC-SM-LC/APC-FC/PC</t>
        </is>
      </c>
      <c r="C944" s="2" t="inlineStr">
        <is>
          <t>15M, B3, 2.0mm</t>
        </is>
      </c>
      <c r="D944" s="2" t="inlineStr">
        <is>
          <t>b3</t>
        </is>
      </c>
      <c r="E944" s="2" t="inlineStr">
        <is>
          <t>2.0mm</t>
        </is>
      </c>
      <c r="F944" s="2" t="n">
        <v>1</v>
      </c>
      <c r="G944" s="2" t="n">
        <v>15</v>
      </c>
      <c r="H944" s="2" t="inlineStr">
        <is>
          <t>LC/APC</t>
        </is>
      </c>
      <c r="I944" s="2" t="inlineStr">
        <is>
          <t>FC/PC</t>
        </is>
      </c>
      <c r="J944" s="2" t="n"/>
      <c r="K944" s="2" t="n"/>
      <c r="L944" s="2" t="n">
        <v>3</v>
      </c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>
        <f>SUM(J944:U944)</f>
        <v/>
      </c>
      <c r="W944" s="2" t="n"/>
      <c r="X944" s="2" t="n"/>
      <c r="Y944" s="2" t="n">
        <v>3</v>
      </c>
      <c r="Z944" s="2" t="n"/>
      <c r="AA944" s="2" t="n"/>
      <c r="AB944" s="2" t="n"/>
      <c r="AC944" s="2" t="n"/>
      <c r="AD944" s="2" t="n"/>
      <c r="AE944" s="2" t="n">
        <v>3</v>
      </c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>
        <f>IF(F944=1,V944*2,IF(F944=2,V944*F944*2,IF(F944&gt;2,F944*2*V944)))</f>
        <v/>
      </c>
      <c r="AW944" s="2">
        <f>SUM(W944:AU944)</f>
        <v/>
      </c>
    </row>
    <row r="945">
      <c r="A945" s="2" t="inlineStr">
        <is>
          <t>A14-SB-N836</t>
        </is>
      </c>
      <c r="B945" s="3" t="inlineStr">
        <is>
          <t>SOJC-SM-LC/APC-FC/PC</t>
        </is>
      </c>
      <c r="C945" s="2" t="inlineStr">
        <is>
          <t>20M, B3, 2.0mm</t>
        </is>
      </c>
      <c r="D945" s="2" t="inlineStr">
        <is>
          <t>b3</t>
        </is>
      </c>
      <c r="E945" s="2" t="inlineStr">
        <is>
          <t>2.0mm</t>
        </is>
      </c>
      <c r="F945" s="2" t="n">
        <v>1</v>
      </c>
      <c r="G945" s="2" t="n">
        <v>20</v>
      </c>
      <c r="H945" s="2" t="inlineStr">
        <is>
          <t>LC/APC</t>
        </is>
      </c>
      <c r="I945" s="2" t="inlineStr">
        <is>
          <t>FC/PC</t>
        </is>
      </c>
      <c r="J945" s="2" t="n"/>
      <c r="K945" s="2" t="n"/>
      <c r="L945" s="2" t="n">
        <v>2</v>
      </c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>
        <f>SUM(J945:U945)</f>
        <v/>
      </c>
      <c r="W945" s="2" t="n"/>
      <c r="X945" s="2" t="n"/>
      <c r="Y945" s="2" t="n">
        <v>2</v>
      </c>
      <c r="Z945" s="2" t="n"/>
      <c r="AA945" s="2" t="n"/>
      <c r="AB945" s="2" t="n"/>
      <c r="AC945" s="2" t="n"/>
      <c r="AD945" s="2" t="n"/>
      <c r="AE945" s="2" t="n">
        <v>2</v>
      </c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>
        <f>IF(F945=1,V945*2,IF(F945=2,V945*F945*2,IF(F945&gt;2,F945*2*V945)))</f>
        <v/>
      </c>
      <c r="AW945" s="2">
        <f>SUM(W945:AU945)</f>
        <v/>
      </c>
    </row>
    <row r="946">
      <c r="A946" s="2" t="inlineStr">
        <is>
          <t>A14-SB-N843</t>
        </is>
      </c>
      <c r="B946" s="3" t="inlineStr">
        <is>
          <t>SOJC-SM-LC/APC-LC/APC</t>
        </is>
      </c>
      <c r="C946" s="2" t="inlineStr">
        <is>
          <t>15M, B3, 2.0mm</t>
        </is>
      </c>
      <c r="D946" s="2" t="inlineStr">
        <is>
          <t>b3</t>
        </is>
      </c>
      <c r="E946" s="2" t="inlineStr">
        <is>
          <t>2.0mm</t>
        </is>
      </c>
      <c r="F946" s="2" t="n">
        <v>1</v>
      </c>
      <c r="G946" s="2" t="n">
        <v>15</v>
      </c>
      <c r="H946" s="2" t="inlineStr">
        <is>
          <t>LC/APC</t>
        </is>
      </c>
      <c r="I946" s="2" t="inlineStr">
        <is>
          <t>LC/APC</t>
        </is>
      </c>
      <c r="J946" s="2" t="n"/>
      <c r="K946" s="2" t="n"/>
      <c r="L946" s="2" t="n"/>
      <c r="M946" s="2" t="n"/>
      <c r="N946" s="2" t="n">
        <v>20</v>
      </c>
      <c r="O946" s="2" t="n"/>
      <c r="P946" s="2" t="n"/>
      <c r="Q946" s="2" t="n"/>
      <c r="R946" s="2" t="n"/>
      <c r="S946" s="2" t="n"/>
      <c r="T946" s="2" t="n"/>
      <c r="U946" s="2" t="n"/>
      <c r="V946" s="2">
        <f>SUM(J946:U946)</f>
        <v/>
      </c>
      <c r="W946" s="2" t="n"/>
      <c r="X946" s="2" t="n"/>
      <c r="Y946" s="2" t="n">
        <v>40</v>
      </c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>
        <f>IF(F946=1,V946*2,IF(F946=2,V946*F946*2,IF(F946&gt;2,F946*2*V946)))</f>
        <v/>
      </c>
      <c r="AW946" s="2">
        <f>SUM(W946:AU946)</f>
        <v/>
      </c>
    </row>
    <row r="947">
      <c r="A947" s="2" t="inlineStr">
        <is>
          <t>A14-SB-N860</t>
        </is>
      </c>
      <c r="B947" s="3" t="inlineStr">
        <is>
          <t>SOJC-SM-LC/PC-LC/APC</t>
        </is>
      </c>
      <c r="C947" s="2" t="inlineStr">
        <is>
          <t>10M, B3, 2.0mm</t>
        </is>
      </c>
      <c r="D947" s="2" t="inlineStr">
        <is>
          <t>b3</t>
        </is>
      </c>
      <c r="E947" s="2" t="inlineStr">
        <is>
          <t>2.0mm</t>
        </is>
      </c>
      <c r="F947" s="2" t="n">
        <v>1</v>
      </c>
      <c r="G947" s="2" t="n">
        <v>10</v>
      </c>
      <c r="H947" s="2" t="inlineStr">
        <is>
          <t>LC/PC</t>
        </is>
      </c>
      <c r="I947" s="2" t="inlineStr">
        <is>
          <t>LC/APC</t>
        </is>
      </c>
      <c r="J947" s="2" t="n"/>
      <c r="K947" s="2" t="n"/>
      <c r="L947" s="2" t="n">
        <v>11</v>
      </c>
      <c r="M947" s="2" t="n"/>
      <c r="N947" s="2" t="n"/>
      <c r="O947" s="2" t="n">
        <v>10</v>
      </c>
      <c r="P947" s="2" t="n"/>
      <c r="Q947" s="2" t="n"/>
      <c r="R947" s="2" t="n"/>
      <c r="S947" s="2" t="n"/>
      <c r="T947" s="2" t="n"/>
      <c r="U947" s="2" t="n"/>
      <c r="V947" s="2">
        <f>SUM(J947:U947)</f>
        <v/>
      </c>
      <c r="W947" s="2" t="n">
        <v>21</v>
      </c>
      <c r="X947" s="2" t="n"/>
      <c r="Y947" s="2" t="n">
        <v>21</v>
      </c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>
        <f>IF(F947=1,V947*2,IF(F947=2,V947*F947*2,IF(F947&gt;2,F947*2*V947)))</f>
        <v/>
      </c>
      <c r="AW947" s="2">
        <f>SUM(W947:AU947)</f>
        <v/>
      </c>
    </row>
    <row r="948">
      <c r="A948" s="2" t="inlineStr">
        <is>
          <t>A14-SB-N971</t>
        </is>
      </c>
      <c r="B948" s="3" t="inlineStr">
        <is>
          <t>SOJC-SM-LC/PC-LC/APC</t>
        </is>
      </c>
      <c r="C948" s="2" t="inlineStr">
        <is>
          <t>7M, B3, 2.0mm</t>
        </is>
      </c>
      <c r="D948" s="2" t="inlineStr">
        <is>
          <t>b3</t>
        </is>
      </c>
      <c r="E948" s="2" t="inlineStr">
        <is>
          <t>2.0mm</t>
        </is>
      </c>
      <c r="F948" s="2" t="n">
        <v>1</v>
      </c>
      <c r="G948" s="2" t="n">
        <v>7</v>
      </c>
      <c r="H948" s="2" t="inlineStr">
        <is>
          <t>LC/PC</t>
        </is>
      </c>
      <c r="I948" s="2" t="inlineStr">
        <is>
          <t>LC/APC</t>
        </is>
      </c>
      <c r="J948" s="2" t="n"/>
      <c r="K948" s="2" t="n"/>
      <c r="L948" s="2" t="n">
        <v>8</v>
      </c>
      <c r="M948" s="2" t="n"/>
      <c r="N948" s="2" t="n"/>
      <c r="O948" s="2" t="n">
        <v>2</v>
      </c>
      <c r="P948" s="2" t="n"/>
      <c r="Q948" s="2" t="n"/>
      <c r="R948" s="2" t="n"/>
      <c r="S948" s="2" t="n"/>
      <c r="T948" s="2" t="n"/>
      <c r="U948" s="2" t="n"/>
      <c r="V948" s="2">
        <f>SUM(J948:U948)</f>
        <v/>
      </c>
      <c r="W948" s="2" t="n">
        <v>10</v>
      </c>
      <c r="X948" s="2" t="n"/>
      <c r="Y948" s="2" t="n">
        <v>10</v>
      </c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>
        <f>IF(F948=1,V948*2,IF(F948=2,V948*F948*2,IF(F948&gt;2,F948*2*V948)))</f>
        <v/>
      </c>
      <c r="AW948" s="2">
        <f>SUM(W948:AU948)</f>
        <v/>
      </c>
    </row>
    <row r="949">
      <c r="A949" s="2" t="inlineStr">
        <is>
          <t>A14-SB-N972</t>
        </is>
      </c>
      <c r="B949" s="3" t="inlineStr">
        <is>
          <t>SOJC-SM-LC/APC-FC/PC</t>
        </is>
      </c>
      <c r="C949" s="2" t="inlineStr">
        <is>
          <t>10M, B3, 2.0mm</t>
        </is>
      </c>
      <c r="D949" s="2" t="inlineStr">
        <is>
          <t>b3</t>
        </is>
      </c>
      <c r="E949" s="2" t="inlineStr">
        <is>
          <t>2.0mm</t>
        </is>
      </c>
      <c r="F949" s="2" t="n">
        <v>1</v>
      </c>
      <c r="G949" s="2" t="n">
        <v>10</v>
      </c>
      <c r="H949" s="2" t="inlineStr">
        <is>
          <t>LC/APC</t>
        </is>
      </c>
      <c r="I949" s="2" t="inlineStr">
        <is>
          <t>FC/PC</t>
        </is>
      </c>
      <c r="J949" s="2" t="n"/>
      <c r="K949" s="2" t="n"/>
      <c r="L949" s="2" t="n">
        <v>2</v>
      </c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>
        <f>SUM(J949:U949)</f>
        <v/>
      </c>
      <c r="W949" s="2" t="n"/>
      <c r="X949" s="2" t="n"/>
      <c r="Y949" s="2" t="n">
        <v>2</v>
      </c>
      <c r="Z949" s="2" t="n"/>
      <c r="AA949" s="2" t="n"/>
      <c r="AB949" s="2" t="n"/>
      <c r="AC949" s="2" t="n"/>
      <c r="AD949" s="2" t="n"/>
      <c r="AE949" s="2" t="n">
        <v>2</v>
      </c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>
        <f>IF(F949=1,V949*2,IF(F949=2,V949*F949*2,IF(F949&gt;2,F949*2*V949)))</f>
        <v/>
      </c>
      <c r="AW949" s="2">
        <f>SUM(W949:AU949)</f>
        <v/>
      </c>
    </row>
    <row r="950">
      <c r="A950" s="2" t="inlineStr">
        <is>
          <t>A14-SB-N973</t>
        </is>
      </c>
      <c r="B950" s="3" t="inlineStr">
        <is>
          <t>SOJC-SM-LC/APC-LC/APC</t>
        </is>
      </c>
      <c r="C950" s="2" t="inlineStr">
        <is>
          <t>20M, B3, 2.0mm</t>
        </is>
      </c>
      <c r="D950" s="2" t="inlineStr">
        <is>
          <t>b3</t>
        </is>
      </c>
      <c r="E950" s="2" t="inlineStr">
        <is>
          <t>2.0mm</t>
        </is>
      </c>
      <c r="F950" s="2" t="n">
        <v>1</v>
      </c>
      <c r="G950" s="2" t="n">
        <v>20</v>
      </c>
      <c r="H950" s="2" t="inlineStr">
        <is>
          <t>LC/APC</t>
        </is>
      </c>
      <c r="I950" s="2" t="inlineStr">
        <is>
          <t>LC/APC</t>
        </is>
      </c>
      <c r="J950" s="2" t="n"/>
      <c r="K950" s="2" t="n"/>
      <c r="L950" s="2" t="n">
        <v>15</v>
      </c>
      <c r="M950" s="2" t="n"/>
      <c r="N950" s="2" t="n"/>
      <c r="O950" s="2" t="n">
        <v>1</v>
      </c>
      <c r="P950" s="2" t="n"/>
      <c r="Q950" s="2" t="n"/>
      <c r="R950" s="2" t="n"/>
      <c r="S950" s="2" t="n"/>
      <c r="T950" s="2" t="n"/>
      <c r="U950" s="2" t="n"/>
      <c r="V950" s="2">
        <f>SUM(J950:U950)</f>
        <v/>
      </c>
      <c r="W950" s="2" t="n"/>
      <c r="X950" s="2" t="n"/>
      <c r="Y950" s="2" t="n">
        <v>32</v>
      </c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>
        <f>IF(F950=1,V950*2,IF(F950=2,V950*F950*2,IF(F950&gt;2,F950*2*V950)))</f>
        <v/>
      </c>
      <c r="AW950" s="2">
        <f>SUM(W950:AU950)</f>
        <v/>
      </c>
    </row>
    <row r="951">
      <c r="A951" s="2" t="inlineStr">
        <is>
          <t>A14-SB-N974</t>
        </is>
      </c>
      <c r="B951" s="3" t="inlineStr">
        <is>
          <t>SOJC-SM-LC/APC-SC/PC</t>
        </is>
      </c>
      <c r="C951" s="2" t="inlineStr">
        <is>
          <t>20M, B3, 2.0mm</t>
        </is>
      </c>
      <c r="D951" s="2" t="inlineStr">
        <is>
          <t>b3</t>
        </is>
      </c>
      <c r="E951" s="2" t="inlineStr">
        <is>
          <t>2.0mm</t>
        </is>
      </c>
      <c r="F951" s="2" t="n">
        <v>1</v>
      </c>
      <c r="G951" s="2" t="n">
        <v>20</v>
      </c>
      <c r="H951" s="2" t="inlineStr">
        <is>
          <t>LC/APC</t>
        </is>
      </c>
      <c r="I951" s="2" t="inlineStr">
        <is>
          <t>SC/PC</t>
        </is>
      </c>
      <c r="J951" s="2" t="n"/>
      <c r="K951" s="2" t="n"/>
      <c r="L951" s="2" t="n">
        <v>1</v>
      </c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>
        <f>SUM(J951:U951)</f>
        <v/>
      </c>
      <c r="W951" s="2" t="n"/>
      <c r="X951" s="2" t="n"/>
      <c r="Y951" s="2" t="n">
        <v>1</v>
      </c>
      <c r="Z951" s="2" t="n"/>
      <c r="AA951" s="2" t="n">
        <v>1</v>
      </c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>
        <f>IF(F951=1,V951*2,IF(F951=2,V951*F951*2,IF(F951&gt;2,F951*2*V951)))</f>
        <v/>
      </c>
      <c r="AW951" s="2">
        <f>SUM(W951:AU951)</f>
        <v/>
      </c>
    </row>
    <row r="952">
      <c r="A952" s="2" t="inlineStr">
        <is>
          <t>A14-SB-N976</t>
        </is>
      </c>
      <c r="B952" s="3" t="inlineStr">
        <is>
          <t>SOJC-SM-LC/PC-LC/APC</t>
        </is>
      </c>
      <c r="C952" s="2" t="inlineStr">
        <is>
          <t>30M, B3, 2mm</t>
        </is>
      </c>
      <c r="D952" s="2" t="inlineStr">
        <is>
          <t>b3</t>
        </is>
      </c>
      <c r="E952" s="2" t="inlineStr">
        <is>
          <t>2.0mm</t>
        </is>
      </c>
      <c r="F952" s="2" t="n">
        <v>1</v>
      </c>
      <c r="G952" s="2" t="n">
        <v>30</v>
      </c>
      <c r="H952" s="2" t="inlineStr">
        <is>
          <t>LC/PC</t>
        </is>
      </c>
      <c r="I952" s="2" t="inlineStr">
        <is>
          <t>LC/APC</t>
        </is>
      </c>
      <c r="J952" s="2" t="n"/>
      <c r="K952" s="2" t="n"/>
      <c r="L952" s="2" t="n"/>
      <c r="M952" s="2" t="n"/>
      <c r="N952" s="2" t="n">
        <v>1</v>
      </c>
      <c r="O952" s="2" t="n">
        <v>15</v>
      </c>
      <c r="P952" s="2" t="n"/>
      <c r="Q952" s="2" t="n"/>
      <c r="R952" s="2" t="n"/>
      <c r="S952" s="2" t="n"/>
      <c r="T952" s="2" t="n"/>
      <c r="U952" s="2" t="n"/>
      <c r="V952" s="2">
        <f>SUM(J952:U952)</f>
        <v/>
      </c>
      <c r="W952" s="2" t="n">
        <v>16</v>
      </c>
      <c r="X952" s="2" t="n"/>
      <c r="Y952" s="2" t="n">
        <v>16</v>
      </c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>
        <f>IF(F952=1,V952*2,IF(F952=2,V952*F952*2,IF(F952&gt;2,F952*2*V952)))</f>
        <v/>
      </c>
      <c r="AW952" s="2">
        <f>SUM(W952:AU952)</f>
        <v/>
      </c>
    </row>
    <row r="953">
      <c r="A953" s="2" t="inlineStr">
        <is>
          <t>A14-SB-N979</t>
        </is>
      </c>
      <c r="B953" s="3" t="inlineStr">
        <is>
          <t>SOJC-SM-LC/APC-LC/APC</t>
        </is>
      </c>
      <c r="C953" s="2" t="inlineStr">
        <is>
          <t>25M, B3, 2.0mm</t>
        </is>
      </c>
      <c r="D953" s="2" t="inlineStr">
        <is>
          <t>b3</t>
        </is>
      </c>
      <c r="E953" s="2" t="inlineStr">
        <is>
          <t>2.0mm</t>
        </is>
      </c>
      <c r="F953" s="2" t="n">
        <v>1</v>
      </c>
      <c r="G953" s="2" t="n">
        <v>25</v>
      </c>
      <c r="H953" s="2" t="inlineStr">
        <is>
          <t>LC/APC</t>
        </is>
      </c>
      <c r="I953" s="2" t="inlineStr">
        <is>
          <t>LC/APC</t>
        </is>
      </c>
      <c r="J953" s="2" t="n"/>
      <c r="K953" s="2" t="n"/>
      <c r="L953" s="2" t="n"/>
      <c r="M953" s="2" t="n"/>
      <c r="N953" s="2" t="n"/>
      <c r="O953" s="2" t="n">
        <v>1</v>
      </c>
      <c r="P953" s="2" t="n"/>
      <c r="Q953" s="2" t="n"/>
      <c r="R953" s="2" t="n"/>
      <c r="S953" s="2" t="n"/>
      <c r="T953" s="2" t="n"/>
      <c r="U953" s="2" t="n"/>
      <c r="V953" s="2">
        <f>SUM(J953:U953)</f>
        <v/>
      </c>
      <c r="W953" s="2" t="n"/>
      <c r="X953" s="2" t="n"/>
      <c r="Y953" s="2" t="n">
        <v>2</v>
      </c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>
        <f>IF(F953=1,V953*2,IF(F953=2,V953*F953*2,IF(F953&gt;2,F953*2*V953)))</f>
        <v/>
      </c>
      <c r="AW953" s="2">
        <f>SUM(W953:AU953)</f>
        <v/>
      </c>
    </row>
    <row r="954">
      <c r="A954" s="2" t="inlineStr">
        <is>
          <t>A14-SB-N980</t>
        </is>
      </c>
      <c r="B954" s="3" t="inlineStr">
        <is>
          <t>SOJC-SM-​LC/APC-FC/APC</t>
        </is>
      </c>
      <c r="C954" s="2" t="inlineStr">
        <is>
          <t>7M, B3, 2.0mm</t>
        </is>
      </c>
      <c r="D954" s="2" t="inlineStr">
        <is>
          <t>b3</t>
        </is>
      </c>
      <c r="E954" s="2" t="inlineStr">
        <is>
          <t>2.0mm</t>
        </is>
      </c>
      <c r="F954" s="2" t="n">
        <v>1</v>
      </c>
      <c r="G954" s="2" t="n">
        <v>7</v>
      </c>
      <c r="H954" s="2" t="inlineStr">
        <is>
          <t>LC/APC</t>
        </is>
      </c>
      <c r="I954" s="2" t="inlineStr">
        <is>
          <t>FC/APC</t>
        </is>
      </c>
      <c r="J954" s="2" t="n"/>
      <c r="K954" s="2" t="n"/>
      <c r="L954" s="2" t="n"/>
      <c r="M954" s="2" t="n"/>
      <c r="N954" s="2" t="n"/>
      <c r="O954" s="2" t="n">
        <v>10</v>
      </c>
      <c r="P954" s="2" t="n"/>
      <c r="Q954" s="2" t="n"/>
      <c r="R954" s="2" t="n"/>
      <c r="S954" s="2" t="n"/>
      <c r="T954" s="2" t="n"/>
      <c r="U954" s="2" t="n"/>
      <c r="V954" s="2">
        <f>SUM(J954:U954)</f>
        <v/>
      </c>
      <c r="W954" s="2" t="n"/>
      <c r="X954" s="2" t="n"/>
      <c r="Y954" s="2" t="n">
        <v>10</v>
      </c>
      <c r="Z954" s="2" t="n"/>
      <c r="AA954" s="2" t="n"/>
      <c r="AB954" s="2" t="n"/>
      <c r="AC954" s="2" t="n"/>
      <c r="AD954" s="2" t="n"/>
      <c r="AE954" s="2" t="n"/>
      <c r="AF954" s="2" t="n"/>
      <c r="AG954" s="2" t="n">
        <v>10</v>
      </c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>
        <f>IF(F954=1,V954*2,IF(F954=2,V954*F954*2,IF(F954&gt;2,F954*2*V954)))</f>
        <v/>
      </c>
      <c r="AW954" s="2">
        <f>SUM(W954:AU954)</f>
        <v/>
      </c>
    </row>
    <row r="955">
      <c r="A955" s="2" t="inlineStr">
        <is>
          <t>A14-SB-N981</t>
        </is>
      </c>
      <c r="B955" s="3" t="inlineStr">
        <is>
          <t>SOJC-SM-​LC/APC-FC/APC</t>
        </is>
      </c>
      <c r="C955" s="2" t="inlineStr">
        <is>
          <t>8M, B3, 2.0mm</t>
        </is>
      </c>
      <c r="D955" s="2" t="inlineStr">
        <is>
          <t>b3</t>
        </is>
      </c>
      <c r="E955" s="2" t="inlineStr">
        <is>
          <t>2.0mm</t>
        </is>
      </c>
      <c r="F955" s="2" t="n">
        <v>1</v>
      </c>
      <c r="G955" s="2" t="n">
        <v>8</v>
      </c>
      <c r="H955" s="2" t="inlineStr">
        <is>
          <t>LC/APC</t>
        </is>
      </c>
      <c r="I955" s="2" t="inlineStr">
        <is>
          <t>FC/APC</t>
        </is>
      </c>
      <c r="J955" s="2" t="n"/>
      <c r="K955" s="2" t="n"/>
      <c r="L955" s="2" t="n"/>
      <c r="M955" s="2" t="n"/>
      <c r="N955" s="2" t="n"/>
      <c r="O955" s="2" t="n">
        <v>8</v>
      </c>
      <c r="P955" s="2" t="n"/>
      <c r="Q955" s="2" t="n"/>
      <c r="R955" s="2" t="n"/>
      <c r="S955" s="2" t="n"/>
      <c r="T955" s="2" t="n"/>
      <c r="U955" s="2" t="n"/>
      <c r="V955" s="2">
        <f>SUM(J955:U955)</f>
        <v/>
      </c>
      <c r="W955" s="2" t="n"/>
      <c r="X955" s="2" t="n"/>
      <c r="Y955" s="2" t="n">
        <v>8</v>
      </c>
      <c r="Z955" s="2" t="n"/>
      <c r="AA955" s="2" t="n"/>
      <c r="AB955" s="2" t="n"/>
      <c r="AC955" s="2" t="n"/>
      <c r="AD955" s="2" t="n"/>
      <c r="AE955" s="2" t="n"/>
      <c r="AF955" s="2" t="n"/>
      <c r="AG955" s="2" t="n">
        <v>8</v>
      </c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>
        <f>IF(F955=1,V955*2,IF(F955=2,V955*F955*2,IF(F955&gt;2,F955*2*V955)))</f>
        <v/>
      </c>
      <c r="AW955" s="2">
        <f>SUM(W955:AU955)</f>
        <v/>
      </c>
    </row>
    <row r="956">
      <c r="A956" s="2" t="inlineStr">
        <is>
          <t>A14-SB-N982</t>
        </is>
      </c>
      <c r="B956" s="3" t="inlineStr">
        <is>
          <t>SOJC-SM-LC/PC-LC/PC</t>
        </is>
      </c>
      <c r="C956" s="2" t="inlineStr">
        <is>
          <t>0.5M,B3,2.0mm</t>
        </is>
      </c>
      <c r="D956" s="2" t="inlineStr">
        <is>
          <t>b3</t>
        </is>
      </c>
      <c r="E956" s="2" t="inlineStr">
        <is>
          <t>2.0mm</t>
        </is>
      </c>
      <c r="F956" s="2" t="n">
        <v>1</v>
      </c>
      <c r="G956" s="2" t="n">
        <v>0.5</v>
      </c>
      <c r="H956" s="2" t="inlineStr">
        <is>
          <t>LC/PC</t>
        </is>
      </c>
      <c r="I956" s="2" t="inlineStr">
        <is>
          <t>LC/PC</t>
        </is>
      </c>
      <c r="J956" s="2" t="n"/>
      <c r="K956" s="2" t="n"/>
      <c r="L956" s="2" t="n"/>
      <c r="M956" s="2" t="n"/>
      <c r="N956" s="2" t="n"/>
      <c r="O956" s="2" t="n">
        <v>55</v>
      </c>
      <c r="P956" s="2" t="n">
        <v>50</v>
      </c>
      <c r="Q956" s="2" t="n"/>
      <c r="R956" s="2" t="n"/>
      <c r="S956" s="2" t="n"/>
      <c r="T956" s="2" t="n"/>
      <c r="U956" s="2" t="n"/>
      <c r="V956" s="2">
        <f>SUM(J956:U956)</f>
        <v/>
      </c>
      <c r="W956" s="2" t="n">
        <v>210</v>
      </c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>
        <f>IF(F956=1,V956*2,IF(F956=2,V956*F956*2,IF(F956&gt;2,F956*2*V956)))</f>
        <v/>
      </c>
      <c r="AW956" s="2">
        <f>SUM(W956:AU956)</f>
        <v/>
      </c>
    </row>
    <row r="957">
      <c r="A957" s="2" t="inlineStr">
        <is>
          <t>A14-SB-N983</t>
        </is>
      </c>
      <c r="B957" s="3" t="inlineStr">
        <is>
          <t>DOJC-SM-LC/APC-LC/APC</t>
        </is>
      </c>
      <c r="C957" s="2" t="inlineStr">
        <is>
          <t>50M, B3, 2.0mm</t>
        </is>
      </c>
      <c r="D957" s="2" t="inlineStr">
        <is>
          <t>b3</t>
        </is>
      </c>
      <c r="E957" s="2" t="inlineStr">
        <is>
          <t>2.0mm</t>
        </is>
      </c>
      <c r="F957" s="2" t="n">
        <v>2</v>
      </c>
      <c r="G957" s="2" t="n">
        <v>50</v>
      </c>
      <c r="H957" s="2" t="inlineStr">
        <is>
          <t>LC/APC</t>
        </is>
      </c>
      <c r="I957" s="2" t="inlineStr">
        <is>
          <t>LC/APC</t>
        </is>
      </c>
      <c r="J957" s="2" t="n"/>
      <c r="K957" s="2" t="n"/>
      <c r="L957" s="2" t="n"/>
      <c r="M957" s="2" t="n"/>
      <c r="N957" s="2" t="n"/>
      <c r="O957" s="2" t="n">
        <v>60</v>
      </c>
      <c r="P957" s="2" t="n"/>
      <c r="Q957" s="2" t="n"/>
      <c r="R957" s="2" t="n"/>
      <c r="S957" s="2" t="n"/>
      <c r="T957" s="2" t="n"/>
      <c r="U957" s="2" t="n"/>
      <c r="V957" s="2">
        <f>SUM(J957:U957)</f>
        <v/>
      </c>
      <c r="W957" s="2" t="n"/>
      <c r="X957" s="2" t="n"/>
      <c r="Y957" s="2" t="n">
        <v>120</v>
      </c>
      <c r="Z957" s="2" t="n">
        <v>120</v>
      </c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>
        <f>IF(F957=1,V957*2,IF(F957=2,V957*F957*2,IF(F957&gt;2,F957*2*V957)))</f>
        <v/>
      </c>
      <c r="AW957" s="2">
        <f>SUM(W957:AU957)</f>
        <v/>
      </c>
    </row>
    <row r="958">
      <c r="A958" s="2" t="inlineStr">
        <is>
          <t>A14-SB-N984</t>
        </is>
      </c>
      <c r="B958" s="3" t="inlineStr">
        <is>
          <t>DOJC-SM-LC/APC-FC/APC</t>
        </is>
      </c>
      <c r="C958" s="2" t="inlineStr">
        <is>
          <t>22M, B3, 2.0mm</t>
        </is>
      </c>
      <c r="D958" s="2" t="inlineStr">
        <is>
          <t>b3</t>
        </is>
      </c>
      <c r="E958" s="2" t="inlineStr">
        <is>
          <t>2.0mm</t>
        </is>
      </c>
      <c r="F958" s="2" t="n">
        <v>2</v>
      </c>
      <c r="G958" s="2" t="n">
        <v>22</v>
      </c>
      <c r="H958" s="2" t="inlineStr">
        <is>
          <t>LC/APC</t>
        </is>
      </c>
      <c r="I958" s="2" t="inlineStr">
        <is>
          <t>FC/APC</t>
        </is>
      </c>
      <c r="J958" s="2" t="n"/>
      <c r="K958" s="2" t="n"/>
      <c r="L958" s="2" t="n"/>
      <c r="M958" s="2" t="n"/>
      <c r="N958" s="2" t="n"/>
      <c r="O958" s="2" t="n">
        <v>2</v>
      </c>
      <c r="P958" s="2" t="n"/>
      <c r="Q958" s="2" t="n"/>
      <c r="R958" s="2" t="n"/>
      <c r="S958" s="2" t="n"/>
      <c r="T958" s="2" t="n"/>
      <c r="U958" s="2" t="n"/>
      <c r="V958" s="2">
        <f>SUM(J958:U958)</f>
        <v/>
      </c>
      <c r="W958" s="2" t="n"/>
      <c r="X958" s="2" t="n"/>
      <c r="Y958" s="2" t="n">
        <v>4</v>
      </c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>
        <v>4</v>
      </c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>
        <f>IF(F958=1,V958*2,IF(F958=2,V958*F958*2,IF(F958&gt;2,F958*2*V958)))</f>
        <v/>
      </c>
      <c r="AW958" s="2">
        <f>SUM(W958:AU958)</f>
        <v/>
      </c>
    </row>
    <row r="959">
      <c r="A959" s="2" t="inlineStr">
        <is>
          <t>A14-SB-N985</t>
        </is>
      </c>
      <c r="B959" s="3" t="inlineStr">
        <is>
          <t>DOJC-SM-LC/APC-LC/APC</t>
        </is>
      </c>
      <c r="C959" s="2" t="inlineStr">
        <is>
          <t>16M, B3, 2.0mm</t>
        </is>
      </c>
      <c r="D959" s="2" t="inlineStr">
        <is>
          <t>b3</t>
        </is>
      </c>
      <c r="E959" s="2" t="inlineStr">
        <is>
          <t>2.0mm</t>
        </is>
      </c>
      <c r="F959" s="2" t="n">
        <v>2</v>
      </c>
      <c r="G959" s="2" t="n">
        <v>16</v>
      </c>
      <c r="H959" s="2" t="inlineStr">
        <is>
          <t>LC/APC</t>
        </is>
      </c>
      <c r="I959" s="2" t="inlineStr">
        <is>
          <t>LC/APC</t>
        </is>
      </c>
      <c r="J959" s="2" t="n"/>
      <c r="K959" s="2" t="n"/>
      <c r="L959" s="2" t="n"/>
      <c r="M959" s="2" t="n"/>
      <c r="N959" s="2" t="n"/>
      <c r="O959" s="2" t="n">
        <v>33</v>
      </c>
      <c r="P959" s="2" t="n">
        <v>30</v>
      </c>
      <c r="Q959" s="2" t="n"/>
      <c r="R959" s="2" t="n"/>
      <c r="S959" s="2" t="n"/>
      <c r="T959" s="2" t="n"/>
      <c r="U959" s="2" t="n"/>
      <c r="V959" s="2">
        <f>SUM(J959:U959)</f>
        <v/>
      </c>
      <c r="W959" s="2" t="n"/>
      <c r="X959" s="2" t="n"/>
      <c r="Y959" s="2" t="n">
        <v>126</v>
      </c>
      <c r="Z959" s="2" t="n">
        <v>126</v>
      </c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>
        <f>IF(F959=1,V959*2,IF(F959=2,V959*F959*2,IF(F959&gt;2,F959*2*V959)))</f>
        <v/>
      </c>
      <c r="AW959" s="2">
        <f>SUM(W959:AU959)</f>
        <v/>
      </c>
    </row>
    <row r="960">
      <c r="A960" s="2" t="inlineStr">
        <is>
          <t>A14-SB-NA06</t>
        </is>
      </c>
      <c r="B960" s="3" t="inlineStr">
        <is>
          <t>SOJC-SM-LC/PC-LC/APC</t>
        </is>
      </c>
      <c r="C960" s="2" t="inlineStr">
        <is>
          <t>12M, B3, 2.0mm</t>
        </is>
      </c>
      <c r="D960" s="2" t="inlineStr">
        <is>
          <t>b3</t>
        </is>
      </c>
      <c r="E960" s="2" t="inlineStr">
        <is>
          <t>2.0mm</t>
        </is>
      </c>
      <c r="F960" s="2" t="n">
        <v>1</v>
      </c>
      <c r="G960" s="2" t="n">
        <v>12</v>
      </c>
      <c r="H960" s="2" t="inlineStr">
        <is>
          <t>LC/PC</t>
        </is>
      </c>
      <c r="I960" s="2" t="inlineStr">
        <is>
          <t>LC/APC</t>
        </is>
      </c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>
        <v>2</v>
      </c>
      <c r="S960" s="2" t="n"/>
      <c r="T960" s="2" t="n"/>
      <c r="U960" s="2" t="n"/>
      <c r="V960" s="2">
        <f>SUM(J960:U960)</f>
        <v/>
      </c>
      <c r="W960" s="2" t="n">
        <v>2</v>
      </c>
      <c r="X960" s="2" t="n"/>
      <c r="Y960" s="2" t="n">
        <v>2</v>
      </c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>
        <f>IF(F960=1,V960*2,IF(F960=2,V960*F960*2,IF(F960&gt;2,F960*2*V960)))</f>
        <v/>
      </c>
      <c r="AW960" s="2">
        <f>SUM(W960:AU960)</f>
        <v/>
      </c>
    </row>
    <row r="961">
      <c r="A961" s="2" t="inlineStr">
        <is>
          <t>A14-SB-NA31</t>
        </is>
      </c>
      <c r="B961" s="3" t="inlineStr">
        <is>
          <t>SOJC-SM-SC/PC-FC/APC</t>
        </is>
      </c>
      <c r="C961" s="2" t="inlineStr">
        <is>
          <t>17M, B3, 2.0mm</t>
        </is>
      </c>
      <c r="D961" s="2" t="inlineStr">
        <is>
          <t>b3</t>
        </is>
      </c>
      <c r="E961" s="2" t="inlineStr">
        <is>
          <t>2.0mm</t>
        </is>
      </c>
      <c r="F961" s="2" t="n">
        <v>1</v>
      </c>
      <c r="G961" s="2" t="n">
        <v>17</v>
      </c>
      <c r="H961" s="2" t="inlineStr">
        <is>
          <t>SC/PC</t>
        </is>
      </c>
      <c r="I961" s="2" t="inlineStr">
        <is>
          <t>FC/APC</t>
        </is>
      </c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>
        <v>21</v>
      </c>
      <c r="S961" s="2" t="n"/>
      <c r="T961" s="2" t="n"/>
      <c r="U961" s="2" t="n"/>
      <c r="V961" s="2">
        <f>SUM(J961:U961)</f>
        <v/>
      </c>
      <c r="W961" s="2" t="n"/>
      <c r="X961" s="2" t="n"/>
      <c r="Y961" s="2" t="n"/>
      <c r="Z961" s="2" t="n"/>
      <c r="AA961" s="2" t="n">
        <v>21</v>
      </c>
      <c r="AB961" s="2" t="n"/>
      <c r="AC961" s="2" t="n"/>
      <c r="AD961" s="2" t="n"/>
      <c r="AE961" s="2" t="n"/>
      <c r="AF961" s="2" t="n"/>
      <c r="AG961" s="2" t="n">
        <v>21</v>
      </c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>
        <f>IF(F961=1,V961*2,IF(F961=2,V961*F961*2,IF(F961&gt;2,F961*2*V961)))</f>
        <v/>
      </c>
      <c r="AW961" s="2">
        <f>SUM(W961:AU961)</f>
        <v/>
      </c>
    </row>
    <row r="962">
      <c r="A962" s="2" t="inlineStr">
        <is>
          <t>A14-SB-NA32</t>
        </is>
      </c>
      <c r="B962" s="3" t="inlineStr">
        <is>
          <t>SOJC-SM-SC/PC-SC/PC</t>
        </is>
      </c>
      <c r="C962" s="2" t="inlineStr">
        <is>
          <t>0.5M, B3, 2.0mm</t>
        </is>
      </c>
      <c r="D962" s="2" t="inlineStr">
        <is>
          <t>b3</t>
        </is>
      </c>
      <c r="E962" s="2" t="inlineStr">
        <is>
          <t>2.0mm</t>
        </is>
      </c>
      <c r="F962" s="2" t="n">
        <v>1</v>
      </c>
      <c r="G962" s="2" t="n">
        <v>0.5</v>
      </c>
      <c r="H962" s="2" t="inlineStr">
        <is>
          <t>SC/PC</t>
        </is>
      </c>
      <c r="I962" s="2" t="inlineStr">
        <is>
          <t>SC/PC</t>
        </is>
      </c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>
        <v>100</v>
      </c>
      <c r="V962" s="2">
        <f>SUM(J962:U962)</f>
        <v/>
      </c>
      <c r="W962" s="2" t="n"/>
      <c r="X962" s="2" t="n"/>
      <c r="Y962" s="2" t="n"/>
      <c r="Z962" s="2" t="n"/>
      <c r="AA962" s="2" t="n">
        <v>200</v>
      </c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>
        <f>IF(F962=1,V962*2,IF(F962=2,V962*F962*2,IF(F962&gt;2,F962*2*V962)))</f>
        <v/>
      </c>
      <c r="AW962" s="2">
        <f>SUM(W962:AU962)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20" customWidth="1" min="24" max="24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25년01월</t>
        </is>
      </c>
      <c r="K1" s="1" t="inlineStr">
        <is>
          <t>25년02월</t>
        </is>
      </c>
      <c r="L1" s="1" t="inlineStr">
        <is>
          <t>25년03월</t>
        </is>
      </c>
      <c r="M1" s="1" t="inlineStr">
        <is>
          <t>25년04월</t>
        </is>
      </c>
      <c r="N1" s="1" t="inlineStr">
        <is>
          <t>25년05월</t>
        </is>
      </c>
      <c r="O1" s="1" t="inlineStr">
        <is>
          <t>25년06월</t>
        </is>
      </c>
      <c r="P1" s="1" t="inlineStr">
        <is>
          <t>25년07월</t>
        </is>
      </c>
      <c r="Q1" s="1" t="inlineStr">
        <is>
          <t>25년08월</t>
        </is>
      </c>
      <c r="R1" s="1" t="inlineStr">
        <is>
          <t>25년09월</t>
        </is>
      </c>
      <c r="S1" s="1" t="inlineStr">
        <is>
          <t>25년10월</t>
        </is>
      </c>
      <c r="T1" s="1" t="inlineStr">
        <is>
          <t>25년11월</t>
        </is>
      </c>
      <c r="U1" s="1" t="inlineStr">
        <is>
          <t>25년12월</t>
        </is>
      </c>
      <c r="V1" s="1" t="inlineStr">
        <is>
          <t>케이블 사용량</t>
        </is>
      </c>
      <c r="W1" s="1" t="inlineStr">
        <is>
          <t>최고제작량</t>
        </is>
      </c>
      <c r="X1" s="1" t="inlineStr">
        <is>
          <t>최고판매 케이블 소요량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10</v>
      </c>
      <c r="U2" s="2" t="n"/>
      <c r="V2" s="2">
        <f>SUM(J2:U2)*G2</f>
        <v/>
      </c>
      <c r="W2" s="2">
        <f>MAX(J2:U2)</f>
        <v/>
      </c>
      <c r="X2" s="2">
        <f>W2*G2</f>
        <v/>
      </c>
    </row>
    <row r="3">
      <c r="A3" s="2" t="inlineStr">
        <is>
          <t>14-C-005</t>
        </is>
      </c>
      <c r="B3" s="3" t="inlineStr">
        <is>
          <t>DROP-CABLE(LC/PC)</t>
        </is>
      </c>
      <c r="C3" s="2" t="inlineStr">
        <is>
          <t>3M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3</v>
      </c>
      <c r="H3" s="2" t="inlineStr">
        <is>
          <t>LC/PC</t>
        </is>
      </c>
      <c r="I3" s="2" t="inlineStr">
        <is>
          <t>LC/PC</t>
        </is>
      </c>
      <c r="J3" s="2" t="n">
        <v>250</v>
      </c>
      <c r="K3" s="2" t="n"/>
      <c r="L3" s="2" t="n">
        <v>32</v>
      </c>
      <c r="M3" s="2" t="n"/>
      <c r="N3" s="2" t="n">
        <v>30</v>
      </c>
      <c r="O3" s="2" t="n">
        <v>50</v>
      </c>
      <c r="P3" s="2" t="n">
        <v>30</v>
      </c>
      <c r="Q3" s="2" t="n"/>
      <c r="R3" s="2" t="n">
        <v>50</v>
      </c>
      <c r="S3" s="2" t="n">
        <v>50</v>
      </c>
      <c r="T3" s="2" t="n">
        <v>30</v>
      </c>
      <c r="U3" s="2" t="n">
        <v>130</v>
      </c>
      <c r="V3" s="2">
        <f>SUM(J3:U3)*G3</f>
        <v/>
      </c>
      <c r="W3" s="2">
        <f>MAX(J3:U3)</f>
        <v/>
      </c>
      <c r="X3" s="2">
        <f>W3*G3</f>
        <v/>
      </c>
    </row>
    <row r="4">
      <c r="A4" s="2" t="inlineStr">
        <is>
          <t>14-C-006</t>
        </is>
      </c>
      <c r="B4" s="3" t="inlineStr">
        <is>
          <t>DROP-CABLE(LC/PC)</t>
        </is>
      </c>
      <c r="C4" s="2" t="inlineStr">
        <is>
          <t>5M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5</v>
      </c>
      <c r="H4" s="2" t="inlineStr">
        <is>
          <t>LC/PC</t>
        </is>
      </c>
      <c r="I4" s="2" t="inlineStr">
        <is>
          <t>LC/PC</t>
        </is>
      </c>
      <c r="J4" s="2" t="n">
        <v>200</v>
      </c>
      <c r="K4" s="2" t="n"/>
      <c r="L4" s="2" t="n"/>
      <c r="M4" s="2" t="n"/>
      <c r="N4" s="2" t="n"/>
      <c r="O4" s="2" t="n"/>
      <c r="P4" s="2" t="n"/>
      <c r="Q4" s="2" t="n"/>
      <c r="R4" s="2" t="n">
        <v>25</v>
      </c>
      <c r="S4" s="2" t="n"/>
      <c r="T4" s="2" t="n">
        <v>20</v>
      </c>
      <c r="U4" s="2" t="n">
        <v>30</v>
      </c>
      <c r="V4" s="2">
        <f>SUM(J4:U4)*G4</f>
        <v/>
      </c>
      <c r="W4" s="2">
        <f>MAX(J4:U4)</f>
        <v/>
      </c>
      <c r="X4" s="2">
        <f>W4*G4</f>
        <v/>
      </c>
    </row>
    <row r="5">
      <c r="A5" s="2" t="inlineStr">
        <is>
          <t>14-C-009</t>
        </is>
      </c>
      <c r="B5" s="3" t="inlineStr">
        <is>
          <t>DROP-CABLE(LC/PC-SC/APC)</t>
        </is>
      </c>
      <c r="C5" s="2" t="inlineStr">
        <is>
          <t>10M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10</v>
      </c>
      <c r="H5" s="2" t="inlineStr">
        <is>
          <t>LC/PC</t>
        </is>
      </c>
      <c r="I5" s="2" t="inlineStr">
        <is>
          <t>SC/APC</t>
        </is>
      </c>
      <c r="J5" s="2" t="n"/>
      <c r="K5" s="2" t="n">
        <v>10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>
        <f>SUM(J5:U5)*G5</f>
        <v/>
      </c>
      <c r="W5" s="2">
        <f>MAX(J5:U5)</f>
        <v/>
      </c>
      <c r="X5" s="2">
        <f>W5*G5</f>
        <v/>
      </c>
    </row>
    <row r="6">
      <c r="A6" s="2" t="inlineStr">
        <is>
          <t>14-C-010</t>
        </is>
      </c>
      <c r="B6" s="3" t="inlineStr">
        <is>
          <t>DROP-CABLE(LC/PC-SC/APC)</t>
        </is>
      </c>
      <c r="C6" s="2" t="inlineStr">
        <is>
          <t>20M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20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>
        <v>50</v>
      </c>
      <c r="V6" s="2">
        <f>SUM(J6:U6)*G6</f>
        <v/>
      </c>
      <c r="W6" s="2">
        <f>MAX(J6:U6)</f>
        <v/>
      </c>
      <c r="X6" s="2">
        <f>W6*G6</f>
        <v/>
      </c>
    </row>
    <row r="7">
      <c r="A7" s="2" t="inlineStr">
        <is>
          <t>14-C-013</t>
        </is>
      </c>
      <c r="B7" s="3" t="inlineStr">
        <is>
          <t>DROP-CABLE(SC/APC)</t>
        </is>
      </c>
      <c r="C7" s="2" t="inlineStr">
        <is>
          <t>10M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10</v>
      </c>
      <c r="H7" s="2" t="inlineStr">
        <is>
          <t>SC/APC</t>
        </is>
      </c>
      <c r="I7" s="2" t="inlineStr">
        <is>
          <t>SC/APC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>
        <v>30</v>
      </c>
      <c r="S7" s="2" t="n">
        <v>20</v>
      </c>
      <c r="T7" s="2" t="n"/>
      <c r="U7" s="2" t="n"/>
      <c r="V7" s="2">
        <f>SUM(J7:U7)*G7</f>
        <v/>
      </c>
      <c r="W7" s="2">
        <f>MAX(J7:U7)</f>
        <v/>
      </c>
      <c r="X7" s="2">
        <f>W7*G7</f>
        <v/>
      </c>
    </row>
    <row r="8">
      <c r="A8" s="2" t="inlineStr">
        <is>
          <t>14-C-015</t>
        </is>
      </c>
      <c r="B8" s="3" t="inlineStr">
        <is>
          <t>DROP-CABLE(SC/APC)</t>
        </is>
      </c>
      <c r="C8" s="2" t="inlineStr">
        <is>
          <t>15M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15</v>
      </c>
      <c r="H8" s="2" t="inlineStr">
        <is>
          <t>SC/APC</t>
        </is>
      </c>
      <c r="I8" s="2" t="inlineStr">
        <is>
          <t>SC/APC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>
        <v>44</v>
      </c>
      <c r="S8" s="2" t="n"/>
      <c r="T8" s="2" t="n"/>
      <c r="U8" s="2" t="n"/>
      <c r="V8" s="2">
        <f>SUM(J8:U8)*G8</f>
        <v/>
      </c>
      <c r="W8" s="2">
        <f>MAX(J8:U8)</f>
        <v/>
      </c>
      <c r="X8" s="2">
        <f>W8*G8</f>
        <v/>
      </c>
    </row>
    <row r="9">
      <c r="A9" s="2" t="inlineStr">
        <is>
          <t>14-C-017</t>
        </is>
      </c>
      <c r="B9" s="3" t="inlineStr">
        <is>
          <t>DROP-CABLE(SC/APC)</t>
        </is>
      </c>
      <c r="C9" s="2" t="inlineStr">
        <is>
          <t>20M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20</v>
      </c>
      <c r="H9" s="2" t="inlineStr">
        <is>
          <t>SC/APC</t>
        </is>
      </c>
      <c r="I9" s="2" t="inlineStr">
        <is>
          <t>SC/APC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>
        <v>30</v>
      </c>
      <c r="S9" s="2" t="n"/>
      <c r="T9" s="2" t="n"/>
      <c r="U9" s="2" t="n"/>
      <c r="V9" s="2">
        <f>SUM(J9:U9)*G9</f>
        <v/>
      </c>
      <c r="W9" s="2">
        <f>MAX(J9:U9)</f>
        <v/>
      </c>
      <c r="X9" s="2">
        <f>W9*G9</f>
        <v/>
      </c>
    </row>
    <row r="10">
      <c r="A10" s="2" t="inlineStr">
        <is>
          <t>14-C-026</t>
        </is>
      </c>
      <c r="B10" s="3" t="inlineStr">
        <is>
          <t>DROP-CABLE(SC/APC)</t>
        </is>
      </c>
      <c r="C10" s="2" t="inlineStr">
        <is>
          <t>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5</v>
      </c>
      <c r="H10" s="2" t="inlineStr">
        <is>
          <t>SC/APC</t>
        </is>
      </c>
      <c r="I10" s="2" t="inlineStr">
        <is>
          <t>SC/APC</t>
        </is>
      </c>
      <c r="J10" s="2" t="n"/>
      <c r="K10" s="2" t="n"/>
      <c r="L10" s="2" t="n"/>
      <c r="M10" s="2" t="n"/>
      <c r="N10" s="2" t="n"/>
      <c r="O10" s="2" t="n"/>
      <c r="P10" s="2" t="n">
        <v>50</v>
      </c>
      <c r="Q10" s="2" t="n"/>
      <c r="R10" s="2" t="n">
        <v>60</v>
      </c>
      <c r="S10" s="2" t="n">
        <v>30</v>
      </c>
      <c r="T10" s="2" t="n"/>
      <c r="U10" s="2" t="n"/>
      <c r="V10" s="2">
        <f>SUM(J10:U10)*G10</f>
        <v/>
      </c>
      <c r="W10" s="2">
        <f>MAX(J10:U10)</f>
        <v/>
      </c>
      <c r="X10" s="2">
        <f>W10*G10</f>
        <v/>
      </c>
    </row>
    <row r="11">
      <c r="A11" s="2" t="inlineStr">
        <is>
          <t>14-C-048</t>
        </is>
      </c>
      <c r="B11" s="3" t="inlineStr">
        <is>
          <t>DROP-CABLE(SC/PC)</t>
        </is>
      </c>
      <c r="C11" s="2" t="inlineStr">
        <is>
          <t>1M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1</v>
      </c>
      <c r="H11" s="2" t="inlineStr">
        <is>
          <t>SC/PC</t>
        </is>
      </c>
      <c r="I11" s="2" t="inlineStr">
        <is>
          <t>SC/PC</t>
        </is>
      </c>
      <c r="J11" s="2" t="n">
        <v>30</v>
      </c>
      <c r="K11" s="2" t="n"/>
      <c r="L11" s="2" t="n"/>
      <c r="M11" s="2" t="n"/>
      <c r="N11" s="2" t="n">
        <v>30</v>
      </c>
      <c r="O11" s="2" t="n"/>
      <c r="P11" s="2" t="n"/>
      <c r="Q11" s="2" t="n"/>
      <c r="R11" s="2" t="n">
        <v>50</v>
      </c>
      <c r="S11" s="2" t="n"/>
      <c r="T11" s="2" t="n"/>
      <c r="U11" s="2" t="n"/>
      <c r="V11" s="2">
        <f>SUM(J11:U11)*G11</f>
        <v/>
      </c>
      <c r="W11" s="2">
        <f>MAX(J11:U11)</f>
        <v/>
      </c>
      <c r="X11" s="2">
        <f>W11*G11</f>
        <v/>
      </c>
    </row>
    <row r="12">
      <c r="A12" s="2" t="inlineStr">
        <is>
          <t>14-C-052</t>
        </is>
      </c>
      <c r="B12" s="3" t="inlineStr">
        <is>
          <t>DROP-CABLE(SC/PC)</t>
        </is>
      </c>
      <c r="C12" s="2" t="inlineStr">
        <is>
          <t>2M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2</v>
      </c>
      <c r="H12" s="2" t="inlineStr">
        <is>
          <t>SC/PC</t>
        </is>
      </c>
      <c r="I12" s="2" t="inlineStr">
        <is>
          <t>SC/PC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80</v>
      </c>
      <c r="S12" s="2" t="n"/>
      <c r="T12" s="2" t="n"/>
      <c r="U12" s="2" t="n"/>
      <c r="V12" s="2">
        <f>SUM(J12:U12)*G12</f>
        <v/>
      </c>
      <c r="W12" s="2">
        <f>MAX(J12:U12)</f>
        <v/>
      </c>
      <c r="X12" s="2">
        <f>W12*G12</f>
        <v/>
      </c>
    </row>
    <row r="13">
      <c r="A13" s="2" t="inlineStr">
        <is>
          <t>14-C-055</t>
        </is>
      </c>
      <c r="B13" s="3" t="inlineStr">
        <is>
          <t>DROP-CABLE(SC/PC)</t>
        </is>
      </c>
      <c r="C13" s="2" t="inlineStr">
        <is>
          <t>3M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3</v>
      </c>
      <c r="H13" s="2" t="inlineStr">
        <is>
          <t>SC/PC</t>
        </is>
      </c>
      <c r="I13" s="2" t="inlineStr">
        <is>
          <t>SC/PC</t>
        </is>
      </c>
      <c r="J13" s="2" t="n"/>
      <c r="K13" s="2" t="n"/>
      <c r="L13" s="2" t="n"/>
      <c r="M13" s="2" t="n"/>
      <c r="N13" s="2" t="n">
        <v>10</v>
      </c>
      <c r="O13" s="2" t="n"/>
      <c r="P13" s="2" t="n"/>
      <c r="Q13" s="2" t="n"/>
      <c r="R13" s="2" t="n"/>
      <c r="S13" s="2" t="n"/>
      <c r="T13" s="2" t="n"/>
      <c r="U13" s="2" t="n"/>
      <c r="V13" s="2">
        <f>SUM(J13:U13)*G13</f>
        <v/>
      </c>
      <c r="W13" s="2">
        <f>MAX(J13:U13)</f>
        <v/>
      </c>
      <c r="X13" s="2">
        <f>W13*G13</f>
        <v/>
      </c>
    </row>
    <row r="14">
      <c r="A14" s="2" t="inlineStr">
        <is>
          <t>14-C-061</t>
        </is>
      </c>
      <c r="B14" s="3" t="inlineStr">
        <is>
          <t>DROP-CABLE(SC/PC)</t>
        </is>
      </c>
      <c r="C14" s="2" t="inlineStr">
        <is>
          <t>5M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5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>
        <v>5</v>
      </c>
      <c r="O14" s="2" t="n"/>
      <c r="P14" s="2" t="n"/>
      <c r="Q14" s="2" t="n"/>
      <c r="R14" s="2" t="n"/>
      <c r="S14" s="2" t="n"/>
      <c r="T14" s="2" t="n"/>
      <c r="U14" s="2" t="n"/>
      <c r="V14" s="2">
        <f>SUM(J14:U14)*G14</f>
        <v/>
      </c>
      <c r="W14" s="2">
        <f>MAX(J14:U14)</f>
        <v/>
      </c>
      <c r="X14" s="2">
        <f>W14*G14</f>
        <v/>
      </c>
    </row>
    <row r="15">
      <c r="A15" s="2" t="inlineStr">
        <is>
          <t>14-C-067</t>
        </is>
      </c>
      <c r="B15" s="3" t="inlineStr">
        <is>
          <t>DROP-CABLE(SC/PC)</t>
        </is>
      </c>
      <c r="C15" s="2" t="inlineStr">
        <is>
          <t>7M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7</v>
      </c>
      <c r="H15" s="2" t="inlineStr">
        <is>
          <t>SC/PC</t>
        </is>
      </c>
      <c r="I15" s="2" t="inlineStr">
        <is>
          <t>SC/PC</t>
        </is>
      </c>
      <c r="J15" s="2" t="n">
        <v>50</v>
      </c>
      <c r="K15" s="2" t="n"/>
      <c r="L15" s="2" t="n"/>
      <c r="M15" s="2" t="n"/>
      <c r="N15" s="2" t="n"/>
      <c r="O15" s="2" t="n"/>
      <c r="P15" s="2" t="n"/>
      <c r="Q15" s="2" t="n"/>
      <c r="R15" s="2" t="n">
        <v>60</v>
      </c>
      <c r="S15" s="2" t="n"/>
      <c r="T15" s="2" t="n">
        <v>30</v>
      </c>
      <c r="U15" s="2" t="n">
        <v>100</v>
      </c>
      <c r="V15" s="2">
        <f>SUM(J15:U15)*G15</f>
        <v/>
      </c>
      <c r="W15" s="2">
        <f>MAX(J15:U15)</f>
        <v/>
      </c>
      <c r="X15" s="2">
        <f>W15*G15</f>
        <v/>
      </c>
    </row>
    <row r="16">
      <c r="A16" s="2" t="inlineStr">
        <is>
          <t>14-C-076</t>
        </is>
      </c>
      <c r="B16" s="3" t="inlineStr">
        <is>
          <t>DROP-CABLE(SC/PC-SC/APC)</t>
        </is>
      </c>
      <c r="C16" s="2" t="inlineStr">
        <is>
          <t>25M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25</v>
      </c>
      <c r="H16" s="2" t="inlineStr">
        <is>
          <t>SC/PC</t>
        </is>
      </c>
      <c r="I16" s="2" t="inlineStr">
        <is>
          <t>SC/APC</t>
        </is>
      </c>
      <c r="J16" s="2" t="n"/>
      <c r="K16" s="2" t="n"/>
      <c r="L16" s="2" t="n"/>
      <c r="M16" s="2" t="n"/>
      <c r="N16" s="2" t="n"/>
      <c r="O16" s="2" t="n">
        <v>30</v>
      </c>
      <c r="P16" s="2" t="n"/>
      <c r="Q16" s="2" t="n"/>
      <c r="R16" s="2" t="n"/>
      <c r="S16" s="2" t="n"/>
      <c r="T16" s="2" t="n"/>
      <c r="U16" s="2" t="n"/>
      <c r="V16" s="2">
        <f>SUM(J16:U16)*G16</f>
        <v/>
      </c>
      <c r="W16" s="2">
        <f>MAX(J16:U16)</f>
        <v/>
      </c>
      <c r="X16" s="2">
        <f>W16*G16</f>
        <v/>
      </c>
    </row>
    <row r="17">
      <c r="A17" s="2" t="inlineStr">
        <is>
          <t>14-C-077</t>
        </is>
      </c>
      <c r="B17" s="3" t="inlineStr">
        <is>
          <t>DROP-CABLE(SC/PC-SC/APC)</t>
        </is>
      </c>
      <c r="C17" s="2" t="inlineStr">
        <is>
          <t>30M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30</v>
      </c>
      <c r="H17" s="2" t="inlineStr">
        <is>
          <t>SC/PC</t>
        </is>
      </c>
      <c r="I17" s="2" t="inlineStr">
        <is>
          <t>SC/APC</t>
        </is>
      </c>
      <c r="J17" s="2" t="n"/>
      <c r="K17" s="2" t="n"/>
      <c r="L17" s="2" t="n"/>
      <c r="M17" s="2" t="n"/>
      <c r="N17" s="2" t="n"/>
      <c r="O17" s="2" t="n">
        <v>20</v>
      </c>
      <c r="P17" s="2" t="n"/>
      <c r="Q17" s="2" t="n"/>
      <c r="R17" s="2" t="n"/>
      <c r="S17" s="2" t="n"/>
      <c r="T17" s="2" t="n"/>
      <c r="U17" s="2" t="n"/>
      <c r="V17" s="2">
        <f>SUM(J17:U17)*G17</f>
        <v/>
      </c>
      <c r="W17" s="2">
        <f>MAX(J17:U17)</f>
        <v/>
      </c>
      <c r="X17" s="2">
        <f>W17*G17</f>
        <v/>
      </c>
    </row>
    <row r="18">
      <c r="A18" s="2" t="inlineStr">
        <is>
          <t>14-C-089</t>
        </is>
      </c>
      <c r="B18" s="3" t="inlineStr">
        <is>
          <t>DROP-CABLE(SC/APC)</t>
        </is>
      </c>
      <c r="C18" s="2" t="inlineStr">
        <is>
          <t>7M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7</v>
      </c>
      <c r="H18" s="2" t="inlineStr">
        <is>
          <t>SC/APC</t>
        </is>
      </c>
      <c r="I18" s="2" t="inlineStr">
        <is>
          <t>SC/APC</t>
        </is>
      </c>
      <c r="J18" s="2" t="n"/>
      <c r="K18" s="2" t="n"/>
      <c r="L18" s="2" t="n"/>
      <c r="M18" s="2" t="n"/>
      <c r="N18" s="2" t="n"/>
      <c r="O18" s="2" t="n"/>
      <c r="P18" s="2" t="n">
        <v>70</v>
      </c>
      <c r="Q18" s="2" t="n"/>
      <c r="R18" s="2" t="n"/>
      <c r="S18" s="2" t="n">
        <v>30</v>
      </c>
      <c r="T18" s="2" t="n"/>
      <c r="U18" s="2" t="n"/>
      <c r="V18" s="2">
        <f>SUM(J18:U18)*G18</f>
        <v/>
      </c>
      <c r="W18" s="2">
        <f>MAX(J18:U18)</f>
        <v/>
      </c>
      <c r="X18" s="2">
        <f>W18*G18</f>
        <v/>
      </c>
    </row>
    <row r="19">
      <c r="A19" s="2" t="inlineStr">
        <is>
          <t>14-C-099</t>
        </is>
      </c>
      <c r="B19" s="3" t="inlineStr">
        <is>
          <t>DROP-CABLE(SC/PC-SC/APC)</t>
        </is>
      </c>
      <c r="C19" s="2" t="inlineStr">
        <is>
          <t>10M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10</v>
      </c>
      <c r="H19" s="2" t="inlineStr">
        <is>
          <t>SC/PC</t>
        </is>
      </c>
      <c r="I19" s="2" t="inlineStr">
        <is>
          <t>SC/APC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20</v>
      </c>
      <c r="S19" s="2" t="n"/>
      <c r="T19" s="2" t="n"/>
      <c r="U19" s="2" t="n"/>
      <c r="V19" s="2">
        <f>SUM(J19:U19)*G19</f>
        <v/>
      </c>
      <c r="W19" s="2">
        <f>MAX(J19:U19)</f>
        <v/>
      </c>
      <c r="X19" s="2">
        <f>W19*G19</f>
        <v/>
      </c>
    </row>
    <row r="20">
      <c r="A20" s="2" t="inlineStr">
        <is>
          <t>14-C-105</t>
        </is>
      </c>
      <c r="B20" s="3" t="inlineStr">
        <is>
          <t>DROP-CABLE(SC/PC-SC/APC)</t>
        </is>
      </c>
      <c r="C20" s="2" t="inlineStr">
        <is>
          <t>15M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15</v>
      </c>
      <c r="H20" s="2" t="inlineStr">
        <is>
          <t>SC/PC</t>
        </is>
      </c>
      <c r="I20" s="2" t="inlineStr">
        <is>
          <t>SC/APC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>
        <v>20</v>
      </c>
      <c r="S20" s="2" t="n"/>
      <c r="T20" s="2" t="n"/>
      <c r="U20" s="2" t="n"/>
      <c r="V20" s="2">
        <f>SUM(J20:U20)*G20</f>
        <v/>
      </c>
      <c r="W20" s="2">
        <f>MAX(J20:U20)</f>
        <v/>
      </c>
      <c r="X20" s="2">
        <f>W20*G20</f>
        <v/>
      </c>
    </row>
    <row r="21">
      <c r="A21" s="2" t="inlineStr">
        <is>
          <t>14-C-123</t>
        </is>
      </c>
      <c r="B21" s="3" t="inlineStr">
        <is>
          <t>DROP-CABLE(LC/PC)-2C</t>
        </is>
      </c>
      <c r="C21" s="2" t="inlineStr">
        <is>
          <t>1M</t>
        </is>
      </c>
      <c r="D21" s="2" t="inlineStr">
        <is>
          <t>drop</t>
        </is>
      </c>
      <c r="E21" s="2" t="inlineStr">
        <is>
          <t>3.0mm</t>
        </is>
      </c>
      <c r="F21" s="2" t="n">
        <v>2</v>
      </c>
      <c r="G21" s="2" t="n">
        <v>1</v>
      </c>
      <c r="H21" s="2" t="inlineStr">
        <is>
          <t>LC/PC</t>
        </is>
      </c>
      <c r="I21" s="2" t="inlineStr">
        <is>
          <t>LC/PC</t>
        </is>
      </c>
      <c r="J21" s="2" t="n">
        <v>10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>
        <f>SUM(J21:U21)*G21</f>
        <v/>
      </c>
      <c r="W21" s="2">
        <f>MAX(J21:U21)</f>
        <v/>
      </c>
      <c r="X21" s="2">
        <f>W21*G21</f>
        <v/>
      </c>
    </row>
    <row r="22">
      <c r="A22" s="2" t="inlineStr">
        <is>
          <t>14-C-125</t>
        </is>
      </c>
      <c r="B22" s="3" t="inlineStr">
        <is>
          <t>DROP-CABLE(LC/PC)-2C</t>
        </is>
      </c>
      <c r="C22" s="2" t="inlineStr">
        <is>
          <t>2M</t>
        </is>
      </c>
      <c r="D22" s="2" t="inlineStr">
        <is>
          <t>drop</t>
        </is>
      </c>
      <c r="E22" s="2" t="inlineStr">
        <is>
          <t>3.0mm</t>
        </is>
      </c>
      <c r="F22" s="2" t="n">
        <v>2</v>
      </c>
      <c r="G22" s="2" t="n">
        <v>2</v>
      </c>
      <c r="H22" s="2" t="inlineStr">
        <is>
          <t>LC/PC</t>
        </is>
      </c>
      <c r="I22" s="2" t="inlineStr">
        <is>
          <t>LC/PC</t>
        </is>
      </c>
      <c r="J22" s="2" t="n">
        <v>10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>
        <f>SUM(J22:U22)*G22</f>
        <v/>
      </c>
      <c r="W22" s="2">
        <f>MAX(J22:U22)</f>
        <v/>
      </c>
      <c r="X22" s="2">
        <f>W22*G22</f>
        <v/>
      </c>
    </row>
    <row r="23">
      <c r="A23" s="2" t="inlineStr">
        <is>
          <t>14-C-130</t>
        </is>
      </c>
      <c r="B23" s="3" t="inlineStr">
        <is>
          <t>DROP-CABLE(LC/PC-SC/APC)</t>
        </is>
      </c>
      <c r="C23" s="2" t="inlineStr">
        <is>
          <t>15M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15</v>
      </c>
      <c r="H23" s="2" t="inlineStr">
        <is>
          <t>LC/PC</t>
        </is>
      </c>
      <c r="I23" s="2" t="inlineStr">
        <is>
          <t>SC/APC</t>
        </is>
      </c>
      <c r="J23" s="2" t="n"/>
      <c r="K23" s="2" t="n">
        <v>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>
        <f>SUM(J23:U23)*G23</f>
        <v/>
      </c>
      <c r="W23" s="2">
        <f>MAX(J23:U23)</f>
        <v/>
      </c>
      <c r="X23" s="2">
        <f>W23*G23</f>
        <v/>
      </c>
    </row>
    <row r="24">
      <c r="A24" s="2" t="inlineStr">
        <is>
          <t>14-C-134</t>
        </is>
      </c>
      <c r="B24" s="3" t="inlineStr">
        <is>
          <t>DROP-CABLE(LC/PC)</t>
        </is>
      </c>
      <c r="C24" s="2" t="inlineStr">
        <is>
          <t>15M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15</v>
      </c>
      <c r="H24" s="2" t="inlineStr">
        <is>
          <t>LC/PC</t>
        </is>
      </c>
      <c r="I24" s="2" t="inlineStr">
        <is>
          <t>LC/PC</t>
        </is>
      </c>
      <c r="J24" s="2" t="n"/>
      <c r="K24" s="2" t="n"/>
      <c r="L24" s="2" t="n">
        <v>100</v>
      </c>
      <c r="M24" s="2" t="n"/>
      <c r="N24" s="2" t="n"/>
      <c r="O24" s="2" t="n"/>
      <c r="P24" s="2" t="n"/>
      <c r="Q24" s="2" t="n"/>
      <c r="R24" s="2" t="n">
        <v>10</v>
      </c>
      <c r="S24" s="2" t="n"/>
      <c r="T24" s="2" t="n"/>
      <c r="U24" s="2" t="n"/>
      <c r="V24" s="2">
        <f>SUM(J24:U24)*G24</f>
        <v/>
      </c>
      <c r="W24" s="2">
        <f>MAX(J24:U24)</f>
        <v/>
      </c>
      <c r="X24" s="2">
        <f>W24*G24</f>
        <v/>
      </c>
    </row>
    <row r="25">
      <c r="A25" s="2" t="inlineStr">
        <is>
          <t>14-C-135</t>
        </is>
      </c>
      <c r="B25" s="3" t="inlineStr">
        <is>
          <t>DROP-CABLE(LC/PC-SC/PC)</t>
        </is>
      </c>
      <c r="C25" s="2" t="inlineStr">
        <is>
          <t>5M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5</v>
      </c>
      <c r="H25" s="2" t="inlineStr">
        <is>
          <t>LC/PC</t>
        </is>
      </c>
      <c r="I25" s="2" t="inlineStr">
        <is>
          <t>SC/PC</t>
        </is>
      </c>
      <c r="J25" s="2" t="n"/>
      <c r="K25" s="2" t="n"/>
      <c r="L25" s="2" t="n"/>
      <c r="M25" s="2" t="n"/>
      <c r="N25" s="2" t="n">
        <v>5</v>
      </c>
      <c r="O25" s="2" t="n"/>
      <c r="P25" s="2" t="n"/>
      <c r="Q25" s="2" t="n"/>
      <c r="R25" s="2" t="n"/>
      <c r="S25" s="2" t="n"/>
      <c r="T25" s="2" t="n"/>
      <c r="U25" s="2" t="n"/>
      <c r="V25" s="2">
        <f>SUM(J25:U25)*G25</f>
        <v/>
      </c>
      <c r="W25" s="2">
        <f>MAX(J25:U25)</f>
        <v/>
      </c>
      <c r="X25" s="2">
        <f>W25*G25</f>
        <v/>
      </c>
    </row>
    <row r="26">
      <c r="A26" s="2" t="inlineStr">
        <is>
          <t>14-C-361</t>
        </is>
      </c>
      <c r="B26" s="3" t="inlineStr">
        <is>
          <t>DROP-CABLE(LC/PC-SC/APC)</t>
        </is>
      </c>
      <c r="C26" s="2" t="inlineStr">
        <is>
          <t>5M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5</v>
      </c>
      <c r="H26" s="2" t="inlineStr">
        <is>
          <t>LC/PC</t>
        </is>
      </c>
      <c r="I26" s="2" t="inlineStr">
        <is>
          <t>SC/APC</t>
        </is>
      </c>
      <c r="J26" s="2" t="n"/>
      <c r="K26" s="2" t="n">
        <v>10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SUM(J26:U26)*G26</f>
        <v/>
      </c>
      <c r="W26" s="2">
        <f>MAX(J26:U26)</f>
        <v/>
      </c>
      <c r="X26" s="2">
        <f>W26*G26</f>
        <v/>
      </c>
    </row>
    <row r="27">
      <c r="A27" s="2" t="inlineStr">
        <is>
          <t>14-C-366</t>
        </is>
      </c>
      <c r="B27" s="3" t="inlineStr">
        <is>
          <t>DROP-CABLE(LC/PC-SC/APC)-2C</t>
        </is>
      </c>
      <c r="C27" s="2" t="inlineStr">
        <is>
          <t>20M</t>
        </is>
      </c>
      <c r="D27" s="2" t="inlineStr">
        <is>
          <t>drop</t>
        </is>
      </c>
      <c r="E27" s="2" t="inlineStr">
        <is>
          <t>3.0mm</t>
        </is>
      </c>
      <c r="F27" s="2" t="n">
        <v>2</v>
      </c>
      <c r="G27" s="2" t="n">
        <v>20</v>
      </c>
      <c r="H27" s="2" t="inlineStr">
        <is>
          <t>LC/PC</t>
        </is>
      </c>
      <c r="I27" s="2" t="inlineStr">
        <is>
          <t>SC/APC</t>
        </is>
      </c>
      <c r="J27" s="2" t="n"/>
      <c r="K27" s="2" t="n"/>
      <c r="L27" s="2" t="n"/>
      <c r="M27" s="2" t="n"/>
      <c r="N27" s="2" t="n"/>
      <c r="O27" s="2" t="n"/>
      <c r="P27" s="2" t="n">
        <v>6</v>
      </c>
      <c r="Q27" s="2" t="n"/>
      <c r="R27" s="2" t="n"/>
      <c r="S27" s="2" t="n"/>
      <c r="T27" s="2" t="n"/>
      <c r="U27" s="2" t="n"/>
      <c r="V27" s="2">
        <f>SUM(J27:U27)*G27</f>
        <v/>
      </c>
      <c r="W27" s="2">
        <f>MAX(J27:U27)</f>
        <v/>
      </c>
      <c r="X27" s="2">
        <f>W27*G27</f>
        <v/>
      </c>
    </row>
    <row r="28">
      <c r="A28" s="2" t="inlineStr">
        <is>
          <t>14-C-402</t>
        </is>
      </c>
      <c r="B28" s="3" t="inlineStr">
        <is>
          <t>DROP-CABLE(LC/PC)-2C</t>
        </is>
      </c>
      <c r="C28" s="2" t="inlineStr">
        <is>
          <t>30M</t>
        </is>
      </c>
      <c r="D28" s="2" t="inlineStr">
        <is>
          <t>drop</t>
        </is>
      </c>
      <c r="E28" s="2" t="inlineStr">
        <is>
          <t>3.0mm</t>
        </is>
      </c>
      <c r="F28" s="2" t="n">
        <v>2</v>
      </c>
      <c r="G28" s="2" t="n">
        <v>30</v>
      </c>
      <c r="H28" s="2" t="inlineStr">
        <is>
          <t>LC/PC</t>
        </is>
      </c>
      <c r="I28" s="2" t="inlineStr">
        <is>
          <t>LC/PC</t>
        </is>
      </c>
      <c r="J28" s="2" t="n"/>
      <c r="K28" s="2" t="n"/>
      <c r="L28" s="2" t="n"/>
      <c r="M28" s="2" t="n"/>
      <c r="N28" s="2" t="n">
        <v>20</v>
      </c>
      <c r="O28" s="2" t="n"/>
      <c r="P28" s="2" t="n"/>
      <c r="Q28" s="2" t="n"/>
      <c r="R28" s="2" t="n"/>
      <c r="S28" s="2" t="n"/>
      <c r="T28" s="2" t="n">
        <v>30</v>
      </c>
      <c r="U28" s="2" t="n"/>
      <c r="V28" s="2">
        <f>SUM(J28:U28)*G28</f>
        <v/>
      </c>
      <c r="W28" s="2">
        <f>MAX(J28:U28)</f>
        <v/>
      </c>
      <c r="X28" s="2">
        <f>W28*G28</f>
        <v/>
      </c>
    </row>
    <row r="29">
      <c r="A29" s="2" t="inlineStr">
        <is>
          <t>14-C-403</t>
        </is>
      </c>
      <c r="B29" s="3" t="inlineStr">
        <is>
          <t>DROP-CABLE(LC/PC)-2C</t>
        </is>
      </c>
      <c r="C29" s="2" t="inlineStr">
        <is>
          <t>40M</t>
        </is>
      </c>
      <c r="D29" s="2" t="inlineStr">
        <is>
          <t>drop</t>
        </is>
      </c>
      <c r="E29" s="2" t="inlineStr">
        <is>
          <t>3.0mm</t>
        </is>
      </c>
      <c r="F29" s="2" t="n">
        <v>2</v>
      </c>
      <c r="G29" s="2" t="n">
        <v>40</v>
      </c>
      <c r="H29" s="2" t="inlineStr">
        <is>
          <t>LC/PC</t>
        </is>
      </c>
      <c r="I29" s="2" t="inlineStr">
        <is>
          <t>LC/PC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20</v>
      </c>
      <c r="U29" s="2" t="n"/>
      <c r="V29" s="2">
        <f>SUM(J29:U29)*G29</f>
        <v/>
      </c>
      <c r="W29" s="2">
        <f>MAX(J29:U29)</f>
        <v/>
      </c>
      <c r="X29" s="2">
        <f>W29*G29</f>
        <v/>
      </c>
    </row>
    <row r="30">
      <c r="A30" s="2" t="inlineStr">
        <is>
          <t>14-C-410</t>
        </is>
      </c>
      <c r="B30" s="3" t="inlineStr">
        <is>
          <t>Optical Cable Parts,LC/PC-LC/PC-Single mode-70m-2Core</t>
        </is>
      </c>
      <c r="C30" s="2" t="inlineStr">
        <is>
          <t>657A2 , LSZH , LC DUPLEX KIT(CLIP), 0MM/ 300MM</t>
        </is>
      </c>
      <c r="D30" s="2" t="inlineStr">
        <is>
          <t>a2</t>
        </is>
      </c>
      <c r="E30" s="2" t="inlineStr">
        <is>
          <t>2.0mm</t>
        </is>
      </c>
      <c r="F30" s="2" t="n">
        <v>2</v>
      </c>
      <c r="G30" s="2" t="n">
        <v>70</v>
      </c>
      <c r="H30" s="2" t="inlineStr">
        <is>
          <t>LC/PC</t>
        </is>
      </c>
      <c r="I30" s="2" t="inlineStr">
        <is>
          <t>LC/PC</t>
        </is>
      </c>
      <c r="J30" s="2" t="n">
        <v>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>
        <f>SUM(J30:U30)*G30</f>
        <v/>
      </c>
      <c r="W30" s="2">
        <f>MAX(J30:U30)</f>
        <v/>
      </c>
      <c r="X30" s="2">
        <f>W30*G30</f>
        <v/>
      </c>
    </row>
    <row r="31">
      <c r="A31" s="2" t="inlineStr">
        <is>
          <t>14-C-427</t>
        </is>
      </c>
      <c r="B31" s="3" t="inlineStr">
        <is>
          <t>DROP-CABLE(LC/PC)-2C</t>
        </is>
      </c>
      <c r="C31" s="2" t="inlineStr">
        <is>
          <t>60M</t>
        </is>
      </c>
      <c r="D31" s="2" t="inlineStr">
        <is>
          <t>drop</t>
        </is>
      </c>
      <c r="E31" s="2" t="inlineStr">
        <is>
          <t>3.0mm</t>
        </is>
      </c>
      <c r="F31" s="2" t="n">
        <v>2</v>
      </c>
      <c r="G31" s="2" t="n">
        <v>60</v>
      </c>
      <c r="H31" s="2" t="inlineStr">
        <is>
          <t>LC/PC</t>
        </is>
      </c>
      <c r="I31" s="2" t="inlineStr">
        <is>
          <t>LC/PC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15</v>
      </c>
      <c r="U31" s="2" t="n"/>
      <c r="V31" s="2">
        <f>SUM(J31:U31)*G31</f>
        <v/>
      </c>
      <c r="W31" s="2">
        <f>MAX(J31:U31)</f>
        <v/>
      </c>
      <c r="X31" s="2">
        <f>W31*G31</f>
        <v/>
      </c>
    </row>
    <row r="32">
      <c r="A32" s="2" t="inlineStr">
        <is>
          <t>14-C-440</t>
        </is>
      </c>
      <c r="B32" s="3" t="inlineStr">
        <is>
          <t>Optical Cable Parts,LC/PC-LC/PC-Single mode-10m-2Core</t>
        </is>
      </c>
      <c r="C32" s="2" t="inlineStr">
        <is>
          <t>657A2 , LSZH , LC DUPLEX KIT(CLIP), 95MM/ 500MM</t>
        </is>
      </c>
      <c r="D32" s="2" t="inlineStr">
        <is>
          <t>a2</t>
        </is>
      </c>
      <c r="E32" s="2" t="inlineStr">
        <is>
          <t>2.0mm</t>
        </is>
      </c>
      <c r="F32" s="2" t="n">
        <v>2</v>
      </c>
      <c r="G32" s="2" t="n">
        <v>10</v>
      </c>
      <c r="H32" s="2" t="inlineStr">
        <is>
          <t>LC/PC</t>
        </is>
      </c>
      <c r="I32" s="2" t="inlineStr">
        <is>
          <t>LC/PC</t>
        </is>
      </c>
      <c r="J32" s="2" t="n"/>
      <c r="K32" s="2" t="n"/>
      <c r="L32" s="2" t="n"/>
      <c r="M32" s="2" t="n">
        <v>1</v>
      </c>
      <c r="N32" s="2" t="n">
        <v>1</v>
      </c>
      <c r="O32" s="2" t="n"/>
      <c r="P32" s="2" t="n">
        <v>20</v>
      </c>
      <c r="Q32" s="2" t="n"/>
      <c r="R32" s="2" t="n"/>
      <c r="S32" s="2" t="n"/>
      <c r="T32" s="2" t="n"/>
      <c r="U32" s="2" t="n"/>
      <c r="V32" s="2">
        <f>SUM(J32:U32)*G32</f>
        <v/>
      </c>
      <c r="W32" s="2">
        <f>MAX(J32:U32)</f>
        <v/>
      </c>
      <c r="X32" s="2">
        <f>W32*G32</f>
        <v/>
      </c>
    </row>
    <row r="33">
      <c r="A33" s="2" t="inlineStr">
        <is>
          <t>14-C-490</t>
        </is>
      </c>
      <c r="B33" s="3" t="inlineStr">
        <is>
          <t>Optical Cable Parts,LC/PC-LC/PC-Single mode-30m-2Core</t>
        </is>
      </c>
      <c r="C33" s="2" t="inlineStr">
        <is>
          <t>657A2 , LSZH , LC DUPLEX KIT(CLIP),95MM/ 500MM</t>
        </is>
      </c>
      <c r="D33" s="2" t="inlineStr">
        <is>
          <t>a2</t>
        </is>
      </c>
      <c r="E33" s="2" t="inlineStr">
        <is>
          <t>2.0mm</t>
        </is>
      </c>
      <c r="F33" s="2" t="n">
        <v>2</v>
      </c>
      <c r="G33" s="2" t="n">
        <v>30</v>
      </c>
      <c r="H33" s="2" t="inlineStr">
        <is>
          <t>LC/PC</t>
        </is>
      </c>
      <c r="I33" s="2" t="inlineStr">
        <is>
          <t>LC/PC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>
        <v>3</v>
      </c>
      <c r="V33" s="2">
        <f>SUM(J33:U33)*G33</f>
        <v/>
      </c>
      <c r="W33" s="2">
        <f>MAX(J33:U33)</f>
        <v/>
      </c>
      <c r="X33" s="2">
        <f>W33*G33</f>
        <v/>
      </c>
    </row>
    <row r="34">
      <c r="A34" s="2" t="inlineStr">
        <is>
          <t>14-C-496</t>
        </is>
      </c>
      <c r="B34" s="3" t="inlineStr">
        <is>
          <t>DROP-CABLE(LC/PC)-2C</t>
        </is>
      </c>
      <c r="C34" s="2" t="inlineStr">
        <is>
          <t>10M</t>
        </is>
      </c>
      <c r="D34" s="2" t="inlineStr">
        <is>
          <t>drop</t>
        </is>
      </c>
      <c r="E34" s="2" t="inlineStr">
        <is>
          <t>3.0mm</t>
        </is>
      </c>
      <c r="F34" s="2" t="n">
        <v>2</v>
      </c>
      <c r="G34" s="2" t="n">
        <v>10</v>
      </c>
      <c r="H34" s="2" t="inlineStr">
        <is>
          <t>LC/PC</t>
        </is>
      </c>
      <c r="I34" s="2" t="inlineStr">
        <is>
          <t>LC/PC</t>
        </is>
      </c>
      <c r="J34" s="2" t="n">
        <v>10</v>
      </c>
      <c r="K34" s="2" t="n"/>
      <c r="L34" s="2" t="n">
        <v>20</v>
      </c>
      <c r="M34" s="2" t="n"/>
      <c r="N34" s="2" t="n"/>
      <c r="O34" s="2" t="n"/>
      <c r="P34" s="2" t="n">
        <v>90</v>
      </c>
      <c r="Q34" s="2" t="n"/>
      <c r="R34" s="2" t="n"/>
      <c r="S34" s="2" t="n"/>
      <c r="T34" s="2" t="n"/>
      <c r="U34" s="2" t="n"/>
      <c r="V34" s="2">
        <f>SUM(J34:U34)*G34</f>
        <v/>
      </c>
      <c r="W34" s="2">
        <f>MAX(J34:U34)</f>
        <v/>
      </c>
      <c r="X34" s="2">
        <f>W34*G34</f>
        <v/>
      </c>
    </row>
    <row r="35">
      <c r="A35" s="2" t="inlineStr">
        <is>
          <t>14-C-497</t>
        </is>
      </c>
      <c r="B35" s="3" t="inlineStr">
        <is>
          <t>DROP-CABLE(LC/PC)-2C</t>
        </is>
      </c>
      <c r="C35" s="2" t="inlineStr">
        <is>
          <t>4M</t>
        </is>
      </c>
      <c r="D35" s="2" t="inlineStr">
        <is>
          <t>drop</t>
        </is>
      </c>
      <c r="E35" s="2" t="inlineStr">
        <is>
          <t>3.0mm</t>
        </is>
      </c>
      <c r="F35" s="2" t="n">
        <v>2</v>
      </c>
      <c r="G35" s="2" t="n">
        <v>4</v>
      </c>
      <c r="H35" s="2" t="inlineStr">
        <is>
          <t>LC/PC</t>
        </is>
      </c>
      <c r="I35" s="2" t="inlineStr">
        <is>
          <t>LC/PC</t>
        </is>
      </c>
      <c r="J35" s="2" t="n"/>
      <c r="K35" s="2" t="n"/>
      <c r="L35" s="2" t="n"/>
      <c r="M35" s="2" t="n">
        <v>50</v>
      </c>
      <c r="N35" s="2" t="n"/>
      <c r="O35" s="2" t="n"/>
      <c r="P35" s="2" t="n"/>
      <c r="Q35" s="2" t="n"/>
      <c r="R35" s="2" t="n"/>
      <c r="S35" s="2" t="n">
        <v>40</v>
      </c>
      <c r="T35" s="2" t="n"/>
      <c r="U35" s="2" t="n">
        <v>10</v>
      </c>
      <c r="V35" s="2">
        <f>SUM(J35:U35)*G35</f>
        <v/>
      </c>
      <c r="W35" s="2">
        <f>MAX(J35:U35)</f>
        <v/>
      </c>
      <c r="X35" s="2">
        <f>W35*G35</f>
        <v/>
      </c>
    </row>
    <row r="36">
      <c r="A36" s="2" t="inlineStr">
        <is>
          <t>14-C-514</t>
        </is>
      </c>
      <c r="B36" s="3" t="inlineStr">
        <is>
          <t>Optical Cable Parts,LC/PC-LC/PC-Single mode-10m-1Core</t>
        </is>
      </c>
      <c r="C36" s="2" t="inlineStr">
        <is>
          <t>657A2 , LSZH</t>
        </is>
      </c>
      <c r="D36" s="2" t="inlineStr">
        <is>
          <t>a2</t>
        </is>
      </c>
      <c r="E36" s="2" t="inlineStr">
        <is>
          <t>2.0mm</t>
        </is>
      </c>
      <c r="F36" s="2" t="n">
        <v>1</v>
      </c>
      <c r="G36" s="2" t="n">
        <v>10</v>
      </c>
      <c r="H36" s="2" t="inlineStr">
        <is>
          <t>LC/PC</t>
        </is>
      </c>
      <c r="I36" s="2" t="inlineStr">
        <is>
          <t>LC/PC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>
        <v>50</v>
      </c>
      <c r="V36" s="2">
        <f>SUM(J36:U36)*G36</f>
        <v/>
      </c>
      <c r="W36" s="2">
        <f>MAX(J36:U36)</f>
        <v/>
      </c>
      <c r="X36" s="2">
        <f>W36*G36</f>
        <v/>
      </c>
    </row>
    <row r="37">
      <c r="A37" s="2" t="inlineStr">
        <is>
          <t>14-C-520</t>
        </is>
      </c>
      <c r="B37" s="3" t="inlineStr">
        <is>
          <t>Optical Cable Parts,LC/PC-LC/PC-Single mode-70m-1Core</t>
        </is>
      </c>
      <c r="C37" s="2" t="inlineStr">
        <is>
          <t>657A2 , LSZH</t>
        </is>
      </c>
      <c r="D37" s="2" t="inlineStr">
        <is>
          <t>a2</t>
        </is>
      </c>
      <c r="E37" s="2" t="inlineStr">
        <is>
          <t>2.0mm</t>
        </is>
      </c>
      <c r="F37" s="2" t="n">
        <v>1</v>
      </c>
      <c r="G37" s="2" t="n">
        <v>70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>
        <v>1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>
        <f>SUM(J37:U37)*G37</f>
        <v/>
      </c>
      <c r="W37" s="2">
        <f>MAX(J37:U37)</f>
        <v/>
      </c>
      <c r="X37" s="2">
        <f>W37*G37</f>
        <v/>
      </c>
    </row>
    <row r="38">
      <c r="A38" s="2" t="inlineStr">
        <is>
          <t>14-C-535</t>
        </is>
      </c>
      <c r="B38" s="3" t="inlineStr">
        <is>
          <t>Optical Cable Parts,LC/PC-LC/PC-Single mode-15m-2Core</t>
        </is>
      </c>
      <c r="C38" s="2" t="inlineStr">
        <is>
          <t>657A2 , LSZH , LC DUPLEX KIT(CLIP), 300MM/ 300MM</t>
        </is>
      </c>
      <c r="D38" s="2" t="inlineStr">
        <is>
          <t>a2</t>
        </is>
      </c>
      <c r="E38" s="2" t="inlineStr">
        <is>
          <t>2.0mm</t>
        </is>
      </c>
      <c r="F38" s="2" t="n">
        <v>2</v>
      </c>
      <c r="G38" s="2" t="n">
        <v>15</v>
      </c>
      <c r="H38" s="2" t="inlineStr">
        <is>
          <t>LC/PC</t>
        </is>
      </c>
      <c r="I38" s="2" t="inlineStr">
        <is>
          <t>LC/PC</t>
        </is>
      </c>
      <c r="J38" s="2" t="n"/>
      <c r="K38" s="2" t="n"/>
      <c r="L38" s="2" t="n"/>
      <c r="M38" s="2" t="n"/>
      <c r="N38" s="2" t="n"/>
      <c r="O38" s="2" t="n">
        <v>50</v>
      </c>
      <c r="P38" s="2" t="n"/>
      <c r="Q38" s="2" t="n"/>
      <c r="R38" s="2" t="n"/>
      <c r="S38" s="2" t="n"/>
      <c r="T38" s="2" t="n"/>
      <c r="U38" s="2" t="n">
        <v>50</v>
      </c>
      <c r="V38" s="2">
        <f>SUM(J38:U38)*G38</f>
        <v/>
      </c>
      <c r="W38" s="2">
        <f>MAX(J38:U38)</f>
        <v/>
      </c>
      <c r="X38" s="2">
        <f>W38*G38</f>
        <v/>
      </c>
    </row>
    <row r="39">
      <c r="A39" s="2" t="inlineStr">
        <is>
          <t>14-C-552</t>
        </is>
      </c>
      <c r="B39" s="3" t="inlineStr">
        <is>
          <t>Optical Cable Parts,LC/PC-LC/PC-Single mode-10m-2Core</t>
        </is>
      </c>
      <c r="C39" s="2" t="inlineStr">
        <is>
          <t>657A2 , LSZH , LC DUPLEX KIT(CLIP), 0MM/ 300MM</t>
        </is>
      </c>
      <c r="D39" s="2" t="inlineStr">
        <is>
          <t>a2</t>
        </is>
      </c>
      <c r="E39" s="2" t="inlineStr">
        <is>
          <t>2.0mm</t>
        </is>
      </c>
      <c r="F39" s="2" t="n">
        <v>2</v>
      </c>
      <c r="G39" s="2" t="n">
        <v>10</v>
      </c>
      <c r="H39" s="2" t="inlineStr">
        <is>
          <t>LC/PC</t>
        </is>
      </c>
      <c r="I39" s="2" t="inlineStr">
        <is>
          <t>LC/PC</t>
        </is>
      </c>
      <c r="J39" s="2" t="n">
        <v>50</v>
      </c>
      <c r="K39" s="2" t="n"/>
      <c r="L39" s="2" t="n"/>
      <c r="M39" s="2" t="n"/>
      <c r="N39" s="2" t="n"/>
      <c r="O39" s="2" t="n"/>
      <c r="P39" s="2" t="n">
        <v>100</v>
      </c>
      <c r="Q39" s="2" t="n"/>
      <c r="R39" s="2" t="n"/>
      <c r="S39" s="2" t="n"/>
      <c r="T39" s="2" t="n"/>
      <c r="U39" s="2" t="n"/>
      <c r="V39" s="2">
        <f>SUM(J39:U39)*G39</f>
        <v/>
      </c>
      <c r="W39" s="2">
        <f>MAX(J39:U39)</f>
        <v/>
      </c>
      <c r="X39" s="2">
        <f>W39*G39</f>
        <v/>
      </c>
    </row>
    <row r="40">
      <c r="A40" s="2" t="inlineStr">
        <is>
          <t>14-C-553</t>
        </is>
      </c>
      <c r="B40" s="3" t="inlineStr">
        <is>
          <t>Optical Cable Parts,LC/PC-LC/PC-Single mode-15m-2Core</t>
        </is>
      </c>
      <c r="C40" s="2" t="inlineStr">
        <is>
          <t>657A2 , LSZH , LC DUPLEX KIT(CLIP), 0MM/ 300MM</t>
        </is>
      </c>
      <c r="D40" s="2" t="inlineStr">
        <is>
          <t>a2</t>
        </is>
      </c>
      <c r="E40" s="2" t="inlineStr">
        <is>
          <t>2.0mm</t>
        </is>
      </c>
      <c r="F40" s="2" t="n">
        <v>2</v>
      </c>
      <c r="G40" s="2" t="n">
        <v>15</v>
      </c>
      <c r="H40" s="2" t="inlineStr">
        <is>
          <t>LC/PC</t>
        </is>
      </c>
      <c r="I40" s="2" t="inlineStr">
        <is>
          <t>LC/PC</t>
        </is>
      </c>
      <c r="J40" s="2" t="n">
        <v>50</v>
      </c>
      <c r="K40" s="2" t="n"/>
      <c r="L40" s="2" t="n"/>
      <c r="M40" s="2" t="n"/>
      <c r="N40" s="2" t="n"/>
      <c r="O40" s="2" t="n"/>
      <c r="P40" s="2" t="n">
        <v>50</v>
      </c>
      <c r="Q40" s="2" t="n">
        <v>100</v>
      </c>
      <c r="R40" s="2" t="n"/>
      <c r="S40" s="2" t="n"/>
      <c r="T40" s="2" t="n"/>
      <c r="U40" s="2" t="n"/>
      <c r="V40" s="2">
        <f>SUM(J40:U40)*G40</f>
        <v/>
      </c>
      <c r="W40" s="2">
        <f>MAX(J40:U40)</f>
        <v/>
      </c>
      <c r="X40" s="2">
        <f>W40*G40</f>
        <v/>
      </c>
    </row>
    <row r="41">
      <c r="A41" s="2" t="inlineStr">
        <is>
          <t>14-C-554</t>
        </is>
      </c>
      <c r="B41" s="3" t="inlineStr">
        <is>
          <t>Optical Cable Parts,LC/PC-LC/PC-Single mode-20m-2Core</t>
        </is>
      </c>
      <c r="C41" s="2" t="inlineStr">
        <is>
          <t>657A2 , LSZH , LC DUPLEX KIT(CLIP), 0MM/ 300MM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20</v>
      </c>
      <c r="H41" s="2" t="inlineStr">
        <is>
          <t>LC/PC</t>
        </is>
      </c>
      <c r="I41" s="2" t="inlineStr">
        <is>
          <t>LC/PC</t>
        </is>
      </c>
      <c r="J41" s="2" t="n"/>
      <c r="K41" s="2" t="n"/>
      <c r="L41" s="2" t="n"/>
      <c r="M41" s="2" t="n"/>
      <c r="N41" s="2" t="n">
        <v>30</v>
      </c>
      <c r="O41" s="2" t="n"/>
      <c r="P41" s="2" t="n">
        <v>50</v>
      </c>
      <c r="Q41" s="2" t="n">
        <v>100</v>
      </c>
      <c r="R41" s="2" t="n"/>
      <c r="S41" s="2" t="n"/>
      <c r="T41" s="2" t="n"/>
      <c r="U41" s="2" t="n"/>
      <c r="V41" s="2">
        <f>SUM(J41:U41)*G41</f>
        <v/>
      </c>
      <c r="W41" s="2">
        <f>MAX(J41:U41)</f>
        <v/>
      </c>
      <c r="X41" s="2">
        <f>W41*G41</f>
        <v/>
      </c>
    </row>
    <row r="42">
      <c r="A42" s="2" t="inlineStr">
        <is>
          <t>14-C-555</t>
        </is>
      </c>
      <c r="B42" s="3" t="inlineStr">
        <is>
          <t>Optical Cable Parts,LC/PC-LC/PC-Single mode-25m-2Core</t>
        </is>
      </c>
      <c r="C42" s="2" t="inlineStr">
        <is>
          <t>657A2 , LSZH , LC DUPLEX KIT(CLIP), 0MM/ 300MM</t>
        </is>
      </c>
      <c r="D42" s="2" t="inlineStr">
        <is>
          <t>a2</t>
        </is>
      </c>
      <c r="E42" s="2" t="inlineStr">
        <is>
          <t>2.0mm</t>
        </is>
      </c>
      <c r="F42" s="2" t="n">
        <v>2</v>
      </c>
      <c r="G42" s="2" t="n">
        <v>25</v>
      </c>
      <c r="H42" s="2" t="inlineStr">
        <is>
          <t>LC/PC</t>
        </is>
      </c>
      <c r="I42" s="2" t="inlineStr">
        <is>
          <t>LC/PC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30</v>
      </c>
      <c r="U42" s="2" t="n"/>
      <c r="V42" s="2">
        <f>SUM(J42:U42)*G42</f>
        <v/>
      </c>
      <c r="W42" s="2">
        <f>MAX(J42:U42)</f>
        <v/>
      </c>
      <c r="X42" s="2">
        <f>W42*G42</f>
        <v/>
      </c>
    </row>
    <row r="43">
      <c r="A43" s="2" t="inlineStr">
        <is>
          <t>14-C-556</t>
        </is>
      </c>
      <c r="B43" s="3" t="inlineStr">
        <is>
          <t>Optical Cable Parts,LC/PC-LC/PC-Single mode-30m-2Core</t>
        </is>
      </c>
      <c r="C43" s="2" t="inlineStr">
        <is>
          <t>657A2 , LSZH , LC DUPLEX KIT(CLIP), 0MM/ 300MM</t>
        </is>
      </c>
      <c r="D43" s="2" t="inlineStr">
        <is>
          <t>a2</t>
        </is>
      </c>
      <c r="E43" s="2" t="inlineStr">
        <is>
          <t>2.0mm</t>
        </is>
      </c>
      <c r="F43" s="2" t="n">
        <v>2</v>
      </c>
      <c r="G43" s="2" t="n">
        <v>30</v>
      </c>
      <c r="H43" s="2" t="inlineStr">
        <is>
          <t>LC/PC</t>
        </is>
      </c>
      <c r="I43" s="2" t="inlineStr">
        <is>
          <t>LC/PC</t>
        </is>
      </c>
      <c r="J43" s="2" t="n"/>
      <c r="K43" s="2" t="n"/>
      <c r="L43" s="2" t="n"/>
      <c r="M43" s="2" t="n"/>
      <c r="N43" s="2" t="n">
        <v>30</v>
      </c>
      <c r="O43" s="2" t="n"/>
      <c r="P43" s="2" t="n"/>
      <c r="Q43" s="2" t="n"/>
      <c r="R43" s="2" t="n"/>
      <c r="S43" s="2" t="n"/>
      <c r="T43" s="2" t="n">
        <v>30</v>
      </c>
      <c r="U43" s="2" t="n"/>
      <c r="V43" s="2">
        <f>SUM(J43:U43)*G43</f>
        <v/>
      </c>
      <c r="W43" s="2">
        <f>MAX(J43:U43)</f>
        <v/>
      </c>
      <c r="X43" s="2">
        <f>W43*G43</f>
        <v/>
      </c>
    </row>
    <row r="44">
      <c r="A44" s="2" t="inlineStr">
        <is>
          <t>14-C-557</t>
        </is>
      </c>
      <c r="B44" s="3" t="inlineStr">
        <is>
          <t>Optical Cable Parts,LC/PC-LC/PC-Single mode-35m-2Core</t>
        </is>
      </c>
      <c r="C44" s="2" t="inlineStr">
        <is>
          <t>657A2 , LSZH , LC DUPLEX KIT(CLIP), 0MM/ 300MM</t>
        </is>
      </c>
      <c r="D44" s="2" t="inlineStr">
        <is>
          <t>a2</t>
        </is>
      </c>
      <c r="E44" s="2" t="inlineStr">
        <is>
          <t>2.0mm</t>
        </is>
      </c>
      <c r="F44" s="2" t="n">
        <v>2</v>
      </c>
      <c r="G44" s="2" t="n">
        <v>35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>
        <v>20</v>
      </c>
      <c r="O44" s="2" t="n"/>
      <c r="P44" s="2" t="n"/>
      <c r="Q44" s="2" t="n"/>
      <c r="R44" s="2" t="n"/>
      <c r="S44" s="2" t="n"/>
      <c r="T44" s="2" t="n">
        <v>20</v>
      </c>
      <c r="U44" s="2" t="n"/>
      <c r="V44" s="2">
        <f>SUM(J44:U44)*G44</f>
        <v/>
      </c>
      <c r="W44" s="2">
        <f>MAX(J44:U44)</f>
        <v/>
      </c>
      <c r="X44" s="2">
        <f>W44*G44</f>
        <v/>
      </c>
    </row>
    <row r="45">
      <c r="A45" s="2" t="inlineStr">
        <is>
          <t>14-C-568</t>
        </is>
      </c>
      <c r="B45" s="3" t="inlineStr">
        <is>
          <t>DROP-CABLE(SC/PC)-2C</t>
        </is>
      </c>
      <c r="C45" s="2" t="inlineStr">
        <is>
          <t>20M</t>
        </is>
      </c>
      <c r="D45" s="2" t="inlineStr">
        <is>
          <t>drop</t>
        </is>
      </c>
      <c r="E45" s="2" t="inlineStr">
        <is>
          <t>3.0mm</t>
        </is>
      </c>
      <c r="F45" s="2" t="n">
        <v>2</v>
      </c>
      <c r="G45" s="2" t="n">
        <v>20</v>
      </c>
      <c r="H45" s="2" t="inlineStr">
        <is>
          <t>SC/PC</t>
        </is>
      </c>
      <c r="I45" s="2" t="inlineStr">
        <is>
          <t>SC/PC</t>
        </is>
      </c>
      <c r="J45" s="2" t="n"/>
      <c r="K45" s="2" t="n"/>
      <c r="L45" s="2" t="n"/>
      <c r="M45" s="2" t="n"/>
      <c r="N45" s="2" t="n"/>
      <c r="O45" s="2" t="n"/>
      <c r="P45" s="2" t="n">
        <v>20</v>
      </c>
      <c r="Q45" s="2" t="n"/>
      <c r="R45" s="2" t="n"/>
      <c r="S45" s="2" t="n"/>
      <c r="T45" s="2" t="n"/>
      <c r="U45" s="2" t="n"/>
      <c r="V45" s="2">
        <f>SUM(J45:U45)*G45</f>
        <v/>
      </c>
      <c r="W45" s="2">
        <f>MAX(J45:U45)</f>
        <v/>
      </c>
      <c r="X45" s="2">
        <f>W45*G45</f>
        <v/>
      </c>
    </row>
    <row r="46">
      <c r="A46" s="2" t="inlineStr">
        <is>
          <t>14-C-583</t>
        </is>
      </c>
      <c r="B46" s="3" t="inlineStr">
        <is>
          <t>DROP-CABLE(LC/PC)-2C</t>
        </is>
      </c>
      <c r="C46" s="2" t="inlineStr">
        <is>
          <t>15m</t>
        </is>
      </c>
      <c r="D46" s="2" t="inlineStr">
        <is>
          <t>drop</t>
        </is>
      </c>
      <c r="E46" s="2" t="inlineStr">
        <is>
          <t>3.0mm</t>
        </is>
      </c>
      <c r="F46" s="2" t="n">
        <v>2</v>
      </c>
      <c r="G46" s="2" t="n">
        <v>15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/>
      <c r="M46" s="2" t="n"/>
      <c r="N46" s="2" t="n">
        <v>30</v>
      </c>
      <c r="O46" s="2" t="n"/>
      <c r="P46" s="2" t="n">
        <v>20</v>
      </c>
      <c r="Q46" s="2" t="n"/>
      <c r="R46" s="2" t="n">
        <v>10</v>
      </c>
      <c r="S46" s="2" t="n"/>
      <c r="T46" s="2" t="n"/>
      <c r="U46" s="2" t="n"/>
      <c r="V46" s="2">
        <f>SUM(J46:U46)*G46</f>
        <v/>
      </c>
      <c r="W46" s="2">
        <f>MAX(J46:U46)</f>
        <v/>
      </c>
      <c r="X46" s="2">
        <f>W46*G46</f>
        <v/>
      </c>
    </row>
    <row r="47">
      <c r="A47" s="2" t="inlineStr">
        <is>
          <t>14-C-584</t>
        </is>
      </c>
      <c r="B47" s="3" t="inlineStr">
        <is>
          <t>Optical Cable Parts,LC/PC-LC/PC-Single mode-5m-1Core</t>
        </is>
      </c>
      <c r="C47" s="2" t="inlineStr">
        <is>
          <t>657A2 , LSZH</t>
        </is>
      </c>
      <c r="D47" s="2" t="inlineStr">
        <is>
          <t>a2</t>
        </is>
      </c>
      <c r="E47" s="2" t="inlineStr">
        <is>
          <t>2.0mm</t>
        </is>
      </c>
      <c r="F47" s="2" t="n">
        <v>1</v>
      </c>
      <c r="G47" s="2" t="n">
        <v>5</v>
      </c>
      <c r="H47" s="2" t="inlineStr">
        <is>
          <t>LC/PC</t>
        </is>
      </c>
      <c r="I47" s="2" t="inlineStr">
        <is>
          <t>LC/PC</t>
        </is>
      </c>
      <c r="J47" s="2" t="n"/>
      <c r="K47" s="2" t="n"/>
      <c r="L47" s="2" t="n"/>
      <c r="M47" s="2" t="n"/>
      <c r="N47" s="2" t="n"/>
      <c r="O47" s="2" t="n"/>
      <c r="P47" s="2" t="n"/>
      <c r="Q47" s="2" t="n">
        <v>50</v>
      </c>
      <c r="R47" s="2" t="n"/>
      <c r="S47" s="2" t="n"/>
      <c r="T47" s="2" t="n"/>
      <c r="U47" s="2" t="n"/>
      <c r="V47" s="2">
        <f>SUM(J47:U47)*G47</f>
        <v/>
      </c>
      <c r="W47" s="2">
        <f>MAX(J47:U47)</f>
        <v/>
      </c>
      <c r="X47" s="2">
        <f>W47*G47</f>
        <v/>
      </c>
    </row>
    <row r="48">
      <c r="A48" s="2" t="inlineStr">
        <is>
          <t>14-C-600</t>
        </is>
      </c>
      <c r="B48" s="3" t="inlineStr">
        <is>
          <t>DROP-CABLE(LC/PC)-2C</t>
        </is>
      </c>
      <c r="C48" s="2" t="inlineStr">
        <is>
          <t>20M</t>
        </is>
      </c>
      <c r="D48" s="2" t="inlineStr">
        <is>
          <t>drop</t>
        </is>
      </c>
      <c r="E48" s="2" t="inlineStr">
        <is>
          <t>3.0mm</t>
        </is>
      </c>
      <c r="F48" s="2" t="n">
        <v>2</v>
      </c>
      <c r="G48" s="2" t="n">
        <v>20</v>
      </c>
      <c r="H48" s="2" t="inlineStr">
        <is>
          <t>LC/PC</t>
        </is>
      </c>
      <c r="I48" s="2" t="inlineStr">
        <is>
          <t>LC/PC</t>
        </is>
      </c>
      <c r="J48" s="2" t="n">
        <v>20</v>
      </c>
      <c r="K48" s="2" t="n">
        <v>25</v>
      </c>
      <c r="L48" s="2" t="n"/>
      <c r="M48" s="2" t="n"/>
      <c r="N48" s="2" t="n">
        <v>20</v>
      </c>
      <c r="O48" s="2" t="n"/>
      <c r="P48" s="2" t="n">
        <v>22</v>
      </c>
      <c r="Q48" s="2" t="n"/>
      <c r="R48" s="2" t="n">
        <v>20</v>
      </c>
      <c r="S48" s="2" t="n"/>
      <c r="T48" s="2" t="n"/>
      <c r="U48" s="2" t="n"/>
      <c r="V48" s="2">
        <f>SUM(J48:U48)*G48</f>
        <v/>
      </c>
      <c r="W48" s="2">
        <f>MAX(J48:U48)</f>
        <v/>
      </c>
      <c r="X48" s="2">
        <f>W48*G48</f>
        <v/>
      </c>
    </row>
    <row r="49">
      <c r="A49" s="2" t="inlineStr">
        <is>
          <t>14-C-601</t>
        </is>
      </c>
      <c r="B49" s="3" t="inlineStr">
        <is>
          <t>Optical Cable Parts,LC/PC-LC/PC-Single mode-10m-1Core</t>
        </is>
      </c>
      <c r="C49" s="2" t="inlineStr">
        <is>
          <t>657A2 , LSZH , LC DUPLEX KIT(CLIP), 0MM/ 300MM</t>
        </is>
      </c>
      <c r="D49" s="2" t="inlineStr">
        <is>
          <t>a2</t>
        </is>
      </c>
      <c r="E49" s="2" t="inlineStr">
        <is>
          <t>2.0mm</t>
        </is>
      </c>
      <c r="F49" s="2" t="n">
        <v>1</v>
      </c>
      <c r="G49" s="2" t="n">
        <v>10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/>
      <c r="M49" s="2" t="n"/>
      <c r="N49" s="2" t="n"/>
      <c r="O49" s="2" t="n"/>
      <c r="P49" s="2" t="n"/>
      <c r="Q49" s="2" t="n">
        <v>50</v>
      </c>
      <c r="R49" s="2" t="n"/>
      <c r="S49" s="2" t="n"/>
      <c r="T49" s="2" t="n"/>
      <c r="U49" s="2" t="n"/>
      <c r="V49" s="2">
        <f>SUM(J49:U49)*G49</f>
        <v/>
      </c>
      <c r="W49" s="2">
        <f>MAX(J49:U49)</f>
        <v/>
      </c>
      <c r="X49" s="2">
        <f>W49*G49</f>
        <v/>
      </c>
    </row>
    <row r="50">
      <c r="A50" s="2" t="inlineStr">
        <is>
          <t>14-C-609</t>
        </is>
      </c>
      <c r="B50" s="3" t="inlineStr">
        <is>
          <t>DROP-CABLE(LC/PC)-2C</t>
        </is>
      </c>
      <c r="C50" s="2" t="inlineStr">
        <is>
          <t>200M</t>
        </is>
      </c>
      <c r="D50" s="2" t="inlineStr">
        <is>
          <t>drop</t>
        </is>
      </c>
      <c r="E50" s="2" t="inlineStr">
        <is>
          <t>3.0mm</t>
        </is>
      </c>
      <c r="F50" s="2" t="n">
        <v>2</v>
      </c>
      <c r="G50" s="2" t="n">
        <v>200</v>
      </c>
      <c r="H50" s="2" t="inlineStr">
        <is>
          <t>LC/PC</t>
        </is>
      </c>
      <c r="I50" s="2" t="inlineStr">
        <is>
          <t>LC/PC</t>
        </is>
      </c>
      <c r="J50" s="2" t="n"/>
      <c r="K50" s="2" t="n"/>
      <c r="L50" s="2" t="n"/>
      <c r="M50" s="2" t="n"/>
      <c r="N50" s="2" t="n"/>
      <c r="O50" s="2" t="n"/>
      <c r="P50" s="2" t="n">
        <v>2</v>
      </c>
      <c r="Q50" s="2" t="n"/>
      <c r="R50" s="2" t="n"/>
      <c r="S50" s="2" t="n"/>
      <c r="T50" s="2" t="n"/>
      <c r="U50" s="2" t="n"/>
      <c r="V50" s="2">
        <f>SUM(J50:U50)*G50</f>
        <v/>
      </c>
      <c r="W50" s="2">
        <f>MAX(J50:U50)</f>
        <v/>
      </c>
      <c r="X50" s="2">
        <f>W50*G50</f>
        <v/>
      </c>
    </row>
    <row r="51">
      <c r="A51" s="2" t="inlineStr">
        <is>
          <t>14-C-627</t>
        </is>
      </c>
      <c r="B51" s="3" t="inlineStr">
        <is>
          <t>DROP-CABLE(LC/PC-SC/PC)-2C</t>
        </is>
      </c>
      <c r="C51" s="2" t="inlineStr">
        <is>
          <t>100M</t>
        </is>
      </c>
      <c r="D51" s="2" t="inlineStr">
        <is>
          <t>drop</t>
        </is>
      </c>
      <c r="E51" s="2" t="inlineStr">
        <is>
          <t>3.0mm</t>
        </is>
      </c>
      <c r="F51" s="2" t="n">
        <v>2</v>
      </c>
      <c r="G51" s="2" t="n">
        <v>100</v>
      </c>
      <c r="H51" s="2" t="inlineStr">
        <is>
          <t>LC/PC</t>
        </is>
      </c>
      <c r="I51" s="2" t="inlineStr">
        <is>
          <t>SC/PC</t>
        </is>
      </c>
      <c r="J51" s="2" t="n"/>
      <c r="K51" s="2" t="n">
        <v>1</v>
      </c>
      <c r="L51" s="2" t="n"/>
      <c r="M51" s="2" t="n"/>
      <c r="N51" s="2" t="n"/>
      <c r="O51" s="2" t="n"/>
      <c r="P51" s="2" t="n"/>
      <c r="Q51" s="2" t="n"/>
      <c r="R51" s="2" t="n">
        <v>1</v>
      </c>
      <c r="S51" s="2" t="n"/>
      <c r="T51" s="2" t="n"/>
      <c r="U51" s="2" t="n"/>
      <c r="V51" s="2">
        <f>SUM(J51:U51)*G51</f>
        <v/>
      </c>
      <c r="W51" s="2">
        <f>MAX(J51:U51)</f>
        <v/>
      </c>
      <c r="X51" s="2">
        <f>W51*G51</f>
        <v/>
      </c>
    </row>
    <row r="52">
      <c r="A52" s="2" t="inlineStr">
        <is>
          <t>14-C-631</t>
        </is>
      </c>
      <c r="B52" s="3" t="inlineStr">
        <is>
          <t>Optical Cable Parts,LC/PC-LC/PC-Single mode-5m-2Core</t>
        </is>
      </c>
      <c r="C52" s="2" t="inlineStr">
        <is>
          <t>657A2 , LSZH , LC DUPLEX KIT(CLIP), 300MM/ 300MM</t>
        </is>
      </c>
      <c r="D52" s="2" t="inlineStr">
        <is>
          <t>a2</t>
        </is>
      </c>
      <c r="E52" s="2" t="inlineStr">
        <is>
          <t>2.0mm</t>
        </is>
      </c>
      <c r="F52" s="2" t="n">
        <v>2</v>
      </c>
      <c r="G52" s="2" t="n">
        <v>5</v>
      </c>
      <c r="H52" s="2" t="inlineStr">
        <is>
          <t>LC/PC</t>
        </is>
      </c>
      <c r="I52" s="2" t="inlineStr">
        <is>
          <t>LC/PC</t>
        </is>
      </c>
      <c r="J52" s="2" t="n"/>
      <c r="K52" s="2" t="n"/>
      <c r="L52" s="2" t="n"/>
      <c r="M52" s="2" t="n"/>
      <c r="N52" s="2" t="n"/>
      <c r="O52" s="2" t="n">
        <v>50</v>
      </c>
      <c r="P52" s="2" t="n"/>
      <c r="Q52" s="2" t="n"/>
      <c r="R52" s="2" t="n"/>
      <c r="S52" s="2" t="n"/>
      <c r="T52" s="2" t="n"/>
      <c r="U52" s="2" t="n">
        <v>100</v>
      </c>
      <c r="V52" s="2">
        <f>SUM(J52:U52)*G52</f>
        <v/>
      </c>
      <c r="W52" s="2">
        <f>MAX(J52:U52)</f>
        <v/>
      </c>
      <c r="X52" s="2">
        <f>W52*G52</f>
        <v/>
      </c>
    </row>
    <row r="53">
      <c r="A53" s="2" t="inlineStr">
        <is>
          <t>14-C-658</t>
        </is>
      </c>
      <c r="B53" s="3" t="inlineStr">
        <is>
          <t>Optical Cable Parts,LC/PC-LC/PC-Single mode-5m-2Core</t>
        </is>
      </c>
      <c r="C53" s="2" t="inlineStr">
        <is>
          <t>657A2 , LSZH , LC DUPLEX KIT(CLIP), 0MM/ 300MM</t>
        </is>
      </c>
      <c r="D53" s="2" t="inlineStr">
        <is>
          <t>a2</t>
        </is>
      </c>
      <c r="E53" s="2" t="inlineStr">
        <is>
          <t>2.0mm</t>
        </is>
      </c>
      <c r="F53" s="2" t="n">
        <v>2</v>
      </c>
      <c r="G53" s="2" t="n">
        <v>5</v>
      </c>
      <c r="H53" s="2" t="inlineStr">
        <is>
          <t>LC/PC</t>
        </is>
      </c>
      <c r="I53" s="2" t="inlineStr">
        <is>
          <t>LC/PC</t>
        </is>
      </c>
      <c r="J53" s="2" t="n">
        <v>50</v>
      </c>
      <c r="K53" s="2" t="n"/>
      <c r="L53" s="2" t="n"/>
      <c r="M53" s="2" t="n"/>
      <c r="N53" s="2" t="n"/>
      <c r="O53" s="2" t="n"/>
      <c r="P53" s="2" t="n">
        <v>50</v>
      </c>
      <c r="Q53" s="2" t="n"/>
      <c r="R53" s="2" t="n"/>
      <c r="S53" s="2" t="n"/>
      <c r="T53" s="2" t="n"/>
      <c r="U53" s="2" t="n"/>
      <c r="V53" s="2">
        <f>SUM(J53:U53)*G53</f>
        <v/>
      </c>
      <c r="W53" s="2">
        <f>MAX(J53:U53)</f>
        <v/>
      </c>
      <c r="X53" s="2">
        <f>W53*G53</f>
        <v/>
      </c>
    </row>
    <row r="54">
      <c r="A54" s="2" t="inlineStr">
        <is>
          <t>14-C-660</t>
        </is>
      </c>
      <c r="B54" s="3" t="inlineStr">
        <is>
          <t>DROP-CABLE(LC/PC)-2C</t>
        </is>
      </c>
      <c r="C54" s="2" t="inlineStr">
        <is>
          <t>50M</t>
        </is>
      </c>
      <c r="D54" s="2" t="inlineStr">
        <is>
          <t>drop</t>
        </is>
      </c>
      <c r="E54" s="2" t="inlineStr">
        <is>
          <t>3.0mm</t>
        </is>
      </c>
      <c r="F54" s="2" t="n">
        <v>2</v>
      </c>
      <c r="G54" s="2" t="n">
        <v>50</v>
      </c>
      <c r="H54" s="2" t="inlineStr">
        <is>
          <t>LC/PC</t>
        </is>
      </c>
      <c r="I54" s="2" t="inlineStr">
        <is>
          <t>LC/PC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>
        <v>10</v>
      </c>
      <c r="T54" s="2" t="n">
        <v>10</v>
      </c>
      <c r="U54" s="2" t="n"/>
      <c r="V54" s="2">
        <f>SUM(J54:U54)*G54</f>
        <v/>
      </c>
      <c r="W54" s="2">
        <f>MAX(J54:U54)</f>
        <v/>
      </c>
      <c r="X54" s="2">
        <f>W54*G54</f>
        <v/>
      </c>
    </row>
    <row r="55">
      <c r="A55" s="2" t="inlineStr">
        <is>
          <t>14-C-675</t>
        </is>
      </c>
      <c r="B55" s="3" t="inlineStr">
        <is>
          <t>DROP-CABLE(SC/PC)-2C</t>
        </is>
      </c>
      <c r="C55" s="2" t="inlineStr">
        <is>
          <t>30M</t>
        </is>
      </c>
      <c r="D55" s="2" t="inlineStr">
        <is>
          <t>drop</t>
        </is>
      </c>
      <c r="E55" s="2" t="inlineStr">
        <is>
          <t>3.0mm</t>
        </is>
      </c>
      <c r="F55" s="2" t="n">
        <v>2</v>
      </c>
      <c r="G55" s="2" t="n">
        <v>30</v>
      </c>
      <c r="H55" s="2" t="inlineStr">
        <is>
          <t>SC/PC</t>
        </is>
      </c>
      <c r="I55" s="2" t="inlineStr">
        <is>
          <t>SC/PC</t>
        </is>
      </c>
      <c r="J55" s="2" t="n"/>
      <c r="K55" s="2" t="n"/>
      <c r="L55" s="2" t="n"/>
      <c r="M55" s="2" t="n"/>
      <c r="N55" s="2" t="n"/>
      <c r="O55" s="2" t="n"/>
      <c r="P55" s="2" t="n">
        <v>10</v>
      </c>
      <c r="Q55" s="2" t="n">
        <v>20</v>
      </c>
      <c r="R55" s="2" t="n"/>
      <c r="S55" s="2" t="n"/>
      <c r="T55" s="2" t="n"/>
      <c r="U55" s="2" t="n"/>
      <c r="V55" s="2">
        <f>SUM(J55:U55)*G55</f>
        <v/>
      </c>
      <c r="W55" s="2">
        <f>MAX(J55:U55)</f>
        <v/>
      </c>
      <c r="X55" s="2">
        <f>W55*G55</f>
        <v/>
      </c>
    </row>
    <row r="56">
      <c r="A56" s="2" t="inlineStr">
        <is>
          <t>14-C-676</t>
        </is>
      </c>
      <c r="B56" s="3" t="inlineStr">
        <is>
          <t>Optical Cable Parts,LC/PC-LC/PC-Single mode-10m-2Core</t>
        </is>
      </c>
      <c r="C56" s="2" t="inlineStr">
        <is>
          <t>657A2 , LSZH , LC DUPLEX KIT(CLIP), 300MM/ 300MM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10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/>
      <c r="M56" s="2" t="n"/>
      <c r="N56" s="2" t="n"/>
      <c r="O56" s="2" t="n">
        <v>100</v>
      </c>
      <c r="P56" s="2" t="n"/>
      <c r="Q56" s="2" t="n"/>
      <c r="R56" s="2" t="n"/>
      <c r="S56" s="2" t="n"/>
      <c r="T56" s="2" t="n"/>
      <c r="U56" s="2" t="n">
        <v>100</v>
      </c>
      <c r="V56" s="2">
        <f>SUM(J56:U56)*G56</f>
        <v/>
      </c>
      <c r="W56" s="2">
        <f>MAX(J56:U56)</f>
        <v/>
      </c>
      <c r="X56" s="2">
        <f>W56*G56</f>
        <v/>
      </c>
    </row>
    <row r="57">
      <c r="A57" s="2" t="inlineStr">
        <is>
          <t>14-C-678</t>
        </is>
      </c>
      <c r="B57" s="3" t="inlineStr">
        <is>
          <t>Optical Cable Parts,SC/PC-LC/PC-Single mode-3m-1Core</t>
        </is>
      </c>
      <c r="C57" s="2" t="inlineStr">
        <is>
          <t>657A2 , LSZH, 95MM/ 500MM</t>
        </is>
      </c>
      <c r="D57" s="2" t="inlineStr">
        <is>
          <t>a2</t>
        </is>
      </c>
      <c r="E57" s="2" t="inlineStr">
        <is>
          <t>2.0mm</t>
        </is>
      </c>
      <c r="F57" s="2" t="n">
        <v>1</v>
      </c>
      <c r="G57" s="2" t="n">
        <v>3</v>
      </c>
      <c r="H57" s="2" t="inlineStr">
        <is>
          <t>SC/PC</t>
        </is>
      </c>
      <c r="I57" s="2" t="inlineStr">
        <is>
          <t>LC/PC</t>
        </is>
      </c>
      <c r="J57" s="2" t="n">
        <v>10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>
        <f>SUM(J57:U57)*G57</f>
        <v/>
      </c>
      <c r="W57" s="2">
        <f>MAX(J57:U57)</f>
        <v/>
      </c>
      <c r="X57" s="2">
        <f>W57*G57</f>
        <v/>
      </c>
    </row>
    <row r="58">
      <c r="A58" s="2" t="inlineStr">
        <is>
          <t>14-C-687</t>
        </is>
      </c>
      <c r="B58" s="3" t="inlineStr">
        <is>
          <t>DROP-CABLE(LC/PC)-2C</t>
        </is>
      </c>
      <c r="C58" s="2" t="inlineStr">
        <is>
          <t>80M</t>
        </is>
      </c>
      <c r="D58" s="2" t="inlineStr">
        <is>
          <t>drop</t>
        </is>
      </c>
      <c r="E58" s="2" t="inlineStr">
        <is>
          <t>3.0mm</t>
        </is>
      </c>
      <c r="F58" s="2" t="n">
        <v>2</v>
      </c>
      <c r="G58" s="2" t="n">
        <v>80</v>
      </c>
      <c r="H58" s="2" t="inlineStr">
        <is>
          <t>LC/PC</t>
        </is>
      </c>
      <c r="I58" s="2" t="inlineStr">
        <is>
          <t>LC/PC</t>
        </is>
      </c>
      <c r="J58" s="2" t="n"/>
      <c r="K58" s="2" t="n"/>
      <c r="L58" s="2" t="n">
        <v>2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SUM(J58:U58)*G58</f>
        <v/>
      </c>
      <c r="W58" s="2">
        <f>MAX(J58:U58)</f>
        <v/>
      </c>
      <c r="X58" s="2">
        <f>W58*G58</f>
        <v/>
      </c>
    </row>
    <row r="59">
      <c r="A59" s="2" t="inlineStr">
        <is>
          <t>14-C-688</t>
        </is>
      </c>
      <c r="B59" s="3" t="inlineStr">
        <is>
          <t>DROP-CABLE(LC/PC)-2C</t>
        </is>
      </c>
      <c r="C59" s="2" t="inlineStr">
        <is>
          <t>120M</t>
        </is>
      </c>
      <c r="D59" s="2" t="inlineStr">
        <is>
          <t>drop</t>
        </is>
      </c>
      <c r="E59" s="2" t="inlineStr">
        <is>
          <t>3.0mm</t>
        </is>
      </c>
      <c r="F59" s="2" t="n">
        <v>2</v>
      </c>
      <c r="G59" s="2" t="n">
        <v>120</v>
      </c>
      <c r="H59" s="2" t="inlineStr">
        <is>
          <t>LC/PC</t>
        </is>
      </c>
      <c r="I59" s="2" t="inlineStr">
        <is>
          <t>LC/PC</t>
        </is>
      </c>
      <c r="J59" s="2" t="n"/>
      <c r="K59" s="2" t="n"/>
      <c r="L59" s="2" t="n"/>
      <c r="M59" s="2" t="n"/>
      <c r="N59" s="2" t="n">
        <v>2</v>
      </c>
      <c r="O59" s="2" t="n"/>
      <c r="P59" s="2" t="n"/>
      <c r="Q59" s="2" t="n"/>
      <c r="R59" s="2" t="n"/>
      <c r="S59" s="2" t="n"/>
      <c r="T59" s="2" t="n"/>
      <c r="U59" s="2" t="n"/>
      <c r="V59" s="2">
        <f>SUM(J59:U59)*G59</f>
        <v/>
      </c>
      <c r="W59" s="2">
        <f>MAX(J59:U59)</f>
        <v/>
      </c>
      <c r="X59" s="2">
        <f>W59*G59</f>
        <v/>
      </c>
    </row>
    <row r="60">
      <c r="A60" s="2" t="inlineStr">
        <is>
          <t>14-C-690</t>
        </is>
      </c>
      <c r="B60" s="3" t="inlineStr">
        <is>
          <t>DROP-CABLE(SC/APC-SC/APC)</t>
        </is>
      </c>
      <c r="C60" s="2" t="inlineStr">
        <is>
          <t>25M</t>
        </is>
      </c>
      <c r="D60" s="2" t="inlineStr">
        <is>
          <t>drop</t>
        </is>
      </c>
      <c r="E60" s="2" t="inlineStr">
        <is>
          <t>3.0mm</t>
        </is>
      </c>
      <c r="F60" s="2" t="n">
        <v>1</v>
      </c>
      <c r="G60" s="2" t="n">
        <v>25</v>
      </c>
      <c r="H60" s="2" t="inlineStr">
        <is>
          <t>SC/APC</t>
        </is>
      </c>
      <c r="I60" s="2" t="inlineStr">
        <is>
          <t>SC/APC</t>
        </is>
      </c>
      <c r="J60" s="2" t="n"/>
      <c r="K60" s="2" t="n"/>
      <c r="L60" s="2" t="n"/>
      <c r="M60" s="2" t="n"/>
      <c r="N60" s="2" t="n"/>
      <c r="O60" s="2" t="n">
        <v>30</v>
      </c>
      <c r="P60" s="2" t="n"/>
      <c r="Q60" s="2" t="n"/>
      <c r="R60" s="2" t="n"/>
      <c r="S60" s="2" t="n"/>
      <c r="T60" s="2" t="n"/>
      <c r="U60" s="2" t="n"/>
      <c r="V60" s="2">
        <f>SUM(J60:U60)*G60</f>
        <v/>
      </c>
      <c r="W60" s="2">
        <f>MAX(J60:U60)</f>
        <v/>
      </c>
      <c r="X60" s="2">
        <f>W60*G60</f>
        <v/>
      </c>
    </row>
    <row r="61">
      <c r="A61" s="2" t="inlineStr">
        <is>
          <t>14-C-691</t>
        </is>
      </c>
      <c r="B61" s="3" t="inlineStr">
        <is>
          <t>DROP-CABLE(SC/APC-SC/APC)</t>
        </is>
      </c>
      <c r="C61" s="2" t="inlineStr">
        <is>
          <t>30M</t>
        </is>
      </c>
      <c r="D61" s="2" t="inlineStr">
        <is>
          <t>drop</t>
        </is>
      </c>
      <c r="E61" s="2" t="inlineStr">
        <is>
          <t>3.0mm</t>
        </is>
      </c>
      <c r="F61" s="2" t="n">
        <v>1</v>
      </c>
      <c r="G61" s="2" t="n">
        <v>30</v>
      </c>
      <c r="H61" s="2" t="inlineStr">
        <is>
          <t>SC/APC</t>
        </is>
      </c>
      <c r="I61" s="2" t="inlineStr">
        <is>
          <t>SC/APC</t>
        </is>
      </c>
      <c r="J61" s="2" t="n"/>
      <c r="K61" s="2" t="n"/>
      <c r="L61" s="2" t="n"/>
      <c r="M61" s="2" t="n"/>
      <c r="N61" s="2" t="n"/>
      <c r="O61" s="2" t="n">
        <v>20</v>
      </c>
      <c r="P61" s="2" t="n"/>
      <c r="Q61" s="2" t="n"/>
      <c r="R61" s="2" t="n"/>
      <c r="S61" s="2" t="n"/>
      <c r="T61" s="2" t="n"/>
      <c r="U61" s="2" t="n"/>
      <c r="V61" s="2">
        <f>SUM(J61:U61)*G61</f>
        <v/>
      </c>
      <c r="W61" s="2">
        <f>MAX(J61:U61)</f>
        <v/>
      </c>
      <c r="X61" s="2">
        <f>W61*G61</f>
        <v/>
      </c>
    </row>
    <row r="62">
      <c r="A62" s="2" t="inlineStr">
        <is>
          <t>14-C-693</t>
        </is>
      </c>
      <c r="B62" s="3" t="inlineStr">
        <is>
          <t>DROP-CABLE(LC/PC-SC/PC)-2C</t>
        </is>
      </c>
      <c r="C62" s="2" t="inlineStr">
        <is>
          <t>20M</t>
        </is>
      </c>
      <c r="D62" s="2" t="inlineStr">
        <is>
          <t>drop</t>
        </is>
      </c>
      <c r="E62" s="2" t="inlineStr">
        <is>
          <t>3.0mm</t>
        </is>
      </c>
      <c r="F62" s="2" t="n">
        <v>2</v>
      </c>
      <c r="G62" s="2" t="n">
        <v>20</v>
      </c>
      <c r="H62" s="2" t="inlineStr">
        <is>
          <t>LC/PC</t>
        </is>
      </c>
      <c r="I62" s="2" t="inlineStr">
        <is>
          <t>SC/PC</t>
        </is>
      </c>
      <c r="J62" s="2" t="n"/>
      <c r="K62" s="2" t="n"/>
      <c r="L62" s="2" t="n"/>
      <c r="M62" s="2" t="n"/>
      <c r="N62" s="2" t="n"/>
      <c r="O62" s="2" t="n"/>
      <c r="P62" s="2" t="n">
        <v>12</v>
      </c>
      <c r="Q62" s="2" t="n"/>
      <c r="R62" s="2" t="n"/>
      <c r="S62" s="2" t="n"/>
      <c r="T62" s="2" t="n"/>
      <c r="U62" s="2" t="n"/>
      <c r="V62" s="2">
        <f>SUM(J62:U62)*G62</f>
        <v/>
      </c>
      <c r="W62" s="2">
        <f>MAX(J62:U62)</f>
        <v/>
      </c>
      <c r="X62" s="2">
        <f>W62*G62</f>
        <v/>
      </c>
    </row>
    <row r="63">
      <c r="A63" s="2" t="inlineStr">
        <is>
          <t>14-C-696</t>
        </is>
      </c>
      <c r="B63" s="3" t="inlineStr">
        <is>
          <t>Optical Cable Parts,LC/PC-LC/PC-Single mode-15m-1Core</t>
        </is>
      </c>
      <c r="C63" s="2" t="inlineStr">
        <is>
          <t>657A2 , LSZH , 300MM/ 300MM</t>
        </is>
      </c>
      <c r="D63" s="2" t="inlineStr">
        <is>
          <t>a2</t>
        </is>
      </c>
      <c r="E63" s="2" t="inlineStr">
        <is>
          <t>2.0mm</t>
        </is>
      </c>
      <c r="F63" s="2" t="n">
        <v>1</v>
      </c>
      <c r="G63" s="2" t="n">
        <v>15</v>
      </c>
      <c r="H63" s="2" t="inlineStr">
        <is>
          <t>LC/PC</t>
        </is>
      </c>
      <c r="I63" s="2" t="inlineStr">
        <is>
          <t>LC/PC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>
        <v>50</v>
      </c>
      <c r="V63" s="2">
        <f>SUM(J63:U63)*G63</f>
        <v/>
      </c>
      <c r="W63" s="2">
        <f>MAX(J63:U63)</f>
        <v/>
      </c>
      <c r="X63" s="2">
        <f>W63*G63</f>
        <v/>
      </c>
    </row>
    <row r="64">
      <c r="A64" s="2" t="inlineStr">
        <is>
          <t>14-C-697</t>
        </is>
      </c>
      <c r="B64" s="3" t="inlineStr">
        <is>
          <t>Optical Cable Parts,LC/PC-LC/PC-Single mode-20m-2Core</t>
        </is>
      </c>
      <c r="C64" s="2" t="inlineStr">
        <is>
          <t>657A2 , LSZH , 300MM/ 300MM</t>
        </is>
      </c>
      <c r="D64" s="2" t="inlineStr">
        <is>
          <t>a2</t>
        </is>
      </c>
      <c r="E64" s="2" t="inlineStr">
        <is>
          <t>2.0mm</t>
        </is>
      </c>
      <c r="F64" s="2" t="n">
        <v>2</v>
      </c>
      <c r="G64" s="2" t="n">
        <v>20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>
        <v>30</v>
      </c>
      <c r="V64" s="2">
        <f>SUM(J64:U64)*G64</f>
        <v/>
      </c>
      <c r="W64" s="2">
        <f>MAX(J64:U64)</f>
        <v/>
      </c>
      <c r="X64" s="2">
        <f>W64*G64</f>
        <v/>
      </c>
    </row>
    <row r="65">
      <c r="A65" s="2" t="inlineStr">
        <is>
          <t>14-C-701</t>
        </is>
      </c>
      <c r="B65" s="3" t="inlineStr">
        <is>
          <t>DROP-CABLE(LC/APC-SC/APC)</t>
        </is>
      </c>
      <c r="C65" s="2" t="inlineStr">
        <is>
          <t>15M</t>
        </is>
      </c>
      <c r="D65" s="2" t="inlineStr">
        <is>
          <t>drop</t>
        </is>
      </c>
      <c r="E65" s="2" t="inlineStr">
        <is>
          <t>3.0mm</t>
        </is>
      </c>
      <c r="F65" s="2" t="n">
        <v>1</v>
      </c>
      <c r="G65" s="2" t="n">
        <v>15</v>
      </c>
      <c r="H65" s="2" t="inlineStr">
        <is>
          <t>LC/APC</t>
        </is>
      </c>
      <c r="I65" s="2" t="inlineStr">
        <is>
          <t>SC/APC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>
        <v>110</v>
      </c>
      <c r="V65" s="2">
        <f>SUM(J65:U65)*G65</f>
        <v/>
      </c>
      <c r="W65" s="2">
        <f>MAX(J65:U65)</f>
        <v/>
      </c>
      <c r="X65" s="2">
        <f>W65*G65</f>
        <v/>
      </c>
    </row>
    <row r="66">
      <c r="A66" s="2" t="inlineStr">
        <is>
          <t>14-C-703</t>
        </is>
      </c>
      <c r="B66" s="3" t="inlineStr">
        <is>
          <t>DROP-CABLE(LC/APC-SC/APC)</t>
        </is>
      </c>
      <c r="C66" s="2" t="inlineStr">
        <is>
          <t>10M</t>
        </is>
      </c>
      <c r="D66" s="2" t="inlineStr">
        <is>
          <t>drop</t>
        </is>
      </c>
      <c r="E66" s="2" t="inlineStr">
        <is>
          <t>3.0mm</t>
        </is>
      </c>
      <c r="F66" s="2" t="n">
        <v>1</v>
      </c>
      <c r="G66" s="2" t="n">
        <v>10</v>
      </c>
      <c r="H66" s="2" t="inlineStr">
        <is>
          <t>LC/APC</t>
        </is>
      </c>
      <c r="I66" s="2" t="inlineStr">
        <is>
          <t>SC/APC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>
        <v>110</v>
      </c>
      <c r="V66" s="2">
        <f>SUM(J66:U66)*G66</f>
        <v/>
      </c>
      <c r="W66" s="2">
        <f>MAX(J66:U66)</f>
        <v/>
      </c>
      <c r="X66" s="2">
        <f>W66*G66</f>
        <v/>
      </c>
    </row>
    <row r="67">
      <c r="A67" s="2" t="inlineStr">
        <is>
          <t>14-C-705</t>
        </is>
      </c>
      <c r="B67" s="3" t="inlineStr">
        <is>
          <t>DROP-CABLE(SC/APC-SC/APC)</t>
        </is>
      </c>
      <c r="C67" s="2" t="inlineStr">
        <is>
          <t>20M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20</v>
      </c>
      <c r="H67" s="2" t="inlineStr">
        <is>
          <t>SC/APC</t>
        </is>
      </c>
      <c r="I67" s="2" t="inlineStr">
        <is>
          <t>SC/APC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>
        <v>70</v>
      </c>
      <c r="V67" s="2">
        <f>SUM(J67:U67)*G67</f>
        <v/>
      </c>
      <c r="W67" s="2">
        <f>MAX(J67:U67)</f>
        <v/>
      </c>
      <c r="X67" s="2">
        <f>W67*G67</f>
        <v/>
      </c>
    </row>
    <row r="68">
      <c r="A68" s="2" t="inlineStr">
        <is>
          <t>14-C-707</t>
        </is>
      </c>
      <c r="B68" s="3" t="inlineStr">
        <is>
          <t>DROP-CABLE(SC/APC-SC/APC)</t>
        </is>
      </c>
      <c r="C68" s="2" t="inlineStr">
        <is>
          <t>10M</t>
        </is>
      </c>
      <c r="D68" s="2" t="inlineStr">
        <is>
          <t>drop</t>
        </is>
      </c>
      <c r="E68" s="2" t="inlineStr">
        <is>
          <t>3.0mm</t>
        </is>
      </c>
      <c r="F68" s="2" t="n">
        <v>1</v>
      </c>
      <c r="G68" s="2" t="n">
        <v>10</v>
      </c>
      <c r="H68" s="2" t="inlineStr">
        <is>
          <t>SC/APC</t>
        </is>
      </c>
      <c r="I68" s="2" t="inlineStr">
        <is>
          <t>SC/APC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>
        <v>70</v>
      </c>
      <c r="V68" s="2">
        <f>SUM(J68:U68)*G68</f>
        <v/>
      </c>
      <c r="W68" s="2">
        <f>MAX(J68:U68)</f>
        <v/>
      </c>
      <c r="X68" s="2">
        <f>W68*G68</f>
        <v/>
      </c>
    </row>
    <row r="69">
      <c r="A69" s="2" t="inlineStr">
        <is>
          <t>14-D-019</t>
        </is>
      </c>
      <c r="B69" s="3" t="inlineStr">
        <is>
          <t>DOJC-MM(OM3)-LC/PC-LC/PC</t>
        </is>
      </c>
      <c r="C69" s="2" t="inlineStr">
        <is>
          <t>30M</t>
        </is>
      </c>
      <c r="D69" s="2" t="inlineStr">
        <is>
          <t>om3</t>
        </is>
      </c>
      <c r="E69" s="2" t="inlineStr">
        <is>
          <t>2.0mm</t>
        </is>
      </c>
      <c r="F69" s="2" t="n">
        <v>2</v>
      </c>
      <c r="G69" s="2" t="n">
        <v>30</v>
      </c>
      <c r="H69" s="2" t="inlineStr">
        <is>
          <t>LC/PC</t>
        </is>
      </c>
      <c r="I69" s="2" t="inlineStr">
        <is>
          <t>LC/PC</t>
        </is>
      </c>
      <c r="J69" s="2" t="n"/>
      <c r="K69" s="2" t="n"/>
      <c r="L69" s="2" t="n"/>
      <c r="M69" s="2" t="n">
        <v>3</v>
      </c>
      <c r="N69" s="2" t="n"/>
      <c r="O69" s="2" t="n">
        <v>2</v>
      </c>
      <c r="P69" s="2" t="n"/>
      <c r="Q69" s="2" t="n"/>
      <c r="R69" s="2" t="n"/>
      <c r="S69" s="2" t="n"/>
      <c r="T69" s="2" t="n">
        <v>5</v>
      </c>
      <c r="U69" s="2" t="n"/>
      <c r="V69" s="2">
        <f>SUM(J69:U69)*G69</f>
        <v/>
      </c>
      <c r="W69" s="2">
        <f>MAX(J69:U69)</f>
        <v/>
      </c>
      <c r="X69" s="2">
        <f>W69*G69</f>
        <v/>
      </c>
    </row>
    <row r="70">
      <c r="A70" s="2" t="inlineStr">
        <is>
          <t>14-D-020</t>
        </is>
      </c>
      <c r="B70" s="3" t="inlineStr">
        <is>
          <t>DOJC-MM(OM3)-LC/PC-LC/PC</t>
        </is>
      </c>
      <c r="C70" s="2" t="inlineStr">
        <is>
          <t>35M</t>
        </is>
      </c>
      <c r="D70" s="2" t="inlineStr">
        <is>
          <t>om3</t>
        </is>
      </c>
      <c r="E70" s="2" t="inlineStr">
        <is>
          <t>2.0mm</t>
        </is>
      </c>
      <c r="F70" s="2" t="n">
        <v>2</v>
      </c>
      <c r="G70" s="2" t="n">
        <v>35</v>
      </c>
      <c r="H70" s="2" t="inlineStr">
        <is>
          <t>LC/PC</t>
        </is>
      </c>
      <c r="I70" s="2" t="inlineStr">
        <is>
          <t>LC/PC</t>
        </is>
      </c>
      <c r="J70" s="2" t="n"/>
      <c r="K70" s="2" t="n"/>
      <c r="L70" s="2" t="n"/>
      <c r="M70" s="2" t="n">
        <v>3</v>
      </c>
      <c r="N70" s="2" t="n"/>
      <c r="O70" s="2" t="n"/>
      <c r="P70" s="2" t="n"/>
      <c r="Q70" s="2" t="n"/>
      <c r="R70" s="2" t="n"/>
      <c r="S70" s="2" t="n"/>
      <c r="T70" s="2" t="n">
        <v>15</v>
      </c>
      <c r="U70" s="2" t="n">
        <v>5</v>
      </c>
      <c r="V70" s="2">
        <f>SUM(J70:U70)*G70</f>
        <v/>
      </c>
      <c r="W70" s="2">
        <f>MAX(J70:U70)</f>
        <v/>
      </c>
      <c r="X70" s="2">
        <f>W70*G70</f>
        <v/>
      </c>
    </row>
    <row r="71">
      <c r="A71" s="2" t="inlineStr">
        <is>
          <t>14-D-021</t>
        </is>
      </c>
      <c r="B71" s="3" t="inlineStr">
        <is>
          <t>DOJC-MM(OM3)-LC/PC-LC/PC</t>
        </is>
      </c>
      <c r="C71" s="2" t="inlineStr">
        <is>
          <t>3M</t>
        </is>
      </c>
      <c r="D71" s="2" t="inlineStr">
        <is>
          <t>om3</t>
        </is>
      </c>
      <c r="E71" s="2" t="inlineStr">
        <is>
          <t>2.0mm</t>
        </is>
      </c>
      <c r="F71" s="2" t="n">
        <v>2</v>
      </c>
      <c r="G71" s="2" t="n">
        <v>3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/>
      <c r="M71" s="2" t="n">
        <v>1</v>
      </c>
      <c r="N71" s="2" t="n"/>
      <c r="O71" s="2" t="n"/>
      <c r="P71" s="2" t="n"/>
      <c r="Q71" s="2" t="n">
        <v>30</v>
      </c>
      <c r="R71" s="2" t="n"/>
      <c r="S71" s="2" t="n"/>
      <c r="T71" s="2" t="n"/>
      <c r="U71" s="2" t="n">
        <v>20</v>
      </c>
      <c r="V71" s="2">
        <f>SUM(J71:U71)*G71</f>
        <v/>
      </c>
      <c r="W71" s="2">
        <f>MAX(J71:U71)</f>
        <v/>
      </c>
      <c r="X71" s="2">
        <f>W71*G71</f>
        <v/>
      </c>
    </row>
    <row r="72">
      <c r="A72" s="2" t="inlineStr">
        <is>
          <t>14-D-022</t>
        </is>
      </c>
      <c r="B72" s="3" t="inlineStr">
        <is>
          <t>DOJC-MM(OM3)-LC/PC-LC/PC</t>
        </is>
      </c>
      <c r="C72" s="2" t="inlineStr">
        <is>
          <t>40M</t>
        </is>
      </c>
      <c r="D72" s="2" t="inlineStr">
        <is>
          <t>om3</t>
        </is>
      </c>
      <c r="E72" s="2" t="inlineStr">
        <is>
          <t>2.0mm</t>
        </is>
      </c>
      <c r="F72" s="2" t="n">
        <v>2</v>
      </c>
      <c r="G72" s="2" t="n">
        <v>40</v>
      </c>
      <c r="H72" s="2" t="inlineStr">
        <is>
          <t>LC/PC</t>
        </is>
      </c>
      <c r="I72" s="2" t="inlineStr">
        <is>
          <t>LC/PC</t>
        </is>
      </c>
      <c r="J72" s="2" t="n"/>
      <c r="K72" s="2" t="n"/>
      <c r="L72" s="2" t="n"/>
      <c r="M72" s="2" t="n">
        <v>3</v>
      </c>
      <c r="N72" s="2" t="n"/>
      <c r="O72" s="2" t="n"/>
      <c r="P72" s="2" t="n"/>
      <c r="Q72" s="2" t="n"/>
      <c r="R72" s="2" t="n"/>
      <c r="S72" s="2" t="n"/>
      <c r="T72" s="2" t="n">
        <v>5</v>
      </c>
      <c r="U72" s="2" t="n"/>
      <c r="V72" s="2">
        <f>SUM(J72:U72)*G72</f>
        <v/>
      </c>
      <c r="W72" s="2">
        <f>MAX(J72:U72)</f>
        <v/>
      </c>
      <c r="X72" s="2">
        <f>W72*G72</f>
        <v/>
      </c>
    </row>
    <row r="73">
      <c r="A73" s="2" t="inlineStr">
        <is>
          <t>14-D-026</t>
        </is>
      </c>
      <c r="B73" s="3" t="inlineStr">
        <is>
          <t>DOJC-MM(OM3)-LC/PC-LC/PC</t>
        </is>
      </c>
      <c r="C73" s="2" t="inlineStr">
        <is>
          <t>70M</t>
        </is>
      </c>
      <c r="D73" s="2" t="inlineStr">
        <is>
          <t>om3</t>
        </is>
      </c>
      <c r="E73" s="2" t="inlineStr">
        <is>
          <t>2.0mm</t>
        </is>
      </c>
      <c r="F73" s="2" t="n">
        <v>2</v>
      </c>
      <c r="G73" s="2" t="n">
        <v>70</v>
      </c>
      <c r="H73" s="2" t="inlineStr">
        <is>
          <t>LC/PC</t>
        </is>
      </c>
      <c r="I73" s="2" t="inlineStr">
        <is>
          <t>LC/PC</t>
        </is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>
        <v>1</v>
      </c>
      <c r="U73" s="2" t="n"/>
      <c r="V73" s="2">
        <f>SUM(J73:U73)*G73</f>
        <v/>
      </c>
      <c r="W73" s="2">
        <f>MAX(J73:U73)</f>
        <v/>
      </c>
      <c r="X73" s="2">
        <f>W73*G73</f>
        <v/>
      </c>
    </row>
    <row r="74">
      <c r="A74" s="2" t="inlineStr">
        <is>
          <t>14-D-027</t>
        </is>
      </c>
      <c r="B74" s="3" t="inlineStr">
        <is>
          <t>DOJC-MM(OM3)-LC/PC-LC/PC</t>
        </is>
      </c>
      <c r="C74" s="2" t="inlineStr">
        <is>
          <t>7M</t>
        </is>
      </c>
      <c r="D74" s="2" t="inlineStr">
        <is>
          <t>om3</t>
        </is>
      </c>
      <c r="E74" s="2" t="inlineStr">
        <is>
          <t>2.0mm</t>
        </is>
      </c>
      <c r="F74" s="2" t="n">
        <v>2</v>
      </c>
      <c r="G74" s="2" t="n">
        <v>7</v>
      </c>
      <c r="H74" s="2" t="inlineStr">
        <is>
          <t>LC/PC</t>
        </is>
      </c>
      <c r="I74" s="2" t="inlineStr">
        <is>
          <t>LC/PC</t>
        </is>
      </c>
      <c r="J74" s="2" t="n"/>
      <c r="K74" s="2" t="n"/>
      <c r="L74" s="2" t="n"/>
      <c r="M74" s="2" t="n"/>
      <c r="N74" s="2" t="n"/>
      <c r="O74" s="2" t="n"/>
      <c r="P74" s="2" t="n"/>
      <c r="Q74" s="2" t="n">
        <v>30</v>
      </c>
      <c r="R74" s="2" t="n"/>
      <c r="S74" s="2" t="n"/>
      <c r="T74" s="2" t="n"/>
      <c r="U74" s="2" t="n"/>
      <c r="V74" s="2">
        <f>SUM(J74:U74)*G74</f>
        <v/>
      </c>
      <c r="W74" s="2">
        <f>MAX(J74:U74)</f>
        <v/>
      </c>
      <c r="X74" s="2">
        <f>W74*G74</f>
        <v/>
      </c>
    </row>
    <row r="75">
      <c r="A75" s="2" t="inlineStr">
        <is>
          <t>14-D-028</t>
        </is>
      </c>
      <c r="B75" s="3" t="inlineStr">
        <is>
          <t>DOJC-MM(OM3)-LC/PC-LC/PC</t>
        </is>
      </c>
      <c r="C75" s="2" t="inlineStr">
        <is>
          <t>80M</t>
        </is>
      </c>
      <c r="D75" s="2" t="inlineStr">
        <is>
          <t>om3</t>
        </is>
      </c>
      <c r="E75" s="2" t="inlineStr">
        <is>
          <t>2.0mm</t>
        </is>
      </c>
      <c r="F75" s="2" t="n">
        <v>2</v>
      </c>
      <c r="G75" s="2" t="n">
        <v>80</v>
      </c>
      <c r="H75" s="2" t="inlineStr">
        <is>
          <t>LC/PC</t>
        </is>
      </c>
      <c r="I75" s="2" t="inlineStr">
        <is>
          <t>LC/PC</t>
        </is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>
        <v>4</v>
      </c>
      <c r="U75" s="2" t="n"/>
      <c r="V75" s="2">
        <f>SUM(J75:U75)*G75</f>
        <v/>
      </c>
      <c r="W75" s="2">
        <f>MAX(J75:U75)</f>
        <v/>
      </c>
      <c r="X75" s="2">
        <f>W75*G75</f>
        <v/>
      </c>
    </row>
    <row r="76">
      <c r="A76" s="2" t="inlineStr">
        <is>
          <t>14-D-051</t>
        </is>
      </c>
      <c r="B76" s="3" t="inlineStr">
        <is>
          <t>DOJC-MM-LC/PC-LC/PC</t>
        </is>
      </c>
      <c r="C76" s="2" t="inlineStr">
        <is>
          <t>35M</t>
        </is>
      </c>
      <c r="D76" s="2" t="inlineStr">
        <is>
          <t>om1</t>
        </is>
      </c>
      <c r="E76" s="2" t="inlineStr">
        <is>
          <t>2.0mm</t>
        </is>
      </c>
      <c r="F76" s="2" t="n">
        <v>2</v>
      </c>
      <c r="G76" s="2" t="n">
        <v>35</v>
      </c>
      <c r="H76" s="2" t="inlineStr">
        <is>
          <t>LC/PC</t>
        </is>
      </c>
      <c r="I76" s="2" t="inlineStr">
        <is>
          <t>LC/PC</t>
        </is>
      </c>
      <c r="J76" s="2" t="n"/>
      <c r="K76" s="2" t="n">
        <v>5</v>
      </c>
      <c r="L76" s="2" t="n"/>
      <c r="M76" s="2" t="n"/>
      <c r="N76" s="2" t="n"/>
      <c r="O76" s="2" t="n">
        <v>10</v>
      </c>
      <c r="P76" s="2" t="n"/>
      <c r="Q76" s="2" t="n">
        <v>30</v>
      </c>
      <c r="R76" s="2" t="n"/>
      <c r="S76" s="2" t="n"/>
      <c r="T76" s="2" t="n">
        <v>2</v>
      </c>
      <c r="U76" s="2" t="n">
        <v>4</v>
      </c>
      <c r="V76" s="2">
        <f>SUM(J76:U76)*G76</f>
        <v/>
      </c>
      <c r="W76" s="2">
        <f>MAX(J76:U76)</f>
        <v/>
      </c>
      <c r="X76" s="2">
        <f>W76*G76</f>
        <v/>
      </c>
    </row>
    <row r="77">
      <c r="A77" s="2" t="inlineStr">
        <is>
          <t>14-D-053</t>
        </is>
      </c>
      <c r="B77" s="3" t="inlineStr">
        <is>
          <t>DOJC-MM-LC/PC-LC/PC</t>
        </is>
      </c>
      <c r="C77" s="2" t="inlineStr">
        <is>
          <t>40M</t>
        </is>
      </c>
      <c r="D77" s="2" t="inlineStr">
        <is>
          <t>om1</t>
        </is>
      </c>
      <c r="E77" s="2" t="inlineStr">
        <is>
          <t>2.0mm</t>
        </is>
      </c>
      <c r="F77" s="2" t="n">
        <v>2</v>
      </c>
      <c r="G77" s="2" t="n">
        <v>40</v>
      </c>
      <c r="H77" s="2" t="inlineStr">
        <is>
          <t>LC/PC</t>
        </is>
      </c>
      <c r="I77" s="2" t="inlineStr">
        <is>
          <t>LC/PC</t>
        </is>
      </c>
      <c r="J77" s="2" t="n"/>
      <c r="K77" s="2" t="n"/>
      <c r="L77" s="2" t="n"/>
      <c r="M77" s="2" t="n">
        <v>5</v>
      </c>
      <c r="N77" s="2" t="n"/>
      <c r="O77" s="2" t="n"/>
      <c r="P77" s="2" t="n"/>
      <c r="Q77" s="2" t="n"/>
      <c r="R77" s="2" t="n"/>
      <c r="S77" s="2" t="n">
        <v>2</v>
      </c>
      <c r="T77" s="2" t="n">
        <v>7</v>
      </c>
      <c r="U77" s="2" t="n"/>
      <c r="V77" s="2">
        <f>SUM(J77:U77)*G77</f>
        <v/>
      </c>
      <c r="W77" s="2">
        <f>MAX(J77:U77)</f>
        <v/>
      </c>
      <c r="X77" s="2">
        <f>W77*G77</f>
        <v/>
      </c>
    </row>
    <row r="78">
      <c r="A78" s="2" t="inlineStr">
        <is>
          <t>14-D-055</t>
        </is>
      </c>
      <c r="B78" s="3" t="inlineStr">
        <is>
          <t>DOJC-MM-LC/PC-LC/PC</t>
        </is>
      </c>
      <c r="C78" s="2" t="inlineStr">
        <is>
          <t>50M</t>
        </is>
      </c>
      <c r="D78" s="2" t="inlineStr">
        <is>
          <t>om1</t>
        </is>
      </c>
      <c r="E78" s="2" t="inlineStr">
        <is>
          <t>2.0mm</t>
        </is>
      </c>
      <c r="F78" s="2" t="n">
        <v>2</v>
      </c>
      <c r="G78" s="2" t="n">
        <v>50</v>
      </c>
      <c r="H78" s="2" t="inlineStr">
        <is>
          <t>LC/PC</t>
        </is>
      </c>
      <c r="I78" s="2" t="inlineStr">
        <is>
          <t>LC/PC</t>
        </is>
      </c>
      <c r="J78" s="2" t="n"/>
      <c r="K78" s="2" t="n"/>
      <c r="L78" s="2" t="n">
        <v>3</v>
      </c>
      <c r="M78" s="2" t="n"/>
      <c r="N78" s="2" t="n">
        <v>2</v>
      </c>
      <c r="O78" s="2" t="n"/>
      <c r="P78" s="2" t="n"/>
      <c r="Q78" s="2" t="n"/>
      <c r="R78" s="2" t="n"/>
      <c r="S78" s="2" t="n"/>
      <c r="T78" s="2" t="n"/>
      <c r="U78" s="2" t="n"/>
      <c r="V78" s="2">
        <f>SUM(J78:U78)*G78</f>
        <v/>
      </c>
      <c r="W78" s="2">
        <f>MAX(J78:U78)</f>
        <v/>
      </c>
      <c r="X78" s="2">
        <f>W78*G78</f>
        <v/>
      </c>
    </row>
    <row r="79">
      <c r="A79" s="2" t="inlineStr">
        <is>
          <t>14-D-056</t>
        </is>
      </c>
      <c r="B79" s="3" t="inlineStr">
        <is>
          <t>DOJC-MM-LC/PC-LC/PC</t>
        </is>
      </c>
      <c r="C79" s="2" t="inlineStr">
        <is>
          <t>55M</t>
        </is>
      </c>
      <c r="D79" s="2" t="inlineStr">
        <is>
          <t>om1</t>
        </is>
      </c>
      <c r="E79" s="2" t="inlineStr">
        <is>
          <t>2.0mm</t>
        </is>
      </c>
      <c r="F79" s="2" t="n">
        <v>2</v>
      </c>
      <c r="G79" s="2" t="n">
        <v>55</v>
      </c>
      <c r="H79" s="2" t="inlineStr">
        <is>
          <t>LC/PC</t>
        </is>
      </c>
      <c r="I79" s="2" t="inlineStr">
        <is>
          <t>LC/PC</t>
        </is>
      </c>
      <c r="J79" s="2" t="n"/>
      <c r="K79" s="2" t="n"/>
      <c r="L79" s="2" t="n">
        <v>8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>
        <f>SUM(J79:U79)*G79</f>
        <v/>
      </c>
      <c r="W79" s="2">
        <f>MAX(J79:U79)</f>
        <v/>
      </c>
      <c r="X79" s="2">
        <f>W79*G79</f>
        <v/>
      </c>
    </row>
    <row r="80">
      <c r="A80" s="2" t="inlineStr">
        <is>
          <t>14-D-060</t>
        </is>
      </c>
      <c r="B80" s="3" t="inlineStr">
        <is>
          <t>DOJC-MM-LC/PC-LC/PC</t>
        </is>
      </c>
      <c r="C80" s="2" t="inlineStr">
        <is>
          <t>70M</t>
        </is>
      </c>
      <c r="D80" s="2" t="inlineStr">
        <is>
          <t>om1</t>
        </is>
      </c>
      <c r="E80" s="2" t="inlineStr">
        <is>
          <t>2.0mm</t>
        </is>
      </c>
      <c r="F80" s="2" t="n">
        <v>2</v>
      </c>
      <c r="G80" s="2" t="n">
        <v>70</v>
      </c>
      <c r="H80" s="2" t="inlineStr">
        <is>
          <t>LC/PC</t>
        </is>
      </c>
      <c r="I80" s="2" t="inlineStr">
        <is>
          <t>LC/PC</t>
        </is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>
        <v>4</v>
      </c>
      <c r="S80" s="2" t="n"/>
      <c r="T80" s="2" t="n"/>
      <c r="U80" s="2" t="n"/>
      <c r="V80" s="2">
        <f>SUM(J80:U80)*G80</f>
        <v/>
      </c>
      <c r="W80" s="2">
        <f>MAX(J80:U80)</f>
        <v/>
      </c>
      <c r="X80" s="2">
        <f>W80*G80</f>
        <v/>
      </c>
    </row>
    <row r="81">
      <c r="A81" s="2" t="inlineStr">
        <is>
          <t>14-D-094</t>
        </is>
      </c>
      <c r="B81" s="3" t="inlineStr">
        <is>
          <t>DOJC-MM-SC/PC-SC/PC</t>
        </is>
      </c>
      <c r="C81" s="2" t="inlineStr">
        <is>
          <t>1M</t>
        </is>
      </c>
      <c r="D81" s="2" t="inlineStr">
        <is>
          <t>om1</t>
        </is>
      </c>
      <c r="E81" s="2" t="inlineStr">
        <is>
          <t>2.0mm</t>
        </is>
      </c>
      <c r="F81" s="2" t="n">
        <v>2</v>
      </c>
      <c r="G81" s="2" t="n">
        <v>1</v>
      </c>
      <c r="H81" s="2" t="inlineStr">
        <is>
          <t>SC/PC</t>
        </is>
      </c>
      <c r="I81" s="2" t="inlineStr">
        <is>
          <t>SC/PC</t>
        </is>
      </c>
      <c r="J81" s="2" t="n"/>
      <c r="K81" s="2" t="n"/>
      <c r="L81" s="2" t="n"/>
      <c r="M81" s="2" t="n"/>
      <c r="N81" s="2" t="n"/>
      <c r="O81" s="2" t="n">
        <v>30</v>
      </c>
      <c r="P81" s="2" t="n"/>
      <c r="Q81" s="2" t="n">
        <v>5</v>
      </c>
      <c r="R81" s="2" t="n"/>
      <c r="S81" s="2" t="n"/>
      <c r="T81" s="2" t="n"/>
      <c r="U81" s="2" t="n"/>
      <c r="V81" s="2">
        <f>SUM(J81:U81)*G81</f>
        <v/>
      </c>
      <c r="W81" s="2">
        <f>MAX(J81:U81)</f>
        <v/>
      </c>
      <c r="X81" s="2">
        <f>W81*G81</f>
        <v/>
      </c>
    </row>
    <row r="82">
      <c r="A82" s="2" t="inlineStr">
        <is>
          <t>14-D-196</t>
        </is>
      </c>
      <c r="B82" s="3" t="inlineStr">
        <is>
          <t>DOJC-SM-LC/PC-FC/PC</t>
        </is>
      </c>
      <c r="C82" s="2" t="inlineStr">
        <is>
          <t>15M</t>
        </is>
      </c>
      <c r="D82" s="2" t="inlineStr">
        <is>
          <t>a1</t>
        </is>
      </c>
      <c r="E82" s="2" t="inlineStr">
        <is>
          <t>2.0mm</t>
        </is>
      </c>
      <c r="F82" s="2" t="n">
        <v>2</v>
      </c>
      <c r="G82" s="2" t="n">
        <v>15</v>
      </c>
      <c r="H82" s="2" t="inlineStr">
        <is>
          <t>LC/PC</t>
        </is>
      </c>
      <c r="I82" s="2" t="inlineStr">
        <is>
          <t>FC/PC</t>
        </is>
      </c>
      <c r="J82" s="2" t="n"/>
      <c r="K82" s="2" t="n"/>
      <c r="L82" s="2" t="n"/>
      <c r="M82" s="2" t="n"/>
      <c r="N82" s="2" t="n">
        <v>10</v>
      </c>
      <c r="O82" s="2" t="n"/>
      <c r="P82" s="2" t="n"/>
      <c r="Q82" s="2" t="n"/>
      <c r="R82" s="2" t="n"/>
      <c r="S82" s="2" t="n"/>
      <c r="T82" s="2" t="n"/>
      <c r="U82" s="2" t="n"/>
      <c r="V82" s="2">
        <f>SUM(J82:U82)*G82</f>
        <v/>
      </c>
      <c r="W82" s="2">
        <f>MAX(J82:U82)</f>
        <v/>
      </c>
      <c r="X82" s="2">
        <f>W82*G82</f>
        <v/>
      </c>
    </row>
    <row r="83">
      <c r="A83" s="2" t="inlineStr">
        <is>
          <t>14-D-223</t>
        </is>
      </c>
      <c r="B83" s="3" t="inlineStr">
        <is>
          <t>DOJC-SM-LC/PC-LC/PC</t>
        </is>
      </c>
      <c r="C83" s="2" t="inlineStr">
        <is>
          <t>10M</t>
        </is>
      </c>
      <c r="D83" s="2" t="inlineStr">
        <is>
          <t>a1</t>
        </is>
      </c>
      <c r="E83" s="2" t="inlineStr">
        <is>
          <t>2.0mm</t>
        </is>
      </c>
      <c r="F83" s="2" t="n">
        <v>2</v>
      </c>
      <c r="G83" s="2" t="n">
        <v>10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>
        <v>20</v>
      </c>
      <c r="P83" s="2" t="n"/>
      <c r="Q83" s="2" t="n">
        <v>30</v>
      </c>
      <c r="R83" s="2" t="n">
        <v>50</v>
      </c>
      <c r="S83" s="2" t="n">
        <v>80</v>
      </c>
      <c r="T83" s="2" t="n">
        <v>20</v>
      </c>
      <c r="U83" s="2" t="n"/>
      <c r="V83" s="2">
        <f>SUM(J83:U83)*G83</f>
        <v/>
      </c>
      <c r="W83" s="2">
        <f>MAX(J83:U83)</f>
        <v/>
      </c>
      <c r="X83" s="2">
        <f>W83*G83</f>
        <v/>
      </c>
    </row>
    <row r="84">
      <c r="A84" s="2" t="inlineStr">
        <is>
          <t>14-D-228</t>
        </is>
      </c>
      <c r="B84" s="3" t="inlineStr">
        <is>
          <t>DOJC-SM-LC/PC-LC/PC</t>
        </is>
      </c>
      <c r="C84" s="2" t="inlineStr">
        <is>
          <t>15M</t>
        </is>
      </c>
      <c r="D84" s="2" t="inlineStr">
        <is>
          <t>a1</t>
        </is>
      </c>
      <c r="E84" s="2" t="inlineStr">
        <is>
          <t>2.0mm</t>
        </is>
      </c>
      <c r="F84" s="2" t="n">
        <v>2</v>
      </c>
      <c r="G84" s="2" t="n">
        <v>15</v>
      </c>
      <c r="H84" s="2" t="inlineStr">
        <is>
          <t>LC/PC</t>
        </is>
      </c>
      <c r="I84" s="2" t="inlineStr">
        <is>
          <t>LC/PC</t>
        </is>
      </c>
      <c r="J84" s="2" t="n"/>
      <c r="K84" s="2" t="n"/>
      <c r="L84" s="2" t="n"/>
      <c r="M84" s="2" t="n"/>
      <c r="N84" s="2" t="n"/>
      <c r="O84" s="2" t="n">
        <v>10</v>
      </c>
      <c r="P84" s="2" t="n"/>
      <c r="Q84" s="2" t="n">
        <v>140</v>
      </c>
      <c r="R84" s="2" t="n">
        <v>50</v>
      </c>
      <c r="S84" s="2" t="n"/>
      <c r="T84" s="2" t="n"/>
      <c r="U84" s="2" t="n"/>
      <c r="V84" s="2">
        <f>SUM(J84:U84)*G84</f>
        <v/>
      </c>
      <c r="W84" s="2">
        <f>MAX(J84:U84)</f>
        <v/>
      </c>
      <c r="X84" s="2">
        <f>W84*G84</f>
        <v/>
      </c>
    </row>
    <row r="85">
      <c r="A85" s="2" t="inlineStr">
        <is>
          <t>14-D-228R</t>
        </is>
      </c>
      <c r="B85" s="3" t="inlineStr">
        <is>
          <t>DOJC-SM-LC/PC-LC/PC</t>
        </is>
      </c>
      <c r="C85" s="2" t="inlineStr">
        <is>
          <t>15M_적색케이블</t>
        </is>
      </c>
      <c r="D85" s="2" t="inlineStr">
        <is>
          <t>a1-적</t>
        </is>
      </c>
      <c r="E85" s="2" t="inlineStr">
        <is>
          <t>2.0mm</t>
        </is>
      </c>
      <c r="F85" s="2" t="n">
        <v>2</v>
      </c>
      <c r="G85" s="2" t="n">
        <v>15</v>
      </c>
      <c r="H85" s="2" t="inlineStr">
        <is>
          <t>LC/PC</t>
        </is>
      </c>
      <c r="I85" s="2" t="inlineStr">
        <is>
          <t>LC/PC</t>
        </is>
      </c>
      <c r="J85" s="2" t="n"/>
      <c r="K85" s="2" t="n"/>
      <c r="L85" s="2" t="n"/>
      <c r="M85" s="2" t="n">
        <v>20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SUM(J85:U85)*G85</f>
        <v/>
      </c>
      <c r="W85" s="2">
        <f>MAX(J85:U85)</f>
        <v/>
      </c>
      <c r="X85" s="2">
        <f>W85*G85</f>
        <v/>
      </c>
    </row>
    <row r="86">
      <c r="A86" s="2" t="inlineStr">
        <is>
          <t>14-D-234</t>
        </is>
      </c>
      <c r="B86" s="3" t="inlineStr">
        <is>
          <t>DOJC-SM-LC/PC-LC/PC</t>
        </is>
      </c>
      <c r="C86" s="2" t="inlineStr">
        <is>
          <t>20M</t>
        </is>
      </c>
      <c r="D86" s="2" t="inlineStr">
        <is>
          <t>a1</t>
        </is>
      </c>
      <c r="E86" s="2" t="inlineStr">
        <is>
          <t>2.0mm</t>
        </is>
      </c>
      <c r="F86" s="2" t="n">
        <v>2</v>
      </c>
      <c r="G86" s="2" t="n">
        <v>20</v>
      </c>
      <c r="H86" s="2" t="inlineStr">
        <is>
          <t>LC/PC</t>
        </is>
      </c>
      <c r="I86" s="2" t="inlineStr">
        <is>
          <t>LC/PC</t>
        </is>
      </c>
      <c r="J86" s="2" t="n"/>
      <c r="K86" s="2" t="n"/>
      <c r="L86" s="2" t="n"/>
      <c r="M86" s="2" t="n"/>
      <c r="N86" s="2" t="n"/>
      <c r="O86" s="2" t="n">
        <v>10</v>
      </c>
      <c r="P86" s="2" t="n"/>
      <c r="Q86" s="2" t="n">
        <v>100</v>
      </c>
      <c r="R86" s="2" t="n"/>
      <c r="S86" s="2" t="n">
        <v>80</v>
      </c>
      <c r="T86" s="2" t="n"/>
      <c r="U86" s="2" t="n"/>
      <c r="V86" s="2">
        <f>SUM(J86:U86)*G86</f>
        <v/>
      </c>
      <c r="W86" s="2">
        <f>MAX(J86:U86)</f>
        <v/>
      </c>
      <c r="X86" s="2">
        <f>W86*G86</f>
        <v/>
      </c>
    </row>
    <row r="87">
      <c r="A87" s="2" t="inlineStr">
        <is>
          <t>14-D-234R</t>
        </is>
      </c>
      <c r="B87" s="3" t="inlineStr">
        <is>
          <t>DOJC-SM-LC/PC-LC/PC</t>
        </is>
      </c>
      <c r="C87" s="2" t="inlineStr">
        <is>
          <t>20M_적색케이블</t>
        </is>
      </c>
      <c r="D87" s="2" t="inlineStr">
        <is>
          <t>a1-적</t>
        </is>
      </c>
      <c r="E87" s="2" t="inlineStr">
        <is>
          <t>2.0mm</t>
        </is>
      </c>
      <c r="F87" s="2" t="n">
        <v>2</v>
      </c>
      <c r="G87" s="2" t="n">
        <v>20</v>
      </c>
      <c r="H87" s="2" t="inlineStr">
        <is>
          <t>LC/PC</t>
        </is>
      </c>
      <c r="I87" s="2" t="inlineStr">
        <is>
          <t>LC/PC</t>
        </is>
      </c>
      <c r="J87" s="2" t="n"/>
      <c r="K87" s="2" t="n"/>
      <c r="L87" s="2" t="n"/>
      <c r="M87" s="2" t="n">
        <v>20</v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>
        <f>SUM(J87:U87)*G87</f>
        <v/>
      </c>
      <c r="W87" s="2">
        <f>MAX(J87:U87)</f>
        <v/>
      </c>
      <c r="X87" s="2">
        <f>W87*G87</f>
        <v/>
      </c>
    </row>
    <row r="88">
      <c r="A88" s="2" t="inlineStr">
        <is>
          <t>14-D-237</t>
        </is>
      </c>
      <c r="B88" s="3" t="inlineStr">
        <is>
          <t>DOJC-SM-LC/PC-LC/PC</t>
        </is>
      </c>
      <c r="C88" s="2" t="inlineStr">
        <is>
          <t>25M</t>
        </is>
      </c>
      <c r="D88" s="2" t="inlineStr">
        <is>
          <t>a1</t>
        </is>
      </c>
      <c r="E88" s="2" t="inlineStr">
        <is>
          <t>2.0mm</t>
        </is>
      </c>
      <c r="F88" s="2" t="n">
        <v>2</v>
      </c>
      <c r="G88" s="2" t="n">
        <v>25</v>
      </c>
      <c r="H88" s="2" t="inlineStr">
        <is>
          <t>LC/PC</t>
        </is>
      </c>
      <c r="I88" s="2" t="inlineStr">
        <is>
          <t>LC/PC</t>
        </is>
      </c>
      <c r="J88" s="2" t="n"/>
      <c r="K88" s="2" t="n"/>
      <c r="L88" s="2" t="n"/>
      <c r="M88" s="2" t="n"/>
      <c r="N88" s="2" t="n"/>
      <c r="O88" s="2" t="n"/>
      <c r="P88" s="2" t="n"/>
      <c r="Q88" s="2" t="n">
        <v>150</v>
      </c>
      <c r="R88" s="2" t="n">
        <v>100</v>
      </c>
      <c r="S88" s="2" t="n"/>
      <c r="T88" s="2" t="n"/>
      <c r="U88" s="2" t="n"/>
      <c r="V88" s="2">
        <f>SUM(J88:U88)*G88</f>
        <v/>
      </c>
      <c r="W88" s="2">
        <f>MAX(J88:U88)</f>
        <v/>
      </c>
      <c r="X88" s="2">
        <f>W88*G88</f>
        <v/>
      </c>
    </row>
    <row r="89">
      <c r="A89" s="2" t="inlineStr">
        <is>
          <t>14-D-244</t>
        </is>
      </c>
      <c r="B89" s="3" t="inlineStr">
        <is>
          <t>DOJC-SM-LC/PC-LC/PC</t>
        </is>
      </c>
      <c r="C89" s="2" t="inlineStr">
        <is>
          <t>3M</t>
        </is>
      </c>
      <c r="D89" s="2" t="inlineStr">
        <is>
          <t>a1</t>
        </is>
      </c>
      <c r="E89" s="2" t="inlineStr">
        <is>
          <t>2.0mm</t>
        </is>
      </c>
      <c r="F89" s="2" t="n">
        <v>2</v>
      </c>
      <c r="G89" s="2" t="n">
        <v>3</v>
      </c>
      <c r="H89" s="2" t="inlineStr">
        <is>
          <t>LC/PC</t>
        </is>
      </c>
      <c r="I89" s="2" t="inlineStr">
        <is>
          <t>LC/PC</t>
        </is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>
        <v>100</v>
      </c>
      <c r="S89" s="2" t="n"/>
      <c r="T89" s="2" t="n"/>
      <c r="U89" s="2" t="n"/>
      <c r="V89" s="2">
        <f>SUM(J89:U89)*G89</f>
        <v/>
      </c>
      <c r="W89" s="2">
        <f>MAX(J89:U89)</f>
        <v/>
      </c>
      <c r="X89" s="2">
        <f>W89*G89</f>
        <v/>
      </c>
    </row>
    <row r="90">
      <c r="A90" s="2" t="inlineStr">
        <is>
          <t>14-D-247</t>
        </is>
      </c>
      <c r="B90" s="3" t="inlineStr">
        <is>
          <t>DOJC-SM-LC/PC-LC/PC</t>
        </is>
      </c>
      <c r="C90" s="2" t="inlineStr">
        <is>
          <t>45M</t>
        </is>
      </c>
      <c r="D90" s="2" t="inlineStr">
        <is>
          <t>a1</t>
        </is>
      </c>
      <c r="E90" s="2" t="inlineStr">
        <is>
          <t>2.0mm</t>
        </is>
      </c>
      <c r="F90" s="2" t="n">
        <v>2</v>
      </c>
      <c r="G90" s="2" t="n">
        <v>45</v>
      </c>
      <c r="H90" s="2" t="inlineStr">
        <is>
          <t>LC/PC</t>
        </is>
      </c>
      <c r="I90" s="2" t="inlineStr">
        <is>
          <t>LC/PC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>
        <v>30</v>
      </c>
      <c r="S90" s="2" t="n"/>
      <c r="T90" s="2" t="n"/>
      <c r="U90" s="2" t="n"/>
      <c r="V90" s="2">
        <f>SUM(J90:U90)*G90</f>
        <v/>
      </c>
      <c r="W90" s="2">
        <f>MAX(J90:U90)</f>
        <v/>
      </c>
      <c r="X90" s="2">
        <f>W90*G90</f>
        <v/>
      </c>
    </row>
    <row r="91">
      <c r="A91" s="2" t="inlineStr">
        <is>
          <t>14-D-249</t>
        </is>
      </c>
      <c r="B91" s="3" t="inlineStr">
        <is>
          <t>DOJC-SM-LC/PC-LC/PC</t>
        </is>
      </c>
      <c r="C91" s="2" t="inlineStr">
        <is>
          <t>50M</t>
        </is>
      </c>
      <c r="D91" s="2" t="inlineStr">
        <is>
          <t>a1</t>
        </is>
      </c>
      <c r="E91" s="2" t="inlineStr">
        <is>
          <t>2.0mm</t>
        </is>
      </c>
      <c r="F91" s="2" t="n">
        <v>2</v>
      </c>
      <c r="G91" s="2" t="n">
        <v>50</v>
      </c>
      <c r="H91" s="2" t="inlineStr">
        <is>
          <t>LC/PC</t>
        </is>
      </c>
      <c r="I91" s="2" t="inlineStr">
        <is>
          <t>LC/PC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>
        <v>30</v>
      </c>
      <c r="S91" s="2" t="n"/>
      <c r="T91" s="2" t="n"/>
      <c r="U91" s="2" t="n"/>
      <c r="V91" s="2">
        <f>SUM(J91:U91)*G91</f>
        <v/>
      </c>
      <c r="W91" s="2">
        <f>MAX(J91:U91)</f>
        <v/>
      </c>
      <c r="X91" s="2">
        <f>W91*G91</f>
        <v/>
      </c>
    </row>
    <row r="92">
      <c r="A92" s="2" t="inlineStr">
        <is>
          <t>14-D-252</t>
        </is>
      </c>
      <c r="B92" s="3" t="inlineStr">
        <is>
          <t>DOJC-SM-LC/PC-LC/PC</t>
        </is>
      </c>
      <c r="C92" s="2" t="inlineStr">
        <is>
          <t>55M</t>
        </is>
      </c>
      <c r="D92" s="2" t="inlineStr">
        <is>
          <t>a1</t>
        </is>
      </c>
      <c r="E92" s="2" t="inlineStr">
        <is>
          <t>2.0mm</t>
        </is>
      </c>
      <c r="F92" s="2" t="n">
        <v>2</v>
      </c>
      <c r="G92" s="2" t="n">
        <v>55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>
        <v>20</v>
      </c>
      <c r="S92" s="2" t="n"/>
      <c r="T92" s="2" t="n"/>
      <c r="U92" s="2" t="n"/>
      <c r="V92" s="2">
        <f>SUM(J92:U92)*G92</f>
        <v/>
      </c>
      <c r="W92" s="2">
        <f>MAX(J92:U92)</f>
        <v/>
      </c>
      <c r="X92" s="2">
        <f>W92*G92</f>
        <v/>
      </c>
    </row>
    <row r="93">
      <c r="A93" s="2" t="inlineStr">
        <is>
          <t>14-D-253</t>
        </is>
      </c>
      <c r="B93" s="3" t="inlineStr">
        <is>
          <t>DOJC-SM-LC/PC-LC/PC</t>
        </is>
      </c>
      <c r="C93" s="2" t="inlineStr">
        <is>
          <t>5M</t>
        </is>
      </c>
      <c r="D93" s="2" t="inlineStr">
        <is>
          <t>a1</t>
        </is>
      </c>
      <c r="E93" s="2" t="inlineStr">
        <is>
          <t>2.0mm</t>
        </is>
      </c>
      <c r="F93" s="2" t="n">
        <v>2</v>
      </c>
      <c r="G93" s="2" t="n">
        <v>5</v>
      </c>
      <c r="H93" s="2" t="inlineStr">
        <is>
          <t>LC/PC</t>
        </is>
      </c>
      <c r="I93" s="2" t="inlineStr">
        <is>
          <t>LC/PC</t>
        </is>
      </c>
      <c r="J93" s="2" t="n"/>
      <c r="K93" s="2" t="n">
        <v>70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>
        <f>SUM(J93:U93)*G93</f>
        <v/>
      </c>
      <c r="W93" s="2">
        <f>MAX(J93:U93)</f>
        <v/>
      </c>
      <c r="X93" s="2">
        <f>W93*G93</f>
        <v/>
      </c>
    </row>
    <row r="94">
      <c r="A94" s="2" t="inlineStr">
        <is>
          <t>14-D-256</t>
        </is>
      </c>
      <c r="B94" s="3" t="inlineStr">
        <is>
          <t>DOJC-SM-LC/PC-LC/PC</t>
        </is>
      </c>
      <c r="C94" s="2" t="inlineStr">
        <is>
          <t>6M</t>
        </is>
      </c>
      <c r="D94" s="2" t="inlineStr">
        <is>
          <t>a1</t>
        </is>
      </c>
      <c r="E94" s="2" t="inlineStr">
        <is>
          <t>2.0mm</t>
        </is>
      </c>
      <c r="F94" s="2" t="n">
        <v>2</v>
      </c>
      <c r="G94" s="2" t="n">
        <v>6</v>
      </c>
      <c r="H94" s="2" t="inlineStr">
        <is>
          <t>LC/PC</t>
        </is>
      </c>
      <c r="I94" s="2" t="inlineStr">
        <is>
          <t>LC/PC</t>
        </is>
      </c>
      <c r="J94" s="2" t="n"/>
      <c r="K94" s="2" t="n"/>
      <c r="L94" s="2" t="n"/>
      <c r="M94" s="2" t="n"/>
      <c r="N94" s="2" t="n"/>
      <c r="O94" s="2" t="n"/>
      <c r="P94" s="2" t="n"/>
      <c r="Q94" s="2" t="n">
        <v>50</v>
      </c>
      <c r="R94" s="2" t="n"/>
      <c r="S94" s="2" t="n">
        <v>200</v>
      </c>
      <c r="T94" s="2" t="n">
        <v>300</v>
      </c>
      <c r="U94" s="2" t="n"/>
      <c r="V94" s="2">
        <f>SUM(J94:U94)*G94</f>
        <v/>
      </c>
      <c r="W94" s="2">
        <f>MAX(J94:U94)</f>
        <v/>
      </c>
      <c r="X94" s="2">
        <f>W94*G94</f>
        <v/>
      </c>
    </row>
    <row r="95">
      <c r="A95" s="2" t="inlineStr">
        <is>
          <t>14-D-263</t>
        </is>
      </c>
      <c r="B95" s="3" t="inlineStr">
        <is>
          <t>DOJC-SM-LC/PC-SC/APC</t>
        </is>
      </c>
      <c r="C95" s="2" t="inlineStr">
        <is>
          <t>10M</t>
        </is>
      </c>
      <c r="D95" s="2" t="inlineStr">
        <is>
          <t>a1</t>
        </is>
      </c>
      <c r="E95" s="2" t="inlineStr">
        <is>
          <t>2.0mm</t>
        </is>
      </c>
      <c r="F95" s="2" t="n">
        <v>2</v>
      </c>
      <c r="G95" s="2" t="n">
        <v>10</v>
      </c>
      <c r="H95" s="2" t="inlineStr">
        <is>
          <t>LC/PC</t>
        </is>
      </c>
      <c r="I95" s="2" t="inlineStr">
        <is>
          <t>SC/APC</t>
        </is>
      </c>
      <c r="J95" s="2" t="n"/>
      <c r="K95" s="2" t="n"/>
      <c r="L95" s="2" t="n">
        <v>2</v>
      </c>
      <c r="M95" s="2" t="n"/>
      <c r="N95" s="2" t="n"/>
      <c r="O95" s="2" t="n"/>
      <c r="P95" s="2" t="n">
        <v>2</v>
      </c>
      <c r="Q95" s="2" t="n"/>
      <c r="R95" s="2" t="n"/>
      <c r="S95" s="2" t="n"/>
      <c r="T95" s="2" t="n"/>
      <c r="U95" s="2" t="n"/>
      <c r="V95" s="2">
        <f>SUM(J95:U95)*G95</f>
        <v/>
      </c>
      <c r="W95" s="2">
        <f>MAX(J95:U95)</f>
        <v/>
      </c>
      <c r="X95" s="2">
        <f>W95*G95</f>
        <v/>
      </c>
    </row>
    <row r="96">
      <c r="A96" s="2" t="inlineStr">
        <is>
          <t>14-D-266</t>
        </is>
      </c>
      <c r="B96" s="3" t="inlineStr">
        <is>
          <t>DOJC-SM-LC/PC-SC/APC</t>
        </is>
      </c>
      <c r="C96" s="2" t="inlineStr">
        <is>
          <t>15M</t>
        </is>
      </c>
      <c r="D96" s="2" t="inlineStr">
        <is>
          <t>a1</t>
        </is>
      </c>
      <c r="E96" s="2" t="inlineStr">
        <is>
          <t>2.0mm</t>
        </is>
      </c>
      <c r="F96" s="2" t="n">
        <v>2</v>
      </c>
      <c r="G96" s="2" t="n">
        <v>15</v>
      </c>
      <c r="H96" s="2" t="inlineStr">
        <is>
          <t>LC/PC</t>
        </is>
      </c>
      <c r="I96" s="2" t="inlineStr">
        <is>
          <t>SC/APC</t>
        </is>
      </c>
      <c r="J96" s="2" t="n"/>
      <c r="K96" s="2" t="n"/>
      <c r="L96" s="2" t="n">
        <v>2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SUM(J96:U96)*G96</f>
        <v/>
      </c>
      <c r="W96" s="2">
        <f>MAX(J96:U96)</f>
        <v/>
      </c>
      <c r="X96" s="2">
        <f>W96*G96</f>
        <v/>
      </c>
    </row>
    <row r="97">
      <c r="A97" s="2" t="inlineStr">
        <is>
          <t>14-D-274</t>
        </is>
      </c>
      <c r="B97" s="3" t="inlineStr">
        <is>
          <t>DOJC-SM-LC/PC-SC/APC</t>
        </is>
      </c>
      <c r="C97" s="2" t="inlineStr">
        <is>
          <t>3M</t>
        </is>
      </c>
      <c r="D97" s="2" t="inlineStr">
        <is>
          <t>a1</t>
        </is>
      </c>
      <c r="E97" s="2" t="inlineStr">
        <is>
          <t>2.0mm</t>
        </is>
      </c>
      <c r="F97" s="2" t="n">
        <v>2</v>
      </c>
      <c r="G97" s="2" t="n">
        <v>3</v>
      </c>
      <c r="H97" s="2" t="inlineStr">
        <is>
          <t>LC/PC</t>
        </is>
      </c>
      <c r="I97" s="2" t="inlineStr">
        <is>
          <t>SC/APC</t>
        </is>
      </c>
      <c r="J97" s="2" t="n"/>
      <c r="K97" s="2" t="n"/>
      <c r="L97" s="2" t="n">
        <v>50</v>
      </c>
      <c r="M97" s="2" t="n">
        <v>10</v>
      </c>
      <c r="N97" s="2" t="n"/>
      <c r="O97" s="2" t="n"/>
      <c r="P97" s="2" t="n"/>
      <c r="Q97" s="2" t="n">
        <v>30</v>
      </c>
      <c r="R97" s="2" t="n"/>
      <c r="S97" s="2" t="n"/>
      <c r="T97" s="2" t="n"/>
      <c r="U97" s="2" t="n"/>
      <c r="V97" s="2">
        <f>SUM(J97:U97)*G97</f>
        <v/>
      </c>
      <c r="W97" s="2">
        <f>MAX(J97:U97)</f>
        <v/>
      </c>
      <c r="X97" s="2">
        <f>W97*G97</f>
        <v/>
      </c>
    </row>
    <row r="98">
      <c r="A98" s="2" t="inlineStr">
        <is>
          <t>14-D-303</t>
        </is>
      </c>
      <c r="B98" s="3" t="inlineStr">
        <is>
          <t>DOJC-SM-LC/PC-SC/PC</t>
        </is>
      </c>
      <c r="C98" s="2" t="inlineStr">
        <is>
          <t>2M</t>
        </is>
      </c>
      <c r="D98" s="2" t="inlineStr">
        <is>
          <t>a1</t>
        </is>
      </c>
      <c r="E98" s="2" t="inlineStr">
        <is>
          <t>2.0mm</t>
        </is>
      </c>
      <c r="F98" s="2" t="n">
        <v>2</v>
      </c>
      <c r="G98" s="2" t="n">
        <v>2</v>
      </c>
      <c r="H98" s="2" t="inlineStr">
        <is>
          <t>LC/PC</t>
        </is>
      </c>
      <c r="I98" s="2" t="inlineStr">
        <is>
          <t>SC/PC</t>
        </is>
      </c>
      <c r="J98" s="2" t="n"/>
      <c r="K98" s="2" t="n"/>
      <c r="L98" s="2" t="n"/>
      <c r="M98" s="2" t="n"/>
      <c r="N98" s="2" t="n"/>
      <c r="O98" s="2" t="n"/>
      <c r="P98" s="2" t="n">
        <v>1</v>
      </c>
      <c r="Q98" s="2" t="n"/>
      <c r="R98" s="2" t="n"/>
      <c r="S98" s="2" t="n">
        <v>1</v>
      </c>
      <c r="T98" s="2" t="n">
        <v>4</v>
      </c>
      <c r="U98" s="2" t="n"/>
      <c r="V98" s="2">
        <f>SUM(J98:U98)*G98</f>
        <v/>
      </c>
      <c r="W98" s="2">
        <f>MAX(J98:U98)</f>
        <v/>
      </c>
      <c r="X98" s="2">
        <f>W98*G98</f>
        <v/>
      </c>
    </row>
    <row r="99">
      <c r="A99" s="2" t="inlineStr">
        <is>
          <t>14-D-382</t>
        </is>
      </c>
      <c r="B99" s="3" t="inlineStr">
        <is>
          <t>DOJC-SM-SC/APC-SC/APC</t>
        </is>
      </c>
      <c r="C99" s="2" t="inlineStr">
        <is>
          <t>1M</t>
        </is>
      </c>
      <c r="D99" s="2" t="inlineStr">
        <is>
          <t>a1</t>
        </is>
      </c>
      <c r="E99" s="2" t="inlineStr">
        <is>
          <t>2.0mm</t>
        </is>
      </c>
      <c r="F99" s="2" t="n">
        <v>2</v>
      </c>
      <c r="G99" s="2" t="n">
        <v>1</v>
      </c>
      <c r="H99" s="2" t="inlineStr">
        <is>
          <t>SC/APC</t>
        </is>
      </c>
      <c r="I99" s="2" t="inlineStr">
        <is>
          <t>SC/APC</t>
        </is>
      </c>
      <c r="J99" s="2" t="n"/>
      <c r="K99" s="2" t="n">
        <v>10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>
        <f>SUM(J99:U99)*G99</f>
        <v/>
      </c>
      <c r="W99" s="2">
        <f>MAX(J99:U99)</f>
        <v/>
      </c>
      <c r="X99" s="2">
        <f>W99*G99</f>
        <v/>
      </c>
    </row>
    <row r="100">
      <c r="A100" s="2" t="inlineStr">
        <is>
          <t>14-D-388</t>
        </is>
      </c>
      <c r="B100" s="3" t="inlineStr">
        <is>
          <t>DOJC-SM-SC/APC-SC/APC</t>
        </is>
      </c>
      <c r="C100" s="2" t="inlineStr">
        <is>
          <t>3M</t>
        </is>
      </c>
      <c r="D100" s="2" t="inlineStr">
        <is>
          <t>a1</t>
        </is>
      </c>
      <c r="E100" s="2" t="inlineStr">
        <is>
          <t>2.0mm</t>
        </is>
      </c>
      <c r="F100" s="2" t="n">
        <v>2</v>
      </c>
      <c r="G100" s="2" t="n">
        <v>3</v>
      </c>
      <c r="H100" s="2" t="inlineStr">
        <is>
          <t>SC/APC</t>
        </is>
      </c>
      <c r="I100" s="2" t="inlineStr">
        <is>
          <t>SC/APC</t>
        </is>
      </c>
      <c r="J100" s="2" t="n"/>
      <c r="K100" s="2" t="n">
        <v>2</v>
      </c>
      <c r="L100" s="2" t="n">
        <v>30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>
        <f>SUM(J100:U100)*G100</f>
        <v/>
      </c>
      <c r="W100" s="2">
        <f>MAX(J100:U100)</f>
        <v/>
      </c>
      <c r="X100" s="2">
        <f>W100*G100</f>
        <v/>
      </c>
    </row>
    <row r="101">
      <c r="A101" s="2" t="inlineStr">
        <is>
          <t>14-D-407</t>
        </is>
      </c>
      <c r="B101" s="3" t="inlineStr">
        <is>
          <t>DOJC-SM-SC/PC-FC/APC</t>
        </is>
      </c>
      <c r="C101" s="2" t="inlineStr">
        <is>
          <t>25M</t>
        </is>
      </c>
      <c r="D101" s="2" t="inlineStr">
        <is>
          <t>a1</t>
        </is>
      </c>
      <c r="E101" s="2" t="inlineStr">
        <is>
          <t>2.0mm</t>
        </is>
      </c>
      <c r="F101" s="2" t="n">
        <v>2</v>
      </c>
      <c r="G101" s="2" t="n">
        <v>25</v>
      </c>
      <c r="H101" s="2" t="inlineStr">
        <is>
          <t>SC/PC</t>
        </is>
      </c>
      <c r="I101" s="2" t="inlineStr">
        <is>
          <t>FC/APC</t>
        </is>
      </c>
      <c r="J101" s="2" t="n">
        <v>1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SUM(J101:U101)*G101</f>
        <v/>
      </c>
      <c r="W101" s="2">
        <f>MAX(J101:U101)</f>
        <v/>
      </c>
      <c r="X101" s="2">
        <f>W101*G101</f>
        <v/>
      </c>
    </row>
    <row r="102">
      <c r="A102" s="2" t="inlineStr">
        <is>
          <t>14-D-412</t>
        </is>
      </c>
      <c r="B102" s="3" t="inlineStr">
        <is>
          <t>DOJC-SM-SC/PC-FC/APC</t>
        </is>
      </c>
      <c r="C102" s="2" t="inlineStr">
        <is>
          <t>3M</t>
        </is>
      </c>
      <c r="D102" s="2" t="inlineStr">
        <is>
          <t>a1</t>
        </is>
      </c>
      <c r="E102" s="2" t="inlineStr">
        <is>
          <t>2.0mm</t>
        </is>
      </c>
      <c r="F102" s="2" t="n">
        <v>2</v>
      </c>
      <c r="G102" s="2" t="n">
        <v>3</v>
      </c>
      <c r="H102" s="2" t="inlineStr">
        <is>
          <t>SC/PC</t>
        </is>
      </c>
      <c r="I102" s="2" t="inlineStr">
        <is>
          <t>FC/APC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>
        <v>3</v>
      </c>
      <c r="U102" s="2" t="n"/>
      <c r="V102" s="2">
        <f>SUM(J102:U102)*G102</f>
        <v/>
      </c>
      <c r="W102" s="2">
        <f>MAX(J102:U102)</f>
        <v/>
      </c>
      <c r="X102" s="2">
        <f>W102*G102</f>
        <v/>
      </c>
    </row>
    <row r="103">
      <c r="A103" s="2" t="inlineStr">
        <is>
          <t>14-D-447</t>
        </is>
      </c>
      <c r="B103" s="3" t="inlineStr">
        <is>
          <t>DOJC-SM-SC/PC-SC/APC</t>
        </is>
      </c>
      <c r="C103" s="2" t="inlineStr">
        <is>
          <t>15M</t>
        </is>
      </c>
      <c r="D103" s="2" t="inlineStr">
        <is>
          <t>a1</t>
        </is>
      </c>
      <c r="E103" s="2" t="inlineStr">
        <is>
          <t>2.0mm</t>
        </is>
      </c>
      <c r="F103" s="2" t="n">
        <v>2</v>
      </c>
      <c r="G103" s="2" t="n">
        <v>15</v>
      </c>
      <c r="H103" s="2" t="inlineStr">
        <is>
          <t>SC/PC</t>
        </is>
      </c>
      <c r="I103" s="2" t="inlineStr">
        <is>
          <t>SC/APC</t>
        </is>
      </c>
      <c r="J103" s="2" t="n"/>
      <c r="K103" s="2" t="n">
        <v>2</v>
      </c>
      <c r="L103" s="2" t="n"/>
      <c r="M103" s="2" t="n"/>
      <c r="N103" s="2" t="n"/>
      <c r="O103" s="2" t="n">
        <v>19</v>
      </c>
      <c r="P103" s="2" t="n"/>
      <c r="Q103" s="2" t="n"/>
      <c r="R103" s="2" t="n"/>
      <c r="S103" s="2" t="n">
        <v>2</v>
      </c>
      <c r="T103" s="2" t="n"/>
      <c r="U103" s="2" t="n"/>
      <c r="V103" s="2">
        <f>SUM(J103:U103)*G103</f>
        <v/>
      </c>
      <c r="W103" s="2">
        <f>MAX(J103:U103)</f>
        <v/>
      </c>
      <c r="X103" s="2">
        <f>W103*G103</f>
        <v/>
      </c>
    </row>
    <row r="104">
      <c r="A104" s="2" t="inlineStr">
        <is>
          <t>14-D-455</t>
        </is>
      </c>
      <c r="B104" s="3" t="inlineStr">
        <is>
          <t>DOJC-SM-SC/PC-SC/APC</t>
        </is>
      </c>
      <c r="C104" s="2" t="inlineStr">
        <is>
          <t>3M</t>
        </is>
      </c>
      <c r="D104" s="2" t="inlineStr">
        <is>
          <t>a1</t>
        </is>
      </c>
      <c r="E104" s="2" t="inlineStr">
        <is>
          <t>2.0mm</t>
        </is>
      </c>
      <c r="F104" s="2" t="n">
        <v>2</v>
      </c>
      <c r="G104" s="2" t="n">
        <v>3</v>
      </c>
      <c r="H104" s="2" t="inlineStr">
        <is>
          <t>SC/PC</t>
        </is>
      </c>
      <c r="I104" s="2" t="inlineStr">
        <is>
          <t>SC/APC</t>
        </is>
      </c>
      <c r="J104" s="2" t="n"/>
      <c r="K104" s="2" t="n">
        <v>2</v>
      </c>
      <c r="L104" s="2" t="n"/>
      <c r="M104" s="2" t="n">
        <v>13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SUM(J104:U104)*G104</f>
        <v/>
      </c>
      <c r="W104" s="2">
        <f>MAX(J104:U104)</f>
        <v/>
      </c>
      <c r="X104" s="2">
        <f>W104*G104</f>
        <v/>
      </c>
    </row>
    <row r="105">
      <c r="A105" s="2" t="inlineStr">
        <is>
          <t>14-D-459</t>
        </is>
      </c>
      <c r="B105" s="3" t="inlineStr">
        <is>
          <t>DOJC-SM-SC/PC-SC/APC</t>
        </is>
      </c>
      <c r="C105" s="2" t="inlineStr">
        <is>
          <t>5M</t>
        </is>
      </c>
      <c r="D105" s="2" t="inlineStr">
        <is>
          <t>a1</t>
        </is>
      </c>
      <c r="E105" s="2" t="inlineStr">
        <is>
          <t>2.0mm</t>
        </is>
      </c>
      <c r="F105" s="2" t="n">
        <v>2</v>
      </c>
      <c r="G105" s="2" t="n">
        <v>5</v>
      </c>
      <c r="H105" s="2" t="inlineStr">
        <is>
          <t>SC/PC</t>
        </is>
      </c>
      <c r="I105" s="2" t="inlineStr">
        <is>
          <t>SC/APC</t>
        </is>
      </c>
      <c r="J105" s="2" t="n"/>
      <c r="K105" s="2" t="n">
        <v>4</v>
      </c>
      <c r="L105" s="2" t="n"/>
      <c r="M105" s="2" t="n"/>
      <c r="N105" s="2" t="n"/>
      <c r="O105" s="2" t="n"/>
      <c r="P105" s="2" t="n"/>
      <c r="Q105" s="2" t="n">
        <v>2</v>
      </c>
      <c r="R105" s="2" t="n"/>
      <c r="S105" s="2" t="n"/>
      <c r="T105" s="2" t="n"/>
      <c r="U105" s="2" t="n"/>
      <c r="V105" s="2">
        <f>SUM(J105:U105)*G105</f>
        <v/>
      </c>
      <c r="W105" s="2">
        <f>MAX(J105:U105)</f>
        <v/>
      </c>
      <c r="X105" s="2">
        <f>W105*G105</f>
        <v/>
      </c>
    </row>
    <row r="106">
      <c r="A106" s="2" t="inlineStr">
        <is>
          <t>14-D-530</t>
        </is>
      </c>
      <c r="B106" s="3" t="inlineStr">
        <is>
          <t>DOJC-MM(OM3)-LC/PC-LC/PC</t>
        </is>
      </c>
      <c r="C106" s="2" t="inlineStr">
        <is>
          <t>4M</t>
        </is>
      </c>
      <c r="D106" s="2" t="inlineStr">
        <is>
          <t>om3</t>
        </is>
      </c>
      <c r="E106" s="2" t="inlineStr">
        <is>
          <t>2.0mm</t>
        </is>
      </c>
      <c r="F106" s="2" t="n">
        <v>2</v>
      </c>
      <c r="G106" s="2" t="n">
        <v>4</v>
      </c>
      <c r="H106" s="2" t="inlineStr">
        <is>
          <t>LC/PC</t>
        </is>
      </c>
      <c r="I106" s="2" t="inlineStr">
        <is>
          <t>LC/PC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>
        <v>50</v>
      </c>
      <c r="V106" s="2">
        <f>SUM(J106:U106)*G106</f>
        <v/>
      </c>
      <c r="W106" s="2">
        <f>MAX(J106:U106)</f>
        <v/>
      </c>
      <c r="X106" s="2">
        <f>W106*G106</f>
        <v/>
      </c>
    </row>
    <row r="107">
      <c r="A107" s="2" t="inlineStr">
        <is>
          <t>14-D-732</t>
        </is>
      </c>
      <c r="B107" s="3" t="inlineStr">
        <is>
          <t>DOJC-SM-LC/PC-LC/PC</t>
        </is>
      </c>
      <c r="C107" s="2" t="inlineStr">
        <is>
          <t>15M_청색케이블</t>
        </is>
      </c>
      <c r="D107" s="2" t="inlineStr">
        <is>
          <t>a1-청</t>
        </is>
      </c>
      <c r="E107" s="2" t="inlineStr">
        <is>
          <t>2.0mm</t>
        </is>
      </c>
      <c r="F107" s="2" t="n">
        <v>2</v>
      </c>
      <c r="G107" s="2" t="n">
        <v>15</v>
      </c>
      <c r="H107" s="2" t="inlineStr">
        <is>
          <t>LC/PC</t>
        </is>
      </c>
      <c r="I107" s="2" t="inlineStr">
        <is>
          <t>LC/PC</t>
        </is>
      </c>
      <c r="J107" s="2" t="n"/>
      <c r="K107" s="2" t="n"/>
      <c r="L107" s="2" t="n"/>
      <c r="M107" s="2" t="n"/>
      <c r="N107" s="2" t="n"/>
      <c r="O107" s="2" t="n">
        <v>30</v>
      </c>
      <c r="P107" s="2" t="n"/>
      <c r="Q107" s="2" t="n"/>
      <c r="R107" s="2" t="n"/>
      <c r="S107" s="2" t="n"/>
      <c r="T107" s="2" t="n"/>
      <c r="U107" s="2" t="n"/>
      <c r="V107" s="2">
        <f>SUM(J107:U107)*G107</f>
        <v/>
      </c>
      <c r="W107" s="2">
        <f>MAX(J107:U107)</f>
        <v/>
      </c>
      <c r="X107" s="2">
        <f>W107*G107</f>
        <v/>
      </c>
    </row>
    <row r="108">
      <c r="A108" s="2" t="inlineStr">
        <is>
          <t>14-D-733</t>
        </is>
      </c>
      <c r="B108" s="3" t="inlineStr">
        <is>
          <t>DOJC-SM-LC/PC-LC/PC</t>
        </is>
      </c>
      <c r="C108" s="2" t="inlineStr">
        <is>
          <t>20M_청색케이블</t>
        </is>
      </c>
      <c r="D108" s="2" t="inlineStr">
        <is>
          <t>a1-청</t>
        </is>
      </c>
      <c r="E108" s="2" t="inlineStr">
        <is>
          <t>2.0mm</t>
        </is>
      </c>
      <c r="F108" s="2" t="n">
        <v>2</v>
      </c>
      <c r="G108" s="2" t="n">
        <v>20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/>
      <c r="M108" s="2" t="n">
        <v>37</v>
      </c>
      <c r="N108" s="2" t="n"/>
      <c r="O108" s="2" t="n"/>
      <c r="P108" s="2" t="n"/>
      <c r="Q108" s="2" t="n"/>
      <c r="R108" s="2" t="n"/>
      <c r="S108" s="2" t="n"/>
      <c r="T108" s="2" t="n">
        <v>30</v>
      </c>
      <c r="U108" s="2" t="n"/>
      <c r="V108" s="2">
        <f>SUM(J108:U108)*G108</f>
        <v/>
      </c>
      <c r="W108" s="2">
        <f>MAX(J108:U108)</f>
        <v/>
      </c>
      <c r="X108" s="2">
        <f>W108*G108</f>
        <v/>
      </c>
    </row>
    <row r="109">
      <c r="A109" s="2" t="inlineStr">
        <is>
          <t>14-D-746</t>
        </is>
      </c>
      <c r="B109" s="3" t="inlineStr">
        <is>
          <t>DOJC-SM-LC/PC-LC/PC</t>
        </is>
      </c>
      <c r="C109" s="2" t="inlineStr">
        <is>
          <t>50M_청색케이블</t>
        </is>
      </c>
      <c r="D109" s="2" t="inlineStr">
        <is>
          <t>a1-청</t>
        </is>
      </c>
      <c r="E109" s="2" t="inlineStr">
        <is>
          <t>2.0mm</t>
        </is>
      </c>
      <c r="F109" s="2" t="n">
        <v>2</v>
      </c>
      <c r="G109" s="2" t="n">
        <v>50</v>
      </c>
      <c r="H109" s="2" t="inlineStr">
        <is>
          <t>LC/PC</t>
        </is>
      </c>
      <c r="I109" s="2" t="inlineStr">
        <is>
          <t>LC/PC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>
        <v>10</v>
      </c>
      <c r="U109" s="2" t="n"/>
      <c r="V109" s="2">
        <f>SUM(J109:U109)*G109</f>
        <v/>
      </c>
      <c r="W109" s="2">
        <f>MAX(J109:U109)</f>
        <v/>
      </c>
      <c r="X109" s="2">
        <f>W109*G109</f>
        <v/>
      </c>
    </row>
    <row r="110">
      <c r="A110" s="2" t="inlineStr">
        <is>
          <t>14-D-A002</t>
        </is>
      </c>
      <c r="B110" s="3" t="inlineStr">
        <is>
          <t>DOJC-SM-LC/PC-LC/PC</t>
        </is>
      </c>
      <c r="C110" s="2" t="inlineStr">
        <is>
          <t>1M_청색</t>
        </is>
      </c>
      <c r="D110" s="2" t="inlineStr">
        <is>
          <t>a1-청</t>
        </is>
      </c>
      <c r="E110" s="2" t="inlineStr">
        <is>
          <t>2.0mm</t>
        </is>
      </c>
      <c r="F110" s="2" t="n">
        <v>2</v>
      </c>
      <c r="G110" s="2" t="n">
        <v>1</v>
      </c>
      <c r="H110" s="2" t="inlineStr">
        <is>
          <t>LC/PC</t>
        </is>
      </c>
      <c r="I110" s="2" t="inlineStr">
        <is>
          <t>LC/PC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>
        <v>30</v>
      </c>
      <c r="S110" s="2" t="n">
        <v>30</v>
      </c>
      <c r="T110" s="2" t="n">
        <v>60</v>
      </c>
      <c r="U110" s="2" t="n"/>
      <c r="V110" s="2">
        <f>SUM(J110:U110)*G110</f>
        <v/>
      </c>
      <c r="W110" s="2">
        <f>MAX(J110:U110)</f>
        <v/>
      </c>
      <c r="X110" s="2">
        <f>W110*G110</f>
        <v/>
      </c>
    </row>
    <row r="111">
      <c r="A111" s="2" t="inlineStr">
        <is>
          <t>14-D-A09</t>
        </is>
      </c>
      <c r="B111" s="3" t="inlineStr">
        <is>
          <t>DOJC-SM-LC/PC-LC/PC</t>
        </is>
      </c>
      <c r="C111" s="2" t="inlineStr">
        <is>
          <t>5M_청색케이블</t>
        </is>
      </c>
      <c r="D111" s="2" t="inlineStr">
        <is>
          <t>a1-청</t>
        </is>
      </c>
      <c r="E111" s="2" t="inlineStr">
        <is>
          <t>2.0mm</t>
        </is>
      </c>
      <c r="F111" s="2" t="n">
        <v>2</v>
      </c>
      <c r="G111" s="2" t="n">
        <v>5</v>
      </c>
      <c r="H111" s="2" t="inlineStr">
        <is>
          <t>LC/PC</t>
        </is>
      </c>
      <c r="I111" s="2" t="inlineStr">
        <is>
          <t>LC/PC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>
        <v>50</v>
      </c>
      <c r="U111" s="2" t="n"/>
      <c r="V111" s="2">
        <f>SUM(J111:U111)*G111</f>
        <v/>
      </c>
      <c r="W111" s="2">
        <f>MAX(J111:U111)</f>
        <v/>
      </c>
      <c r="X111" s="2">
        <f>W111*G111</f>
        <v/>
      </c>
    </row>
    <row r="112">
      <c r="A112" s="2" t="inlineStr">
        <is>
          <t>14-D-A10</t>
        </is>
      </c>
      <c r="B112" s="3" t="inlineStr">
        <is>
          <t>DOJC-SM-LC/PC-LC/PC</t>
        </is>
      </c>
      <c r="C112" s="2" t="inlineStr">
        <is>
          <t>10M_청색케이블</t>
        </is>
      </c>
      <c r="D112" s="2" t="inlineStr">
        <is>
          <t>a1-청</t>
        </is>
      </c>
      <c r="E112" s="2" t="inlineStr">
        <is>
          <t>2.0mm</t>
        </is>
      </c>
      <c r="F112" s="2" t="n">
        <v>2</v>
      </c>
      <c r="G112" s="2" t="n">
        <v>10</v>
      </c>
      <c r="H112" s="2" t="inlineStr">
        <is>
          <t>LC/PC</t>
        </is>
      </c>
      <c r="I112" s="2" t="inlineStr">
        <is>
          <t>LC/PC</t>
        </is>
      </c>
      <c r="J112" s="2" t="n"/>
      <c r="K112" s="2" t="n"/>
      <c r="L112" s="2" t="n"/>
      <c r="M112" s="2" t="n">
        <v>320</v>
      </c>
      <c r="N112" s="2" t="n">
        <v>650</v>
      </c>
      <c r="O112" s="2" t="n"/>
      <c r="P112" s="2" t="n"/>
      <c r="Q112" s="2" t="n"/>
      <c r="R112" s="2" t="n"/>
      <c r="S112" s="2" t="n"/>
      <c r="T112" s="2" t="n"/>
      <c r="U112" s="2" t="n"/>
      <c r="V112" s="2">
        <f>SUM(J112:U112)*G112</f>
        <v/>
      </c>
      <c r="W112" s="2">
        <f>MAX(J112:U112)</f>
        <v/>
      </c>
      <c r="X112" s="2">
        <f>W112*G112</f>
        <v/>
      </c>
    </row>
    <row r="113">
      <c r="A113" s="2" t="inlineStr">
        <is>
          <t>14-D-A100</t>
        </is>
      </c>
      <c r="B113" s="3" t="inlineStr">
        <is>
          <t>OJC-A1-SC/LC-SM-20-PC/PC-DP</t>
        </is>
      </c>
      <c r="C113" s="2" t="inlineStr">
        <is>
          <t>K9089164_녹색</t>
        </is>
      </c>
      <c r="D113" s="2" t="inlineStr">
        <is>
          <t>a1-녹</t>
        </is>
      </c>
      <c r="E113" s="2" t="inlineStr">
        <is>
          <t>2.0mm</t>
        </is>
      </c>
      <c r="F113" s="2" t="n">
        <v>2</v>
      </c>
      <c r="G113" s="2" t="n">
        <v>20</v>
      </c>
      <c r="H113" s="2" t="inlineStr">
        <is>
          <t>SC/PC</t>
        </is>
      </c>
      <c r="I113" s="2" t="inlineStr">
        <is>
          <t>LC/PC</t>
        </is>
      </c>
      <c r="J113" s="2" t="n"/>
      <c r="K113" s="2" t="n"/>
      <c r="L113" s="2" t="n">
        <v>2</v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>
        <f>SUM(J113:U113)*G113</f>
        <v/>
      </c>
      <c r="W113" s="2">
        <f>MAX(J113:U113)</f>
        <v/>
      </c>
      <c r="X113" s="2">
        <f>W113*G113</f>
        <v/>
      </c>
    </row>
    <row r="114">
      <c r="A114" s="2" t="inlineStr">
        <is>
          <t>14-D-A102</t>
        </is>
      </c>
      <c r="B114" s="3" t="inlineStr">
        <is>
          <t>OJC-A1-LC/LC-SM-20-PC/PC-DP</t>
        </is>
      </c>
      <c r="C114" s="2" t="inlineStr">
        <is>
          <t>K9089178_녹색</t>
        </is>
      </c>
      <c r="D114" s="2" t="inlineStr">
        <is>
          <t>a1-녹</t>
        </is>
      </c>
      <c r="E114" s="2" t="inlineStr">
        <is>
          <t>2.0mm</t>
        </is>
      </c>
      <c r="F114" s="2" t="n">
        <v>2</v>
      </c>
      <c r="G114" s="2" t="n">
        <v>20</v>
      </c>
      <c r="H114" s="2" t="inlineStr">
        <is>
          <t>LC/PC</t>
        </is>
      </c>
      <c r="I114" s="2" t="inlineStr">
        <is>
          <t>LC/PC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>
        <v>12</v>
      </c>
      <c r="S114" s="2" t="n"/>
      <c r="T114" s="2" t="n"/>
      <c r="U114" s="2" t="n"/>
      <c r="V114" s="2">
        <f>SUM(J114:U114)*G114</f>
        <v/>
      </c>
      <c r="W114" s="2">
        <f>MAX(J114:U114)</f>
        <v/>
      </c>
      <c r="X114" s="2">
        <f>W114*G114</f>
        <v/>
      </c>
    </row>
    <row r="115">
      <c r="A115" s="2" t="inlineStr">
        <is>
          <t>14-D-A104</t>
        </is>
      </c>
      <c r="B115" s="3" t="inlineStr">
        <is>
          <t>OJC-A1-SC/LC-SM-25-PC/PC-DP</t>
        </is>
      </c>
      <c r="C115" s="2" t="inlineStr">
        <is>
          <t>K9089165_녹색</t>
        </is>
      </c>
      <c r="D115" s="2" t="inlineStr">
        <is>
          <t>a1-녹</t>
        </is>
      </c>
      <c r="E115" s="2" t="inlineStr">
        <is>
          <t>2.0mm</t>
        </is>
      </c>
      <c r="F115" s="2" t="n">
        <v>2</v>
      </c>
      <c r="G115" s="2" t="n">
        <v>25</v>
      </c>
      <c r="H115" s="2" t="inlineStr">
        <is>
          <t>SC/PC</t>
        </is>
      </c>
      <c r="I115" s="2" t="inlineStr">
        <is>
          <t>LC/PC</t>
        </is>
      </c>
      <c r="J115" s="2" t="n"/>
      <c r="K115" s="2" t="n"/>
      <c r="L115" s="2" t="n"/>
      <c r="M115" s="2" t="n">
        <v>30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>
        <f>SUM(J115:U115)*G115</f>
        <v/>
      </c>
      <c r="W115" s="2">
        <f>MAX(J115:U115)</f>
        <v/>
      </c>
      <c r="X115" s="2">
        <f>W115*G115</f>
        <v/>
      </c>
    </row>
    <row r="116">
      <c r="A116" s="2" t="inlineStr">
        <is>
          <t>14-D-A105</t>
        </is>
      </c>
      <c r="B116" s="3" t="inlineStr">
        <is>
          <t>DOJC-SM-LC/PC-LC/PC</t>
        </is>
      </c>
      <c r="C116" s="2" t="inlineStr">
        <is>
          <t>7M_청색</t>
        </is>
      </c>
      <c r="D116" s="2" t="inlineStr">
        <is>
          <t>a1-청</t>
        </is>
      </c>
      <c r="E116" s="2" t="inlineStr">
        <is>
          <t>2.0mm</t>
        </is>
      </c>
      <c r="F116" s="2" t="n">
        <v>2</v>
      </c>
      <c r="G116" s="2" t="n">
        <v>7</v>
      </c>
      <c r="H116" s="2" t="inlineStr">
        <is>
          <t>LC/PC</t>
        </is>
      </c>
      <c r="I116" s="2" t="inlineStr">
        <is>
          <t>LC/PC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>
        <v>220</v>
      </c>
      <c r="S116" s="2" t="n">
        <v>20</v>
      </c>
      <c r="T116" s="2" t="n">
        <v>20</v>
      </c>
      <c r="U116" s="2" t="n"/>
      <c r="V116" s="2">
        <f>SUM(J116:U116)*G116</f>
        <v/>
      </c>
      <c r="W116" s="2">
        <f>MAX(J116:U116)</f>
        <v/>
      </c>
      <c r="X116" s="2">
        <f>W116*G116</f>
        <v/>
      </c>
    </row>
    <row r="117">
      <c r="A117" s="2" t="inlineStr">
        <is>
          <t>14-D-A106</t>
        </is>
      </c>
      <c r="B117" s="3" t="inlineStr">
        <is>
          <t>DOJC-MM-LC/PC-SC/APC</t>
        </is>
      </c>
      <c r="C117" s="2" t="inlineStr">
        <is>
          <t>15M</t>
        </is>
      </c>
      <c r="D117" s="2" t="inlineStr">
        <is>
          <t>om1</t>
        </is>
      </c>
      <c r="E117" s="2" t="inlineStr">
        <is>
          <t>2.0mm</t>
        </is>
      </c>
      <c r="F117" s="2" t="n">
        <v>2</v>
      </c>
      <c r="G117" s="2" t="n">
        <v>15</v>
      </c>
      <c r="H117" s="2" t="inlineStr">
        <is>
          <t>LC/PC</t>
        </is>
      </c>
      <c r="I117" s="2" t="inlineStr">
        <is>
          <t>SC/APC</t>
        </is>
      </c>
      <c r="J117" s="2" t="n"/>
      <c r="K117" s="2" t="n"/>
      <c r="L117" s="2" t="n"/>
      <c r="M117" s="2" t="n"/>
      <c r="N117" s="2" t="n"/>
      <c r="O117" s="2" t="n"/>
      <c r="P117" s="2" t="n">
        <v>5</v>
      </c>
      <c r="Q117" s="2" t="n"/>
      <c r="R117" s="2" t="n"/>
      <c r="S117" s="2" t="n"/>
      <c r="T117" s="2" t="n"/>
      <c r="U117" s="2" t="n"/>
      <c r="V117" s="2">
        <f>SUM(J117:U117)*G117</f>
        <v/>
      </c>
      <c r="W117" s="2">
        <f>MAX(J117:U117)</f>
        <v/>
      </c>
      <c r="X117" s="2">
        <f>W117*G117</f>
        <v/>
      </c>
    </row>
    <row r="118">
      <c r="A118" s="2" t="inlineStr">
        <is>
          <t>14-D-A108</t>
        </is>
      </c>
      <c r="B118" s="3" t="inlineStr">
        <is>
          <t>DOJC-SM-LC/PC-LC/PC</t>
        </is>
      </c>
      <c r="C118" s="2" t="inlineStr">
        <is>
          <t>6M_청색케이블</t>
        </is>
      </c>
      <c r="D118" s="2" t="inlineStr">
        <is>
          <t>a1-청</t>
        </is>
      </c>
      <c r="E118" s="2" t="inlineStr">
        <is>
          <t>2.0mm</t>
        </is>
      </c>
      <c r="F118" s="2" t="n">
        <v>2</v>
      </c>
      <c r="G118" s="2" t="n">
        <v>6</v>
      </c>
      <c r="H118" s="2" t="inlineStr">
        <is>
          <t>LC/PC</t>
        </is>
      </c>
      <c r="I118" s="2" t="inlineStr">
        <is>
          <t>LC/PC</t>
        </is>
      </c>
      <c r="J118" s="2" t="n">
        <v>20</v>
      </c>
      <c r="K118" s="2" t="n"/>
      <c r="L118" s="2" t="n"/>
      <c r="M118" s="2" t="n"/>
      <c r="N118" s="2" t="n"/>
      <c r="O118" s="2" t="n"/>
      <c r="P118" s="2" t="n"/>
      <c r="Q118" s="2" t="n"/>
      <c r="R118" s="2" t="n">
        <v>20</v>
      </c>
      <c r="S118" s="2" t="n">
        <v>20</v>
      </c>
      <c r="T118" s="2" t="n">
        <v>20</v>
      </c>
      <c r="U118" s="2" t="n"/>
      <c r="V118" s="2">
        <f>SUM(J118:U118)*G118</f>
        <v/>
      </c>
      <c r="W118" s="2">
        <f>MAX(J118:U118)</f>
        <v/>
      </c>
      <c r="X118" s="2">
        <f>W118*G118</f>
        <v/>
      </c>
    </row>
    <row r="119">
      <c r="A119" s="2" t="inlineStr">
        <is>
          <t>14-D-A118</t>
        </is>
      </c>
      <c r="B119" s="3" t="inlineStr">
        <is>
          <t>DOJC-MM(OM3)-LC/PC-LC/PC</t>
        </is>
      </c>
      <c r="C119" s="2" t="inlineStr">
        <is>
          <t>60M</t>
        </is>
      </c>
      <c r="D119" s="2" t="inlineStr">
        <is>
          <t>om3</t>
        </is>
      </c>
      <c r="E119" s="2" t="inlineStr">
        <is>
          <t>2.0mm</t>
        </is>
      </c>
      <c r="F119" s="2" t="n">
        <v>2</v>
      </c>
      <c r="G119" s="2" t="n">
        <v>60</v>
      </c>
      <c r="H119" s="2" t="inlineStr">
        <is>
          <t>LC/PC</t>
        </is>
      </c>
      <c r="I119" s="2" t="inlineStr">
        <is>
          <t>LC/PC</t>
        </is>
      </c>
      <c r="J119" s="2" t="n"/>
      <c r="K119" s="2" t="n"/>
      <c r="L119" s="2" t="n"/>
      <c r="M119" s="2" t="n">
        <v>2</v>
      </c>
      <c r="N119" s="2" t="n"/>
      <c r="O119" s="2" t="n"/>
      <c r="P119" s="2" t="n"/>
      <c r="Q119" s="2" t="n"/>
      <c r="R119" s="2" t="n"/>
      <c r="S119" s="2" t="n"/>
      <c r="T119" s="2" t="n">
        <v>1</v>
      </c>
      <c r="U119" s="2" t="n"/>
      <c r="V119" s="2">
        <f>SUM(J119:U119)*G119</f>
        <v/>
      </c>
      <c r="W119" s="2">
        <f>MAX(J119:U119)</f>
        <v/>
      </c>
      <c r="X119" s="2">
        <f>W119*G119</f>
        <v/>
      </c>
    </row>
    <row r="120">
      <c r="A120" s="2" t="inlineStr">
        <is>
          <t>14-D-A125</t>
        </is>
      </c>
      <c r="B120" s="3" t="inlineStr">
        <is>
          <t>OJC-A1-SC/LC-SM-5-PC/PC-DP</t>
        </is>
      </c>
      <c r="C120" s="2" t="inlineStr">
        <is>
          <t>K9089161_녹색</t>
        </is>
      </c>
      <c r="D120" s="2" t="inlineStr">
        <is>
          <t>a1-녹</t>
        </is>
      </c>
      <c r="E120" s="2" t="inlineStr">
        <is>
          <t>2.0mm</t>
        </is>
      </c>
      <c r="F120" s="2" t="n">
        <v>2</v>
      </c>
      <c r="G120" s="2" t="n">
        <v>5</v>
      </c>
      <c r="H120" s="2" t="inlineStr">
        <is>
          <t>SC/PC</t>
        </is>
      </c>
      <c r="I120" s="2" t="inlineStr">
        <is>
          <t>LC/PC</t>
        </is>
      </c>
      <c r="J120" s="2" t="n"/>
      <c r="K120" s="2" t="n"/>
      <c r="L120" s="2" t="n">
        <v>2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>
        <f>SUM(J120:U120)*G120</f>
        <v/>
      </c>
      <c r="W120" s="2">
        <f>MAX(J120:U120)</f>
        <v/>
      </c>
      <c r="X120" s="2">
        <f>W120*G120</f>
        <v/>
      </c>
    </row>
    <row r="121">
      <c r="A121" s="2" t="inlineStr">
        <is>
          <t>14-D-A198</t>
        </is>
      </c>
      <c r="B121" s="3" t="inlineStr">
        <is>
          <t>DOJC-SM-LC/PC-LC/PC</t>
        </is>
      </c>
      <c r="C121" s="2" t="inlineStr">
        <is>
          <t>1.5M_청색케이블</t>
        </is>
      </c>
      <c r="D121" s="2" t="inlineStr">
        <is>
          <t>a1-청</t>
        </is>
      </c>
      <c r="E121" s="2" t="inlineStr">
        <is>
          <t>2.0mm</t>
        </is>
      </c>
      <c r="F121" s="2" t="n">
        <v>2</v>
      </c>
      <c r="G121" s="2" t="n">
        <v>1.5</v>
      </c>
      <c r="H121" s="2" t="inlineStr">
        <is>
          <t>LC/PC</t>
        </is>
      </c>
      <c r="I121" s="2" t="inlineStr">
        <is>
          <t>LC/PC</t>
        </is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>
        <v>30</v>
      </c>
      <c r="U121" s="2" t="n"/>
      <c r="V121" s="2">
        <f>SUM(J121:U121)*G121</f>
        <v/>
      </c>
      <c r="W121" s="2">
        <f>MAX(J121:U121)</f>
        <v/>
      </c>
      <c r="X121" s="2">
        <f>W121*G121</f>
        <v/>
      </c>
    </row>
    <row r="122">
      <c r="A122" s="2" t="inlineStr">
        <is>
          <t>14-D-A199</t>
        </is>
      </c>
      <c r="B122" s="3" t="inlineStr">
        <is>
          <t>DOJC-SM-LC/PC-LC/PC</t>
        </is>
      </c>
      <c r="C122" s="2" t="inlineStr">
        <is>
          <t>3M_청색케이블</t>
        </is>
      </c>
      <c r="D122" s="2" t="inlineStr">
        <is>
          <t>a1-청</t>
        </is>
      </c>
      <c r="E122" s="2" t="inlineStr">
        <is>
          <t>2.0mm</t>
        </is>
      </c>
      <c r="F122" s="2" t="n">
        <v>2</v>
      </c>
      <c r="G122" s="2" t="n">
        <v>3</v>
      </c>
      <c r="H122" s="2" t="inlineStr">
        <is>
          <t>LC/PC</t>
        </is>
      </c>
      <c r="I122" s="2" t="inlineStr">
        <is>
          <t>LC/PC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110</v>
      </c>
      <c r="S122" s="2" t="n">
        <v>20</v>
      </c>
      <c r="T122" s="2" t="n">
        <v>70</v>
      </c>
      <c r="U122" s="2" t="n"/>
      <c r="V122" s="2">
        <f>SUM(J122:U122)*G122</f>
        <v/>
      </c>
      <c r="W122" s="2">
        <f>MAX(J122:U122)</f>
        <v/>
      </c>
      <c r="X122" s="2">
        <f>W122*G122</f>
        <v/>
      </c>
    </row>
    <row r="123">
      <c r="A123" s="2" t="inlineStr">
        <is>
          <t>14-D-A232</t>
        </is>
      </c>
      <c r="B123" s="3" t="inlineStr">
        <is>
          <t>DOJC-MM(OM3)-LC/PC-LC/PC</t>
        </is>
      </c>
      <c r="C123" s="2" t="inlineStr">
        <is>
          <t>6M</t>
        </is>
      </c>
      <c r="D123" s="2" t="inlineStr">
        <is>
          <t>om3</t>
        </is>
      </c>
      <c r="E123" s="2" t="inlineStr">
        <is>
          <t>2.0mm</t>
        </is>
      </c>
      <c r="F123" s="2" t="n">
        <v>2</v>
      </c>
      <c r="G123" s="2" t="n">
        <v>6</v>
      </c>
      <c r="H123" s="2" t="inlineStr">
        <is>
          <t>LC/PC</t>
        </is>
      </c>
      <c r="I123" s="2" t="inlineStr">
        <is>
          <t>LC/PC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>
        <v>10</v>
      </c>
      <c r="U123" s="2" t="n"/>
      <c r="V123" s="2">
        <f>SUM(J123:U123)*G123</f>
        <v/>
      </c>
      <c r="W123" s="2">
        <f>MAX(J123:U123)</f>
        <v/>
      </c>
      <c r="X123" s="2">
        <f>W123*G123</f>
        <v/>
      </c>
    </row>
    <row r="124">
      <c r="A124" s="2" t="inlineStr">
        <is>
          <t>14-D-A376</t>
        </is>
      </c>
      <c r="B124" s="3" t="inlineStr">
        <is>
          <t>DOJC-MM(OM3)-LC/PC-LC/PC</t>
        </is>
      </c>
      <c r="C124" s="2" t="inlineStr">
        <is>
          <t>3M</t>
        </is>
      </c>
      <c r="D124" s="2" t="inlineStr">
        <is>
          <t>om3</t>
        </is>
      </c>
      <c r="E124" s="2" t="inlineStr">
        <is>
          <t>2.0mm</t>
        </is>
      </c>
      <c r="F124" s="2" t="n">
        <v>2</v>
      </c>
      <c r="G124" s="2" t="n">
        <v>3</v>
      </c>
      <c r="H124" s="2" t="inlineStr">
        <is>
          <t>LC/PC</t>
        </is>
      </c>
      <c r="I124" s="2" t="inlineStr">
        <is>
          <t>LC/PC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n">
        <v>28</v>
      </c>
      <c r="R124" s="2" t="n"/>
      <c r="S124" s="2" t="n"/>
      <c r="T124" s="2" t="n"/>
      <c r="U124" s="2" t="n"/>
      <c r="V124" s="2">
        <f>SUM(J124:U124)*G124</f>
        <v/>
      </c>
      <c r="W124" s="2">
        <f>MAX(J124:U124)</f>
        <v/>
      </c>
      <c r="X124" s="2">
        <f>W124*G124</f>
        <v/>
      </c>
    </row>
    <row r="125">
      <c r="A125" s="2" t="inlineStr">
        <is>
          <t>14-D-A448</t>
        </is>
      </c>
      <c r="B125" s="3" t="inlineStr">
        <is>
          <t>DOJC-MM-LC/PC-SC/APC</t>
        </is>
      </c>
      <c r="C125" s="2" t="inlineStr">
        <is>
          <t>25M</t>
        </is>
      </c>
      <c r="D125" s="2" t="inlineStr">
        <is>
          <t>om1</t>
        </is>
      </c>
      <c r="E125" s="2" t="inlineStr">
        <is>
          <t>2.0mm</t>
        </is>
      </c>
      <c r="F125" s="2" t="n">
        <v>2</v>
      </c>
      <c r="G125" s="2" t="n">
        <v>25</v>
      </c>
      <c r="H125" s="2" t="inlineStr">
        <is>
          <t>LC/PC</t>
        </is>
      </c>
      <c r="I125" s="2" t="inlineStr">
        <is>
          <t>SC/APC</t>
        </is>
      </c>
      <c r="J125" s="2" t="n"/>
      <c r="K125" s="2" t="n"/>
      <c r="L125" s="2" t="n"/>
      <c r="M125" s="2" t="n"/>
      <c r="N125" s="2" t="n"/>
      <c r="O125" s="2" t="n"/>
      <c r="P125" s="2" t="n">
        <v>5</v>
      </c>
      <c r="Q125" s="2" t="n"/>
      <c r="R125" s="2" t="n"/>
      <c r="S125" s="2" t="n"/>
      <c r="T125" s="2" t="n"/>
      <c r="U125" s="2" t="n"/>
      <c r="V125" s="2">
        <f>SUM(J125:U125)*G125</f>
        <v/>
      </c>
      <c r="W125" s="2">
        <f>MAX(J125:U125)</f>
        <v/>
      </c>
      <c r="X125" s="2">
        <f>W125*G125</f>
        <v/>
      </c>
    </row>
    <row r="126">
      <c r="A126" s="2" t="inlineStr">
        <is>
          <t>14-D-A87</t>
        </is>
      </c>
      <c r="B126" s="3" t="inlineStr">
        <is>
          <t>DOJC-SM-LC/PC-LC/PC</t>
        </is>
      </c>
      <c r="C126" s="2" t="inlineStr">
        <is>
          <t>8M_청색</t>
        </is>
      </c>
      <c r="D126" s="2" t="inlineStr">
        <is>
          <t>a1-청</t>
        </is>
      </c>
      <c r="E126" s="2" t="inlineStr">
        <is>
          <t>2.0mm</t>
        </is>
      </c>
      <c r="F126" s="2" t="n">
        <v>2</v>
      </c>
      <c r="G126" s="2" t="n">
        <v>8</v>
      </c>
      <c r="H126" s="2" t="inlineStr">
        <is>
          <t>LC/PC</t>
        </is>
      </c>
      <c r="I126" s="2" t="inlineStr">
        <is>
          <t>LC/PC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>
        <v>60</v>
      </c>
      <c r="S126" s="2" t="n"/>
      <c r="T126" s="2" t="n">
        <v>100</v>
      </c>
      <c r="U126" s="2" t="n"/>
      <c r="V126" s="2">
        <f>SUM(J126:U126)*G126</f>
        <v/>
      </c>
      <c r="W126" s="2">
        <f>MAX(J126:U126)</f>
        <v/>
      </c>
      <c r="X126" s="2">
        <f>W126*G126</f>
        <v/>
      </c>
    </row>
    <row r="127">
      <c r="A127" s="2" t="inlineStr">
        <is>
          <t>14-K-014</t>
        </is>
      </c>
      <c r="B127" s="3" t="inlineStr">
        <is>
          <t>OJC-A1-FC/LC-SM-25-PC/PC-DP</t>
        </is>
      </c>
      <c r="C127" s="2" t="inlineStr"/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25</v>
      </c>
      <c r="H127" s="2" t="inlineStr">
        <is>
          <t>FC/PC</t>
        </is>
      </c>
      <c r="I127" s="2" t="inlineStr">
        <is>
          <t>LC/PC</t>
        </is>
      </c>
      <c r="J127" s="2" t="n"/>
      <c r="K127" s="2" t="n"/>
      <c r="L127" s="2" t="n"/>
      <c r="M127" s="2" t="n"/>
      <c r="N127" s="2" t="n">
        <v>28</v>
      </c>
      <c r="O127" s="2" t="n"/>
      <c r="P127" s="2" t="n"/>
      <c r="Q127" s="2" t="n"/>
      <c r="R127" s="2" t="n"/>
      <c r="S127" s="2" t="n"/>
      <c r="T127" s="2" t="n"/>
      <c r="U127" s="2" t="n"/>
      <c r="V127" s="2">
        <f>SUM(J127:U127)*G127</f>
        <v/>
      </c>
      <c r="W127" s="2">
        <f>MAX(J127:U127)</f>
        <v/>
      </c>
      <c r="X127" s="2">
        <f>W127*G127</f>
        <v/>
      </c>
    </row>
    <row r="128">
      <c r="A128" s="2" t="inlineStr">
        <is>
          <t>14-K-015</t>
        </is>
      </c>
      <c r="B128" s="3" t="inlineStr">
        <is>
          <t>OJC-A1-FC/LC-SM-30-PC/PC-DP</t>
        </is>
      </c>
      <c r="C128" s="2" t="inlineStr">
        <is>
          <t>K9089221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30</v>
      </c>
      <c r="H128" s="2" t="inlineStr">
        <is>
          <t>FC/PC</t>
        </is>
      </c>
      <c r="I128" s="2" t="inlineStr">
        <is>
          <t>LC/PC</t>
        </is>
      </c>
      <c r="J128" s="2" t="n"/>
      <c r="K128" s="2" t="n"/>
      <c r="L128" s="2" t="n"/>
      <c r="M128" s="2" t="n"/>
      <c r="N128" s="2" t="n">
        <v>3</v>
      </c>
      <c r="O128" s="2" t="n"/>
      <c r="P128" s="2" t="n"/>
      <c r="Q128" s="2" t="n"/>
      <c r="R128" s="2" t="n"/>
      <c r="S128" s="2" t="n"/>
      <c r="T128" s="2" t="n"/>
      <c r="U128" s="2" t="n"/>
      <c r="V128" s="2">
        <f>SUM(J128:U128)*G128</f>
        <v/>
      </c>
      <c r="W128" s="2">
        <f>MAX(J128:U128)</f>
        <v/>
      </c>
      <c r="X128" s="2">
        <f>W128*G128</f>
        <v/>
      </c>
    </row>
    <row r="129">
      <c r="A129" s="2" t="inlineStr">
        <is>
          <t>14-K-016</t>
        </is>
      </c>
      <c r="B129" s="3" t="inlineStr">
        <is>
          <t>OJC-A1-FC/LC-SM-35M-PC/PC-DP</t>
        </is>
      </c>
      <c r="C129" s="2" t="inlineStr"/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/>
      <c r="H129" s="2" t="inlineStr">
        <is>
          <t>FC/PC</t>
        </is>
      </c>
      <c r="I129" s="2" t="inlineStr">
        <is>
          <t>LC/PC</t>
        </is>
      </c>
      <c r="J129" s="2" t="n"/>
      <c r="K129" s="2" t="n"/>
      <c r="L129" s="2" t="n"/>
      <c r="M129" s="2" t="n"/>
      <c r="N129" s="2" t="n">
        <v>6</v>
      </c>
      <c r="O129" s="2" t="n"/>
      <c r="P129" s="2" t="n"/>
      <c r="Q129" s="2" t="n"/>
      <c r="R129" s="2" t="n"/>
      <c r="S129" s="2" t="n"/>
      <c r="T129" s="2" t="n"/>
      <c r="U129" s="2" t="n"/>
      <c r="V129" s="2">
        <f>SUM(J129:U129)*G129</f>
        <v/>
      </c>
      <c r="W129" s="2">
        <f>MAX(J129:U129)</f>
        <v/>
      </c>
      <c r="X129" s="2">
        <f>W129*G129</f>
        <v/>
      </c>
    </row>
    <row r="130">
      <c r="A130" s="2" t="inlineStr">
        <is>
          <t>14-K-018</t>
        </is>
      </c>
      <c r="B130" s="3" t="inlineStr">
        <is>
          <t>OJC-A1-FC/LC-SM-40-APC/PC-DP</t>
        </is>
      </c>
      <c r="C130" s="2" t="inlineStr">
        <is>
          <t>K9089243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40</v>
      </c>
      <c r="H130" s="2" t="inlineStr">
        <is>
          <t>FC/APC</t>
        </is>
      </c>
      <c r="I130" s="2" t="inlineStr">
        <is>
          <t>LC/PC</t>
        </is>
      </c>
      <c r="J130" s="2" t="n"/>
      <c r="K130" s="2" t="n"/>
      <c r="L130" s="2" t="n"/>
      <c r="M130" s="2" t="n"/>
      <c r="N130" s="2" t="n"/>
      <c r="O130" s="2" t="n"/>
      <c r="P130" s="2" t="n"/>
      <c r="Q130" s="2" t="n">
        <v>15</v>
      </c>
      <c r="R130" s="2" t="n"/>
      <c r="S130" s="2" t="n"/>
      <c r="T130" s="2" t="n"/>
      <c r="U130" s="2" t="n"/>
      <c r="V130" s="2">
        <f>SUM(J130:U130)*G130</f>
        <v/>
      </c>
      <c r="W130" s="2">
        <f>MAX(J130:U130)</f>
        <v/>
      </c>
      <c r="X130" s="2">
        <f>W130*G130</f>
        <v/>
      </c>
    </row>
    <row r="131">
      <c r="A131" s="2" t="inlineStr">
        <is>
          <t>14-K-021</t>
        </is>
      </c>
      <c r="B131" s="3" t="inlineStr">
        <is>
          <t>OJC-A1-LC/LC-MM(OM3)-10-PC/PC-DP</t>
        </is>
      </c>
      <c r="C131" s="2" t="inlineStr"/>
      <c r="D131" s="2" t="inlineStr">
        <is>
          <t>om3</t>
        </is>
      </c>
      <c r="E131" s="2" t="inlineStr">
        <is>
          <t>2.0mm</t>
        </is>
      </c>
      <c r="F131" s="2" t="n">
        <v>2</v>
      </c>
      <c r="G131" s="2" t="n">
        <v>10</v>
      </c>
      <c r="H131" s="2" t="inlineStr">
        <is>
          <t>LC/PC</t>
        </is>
      </c>
      <c r="I131" s="2" t="inlineStr">
        <is>
          <t>LC/PC</t>
        </is>
      </c>
      <c r="J131" s="2" t="n"/>
      <c r="K131" s="2" t="n"/>
      <c r="L131" s="2" t="n"/>
      <c r="M131" s="2" t="n"/>
      <c r="N131" s="2" t="n"/>
      <c r="O131" s="2" t="n"/>
      <c r="P131" s="2" t="n"/>
      <c r="Q131" s="2" t="n">
        <v>37</v>
      </c>
      <c r="R131" s="2" t="n">
        <v>6</v>
      </c>
      <c r="S131" s="2" t="n">
        <v>44</v>
      </c>
      <c r="T131" s="2" t="n"/>
      <c r="U131" s="2" t="n">
        <v>12</v>
      </c>
      <c r="V131" s="2">
        <f>SUM(J131:U131)*G131</f>
        <v/>
      </c>
      <c r="W131" s="2">
        <f>MAX(J131:U131)</f>
        <v/>
      </c>
      <c r="X131" s="2">
        <f>W131*G131</f>
        <v/>
      </c>
    </row>
    <row r="132">
      <c r="A132" s="2" t="inlineStr">
        <is>
          <t>14-K-022</t>
        </is>
      </c>
      <c r="B132" s="3" t="inlineStr">
        <is>
          <t>OJC-A1-LC/LC-MM(OM3)-15-PC/PC-DP</t>
        </is>
      </c>
      <c r="C132" s="2" t="inlineStr"/>
      <c r="D132" s="2" t="inlineStr">
        <is>
          <t>om3</t>
        </is>
      </c>
      <c r="E132" s="2" t="inlineStr">
        <is>
          <t>2.0mm</t>
        </is>
      </c>
      <c r="F132" s="2" t="n">
        <v>2</v>
      </c>
      <c r="G132" s="2" t="n">
        <v>15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>
        <v>19</v>
      </c>
      <c r="N132" s="2" t="n"/>
      <c r="O132" s="2" t="n"/>
      <c r="P132" s="2" t="n"/>
      <c r="Q132" s="2" t="n">
        <v>32</v>
      </c>
      <c r="R132" s="2" t="n">
        <v>66</v>
      </c>
      <c r="S132" s="2" t="n"/>
      <c r="T132" s="2" t="n"/>
      <c r="U132" s="2" t="n"/>
      <c r="V132" s="2">
        <f>SUM(J132:U132)*G132</f>
        <v/>
      </c>
      <c r="W132" s="2">
        <f>MAX(J132:U132)</f>
        <v/>
      </c>
      <c r="X132" s="2">
        <f>W132*G132</f>
        <v/>
      </c>
    </row>
    <row r="133">
      <c r="A133" s="2" t="inlineStr">
        <is>
          <t>14-K-024</t>
        </is>
      </c>
      <c r="B133" s="3" t="inlineStr">
        <is>
          <t>OJC-A1-LC/LC-MM(OM3)-20-PC/PC-DP</t>
        </is>
      </c>
      <c r="C133" s="2" t="inlineStr"/>
      <c r="D133" s="2" t="inlineStr">
        <is>
          <t>om3</t>
        </is>
      </c>
      <c r="E133" s="2" t="inlineStr">
        <is>
          <t>2.0mm</t>
        </is>
      </c>
      <c r="F133" s="2" t="n">
        <v>2</v>
      </c>
      <c r="G133" s="2" t="n">
        <v>20</v>
      </c>
      <c r="H133" s="2" t="inlineStr">
        <is>
          <t>LC/PC</t>
        </is>
      </c>
      <c r="I133" s="2" t="inlineStr">
        <is>
          <t>LC/PC</t>
        </is>
      </c>
      <c r="J133" s="2" t="n"/>
      <c r="K133" s="2" t="n">
        <v>6</v>
      </c>
      <c r="L133" s="2" t="n"/>
      <c r="M133" s="2" t="n"/>
      <c r="N133" s="2" t="n"/>
      <c r="O133" s="2" t="n"/>
      <c r="P133" s="2" t="n"/>
      <c r="Q133" s="2" t="n">
        <v>10</v>
      </c>
      <c r="R133" s="2" t="n"/>
      <c r="S133" s="2" t="n">
        <v>18</v>
      </c>
      <c r="T133" s="2" t="n">
        <v>1</v>
      </c>
      <c r="U133" s="2" t="n"/>
      <c r="V133" s="2">
        <f>SUM(J133:U133)*G133</f>
        <v/>
      </c>
      <c r="W133" s="2">
        <f>MAX(J133:U133)</f>
        <v/>
      </c>
      <c r="X133" s="2">
        <f>W133*G133</f>
        <v/>
      </c>
    </row>
    <row r="134">
      <c r="A134" s="2" t="inlineStr">
        <is>
          <t>14-K-025</t>
        </is>
      </c>
      <c r="B134" s="3" t="inlineStr">
        <is>
          <t>OJC-A1-LC/LC-MM(OM3)-25-PC/PC-DP</t>
        </is>
      </c>
      <c r="C134" s="2" t="inlineStr"/>
      <c r="D134" s="2" t="inlineStr">
        <is>
          <t>om3</t>
        </is>
      </c>
      <c r="E134" s="2" t="inlineStr">
        <is>
          <t>2.0mm</t>
        </is>
      </c>
      <c r="F134" s="2" t="n">
        <v>2</v>
      </c>
      <c r="G134" s="2" t="n">
        <v>25</v>
      </c>
      <c r="H134" s="2" t="inlineStr">
        <is>
          <t>LC/PC</t>
        </is>
      </c>
      <c r="I134" s="2" t="inlineStr">
        <is>
          <t>LC/PC</t>
        </is>
      </c>
      <c r="J134" s="2" t="n"/>
      <c r="K134" s="2" t="n"/>
      <c r="L134" s="2" t="n"/>
      <c r="M134" s="2" t="n">
        <v>4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SUM(J134:U134)*G134</f>
        <v/>
      </c>
      <c r="W134" s="2">
        <f>MAX(J134:U134)</f>
        <v/>
      </c>
      <c r="X134" s="2">
        <f>W134*G134</f>
        <v/>
      </c>
    </row>
    <row r="135">
      <c r="A135" s="2" t="inlineStr">
        <is>
          <t>14-K-026</t>
        </is>
      </c>
      <c r="B135" s="3" t="inlineStr">
        <is>
          <t>OJC-A1-LC/LC-MM(OM3)-30-PC/PC-DP</t>
        </is>
      </c>
      <c r="C135" s="2" t="inlineStr"/>
      <c r="D135" s="2" t="inlineStr">
        <is>
          <t>om3</t>
        </is>
      </c>
      <c r="E135" s="2" t="inlineStr">
        <is>
          <t>2.0mm</t>
        </is>
      </c>
      <c r="F135" s="2" t="n">
        <v>2</v>
      </c>
      <c r="G135" s="2" t="n">
        <v>30</v>
      </c>
      <c r="H135" s="2" t="inlineStr">
        <is>
          <t>LC/PC</t>
        </is>
      </c>
      <c r="I135" s="2" t="inlineStr">
        <is>
          <t>LC/PC</t>
        </is>
      </c>
      <c r="J135" s="2" t="n"/>
      <c r="K135" s="2" t="n">
        <v>10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>
        <f>SUM(J135:U135)*G135</f>
        <v/>
      </c>
      <c r="W135" s="2">
        <f>MAX(J135:U135)</f>
        <v/>
      </c>
      <c r="X135" s="2">
        <f>W135*G135</f>
        <v/>
      </c>
    </row>
    <row r="136">
      <c r="A136" s="2" t="inlineStr">
        <is>
          <t>14-K-027</t>
        </is>
      </c>
      <c r="B136" s="3" t="inlineStr">
        <is>
          <t>OJC-A1-LC/LC-MM(OM3)-35-PC/PC-DP</t>
        </is>
      </c>
      <c r="C136" s="2" t="inlineStr"/>
      <c r="D136" s="2" t="inlineStr">
        <is>
          <t>om3</t>
        </is>
      </c>
      <c r="E136" s="2" t="inlineStr">
        <is>
          <t>2.0mm</t>
        </is>
      </c>
      <c r="F136" s="2" t="n">
        <v>2</v>
      </c>
      <c r="G136" s="2" t="n">
        <v>35</v>
      </c>
      <c r="H136" s="2" t="inlineStr">
        <is>
          <t>LC/PC</t>
        </is>
      </c>
      <c r="I136" s="2" t="inlineStr">
        <is>
          <t>LC/PC</t>
        </is>
      </c>
      <c r="J136" s="2" t="n"/>
      <c r="K136" s="2" t="n"/>
      <c r="L136" s="2" t="n"/>
      <c r="M136" s="2" t="n">
        <v>8</v>
      </c>
      <c r="N136" s="2" t="n"/>
      <c r="O136" s="2" t="n"/>
      <c r="P136" s="2" t="n"/>
      <c r="Q136" s="2" t="n">
        <v>10</v>
      </c>
      <c r="R136" s="2" t="n"/>
      <c r="S136" s="2" t="n"/>
      <c r="T136" s="2" t="n"/>
      <c r="U136" s="2" t="n"/>
      <c r="V136" s="2">
        <f>SUM(J136:U136)*G136</f>
        <v/>
      </c>
      <c r="W136" s="2">
        <f>MAX(J136:U136)</f>
        <v/>
      </c>
      <c r="X136" s="2">
        <f>W136*G136</f>
        <v/>
      </c>
    </row>
    <row r="137">
      <c r="A137" s="2" t="inlineStr">
        <is>
          <t>14-K-031</t>
        </is>
      </c>
      <c r="B137" s="3" t="inlineStr">
        <is>
          <t>OJC-A1-LC/LC-MM(OM3)-5-PC/PC-DP</t>
        </is>
      </c>
      <c r="C137" s="2" t="inlineStr"/>
      <c r="D137" s="2" t="inlineStr">
        <is>
          <t>om3</t>
        </is>
      </c>
      <c r="E137" s="2" t="inlineStr">
        <is>
          <t>2.0mm</t>
        </is>
      </c>
      <c r="F137" s="2" t="n">
        <v>2</v>
      </c>
      <c r="G137" s="2" t="n">
        <v>5</v>
      </c>
      <c r="H137" s="2" t="inlineStr">
        <is>
          <t>LC/PC</t>
        </is>
      </c>
      <c r="I137" s="2" t="inlineStr">
        <is>
          <t>LC/PC</t>
        </is>
      </c>
      <c r="J137" s="2" t="n"/>
      <c r="K137" s="2" t="n">
        <v>132</v>
      </c>
      <c r="L137" s="2" t="n"/>
      <c r="M137" s="2" t="n">
        <v>24</v>
      </c>
      <c r="N137" s="2" t="n">
        <v>4</v>
      </c>
      <c r="O137" s="2" t="n">
        <v>50</v>
      </c>
      <c r="P137" s="2" t="n"/>
      <c r="Q137" s="2" t="n">
        <v>5</v>
      </c>
      <c r="R137" s="2" t="n"/>
      <c r="S137" s="2" t="n"/>
      <c r="T137" s="2" t="n">
        <v>50</v>
      </c>
      <c r="U137" s="2" t="n"/>
      <c r="V137" s="2">
        <f>SUM(J137:U137)*G137</f>
        <v/>
      </c>
      <c r="W137" s="2">
        <f>MAX(J137:U137)</f>
        <v/>
      </c>
      <c r="X137" s="2">
        <f>W137*G137</f>
        <v/>
      </c>
    </row>
    <row r="138">
      <c r="A138" s="2" t="inlineStr">
        <is>
          <t>14-K-032</t>
        </is>
      </c>
      <c r="B138" s="3" t="inlineStr">
        <is>
          <t>OJC-A1-LC/LC-MM(OM3)-8-PC/PC-DP</t>
        </is>
      </c>
      <c r="C138" s="2" t="inlineStr"/>
      <c r="D138" s="2" t="inlineStr">
        <is>
          <t>om3</t>
        </is>
      </c>
      <c r="E138" s="2" t="inlineStr">
        <is>
          <t>2.0mm</t>
        </is>
      </c>
      <c r="F138" s="2" t="n">
        <v>2</v>
      </c>
      <c r="G138" s="2" t="n">
        <v>8</v>
      </c>
      <c r="H138" s="2" t="inlineStr">
        <is>
          <t>LC/PC</t>
        </is>
      </c>
      <c r="I138" s="2" t="inlineStr">
        <is>
          <t>LC/PC</t>
        </is>
      </c>
      <c r="J138" s="2" t="n"/>
      <c r="K138" s="2" t="n"/>
      <c r="L138" s="2" t="n"/>
      <c r="M138" s="2" t="n"/>
      <c r="N138" s="2" t="n"/>
      <c r="O138" s="2" t="n"/>
      <c r="P138" s="2" t="n">
        <v>10</v>
      </c>
      <c r="Q138" s="2" t="n"/>
      <c r="R138" s="2" t="n"/>
      <c r="S138" s="2" t="n"/>
      <c r="T138" s="2" t="n"/>
      <c r="U138" s="2" t="n"/>
      <c r="V138" s="2">
        <f>SUM(J138:U138)*G138</f>
        <v/>
      </c>
      <c r="W138" s="2">
        <f>MAX(J138:U138)</f>
        <v/>
      </c>
      <c r="X138" s="2">
        <f>W138*G138</f>
        <v/>
      </c>
    </row>
    <row r="139">
      <c r="A139" s="2" t="inlineStr">
        <is>
          <t>14-K-035</t>
        </is>
      </c>
      <c r="B139" s="3" t="inlineStr">
        <is>
          <t>OJC-A1-LC/LC-MM-10-PC/PC-DP</t>
        </is>
      </c>
      <c r="C139" s="2" t="inlineStr">
        <is>
          <t>K9089334</t>
        </is>
      </c>
      <c r="D139" s="2" t="inlineStr">
        <is>
          <t>om1</t>
        </is>
      </c>
      <c r="E139" s="2" t="inlineStr">
        <is>
          <t>2.0mm</t>
        </is>
      </c>
      <c r="F139" s="2" t="n">
        <v>2</v>
      </c>
      <c r="G139" s="2" t="n">
        <v>10</v>
      </c>
      <c r="H139" s="2" t="inlineStr">
        <is>
          <t>LC/PC</t>
        </is>
      </c>
      <c r="I139" s="2" t="inlineStr">
        <is>
          <t>LC/PC</t>
        </is>
      </c>
      <c r="J139" s="2" t="n"/>
      <c r="K139" s="2" t="n"/>
      <c r="L139" s="2" t="n"/>
      <c r="M139" s="2" t="n"/>
      <c r="N139" s="2" t="n">
        <v>30</v>
      </c>
      <c r="O139" s="2" t="n">
        <v>50</v>
      </c>
      <c r="P139" s="2" t="n"/>
      <c r="Q139" s="2" t="n"/>
      <c r="R139" s="2" t="n"/>
      <c r="S139" s="2" t="n"/>
      <c r="T139" s="2" t="n"/>
      <c r="U139" s="2" t="n">
        <v>35</v>
      </c>
      <c r="V139" s="2">
        <f>SUM(J139:U139)*G139</f>
        <v/>
      </c>
      <c r="W139" s="2">
        <f>MAX(J139:U139)</f>
        <v/>
      </c>
      <c r="X139" s="2">
        <f>W139*G139</f>
        <v/>
      </c>
    </row>
    <row r="140">
      <c r="A140" s="2" t="inlineStr">
        <is>
          <t>14-K-042</t>
        </is>
      </c>
      <c r="B140" s="3" t="inlineStr">
        <is>
          <t>OJC-A1-LC/LC-MM-1-PC/PC-DP</t>
        </is>
      </c>
      <c r="C140" s="2" t="inlineStr">
        <is>
          <t>K9089329</t>
        </is>
      </c>
      <c r="D140" s="2" t="inlineStr">
        <is>
          <t>om1</t>
        </is>
      </c>
      <c r="E140" s="2" t="inlineStr">
        <is>
          <t>2.0mm</t>
        </is>
      </c>
      <c r="F140" s="2" t="n">
        <v>2</v>
      </c>
      <c r="G140" s="2" t="n">
        <v>1</v>
      </c>
      <c r="H140" s="2" t="inlineStr">
        <is>
          <t>LC/PC</t>
        </is>
      </c>
      <c r="I140" s="2" t="inlineStr">
        <is>
          <t>LC/PC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>
        <v>10</v>
      </c>
      <c r="V140" s="2">
        <f>SUM(J140:U140)*G140</f>
        <v/>
      </c>
      <c r="W140" s="2">
        <f>MAX(J140:U140)</f>
        <v/>
      </c>
      <c r="X140" s="2">
        <f>W140*G140</f>
        <v/>
      </c>
    </row>
    <row r="141">
      <c r="A141" s="2" t="inlineStr">
        <is>
          <t>14-K-044</t>
        </is>
      </c>
      <c r="B141" s="3" t="inlineStr">
        <is>
          <t>OJC-A1-LC/LC-MM-20-PC/PC-DP</t>
        </is>
      </c>
      <c r="C141" s="2" t="inlineStr">
        <is>
          <t>K9089336</t>
        </is>
      </c>
      <c r="D141" s="2" t="inlineStr">
        <is>
          <t>om1</t>
        </is>
      </c>
      <c r="E141" s="2" t="inlineStr">
        <is>
          <t>2.0mm</t>
        </is>
      </c>
      <c r="F141" s="2" t="n">
        <v>2</v>
      </c>
      <c r="G141" s="2" t="n">
        <v>20</v>
      </c>
      <c r="H141" s="2" t="inlineStr">
        <is>
          <t>LC/PC</t>
        </is>
      </c>
      <c r="I141" s="2" t="inlineStr">
        <is>
          <t>LC/PC</t>
        </is>
      </c>
      <c r="J141" s="2" t="n"/>
      <c r="K141" s="2" t="n"/>
      <c r="L141" s="2" t="n"/>
      <c r="M141" s="2" t="n"/>
      <c r="N141" s="2" t="n">
        <v>100</v>
      </c>
      <c r="O141" s="2" t="n"/>
      <c r="P141" s="2" t="n"/>
      <c r="Q141" s="2" t="n"/>
      <c r="R141" s="2" t="n"/>
      <c r="S141" s="2" t="n"/>
      <c r="T141" s="2" t="n"/>
      <c r="U141" s="2" t="n"/>
      <c r="V141" s="2">
        <f>SUM(J141:U141)*G141</f>
        <v/>
      </c>
      <c r="W141" s="2">
        <f>MAX(J141:U141)</f>
        <v/>
      </c>
      <c r="X141" s="2">
        <f>W141*G141</f>
        <v/>
      </c>
    </row>
    <row r="142">
      <c r="A142" s="2" t="inlineStr">
        <is>
          <t>14-K-047</t>
        </is>
      </c>
      <c r="B142" s="3" t="inlineStr">
        <is>
          <t>OJC-A1-LC/LC-MM-25-PC/PC-DP</t>
        </is>
      </c>
      <c r="C142" s="2" t="inlineStr">
        <is>
          <t>K9089337</t>
        </is>
      </c>
      <c r="D142" s="2" t="inlineStr">
        <is>
          <t>om1</t>
        </is>
      </c>
      <c r="E142" s="2" t="inlineStr">
        <is>
          <t>2.0mm</t>
        </is>
      </c>
      <c r="F142" s="2" t="n">
        <v>2</v>
      </c>
      <c r="G142" s="2" t="n">
        <v>25</v>
      </c>
      <c r="H142" s="2" t="inlineStr">
        <is>
          <t>LC/PC</t>
        </is>
      </c>
      <c r="I142" s="2" t="inlineStr">
        <is>
          <t>LC/PC</t>
        </is>
      </c>
      <c r="J142" s="2" t="n">
        <v>4</v>
      </c>
      <c r="K142" s="2" t="n"/>
      <c r="L142" s="2" t="n"/>
      <c r="M142" s="2" t="n"/>
      <c r="N142" s="2" t="n">
        <v>20</v>
      </c>
      <c r="O142" s="2" t="n"/>
      <c r="P142" s="2" t="n">
        <v>10</v>
      </c>
      <c r="Q142" s="2" t="n">
        <v>10</v>
      </c>
      <c r="R142" s="2" t="n">
        <v>40</v>
      </c>
      <c r="S142" s="2" t="n"/>
      <c r="T142" s="2" t="n"/>
      <c r="U142" s="2" t="n"/>
      <c r="V142" s="2">
        <f>SUM(J142:U142)*G142</f>
        <v/>
      </c>
      <c r="W142" s="2">
        <f>MAX(J142:U142)</f>
        <v/>
      </c>
      <c r="X142" s="2">
        <f>W142*G142</f>
        <v/>
      </c>
    </row>
    <row r="143">
      <c r="A143" s="2" t="inlineStr">
        <is>
          <t>14-K-054</t>
        </is>
      </c>
      <c r="B143" s="3" t="inlineStr">
        <is>
          <t>OJC-A1-LC/LC-MM-30-PC/PC-DP</t>
        </is>
      </c>
      <c r="C143" s="2" t="inlineStr">
        <is>
          <t>K9089338</t>
        </is>
      </c>
      <c r="D143" s="2" t="inlineStr">
        <is>
          <t>om1</t>
        </is>
      </c>
      <c r="E143" s="2" t="inlineStr">
        <is>
          <t>2.0mm</t>
        </is>
      </c>
      <c r="F143" s="2" t="n">
        <v>2</v>
      </c>
      <c r="G143" s="2" t="n">
        <v>30</v>
      </c>
      <c r="H143" s="2" t="inlineStr">
        <is>
          <t>LC/PC</t>
        </is>
      </c>
      <c r="I143" s="2" t="inlineStr">
        <is>
          <t>LC/PC</t>
        </is>
      </c>
      <c r="J143" s="2" t="n"/>
      <c r="K143" s="2" t="n"/>
      <c r="L143" s="2" t="n"/>
      <c r="M143" s="2" t="n"/>
      <c r="N143" s="2" t="n">
        <v>10</v>
      </c>
      <c r="O143" s="2" t="n"/>
      <c r="P143" s="2" t="n"/>
      <c r="Q143" s="2" t="n"/>
      <c r="R143" s="2" t="n"/>
      <c r="S143" s="2" t="n">
        <v>20</v>
      </c>
      <c r="T143" s="2" t="n"/>
      <c r="U143" s="2" t="n">
        <v>5</v>
      </c>
      <c r="V143" s="2">
        <f>SUM(J143:U143)*G143</f>
        <v/>
      </c>
      <c r="W143" s="2">
        <f>MAX(J143:U143)</f>
        <v/>
      </c>
      <c r="X143" s="2">
        <f>W143*G143</f>
        <v/>
      </c>
    </row>
    <row r="144">
      <c r="A144" s="2" t="inlineStr">
        <is>
          <t>14-K-057</t>
        </is>
      </c>
      <c r="B144" s="3" t="inlineStr">
        <is>
          <t>OJC-A1-LC/LC-MM-35-PC/PC-DP</t>
        </is>
      </c>
      <c r="C144" s="2" t="inlineStr">
        <is>
          <t>K9089339</t>
        </is>
      </c>
      <c r="D144" s="2" t="inlineStr">
        <is>
          <t>om1</t>
        </is>
      </c>
      <c r="E144" s="2" t="inlineStr">
        <is>
          <t>2.0mm</t>
        </is>
      </c>
      <c r="F144" s="2" t="n">
        <v>2</v>
      </c>
      <c r="G144" s="2" t="n">
        <v>35</v>
      </c>
      <c r="H144" s="2" t="inlineStr">
        <is>
          <t>LC/PC</t>
        </is>
      </c>
      <c r="I144" s="2" t="inlineStr">
        <is>
          <t>LC/PC</t>
        </is>
      </c>
      <c r="J144" s="2" t="n"/>
      <c r="K144" s="2" t="n"/>
      <c r="L144" s="2" t="n"/>
      <c r="M144" s="2" t="n"/>
      <c r="N144" s="2" t="n">
        <v>4</v>
      </c>
      <c r="O144" s="2" t="n"/>
      <c r="P144" s="2" t="n"/>
      <c r="Q144" s="2" t="n"/>
      <c r="R144" s="2" t="n"/>
      <c r="S144" s="2" t="n"/>
      <c r="T144" s="2" t="n"/>
      <c r="U144" s="2" t="n"/>
      <c r="V144" s="2">
        <f>SUM(J144:U144)*G144</f>
        <v/>
      </c>
      <c r="W144" s="2">
        <f>MAX(J144:U144)</f>
        <v/>
      </c>
      <c r="X144" s="2">
        <f>W144*G144</f>
        <v/>
      </c>
    </row>
    <row r="145">
      <c r="A145" s="2" t="inlineStr">
        <is>
          <t>14-K-060</t>
        </is>
      </c>
      <c r="B145" s="3" t="inlineStr">
        <is>
          <t>OJC-A1-LC/LC-MM-40-PC/PC-DP</t>
        </is>
      </c>
      <c r="C145" s="2" t="inlineStr">
        <is>
          <t>K9089340</t>
        </is>
      </c>
      <c r="D145" s="2" t="inlineStr">
        <is>
          <t>om1</t>
        </is>
      </c>
      <c r="E145" s="2" t="inlineStr">
        <is>
          <t>2.0mm</t>
        </is>
      </c>
      <c r="F145" s="2" t="n">
        <v>2</v>
      </c>
      <c r="G145" s="2" t="n">
        <v>40</v>
      </c>
      <c r="H145" s="2" t="inlineStr">
        <is>
          <t>LC/PC</t>
        </is>
      </c>
      <c r="I145" s="2" t="inlineStr">
        <is>
          <t>LC/PC</t>
        </is>
      </c>
      <c r="J145" s="2" t="n"/>
      <c r="K145" s="2" t="n">
        <v>50</v>
      </c>
      <c r="L145" s="2" t="n">
        <v>30</v>
      </c>
      <c r="M145" s="2" t="n"/>
      <c r="N145" s="2" t="n"/>
      <c r="O145" s="2" t="n">
        <v>30</v>
      </c>
      <c r="P145" s="2" t="n"/>
      <c r="Q145" s="2" t="n">
        <v>30</v>
      </c>
      <c r="R145" s="2" t="n"/>
      <c r="S145" s="2" t="n"/>
      <c r="T145" s="2" t="n"/>
      <c r="U145" s="2" t="n"/>
      <c r="V145" s="2">
        <f>SUM(J145:U145)*G145</f>
        <v/>
      </c>
      <c r="W145" s="2">
        <f>MAX(J145:U145)</f>
        <v/>
      </c>
      <c r="X145" s="2">
        <f>W145*G145</f>
        <v/>
      </c>
    </row>
    <row r="146">
      <c r="A146" s="2" t="inlineStr">
        <is>
          <t>14-K-062</t>
        </is>
      </c>
      <c r="B146" s="3" t="inlineStr">
        <is>
          <t>OJC-A1-LC/LC-MM-50-PC/PC-DP</t>
        </is>
      </c>
      <c r="C146" s="2" t="inlineStr">
        <is>
          <t>K9089340</t>
        </is>
      </c>
      <c r="D146" s="2" t="inlineStr">
        <is>
          <t>om1</t>
        </is>
      </c>
      <c r="E146" s="2" t="inlineStr">
        <is>
          <t>2.0mm</t>
        </is>
      </c>
      <c r="F146" s="2" t="n">
        <v>2</v>
      </c>
      <c r="G146" s="2" t="n">
        <v>50</v>
      </c>
      <c r="H146" s="2" t="inlineStr">
        <is>
          <t>LC/PC</t>
        </is>
      </c>
      <c r="I146" s="2" t="inlineStr">
        <is>
          <t>LC/PC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>
        <v>30</v>
      </c>
      <c r="V146" s="2">
        <f>SUM(J146:U146)*G146</f>
        <v/>
      </c>
      <c r="W146" s="2">
        <f>MAX(J146:U146)</f>
        <v/>
      </c>
      <c r="X146" s="2">
        <f>W146*G146</f>
        <v/>
      </c>
    </row>
    <row r="147">
      <c r="A147" s="2" t="inlineStr">
        <is>
          <t>14-K-064</t>
        </is>
      </c>
      <c r="B147" s="3" t="inlineStr">
        <is>
          <t>OJC-A1-LC/LC-MM-55-PC/PC-DP</t>
        </is>
      </c>
      <c r="C147" s="2" t="inlineStr"/>
      <c r="D147" s="2" t="inlineStr">
        <is>
          <t>om1</t>
        </is>
      </c>
      <c r="E147" s="2" t="inlineStr">
        <is>
          <t>2.0mm</t>
        </is>
      </c>
      <c r="F147" s="2" t="n">
        <v>2</v>
      </c>
      <c r="G147" s="2" t="n">
        <v>55</v>
      </c>
      <c r="H147" s="2" t="inlineStr">
        <is>
          <t>LC/PC</t>
        </is>
      </c>
      <c r="I147" s="2" t="inlineStr">
        <is>
          <t>LC/PC</t>
        </is>
      </c>
      <c r="J147" s="2" t="n"/>
      <c r="K147" s="2" t="n"/>
      <c r="L147" s="2" t="n"/>
      <c r="M147" s="2" t="n"/>
      <c r="N147" s="2" t="n">
        <v>2</v>
      </c>
      <c r="O147" s="2" t="n"/>
      <c r="P147" s="2" t="n"/>
      <c r="Q147" s="2" t="n"/>
      <c r="R147" s="2" t="n"/>
      <c r="S147" s="2" t="n"/>
      <c r="T147" s="2" t="n"/>
      <c r="U147" s="2" t="n"/>
      <c r="V147" s="2">
        <f>SUM(J147:U147)*G147</f>
        <v/>
      </c>
      <c r="W147" s="2">
        <f>MAX(J147:U147)</f>
        <v/>
      </c>
      <c r="X147" s="2">
        <f>W147*G147</f>
        <v/>
      </c>
    </row>
    <row r="148">
      <c r="A148" s="2" t="inlineStr">
        <is>
          <t>14-K-065</t>
        </is>
      </c>
      <c r="B148" s="3" t="inlineStr">
        <is>
          <t>OJC-A1-LC/LC-MM-5-PC/PC-DP</t>
        </is>
      </c>
      <c r="C148" s="2" t="inlineStr">
        <is>
          <t>K9089333</t>
        </is>
      </c>
      <c r="D148" s="2" t="inlineStr">
        <is>
          <t>om1</t>
        </is>
      </c>
      <c r="E148" s="2" t="inlineStr">
        <is>
          <t>2.0mm</t>
        </is>
      </c>
      <c r="F148" s="2" t="n">
        <v>2</v>
      </c>
      <c r="G148" s="2" t="n">
        <v>5</v>
      </c>
      <c r="H148" s="2" t="inlineStr">
        <is>
          <t>LC/PC</t>
        </is>
      </c>
      <c r="I148" s="2" t="inlineStr">
        <is>
          <t>LC/PC</t>
        </is>
      </c>
      <c r="J148" s="2" t="n"/>
      <c r="K148" s="2" t="n"/>
      <c r="L148" s="2" t="n"/>
      <c r="M148" s="2" t="n"/>
      <c r="N148" s="2" t="n">
        <v>50</v>
      </c>
      <c r="O148" s="2" t="n"/>
      <c r="P148" s="2" t="n"/>
      <c r="Q148" s="2" t="n"/>
      <c r="R148" s="2" t="n">
        <v>56</v>
      </c>
      <c r="S148" s="2" t="n">
        <v>50</v>
      </c>
      <c r="T148" s="2" t="n"/>
      <c r="U148" s="2" t="n">
        <v>71</v>
      </c>
      <c r="V148" s="2">
        <f>SUM(J148:U148)*G148</f>
        <v/>
      </c>
      <c r="W148" s="2">
        <f>MAX(J148:U148)</f>
        <v/>
      </c>
      <c r="X148" s="2">
        <f>W148*G148</f>
        <v/>
      </c>
    </row>
    <row r="149">
      <c r="A149" s="2" t="inlineStr">
        <is>
          <t>14-K-067</t>
        </is>
      </c>
      <c r="B149" s="3" t="inlineStr">
        <is>
          <t>OJC-A1-LC/LC-MM-60-PC/PC-DP</t>
        </is>
      </c>
      <c r="C149" s="2" t="inlineStr"/>
      <c r="D149" s="2" t="inlineStr">
        <is>
          <t>om1</t>
        </is>
      </c>
      <c r="E149" s="2" t="inlineStr">
        <is>
          <t>2.0mm</t>
        </is>
      </c>
      <c r="F149" s="2" t="n">
        <v>2</v>
      </c>
      <c r="G149" s="2" t="n">
        <v>60</v>
      </c>
      <c r="H149" s="2" t="inlineStr">
        <is>
          <t>LC/PC</t>
        </is>
      </c>
      <c r="I149" s="2" t="inlineStr">
        <is>
          <t>LC/PC</t>
        </is>
      </c>
      <c r="J149" s="2" t="n"/>
      <c r="K149" s="2" t="n"/>
      <c r="L149" s="2" t="n"/>
      <c r="M149" s="2" t="n"/>
      <c r="N149" s="2" t="n">
        <v>12</v>
      </c>
      <c r="O149" s="2" t="n"/>
      <c r="P149" s="2" t="n"/>
      <c r="Q149" s="2" t="n"/>
      <c r="R149" s="2" t="n"/>
      <c r="S149" s="2" t="n">
        <v>10</v>
      </c>
      <c r="T149" s="2" t="n"/>
      <c r="U149" s="2" t="n"/>
      <c r="V149" s="2">
        <f>SUM(J149:U149)*G149</f>
        <v/>
      </c>
      <c r="W149" s="2">
        <f>MAX(J149:U149)</f>
        <v/>
      </c>
      <c r="X149" s="2">
        <f>W149*G149</f>
        <v/>
      </c>
    </row>
    <row r="150">
      <c r="A150" s="2" t="inlineStr">
        <is>
          <t>14-K-068</t>
        </is>
      </c>
      <c r="B150" s="3" t="inlineStr">
        <is>
          <t>OJC-A1-LC/LC-MM-65-PC/PC-DP</t>
        </is>
      </c>
      <c r="C150" s="2" t="inlineStr"/>
      <c r="D150" s="2" t="inlineStr">
        <is>
          <t>om1</t>
        </is>
      </c>
      <c r="E150" s="2" t="inlineStr">
        <is>
          <t>2.0mm</t>
        </is>
      </c>
      <c r="F150" s="2" t="n">
        <v>2</v>
      </c>
      <c r="G150" s="2" t="n">
        <v>65</v>
      </c>
      <c r="H150" s="2" t="inlineStr">
        <is>
          <t>LC/PC</t>
        </is>
      </c>
      <c r="I150" s="2" t="inlineStr">
        <is>
          <t>LC/PC</t>
        </is>
      </c>
      <c r="J150" s="2" t="n"/>
      <c r="K150" s="2" t="n"/>
      <c r="L150" s="2" t="n"/>
      <c r="M150" s="2" t="n"/>
      <c r="N150" s="2" t="n">
        <v>4</v>
      </c>
      <c r="O150" s="2" t="n"/>
      <c r="P150" s="2" t="n"/>
      <c r="Q150" s="2" t="n"/>
      <c r="R150" s="2" t="n"/>
      <c r="S150" s="2" t="n"/>
      <c r="T150" s="2" t="n"/>
      <c r="U150" s="2" t="n"/>
      <c r="V150" s="2">
        <f>SUM(J150:U150)*G150</f>
        <v/>
      </c>
      <c r="W150" s="2">
        <f>MAX(J150:U150)</f>
        <v/>
      </c>
      <c r="X150" s="2">
        <f>W150*G150</f>
        <v/>
      </c>
    </row>
    <row r="151">
      <c r="A151" s="2" t="inlineStr">
        <is>
          <t>14-K-069</t>
        </is>
      </c>
      <c r="B151" s="3" t="inlineStr">
        <is>
          <t>OJC-A1-LC/LC-MM-70-PC/PC-DP</t>
        </is>
      </c>
      <c r="C151" s="2" t="inlineStr"/>
      <c r="D151" s="2" t="inlineStr">
        <is>
          <t>om1</t>
        </is>
      </c>
      <c r="E151" s="2" t="inlineStr">
        <is>
          <t>2.0mm</t>
        </is>
      </c>
      <c r="F151" s="2" t="n">
        <v>2</v>
      </c>
      <c r="G151" s="2" t="n">
        <v>70</v>
      </c>
      <c r="H151" s="2" t="inlineStr">
        <is>
          <t>LC/PC</t>
        </is>
      </c>
      <c r="I151" s="2" t="inlineStr">
        <is>
          <t>LC/PC</t>
        </is>
      </c>
      <c r="J151" s="2" t="n"/>
      <c r="K151" s="2" t="n"/>
      <c r="L151" s="2" t="n"/>
      <c r="M151" s="2" t="n"/>
      <c r="N151" s="2" t="n">
        <v>2</v>
      </c>
      <c r="O151" s="2" t="n"/>
      <c r="P151" s="2" t="n"/>
      <c r="Q151" s="2" t="n"/>
      <c r="R151" s="2" t="n"/>
      <c r="S151" s="2" t="n"/>
      <c r="T151" s="2" t="n"/>
      <c r="U151" s="2" t="n"/>
      <c r="V151" s="2">
        <f>SUM(J151:U151)*G151</f>
        <v/>
      </c>
      <c r="W151" s="2">
        <f>MAX(J151:U151)</f>
        <v/>
      </c>
      <c r="X151" s="2">
        <f>W151*G151</f>
        <v/>
      </c>
    </row>
    <row r="152">
      <c r="A152" s="2" t="inlineStr">
        <is>
          <t>14-K-078</t>
        </is>
      </c>
      <c r="B152" s="3" t="inlineStr">
        <is>
          <t>OJC-A1-LC/LC-SM-10-PC/PC-DP</t>
        </is>
      </c>
      <c r="C152" s="2" t="inlineStr">
        <is>
          <t>K9089176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10</v>
      </c>
      <c r="H152" s="2" t="inlineStr">
        <is>
          <t>LC/PC</t>
        </is>
      </c>
      <c r="I152" s="2" t="inlineStr">
        <is>
          <t>LC/PC</t>
        </is>
      </c>
      <c r="J152" s="2" t="n"/>
      <c r="K152" s="2" t="n"/>
      <c r="L152" s="2" t="n"/>
      <c r="M152" s="2" t="n">
        <v>45</v>
      </c>
      <c r="N152" s="2" t="n">
        <v>154</v>
      </c>
      <c r="O152" s="2" t="n"/>
      <c r="P152" s="2" t="n"/>
      <c r="Q152" s="2" t="n"/>
      <c r="R152" s="2" t="n"/>
      <c r="S152" s="2" t="n">
        <v>87</v>
      </c>
      <c r="T152" s="2" t="n">
        <v>110</v>
      </c>
      <c r="U152" s="2" t="n">
        <v>435</v>
      </c>
      <c r="V152" s="2">
        <f>SUM(J152:U152)*G152</f>
        <v/>
      </c>
      <c r="W152" s="2">
        <f>MAX(J152:U152)</f>
        <v/>
      </c>
      <c r="X152" s="2">
        <f>W152*G152</f>
        <v/>
      </c>
    </row>
    <row r="153">
      <c r="A153" s="2" t="inlineStr">
        <is>
          <t>14-K-080</t>
        </is>
      </c>
      <c r="B153" s="3" t="inlineStr">
        <is>
          <t>OJC-A1-LC/LC-SM-12-PC/PC-DP</t>
        </is>
      </c>
      <c r="C153" s="2" t="inlineStr"/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12</v>
      </c>
      <c r="H153" s="2" t="inlineStr">
        <is>
          <t>LC/PC</t>
        </is>
      </c>
      <c r="I153" s="2" t="inlineStr">
        <is>
          <t>LC/PC</t>
        </is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>
        <v>50</v>
      </c>
      <c r="S153" s="2" t="n">
        <v>16</v>
      </c>
      <c r="T153" s="2" t="n"/>
      <c r="U153" s="2" t="n"/>
      <c r="V153" s="2">
        <f>SUM(J153:U153)*G153</f>
        <v/>
      </c>
      <c r="W153" s="2">
        <f>MAX(J153:U153)</f>
        <v/>
      </c>
      <c r="X153" s="2">
        <f>W153*G153</f>
        <v/>
      </c>
    </row>
    <row r="154">
      <c r="A154" s="2" t="inlineStr">
        <is>
          <t>14-K-081</t>
        </is>
      </c>
      <c r="B154" s="3" t="inlineStr">
        <is>
          <t>OJC-A1-LC/LC-SM-13-PC/PC-DP</t>
        </is>
      </c>
      <c r="C154" s="2" t="inlineStr"/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13</v>
      </c>
      <c r="H154" s="2" t="inlineStr">
        <is>
          <t>LC/PC</t>
        </is>
      </c>
      <c r="I154" s="2" t="inlineStr">
        <is>
          <t>LC/PC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>
        <v>50</v>
      </c>
      <c r="S154" s="2" t="n"/>
      <c r="T154" s="2" t="n"/>
      <c r="U154" s="2" t="n"/>
      <c r="V154" s="2">
        <f>SUM(J154:U154)*G154</f>
        <v/>
      </c>
      <c r="W154" s="2">
        <f>MAX(J154:U154)</f>
        <v/>
      </c>
      <c r="X154" s="2">
        <f>W154*G154</f>
        <v/>
      </c>
    </row>
    <row r="155">
      <c r="A155" s="2" t="inlineStr">
        <is>
          <t>14-K-083</t>
        </is>
      </c>
      <c r="B155" s="3" t="inlineStr">
        <is>
          <t>OJC-A1-LC/LC-SM-15-PC/PC-DP</t>
        </is>
      </c>
      <c r="C155" s="2" t="inlineStr">
        <is>
          <t>K9089177</t>
        </is>
      </c>
      <c r="D155" s="2" t="inlineStr">
        <is>
          <t>a1</t>
        </is>
      </c>
      <c r="E155" s="2" t="inlineStr">
        <is>
          <t>2.0mm</t>
        </is>
      </c>
      <c r="F155" s="2" t="n">
        <v>2</v>
      </c>
      <c r="G155" s="2" t="n">
        <v>15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345</v>
      </c>
      <c r="M155" s="2" t="n"/>
      <c r="N155" s="2" t="n"/>
      <c r="O155" s="2" t="n"/>
      <c r="P155" s="2" t="n"/>
      <c r="Q155" s="2" t="n"/>
      <c r="R155" s="2" t="n">
        <v>107</v>
      </c>
      <c r="S155" s="2" t="n">
        <v>480</v>
      </c>
      <c r="T155" s="2" t="n">
        <v>100</v>
      </c>
      <c r="U155" s="2" t="n">
        <v>297</v>
      </c>
      <c r="V155" s="2">
        <f>SUM(J155:U155)*G155</f>
        <v/>
      </c>
      <c r="W155" s="2">
        <f>MAX(J155:U155)</f>
        <v/>
      </c>
      <c r="X155" s="2">
        <f>W155*G155</f>
        <v/>
      </c>
    </row>
    <row r="156">
      <c r="A156" s="2" t="inlineStr">
        <is>
          <t>14-K-083R</t>
        </is>
      </c>
      <c r="B156" s="3" t="inlineStr">
        <is>
          <t>OJC-A1-LC/LC-SM-15-PC/PC-DP</t>
        </is>
      </c>
      <c r="C156" s="2" t="inlineStr">
        <is>
          <t>K9089177</t>
        </is>
      </c>
      <c r="D156" s="2" t="inlineStr">
        <is>
          <t>a1</t>
        </is>
      </c>
      <c r="E156" s="2" t="inlineStr">
        <is>
          <t>2.0mm</t>
        </is>
      </c>
      <c r="F156" s="2" t="n">
        <v>2</v>
      </c>
      <c r="G156" s="2" t="n">
        <v>15</v>
      </c>
      <c r="H156" s="2" t="inlineStr">
        <is>
          <t>LC/PC</t>
        </is>
      </c>
      <c r="I156" s="2" t="inlineStr">
        <is>
          <t>LC/PC</t>
        </is>
      </c>
      <c r="J156" s="2" t="n"/>
      <c r="K156" s="2" t="n"/>
      <c r="L156" s="2" t="n">
        <v>30</v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SUM(J156:U156)*G156</f>
        <v/>
      </c>
      <c r="W156" s="2">
        <f>MAX(J156:U156)</f>
        <v/>
      </c>
      <c r="X156" s="2">
        <f>W156*G156</f>
        <v/>
      </c>
    </row>
    <row r="157">
      <c r="A157" s="2" t="inlineStr">
        <is>
          <t>14-K-084</t>
        </is>
      </c>
      <c r="B157" s="3" t="inlineStr">
        <is>
          <t>OJC-A1-LC/LC-SM-15-PC/PC-SP</t>
        </is>
      </c>
      <c r="C157" s="2" t="inlineStr">
        <is>
          <t>K9089048</t>
        </is>
      </c>
      <c r="D157" s="2" t="inlineStr">
        <is>
          <t>a1</t>
        </is>
      </c>
      <c r="E157" s="2" t="inlineStr">
        <is>
          <t>2.0mm</t>
        </is>
      </c>
      <c r="F157" s="2" t="n">
        <v>1</v>
      </c>
      <c r="G157" s="2" t="n">
        <v>15</v>
      </c>
      <c r="H157" s="2" t="inlineStr">
        <is>
          <t>LC/PC</t>
        </is>
      </c>
      <c r="I157" s="2" t="inlineStr">
        <is>
          <t>LC/PC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>
        <v>31</v>
      </c>
      <c r="U157" s="2" t="n">
        <v>564</v>
      </c>
      <c r="V157" s="2">
        <f>SUM(J157:U157)*G157</f>
        <v/>
      </c>
      <c r="W157" s="2">
        <f>MAX(J157:U157)</f>
        <v/>
      </c>
      <c r="X157" s="2">
        <f>W157*G157</f>
        <v/>
      </c>
    </row>
    <row r="158">
      <c r="A158" s="2" t="inlineStr">
        <is>
          <t>14-K-085</t>
        </is>
      </c>
      <c r="B158" s="3" t="inlineStr">
        <is>
          <t>OJC-A1-LC/LC-SM-1-PC/PC-DP</t>
        </is>
      </c>
      <c r="C158" s="2" t="inlineStr">
        <is>
          <t>K9089171</t>
        </is>
      </c>
      <c r="D158" s="2" t="inlineStr">
        <is>
          <t>a1</t>
        </is>
      </c>
      <c r="E158" s="2" t="inlineStr">
        <is>
          <t>2.0mm</t>
        </is>
      </c>
      <c r="F158" s="2" t="n">
        <v>2</v>
      </c>
      <c r="G158" s="2" t="n">
        <v>1</v>
      </c>
      <c r="H158" s="2" t="inlineStr">
        <is>
          <t>LC/PC</t>
        </is>
      </c>
      <c r="I158" s="2" t="inlineStr">
        <is>
          <t>LC/PC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>
        <v>4</v>
      </c>
      <c r="V158" s="2">
        <f>SUM(J158:U158)*G158</f>
        <v/>
      </c>
      <c r="W158" s="2">
        <f>MAX(J158:U158)</f>
        <v/>
      </c>
      <c r="X158" s="2">
        <f>W158*G158</f>
        <v/>
      </c>
    </row>
    <row r="159">
      <c r="A159" s="2" t="inlineStr">
        <is>
          <t>14-K-087</t>
        </is>
      </c>
      <c r="B159" s="3" t="inlineStr">
        <is>
          <t>OJC-A1-LC/LC-SM-20-PC/PC-DP</t>
        </is>
      </c>
      <c r="C159" s="2" t="inlineStr">
        <is>
          <t>K9089178</t>
        </is>
      </c>
      <c r="D159" s="2" t="inlineStr">
        <is>
          <t>a1</t>
        </is>
      </c>
      <c r="E159" s="2" t="inlineStr">
        <is>
          <t>2.0mm</t>
        </is>
      </c>
      <c r="F159" s="2" t="n">
        <v>2</v>
      </c>
      <c r="G159" s="2" t="n">
        <v>20</v>
      </c>
      <c r="H159" s="2" t="inlineStr">
        <is>
          <t>LC/PC</t>
        </is>
      </c>
      <c r="I159" s="2" t="inlineStr">
        <is>
          <t>LC/PC</t>
        </is>
      </c>
      <c r="J159" s="2" t="n"/>
      <c r="K159" s="2" t="n"/>
      <c r="L159" s="2" t="n"/>
      <c r="M159" s="2" t="n">
        <v>150</v>
      </c>
      <c r="N159" s="2" t="n">
        <v>21</v>
      </c>
      <c r="O159" s="2" t="n">
        <v>130</v>
      </c>
      <c r="P159" s="2" t="n">
        <v>100</v>
      </c>
      <c r="Q159" s="2" t="n">
        <v>50</v>
      </c>
      <c r="R159" s="2" t="n"/>
      <c r="S159" s="2" t="n"/>
      <c r="T159" s="2" t="n"/>
      <c r="U159" s="2" t="n">
        <v>143</v>
      </c>
      <c r="V159" s="2">
        <f>SUM(J159:U159)*G159</f>
        <v/>
      </c>
      <c r="W159" s="2">
        <f>MAX(J159:U159)</f>
        <v/>
      </c>
      <c r="X159" s="2">
        <f>W159*G159</f>
        <v/>
      </c>
    </row>
    <row r="160">
      <c r="A160" s="2" t="inlineStr">
        <is>
          <t>14-K-088</t>
        </is>
      </c>
      <c r="B160" s="3" t="inlineStr">
        <is>
          <t>OJC-A1-LC/LC-SM-20-PC/PC-SP</t>
        </is>
      </c>
      <c r="C160" s="2" t="inlineStr">
        <is>
          <t>K9089049</t>
        </is>
      </c>
      <c r="D160" s="2" t="inlineStr">
        <is>
          <t>a1</t>
        </is>
      </c>
      <c r="E160" s="2" t="inlineStr">
        <is>
          <t>2.0mm</t>
        </is>
      </c>
      <c r="F160" s="2" t="n">
        <v>1</v>
      </c>
      <c r="G160" s="2" t="n">
        <v>20</v>
      </c>
      <c r="H160" s="2" t="inlineStr">
        <is>
          <t>LC/PC</t>
        </is>
      </c>
      <c r="I160" s="2" t="inlineStr">
        <is>
          <t>LC/PC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>
        <v>14</v>
      </c>
      <c r="U160" s="2" t="n">
        <v>20</v>
      </c>
      <c r="V160" s="2">
        <f>SUM(J160:U160)*G160</f>
        <v/>
      </c>
      <c r="W160" s="2">
        <f>MAX(J160:U160)</f>
        <v/>
      </c>
      <c r="X160" s="2">
        <f>W160*G160</f>
        <v/>
      </c>
    </row>
    <row r="161">
      <c r="A161" s="2" t="inlineStr">
        <is>
          <t>14-K-091</t>
        </is>
      </c>
      <c r="B161" s="3" t="inlineStr">
        <is>
          <t>OJC-A1-LC/LC-SM-25-PC/PC-DP</t>
        </is>
      </c>
      <c r="C161" s="2" t="inlineStr">
        <is>
          <t>K9089179</t>
        </is>
      </c>
      <c r="D161" s="2" t="inlineStr">
        <is>
          <t>a1</t>
        </is>
      </c>
      <c r="E161" s="2" t="inlineStr">
        <is>
          <t>2.0mm</t>
        </is>
      </c>
      <c r="F161" s="2" t="n">
        <v>2</v>
      </c>
      <c r="G161" s="2" t="n">
        <v>25</v>
      </c>
      <c r="H161" s="2" t="inlineStr">
        <is>
          <t>LC/PC</t>
        </is>
      </c>
      <c r="I161" s="2" t="inlineStr">
        <is>
          <t>LC/PC</t>
        </is>
      </c>
      <c r="J161" s="2" t="n"/>
      <c r="K161" s="2" t="n"/>
      <c r="L161" s="2" t="n"/>
      <c r="M161" s="2" t="n">
        <v>100</v>
      </c>
      <c r="N161" s="2" t="n"/>
      <c r="O161" s="2" t="n"/>
      <c r="P161" s="2" t="n">
        <v>30</v>
      </c>
      <c r="Q161" s="2" t="n">
        <v>100</v>
      </c>
      <c r="R161" s="2" t="n">
        <v>110</v>
      </c>
      <c r="S161" s="2" t="n"/>
      <c r="T161" s="2" t="n"/>
      <c r="U161" s="2" t="n"/>
      <c r="V161" s="2">
        <f>SUM(J161:U161)*G161</f>
        <v/>
      </c>
      <c r="W161" s="2">
        <f>MAX(J161:U161)</f>
        <v/>
      </c>
      <c r="X161" s="2">
        <f>W161*G161</f>
        <v/>
      </c>
    </row>
    <row r="162">
      <c r="A162" s="2" t="inlineStr">
        <is>
          <t>14-K-092</t>
        </is>
      </c>
      <c r="B162" s="3" t="inlineStr">
        <is>
          <t>OJC-A1-LC/LC-SM-25-PC/PC-SP</t>
        </is>
      </c>
      <c r="C162" s="2" t="inlineStr">
        <is>
          <t>K9089050</t>
        </is>
      </c>
      <c r="D162" s="2" t="inlineStr">
        <is>
          <t>a1</t>
        </is>
      </c>
      <c r="E162" s="2" t="inlineStr">
        <is>
          <t>2.0mm</t>
        </is>
      </c>
      <c r="F162" s="2" t="n">
        <v>1</v>
      </c>
      <c r="G162" s="2" t="n">
        <v>25</v>
      </c>
      <c r="H162" s="2" t="inlineStr">
        <is>
          <t>LC/PC</t>
        </is>
      </c>
      <c r="I162" s="2" t="inlineStr">
        <is>
          <t>LC/PC</t>
        </is>
      </c>
      <c r="J162" s="2" t="n"/>
      <c r="K162" s="2" t="n"/>
      <c r="L162" s="2" t="n"/>
      <c r="M162" s="2" t="n"/>
      <c r="N162" s="2" t="n"/>
      <c r="O162" s="2" t="n"/>
      <c r="P162" s="2" t="n">
        <v>10</v>
      </c>
      <c r="Q162" s="2" t="n">
        <v>2</v>
      </c>
      <c r="R162" s="2" t="n">
        <v>56</v>
      </c>
      <c r="S162" s="2" t="n"/>
      <c r="T162" s="2" t="n">
        <v>77</v>
      </c>
      <c r="U162" s="2" t="n">
        <v>20</v>
      </c>
      <c r="V162" s="2">
        <f>SUM(J162:U162)*G162</f>
        <v/>
      </c>
      <c r="W162" s="2">
        <f>MAX(J162:U162)</f>
        <v/>
      </c>
      <c r="X162" s="2">
        <f>W162*G162</f>
        <v/>
      </c>
    </row>
    <row r="163">
      <c r="A163" s="2" t="inlineStr">
        <is>
          <t>14-K-093</t>
        </is>
      </c>
      <c r="B163" s="3" t="inlineStr">
        <is>
          <t>OJC-A1-LC/LC-SM-2-PC/PC-DP</t>
        </is>
      </c>
      <c r="C163" s="2" t="inlineStr">
        <is>
          <t>K9089172</t>
        </is>
      </c>
      <c r="D163" s="2" t="inlineStr">
        <is>
          <t>a1</t>
        </is>
      </c>
      <c r="E163" s="2" t="inlineStr">
        <is>
          <t>2.0mm</t>
        </is>
      </c>
      <c r="F163" s="2" t="n">
        <v>2</v>
      </c>
      <c r="G163" s="2" t="n">
        <v>2</v>
      </c>
      <c r="H163" s="2" t="inlineStr">
        <is>
          <t>LC/PC</t>
        </is>
      </c>
      <c r="I163" s="2" t="inlineStr">
        <is>
          <t>LC/PC</t>
        </is>
      </c>
      <c r="J163" s="2" t="n"/>
      <c r="K163" s="2" t="n"/>
      <c r="L163" s="2" t="n">
        <v>395</v>
      </c>
      <c r="M163" s="2" t="n"/>
      <c r="N163" s="2" t="n">
        <v>12</v>
      </c>
      <c r="O163" s="2" t="n"/>
      <c r="P163" s="2" t="n"/>
      <c r="Q163" s="2" t="n"/>
      <c r="R163" s="2" t="n"/>
      <c r="S163" s="2" t="n"/>
      <c r="T163" s="2" t="n"/>
      <c r="U163" s="2" t="n"/>
      <c r="V163" s="2">
        <f>SUM(J163:U163)*G163</f>
        <v/>
      </c>
      <c r="W163" s="2">
        <f>MAX(J163:U163)</f>
        <v/>
      </c>
      <c r="X163" s="2">
        <f>W163*G163</f>
        <v/>
      </c>
    </row>
    <row r="164">
      <c r="A164" s="2" t="inlineStr">
        <is>
          <t>14-K-094</t>
        </is>
      </c>
      <c r="B164" s="3" t="inlineStr">
        <is>
          <t>OJC-A1-LC/LC-SM-30-PC/PC-DP</t>
        </is>
      </c>
      <c r="C164" s="2" t="inlineStr">
        <is>
          <t>K9089180</t>
        </is>
      </c>
      <c r="D164" s="2" t="inlineStr">
        <is>
          <t>a1</t>
        </is>
      </c>
      <c r="E164" s="2" t="inlineStr">
        <is>
          <t>2.0mm</t>
        </is>
      </c>
      <c r="F164" s="2" t="n">
        <v>2</v>
      </c>
      <c r="G164" s="2" t="n">
        <v>30</v>
      </c>
      <c r="H164" s="2" t="inlineStr">
        <is>
          <t>LC/PC</t>
        </is>
      </c>
      <c r="I164" s="2" t="inlineStr">
        <is>
          <t>LC/PC</t>
        </is>
      </c>
      <c r="J164" s="2" t="n"/>
      <c r="K164" s="2" t="n"/>
      <c r="L164" s="2" t="n"/>
      <c r="M164" s="2" t="n">
        <v>49</v>
      </c>
      <c r="N164" s="2" t="n">
        <v>75</v>
      </c>
      <c r="O164" s="2" t="n">
        <v>30</v>
      </c>
      <c r="P164" s="2" t="n">
        <v>265</v>
      </c>
      <c r="Q164" s="2" t="n"/>
      <c r="R164" s="2" t="n">
        <v>12</v>
      </c>
      <c r="S164" s="2" t="n">
        <v>20</v>
      </c>
      <c r="T164" s="2" t="n"/>
      <c r="U164" s="2" t="n"/>
      <c r="V164" s="2">
        <f>SUM(J164:U164)*G164</f>
        <v/>
      </c>
      <c r="W164" s="2">
        <f>MAX(J164:U164)</f>
        <v/>
      </c>
      <c r="X164" s="2">
        <f>W164*G164</f>
        <v/>
      </c>
    </row>
    <row r="165">
      <c r="A165" s="2" t="inlineStr">
        <is>
          <t>14-K-095</t>
        </is>
      </c>
      <c r="B165" s="3" t="inlineStr">
        <is>
          <t>OJC-A1-LC/LC-SM-30-PC/PC-SP</t>
        </is>
      </c>
      <c r="C165" s="2" t="inlineStr">
        <is>
          <t>K9089051</t>
        </is>
      </c>
      <c r="D165" s="2" t="inlineStr">
        <is>
          <t>a1</t>
        </is>
      </c>
      <c r="E165" s="2" t="inlineStr">
        <is>
          <t>2.0mm</t>
        </is>
      </c>
      <c r="F165" s="2" t="n">
        <v>1</v>
      </c>
      <c r="G165" s="2" t="n">
        <v>30</v>
      </c>
      <c r="H165" s="2" t="inlineStr">
        <is>
          <t>LC/PC</t>
        </is>
      </c>
      <c r="I165" s="2" t="inlineStr">
        <is>
          <t>LC/PC</t>
        </is>
      </c>
      <c r="J165" s="2" t="n"/>
      <c r="K165" s="2" t="n"/>
      <c r="L165" s="2" t="n">
        <v>4</v>
      </c>
      <c r="M165" s="2" t="n"/>
      <c r="N165" s="2" t="n"/>
      <c r="O165" s="2" t="n"/>
      <c r="P165" s="2" t="n">
        <v>40</v>
      </c>
      <c r="Q165" s="2" t="n">
        <v>6</v>
      </c>
      <c r="R165" s="2" t="n"/>
      <c r="S165" s="2" t="n">
        <v>10</v>
      </c>
      <c r="T165" s="2" t="n">
        <v>91</v>
      </c>
      <c r="U165" s="2" t="n">
        <v>10</v>
      </c>
      <c r="V165" s="2">
        <f>SUM(J165:U165)*G165</f>
        <v/>
      </c>
      <c r="W165" s="2">
        <f>MAX(J165:U165)</f>
        <v/>
      </c>
      <c r="X165" s="2">
        <f>W165*G165</f>
        <v/>
      </c>
    </row>
    <row r="166">
      <c r="A166" s="2" t="inlineStr">
        <is>
          <t>14-K-096</t>
        </is>
      </c>
      <c r="B166" s="3" t="inlineStr">
        <is>
          <t>OJC-A1-LC/LC-SM-35-PC/PC-DP</t>
        </is>
      </c>
      <c r="C166" s="2" t="inlineStr">
        <is>
          <t>K9089181</t>
        </is>
      </c>
      <c r="D166" s="2" t="inlineStr">
        <is>
          <t>a1</t>
        </is>
      </c>
      <c r="E166" s="2" t="inlineStr">
        <is>
          <t>2.0mm</t>
        </is>
      </c>
      <c r="F166" s="2" t="n">
        <v>2</v>
      </c>
      <c r="G166" s="2" t="n">
        <v>35</v>
      </c>
      <c r="H166" s="2" t="inlineStr">
        <is>
          <t>LC/PC</t>
        </is>
      </c>
      <c r="I166" s="2" t="inlineStr">
        <is>
          <t>LC/PC</t>
        </is>
      </c>
      <c r="J166" s="2" t="n"/>
      <c r="K166" s="2" t="n">
        <v>12</v>
      </c>
      <c r="L166" s="2" t="n">
        <v>20</v>
      </c>
      <c r="M166" s="2" t="n"/>
      <c r="N166" s="2" t="n">
        <v>70</v>
      </c>
      <c r="O166" s="2" t="n"/>
      <c r="P166" s="2" t="n">
        <v>8</v>
      </c>
      <c r="Q166" s="2" t="n">
        <v>42</v>
      </c>
      <c r="R166" s="2" t="n"/>
      <c r="S166" s="2" t="n">
        <v>50</v>
      </c>
      <c r="T166" s="2" t="n"/>
      <c r="U166" s="2" t="n"/>
      <c r="V166" s="2">
        <f>SUM(J166:U166)*G166</f>
        <v/>
      </c>
      <c r="W166" s="2">
        <f>MAX(J166:U166)</f>
        <v/>
      </c>
      <c r="X166" s="2">
        <f>W166*G166</f>
        <v/>
      </c>
    </row>
    <row r="167">
      <c r="A167" s="2" t="inlineStr">
        <is>
          <t>14-K-097</t>
        </is>
      </c>
      <c r="B167" s="3" t="inlineStr">
        <is>
          <t>OJC-A1-LC/LC-SM-3-PC/PC-DP</t>
        </is>
      </c>
      <c r="C167" s="2" t="inlineStr">
        <is>
          <t>K9089173</t>
        </is>
      </c>
      <c r="D167" s="2" t="inlineStr">
        <is>
          <t>a1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LC/PC</t>
        </is>
      </c>
      <c r="J167" s="2" t="n"/>
      <c r="K167" s="2" t="n"/>
      <c r="L167" s="2" t="n"/>
      <c r="M167" s="2" t="n">
        <v>145</v>
      </c>
      <c r="N167" s="2" t="n"/>
      <c r="O167" s="2" t="n"/>
      <c r="P167" s="2" t="n"/>
      <c r="Q167" s="2" t="n"/>
      <c r="R167" s="2" t="n"/>
      <c r="S167" s="2" t="n">
        <v>3</v>
      </c>
      <c r="T167" s="2" t="n">
        <v>478</v>
      </c>
      <c r="U167" s="2" t="n">
        <v>20</v>
      </c>
      <c r="V167" s="2">
        <f>SUM(J167:U167)*G167</f>
        <v/>
      </c>
      <c r="W167" s="2">
        <f>MAX(J167:U167)</f>
        <v/>
      </c>
      <c r="X167" s="2">
        <f>W167*G167</f>
        <v/>
      </c>
    </row>
    <row r="168">
      <c r="A168" s="2" t="inlineStr">
        <is>
          <t>14-K-098</t>
        </is>
      </c>
      <c r="B168" s="3" t="inlineStr">
        <is>
          <t>OJC-A1-LC/LC-SM-3-PC/PC-SP</t>
        </is>
      </c>
      <c r="C168" s="2" t="inlineStr">
        <is>
          <t>K9089044</t>
        </is>
      </c>
      <c r="D168" s="2" t="inlineStr">
        <is>
          <t>a1</t>
        </is>
      </c>
      <c r="E168" s="2" t="inlineStr">
        <is>
          <t>2.0mm</t>
        </is>
      </c>
      <c r="F168" s="2" t="n">
        <v>1</v>
      </c>
      <c r="G168" s="2" t="n">
        <v>3</v>
      </c>
      <c r="H168" s="2" t="inlineStr">
        <is>
          <t>LC/PC</t>
        </is>
      </c>
      <c r="I168" s="2" t="inlineStr">
        <is>
          <t>LC/PC</t>
        </is>
      </c>
      <c r="J168" s="2" t="n"/>
      <c r="K168" s="2" t="n"/>
      <c r="L168" s="2" t="n">
        <v>150</v>
      </c>
      <c r="M168" s="2" t="n"/>
      <c r="N168" s="2" t="n">
        <v>50</v>
      </c>
      <c r="O168" s="2" t="n">
        <v>50</v>
      </c>
      <c r="P168" s="2" t="n"/>
      <c r="Q168" s="2" t="n"/>
      <c r="R168" s="2" t="n"/>
      <c r="S168" s="2" t="n"/>
      <c r="T168" s="2" t="n"/>
      <c r="U168" s="2" t="n"/>
      <c r="V168" s="2">
        <f>SUM(J168:U168)*G168</f>
        <v/>
      </c>
      <c r="W168" s="2">
        <f>MAX(J168:U168)</f>
        <v/>
      </c>
      <c r="X168" s="2">
        <f>W168*G168</f>
        <v/>
      </c>
    </row>
    <row r="169">
      <c r="A169" s="2" t="inlineStr">
        <is>
          <t>14-K-099</t>
        </is>
      </c>
      <c r="B169" s="3" t="inlineStr">
        <is>
          <t>OJC-A1-LC/LC-SM-40-PC/PC-DP</t>
        </is>
      </c>
      <c r="C169" s="2" t="inlineStr">
        <is>
          <t>K9089182</t>
        </is>
      </c>
      <c r="D169" s="2" t="inlineStr">
        <is>
          <t>a1</t>
        </is>
      </c>
      <c r="E169" s="2" t="inlineStr">
        <is>
          <t>2.0mm</t>
        </is>
      </c>
      <c r="F169" s="2" t="n">
        <v>2</v>
      </c>
      <c r="G169" s="2" t="n">
        <v>40</v>
      </c>
      <c r="H169" s="2" t="inlineStr">
        <is>
          <t>LC/PC</t>
        </is>
      </c>
      <c r="I169" s="2" t="inlineStr">
        <is>
          <t>LC/PC</t>
        </is>
      </c>
      <c r="J169" s="2" t="n"/>
      <c r="K169" s="2" t="n"/>
      <c r="L169" s="2" t="n"/>
      <c r="M169" s="2" t="n">
        <v>98</v>
      </c>
      <c r="N169" s="2" t="n">
        <v>102</v>
      </c>
      <c r="O169" s="2" t="n"/>
      <c r="P169" s="2" t="n"/>
      <c r="Q169" s="2" t="n">
        <v>55</v>
      </c>
      <c r="R169" s="2" t="n">
        <v>30</v>
      </c>
      <c r="S169" s="2" t="n"/>
      <c r="T169" s="2" t="n">
        <v>20</v>
      </c>
      <c r="U169" s="2" t="n"/>
      <c r="V169" s="2">
        <f>SUM(J169:U169)*G169</f>
        <v/>
      </c>
      <c r="W169" s="2">
        <f>MAX(J169:U169)</f>
        <v/>
      </c>
      <c r="X169" s="2">
        <f>W169*G169</f>
        <v/>
      </c>
    </row>
    <row r="170">
      <c r="A170" s="2" t="inlineStr">
        <is>
          <t>14-K-100</t>
        </is>
      </c>
      <c r="B170" s="3" t="inlineStr">
        <is>
          <t>OJC-A1-LC/LC-SM-45-PC/PC-DP</t>
        </is>
      </c>
      <c r="C170" s="2" t="inlineStr">
        <is>
          <t>K9089183</t>
        </is>
      </c>
      <c r="D170" s="2" t="inlineStr">
        <is>
          <t>a1</t>
        </is>
      </c>
      <c r="E170" s="2" t="inlineStr">
        <is>
          <t>2.0mm</t>
        </is>
      </c>
      <c r="F170" s="2" t="n">
        <v>2</v>
      </c>
      <c r="G170" s="2" t="n">
        <v>45</v>
      </c>
      <c r="H170" s="2" t="inlineStr">
        <is>
          <t>LC/PC</t>
        </is>
      </c>
      <c r="I170" s="2" t="inlineStr">
        <is>
          <t>LC/PC</t>
        </is>
      </c>
      <c r="J170" s="2" t="n"/>
      <c r="K170" s="2" t="n"/>
      <c r="L170" s="2" t="n"/>
      <c r="M170" s="2" t="n"/>
      <c r="N170" s="2" t="n">
        <v>20</v>
      </c>
      <c r="O170" s="2" t="n"/>
      <c r="P170" s="2" t="n">
        <v>8</v>
      </c>
      <c r="Q170" s="2" t="n"/>
      <c r="R170" s="2" t="n"/>
      <c r="S170" s="2" t="n"/>
      <c r="T170" s="2" t="n">
        <v>50</v>
      </c>
      <c r="U170" s="2" t="n"/>
      <c r="V170" s="2">
        <f>SUM(J170:U170)*G170</f>
        <v/>
      </c>
      <c r="W170" s="2">
        <f>MAX(J170:U170)</f>
        <v/>
      </c>
      <c r="X170" s="2">
        <f>W170*G170</f>
        <v/>
      </c>
    </row>
    <row r="171">
      <c r="A171" s="2" t="inlineStr">
        <is>
          <t>14-K-103</t>
        </is>
      </c>
      <c r="B171" s="3" t="inlineStr">
        <is>
          <t>OJC-A1-LC/LC-SM-50-PC/PC-DP</t>
        </is>
      </c>
      <c r="C171" s="2" t="inlineStr">
        <is>
          <t>K9089184</t>
        </is>
      </c>
      <c r="D171" s="2" t="inlineStr">
        <is>
          <t>a1</t>
        </is>
      </c>
      <c r="E171" s="2" t="inlineStr">
        <is>
          <t>2.0mm</t>
        </is>
      </c>
      <c r="F171" s="2" t="n">
        <v>2</v>
      </c>
      <c r="G171" s="2" t="n">
        <v>50</v>
      </c>
      <c r="H171" s="2" t="inlineStr">
        <is>
          <t>LC/PC</t>
        </is>
      </c>
      <c r="I171" s="2" t="inlineStr">
        <is>
          <t>LC/PC</t>
        </is>
      </c>
      <c r="J171" s="2" t="n"/>
      <c r="K171" s="2" t="n"/>
      <c r="L171" s="2" t="n">
        <v>30</v>
      </c>
      <c r="M171" s="2" t="n">
        <v>6</v>
      </c>
      <c r="N171" s="2" t="n">
        <v>44</v>
      </c>
      <c r="O171" s="2" t="n"/>
      <c r="P171" s="2" t="n"/>
      <c r="Q171" s="2" t="n">
        <v>55</v>
      </c>
      <c r="R171" s="2" t="n"/>
      <c r="S171" s="2" t="n"/>
      <c r="T171" s="2" t="n">
        <v>30</v>
      </c>
      <c r="U171" s="2" t="n"/>
      <c r="V171" s="2">
        <f>SUM(J171:U171)*G171</f>
        <v/>
      </c>
      <c r="W171" s="2">
        <f>MAX(J171:U171)</f>
        <v/>
      </c>
      <c r="X171" s="2">
        <f>W171*G171</f>
        <v/>
      </c>
    </row>
    <row r="172">
      <c r="A172" s="2" t="inlineStr">
        <is>
          <t>14-K-106</t>
        </is>
      </c>
      <c r="B172" s="3" t="inlineStr">
        <is>
          <t>OJC-A1-LC/LC-SM-55-PC/PC-DP</t>
        </is>
      </c>
      <c r="C172" s="2" t="inlineStr"/>
      <c r="D172" s="2" t="inlineStr">
        <is>
          <t>a1</t>
        </is>
      </c>
      <c r="E172" s="2" t="inlineStr">
        <is>
          <t>2.0mm</t>
        </is>
      </c>
      <c r="F172" s="2" t="n">
        <v>2</v>
      </c>
      <c r="G172" s="2" t="n">
        <v>55</v>
      </c>
      <c r="H172" s="2" t="inlineStr">
        <is>
          <t>LC/PC</t>
        </is>
      </c>
      <c r="I172" s="2" t="inlineStr">
        <is>
          <t>LC/PC</t>
        </is>
      </c>
      <c r="J172" s="2" t="n"/>
      <c r="K172" s="2" t="n"/>
      <c r="L172" s="2" t="n">
        <v>1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>
        <f>SUM(J172:U172)*G172</f>
        <v/>
      </c>
      <c r="W172" s="2">
        <f>MAX(J172:U172)</f>
        <v/>
      </c>
      <c r="X172" s="2">
        <f>W172*G172</f>
        <v/>
      </c>
    </row>
    <row r="173">
      <c r="A173" s="2" t="inlineStr">
        <is>
          <t>14-K-107</t>
        </is>
      </c>
      <c r="B173" s="3" t="inlineStr">
        <is>
          <t>OJC-A1-LC/LC-SM-5-PC/PC-DP</t>
        </is>
      </c>
      <c r="C173" s="2" t="inlineStr">
        <is>
          <t>K9089175</t>
        </is>
      </c>
      <c r="D173" s="2" t="inlineStr">
        <is>
          <t>a1</t>
        </is>
      </c>
      <c r="E173" s="2" t="inlineStr">
        <is>
          <t>2.0mm</t>
        </is>
      </c>
      <c r="F173" s="2" t="n">
        <v>2</v>
      </c>
      <c r="G173" s="2" t="n">
        <v>5</v>
      </c>
      <c r="H173" s="2" t="inlineStr">
        <is>
          <t>LC/PC</t>
        </is>
      </c>
      <c r="I173" s="2" t="inlineStr">
        <is>
          <t>LC/PC</t>
        </is>
      </c>
      <c r="J173" s="2" t="n"/>
      <c r="K173" s="2" t="n"/>
      <c r="L173" s="2" t="n">
        <v>345</v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SUM(J173:U173)*G173</f>
        <v/>
      </c>
      <c r="W173" s="2">
        <f>MAX(J173:U173)</f>
        <v/>
      </c>
      <c r="X173" s="2">
        <f>W173*G173</f>
        <v/>
      </c>
    </row>
    <row r="174">
      <c r="A174" s="2" t="inlineStr">
        <is>
          <t>14-K-108</t>
        </is>
      </c>
      <c r="B174" s="3" t="inlineStr">
        <is>
          <t>OJC-A1-LC/LC-SM-5-PC/PC-SP</t>
        </is>
      </c>
      <c r="C174" s="2" t="inlineStr">
        <is>
          <t>K9089046</t>
        </is>
      </c>
      <c r="D174" s="2" t="inlineStr">
        <is>
          <t>a1</t>
        </is>
      </c>
      <c r="E174" s="2" t="inlineStr">
        <is>
          <t>2.0mm</t>
        </is>
      </c>
      <c r="F174" s="2" t="n">
        <v>1</v>
      </c>
      <c r="G174" s="2" t="n">
        <v>5</v>
      </c>
      <c r="H174" s="2" t="inlineStr">
        <is>
          <t>LC/PC</t>
        </is>
      </c>
      <c r="I174" s="2" t="inlineStr">
        <is>
          <t>LC/PC</t>
        </is>
      </c>
      <c r="J174" s="2" t="n">
        <v>20</v>
      </c>
      <c r="K174" s="2" t="n"/>
      <c r="L174" s="2" t="n"/>
      <c r="M174" s="2" t="n"/>
      <c r="N174" s="2" t="n"/>
      <c r="O174" s="2" t="n">
        <v>105</v>
      </c>
      <c r="P174" s="2" t="n">
        <v>2</v>
      </c>
      <c r="Q174" s="2" t="n"/>
      <c r="R174" s="2" t="n">
        <v>1</v>
      </c>
      <c r="S174" s="2" t="n"/>
      <c r="T174" s="2" t="n">
        <v>50</v>
      </c>
      <c r="U174" s="2" t="n">
        <v>20</v>
      </c>
      <c r="V174" s="2">
        <f>SUM(J174:U174)*G174</f>
        <v/>
      </c>
      <c r="W174" s="2">
        <f>MAX(J174:U174)</f>
        <v/>
      </c>
      <c r="X174" s="2">
        <f>W174*G174</f>
        <v/>
      </c>
    </row>
    <row r="175">
      <c r="A175" s="2" t="inlineStr">
        <is>
          <t>14-K-110</t>
        </is>
      </c>
      <c r="B175" s="3" t="inlineStr">
        <is>
          <t>OJC-A1-LC/LC-SM-7-PC/PC-DP</t>
        </is>
      </c>
      <c r="C175" s="2" t="inlineStr"/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7</v>
      </c>
      <c r="H175" s="2" t="inlineStr">
        <is>
          <t>LC/PC</t>
        </is>
      </c>
      <c r="I175" s="2" t="inlineStr">
        <is>
          <t>LC/PC</t>
        </is>
      </c>
      <c r="J175" s="2" t="n">
        <v>12</v>
      </c>
      <c r="K175" s="2" t="n"/>
      <c r="L175" s="2" t="n"/>
      <c r="M175" s="2" t="n"/>
      <c r="N175" s="2" t="n"/>
      <c r="O175" s="2" t="n">
        <v>48</v>
      </c>
      <c r="P175" s="2" t="n">
        <v>12</v>
      </c>
      <c r="Q175" s="2" t="n">
        <v>5</v>
      </c>
      <c r="R175" s="2" t="n"/>
      <c r="S175" s="2" t="n"/>
      <c r="T175" s="2" t="n"/>
      <c r="U175" s="2" t="n">
        <v>151</v>
      </c>
      <c r="V175" s="2">
        <f>SUM(J175:U175)*G175</f>
        <v/>
      </c>
      <c r="W175" s="2">
        <f>MAX(J175:U175)</f>
        <v/>
      </c>
      <c r="X175" s="2">
        <f>W175*G175</f>
        <v/>
      </c>
    </row>
    <row r="176">
      <c r="A176" s="2" t="inlineStr">
        <is>
          <t>14-K-111</t>
        </is>
      </c>
      <c r="B176" s="3" t="inlineStr">
        <is>
          <t>OJC-A1-LC/LC-SM-8-PC/PC-DP</t>
        </is>
      </c>
      <c r="C176" s="2" t="inlineStr"/>
      <c r="D176" s="2" t="inlineStr">
        <is>
          <t>a1</t>
        </is>
      </c>
      <c r="E176" s="2" t="inlineStr">
        <is>
          <t>2.0mm</t>
        </is>
      </c>
      <c r="F176" s="2" t="n">
        <v>2</v>
      </c>
      <c r="G176" s="2" t="n">
        <v>8</v>
      </c>
      <c r="H176" s="2" t="inlineStr">
        <is>
          <t>LC/PC</t>
        </is>
      </c>
      <c r="I176" s="2" t="inlineStr">
        <is>
          <t>LC/PC</t>
        </is>
      </c>
      <c r="J176" s="2" t="n"/>
      <c r="K176" s="2" t="n">
        <v>1</v>
      </c>
      <c r="L176" s="2" t="n"/>
      <c r="M176" s="2" t="n"/>
      <c r="N176" s="2" t="n"/>
      <c r="O176" s="2" t="n"/>
      <c r="P176" s="2" t="n"/>
      <c r="Q176" s="2" t="n"/>
      <c r="R176" s="2" t="n">
        <v>100</v>
      </c>
      <c r="S176" s="2" t="n"/>
      <c r="T176" s="2" t="n"/>
      <c r="U176" s="2" t="n">
        <v>146</v>
      </c>
      <c r="V176" s="2">
        <f>SUM(J176:U176)*G176</f>
        <v/>
      </c>
      <c r="W176" s="2">
        <f>MAX(J176:U176)</f>
        <v/>
      </c>
      <c r="X176" s="2">
        <f>W176*G176</f>
        <v/>
      </c>
    </row>
    <row r="177">
      <c r="A177" s="2" t="inlineStr">
        <is>
          <t>14-K-148</t>
        </is>
      </c>
      <c r="B177" s="3" t="inlineStr">
        <is>
          <t>OJC-A1-SC/LC-MM-10-PC/PC-DP</t>
        </is>
      </c>
      <c r="C177" s="2" t="inlineStr">
        <is>
          <t>K9089322</t>
        </is>
      </c>
      <c r="D177" s="2" t="inlineStr">
        <is>
          <t>om1</t>
        </is>
      </c>
      <c r="E177" s="2" t="inlineStr">
        <is>
          <t>2.0mm</t>
        </is>
      </c>
      <c r="F177" s="2" t="n">
        <v>2</v>
      </c>
      <c r="G177" s="2" t="n">
        <v>10</v>
      </c>
      <c r="H177" s="2" t="inlineStr">
        <is>
          <t>SC/PC</t>
        </is>
      </c>
      <c r="I177" s="2" t="inlineStr">
        <is>
          <t>LC/PC</t>
        </is>
      </c>
      <c r="J177" s="2" t="n"/>
      <c r="K177" s="2" t="n"/>
      <c r="L177" s="2" t="n">
        <v>100</v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>
        <f>SUM(J177:U177)*G177</f>
        <v/>
      </c>
      <c r="W177" s="2">
        <f>MAX(J177:U177)</f>
        <v/>
      </c>
      <c r="X177" s="2">
        <f>W177*G177</f>
        <v/>
      </c>
    </row>
    <row r="178">
      <c r="A178" s="2" t="inlineStr">
        <is>
          <t>14-K-150</t>
        </is>
      </c>
      <c r="B178" s="3" t="inlineStr">
        <is>
          <t>OJC-A1-SC/LC-MM-15-PC/PC-DP</t>
        </is>
      </c>
      <c r="C178" s="2" t="inlineStr">
        <is>
          <t>K9089323</t>
        </is>
      </c>
      <c r="D178" s="2" t="inlineStr">
        <is>
          <t>om1</t>
        </is>
      </c>
      <c r="E178" s="2" t="inlineStr">
        <is>
          <t>2.0mm</t>
        </is>
      </c>
      <c r="F178" s="2" t="n">
        <v>2</v>
      </c>
      <c r="G178" s="2" t="n">
        <v>15</v>
      </c>
      <c r="H178" s="2" t="inlineStr">
        <is>
          <t>SC/PC</t>
        </is>
      </c>
      <c r="I178" s="2" t="inlineStr">
        <is>
          <t>LC/PC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n">
        <v>80</v>
      </c>
      <c r="R178" s="2" t="n"/>
      <c r="S178" s="2" t="n"/>
      <c r="T178" s="2" t="n"/>
      <c r="U178" s="2" t="n"/>
      <c r="V178" s="2">
        <f>SUM(J178:U178)*G178</f>
        <v/>
      </c>
      <c r="W178" s="2">
        <f>MAX(J178:U178)</f>
        <v/>
      </c>
      <c r="X178" s="2">
        <f>W178*G178</f>
        <v/>
      </c>
    </row>
    <row r="179">
      <c r="A179" s="2" t="inlineStr">
        <is>
          <t>14-K-157</t>
        </is>
      </c>
      <c r="B179" s="3" t="inlineStr">
        <is>
          <t>OJC-A1-SC/LC-MM-2-PC/PC-DP</t>
        </is>
      </c>
      <c r="C179" s="2" t="inlineStr">
        <is>
          <t>K9089318</t>
        </is>
      </c>
      <c r="D179" s="2" t="inlineStr">
        <is>
          <t>om1</t>
        </is>
      </c>
      <c r="E179" s="2" t="inlineStr">
        <is>
          <t>2.0mm</t>
        </is>
      </c>
      <c r="F179" s="2" t="n">
        <v>2</v>
      </c>
      <c r="G179" s="2" t="n">
        <v>2</v>
      </c>
      <c r="H179" s="2" t="inlineStr">
        <is>
          <t>SC/PC</t>
        </is>
      </c>
      <c r="I179" s="2" t="inlineStr">
        <is>
          <t>LC/PC</t>
        </is>
      </c>
      <c r="J179" s="2" t="n"/>
      <c r="K179" s="2" t="n"/>
      <c r="L179" s="2" t="n">
        <v>50</v>
      </c>
      <c r="M179" s="2" t="n"/>
      <c r="N179" s="2" t="n">
        <v>50</v>
      </c>
      <c r="O179" s="2" t="n"/>
      <c r="P179" s="2" t="n"/>
      <c r="Q179" s="2" t="n"/>
      <c r="R179" s="2" t="n"/>
      <c r="S179" s="2" t="n"/>
      <c r="T179" s="2" t="n"/>
      <c r="U179" s="2" t="n"/>
      <c r="V179" s="2">
        <f>SUM(J179:U179)*G179</f>
        <v/>
      </c>
      <c r="W179" s="2">
        <f>MAX(J179:U179)</f>
        <v/>
      </c>
      <c r="X179" s="2">
        <f>W179*G179</f>
        <v/>
      </c>
    </row>
    <row r="180">
      <c r="A180" s="2" t="inlineStr">
        <is>
          <t>14-K-160</t>
        </is>
      </c>
      <c r="B180" s="3" t="inlineStr">
        <is>
          <t>OJC-A1-SC/LC-MM-35-PC/PC-DP</t>
        </is>
      </c>
      <c r="C180" s="2" t="inlineStr">
        <is>
          <t>K9089327</t>
        </is>
      </c>
      <c r="D180" s="2" t="inlineStr">
        <is>
          <t>om1</t>
        </is>
      </c>
      <c r="E180" s="2" t="inlineStr">
        <is>
          <t>2.0mm</t>
        </is>
      </c>
      <c r="F180" s="2" t="n">
        <v>2</v>
      </c>
      <c r="G180" s="2" t="n">
        <v>35</v>
      </c>
      <c r="H180" s="2" t="inlineStr">
        <is>
          <t>SC/PC</t>
        </is>
      </c>
      <c r="I180" s="2" t="inlineStr">
        <is>
          <t>LC/PC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>
        <v>20</v>
      </c>
      <c r="T180" s="2" t="n"/>
      <c r="U180" s="2" t="n"/>
      <c r="V180" s="2">
        <f>SUM(J180:U180)*G180</f>
        <v/>
      </c>
      <c r="W180" s="2">
        <f>MAX(J180:U180)</f>
        <v/>
      </c>
      <c r="X180" s="2">
        <f>W180*G180</f>
        <v/>
      </c>
    </row>
    <row r="181">
      <c r="A181" s="2" t="inlineStr">
        <is>
          <t>14-K-161</t>
        </is>
      </c>
      <c r="B181" s="3" t="inlineStr">
        <is>
          <t>OJC-A1-SC/LC-MM-3-PC/PC-DP</t>
        </is>
      </c>
      <c r="C181" s="2" t="inlineStr">
        <is>
          <t>K9089319</t>
        </is>
      </c>
      <c r="D181" s="2" t="inlineStr">
        <is>
          <t>om1</t>
        </is>
      </c>
      <c r="E181" s="2" t="inlineStr">
        <is>
          <t>2.0mm</t>
        </is>
      </c>
      <c r="F181" s="2" t="n">
        <v>2</v>
      </c>
      <c r="G181" s="2" t="n">
        <v>3</v>
      </c>
      <c r="H181" s="2" t="inlineStr">
        <is>
          <t>SC/PC</t>
        </is>
      </c>
      <c r="I181" s="2" t="inlineStr">
        <is>
          <t>LC/PC</t>
        </is>
      </c>
      <c r="J181" s="2" t="n"/>
      <c r="K181" s="2" t="n">
        <v>4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>
        <f>SUM(J181:U181)*G181</f>
        <v/>
      </c>
      <c r="W181" s="2">
        <f>MAX(J181:U181)</f>
        <v/>
      </c>
      <c r="X181" s="2">
        <f>W181*G181</f>
        <v/>
      </c>
    </row>
    <row r="182">
      <c r="A182" s="2" t="inlineStr">
        <is>
          <t>14-K-168</t>
        </is>
      </c>
      <c r="B182" s="3" t="inlineStr">
        <is>
          <t>OJC-A1-SC/LC-MM-7-PC/PC-DP</t>
        </is>
      </c>
      <c r="C182" s="2" t="inlineStr"/>
      <c r="D182" s="2" t="inlineStr">
        <is>
          <t>om1</t>
        </is>
      </c>
      <c r="E182" s="2" t="inlineStr">
        <is>
          <t>2.0mm</t>
        </is>
      </c>
      <c r="F182" s="2" t="n">
        <v>2</v>
      </c>
      <c r="G182" s="2" t="n">
        <v>7</v>
      </c>
      <c r="H182" s="2" t="inlineStr">
        <is>
          <t>SC/PC</t>
        </is>
      </c>
      <c r="I182" s="2" t="inlineStr">
        <is>
          <t>LC/PC</t>
        </is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>
        <v>4</v>
      </c>
      <c r="T182" s="2" t="n"/>
      <c r="U182" s="2" t="n"/>
      <c r="V182" s="2">
        <f>SUM(J182:U182)*G182</f>
        <v/>
      </c>
      <c r="W182" s="2">
        <f>MAX(J182:U182)</f>
        <v/>
      </c>
      <c r="X182" s="2">
        <f>W182*G182</f>
        <v/>
      </c>
    </row>
    <row r="183">
      <c r="A183" s="2" t="inlineStr">
        <is>
          <t>14-K-173</t>
        </is>
      </c>
      <c r="B183" s="3" t="inlineStr">
        <is>
          <t>OJC-A1-SC/LC-SM-10-APC/PC-SP</t>
        </is>
      </c>
      <c r="C183" s="2" t="inlineStr"/>
      <c r="D183" s="2" t="inlineStr">
        <is>
          <t>a1</t>
        </is>
      </c>
      <c r="E183" s="2" t="inlineStr">
        <is>
          <t>2.0mm</t>
        </is>
      </c>
      <c r="F183" s="2" t="n">
        <v>1</v>
      </c>
      <c r="G183" s="2" t="n">
        <v>10</v>
      </c>
      <c r="H183" s="2" t="inlineStr">
        <is>
          <t>SC/APC</t>
        </is>
      </c>
      <c r="I183" s="2" t="inlineStr">
        <is>
          <t>LC/PC</t>
        </is>
      </c>
      <c r="J183" s="2" t="n"/>
      <c r="K183" s="2" t="n"/>
      <c r="L183" s="2" t="n"/>
      <c r="M183" s="2" t="n"/>
      <c r="N183" s="2" t="n">
        <v>6</v>
      </c>
      <c r="O183" s="2" t="n"/>
      <c r="P183" s="2" t="n"/>
      <c r="Q183" s="2" t="n"/>
      <c r="R183" s="2" t="n"/>
      <c r="S183" s="2" t="n"/>
      <c r="T183" s="2" t="n"/>
      <c r="U183" s="2" t="n"/>
      <c r="V183" s="2">
        <f>SUM(J183:U183)*G183</f>
        <v/>
      </c>
      <c r="W183" s="2">
        <f>MAX(J183:U183)</f>
        <v/>
      </c>
      <c r="X183" s="2">
        <f>W183*G183</f>
        <v/>
      </c>
    </row>
    <row r="184">
      <c r="A184" s="2" t="inlineStr">
        <is>
          <t>14-K-176</t>
        </is>
      </c>
      <c r="B184" s="3" t="inlineStr">
        <is>
          <t>OJC-A1-SC/LC-SM-10-PC/PC-DP</t>
        </is>
      </c>
      <c r="C184" s="2" t="inlineStr">
        <is>
          <t>K9089162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10</v>
      </c>
      <c r="H184" s="2" t="inlineStr">
        <is>
          <t>SC/PC</t>
        </is>
      </c>
      <c r="I184" s="2" t="inlineStr">
        <is>
          <t>LC/PC</t>
        </is>
      </c>
      <c r="J184" s="2" t="n">
        <v>300</v>
      </c>
      <c r="K184" s="2" t="n"/>
      <c r="L184" s="2" t="n">
        <v>300</v>
      </c>
      <c r="M184" s="2" t="n"/>
      <c r="N184" s="2" t="n">
        <v>200</v>
      </c>
      <c r="O184" s="2" t="n"/>
      <c r="P184" s="2" t="n"/>
      <c r="Q184" s="2" t="n"/>
      <c r="R184" s="2" t="n"/>
      <c r="S184" s="2" t="n"/>
      <c r="T184" s="2" t="n"/>
      <c r="U184" s="2" t="n"/>
      <c r="V184" s="2">
        <f>SUM(J184:U184)*G184</f>
        <v/>
      </c>
      <c r="W184" s="2">
        <f>MAX(J184:U184)</f>
        <v/>
      </c>
      <c r="X184" s="2">
        <f>W184*G184</f>
        <v/>
      </c>
    </row>
    <row r="185">
      <c r="A185" s="2" t="inlineStr">
        <is>
          <t>14-K-177</t>
        </is>
      </c>
      <c r="B185" s="3" t="inlineStr">
        <is>
          <t>OJC-A1-SC/LC-SM-10-PC/PC-SP</t>
        </is>
      </c>
      <c r="C185" s="2" t="inlineStr">
        <is>
          <t>K9089033</t>
        </is>
      </c>
      <c r="D185" s="2" t="inlineStr">
        <is>
          <t>a1</t>
        </is>
      </c>
      <c r="E185" s="2" t="inlineStr">
        <is>
          <t>2.0mm</t>
        </is>
      </c>
      <c r="F185" s="2" t="n">
        <v>1</v>
      </c>
      <c r="G185" s="2" t="n">
        <v>10</v>
      </c>
      <c r="H185" s="2" t="inlineStr">
        <is>
          <t>SC/PC</t>
        </is>
      </c>
      <c r="I185" s="2" t="inlineStr">
        <is>
          <t>LC/PC</t>
        </is>
      </c>
      <c r="J185" s="2" t="n"/>
      <c r="K185" s="2" t="n"/>
      <c r="L185" s="2" t="n"/>
      <c r="M185" s="2" t="n"/>
      <c r="N185" s="2" t="n"/>
      <c r="O185" s="2" t="n">
        <v>150</v>
      </c>
      <c r="P185" s="2" t="n">
        <v>84</v>
      </c>
      <c r="Q185" s="2" t="n">
        <v>190</v>
      </c>
      <c r="R185" s="2" t="n">
        <v>128</v>
      </c>
      <c r="S185" s="2" t="n"/>
      <c r="T185" s="2" t="n"/>
      <c r="U185" s="2" t="n"/>
      <c r="V185" s="2">
        <f>SUM(J185:U185)*G185</f>
        <v/>
      </c>
      <c r="W185" s="2">
        <f>MAX(J185:U185)</f>
        <v/>
      </c>
      <c r="X185" s="2">
        <f>W185*G185</f>
        <v/>
      </c>
    </row>
    <row r="186">
      <c r="A186" s="2" t="inlineStr">
        <is>
          <t>14-K-179</t>
        </is>
      </c>
      <c r="B186" s="3" t="inlineStr">
        <is>
          <t>OJC-A1-SC/LC-SM-12-PC/PC-DP</t>
        </is>
      </c>
      <c r="C186" s="2" t="inlineStr"/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12</v>
      </c>
      <c r="H186" s="2" t="inlineStr">
        <is>
          <t>SC/PC</t>
        </is>
      </c>
      <c r="I186" s="2" t="inlineStr">
        <is>
          <t>LC/PC</t>
        </is>
      </c>
      <c r="J186" s="2" t="n"/>
      <c r="K186" s="2" t="n"/>
      <c r="L186" s="2" t="n"/>
      <c r="M186" s="2" t="n"/>
      <c r="N186" s="2" t="n">
        <v>6</v>
      </c>
      <c r="O186" s="2" t="n"/>
      <c r="P186" s="2" t="n"/>
      <c r="Q186" s="2" t="n"/>
      <c r="R186" s="2" t="n"/>
      <c r="S186" s="2" t="n"/>
      <c r="T186" s="2" t="n"/>
      <c r="U186" s="2" t="n"/>
      <c r="V186" s="2">
        <f>SUM(J186:U186)*G186</f>
        <v/>
      </c>
      <c r="W186" s="2">
        <f>MAX(J186:U186)</f>
        <v/>
      </c>
      <c r="X186" s="2">
        <f>W186*G186</f>
        <v/>
      </c>
    </row>
    <row r="187">
      <c r="A187" s="2" t="inlineStr">
        <is>
          <t>14-K-180</t>
        </is>
      </c>
      <c r="B187" s="3" t="inlineStr">
        <is>
          <t>OJC-A1-SC/LC-SM-12-PC/PC-SP</t>
        </is>
      </c>
      <c r="C187" s="2" t="inlineStr"/>
      <c r="D187" s="2" t="inlineStr">
        <is>
          <t>a1</t>
        </is>
      </c>
      <c r="E187" s="2" t="inlineStr">
        <is>
          <t>2.0mm</t>
        </is>
      </c>
      <c r="F187" s="2" t="n">
        <v>1</v>
      </c>
      <c r="G187" s="2" t="n">
        <v>12</v>
      </c>
      <c r="H187" s="2" t="inlineStr">
        <is>
          <t>SC/PC</t>
        </is>
      </c>
      <c r="I187" s="2" t="inlineStr">
        <is>
          <t>LC/PC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>
        <v>25</v>
      </c>
      <c r="T187" s="2" t="n"/>
      <c r="U187" s="2" t="n"/>
      <c r="V187" s="2">
        <f>SUM(J187:U187)*G187</f>
        <v/>
      </c>
      <c r="W187" s="2">
        <f>MAX(J187:U187)</f>
        <v/>
      </c>
      <c r="X187" s="2">
        <f>W187*G187</f>
        <v/>
      </c>
    </row>
    <row r="188">
      <c r="A188" s="2" t="inlineStr">
        <is>
          <t>14-K-186</t>
        </is>
      </c>
      <c r="B188" s="3" t="inlineStr">
        <is>
          <t>OJC-A1-SC/LC-SM-15-APC/PC-DP</t>
        </is>
      </c>
      <c r="C188" s="2" t="inlineStr"/>
      <c r="D188" s="2" t="inlineStr">
        <is>
          <t>a1</t>
        </is>
      </c>
      <c r="E188" s="2" t="inlineStr">
        <is>
          <t>2.0mm</t>
        </is>
      </c>
      <c r="F188" s="2" t="n">
        <v>2</v>
      </c>
      <c r="G188" s="2" t="n">
        <v>15</v>
      </c>
      <c r="H188" s="2" t="inlineStr">
        <is>
          <t>SC/APC</t>
        </is>
      </c>
      <c r="I188" s="2" t="inlineStr">
        <is>
          <t>LC/PC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>
        <v>100</v>
      </c>
      <c r="T188" s="2" t="n"/>
      <c r="U188" s="2" t="n"/>
      <c r="V188" s="2">
        <f>SUM(J188:U188)*G188</f>
        <v/>
      </c>
      <c r="W188" s="2">
        <f>MAX(J188:U188)</f>
        <v/>
      </c>
      <c r="X188" s="2">
        <f>W188*G188</f>
        <v/>
      </c>
    </row>
    <row r="189">
      <c r="A189" s="2" t="inlineStr">
        <is>
          <t>14-K-188</t>
        </is>
      </c>
      <c r="B189" s="3" t="inlineStr">
        <is>
          <t>OJC-A1-SC/LC-SM-15-PC/PC-DP</t>
        </is>
      </c>
      <c r="C189" s="2" t="inlineStr">
        <is>
          <t>K9089163</t>
        </is>
      </c>
      <c r="D189" s="2" t="inlineStr">
        <is>
          <t>a1</t>
        </is>
      </c>
      <c r="E189" s="2" t="inlineStr">
        <is>
          <t>2.0mm</t>
        </is>
      </c>
      <c r="F189" s="2" t="n">
        <v>2</v>
      </c>
      <c r="G189" s="2" t="n">
        <v>15</v>
      </c>
      <c r="H189" s="2" t="inlineStr">
        <is>
          <t>SC/PC</t>
        </is>
      </c>
      <c r="I189" s="2" t="inlineStr">
        <is>
          <t>LC/PC</t>
        </is>
      </c>
      <c r="J189" s="2" t="n"/>
      <c r="K189" s="2" t="n">
        <v>300</v>
      </c>
      <c r="L189" s="2" t="n"/>
      <c r="M189" s="2" t="n"/>
      <c r="N189" s="2" t="n"/>
      <c r="O189" s="2" t="n">
        <v>100</v>
      </c>
      <c r="P189" s="2" t="n"/>
      <c r="Q189" s="2" t="n"/>
      <c r="R189" s="2" t="n"/>
      <c r="S189" s="2" t="n"/>
      <c r="T189" s="2" t="n"/>
      <c r="U189" s="2" t="n"/>
      <c r="V189" s="2">
        <f>SUM(J189:U189)*G189</f>
        <v/>
      </c>
      <c r="W189" s="2">
        <f>MAX(J189:U189)</f>
        <v/>
      </c>
      <c r="X189" s="2">
        <f>W189*G189</f>
        <v/>
      </c>
    </row>
    <row r="190">
      <c r="A190" s="2" t="inlineStr">
        <is>
          <t>14-K-189</t>
        </is>
      </c>
      <c r="B190" s="3" t="inlineStr">
        <is>
          <t>OJC-A1-SC/LC-SM-15-PC/PC-SP</t>
        </is>
      </c>
      <c r="C190" s="2" t="inlineStr">
        <is>
          <t>K9089034</t>
        </is>
      </c>
      <c r="D190" s="2" t="inlineStr">
        <is>
          <t>a1</t>
        </is>
      </c>
      <c r="E190" s="2" t="inlineStr">
        <is>
          <t>2.0mm</t>
        </is>
      </c>
      <c r="F190" s="2" t="n">
        <v>1</v>
      </c>
      <c r="G190" s="2" t="n">
        <v>15</v>
      </c>
      <c r="H190" s="2" t="inlineStr">
        <is>
          <t>SC/PC</t>
        </is>
      </c>
      <c r="I190" s="2" t="inlineStr">
        <is>
          <t>LC/PC</t>
        </is>
      </c>
      <c r="J190" s="2" t="n"/>
      <c r="K190" s="2" t="n"/>
      <c r="L190" s="2" t="n"/>
      <c r="M190" s="2" t="n"/>
      <c r="N190" s="2" t="n">
        <v>310</v>
      </c>
      <c r="O190" s="2" t="n">
        <v>100</v>
      </c>
      <c r="P190" s="2" t="n">
        <v>275</v>
      </c>
      <c r="Q190" s="2" t="n"/>
      <c r="R190" s="2" t="n">
        <v>376</v>
      </c>
      <c r="S190" s="2" t="n">
        <v>70</v>
      </c>
      <c r="T190" s="2" t="n">
        <v>53</v>
      </c>
      <c r="U190" s="2" t="n">
        <v>83</v>
      </c>
      <c r="V190" s="2">
        <f>SUM(J190:U190)*G190</f>
        <v/>
      </c>
      <c r="W190" s="2">
        <f>MAX(J190:U190)</f>
        <v/>
      </c>
      <c r="X190" s="2">
        <f>W190*G190</f>
        <v/>
      </c>
    </row>
    <row r="191">
      <c r="A191" s="2" t="inlineStr">
        <is>
          <t>14-K-198</t>
        </is>
      </c>
      <c r="B191" s="3" t="inlineStr">
        <is>
          <t>OJC-A1-SC/LC-SM-1-PC/PC-DP</t>
        </is>
      </c>
      <c r="C191" s="2" t="inlineStr">
        <is>
          <t>K9089157</t>
        </is>
      </c>
      <c r="D191" s="2" t="inlineStr">
        <is>
          <t>a1</t>
        </is>
      </c>
      <c r="E191" s="2" t="inlineStr">
        <is>
          <t>2.0mm</t>
        </is>
      </c>
      <c r="F191" s="2" t="n">
        <v>2</v>
      </c>
      <c r="G191" s="2" t="n">
        <v>1</v>
      </c>
      <c r="H191" s="2" t="inlineStr">
        <is>
          <t>SC/PC</t>
        </is>
      </c>
      <c r="I191" s="2" t="inlineStr">
        <is>
          <t>LC/PC</t>
        </is>
      </c>
      <c r="J191" s="2" t="n"/>
      <c r="K191" s="2" t="n"/>
      <c r="L191" s="2" t="n"/>
      <c r="M191" s="2" t="n"/>
      <c r="N191" s="2" t="n"/>
      <c r="O191" s="2" t="n"/>
      <c r="P191" s="2" t="n">
        <v>200</v>
      </c>
      <c r="Q191" s="2" t="n"/>
      <c r="R191" s="2" t="n"/>
      <c r="S191" s="2" t="n">
        <v>23</v>
      </c>
      <c r="T191" s="2" t="n">
        <v>36</v>
      </c>
      <c r="U191" s="2" t="n">
        <v>100</v>
      </c>
      <c r="V191" s="2">
        <f>SUM(J191:U191)*G191</f>
        <v/>
      </c>
      <c r="W191" s="2">
        <f>MAX(J191:U191)</f>
        <v/>
      </c>
      <c r="X191" s="2">
        <f>W191*G191</f>
        <v/>
      </c>
    </row>
    <row r="192">
      <c r="A192" s="2" t="inlineStr">
        <is>
          <t>14-K-199</t>
        </is>
      </c>
      <c r="B192" s="3" t="inlineStr">
        <is>
          <t>OJC-A1-SC/LC-SM-1-PC/PC-SP</t>
        </is>
      </c>
      <c r="C192" s="2" t="inlineStr">
        <is>
          <t>K9089028</t>
        </is>
      </c>
      <c r="D192" s="2" t="inlineStr">
        <is>
          <t>a1</t>
        </is>
      </c>
      <c r="E192" s="2" t="inlineStr">
        <is>
          <t>2.0mm</t>
        </is>
      </c>
      <c r="F192" s="2" t="n">
        <v>1</v>
      </c>
      <c r="G192" s="2" t="n">
        <v>1</v>
      </c>
      <c r="H192" s="2" t="inlineStr">
        <is>
          <t>SC/PC</t>
        </is>
      </c>
      <c r="I192" s="2" t="inlineStr">
        <is>
          <t>LC/PC</t>
        </is>
      </c>
      <c r="J192" s="2" t="n">
        <v>700</v>
      </c>
      <c r="K192" s="2" t="n"/>
      <c r="L192" s="2" t="n"/>
      <c r="M192" s="2" t="n">
        <v>695</v>
      </c>
      <c r="N192" s="2" t="n">
        <v>50</v>
      </c>
      <c r="O192" s="2" t="n"/>
      <c r="P192" s="2" t="n"/>
      <c r="Q192" s="2" t="n"/>
      <c r="R192" s="2" t="n">
        <v>764</v>
      </c>
      <c r="S192" s="2" t="n">
        <v>19</v>
      </c>
      <c r="T192" s="2" t="n">
        <v>430</v>
      </c>
      <c r="U192" s="2" t="n">
        <v>805</v>
      </c>
      <c r="V192" s="2">
        <f>SUM(J192:U192)*G192</f>
        <v/>
      </c>
      <c r="W192" s="2">
        <f>MAX(J192:U192)</f>
        <v/>
      </c>
      <c r="X192" s="2">
        <f>W192*G192</f>
        <v/>
      </c>
    </row>
    <row r="193">
      <c r="A193" s="2" t="inlineStr">
        <is>
          <t>14-K-204</t>
        </is>
      </c>
      <c r="B193" s="3" t="inlineStr">
        <is>
          <t>OJC-A1-SC/LC-SM-20-PC/PC-DP</t>
        </is>
      </c>
      <c r="C193" s="2" t="inlineStr">
        <is>
          <t>K9089164</t>
        </is>
      </c>
      <c r="D193" s="2" t="inlineStr">
        <is>
          <t>a1</t>
        </is>
      </c>
      <c r="E193" s="2" t="inlineStr">
        <is>
          <t>2.0mm</t>
        </is>
      </c>
      <c r="F193" s="2" t="n">
        <v>2</v>
      </c>
      <c r="G193" s="2" t="n">
        <v>20</v>
      </c>
      <c r="H193" s="2" t="inlineStr">
        <is>
          <t>SC/PC</t>
        </is>
      </c>
      <c r="I193" s="2" t="inlineStr">
        <is>
          <t>LC/PC</t>
        </is>
      </c>
      <c r="J193" s="2" t="n"/>
      <c r="K193" s="2" t="n"/>
      <c r="L193" s="2" t="n">
        <v>200</v>
      </c>
      <c r="M193" s="2" t="n"/>
      <c r="N193" s="2" t="n">
        <v>144</v>
      </c>
      <c r="O193" s="2" t="n">
        <v>100</v>
      </c>
      <c r="P193" s="2" t="n"/>
      <c r="Q193" s="2" t="n"/>
      <c r="R193" s="2" t="n">
        <v>80</v>
      </c>
      <c r="S193" s="2" t="n">
        <v>60</v>
      </c>
      <c r="T193" s="2" t="n">
        <v>6</v>
      </c>
      <c r="U193" s="2" t="n">
        <v>362</v>
      </c>
      <c r="V193" s="2">
        <f>SUM(J193:U193)*G193</f>
        <v/>
      </c>
      <c r="W193" s="2">
        <f>MAX(J193:U193)</f>
        <v/>
      </c>
      <c r="X193" s="2">
        <f>W193*G193</f>
        <v/>
      </c>
    </row>
    <row r="194">
      <c r="A194" s="2" t="inlineStr">
        <is>
          <t>14-K-205</t>
        </is>
      </c>
      <c r="B194" s="3" t="inlineStr">
        <is>
          <t>OJC-A1-SC/LC-SM-20-PC/PC-SP</t>
        </is>
      </c>
      <c r="C194" s="2" t="inlineStr">
        <is>
          <t>K9089035</t>
        </is>
      </c>
      <c r="D194" s="2" t="inlineStr">
        <is>
          <t>a1</t>
        </is>
      </c>
      <c r="E194" s="2" t="inlineStr">
        <is>
          <t>2.0mm</t>
        </is>
      </c>
      <c r="F194" s="2" t="n">
        <v>1</v>
      </c>
      <c r="G194" s="2" t="n">
        <v>20</v>
      </c>
      <c r="H194" s="2" t="inlineStr">
        <is>
          <t>SC/PC</t>
        </is>
      </c>
      <c r="I194" s="2" t="inlineStr">
        <is>
          <t>LC/PC</t>
        </is>
      </c>
      <c r="J194" s="2" t="n"/>
      <c r="K194" s="2" t="n"/>
      <c r="L194" s="2" t="n">
        <v>200</v>
      </c>
      <c r="M194" s="2" t="n"/>
      <c r="N194" s="2" t="n">
        <v>230</v>
      </c>
      <c r="O194" s="2" t="n"/>
      <c r="P194" s="2" t="n">
        <v>24</v>
      </c>
      <c r="Q194" s="2" t="n"/>
      <c r="R194" s="2" t="n">
        <v>81</v>
      </c>
      <c r="S194" s="2" t="n">
        <v>80</v>
      </c>
      <c r="T194" s="2" t="n">
        <v>50</v>
      </c>
      <c r="U194" s="2" t="n"/>
      <c r="V194" s="2">
        <f>SUM(J194:U194)*G194</f>
        <v/>
      </c>
      <c r="W194" s="2">
        <f>MAX(J194:U194)</f>
        <v/>
      </c>
      <c r="X194" s="2">
        <f>W194*G194</f>
        <v/>
      </c>
    </row>
    <row r="195">
      <c r="A195" s="2" t="inlineStr">
        <is>
          <t>14-K-209</t>
        </is>
      </c>
      <c r="B195" s="3" t="inlineStr">
        <is>
          <t>OJC-A1-SC/LC-SM-25-PC/PC-DP</t>
        </is>
      </c>
      <c r="C195" s="2" t="inlineStr">
        <is>
          <t>K9089165</t>
        </is>
      </c>
      <c r="D195" s="2" t="inlineStr">
        <is>
          <t>a1</t>
        </is>
      </c>
      <c r="E195" s="2" t="inlineStr">
        <is>
          <t>2.0mm</t>
        </is>
      </c>
      <c r="F195" s="2" t="n">
        <v>2</v>
      </c>
      <c r="G195" s="2" t="n">
        <v>25</v>
      </c>
      <c r="H195" s="2" t="inlineStr">
        <is>
          <t>SC/PC</t>
        </is>
      </c>
      <c r="I195" s="2" t="inlineStr">
        <is>
          <t>LC/PC</t>
        </is>
      </c>
      <c r="J195" s="2" t="n">
        <v>12</v>
      </c>
      <c r="K195" s="2" t="n">
        <v>13</v>
      </c>
      <c r="L195" s="2" t="n">
        <v>250</v>
      </c>
      <c r="M195" s="2" t="n"/>
      <c r="N195" s="2" t="n">
        <v>160</v>
      </c>
      <c r="O195" s="2" t="n">
        <v>100</v>
      </c>
      <c r="P195" s="2" t="n"/>
      <c r="Q195" s="2" t="n"/>
      <c r="R195" s="2" t="n">
        <v>219</v>
      </c>
      <c r="S195" s="2" t="n">
        <v>22</v>
      </c>
      <c r="T195" s="2" t="n"/>
      <c r="U195" s="2" t="n"/>
      <c r="V195" s="2">
        <f>SUM(J195:U195)*G195</f>
        <v/>
      </c>
      <c r="W195" s="2">
        <f>MAX(J195:U195)</f>
        <v/>
      </c>
      <c r="X195" s="2">
        <f>W195*G195</f>
        <v/>
      </c>
    </row>
    <row r="196">
      <c r="A196" s="2" t="inlineStr">
        <is>
          <t>14-K-210</t>
        </is>
      </c>
      <c r="B196" s="3" t="inlineStr">
        <is>
          <t>OJC-A1-SC/LC-SM-25-PC/PC-SP</t>
        </is>
      </c>
      <c r="C196" s="2" t="inlineStr">
        <is>
          <t>K9089036</t>
        </is>
      </c>
      <c r="D196" s="2" t="inlineStr">
        <is>
          <t>a1</t>
        </is>
      </c>
      <c r="E196" s="2" t="inlineStr">
        <is>
          <t>2.0mm</t>
        </is>
      </c>
      <c r="F196" s="2" t="n">
        <v>1</v>
      </c>
      <c r="G196" s="2" t="n">
        <v>25</v>
      </c>
      <c r="H196" s="2" t="inlineStr">
        <is>
          <t>SC/PC</t>
        </is>
      </c>
      <c r="I196" s="2" t="inlineStr">
        <is>
          <t>LC/PC</t>
        </is>
      </c>
      <c r="J196" s="2" t="n"/>
      <c r="K196" s="2" t="n"/>
      <c r="L196" s="2" t="n"/>
      <c r="M196" s="2" t="n"/>
      <c r="N196" s="2" t="n">
        <v>20</v>
      </c>
      <c r="O196" s="2" t="n"/>
      <c r="P196" s="2" t="n"/>
      <c r="Q196" s="2" t="n"/>
      <c r="R196" s="2" t="n"/>
      <c r="S196" s="2" t="n"/>
      <c r="T196" s="2" t="n"/>
      <c r="U196" s="2" t="n"/>
      <c r="V196" s="2">
        <f>SUM(J196:U196)*G196</f>
        <v/>
      </c>
      <c r="W196" s="2">
        <f>MAX(J196:U196)</f>
        <v/>
      </c>
      <c r="X196" s="2">
        <f>W196*G196</f>
        <v/>
      </c>
    </row>
    <row r="197">
      <c r="A197" s="2" t="inlineStr">
        <is>
          <t>14-K-211</t>
        </is>
      </c>
      <c r="B197" s="3" t="inlineStr">
        <is>
          <t>OJC-A1-SC/LC-SM-28-PC/PC-DP</t>
        </is>
      </c>
      <c r="C197" s="2" t="inlineStr"/>
      <c r="D197" s="2" t="inlineStr">
        <is>
          <t>a1</t>
        </is>
      </c>
      <c r="E197" s="2" t="inlineStr">
        <is>
          <t>2.0mm</t>
        </is>
      </c>
      <c r="F197" s="2" t="n">
        <v>2</v>
      </c>
      <c r="G197" s="2" t="n">
        <v>28</v>
      </c>
      <c r="H197" s="2" t="inlineStr">
        <is>
          <t>SC/PC</t>
        </is>
      </c>
      <c r="I197" s="2" t="inlineStr">
        <is>
          <t>LC/PC</t>
        </is>
      </c>
      <c r="J197" s="2" t="n"/>
      <c r="K197" s="2" t="n"/>
      <c r="L197" s="2" t="n"/>
      <c r="M197" s="2" t="n"/>
      <c r="N197" s="2" t="n">
        <v>12</v>
      </c>
      <c r="O197" s="2" t="n"/>
      <c r="P197" s="2" t="n"/>
      <c r="Q197" s="2" t="n"/>
      <c r="R197" s="2" t="n"/>
      <c r="S197" s="2" t="n"/>
      <c r="T197" s="2" t="n"/>
      <c r="U197" s="2" t="n"/>
      <c r="V197" s="2">
        <f>SUM(J197:U197)*G197</f>
        <v/>
      </c>
      <c r="W197" s="2">
        <f>MAX(J197:U197)</f>
        <v/>
      </c>
      <c r="X197" s="2">
        <f>W197*G197</f>
        <v/>
      </c>
    </row>
    <row r="198">
      <c r="A198" s="2" t="inlineStr">
        <is>
          <t>14-K-213</t>
        </is>
      </c>
      <c r="B198" s="3" t="inlineStr">
        <is>
          <t>OJC-A1-SC/LC-SM-2-APC/PC-DP</t>
        </is>
      </c>
      <c r="C198" s="2" t="inlineStr"/>
      <c r="D198" s="2" t="inlineStr">
        <is>
          <t>a1</t>
        </is>
      </c>
      <c r="E198" s="2" t="inlineStr">
        <is>
          <t>2.0mm</t>
        </is>
      </c>
      <c r="F198" s="2" t="n">
        <v>2</v>
      </c>
      <c r="G198" s="2" t="n">
        <v>2</v>
      </c>
      <c r="H198" s="2" t="inlineStr">
        <is>
          <t>SC/APC</t>
        </is>
      </c>
      <c r="I198" s="2" t="inlineStr">
        <is>
          <t>LC/PC</t>
        </is>
      </c>
      <c r="J198" s="2" t="n"/>
      <c r="K198" s="2" t="n"/>
      <c r="L198" s="2" t="n"/>
      <c r="M198" s="2" t="n"/>
      <c r="N198" s="2" t="n">
        <v>10</v>
      </c>
      <c r="O198" s="2" t="n"/>
      <c r="P198" s="2" t="n"/>
      <c r="Q198" s="2" t="n"/>
      <c r="R198" s="2" t="n"/>
      <c r="S198" s="2" t="n"/>
      <c r="T198" s="2" t="n"/>
      <c r="U198" s="2" t="n"/>
      <c r="V198" s="2">
        <f>SUM(J198:U198)*G198</f>
        <v/>
      </c>
      <c r="W198" s="2">
        <f>MAX(J198:U198)</f>
        <v/>
      </c>
      <c r="X198" s="2">
        <f>W198*G198</f>
        <v/>
      </c>
    </row>
    <row r="199">
      <c r="A199" s="2" t="inlineStr">
        <is>
          <t>14-K-214</t>
        </is>
      </c>
      <c r="B199" s="3" t="inlineStr">
        <is>
          <t>OJC-A1-SC/LC-SM-2-PC/PC-DP</t>
        </is>
      </c>
      <c r="C199" s="2" t="inlineStr">
        <is>
          <t>K9089158</t>
        </is>
      </c>
      <c r="D199" s="2" t="inlineStr">
        <is>
          <t>a1</t>
        </is>
      </c>
      <c r="E199" s="2" t="inlineStr">
        <is>
          <t>2.0mm</t>
        </is>
      </c>
      <c r="F199" s="2" t="n">
        <v>2</v>
      </c>
      <c r="G199" s="2" t="n">
        <v>2</v>
      </c>
      <c r="H199" s="2" t="inlineStr">
        <is>
          <t>SC/PC</t>
        </is>
      </c>
      <c r="I199" s="2" t="inlineStr">
        <is>
          <t>LC/PC</t>
        </is>
      </c>
      <c r="J199" s="2" t="n"/>
      <c r="K199" s="2" t="n"/>
      <c r="L199" s="2" t="n">
        <v>500</v>
      </c>
      <c r="M199" s="2" t="n"/>
      <c r="N199" s="2" t="n">
        <v>200</v>
      </c>
      <c r="O199" s="2" t="n"/>
      <c r="P199" s="2" t="n"/>
      <c r="Q199" s="2" t="n"/>
      <c r="R199" s="2" t="n"/>
      <c r="S199" s="2" t="n"/>
      <c r="T199" s="2" t="n"/>
      <c r="U199" s="2" t="n"/>
      <c r="V199" s="2">
        <f>SUM(J199:U199)*G199</f>
        <v/>
      </c>
      <c r="W199" s="2">
        <f>MAX(J199:U199)</f>
        <v/>
      </c>
      <c r="X199" s="2">
        <f>W199*G199</f>
        <v/>
      </c>
    </row>
    <row r="200">
      <c r="A200" s="2" t="inlineStr">
        <is>
          <t>14-K-215</t>
        </is>
      </c>
      <c r="B200" s="3" t="inlineStr">
        <is>
          <t>OJC-A1-SC/LC-SM-2-PC/PC-SP</t>
        </is>
      </c>
      <c r="C200" s="2" t="inlineStr">
        <is>
          <t>K9089029</t>
        </is>
      </c>
      <c r="D200" s="2" t="inlineStr">
        <is>
          <t>a1</t>
        </is>
      </c>
      <c r="E200" s="2" t="inlineStr">
        <is>
          <t>2.0mm</t>
        </is>
      </c>
      <c r="F200" s="2" t="n">
        <v>1</v>
      </c>
      <c r="G200" s="2" t="n">
        <v>2</v>
      </c>
      <c r="H200" s="2" t="inlineStr">
        <is>
          <t>SC/PC</t>
        </is>
      </c>
      <c r="I200" s="2" t="inlineStr">
        <is>
          <t>LC/PC</t>
        </is>
      </c>
      <c r="J200" s="2" t="n"/>
      <c r="K200" s="2" t="n"/>
      <c r="L200" s="2" t="n"/>
      <c r="M200" s="2" t="n"/>
      <c r="N200" s="2" t="n">
        <v>210</v>
      </c>
      <c r="O200" s="2" t="n">
        <v>250</v>
      </c>
      <c r="P200" s="2" t="n"/>
      <c r="Q200" s="2" t="n"/>
      <c r="R200" s="2" t="n"/>
      <c r="S200" s="2" t="n"/>
      <c r="T200" s="2" t="n"/>
      <c r="U200" s="2" t="n"/>
      <c r="V200" s="2">
        <f>SUM(J200:U200)*G200</f>
        <v/>
      </c>
      <c r="W200" s="2">
        <f>MAX(J200:U200)</f>
        <v/>
      </c>
      <c r="X200" s="2">
        <f>W200*G200</f>
        <v/>
      </c>
    </row>
    <row r="201">
      <c r="A201" s="2" t="inlineStr">
        <is>
          <t>14-K-217</t>
        </is>
      </c>
      <c r="B201" s="3" t="inlineStr">
        <is>
          <t>OJC-A1-SC/LC-SM-30-PC/PC-DP</t>
        </is>
      </c>
      <c r="C201" s="2" t="inlineStr">
        <is>
          <t>K9089166</t>
        </is>
      </c>
      <c r="D201" s="2" t="inlineStr">
        <is>
          <t>a1</t>
        </is>
      </c>
      <c r="E201" s="2" t="inlineStr">
        <is>
          <t>2.0mm</t>
        </is>
      </c>
      <c r="F201" s="2" t="n">
        <v>2</v>
      </c>
      <c r="G201" s="2" t="n">
        <v>30</v>
      </c>
      <c r="H201" s="2" t="inlineStr">
        <is>
          <t>SC/PC</t>
        </is>
      </c>
      <c r="I201" s="2" t="inlineStr">
        <is>
          <t>LC/PC</t>
        </is>
      </c>
      <c r="J201" s="2" t="n"/>
      <c r="K201" s="2" t="n"/>
      <c r="L201" s="2" t="n"/>
      <c r="M201" s="2" t="n"/>
      <c r="N201" s="2" t="n">
        <v>110</v>
      </c>
      <c r="O201" s="2" t="n"/>
      <c r="P201" s="2" t="n"/>
      <c r="Q201" s="2" t="n"/>
      <c r="R201" s="2" t="n"/>
      <c r="S201" s="2" t="n"/>
      <c r="T201" s="2" t="n"/>
      <c r="U201" s="2" t="n"/>
      <c r="V201" s="2">
        <f>SUM(J201:U201)*G201</f>
        <v/>
      </c>
      <c r="W201" s="2">
        <f>MAX(J201:U201)</f>
        <v/>
      </c>
      <c r="X201" s="2">
        <f>W201*G201</f>
        <v/>
      </c>
    </row>
    <row r="202">
      <c r="A202" s="2" t="inlineStr">
        <is>
          <t>14-K-218</t>
        </is>
      </c>
      <c r="B202" s="3" t="inlineStr">
        <is>
          <t>OJC-A1-SC/LC-SM-30-PC/PC-SP</t>
        </is>
      </c>
      <c r="C202" s="2" t="inlineStr">
        <is>
          <t>K9089037</t>
        </is>
      </c>
      <c r="D202" s="2" t="inlineStr">
        <is>
          <t>a1</t>
        </is>
      </c>
      <c r="E202" s="2" t="inlineStr">
        <is>
          <t>2.0mm</t>
        </is>
      </c>
      <c r="F202" s="2" t="n">
        <v>1</v>
      </c>
      <c r="G202" s="2" t="n">
        <v>30</v>
      </c>
      <c r="H202" s="2" t="inlineStr">
        <is>
          <t>SC/PC</t>
        </is>
      </c>
      <c r="I202" s="2" t="inlineStr">
        <is>
          <t>LC/PC</t>
        </is>
      </c>
      <c r="J202" s="2" t="n"/>
      <c r="K202" s="2" t="n"/>
      <c r="L202" s="2" t="n"/>
      <c r="M202" s="2" t="n">
        <v>50</v>
      </c>
      <c r="N202" s="2" t="n">
        <v>5</v>
      </c>
      <c r="O202" s="2" t="n"/>
      <c r="P202" s="2" t="n"/>
      <c r="Q202" s="2" t="n">
        <v>28</v>
      </c>
      <c r="R202" s="2" t="n">
        <v>50</v>
      </c>
      <c r="S202" s="2" t="n">
        <v>10</v>
      </c>
      <c r="T202" s="2" t="n"/>
      <c r="U202" s="2" t="n">
        <v>74</v>
      </c>
      <c r="V202" s="2">
        <f>SUM(J202:U202)*G202</f>
        <v/>
      </c>
      <c r="W202" s="2">
        <f>MAX(J202:U202)</f>
        <v/>
      </c>
      <c r="X202" s="2">
        <f>W202*G202</f>
        <v/>
      </c>
    </row>
    <row r="203">
      <c r="A203" s="2" t="inlineStr">
        <is>
          <t>14-K-219</t>
        </is>
      </c>
      <c r="B203" s="3" t="inlineStr">
        <is>
          <t>OJC-A1-SC/LC-SM-32-PC/PC-SP</t>
        </is>
      </c>
      <c r="C203" s="2" t="inlineStr"/>
      <c r="D203" s="2" t="inlineStr">
        <is>
          <t>a1</t>
        </is>
      </c>
      <c r="E203" s="2" t="inlineStr">
        <is>
          <t>2.0mm</t>
        </is>
      </c>
      <c r="F203" s="2" t="n">
        <v>1</v>
      </c>
      <c r="G203" s="2" t="n">
        <v>32</v>
      </c>
      <c r="H203" s="2" t="inlineStr">
        <is>
          <t>SC/PC</t>
        </is>
      </c>
      <c r="I203" s="2" t="inlineStr">
        <is>
          <t>LC/PC</t>
        </is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>
        <v>5</v>
      </c>
      <c r="V203" s="2">
        <f>SUM(J203:U203)*G203</f>
        <v/>
      </c>
      <c r="W203" s="2">
        <f>MAX(J203:U203)</f>
        <v/>
      </c>
      <c r="X203" s="2">
        <f>W203*G203</f>
        <v/>
      </c>
    </row>
    <row r="204">
      <c r="A204" s="2" t="inlineStr">
        <is>
          <t>14-K-220</t>
        </is>
      </c>
      <c r="B204" s="3" t="inlineStr">
        <is>
          <t>OJC-A1-SC/LC-SM-35-PC/PC-DP</t>
        </is>
      </c>
      <c r="C204" s="2" t="inlineStr">
        <is>
          <t>K9089167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35</v>
      </c>
      <c r="H204" s="2" t="inlineStr">
        <is>
          <t>SC/PC</t>
        </is>
      </c>
      <c r="I204" s="2" t="inlineStr">
        <is>
          <t>LC/PC</t>
        </is>
      </c>
      <c r="J204" s="2" t="n"/>
      <c r="K204" s="2" t="n"/>
      <c r="L204" s="2" t="n"/>
      <c r="M204" s="2" t="n"/>
      <c r="N204" s="2" t="n">
        <v>100</v>
      </c>
      <c r="O204" s="2" t="n"/>
      <c r="P204" s="2" t="n"/>
      <c r="Q204" s="2" t="n">
        <v>9</v>
      </c>
      <c r="R204" s="2" t="n">
        <v>95</v>
      </c>
      <c r="S204" s="2" t="n">
        <v>10</v>
      </c>
      <c r="T204" s="2" t="n"/>
      <c r="U204" s="2" t="n"/>
      <c r="V204" s="2">
        <f>SUM(J204:U204)*G204</f>
        <v/>
      </c>
      <c r="W204" s="2">
        <f>MAX(J204:U204)</f>
        <v/>
      </c>
      <c r="X204" s="2">
        <f>W204*G204</f>
        <v/>
      </c>
    </row>
    <row r="205">
      <c r="A205" s="2" t="inlineStr">
        <is>
          <t>14-K-221</t>
        </is>
      </c>
      <c r="B205" s="3" t="inlineStr">
        <is>
          <t>OJC-A1-SC/LC-SM-35-PC/PC-SP</t>
        </is>
      </c>
      <c r="C205" s="2" t="inlineStr">
        <is>
          <t>K9089038</t>
        </is>
      </c>
      <c r="D205" s="2" t="inlineStr">
        <is>
          <t>a1</t>
        </is>
      </c>
      <c r="E205" s="2" t="inlineStr">
        <is>
          <t>2.0mm</t>
        </is>
      </c>
      <c r="F205" s="2" t="n">
        <v>1</v>
      </c>
      <c r="G205" s="2" t="n">
        <v>35</v>
      </c>
      <c r="H205" s="2" t="inlineStr">
        <is>
          <t>SC/PC</t>
        </is>
      </c>
      <c r="I205" s="2" t="inlineStr">
        <is>
          <t>LC/PC</t>
        </is>
      </c>
      <c r="J205" s="2" t="n"/>
      <c r="K205" s="2" t="n"/>
      <c r="L205" s="2" t="n"/>
      <c r="M205" s="2" t="n"/>
      <c r="N205" s="2" t="n"/>
      <c r="O205" s="2" t="n"/>
      <c r="P205" s="2" t="n"/>
      <c r="Q205" s="2" t="n">
        <v>5</v>
      </c>
      <c r="R205" s="2" t="n"/>
      <c r="S205" s="2" t="n">
        <v>10</v>
      </c>
      <c r="T205" s="2" t="n">
        <v>7</v>
      </c>
      <c r="U205" s="2" t="n">
        <v>55</v>
      </c>
      <c r="V205" s="2">
        <f>SUM(J205:U205)*G205</f>
        <v/>
      </c>
      <c r="W205" s="2">
        <f>MAX(J205:U205)</f>
        <v/>
      </c>
      <c r="X205" s="2">
        <f>W205*G205</f>
        <v/>
      </c>
    </row>
    <row r="206">
      <c r="A206" s="2" t="inlineStr">
        <is>
          <t>14-K-222</t>
        </is>
      </c>
      <c r="B206" s="3" t="inlineStr">
        <is>
          <t>OJC-A1-SC/LC-SM-3-APC/PC-DP</t>
        </is>
      </c>
      <c r="C206" s="2" t="inlineStr"/>
      <c r="D206" s="2" t="inlineStr">
        <is>
          <t>a1</t>
        </is>
      </c>
      <c r="E206" s="2" t="inlineStr">
        <is>
          <t>2.0mm</t>
        </is>
      </c>
      <c r="F206" s="2" t="n">
        <v>2</v>
      </c>
      <c r="G206" s="2" t="n">
        <v>3</v>
      </c>
      <c r="H206" s="2" t="inlineStr">
        <is>
          <t>SC/APC</t>
        </is>
      </c>
      <c r="I206" s="2" t="inlineStr">
        <is>
          <t>LC/PC</t>
        </is>
      </c>
      <c r="J206" s="2" t="n"/>
      <c r="K206" s="2" t="n">
        <v>80</v>
      </c>
      <c r="L206" s="2" t="n"/>
      <c r="M206" s="2" t="n"/>
      <c r="N206" s="2" t="n">
        <v>40</v>
      </c>
      <c r="O206" s="2" t="n"/>
      <c r="P206" s="2" t="n"/>
      <c r="Q206" s="2" t="n"/>
      <c r="R206" s="2" t="n"/>
      <c r="S206" s="2" t="n"/>
      <c r="T206" s="2" t="n"/>
      <c r="U206" s="2" t="n"/>
      <c r="V206" s="2">
        <f>SUM(J206:U206)*G206</f>
        <v/>
      </c>
      <c r="W206" s="2">
        <f>MAX(J206:U206)</f>
        <v/>
      </c>
      <c r="X206" s="2">
        <f>W206*G206</f>
        <v/>
      </c>
    </row>
    <row r="207">
      <c r="A207" s="2" t="inlineStr">
        <is>
          <t>14-K-225</t>
        </is>
      </c>
      <c r="B207" s="3" t="inlineStr">
        <is>
          <t>OJC-A1-SC/LC-SM-3-PC/PC-DP</t>
        </is>
      </c>
      <c r="C207" s="2" t="inlineStr">
        <is>
          <t>K9089159</t>
        </is>
      </c>
      <c r="D207" s="2" t="inlineStr">
        <is>
          <t>a1</t>
        </is>
      </c>
      <c r="E207" s="2" t="inlineStr">
        <is>
          <t>2.0mm</t>
        </is>
      </c>
      <c r="F207" s="2" t="n">
        <v>2</v>
      </c>
      <c r="G207" s="2" t="n">
        <v>3</v>
      </c>
      <c r="H207" s="2" t="inlineStr">
        <is>
          <t>SC/PC</t>
        </is>
      </c>
      <c r="I207" s="2" t="inlineStr">
        <is>
          <t>LC/PC</t>
        </is>
      </c>
      <c r="J207" s="2" t="n"/>
      <c r="K207" s="2" t="n"/>
      <c r="L207" s="2" t="n"/>
      <c r="M207" s="2" t="n"/>
      <c r="N207" s="2" t="n"/>
      <c r="O207" s="2" t="n"/>
      <c r="P207" s="2" t="n">
        <v>200</v>
      </c>
      <c r="Q207" s="2" t="n"/>
      <c r="R207" s="2" t="n"/>
      <c r="S207" s="2" t="n"/>
      <c r="T207" s="2" t="n"/>
      <c r="U207" s="2" t="n"/>
      <c r="V207" s="2">
        <f>SUM(J207:U207)*G207</f>
        <v/>
      </c>
      <c r="W207" s="2">
        <f>MAX(J207:U207)</f>
        <v/>
      </c>
      <c r="X207" s="2">
        <f>W207*G207</f>
        <v/>
      </c>
    </row>
    <row r="208">
      <c r="A208" s="2" t="inlineStr">
        <is>
          <t>14-K-226</t>
        </is>
      </c>
      <c r="B208" s="3" t="inlineStr">
        <is>
          <t>OJC-A1-SC/LC-SM-3-PC/PC-SP</t>
        </is>
      </c>
      <c r="C208" s="2" t="inlineStr">
        <is>
          <t>K9089030</t>
        </is>
      </c>
      <c r="D208" s="2" t="inlineStr">
        <is>
          <t>a1</t>
        </is>
      </c>
      <c r="E208" s="2" t="inlineStr">
        <is>
          <t>2.0mm</t>
        </is>
      </c>
      <c r="F208" s="2" t="n">
        <v>1</v>
      </c>
      <c r="G208" s="2" t="n">
        <v>3</v>
      </c>
      <c r="H208" s="2" t="inlineStr">
        <is>
          <t>SC/PC</t>
        </is>
      </c>
      <c r="I208" s="2" t="inlineStr">
        <is>
          <t>LC/PC</t>
        </is>
      </c>
      <c r="J208" s="2" t="n"/>
      <c r="K208" s="2" t="n"/>
      <c r="L208" s="2" t="n">
        <v>444</v>
      </c>
      <c r="M208" s="2" t="n"/>
      <c r="N208" s="2" t="n"/>
      <c r="O208" s="2" t="n">
        <v>200</v>
      </c>
      <c r="P208" s="2" t="n"/>
      <c r="Q208" s="2" t="n"/>
      <c r="R208" s="2" t="n"/>
      <c r="S208" s="2" t="n"/>
      <c r="T208" s="2" t="n"/>
      <c r="U208" s="2" t="n">
        <v>15</v>
      </c>
      <c r="V208" s="2">
        <f>SUM(J208:U208)*G208</f>
        <v/>
      </c>
      <c r="W208" s="2">
        <f>MAX(J208:U208)</f>
        <v/>
      </c>
      <c r="X208" s="2">
        <f>W208*G208</f>
        <v/>
      </c>
    </row>
    <row r="209">
      <c r="A209" s="2" t="inlineStr">
        <is>
          <t>14-K-227</t>
        </is>
      </c>
      <c r="B209" s="3" t="inlineStr">
        <is>
          <t>OJC-A1-SC/LC-SM-40-PC/PC-DP</t>
        </is>
      </c>
      <c r="C209" s="2" t="inlineStr">
        <is>
          <t>K9089168</t>
        </is>
      </c>
      <c r="D209" s="2" t="inlineStr">
        <is>
          <t>a1</t>
        </is>
      </c>
      <c r="E209" s="2" t="inlineStr">
        <is>
          <t>2.0mm</t>
        </is>
      </c>
      <c r="F209" s="2" t="n">
        <v>2</v>
      </c>
      <c r="G209" s="2" t="n">
        <v>40</v>
      </c>
      <c r="H209" s="2" t="inlineStr">
        <is>
          <t>SC/PC</t>
        </is>
      </c>
      <c r="I209" s="2" t="inlineStr">
        <is>
          <t>LC/PC</t>
        </is>
      </c>
      <c r="J209" s="2" t="n"/>
      <c r="K209" s="2" t="n"/>
      <c r="L209" s="2" t="n"/>
      <c r="M209" s="2" t="n"/>
      <c r="N209" s="2" t="n"/>
      <c r="O209" s="2" t="n"/>
      <c r="P209" s="2" t="n">
        <v>35</v>
      </c>
      <c r="Q209" s="2" t="n"/>
      <c r="R209" s="2" t="n">
        <v>74</v>
      </c>
      <c r="S209" s="2" t="n">
        <v>40</v>
      </c>
      <c r="T209" s="2" t="n"/>
      <c r="U209" s="2" t="n"/>
      <c r="V209" s="2">
        <f>SUM(J209:U209)*G209</f>
        <v/>
      </c>
      <c r="W209" s="2">
        <f>MAX(J209:U209)</f>
        <v/>
      </c>
      <c r="X209" s="2">
        <f>W209*G209</f>
        <v/>
      </c>
    </row>
    <row r="210">
      <c r="A210" s="2" t="inlineStr">
        <is>
          <t>14-K-228</t>
        </is>
      </c>
      <c r="B210" s="3" t="inlineStr">
        <is>
          <t>OJC-A1-SC/LC-SM-40-PC/PC-SP</t>
        </is>
      </c>
      <c r="C210" s="2" t="inlineStr">
        <is>
          <t>K9089039</t>
        </is>
      </c>
      <c r="D210" s="2" t="inlineStr">
        <is>
          <t>a1</t>
        </is>
      </c>
      <c r="E210" s="2" t="inlineStr">
        <is>
          <t>2.0mm</t>
        </is>
      </c>
      <c r="F210" s="2" t="n">
        <v>1</v>
      </c>
      <c r="G210" s="2" t="n">
        <v>40</v>
      </c>
      <c r="H210" s="2" t="inlineStr">
        <is>
          <t>SC/PC</t>
        </is>
      </c>
      <c r="I210" s="2" t="inlineStr">
        <is>
          <t>LC/PC</t>
        </is>
      </c>
      <c r="J210" s="2" t="n"/>
      <c r="K210" s="2" t="n"/>
      <c r="L210" s="2" t="n">
        <v>34</v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SUM(J210:U210)*G210</f>
        <v/>
      </c>
      <c r="W210" s="2">
        <f>MAX(J210:U210)</f>
        <v/>
      </c>
      <c r="X210" s="2">
        <f>W210*G210</f>
        <v/>
      </c>
    </row>
    <row r="211">
      <c r="A211" s="2" t="inlineStr">
        <is>
          <t>14-K-229</t>
        </is>
      </c>
      <c r="B211" s="3" t="inlineStr">
        <is>
          <t>OJC-A1-SC/LC-SM-45-PC/PC-DP</t>
        </is>
      </c>
      <c r="C211" s="2" t="inlineStr">
        <is>
          <t>K9089169</t>
        </is>
      </c>
      <c r="D211" s="2" t="inlineStr">
        <is>
          <t>a1</t>
        </is>
      </c>
      <c r="E211" s="2" t="inlineStr">
        <is>
          <t>2.0mm</t>
        </is>
      </c>
      <c r="F211" s="2" t="n">
        <v>2</v>
      </c>
      <c r="G211" s="2" t="n">
        <v>45</v>
      </c>
      <c r="H211" s="2" t="inlineStr">
        <is>
          <t>SC/PC</t>
        </is>
      </c>
      <c r="I211" s="2" t="inlineStr">
        <is>
          <t>LC/PC</t>
        </is>
      </c>
      <c r="J211" s="2" t="n"/>
      <c r="K211" s="2" t="n"/>
      <c r="L211" s="2" t="n"/>
      <c r="M211" s="2" t="n"/>
      <c r="N211" s="2" t="n"/>
      <c r="O211" s="2" t="n"/>
      <c r="P211" s="2" t="n"/>
      <c r="Q211" s="2" t="n">
        <v>10</v>
      </c>
      <c r="R211" s="2" t="n">
        <v>30</v>
      </c>
      <c r="S211" s="2" t="n">
        <v>20</v>
      </c>
      <c r="T211" s="2" t="n"/>
      <c r="U211" s="2" t="n">
        <v>20</v>
      </c>
      <c r="V211" s="2">
        <f>SUM(J211:U211)*G211</f>
        <v/>
      </c>
      <c r="W211" s="2">
        <f>MAX(J211:U211)</f>
        <v/>
      </c>
      <c r="X211" s="2">
        <f>W211*G211</f>
        <v/>
      </c>
    </row>
    <row r="212">
      <c r="A212" s="2" t="inlineStr">
        <is>
          <t>14-K-230</t>
        </is>
      </c>
      <c r="B212" s="3" t="inlineStr">
        <is>
          <t>OJC-A1-SC/LC-SM-45-PC/PC-SP</t>
        </is>
      </c>
      <c r="C212" s="2" t="inlineStr">
        <is>
          <t>K9089040</t>
        </is>
      </c>
      <c r="D212" s="2" t="inlineStr">
        <is>
          <t>a1</t>
        </is>
      </c>
      <c r="E212" s="2" t="inlineStr">
        <is>
          <t>2.0mm</t>
        </is>
      </c>
      <c r="F212" s="2" t="n">
        <v>1</v>
      </c>
      <c r="G212" s="2" t="n">
        <v>45</v>
      </c>
      <c r="H212" s="2" t="inlineStr">
        <is>
          <t>SC/PC</t>
        </is>
      </c>
      <c r="I212" s="2" t="inlineStr">
        <is>
          <t>LC/PC</t>
        </is>
      </c>
      <c r="J212" s="2" t="n"/>
      <c r="K212" s="2" t="n"/>
      <c r="L212" s="2" t="n"/>
      <c r="M212" s="2" t="n"/>
      <c r="N212" s="2" t="n">
        <v>10</v>
      </c>
      <c r="O212" s="2" t="n"/>
      <c r="P212" s="2" t="n">
        <v>3</v>
      </c>
      <c r="Q212" s="2" t="n">
        <v>54</v>
      </c>
      <c r="R212" s="2" t="n"/>
      <c r="S212" s="2" t="n"/>
      <c r="T212" s="2" t="n"/>
      <c r="U212" s="2" t="n"/>
      <c r="V212" s="2">
        <f>SUM(J212:U212)*G212</f>
        <v/>
      </c>
      <c r="W212" s="2">
        <f>MAX(J212:U212)</f>
        <v/>
      </c>
      <c r="X212" s="2">
        <f>W212*G212</f>
        <v/>
      </c>
    </row>
    <row r="213">
      <c r="A213" s="2" t="inlineStr">
        <is>
          <t>14-K-232</t>
        </is>
      </c>
      <c r="B213" s="3" t="inlineStr">
        <is>
          <t>OJC-A1-SC/LC-SM-50-PC/PC-DP</t>
        </is>
      </c>
      <c r="C213" s="2" t="inlineStr">
        <is>
          <t>K9089170</t>
        </is>
      </c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50</v>
      </c>
      <c r="H213" s="2" t="inlineStr">
        <is>
          <t>SC/PC</t>
        </is>
      </c>
      <c r="I213" s="2" t="inlineStr">
        <is>
          <t>LC/PC</t>
        </is>
      </c>
      <c r="J213" s="2" t="n"/>
      <c r="K213" s="2" t="n"/>
      <c r="L213" s="2" t="n">
        <v>18</v>
      </c>
      <c r="M213" s="2" t="n"/>
      <c r="N213" s="2" t="n">
        <v>10</v>
      </c>
      <c r="O213" s="2" t="n">
        <v>10</v>
      </c>
      <c r="P213" s="2" t="n"/>
      <c r="Q213" s="2" t="n"/>
      <c r="R213" s="2" t="n">
        <v>130</v>
      </c>
      <c r="S213" s="2" t="n"/>
      <c r="T213" s="2" t="n"/>
      <c r="U213" s="2" t="n">
        <v>50</v>
      </c>
      <c r="V213" s="2">
        <f>SUM(J213:U213)*G213</f>
        <v/>
      </c>
      <c r="W213" s="2">
        <f>MAX(J213:U213)</f>
        <v/>
      </c>
      <c r="X213" s="2">
        <f>W213*G213</f>
        <v/>
      </c>
    </row>
    <row r="214">
      <c r="A214" s="2" t="inlineStr">
        <is>
          <t>14-K-233</t>
        </is>
      </c>
      <c r="B214" s="3" t="inlineStr">
        <is>
          <t>OJC-A1-SC/LC-SM-50-PC/PC-SP</t>
        </is>
      </c>
      <c r="C214" s="2" t="inlineStr">
        <is>
          <t>K9089041</t>
        </is>
      </c>
      <c r="D214" s="2" t="inlineStr">
        <is>
          <t>a1</t>
        </is>
      </c>
      <c r="E214" s="2" t="inlineStr">
        <is>
          <t>2.0mm</t>
        </is>
      </c>
      <c r="F214" s="2" t="n">
        <v>1</v>
      </c>
      <c r="G214" s="2" t="n">
        <v>50</v>
      </c>
      <c r="H214" s="2" t="inlineStr">
        <is>
          <t>SC/PC</t>
        </is>
      </c>
      <c r="I214" s="2" t="inlineStr">
        <is>
          <t>LC/PC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>
        <v>10</v>
      </c>
      <c r="V214" s="2">
        <f>SUM(J214:U214)*G214</f>
        <v/>
      </c>
      <c r="W214" s="2">
        <f>MAX(J214:U214)</f>
        <v/>
      </c>
      <c r="X214" s="2">
        <f>W214*G214</f>
        <v/>
      </c>
    </row>
    <row r="215">
      <c r="A215" s="2" t="inlineStr">
        <is>
          <t>14-K-234</t>
        </is>
      </c>
      <c r="B215" s="3" t="inlineStr">
        <is>
          <t>OJC-A1-SC/LC-SM-5-APC/PC-DP</t>
        </is>
      </c>
      <c r="C215" s="2" t="inlineStr"/>
      <c r="D215" s="2" t="inlineStr">
        <is>
          <t>a1</t>
        </is>
      </c>
      <c r="E215" s="2" t="inlineStr">
        <is>
          <t>2.0mm</t>
        </is>
      </c>
      <c r="F215" s="2" t="n">
        <v>2</v>
      </c>
      <c r="G215" s="2" t="n">
        <v>5</v>
      </c>
      <c r="H215" s="2" t="inlineStr">
        <is>
          <t>SC/APC</t>
        </is>
      </c>
      <c r="I215" s="2" t="inlineStr">
        <is>
          <t>LC/PC</t>
        </is>
      </c>
      <c r="J215" s="2" t="n"/>
      <c r="K215" s="2" t="n"/>
      <c r="L215" s="2" t="n"/>
      <c r="M215" s="2" t="n"/>
      <c r="N215" s="2" t="n">
        <v>10</v>
      </c>
      <c r="O215" s="2" t="n"/>
      <c r="P215" s="2" t="n"/>
      <c r="Q215" s="2" t="n"/>
      <c r="R215" s="2" t="n"/>
      <c r="S215" s="2" t="n"/>
      <c r="T215" s="2" t="n"/>
      <c r="U215" s="2" t="n"/>
      <c r="V215" s="2">
        <f>SUM(J215:U215)*G215</f>
        <v/>
      </c>
      <c r="W215" s="2">
        <f>MAX(J215:U215)</f>
        <v/>
      </c>
      <c r="X215" s="2">
        <f>W215*G215</f>
        <v/>
      </c>
    </row>
    <row r="216">
      <c r="A216" s="2" t="inlineStr">
        <is>
          <t>14-K-236</t>
        </is>
      </c>
      <c r="B216" s="3" t="inlineStr">
        <is>
          <t>OJC-A1-SC/LC-SM-5-PC/PC-DP</t>
        </is>
      </c>
      <c r="C216" s="2" t="inlineStr">
        <is>
          <t>K9089161</t>
        </is>
      </c>
      <c r="D216" s="2" t="inlineStr">
        <is>
          <t>a1</t>
        </is>
      </c>
      <c r="E216" s="2" t="inlineStr">
        <is>
          <t>2.0mm</t>
        </is>
      </c>
      <c r="F216" s="2" t="n">
        <v>2</v>
      </c>
      <c r="G216" s="2" t="n">
        <v>5</v>
      </c>
      <c r="H216" s="2" t="inlineStr">
        <is>
          <t>SC/PC</t>
        </is>
      </c>
      <c r="I216" s="2" t="inlineStr">
        <is>
          <t>LC/PC</t>
        </is>
      </c>
      <c r="J216" s="2" t="n"/>
      <c r="K216" s="2" t="n"/>
      <c r="L216" s="2" t="n">
        <v>50</v>
      </c>
      <c r="M216" s="2" t="n">
        <v>3</v>
      </c>
      <c r="N216" s="2" t="n"/>
      <c r="O216" s="2" t="n">
        <v>1172</v>
      </c>
      <c r="P216" s="2" t="n">
        <v>200</v>
      </c>
      <c r="Q216" s="2" t="n"/>
      <c r="R216" s="2" t="n">
        <v>100</v>
      </c>
      <c r="S216" s="2" t="n">
        <v>50</v>
      </c>
      <c r="T216" s="2" t="n">
        <v>112</v>
      </c>
      <c r="U216" s="2" t="n">
        <v>86</v>
      </c>
      <c r="V216" s="2">
        <f>SUM(J216:U216)*G216</f>
        <v/>
      </c>
      <c r="W216" s="2">
        <f>MAX(J216:U216)</f>
        <v/>
      </c>
      <c r="X216" s="2">
        <f>W216*G216</f>
        <v/>
      </c>
    </row>
    <row r="217">
      <c r="A217" s="2" t="inlineStr">
        <is>
          <t>14-K-237</t>
        </is>
      </c>
      <c r="B217" s="3" t="inlineStr">
        <is>
          <t>OJC-A1-SC/LC-SM-5-PC/PC-SP</t>
        </is>
      </c>
      <c r="C217" s="2" t="inlineStr">
        <is>
          <t>K9089032</t>
        </is>
      </c>
      <c r="D217" s="2" t="inlineStr">
        <is>
          <t>a1</t>
        </is>
      </c>
      <c r="E217" s="2" t="inlineStr">
        <is>
          <t>2.0mm</t>
        </is>
      </c>
      <c r="F217" s="2" t="n">
        <v>1</v>
      </c>
      <c r="G217" s="2" t="n">
        <v>5</v>
      </c>
      <c r="H217" s="2" t="inlineStr">
        <is>
          <t>SC/PC</t>
        </is>
      </c>
      <c r="I217" s="2" t="inlineStr">
        <is>
          <t>LC/PC</t>
        </is>
      </c>
      <c r="J217" s="2" t="n"/>
      <c r="K217" s="2" t="n"/>
      <c r="L217" s="2" t="n"/>
      <c r="M217" s="2" t="n"/>
      <c r="N217" s="2" t="n"/>
      <c r="O217" s="2" t="n"/>
      <c r="P217" s="2" t="n">
        <v>62</v>
      </c>
      <c r="Q217" s="2" t="n"/>
      <c r="R217" s="2" t="n">
        <v>63</v>
      </c>
      <c r="S217" s="2" t="n"/>
      <c r="T217" s="2" t="n">
        <v>150</v>
      </c>
      <c r="U217" s="2" t="n">
        <v>100</v>
      </c>
      <c r="V217" s="2">
        <f>SUM(J217:U217)*G217</f>
        <v/>
      </c>
      <c r="W217" s="2">
        <f>MAX(J217:U217)</f>
        <v/>
      </c>
      <c r="X217" s="2">
        <f>W217*G217</f>
        <v/>
      </c>
    </row>
    <row r="218">
      <c r="A218" s="2" t="inlineStr">
        <is>
          <t>14-K-239</t>
        </is>
      </c>
      <c r="B218" s="3" t="inlineStr">
        <is>
          <t>OJC-A1-SC/LC-SM-60-PC/PC-DP</t>
        </is>
      </c>
      <c r="C218" s="2" t="inlineStr"/>
      <c r="D218" s="2" t="inlineStr">
        <is>
          <t>a1</t>
        </is>
      </c>
      <c r="E218" s="2" t="inlineStr">
        <is>
          <t>2.0mm</t>
        </is>
      </c>
      <c r="F218" s="2" t="n">
        <v>2</v>
      </c>
      <c r="G218" s="2" t="n">
        <v>60</v>
      </c>
      <c r="H218" s="2" t="inlineStr">
        <is>
          <t>SC/PC</t>
        </is>
      </c>
      <c r="I218" s="2" t="inlineStr">
        <is>
          <t>LC/PC</t>
        </is>
      </c>
      <c r="J218" s="2" t="n"/>
      <c r="K218" s="2" t="n"/>
      <c r="L218" s="2" t="n"/>
      <c r="M218" s="2" t="n"/>
      <c r="N218" s="2" t="n">
        <v>15</v>
      </c>
      <c r="O218" s="2" t="n">
        <v>10</v>
      </c>
      <c r="P218" s="2" t="n"/>
      <c r="Q218" s="2" t="n"/>
      <c r="R218" s="2" t="n"/>
      <c r="S218" s="2" t="n"/>
      <c r="T218" s="2" t="n"/>
      <c r="U218" s="2" t="n">
        <v>15</v>
      </c>
      <c r="V218" s="2">
        <f>SUM(J218:U218)*G218</f>
        <v/>
      </c>
      <c r="W218" s="2">
        <f>MAX(J218:U218)</f>
        <v/>
      </c>
      <c r="X218" s="2">
        <f>W218*G218</f>
        <v/>
      </c>
    </row>
    <row r="219">
      <c r="A219" s="2" t="inlineStr">
        <is>
          <t>14-K-244</t>
        </is>
      </c>
      <c r="B219" s="3" t="inlineStr">
        <is>
          <t>OJC-A1-SC/LC-SM-6-PC/PC-SP</t>
        </is>
      </c>
      <c r="C219" s="2" t="inlineStr"/>
      <c r="D219" s="2" t="inlineStr">
        <is>
          <t>a1</t>
        </is>
      </c>
      <c r="E219" s="2" t="inlineStr">
        <is>
          <t>2.0mm</t>
        </is>
      </c>
      <c r="F219" s="2" t="n">
        <v>1</v>
      </c>
      <c r="G219" s="2" t="n">
        <v>6</v>
      </c>
      <c r="H219" s="2" t="inlineStr">
        <is>
          <t>SC/PC</t>
        </is>
      </c>
      <c r="I219" s="2" t="inlineStr">
        <is>
          <t>LC/PC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>
        <v>10</v>
      </c>
      <c r="V219" s="2">
        <f>SUM(J219:U219)*G219</f>
        <v/>
      </c>
      <c r="W219" s="2">
        <f>MAX(J219:U219)</f>
        <v/>
      </c>
      <c r="X219" s="2">
        <f>W219*G219</f>
        <v/>
      </c>
    </row>
    <row r="220">
      <c r="A220" s="2" t="inlineStr">
        <is>
          <t>14-K-245</t>
        </is>
      </c>
      <c r="B220" s="3" t="inlineStr">
        <is>
          <t>OJC-A1-SC/LC-SM-70-PC/PC-DP</t>
        </is>
      </c>
      <c r="C220" s="2" t="inlineStr"/>
      <c r="D220" s="2" t="inlineStr">
        <is>
          <t>a1</t>
        </is>
      </c>
      <c r="E220" s="2" t="inlineStr">
        <is>
          <t>2.0mm</t>
        </is>
      </c>
      <c r="F220" s="2" t="n">
        <v>2</v>
      </c>
      <c r="G220" s="2" t="n">
        <v>70</v>
      </c>
      <c r="H220" s="2" t="inlineStr">
        <is>
          <t>SC/PC</t>
        </is>
      </c>
      <c r="I220" s="2" t="inlineStr">
        <is>
          <t>LC/PC</t>
        </is>
      </c>
      <c r="J220" s="2" t="n"/>
      <c r="K220" s="2" t="n"/>
      <c r="L220" s="2" t="n"/>
      <c r="M220" s="2" t="n"/>
      <c r="N220" s="2" t="n">
        <v>28</v>
      </c>
      <c r="O220" s="2" t="n"/>
      <c r="P220" s="2" t="n"/>
      <c r="Q220" s="2" t="n"/>
      <c r="R220" s="2" t="n"/>
      <c r="S220" s="2" t="n"/>
      <c r="T220" s="2" t="n"/>
      <c r="U220" s="2" t="n"/>
      <c r="V220" s="2">
        <f>SUM(J220:U220)*G220</f>
        <v/>
      </c>
      <c r="W220" s="2">
        <f>MAX(J220:U220)</f>
        <v/>
      </c>
      <c r="X220" s="2">
        <f>W220*G220</f>
        <v/>
      </c>
    </row>
    <row r="221">
      <c r="A221" s="2" t="inlineStr">
        <is>
          <t>14-K-247</t>
        </is>
      </c>
      <c r="B221" s="3" t="inlineStr">
        <is>
          <t>OJC-A1-SC/LC-SM-7-PC/PC-DP</t>
        </is>
      </c>
      <c r="C221" s="2" t="inlineStr"/>
      <c r="D221" s="2" t="inlineStr">
        <is>
          <t>a1</t>
        </is>
      </c>
      <c r="E221" s="2" t="inlineStr">
        <is>
          <t>2.0mm</t>
        </is>
      </c>
      <c r="F221" s="2" t="n">
        <v>2</v>
      </c>
      <c r="G221" s="2" t="n">
        <v>7</v>
      </c>
      <c r="H221" s="2" t="inlineStr">
        <is>
          <t>SC/PC</t>
        </is>
      </c>
      <c r="I221" s="2" t="inlineStr">
        <is>
          <t>LC/PC</t>
        </is>
      </c>
      <c r="J221" s="2" t="n"/>
      <c r="K221" s="2" t="n"/>
      <c r="L221" s="2" t="n"/>
      <c r="M221" s="2" t="n"/>
      <c r="N221" s="2" t="n">
        <v>20</v>
      </c>
      <c r="O221" s="2" t="n"/>
      <c r="P221" s="2" t="n">
        <v>12</v>
      </c>
      <c r="Q221" s="2" t="n"/>
      <c r="R221" s="2" t="n">
        <v>46</v>
      </c>
      <c r="S221" s="2" t="n"/>
      <c r="T221" s="2" t="n"/>
      <c r="U221" s="2" t="n"/>
      <c r="V221" s="2">
        <f>SUM(J221:U221)*G221</f>
        <v/>
      </c>
      <c r="W221" s="2">
        <f>MAX(J221:U221)</f>
        <v/>
      </c>
      <c r="X221" s="2">
        <f>W221*G221</f>
        <v/>
      </c>
    </row>
    <row r="222">
      <c r="A222" s="2" t="inlineStr">
        <is>
          <t>14-K-248</t>
        </is>
      </c>
      <c r="B222" s="3" t="inlineStr">
        <is>
          <t>OJC-A1-SC/LC-SM-8-PC/PC-SP</t>
        </is>
      </c>
      <c r="C222" s="2" t="inlineStr"/>
      <c r="D222" s="2" t="inlineStr">
        <is>
          <t>a1</t>
        </is>
      </c>
      <c r="E222" s="2" t="inlineStr">
        <is>
          <t>2.0mm</t>
        </is>
      </c>
      <c r="F222" s="2" t="n">
        <v>1</v>
      </c>
      <c r="G222" s="2" t="n">
        <v>8</v>
      </c>
      <c r="H222" s="2" t="inlineStr">
        <is>
          <t>SC/PC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>
        <v>10</v>
      </c>
      <c r="V222" s="2">
        <f>SUM(J222:U222)*G222</f>
        <v/>
      </c>
      <c r="W222" s="2">
        <f>MAX(J222:U222)</f>
        <v/>
      </c>
      <c r="X222" s="2">
        <f>W222*G222</f>
        <v/>
      </c>
    </row>
    <row r="223">
      <c r="A223" s="2" t="inlineStr">
        <is>
          <t>14-K-250</t>
        </is>
      </c>
      <c r="B223" s="3" t="inlineStr">
        <is>
          <t>OJC-A1-SC/LC-SM-9-PC/PC-SP</t>
        </is>
      </c>
      <c r="C223" s="2" t="inlineStr"/>
      <c r="D223" s="2" t="inlineStr">
        <is>
          <t>a1</t>
        </is>
      </c>
      <c r="E223" s="2" t="inlineStr">
        <is>
          <t>2.0mm</t>
        </is>
      </c>
      <c r="F223" s="2" t="n">
        <v>1</v>
      </c>
      <c r="G223" s="2" t="n">
        <v>9</v>
      </c>
      <c r="H223" s="2" t="inlineStr">
        <is>
          <t>SC/PC</t>
        </is>
      </c>
      <c r="I223" s="2" t="inlineStr">
        <is>
          <t>LC/PC</t>
        </is>
      </c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>
        <v>10</v>
      </c>
      <c r="V223" s="2">
        <f>SUM(J223:U223)*G223</f>
        <v/>
      </c>
      <c r="W223" s="2">
        <f>MAX(J223:U223)</f>
        <v/>
      </c>
      <c r="X223" s="2">
        <f>W223*G223</f>
        <v/>
      </c>
    </row>
    <row r="224">
      <c r="A224" s="2" t="inlineStr">
        <is>
          <t>14-K-269</t>
        </is>
      </c>
      <c r="B224" s="3" t="inlineStr">
        <is>
          <t>OJC-A1-SC/SC-MM-25-PC/PC-DP</t>
        </is>
      </c>
      <c r="C224" s="2" t="inlineStr"/>
      <c r="D224" s="2" t="inlineStr">
        <is>
          <t>om1</t>
        </is>
      </c>
      <c r="E224" s="2" t="inlineStr">
        <is>
          <t>2.0mm</t>
        </is>
      </c>
      <c r="F224" s="2" t="n">
        <v>2</v>
      </c>
      <c r="G224" s="2" t="n">
        <v>25</v>
      </c>
      <c r="H224" s="2" t="inlineStr">
        <is>
          <t>SC/PC</t>
        </is>
      </c>
      <c r="I224" s="2" t="inlineStr">
        <is>
          <t>SC/PC</t>
        </is>
      </c>
      <c r="J224" s="2" t="n"/>
      <c r="K224" s="2" t="n"/>
      <c r="L224" s="2" t="n">
        <v>4</v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>
        <f>SUM(J224:U224)*G224</f>
        <v/>
      </c>
      <c r="W224" s="2">
        <f>MAX(J224:U224)</f>
        <v/>
      </c>
      <c r="X224" s="2">
        <f>W224*G224</f>
        <v/>
      </c>
    </row>
    <row r="225">
      <c r="A225" s="2" t="inlineStr">
        <is>
          <t>14-K-280</t>
        </is>
      </c>
      <c r="B225" s="3" t="inlineStr">
        <is>
          <t>OJC-A1-SC/SC-SM-0.5-PC/APC-SP</t>
        </is>
      </c>
      <c r="C225" s="2" t="inlineStr"/>
      <c r="D225" s="2" t="inlineStr">
        <is>
          <t>a1</t>
        </is>
      </c>
      <c r="E225" s="2" t="inlineStr">
        <is>
          <t>2.0mm</t>
        </is>
      </c>
      <c r="F225" s="2" t="n">
        <v>1</v>
      </c>
      <c r="G225" s="2" t="n">
        <v>0.5</v>
      </c>
      <c r="H225" s="2" t="inlineStr">
        <is>
          <t>SC/PC</t>
        </is>
      </c>
      <c r="I225" s="2" t="inlineStr">
        <is>
          <t>SC/APC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>
        <v>1004</v>
      </c>
      <c r="T225" s="2" t="n"/>
      <c r="U225" s="2" t="n"/>
      <c r="V225" s="2">
        <f>SUM(J225:U225)*G225</f>
        <v/>
      </c>
      <c r="W225" s="2">
        <f>MAX(J225:U225)</f>
        <v/>
      </c>
      <c r="X225" s="2">
        <f>W225*G225</f>
        <v/>
      </c>
    </row>
    <row r="226">
      <c r="A226" s="2" t="inlineStr">
        <is>
          <t>14-K-281</t>
        </is>
      </c>
      <c r="B226" s="3" t="inlineStr">
        <is>
          <t>OJC-A1-SC/SC-SM-0.5-PC/PC-DP</t>
        </is>
      </c>
      <c r="C226" s="2" t="inlineStr"/>
      <c r="D226" s="2" t="inlineStr">
        <is>
          <t>a1</t>
        </is>
      </c>
      <c r="E226" s="2" t="inlineStr">
        <is>
          <t>2.0mm</t>
        </is>
      </c>
      <c r="F226" s="2" t="n">
        <v>2</v>
      </c>
      <c r="G226" s="2" t="n">
        <v>0.5</v>
      </c>
      <c r="H226" s="2" t="inlineStr">
        <is>
          <t>SC/PC</t>
        </is>
      </c>
      <c r="I226" s="2" t="inlineStr">
        <is>
          <t>SC/PC</t>
        </is>
      </c>
      <c r="J226" s="2" t="n"/>
      <c r="K226" s="2" t="n">
        <v>200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>
        <f>SUM(J226:U226)*G226</f>
        <v/>
      </c>
      <c r="W226" s="2">
        <f>MAX(J226:U226)</f>
        <v/>
      </c>
      <c r="X226" s="2">
        <f>W226*G226</f>
        <v/>
      </c>
    </row>
    <row r="227">
      <c r="A227" s="2" t="inlineStr">
        <is>
          <t>14-K-282</t>
        </is>
      </c>
      <c r="B227" s="3" t="inlineStr">
        <is>
          <t>OJC-A1-SC/SC-SM-0.5-PC/PC-SP</t>
        </is>
      </c>
      <c r="C227" s="2" t="inlineStr"/>
      <c r="D227" s="2" t="inlineStr">
        <is>
          <t>a1</t>
        </is>
      </c>
      <c r="E227" s="2" t="inlineStr">
        <is>
          <t>2.0mm</t>
        </is>
      </c>
      <c r="F227" s="2" t="n">
        <v>1</v>
      </c>
      <c r="G227" s="2" t="n">
        <v>0.5</v>
      </c>
      <c r="H227" s="2" t="inlineStr">
        <is>
          <t>SC/PC</t>
        </is>
      </c>
      <c r="I227" s="2" t="inlineStr">
        <is>
          <t>SC/PC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>
        <v>200</v>
      </c>
      <c r="V227" s="2">
        <f>SUM(J227:U227)*G227</f>
        <v/>
      </c>
      <c r="W227" s="2">
        <f>MAX(J227:U227)</f>
        <v/>
      </c>
      <c r="X227" s="2">
        <f>W227*G227</f>
        <v/>
      </c>
    </row>
    <row r="228">
      <c r="A228" s="2" t="inlineStr">
        <is>
          <t>14-K-284</t>
        </is>
      </c>
      <c r="B228" s="3" t="inlineStr">
        <is>
          <t>OJC-A1-SC/SC-SM-1.5-APC/APC-SP</t>
        </is>
      </c>
      <c r="C228" s="2" t="inlineStr"/>
      <c r="D228" s="2" t="inlineStr">
        <is>
          <t>a1</t>
        </is>
      </c>
      <c r="E228" s="2" t="inlineStr">
        <is>
          <t>2.0mm</t>
        </is>
      </c>
      <c r="F228" s="2" t="n">
        <v>1</v>
      </c>
      <c r="G228" s="2" t="n">
        <v>1.5</v>
      </c>
      <c r="H228" s="2" t="inlineStr">
        <is>
          <t>SC/APC</t>
        </is>
      </c>
      <c r="I228" s="2" t="inlineStr">
        <is>
          <t>SC/APC</t>
        </is>
      </c>
      <c r="J228" s="2" t="n"/>
      <c r="K228" s="2" t="n"/>
      <c r="L228" s="2" t="n"/>
      <c r="M228" s="2" t="n">
        <v>200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SUM(J228:U228)*G228</f>
        <v/>
      </c>
      <c r="W228" s="2">
        <f>MAX(J228:U228)</f>
        <v/>
      </c>
      <c r="X228" s="2">
        <f>W228*G228</f>
        <v/>
      </c>
    </row>
    <row r="229">
      <c r="A229" s="2" t="inlineStr">
        <is>
          <t>14-K-286</t>
        </is>
      </c>
      <c r="B229" s="3" t="inlineStr">
        <is>
          <t>OJC-A1-SC/SC-SM-10-APC/APC-DP</t>
        </is>
      </c>
      <c r="C229" s="2" t="inlineStr"/>
      <c r="D229" s="2" t="inlineStr">
        <is>
          <t>a1</t>
        </is>
      </c>
      <c r="E229" s="2" t="inlineStr">
        <is>
          <t>2.0mm</t>
        </is>
      </c>
      <c r="F229" s="2" t="n">
        <v>2</v>
      </c>
      <c r="G229" s="2" t="n">
        <v>10</v>
      </c>
      <c r="H229" s="2" t="inlineStr">
        <is>
          <t>SC/APC</t>
        </is>
      </c>
      <c r="I229" s="2" t="inlineStr">
        <is>
          <t>SC/APC</t>
        </is>
      </c>
      <c r="J229" s="2" t="n"/>
      <c r="K229" s="2" t="n"/>
      <c r="L229" s="2" t="n"/>
      <c r="M229" s="2" t="n"/>
      <c r="N229" s="2" t="n">
        <v>1</v>
      </c>
      <c r="O229" s="2" t="n"/>
      <c r="P229" s="2" t="n"/>
      <c r="Q229" s="2" t="n"/>
      <c r="R229" s="2" t="n"/>
      <c r="S229" s="2" t="n"/>
      <c r="T229" s="2" t="n">
        <v>4</v>
      </c>
      <c r="U229" s="2" t="n"/>
      <c r="V229" s="2">
        <f>SUM(J229:U229)*G229</f>
        <v/>
      </c>
      <c r="W229" s="2">
        <f>MAX(J229:U229)</f>
        <v/>
      </c>
      <c r="X229" s="2">
        <f>W229*G229</f>
        <v/>
      </c>
    </row>
    <row r="230">
      <c r="A230" s="2" t="inlineStr">
        <is>
          <t>14-K-287</t>
        </is>
      </c>
      <c r="B230" s="3" t="inlineStr">
        <is>
          <t>OJC-A1-SC/SC-SM-10-APC/APC-SP</t>
        </is>
      </c>
      <c r="C230" s="2" t="inlineStr"/>
      <c r="D230" s="2" t="inlineStr">
        <is>
          <t>a1</t>
        </is>
      </c>
      <c r="E230" s="2" t="inlineStr">
        <is>
          <t>2.0mm</t>
        </is>
      </c>
      <c r="F230" s="2" t="n">
        <v>1</v>
      </c>
      <c r="G230" s="2" t="n">
        <v>10</v>
      </c>
      <c r="H230" s="2" t="inlineStr">
        <is>
          <t>SC/APC</t>
        </is>
      </c>
      <c r="I230" s="2" t="inlineStr">
        <is>
          <t>SC/APC</t>
        </is>
      </c>
      <c r="J230" s="2" t="n"/>
      <c r="K230" s="2" t="n"/>
      <c r="L230" s="2" t="n"/>
      <c r="M230" s="2" t="n"/>
      <c r="N230" s="2" t="n"/>
      <c r="O230" s="2" t="n">
        <v>50</v>
      </c>
      <c r="P230" s="2" t="n"/>
      <c r="Q230" s="2" t="n"/>
      <c r="R230" s="2" t="n"/>
      <c r="S230" s="2" t="n"/>
      <c r="T230" s="2" t="n"/>
      <c r="U230" s="2" t="n"/>
      <c r="V230" s="2">
        <f>SUM(J230:U230)*G230</f>
        <v/>
      </c>
      <c r="W230" s="2">
        <f>MAX(J230:U230)</f>
        <v/>
      </c>
      <c r="X230" s="2">
        <f>W230*G230</f>
        <v/>
      </c>
    </row>
    <row r="231">
      <c r="A231" s="2" t="inlineStr">
        <is>
          <t>14-K-288</t>
        </is>
      </c>
      <c r="B231" s="3" t="inlineStr">
        <is>
          <t>OJC-A1-SC/SC-SM-10-PC/APC-DP</t>
        </is>
      </c>
      <c r="C231" s="2" t="inlineStr">
        <is>
          <t>K9089188</t>
        </is>
      </c>
      <c r="D231" s="2" t="inlineStr">
        <is>
          <t>a1</t>
        </is>
      </c>
      <c r="E231" s="2" t="inlineStr">
        <is>
          <t>2.0mm</t>
        </is>
      </c>
      <c r="F231" s="2" t="n">
        <v>2</v>
      </c>
      <c r="G231" s="2" t="n">
        <v>10</v>
      </c>
      <c r="H231" s="2" t="inlineStr">
        <is>
          <t>SC/PC</t>
        </is>
      </c>
      <c r="I231" s="2" t="inlineStr">
        <is>
          <t>SC/APC</t>
        </is>
      </c>
      <c r="J231" s="2" t="n">
        <v>5</v>
      </c>
      <c r="K231" s="2" t="n">
        <v>2</v>
      </c>
      <c r="L231" s="2" t="n">
        <v>2</v>
      </c>
      <c r="M231" s="2" t="n"/>
      <c r="N231" s="2" t="n"/>
      <c r="O231" s="2" t="n"/>
      <c r="P231" s="2" t="n"/>
      <c r="Q231" s="2" t="n"/>
      <c r="R231" s="2" t="n">
        <v>10</v>
      </c>
      <c r="S231" s="2" t="n"/>
      <c r="T231" s="2" t="n">
        <v>20</v>
      </c>
      <c r="U231" s="2" t="n"/>
      <c r="V231" s="2">
        <f>SUM(J231:U231)*G231</f>
        <v/>
      </c>
      <c r="W231" s="2">
        <f>MAX(J231:U231)</f>
        <v/>
      </c>
      <c r="X231" s="2">
        <f>W231*G231</f>
        <v/>
      </c>
    </row>
    <row r="232">
      <c r="A232" s="2" t="inlineStr">
        <is>
          <t>14-K-289</t>
        </is>
      </c>
      <c r="B232" s="3" t="inlineStr">
        <is>
          <t>OJC-A1-SC/SC-SM-10-PC/APC-SP</t>
        </is>
      </c>
      <c r="C232" s="2" t="inlineStr">
        <is>
          <t>K9089059</t>
        </is>
      </c>
      <c r="D232" s="2" t="inlineStr">
        <is>
          <t>a1</t>
        </is>
      </c>
      <c r="E232" s="2" t="inlineStr">
        <is>
          <t>2.0mm</t>
        </is>
      </c>
      <c r="F232" s="2" t="n">
        <v>1</v>
      </c>
      <c r="G232" s="2" t="n">
        <v>10</v>
      </c>
      <c r="H232" s="2" t="inlineStr">
        <is>
          <t>SC/PC</t>
        </is>
      </c>
      <c r="I232" s="2" t="inlineStr">
        <is>
          <t>SC/APC</t>
        </is>
      </c>
      <c r="J232" s="2" t="n"/>
      <c r="K232" s="2" t="n"/>
      <c r="L232" s="2" t="n"/>
      <c r="M232" s="2" t="n"/>
      <c r="N232" s="2" t="n"/>
      <c r="O232" s="2" t="n">
        <v>50</v>
      </c>
      <c r="P232" s="2" t="n"/>
      <c r="Q232" s="2" t="n"/>
      <c r="R232" s="2" t="n"/>
      <c r="S232" s="2" t="n"/>
      <c r="T232" s="2" t="n"/>
      <c r="U232" s="2" t="n"/>
      <c r="V232" s="2">
        <f>SUM(J232:U232)*G232</f>
        <v/>
      </c>
      <c r="W232" s="2">
        <f>MAX(J232:U232)</f>
        <v/>
      </c>
      <c r="X232" s="2">
        <f>W232*G232</f>
        <v/>
      </c>
    </row>
    <row r="233">
      <c r="A233" s="2" t="inlineStr">
        <is>
          <t>14-K-290</t>
        </is>
      </c>
      <c r="B233" s="3" t="inlineStr">
        <is>
          <t>OJC-A1-SC/SC-SM-10-PC/PC-DP</t>
        </is>
      </c>
      <c r="C233" s="2" t="inlineStr">
        <is>
          <t>K9089132</t>
        </is>
      </c>
      <c r="D233" s="2" t="inlineStr">
        <is>
          <t>a1</t>
        </is>
      </c>
      <c r="E233" s="2" t="inlineStr">
        <is>
          <t>2.0mm</t>
        </is>
      </c>
      <c r="F233" s="2" t="n">
        <v>2</v>
      </c>
      <c r="G233" s="2" t="n">
        <v>10</v>
      </c>
      <c r="H233" s="2" t="inlineStr">
        <is>
          <t>SC/PC</t>
        </is>
      </c>
      <c r="I233" s="2" t="inlineStr">
        <is>
          <t>SC/PC</t>
        </is>
      </c>
      <c r="J233" s="2" t="n">
        <v>300</v>
      </c>
      <c r="K233" s="2" t="n"/>
      <c r="L233" s="2" t="n"/>
      <c r="M233" s="2" t="n"/>
      <c r="N233" s="2" t="n">
        <v>100</v>
      </c>
      <c r="O233" s="2" t="n">
        <v>200</v>
      </c>
      <c r="P233" s="2" t="n"/>
      <c r="Q233" s="2" t="n"/>
      <c r="R233" s="2" t="n"/>
      <c r="S233" s="2" t="n"/>
      <c r="T233" s="2" t="n"/>
      <c r="U233" s="2" t="n"/>
      <c r="V233" s="2">
        <f>SUM(J233:U233)*G233</f>
        <v/>
      </c>
      <c r="W233" s="2">
        <f>MAX(J233:U233)</f>
        <v/>
      </c>
      <c r="X233" s="2">
        <f>W233*G233</f>
        <v/>
      </c>
    </row>
    <row r="234">
      <c r="A234" s="2" t="inlineStr">
        <is>
          <t>14-K-291</t>
        </is>
      </c>
      <c r="B234" s="3" t="inlineStr">
        <is>
          <t>OJC-A1-SC/SC-SM-10-PC/PC-SP</t>
        </is>
      </c>
      <c r="C234" s="2" t="inlineStr">
        <is>
          <t>K9089003</t>
        </is>
      </c>
      <c r="D234" s="2" t="inlineStr">
        <is>
          <t>a1</t>
        </is>
      </c>
      <c r="E234" s="2" t="inlineStr">
        <is>
          <t>2.0mm</t>
        </is>
      </c>
      <c r="F234" s="2" t="n">
        <v>1</v>
      </c>
      <c r="G234" s="2" t="n">
        <v>10</v>
      </c>
      <c r="H234" s="2" t="inlineStr">
        <is>
          <t>SC/PC</t>
        </is>
      </c>
      <c r="I234" s="2" t="inlineStr">
        <is>
          <t>SC/PC</t>
        </is>
      </c>
      <c r="J234" s="2" t="n"/>
      <c r="K234" s="2" t="n"/>
      <c r="L234" s="2" t="n"/>
      <c r="M234" s="2" t="n"/>
      <c r="N234" s="2" t="n">
        <v>200</v>
      </c>
      <c r="O234" s="2" t="n">
        <v>200</v>
      </c>
      <c r="P234" s="2" t="n">
        <v>500</v>
      </c>
      <c r="Q234" s="2" t="n"/>
      <c r="R234" s="2" t="n"/>
      <c r="S234" s="2" t="n">
        <v>711</v>
      </c>
      <c r="T234" s="2" t="n">
        <v>1007</v>
      </c>
      <c r="U234" s="2" t="n">
        <v>406</v>
      </c>
      <c r="V234" s="2">
        <f>SUM(J234:U234)*G234</f>
        <v/>
      </c>
      <c r="W234" s="2">
        <f>MAX(J234:U234)</f>
        <v/>
      </c>
      <c r="X234" s="2">
        <f>W234*G234</f>
        <v/>
      </c>
    </row>
    <row r="235">
      <c r="A235" s="2" t="inlineStr">
        <is>
          <t>14-K-293</t>
        </is>
      </c>
      <c r="B235" s="3" t="inlineStr">
        <is>
          <t>OJC-A1-SC/SC-SM-12-PC/PC-DP</t>
        </is>
      </c>
      <c r="C235" s="2" t="inlineStr">
        <is>
          <t>K9089134</t>
        </is>
      </c>
      <c r="D235" s="2" t="inlineStr">
        <is>
          <t>a1</t>
        </is>
      </c>
      <c r="E235" s="2" t="inlineStr">
        <is>
          <t>2.0mm</t>
        </is>
      </c>
      <c r="F235" s="2" t="n">
        <v>2</v>
      </c>
      <c r="G235" s="2" t="n">
        <v>12</v>
      </c>
      <c r="H235" s="2" t="inlineStr">
        <is>
          <t>SC/PC</t>
        </is>
      </c>
      <c r="I235" s="2" t="inlineStr">
        <is>
          <t>SC/PC</t>
        </is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>
        <v>30</v>
      </c>
      <c r="V235" s="2">
        <f>SUM(J235:U235)*G235</f>
        <v/>
      </c>
      <c r="W235" s="2">
        <f>MAX(J235:U235)</f>
        <v/>
      </c>
      <c r="X235" s="2">
        <f>W235*G235</f>
        <v/>
      </c>
    </row>
    <row r="236">
      <c r="A236" s="2" t="inlineStr">
        <is>
          <t>14-K-294</t>
        </is>
      </c>
      <c r="B236" s="3" t="inlineStr">
        <is>
          <t>OJC-A1-SC/SC-SM-12-PC/PC-SP</t>
        </is>
      </c>
      <c r="C236" s="2" t="inlineStr">
        <is>
          <t>K9089005</t>
        </is>
      </c>
      <c r="D236" s="2" t="inlineStr">
        <is>
          <t>a1</t>
        </is>
      </c>
      <c r="E236" s="2" t="inlineStr">
        <is>
          <t>2.0mm</t>
        </is>
      </c>
      <c r="F236" s="2" t="n">
        <v>1</v>
      </c>
      <c r="G236" s="2" t="n">
        <v>12</v>
      </c>
      <c r="H236" s="2" t="inlineStr">
        <is>
          <t>SC/PC</t>
        </is>
      </c>
      <c r="I236" s="2" t="inlineStr">
        <is>
          <t>SC/PC</t>
        </is>
      </c>
      <c r="J236" s="2" t="n"/>
      <c r="K236" s="2" t="n"/>
      <c r="L236" s="2" t="n"/>
      <c r="M236" s="2" t="n"/>
      <c r="N236" s="2" t="n"/>
      <c r="O236" s="2" t="n"/>
      <c r="P236" s="2" t="n"/>
      <c r="Q236" s="2" t="n">
        <v>100</v>
      </c>
      <c r="R236" s="2" t="n"/>
      <c r="S236" s="2" t="n"/>
      <c r="T236" s="2" t="n"/>
      <c r="U236" s="2" t="n">
        <v>20</v>
      </c>
      <c r="V236" s="2">
        <f>SUM(J236:U236)*G236</f>
        <v/>
      </c>
      <c r="W236" s="2">
        <f>MAX(J236:U236)</f>
        <v/>
      </c>
      <c r="X236" s="2">
        <f>W236*G236</f>
        <v/>
      </c>
    </row>
    <row r="237">
      <c r="A237" s="2" t="inlineStr">
        <is>
          <t>14-K-297</t>
        </is>
      </c>
      <c r="B237" s="3" t="inlineStr">
        <is>
          <t>OJC-A1-SC/SC-SM-14-PC/PC-DP</t>
        </is>
      </c>
      <c r="C237" s="2" t="inlineStr">
        <is>
          <t>K9089136</t>
        </is>
      </c>
      <c r="D237" s="2" t="inlineStr">
        <is>
          <t>a1</t>
        </is>
      </c>
      <c r="E237" s="2" t="inlineStr">
        <is>
          <t>2.0mm</t>
        </is>
      </c>
      <c r="F237" s="2" t="n">
        <v>2</v>
      </c>
      <c r="G237" s="2" t="n">
        <v>14</v>
      </c>
      <c r="H237" s="2" t="inlineStr">
        <is>
          <t>SC/PC</t>
        </is>
      </c>
      <c r="I237" s="2" t="inlineStr">
        <is>
          <t>SC/PC</t>
        </is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>
        <v>20</v>
      </c>
      <c r="T237" s="2" t="n"/>
      <c r="U237" s="2" t="n">
        <v>30</v>
      </c>
      <c r="V237" s="2">
        <f>SUM(J237:U237)*G237</f>
        <v/>
      </c>
      <c r="W237" s="2">
        <f>MAX(J237:U237)</f>
        <v/>
      </c>
      <c r="X237" s="2">
        <f>W237*G237</f>
        <v/>
      </c>
    </row>
    <row r="238">
      <c r="A238" s="2" t="inlineStr">
        <is>
          <t>14-K-299</t>
        </is>
      </c>
      <c r="B238" s="3" t="inlineStr">
        <is>
          <t>OJC-A1-SC/SC-SM-15-APC/APC-SP</t>
        </is>
      </c>
      <c r="C238" s="2" t="inlineStr"/>
      <c r="D238" s="2" t="inlineStr">
        <is>
          <t>a1</t>
        </is>
      </c>
      <c r="E238" s="2" t="inlineStr">
        <is>
          <t>2.0mm</t>
        </is>
      </c>
      <c r="F238" s="2" t="n">
        <v>1</v>
      </c>
      <c r="G238" s="2" t="n">
        <v>15</v>
      </c>
      <c r="H238" s="2" t="inlineStr">
        <is>
          <t>SC/APC</t>
        </is>
      </c>
      <c r="I238" s="2" t="inlineStr">
        <is>
          <t>SC/APC</t>
        </is>
      </c>
      <c r="J238" s="2" t="n"/>
      <c r="K238" s="2" t="n">
        <v>48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>
        <f>SUM(J238:U238)*G238</f>
        <v/>
      </c>
      <c r="W238" s="2">
        <f>MAX(J238:U238)</f>
        <v/>
      </c>
      <c r="X238" s="2">
        <f>W238*G238</f>
        <v/>
      </c>
    </row>
    <row r="239">
      <c r="A239" s="2" t="inlineStr">
        <is>
          <t>14-K-300</t>
        </is>
      </c>
      <c r="B239" s="3" t="inlineStr">
        <is>
          <t>OJC-A1-SC/SC-SM-15-PC/APC-DP</t>
        </is>
      </c>
      <c r="C239" s="2" t="inlineStr">
        <is>
          <t>K9089189</t>
        </is>
      </c>
      <c r="D239" s="2" t="inlineStr">
        <is>
          <t>a1</t>
        </is>
      </c>
      <c r="E239" s="2" t="inlineStr">
        <is>
          <t>2.0mm</t>
        </is>
      </c>
      <c r="F239" s="2" t="n">
        <v>2</v>
      </c>
      <c r="G239" s="2" t="n">
        <v>15</v>
      </c>
      <c r="H239" s="2" t="inlineStr">
        <is>
          <t>SC/PC</t>
        </is>
      </c>
      <c r="I239" s="2" t="inlineStr">
        <is>
          <t>SC/APC</t>
        </is>
      </c>
      <c r="J239" s="2" t="n"/>
      <c r="K239" s="2" t="n"/>
      <c r="L239" s="2" t="n">
        <v>2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>
        <f>SUM(J239:U239)*G239</f>
        <v/>
      </c>
      <c r="W239" s="2">
        <f>MAX(J239:U239)</f>
        <v/>
      </c>
      <c r="X239" s="2">
        <f>W239*G239</f>
        <v/>
      </c>
    </row>
    <row r="240">
      <c r="A240" s="2" t="inlineStr">
        <is>
          <t>14-K-301</t>
        </is>
      </c>
      <c r="B240" s="3" t="inlineStr">
        <is>
          <t>OJC-A1-SC/SC-SM-15-PC/APC-SP</t>
        </is>
      </c>
      <c r="C240" s="2" t="inlineStr">
        <is>
          <t>K9089060</t>
        </is>
      </c>
      <c r="D240" s="2" t="inlineStr">
        <is>
          <t>a1</t>
        </is>
      </c>
      <c r="E240" s="2" t="inlineStr">
        <is>
          <t>2.0mm</t>
        </is>
      </c>
      <c r="F240" s="2" t="n">
        <v>1</v>
      </c>
      <c r="G240" s="2" t="n">
        <v>15</v>
      </c>
      <c r="H240" s="2" t="inlineStr">
        <is>
          <t>SC/PC</t>
        </is>
      </c>
      <c r="I240" s="2" t="inlineStr">
        <is>
          <t>SC/APC</t>
        </is>
      </c>
      <c r="J240" s="2" t="n"/>
      <c r="K240" s="2" t="n"/>
      <c r="L240" s="2" t="n"/>
      <c r="M240" s="2" t="n"/>
      <c r="N240" s="2" t="n">
        <v>300</v>
      </c>
      <c r="O240" s="2" t="n"/>
      <c r="P240" s="2" t="n"/>
      <c r="Q240" s="2" t="n"/>
      <c r="R240" s="2" t="n"/>
      <c r="S240" s="2" t="n"/>
      <c r="T240" s="2" t="n"/>
      <c r="U240" s="2" t="n"/>
      <c r="V240" s="2">
        <f>SUM(J240:U240)*G240</f>
        <v/>
      </c>
      <c r="W240" s="2">
        <f>MAX(J240:U240)</f>
        <v/>
      </c>
      <c r="X240" s="2">
        <f>W240*G240</f>
        <v/>
      </c>
    </row>
    <row r="241">
      <c r="A241" s="2" t="inlineStr">
        <is>
          <t>14-K-303</t>
        </is>
      </c>
      <c r="B241" s="3" t="inlineStr">
        <is>
          <t>OJC-A1-SC/SC-SM-15-PC/PC-SP</t>
        </is>
      </c>
      <c r="C241" s="2" t="inlineStr">
        <is>
          <t>K9089008</t>
        </is>
      </c>
      <c r="D241" s="2" t="inlineStr">
        <is>
          <t>a1</t>
        </is>
      </c>
      <c r="E241" s="2" t="inlineStr">
        <is>
          <t>2.0mm</t>
        </is>
      </c>
      <c r="F241" s="2" t="n">
        <v>1</v>
      </c>
      <c r="G241" s="2" t="n">
        <v>15</v>
      </c>
      <c r="H241" s="2" t="inlineStr">
        <is>
          <t>SC/PC</t>
        </is>
      </c>
      <c r="I241" s="2" t="inlineStr">
        <is>
          <t>SC/PC</t>
        </is>
      </c>
      <c r="J241" s="2" t="n"/>
      <c r="K241" s="2" t="n"/>
      <c r="L241" s="2" t="n">
        <v>200</v>
      </c>
      <c r="M241" s="2" t="n"/>
      <c r="N241" s="2" t="n">
        <v>200</v>
      </c>
      <c r="O241" s="2" t="n">
        <v>200</v>
      </c>
      <c r="P241" s="2" t="n">
        <v>100</v>
      </c>
      <c r="Q241" s="2" t="n"/>
      <c r="R241" s="2" t="n"/>
      <c r="S241" s="2" t="n">
        <v>426</v>
      </c>
      <c r="T241" s="2" t="n"/>
      <c r="U241" s="2" t="n"/>
      <c r="V241" s="2">
        <f>SUM(J241:U241)*G241</f>
        <v/>
      </c>
      <c r="W241" s="2">
        <f>MAX(J241:U241)</f>
        <v/>
      </c>
      <c r="X241" s="2">
        <f>W241*G241</f>
        <v/>
      </c>
    </row>
    <row r="242">
      <c r="A242" s="2" t="inlineStr">
        <is>
          <t>14-K-304</t>
        </is>
      </c>
      <c r="B242" s="3" t="inlineStr">
        <is>
          <t>OJC-A1-SC/SC-SM-16-PC/PC-DP</t>
        </is>
      </c>
      <c r="C242" s="2" t="inlineStr">
        <is>
          <t>K9089138</t>
        </is>
      </c>
      <c r="D242" s="2" t="inlineStr">
        <is>
          <t>a1</t>
        </is>
      </c>
      <c r="E242" s="2" t="inlineStr">
        <is>
          <t>2.0mm</t>
        </is>
      </c>
      <c r="F242" s="2" t="n">
        <v>2</v>
      </c>
      <c r="G242" s="2" t="n">
        <v>16</v>
      </c>
      <c r="H242" s="2" t="inlineStr">
        <is>
          <t>SC/PC</t>
        </is>
      </c>
      <c r="I242" s="2" t="inlineStr">
        <is>
          <t>SC/PC</t>
        </is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>
        <v>30</v>
      </c>
      <c r="V242" s="2">
        <f>SUM(J242:U242)*G242</f>
        <v/>
      </c>
      <c r="W242" s="2">
        <f>MAX(J242:U242)</f>
        <v/>
      </c>
      <c r="X242" s="2">
        <f>W242*G242</f>
        <v/>
      </c>
    </row>
    <row r="243">
      <c r="A243" s="2" t="inlineStr">
        <is>
          <t>14-K-305</t>
        </is>
      </c>
      <c r="B243" s="3" t="inlineStr">
        <is>
          <t>OJC-A1-SC/SC-SM-16-PC/PC-SP</t>
        </is>
      </c>
      <c r="C243" s="2" t="inlineStr">
        <is>
          <t>K9089009</t>
        </is>
      </c>
      <c r="D243" s="2" t="inlineStr">
        <is>
          <t>a1</t>
        </is>
      </c>
      <c r="E243" s="2" t="inlineStr">
        <is>
          <t>2.0mm</t>
        </is>
      </c>
      <c r="F243" s="2" t="n">
        <v>1</v>
      </c>
      <c r="G243" s="2" t="n">
        <v>16</v>
      </c>
      <c r="H243" s="2" t="inlineStr">
        <is>
          <t>SC/PC</t>
        </is>
      </c>
      <c r="I243" s="2" t="inlineStr">
        <is>
          <t>SC/PC</t>
        </is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>
        <v>20</v>
      </c>
      <c r="V243" s="2">
        <f>SUM(J243:U243)*G243</f>
        <v/>
      </c>
      <c r="W243" s="2">
        <f>MAX(J243:U243)</f>
        <v/>
      </c>
      <c r="X243" s="2">
        <f>W243*G243</f>
        <v/>
      </c>
    </row>
    <row r="244">
      <c r="A244" s="2" t="inlineStr">
        <is>
          <t>14-K-308</t>
        </is>
      </c>
      <c r="B244" s="3" t="inlineStr">
        <is>
          <t>OJC-A1-SC/SC-SM-18-PC/PC-DP</t>
        </is>
      </c>
      <c r="C244" s="2" t="inlineStr">
        <is>
          <t>K9089140</t>
        </is>
      </c>
      <c r="D244" s="2" t="inlineStr">
        <is>
          <t>a1</t>
        </is>
      </c>
      <c r="E244" s="2" t="inlineStr">
        <is>
          <t>2.0mm</t>
        </is>
      </c>
      <c r="F244" s="2" t="n">
        <v>2</v>
      </c>
      <c r="G244" s="2" t="n">
        <v>18</v>
      </c>
      <c r="H244" s="2" t="inlineStr">
        <is>
          <t>SC/PC</t>
        </is>
      </c>
      <c r="I244" s="2" t="inlineStr">
        <is>
          <t>SC/PC</t>
        </is>
      </c>
      <c r="J244" s="2" t="n"/>
      <c r="K244" s="2" t="n"/>
      <c r="L244" s="2" t="n"/>
      <c r="M244" s="2" t="n"/>
      <c r="N244" s="2" t="n">
        <v>50</v>
      </c>
      <c r="O244" s="2" t="n"/>
      <c r="P244" s="2" t="n"/>
      <c r="Q244" s="2" t="n"/>
      <c r="R244" s="2" t="n"/>
      <c r="S244" s="2" t="n"/>
      <c r="T244" s="2" t="n"/>
      <c r="U244" s="2" t="n">
        <v>30</v>
      </c>
      <c r="V244" s="2">
        <f>SUM(J244:U244)*G244</f>
        <v/>
      </c>
      <c r="W244" s="2">
        <f>MAX(J244:U244)</f>
        <v/>
      </c>
      <c r="X244" s="2">
        <f>W244*G244</f>
        <v/>
      </c>
    </row>
    <row r="245">
      <c r="A245" s="2" t="inlineStr">
        <is>
          <t>14-K-309</t>
        </is>
      </c>
      <c r="B245" s="3" t="inlineStr">
        <is>
          <t>OJC-A1-SC/SC-SM-18-PC/PC-SP</t>
        </is>
      </c>
      <c r="C245" s="2" t="inlineStr">
        <is>
          <t>K9089011</t>
        </is>
      </c>
      <c r="D245" s="2" t="inlineStr">
        <is>
          <t>a1</t>
        </is>
      </c>
      <c r="E245" s="2" t="inlineStr">
        <is>
          <t>2.0mm</t>
        </is>
      </c>
      <c r="F245" s="2" t="n">
        <v>1</v>
      </c>
      <c r="G245" s="2" t="n">
        <v>18</v>
      </c>
      <c r="H245" s="2" t="inlineStr">
        <is>
          <t>SC/PC</t>
        </is>
      </c>
      <c r="I245" s="2" t="inlineStr">
        <is>
          <t>SC/PC</t>
        </is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>
        <v>20</v>
      </c>
      <c r="V245" s="2">
        <f>SUM(J245:U245)*G245</f>
        <v/>
      </c>
      <c r="W245" s="2">
        <f>MAX(J245:U245)</f>
        <v/>
      </c>
      <c r="X245" s="2">
        <f>W245*G245</f>
        <v/>
      </c>
    </row>
    <row r="246">
      <c r="A246" s="2" t="inlineStr">
        <is>
          <t>14-K-314</t>
        </is>
      </c>
      <c r="B246" s="3" t="inlineStr">
        <is>
          <t>OJC-A1-SC/SC-SM-1-PC/APC-SP</t>
        </is>
      </c>
      <c r="C246" s="2" t="inlineStr">
        <is>
          <t>K9089056</t>
        </is>
      </c>
      <c r="D246" s="2" t="inlineStr">
        <is>
          <t>a1</t>
        </is>
      </c>
      <c r="E246" s="2" t="inlineStr">
        <is>
          <t>2.0mm</t>
        </is>
      </c>
      <c r="F246" s="2" t="n">
        <v>1</v>
      </c>
      <c r="G246" s="2" t="n">
        <v>1</v>
      </c>
      <c r="H246" s="2" t="inlineStr">
        <is>
          <t>SC/PC</t>
        </is>
      </c>
      <c r="I246" s="2" t="inlineStr">
        <is>
          <t>SC/APC</t>
        </is>
      </c>
      <c r="J246" s="2" t="n"/>
      <c r="K246" s="2" t="n"/>
      <c r="L246" s="2" t="n"/>
      <c r="M246" s="2" t="n"/>
      <c r="N246" s="2" t="n"/>
      <c r="O246" s="2" t="n"/>
      <c r="P246" s="2" t="n">
        <v>50</v>
      </c>
      <c r="Q246" s="2" t="n"/>
      <c r="R246" s="2" t="n"/>
      <c r="S246" s="2" t="n"/>
      <c r="T246" s="2" t="n"/>
      <c r="U246" s="2" t="n"/>
      <c r="V246" s="2">
        <f>SUM(J246:U246)*G246</f>
        <v/>
      </c>
      <c r="W246" s="2">
        <f>MAX(J246:U246)</f>
        <v/>
      </c>
      <c r="X246" s="2">
        <f>W246*G246</f>
        <v/>
      </c>
    </row>
    <row r="247">
      <c r="A247" s="2" t="inlineStr">
        <is>
          <t>14-K-317</t>
        </is>
      </c>
      <c r="B247" s="3" t="inlineStr">
        <is>
          <t>OJC-A1-SC/SC-SM-20-APC/APC-DP</t>
        </is>
      </c>
      <c r="C247" s="2" t="inlineStr"/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20</v>
      </c>
      <c r="H247" s="2" t="inlineStr">
        <is>
          <t>SC/APC</t>
        </is>
      </c>
      <c r="I247" s="2" t="inlineStr">
        <is>
          <t>SC/APC</t>
        </is>
      </c>
      <c r="J247" s="2" t="n"/>
      <c r="K247" s="2" t="n"/>
      <c r="L247" s="2" t="n"/>
      <c r="M247" s="2" t="n"/>
      <c r="N247" s="2" t="n">
        <v>1</v>
      </c>
      <c r="O247" s="2" t="n"/>
      <c r="P247" s="2" t="n"/>
      <c r="Q247" s="2" t="n"/>
      <c r="R247" s="2" t="n"/>
      <c r="S247" s="2" t="n"/>
      <c r="T247" s="2" t="n"/>
      <c r="U247" s="2" t="n"/>
      <c r="V247" s="2">
        <f>SUM(J247:U247)*G247</f>
        <v/>
      </c>
      <c r="W247" s="2">
        <f>MAX(J247:U247)</f>
        <v/>
      </c>
      <c r="X247" s="2">
        <f>W247*G247</f>
        <v/>
      </c>
    </row>
    <row r="248">
      <c r="A248" s="2" t="inlineStr">
        <is>
          <t>14-K-320</t>
        </is>
      </c>
      <c r="B248" s="3" t="inlineStr">
        <is>
          <t>OJC-A1-SC/SC-SM-20-PC/APC-SP</t>
        </is>
      </c>
      <c r="C248" s="2" t="inlineStr">
        <is>
          <t>K9089061</t>
        </is>
      </c>
      <c r="D248" s="2" t="inlineStr">
        <is>
          <t>a1</t>
        </is>
      </c>
      <c r="E248" s="2" t="inlineStr">
        <is>
          <t>2.0mm</t>
        </is>
      </c>
      <c r="F248" s="2" t="n">
        <v>1</v>
      </c>
      <c r="G248" s="2" t="n">
        <v>20</v>
      </c>
      <c r="H248" s="2" t="inlineStr">
        <is>
          <t>SC/PC</t>
        </is>
      </c>
      <c r="I248" s="2" t="inlineStr">
        <is>
          <t>SC/APC</t>
        </is>
      </c>
      <c r="J248" s="2" t="n">
        <v>50</v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>
        <v>10</v>
      </c>
      <c r="T248" s="2" t="n"/>
      <c r="U248" s="2" t="n"/>
      <c r="V248" s="2">
        <f>SUM(J248:U248)*G248</f>
        <v/>
      </c>
      <c r="W248" s="2">
        <f>MAX(J248:U248)</f>
        <v/>
      </c>
      <c r="X248" s="2">
        <f>W248*G248</f>
        <v/>
      </c>
    </row>
    <row r="249">
      <c r="A249" s="2" t="inlineStr">
        <is>
          <t>14-K-321</t>
        </is>
      </c>
      <c r="B249" s="3" t="inlineStr">
        <is>
          <t>OJC-A1-SC/SC-SM-20-PC/PC-DP</t>
        </is>
      </c>
      <c r="C249" s="2" t="inlineStr">
        <is>
          <t>K9089142</t>
        </is>
      </c>
      <c r="D249" s="2" t="inlineStr">
        <is>
          <t>a1</t>
        </is>
      </c>
      <c r="E249" s="2" t="inlineStr">
        <is>
          <t>2.0mm</t>
        </is>
      </c>
      <c r="F249" s="2" t="n">
        <v>2</v>
      </c>
      <c r="G249" s="2" t="n">
        <v>20</v>
      </c>
      <c r="H249" s="2" t="inlineStr">
        <is>
          <t>SC/PC</t>
        </is>
      </c>
      <c r="I249" s="2" t="inlineStr">
        <is>
          <t>SC/PC</t>
        </is>
      </c>
      <c r="J249" s="2" t="n"/>
      <c r="K249" s="2" t="n"/>
      <c r="L249" s="2" t="n"/>
      <c r="M249" s="2" t="n"/>
      <c r="N249" s="2" t="n"/>
      <c r="O249" s="2" t="n">
        <v>100</v>
      </c>
      <c r="P249" s="2" t="n"/>
      <c r="Q249" s="2" t="n"/>
      <c r="R249" s="2" t="n"/>
      <c r="S249" s="2" t="n"/>
      <c r="T249" s="2" t="n"/>
      <c r="U249" s="2" t="n"/>
      <c r="V249" s="2">
        <f>SUM(J249:U249)*G249</f>
        <v/>
      </c>
      <c r="W249" s="2">
        <f>MAX(J249:U249)</f>
        <v/>
      </c>
      <c r="X249" s="2">
        <f>W249*G249</f>
        <v/>
      </c>
    </row>
    <row r="250">
      <c r="A250" s="2" t="inlineStr">
        <is>
          <t>14-K-322</t>
        </is>
      </c>
      <c r="B250" s="3" t="inlineStr">
        <is>
          <t>OJC-A1-SC/SC-SM-20-PC/PC-SP</t>
        </is>
      </c>
      <c r="C250" s="2" t="inlineStr">
        <is>
          <t>K9089013</t>
        </is>
      </c>
      <c r="D250" s="2" t="inlineStr">
        <is>
          <t>a1</t>
        </is>
      </c>
      <c r="E250" s="2" t="inlineStr">
        <is>
          <t>2.0mm</t>
        </is>
      </c>
      <c r="F250" s="2" t="n">
        <v>1</v>
      </c>
      <c r="G250" s="2" t="n">
        <v>20</v>
      </c>
      <c r="H250" s="2" t="inlineStr">
        <is>
          <t>SC/PC</t>
        </is>
      </c>
      <c r="I250" s="2" t="inlineStr">
        <is>
          <t>SC/PC</t>
        </is>
      </c>
      <c r="J250" s="2" t="n">
        <v>300</v>
      </c>
      <c r="K250" s="2" t="n"/>
      <c r="L250" s="2" t="n"/>
      <c r="M250" s="2" t="n"/>
      <c r="N250" s="2" t="n">
        <v>200</v>
      </c>
      <c r="O250" s="2" t="n">
        <v>200</v>
      </c>
      <c r="P250" s="2" t="n"/>
      <c r="Q250" s="2" t="n"/>
      <c r="R250" s="2" t="n">
        <v>9</v>
      </c>
      <c r="S250" s="2" t="n">
        <v>161</v>
      </c>
      <c r="T250" s="2" t="n"/>
      <c r="U250" s="2" t="n">
        <v>10</v>
      </c>
      <c r="V250" s="2">
        <f>SUM(J250:U250)*G250</f>
        <v/>
      </c>
      <c r="W250" s="2">
        <f>MAX(J250:U250)</f>
        <v/>
      </c>
      <c r="X250" s="2">
        <f>W250*G250</f>
        <v/>
      </c>
    </row>
    <row r="251">
      <c r="A251" s="2" t="inlineStr">
        <is>
          <t>14-K-325</t>
        </is>
      </c>
      <c r="B251" s="3" t="inlineStr">
        <is>
          <t>OJC-A1-SC/SC-SM-22-PC/PC-DP</t>
        </is>
      </c>
      <c r="C251" s="2" t="inlineStr">
        <is>
          <t>K9089144</t>
        </is>
      </c>
      <c r="D251" s="2" t="inlineStr">
        <is>
          <t>a1</t>
        </is>
      </c>
      <c r="E251" s="2" t="inlineStr">
        <is>
          <t>2.0mm</t>
        </is>
      </c>
      <c r="F251" s="2" t="n">
        <v>2</v>
      </c>
      <c r="G251" s="2" t="n">
        <v>22</v>
      </c>
      <c r="H251" s="2" t="inlineStr">
        <is>
          <t>SC/PC</t>
        </is>
      </c>
      <c r="I251" s="2" t="inlineStr">
        <is>
          <t>SC/PC</t>
        </is>
      </c>
      <c r="J251" s="2" t="n"/>
      <c r="K251" s="2" t="n"/>
      <c r="L251" s="2" t="n"/>
      <c r="M251" s="2" t="n"/>
      <c r="N251" s="2" t="n">
        <v>50</v>
      </c>
      <c r="O251" s="2" t="n"/>
      <c r="P251" s="2" t="n"/>
      <c r="Q251" s="2" t="n"/>
      <c r="R251" s="2" t="n"/>
      <c r="S251" s="2" t="n"/>
      <c r="T251" s="2" t="n"/>
      <c r="U251" s="2" t="n">
        <v>30</v>
      </c>
      <c r="V251" s="2">
        <f>SUM(J251:U251)*G251</f>
        <v/>
      </c>
      <c r="W251" s="2">
        <f>MAX(J251:U251)</f>
        <v/>
      </c>
      <c r="X251" s="2">
        <f>W251*G251</f>
        <v/>
      </c>
    </row>
    <row r="252">
      <c r="A252" s="2" t="inlineStr">
        <is>
          <t>14-K-329</t>
        </is>
      </c>
      <c r="B252" s="3" t="inlineStr">
        <is>
          <t>OJC-A1-SC/SC-SM-24-PC/PC-DP</t>
        </is>
      </c>
      <c r="C252" s="2" t="inlineStr">
        <is>
          <t>K9089146</t>
        </is>
      </c>
      <c r="D252" s="2" t="inlineStr">
        <is>
          <t>a1</t>
        </is>
      </c>
      <c r="E252" s="2" t="inlineStr">
        <is>
          <t>2.0mm</t>
        </is>
      </c>
      <c r="F252" s="2" t="n">
        <v>2</v>
      </c>
      <c r="G252" s="2" t="n">
        <v>24</v>
      </c>
      <c r="H252" s="2" t="inlineStr">
        <is>
          <t>SC/PC</t>
        </is>
      </c>
      <c r="I252" s="2" t="inlineStr">
        <is>
          <t>SC/PC</t>
        </is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>
        <v>30</v>
      </c>
      <c r="V252" s="2">
        <f>SUM(J252:U252)*G252</f>
        <v/>
      </c>
      <c r="W252" s="2">
        <f>MAX(J252:U252)</f>
        <v/>
      </c>
      <c r="X252" s="2">
        <f>W252*G252</f>
        <v/>
      </c>
    </row>
    <row r="253">
      <c r="A253" s="2" t="inlineStr">
        <is>
          <t>14-K-335</t>
        </is>
      </c>
      <c r="B253" s="3" t="inlineStr">
        <is>
          <t>OJC-A1-SC/SC-SM-25-PC/APC-SP</t>
        </is>
      </c>
      <c r="C253" s="2" t="inlineStr">
        <is>
          <t>K9089062</t>
        </is>
      </c>
      <c r="D253" s="2" t="inlineStr">
        <is>
          <t>a1</t>
        </is>
      </c>
      <c r="E253" s="2" t="inlineStr">
        <is>
          <t>2.0mm</t>
        </is>
      </c>
      <c r="F253" s="2" t="n">
        <v>1</v>
      </c>
      <c r="G253" s="2" t="n">
        <v>25</v>
      </c>
      <c r="H253" s="2" t="inlineStr">
        <is>
          <t>SC/PC</t>
        </is>
      </c>
      <c r="I253" s="2" t="inlineStr">
        <is>
          <t>SC/APC</t>
        </is>
      </c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>
        <v>10</v>
      </c>
      <c r="T253" s="2" t="n"/>
      <c r="U253" s="2" t="n"/>
      <c r="V253" s="2">
        <f>SUM(J253:U253)*G253</f>
        <v/>
      </c>
      <c r="W253" s="2">
        <f>MAX(J253:U253)</f>
        <v/>
      </c>
      <c r="X253" s="2">
        <f>W253*G253</f>
        <v/>
      </c>
    </row>
    <row r="254">
      <c r="A254" s="2" t="inlineStr">
        <is>
          <t>14-K-336</t>
        </is>
      </c>
      <c r="B254" s="3" t="inlineStr">
        <is>
          <t>OJC-A1-SC/SC-SM-25-PC/PC-DP</t>
        </is>
      </c>
      <c r="C254" s="2" t="inlineStr">
        <is>
          <t>K9089147</t>
        </is>
      </c>
      <c r="D254" s="2" t="inlineStr">
        <is>
          <t>a1</t>
        </is>
      </c>
      <c r="E254" s="2" t="inlineStr">
        <is>
          <t>2.0mm</t>
        </is>
      </c>
      <c r="F254" s="2" t="n">
        <v>2</v>
      </c>
      <c r="G254" s="2" t="n">
        <v>25</v>
      </c>
      <c r="H254" s="2" t="inlineStr">
        <is>
          <t>SC/PC</t>
        </is>
      </c>
      <c r="I254" s="2" t="inlineStr">
        <is>
          <t>SC/PC</t>
        </is>
      </c>
      <c r="J254" s="2" t="n"/>
      <c r="K254" s="2" t="n"/>
      <c r="L254" s="2" t="n"/>
      <c r="M254" s="2" t="n"/>
      <c r="N254" s="2" t="n"/>
      <c r="O254" s="2" t="n"/>
      <c r="P254" s="2" t="n"/>
      <c r="Q254" s="2" t="n">
        <v>130</v>
      </c>
      <c r="R254" s="2" t="n"/>
      <c r="S254" s="2" t="n"/>
      <c r="T254" s="2" t="n"/>
      <c r="U254" s="2" t="n"/>
      <c r="V254" s="2">
        <f>SUM(J254:U254)*G254</f>
        <v/>
      </c>
      <c r="W254" s="2">
        <f>MAX(J254:U254)</f>
        <v/>
      </c>
      <c r="X254" s="2">
        <f>W254*G254</f>
        <v/>
      </c>
    </row>
    <row r="255">
      <c r="A255" s="2" t="inlineStr">
        <is>
          <t>14-K-337</t>
        </is>
      </c>
      <c r="B255" s="3" t="inlineStr">
        <is>
          <t>OJC-A1-SC/SC-SM-25-PC/PC-SP</t>
        </is>
      </c>
      <c r="C255" s="2" t="inlineStr">
        <is>
          <t>K9089018</t>
        </is>
      </c>
      <c r="D255" s="2" t="inlineStr">
        <is>
          <t>a1</t>
        </is>
      </c>
      <c r="E255" s="2" t="inlineStr">
        <is>
          <t>2.0mm</t>
        </is>
      </c>
      <c r="F255" s="2" t="n">
        <v>1</v>
      </c>
      <c r="G255" s="2" t="n">
        <v>25</v>
      </c>
      <c r="H255" s="2" t="inlineStr">
        <is>
          <t>SC/PC</t>
        </is>
      </c>
      <c r="I255" s="2" t="inlineStr">
        <is>
          <t>SC/PC</t>
        </is>
      </c>
      <c r="J255" s="2" t="n"/>
      <c r="K255" s="2" t="n"/>
      <c r="L255" s="2" t="n"/>
      <c r="M255" s="2" t="n"/>
      <c r="N255" s="2" t="n"/>
      <c r="O255" s="2" t="n"/>
      <c r="P255" s="2" t="n"/>
      <c r="Q255" s="2" t="n">
        <v>145</v>
      </c>
      <c r="R255" s="2" t="n">
        <v>80</v>
      </c>
      <c r="S255" s="2" t="n">
        <v>100</v>
      </c>
      <c r="T255" s="2" t="n"/>
      <c r="U255" s="2" t="n">
        <v>1</v>
      </c>
      <c r="V255" s="2">
        <f>SUM(J255:U255)*G255</f>
        <v/>
      </c>
      <c r="W255" s="2">
        <f>MAX(J255:U255)</f>
        <v/>
      </c>
      <c r="X255" s="2">
        <f>W255*G255</f>
        <v/>
      </c>
    </row>
    <row r="256">
      <c r="A256" s="2" t="inlineStr">
        <is>
          <t>14-K-340</t>
        </is>
      </c>
      <c r="B256" s="3" t="inlineStr">
        <is>
          <t>OJC-A1-SC/SC-SM-27-PC/PC-SP</t>
        </is>
      </c>
      <c r="C256" s="2" t="inlineStr">
        <is>
          <t>K9089020</t>
        </is>
      </c>
      <c r="D256" s="2" t="inlineStr">
        <is>
          <t>a1</t>
        </is>
      </c>
      <c r="E256" s="2" t="inlineStr">
        <is>
          <t>2.0mm</t>
        </is>
      </c>
      <c r="F256" s="2" t="n">
        <v>1</v>
      </c>
      <c r="G256" s="2" t="n">
        <v>27</v>
      </c>
      <c r="H256" s="2" t="inlineStr">
        <is>
          <t>SC/PC</t>
        </is>
      </c>
      <c r="I256" s="2" t="inlineStr">
        <is>
          <t>SC/PC</t>
        </is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>
        <v>10</v>
      </c>
      <c r="V256" s="2">
        <f>SUM(J256:U256)*G256</f>
        <v/>
      </c>
      <c r="W256" s="2">
        <f>MAX(J256:U256)</f>
        <v/>
      </c>
      <c r="X256" s="2">
        <f>W256*G256</f>
        <v/>
      </c>
    </row>
    <row r="257">
      <c r="A257" s="2" t="inlineStr">
        <is>
          <t>14-K-341</t>
        </is>
      </c>
      <c r="B257" s="3" t="inlineStr">
        <is>
          <t>OJC-A1-SC/SC-SM-28-PC/PC-DP</t>
        </is>
      </c>
      <c r="C257" s="2" t="inlineStr">
        <is>
          <t>K9089150</t>
        </is>
      </c>
      <c r="D257" s="2" t="inlineStr">
        <is>
          <t>a1</t>
        </is>
      </c>
      <c r="E257" s="2" t="inlineStr">
        <is>
          <t>2.0mm</t>
        </is>
      </c>
      <c r="F257" s="2" t="n">
        <v>2</v>
      </c>
      <c r="G257" s="2" t="n">
        <v>28</v>
      </c>
      <c r="H257" s="2" t="inlineStr">
        <is>
          <t>SC/PC</t>
        </is>
      </c>
      <c r="I257" s="2" t="inlineStr">
        <is>
          <t>SC/PC</t>
        </is>
      </c>
      <c r="J257" s="2" t="n"/>
      <c r="K257" s="2" t="n"/>
      <c r="L257" s="2" t="n"/>
      <c r="M257" s="2" t="n"/>
      <c r="N257" s="2" t="n">
        <v>50</v>
      </c>
      <c r="O257" s="2" t="n"/>
      <c r="P257" s="2" t="n"/>
      <c r="Q257" s="2" t="n"/>
      <c r="R257" s="2" t="n"/>
      <c r="S257" s="2" t="n"/>
      <c r="T257" s="2" t="n"/>
      <c r="U257" s="2" t="n"/>
      <c r="V257" s="2">
        <f>SUM(J257:U257)*G257</f>
        <v/>
      </c>
      <c r="W257" s="2">
        <f>MAX(J257:U257)</f>
        <v/>
      </c>
      <c r="X257" s="2">
        <f>W257*G257</f>
        <v/>
      </c>
    </row>
    <row r="258">
      <c r="A258" s="2" t="inlineStr">
        <is>
          <t>14-K-342</t>
        </is>
      </c>
      <c r="B258" s="3" t="inlineStr">
        <is>
          <t>OJC-A1-SC/SC-SM-29-PC/PC-SP</t>
        </is>
      </c>
      <c r="C258" s="2" t="inlineStr">
        <is>
          <t>K9089022</t>
        </is>
      </c>
      <c r="D258" s="2" t="inlineStr">
        <is>
          <t>a1</t>
        </is>
      </c>
      <c r="E258" s="2" t="inlineStr">
        <is>
          <t>2.0mm</t>
        </is>
      </c>
      <c r="F258" s="2" t="n">
        <v>1</v>
      </c>
      <c r="G258" s="2" t="n">
        <v>29</v>
      </c>
      <c r="H258" s="2" t="inlineStr">
        <is>
          <t>SC/PC</t>
        </is>
      </c>
      <c r="I258" s="2" t="inlineStr">
        <is>
          <t>SC/PC</t>
        </is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>
        <v>10</v>
      </c>
      <c r="V258" s="2">
        <f>SUM(J258:U258)*G258</f>
        <v/>
      </c>
      <c r="W258" s="2">
        <f>MAX(J258:U258)</f>
        <v/>
      </c>
      <c r="X258" s="2">
        <f>W258*G258</f>
        <v/>
      </c>
    </row>
    <row r="259">
      <c r="A259" s="2" t="inlineStr">
        <is>
          <t>14-K-351</t>
        </is>
      </c>
      <c r="B259" s="3" t="inlineStr">
        <is>
          <t>OJC-A1-SC/SC-SM-30-PC/APC-SP</t>
        </is>
      </c>
      <c r="C259" s="2" t="inlineStr">
        <is>
          <t>K9089063</t>
        </is>
      </c>
      <c r="D259" s="2" t="inlineStr">
        <is>
          <t>a1</t>
        </is>
      </c>
      <c r="E259" s="2" t="inlineStr">
        <is>
          <t>2.0mm</t>
        </is>
      </c>
      <c r="F259" s="2" t="n">
        <v>1</v>
      </c>
      <c r="G259" s="2" t="n">
        <v>30</v>
      </c>
      <c r="H259" s="2" t="inlineStr">
        <is>
          <t>SC/PC</t>
        </is>
      </c>
      <c r="I259" s="2" t="inlineStr">
        <is>
          <t>SC/APC</t>
        </is>
      </c>
      <c r="J259" s="2" t="n">
        <v>50</v>
      </c>
      <c r="K259" s="2" t="n">
        <v>1</v>
      </c>
      <c r="L259" s="2" t="n"/>
      <c r="M259" s="2" t="n"/>
      <c r="N259" s="2" t="n"/>
      <c r="O259" s="2" t="n"/>
      <c r="P259" s="2" t="n"/>
      <c r="Q259" s="2" t="n">
        <v>4</v>
      </c>
      <c r="R259" s="2" t="n"/>
      <c r="S259" s="2" t="n"/>
      <c r="T259" s="2" t="n"/>
      <c r="U259" s="2" t="n"/>
      <c r="V259" s="2">
        <f>SUM(J259:U259)*G259</f>
        <v/>
      </c>
      <c r="W259" s="2">
        <f>MAX(J259:U259)</f>
        <v/>
      </c>
      <c r="X259" s="2">
        <f>W259*G259</f>
        <v/>
      </c>
    </row>
    <row r="260">
      <c r="A260" s="2" t="inlineStr">
        <is>
          <t>14-K-352</t>
        </is>
      </c>
      <c r="B260" s="3" t="inlineStr">
        <is>
          <t>OJC-A1-SC/SC-SM-30-PC/PC-DP</t>
        </is>
      </c>
      <c r="C260" s="2" t="inlineStr">
        <is>
          <t>K9089152</t>
        </is>
      </c>
      <c r="D260" s="2" t="inlineStr">
        <is>
          <t>a1</t>
        </is>
      </c>
      <c r="E260" s="2" t="inlineStr">
        <is>
          <t>2.0mm</t>
        </is>
      </c>
      <c r="F260" s="2" t="n">
        <v>2</v>
      </c>
      <c r="G260" s="2" t="n">
        <v>30</v>
      </c>
      <c r="H260" s="2" t="inlineStr">
        <is>
          <t>SC/PC</t>
        </is>
      </c>
      <c r="I260" s="2" t="inlineStr">
        <is>
          <t>SC/PC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>
        <v>440</v>
      </c>
      <c r="R260" s="2" t="n">
        <v>19</v>
      </c>
      <c r="S260" s="2" t="n">
        <v>150</v>
      </c>
      <c r="T260" s="2" t="n"/>
      <c r="U260" s="2" t="n"/>
      <c r="V260" s="2">
        <f>SUM(J260:U260)*G260</f>
        <v/>
      </c>
      <c r="W260" s="2">
        <f>MAX(J260:U260)</f>
        <v/>
      </c>
      <c r="X260" s="2">
        <f>W260*G260</f>
        <v/>
      </c>
    </row>
    <row r="261">
      <c r="A261" s="2" t="inlineStr">
        <is>
          <t>14-K-353</t>
        </is>
      </c>
      <c r="B261" s="3" t="inlineStr">
        <is>
          <t>OJC-A1-SC/SC-SM-30-PC/PC-SP</t>
        </is>
      </c>
      <c r="C261" s="2" t="inlineStr">
        <is>
          <t>K9089023</t>
        </is>
      </c>
      <c r="D261" s="2" t="inlineStr">
        <is>
          <t>a1</t>
        </is>
      </c>
      <c r="E261" s="2" t="inlineStr">
        <is>
          <t>2.0mm</t>
        </is>
      </c>
      <c r="F261" s="2" t="n">
        <v>1</v>
      </c>
      <c r="G261" s="2" t="n">
        <v>30</v>
      </c>
      <c r="H261" s="2" t="inlineStr">
        <is>
          <t>SC/PC</t>
        </is>
      </c>
      <c r="I261" s="2" t="inlineStr">
        <is>
          <t>SC/PC</t>
        </is>
      </c>
      <c r="J261" s="2" t="n"/>
      <c r="K261" s="2" t="n"/>
      <c r="L261" s="2" t="n"/>
      <c r="M261" s="2" t="n">
        <v>191</v>
      </c>
      <c r="N261" s="2" t="n">
        <v>180</v>
      </c>
      <c r="O261" s="2" t="n">
        <v>100</v>
      </c>
      <c r="P261" s="2" t="n"/>
      <c r="Q261" s="2" t="n"/>
      <c r="R261" s="2" t="n"/>
      <c r="S261" s="2" t="n"/>
      <c r="T261" s="2" t="n"/>
      <c r="U261" s="2" t="n"/>
      <c r="V261" s="2">
        <f>SUM(J261:U261)*G261</f>
        <v/>
      </c>
      <c r="W261" s="2">
        <f>MAX(J261:U261)</f>
        <v/>
      </c>
      <c r="X261" s="2">
        <f>W261*G261</f>
        <v/>
      </c>
    </row>
    <row r="262">
      <c r="A262" s="2" t="inlineStr">
        <is>
          <t>14-K-354</t>
        </is>
      </c>
      <c r="B262" s="3" t="inlineStr">
        <is>
          <t>OJC-A1-SC/SC-SM-35-PC/PC-DP</t>
        </is>
      </c>
      <c r="C262" s="2" t="inlineStr">
        <is>
          <t>K9089153</t>
        </is>
      </c>
      <c r="D262" s="2" t="inlineStr">
        <is>
          <t>a1</t>
        </is>
      </c>
      <c r="E262" s="2" t="inlineStr">
        <is>
          <t>2.0mm</t>
        </is>
      </c>
      <c r="F262" s="2" t="n">
        <v>2</v>
      </c>
      <c r="G262" s="2" t="n">
        <v>35</v>
      </c>
      <c r="H262" s="2" t="inlineStr">
        <is>
          <t>SC/PC</t>
        </is>
      </c>
      <c r="I262" s="2" t="inlineStr">
        <is>
          <t>SC/PC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>
        <v>9</v>
      </c>
      <c r="R262" s="2" t="n"/>
      <c r="S262" s="2" t="n">
        <v>50</v>
      </c>
      <c r="T262" s="2" t="n"/>
      <c r="U262" s="2" t="n"/>
      <c r="V262" s="2">
        <f>SUM(J262:U262)*G262</f>
        <v/>
      </c>
      <c r="W262" s="2">
        <f>MAX(J262:U262)</f>
        <v/>
      </c>
      <c r="X262" s="2">
        <f>W262*G262</f>
        <v/>
      </c>
    </row>
    <row r="263">
      <c r="A263" s="2" t="inlineStr">
        <is>
          <t>14-K-355</t>
        </is>
      </c>
      <c r="B263" s="3" t="inlineStr">
        <is>
          <t>OJC-A1-SC/SC-SM-35-PC/PC-SP</t>
        </is>
      </c>
      <c r="C263" s="2" t="inlineStr">
        <is>
          <t>K9089024</t>
        </is>
      </c>
      <c r="D263" s="2" t="inlineStr">
        <is>
          <t>a1</t>
        </is>
      </c>
      <c r="E263" s="2" t="inlineStr">
        <is>
          <t>2.0mm</t>
        </is>
      </c>
      <c r="F263" s="2" t="n">
        <v>1</v>
      </c>
      <c r="G263" s="2" t="n">
        <v>35</v>
      </c>
      <c r="H263" s="2" t="inlineStr">
        <is>
          <t>SC/PC</t>
        </is>
      </c>
      <c r="I263" s="2" t="inlineStr">
        <is>
          <t>SC/PC</t>
        </is>
      </c>
      <c r="J263" s="2" t="n"/>
      <c r="K263" s="2" t="n"/>
      <c r="L263" s="2" t="n"/>
      <c r="M263" s="2" t="n">
        <v>160</v>
      </c>
      <c r="N263" s="2" t="n"/>
      <c r="O263" s="2" t="n">
        <v>1</v>
      </c>
      <c r="P263" s="2" t="n"/>
      <c r="Q263" s="2" t="n">
        <v>4</v>
      </c>
      <c r="R263" s="2" t="n"/>
      <c r="S263" s="2" t="n"/>
      <c r="T263" s="2" t="n"/>
      <c r="U263" s="2" t="n"/>
      <c r="V263" s="2">
        <f>SUM(J263:U263)*G263</f>
        <v/>
      </c>
      <c r="W263" s="2">
        <f>MAX(J263:U263)</f>
        <v/>
      </c>
      <c r="X263" s="2">
        <f>W263*G263</f>
        <v/>
      </c>
    </row>
    <row r="264">
      <c r="A264" s="2" t="inlineStr">
        <is>
          <t>14-K-356</t>
        </is>
      </c>
      <c r="B264" s="3" t="inlineStr">
        <is>
          <t>OJC-A1-SC/SC-SM-3-APC/APC-DP</t>
        </is>
      </c>
      <c r="C264" s="2" t="inlineStr"/>
      <c r="D264" s="2" t="inlineStr">
        <is>
          <t>a1</t>
        </is>
      </c>
      <c r="E264" s="2" t="inlineStr">
        <is>
          <t>2.0mm</t>
        </is>
      </c>
      <c r="F264" s="2" t="n">
        <v>2</v>
      </c>
      <c r="G264" s="2" t="n">
        <v>3</v>
      </c>
      <c r="H264" s="2" t="inlineStr">
        <is>
          <t>SC/APC</t>
        </is>
      </c>
      <c r="I264" s="2" t="inlineStr">
        <is>
          <t>SC/APC</t>
        </is>
      </c>
      <c r="J264" s="2" t="n"/>
      <c r="K264" s="2" t="n"/>
      <c r="L264" s="2" t="n">
        <v>91</v>
      </c>
      <c r="M264" s="2" t="n"/>
      <c r="N264" s="2" t="n"/>
      <c r="O264" s="2" t="n"/>
      <c r="P264" s="2" t="n"/>
      <c r="Q264" s="2" t="n">
        <v>50</v>
      </c>
      <c r="R264" s="2" t="n"/>
      <c r="S264" s="2" t="n"/>
      <c r="T264" s="2" t="n"/>
      <c r="U264" s="2" t="n"/>
      <c r="V264" s="2">
        <f>SUM(J264:U264)*G264</f>
        <v/>
      </c>
      <c r="W264" s="2">
        <f>MAX(J264:U264)</f>
        <v/>
      </c>
      <c r="X264" s="2">
        <f>W264*G264</f>
        <v/>
      </c>
    </row>
    <row r="265">
      <c r="A265" s="2" t="inlineStr">
        <is>
          <t>14-K-357</t>
        </is>
      </c>
      <c r="B265" s="3" t="inlineStr">
        <is>
          <t>OJC-A1-SC/SC-SM-3-APC/APC-SP</t>
        </is>
      </c>
      <c r="C265" s="2" t="inlineStr">
        <is>
          <t>K9089111</t>
        </is>
      </c>
      <c r="D265" s="2" t="inlineStr">
        <is>
          <t>a1</t>
        </is>
      </c>
      <c r="E265" s="2" t="inlineStr">
        <is>
          <t>2.0mm</t>
        </is>
      </c>
      <c r="F265" s="2" t="n">
        <v>1</v>
      </c>
      <c r="G265" s="2" t="n">
        <v>3</v>
      </c>
      <c r="H265" s="2" t="inlineStr">
        <is>
          <t>SC/APC</t>
        </is>
      </c>
      <c r="I265" s="2" t="inlineStr">
        <is>
          <t>SC/APC</t>
        </is>
      </c>
      <c r="J265" s="2" t="n">
        <v>10</v>
      </c>
      <c r="K265" s="2" t="n"/>
      <c r="L265" s="2" t="n"/>
      <c r="M265" s="2" t="n"/>
      <c r="N265" s="2" t="n">
        <v>100</v>
      </c>
      <c r="O265" s="2" t="n">
        <v>500</v>
      </c>
      <c r="P265" s="2" t="n"/>
      <c r="Q265" s="2" t="n"/>
      <c r="R265" s="2" t="n"/>
      <c r="S265" s="2" t="n"/>
      <c r="T265" s="2" t="n">
        <v>40</v>
      </c>
      <c r="U265" s="2" t="n">
        <v>792</v>
      </c>
      <c r="V265" s="2">
        <f>SUM(J265:U265)*G265</f>
        <v/>
      </c>
      <c r="W265" s="2">
        <f>MAX(J265:U265)</f>
        <v/>
      </c>
      <c r="X265" s="2">
        <f>W265*G265</f>
        <v/>
      </c>
    </row>
    <row r="266">
      <c r="A266" s="2" t="inlineStr">
        <is>
          <t>14-K-359</t>
        </is>
      </c>
      <c r="B266" s="3" t="inlineStr">
        <is>
          <t>OJC-A1-SC/SC-SM-3-PC/APC-DP</t>
        </is>
      </c>
      <c r="C266" s="2" t="inlineStr">
        <is>
          <t>K9089186</t>
        </is>
      </c>
      <c r="D266" s="2" t="inlineStr">
        <is>
          <t>a1</t>
        </is>
      </c>
      <c r="E266" s="2" t="inlineStr">
        <is>
          <t>2.0mm</t>
        </is>
      </c>
      <c r="F266" s="2" t="n">
        <v>2</v>
      </c>
      <c r="G266" s="2" t="n">
        <v>3</v>
      </c>
      <c r="H266" s="2" t="inlineStr">
        <is>
          <t>SC/PC</t>
        </is>
      </c>
      <c r="I266" s="2" t="inlineStr">
        <is>
          <t>SC/APC</t>
        </is>
      </c>
      <c r="J266" s="2" t="n"/>
      <c r="K266" s="2" t="n"/>
      <c r="L266" s="2" t="n"/>
      <c r="M266" s="2" t="n">
        <v>59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>
        <f>SUM(J266:U266)*G266</f>
        <v/>
      </c>
      <c r="W266" s="2">
        <f>MAX(J266:U266)</f>
        <v/>
      </c>
      <c r="X266" s="2">
        <f>W266*G266</f>
        <v/>
      </c>
    </row>
    <row r="267">
      <c r="A267" s="2" t="inlineStr">
        <is>
          <t>14-K-360</t>
        </is>
      </c>
      <c r="B267" s="3" t="inlineStr">
        <is>
          <t>OJC-A1-SC/SC-SM-3-PC/APC-SP</t>
        </is>
      </c>
      <c r="C267" s="2" t="inlineStr">
        <is>
          <t>K9089057</t>
        </is>
      </c>
      <c r="D267" s="2" t="inlineStr">
        <is>
          <t>a1</t>
        </is>
      </c>
      <c r="E267" s="2" t="inlineStr">
        <is>
          <t>2.0mm</t>
        </is>
      </c>
      <c r="F267" s="2" t="n">
        <v>1</v>
      </c>
      <c r="G267" s="2" t="n">
        <v>3</v>
      </c>
      <c r="H267" s="2" t="inlineStr">
        <is>
          <t>SC/PC</t>
        </is>
      </c>
      <c r="I267" s="2" t="inlineStr">
        <is>
          <t>SC/APC</t>
        </is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>
        <v>150</v>
      </c>
      <c r="V267" s="2">
        <f>SUM(J267:U267)*G267</f>
        <v/>
      </c>
      <c r="W267" s="2">
        <f>MAX(J267:U267)</f>
        <v/>
      </c>
      <c r="X267" s="2">
        <f>W267*G267</f>
        <v/>
      </c>
    </row>
    <row r="268">
      <c r="A268" s="2" t="inlineStr">
        <is>
          <t>14-K-361</t>
        </is>
      </c>
      <c r="B268" s="3" t="inlineStr">
        <is>
          <t>OJC-A1-SC/SC-SM-3-PC/PC-DP</t>
        </is>
      </c>
      <c r="C268" s="2" t="inlineStr">
        <is>
          <t>K9089125</t>
        </is>
      </c>
      <c r="D268" s="2" t="inlineStr">
        <is>
          <t>a1</t>
        </is>
      </c>
      <c r="E268" s="2" t="inlineStr">
        <is>
          <t>2.0mm</t>
        </is>
      </c>
      <c r="F268" s="2" t="n">
        <v>2</v>
      </c>
      <c r="G268" s="2" t="n">
        <v>3</v>
      </c>
      <c r="H268" s="2" t="inlineStr">
        <is>
          <t>SC/PC</t>
        </is>
      </c>
      <c r="I268" s="2" t="inlineStr">
        <is>
          <t>SC/PC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>
        <v>63</v>
      </c>
      <c r="R268" s="2" t="n"/>
      <c r="S268" s="2" t="n"/>
      <c r="T268" s="2" t="n"/>
      <c r="U268" s="2" t="n"/>
      <c r="V268" s="2">
        <f>SUM(J268:U268)*G268</f>
        <v/>
      </c>
      <c r="W268" s="2">
        <f>MAX(J268:U268)</f>
        <v/>
      </c>
      <c r="X268" s="2">
        <f>W268*G268</f>
        <v/>
      </c>
    </row>
    <row r="269">
      <c r="A269" s="2" t="inlineStr">
        <is>
          <t>14-K-362</t>
        </is>
      </c>
      <c r="B269" s="3" t="inlineStr">
        <is>
          <t>OJC-A1-SC/SC-SM-3-PC/PC-SP</t>
        </is>
      </c>
      <c r="C269" s="2" t="inlineStr">
        <is>
          <t>K9088996</t>
        </is>
      </c>
      <c r="D269" s="2" t="inlineStr">
        <is>
          <t>a1</t>
        </is>
      </c>
      <c r="E269" s="2" t="inlineStr">
        <is>
          <t>2.0mm</t>
        </is>
      </c>
      <c r="F269" s="2" t="n">
        <v>1</v>
      </c>
      <c r="G269" s="2" t="n">
        <v>3</v>
      </c>
      <c r="H269" s="2" t="inlineStr">
        <is>
          <t>SC/PC</t>
        </is>
      </c>
      <c r="I269" s="2" t="inlineStr">
        <is>
          <t>SC/PC</t>
        </is>
      </c>
      <c r="J269" s="2" t="n"/>
      <c r="K269" s="2" t="n">
        <v>2000</v>
      </c>
      <c r="L269" s="2" t="n"/>
      <c r="M269" s="2" t="n"/>
      <c r="N269" s="2" t="n"/>
      <c r="O269" s="2" t="n">
        <v>300</v>
      </c>
      <c r="P269" s="2" t="n"/>
      <c r="Q269" s="2" t="n"/>
      <c r="R269" s="2" t="n"/>
      <c r="S269" s="2" t="n"/>
      <c r="T269" s="2" t="n"/>
      <c r="U269" s="2" t="n">
        <v>600</v>
      </c>
      <c r="V269" s="2">
        <f>SUM(J269:U269)*G269</f>
        <v/>
      </c>
      <c r="W269" s="2">
        <f>MAX(J269:U269)</f>
        <v/>
      </c>
      <c r="X269" s="2">
        <f>W269*G269</f>
        <v/>
      </c>
    </row>
    <row r="270">
      <c r="A270" s="2" t="inlineStr">
        <is>
          <t>14-K-364</t>
        </is>
      </c>
      <c r="B270" s="3" t="inlineStr">
        <is>
          <t>OJC-A1-SC/SC-SM-40-PC/PC-DP</t>
        </is>
      </c>
      <c r="C270" s="2" t="inlineStr">
        <is>
          <t>K9089154</t>
        </is>
      </c>
      <c r="D270" s="2" t="inlineStr">
        <is>
          <t>a1</t>
        </is>
      </c>
      <c r="E270" s="2" t="inlineStr">
        <is>
          <t>2.0mm</t>
        </is>
      </c>
      <c r="F270" s="2" t="n">
        <v>2</v>
      </c>
      <c r="G270" s="2" t="n">
        <v>40</v>
      </c>
      <c r="H270" s="2" t="inlineStr">
        <is>
          <t>SC/PC</t>
        </is>
      </c>
      <c r="I270" s="2" t="inlineStr">
        <is>
          <t>SC/PC</t>
        </is>
      </c>
      <c r="J270" s="2" t="n"/>
      <c r="K270" s="2" t="n"/>
      <c r="L270" s="2" t="n"/>
      <c r="M270" s="2" t="n"/>
      <c r="N270" s="2" t="n"/>
      <c r="O270" s="2" t="n"/>
      <c r="P270" s="2" t="n"/>
      <c r="Q270" s="2" t="n">
        <v>181</v>
      </c>
      <c r="R270" s="2" t="n"/>
      <c r="S270" s="2" t="n">
        <v>59</v>
      </c>
      <c r="T270" s="2" t="n"/>
      <c r="U270" s="2" t="n">
        <v>10</v>
      </c>
      <c r="V270" s="2">
        <f>SUM(J270:U270)*G270</f>
        <v/>
      </c>
      <c r="W270" s="2">
        <f>MAX(J270:U270)</f>
        <v/>
      </c>
      <c r="X270" s="2">
        <f>W270*G270</f>
        <v/>
      </c>
    </row>
    <row r="271">
      <c r="A271" s="2" t="inlineStr">
        <is>
          <t>14-K-365</t>
        </is>
      </c>
      <c r="B271" s="3" t="inlineStr">
        <is>
          <t>OJC-A1-SC/SC-SM-40-PC/PC-SP</t>
        </is>
      </c>
      <c r="C271" s="2" t="inlineStr">
        <is>
          <t>K9089025</t>
        </is>
      </c>
      <c r="D271" s="2" t="inlineStr">
        <is>
          <t>a1</t>
        </is>
      </c>
      <c r="E271" s="2" t="inlineStr">
        <is>
          <t>2.0mm</t>
        </is>
      </c>
      <c r="F271" s="2" t="n">
        <v>1</v>
      </c>
      <c r="G271" s="2" t="n">
        <v>40</v>
      </c>
      <c r="H271" s="2" t="inlineStr">
        <is>
          <t>SC/PC</t>
        </is>
      </c>
      <c r="I271" s="2" t="inlineStr">
        <is>
          <t>SC/PC</t>
        </is>
      </c>
      <c r="J271" s="2" t="n"/>
      <c r="K271" s="2" t="n">
        <v>1</v>
      </c>
      <c r="L271" s="2" t="n"/>
      <c r="M271" s="2" t="n"/>
      <c r="N271" s="2" t="n">
        <v>40</v>
      </c>
      <c r="O271" s="2" t="n"/>
      <c r="P271" s="2" t="n"/>
      <c r="Q271" s="2" t="n"/>
      <c r="R271" s="2" t="n"/>
      <c r="S271" s="2" t="n">
        <v>1</v>
      </c>
      <c r="T271" s="2" t="n"/>
      <c r="U271" s="2" t="n">
        <v>10</v>
      </c>
      <c r="V271" s="2">
        <f>SUM(J271:U271)*G271</f>
        <v/>
      </c>
      <c r="W271" s="2">
        <f>MAX(J271:U271)</f>
        <v/>
      </c>
      <c r="X271" s="2">
        <f>W271*G271</f>
        <v/>
      </c>
    </row>
    <row r="272">
      <c r="A272" s="2" t="inlineStr">
        <is>
          <t>14-K-366</t>
        </is>
      </c>
      <c r="B272" s="3" t="inlineStr">
        <is>
          <t>OJC-A1-SC/SC-SM-45-PC/PC-DP</t>
        </is>
      </c>
      <c r="C272" s="2" t="inlineStr">
        <is>
          <t>K9089155</t>
        </is>
      </c>
      <c r="D272" s="2" t="inlineStr">
        <is>
          <t>a1</t>
        </is>
      </c>
      <c r="E272" s="2" t="inlineStr">
        <is>
          <t>2.0mm</t>
        </is>
      </c>
      <c r="F272" s="2" t="n">
        <v>2</v>
      </c>
      <c r="G272" s="2" t="n">
        <v>45</v>
      </c>
      <c r="H272" s="2" t="inlineStr">
        <is>
          <t>SC/PC</t>
        </is>
      </c>
      <c r="I272" s="2" t="inlineStr">
        <is>
          <t>SC/PC</t>
        </is>
      </c>
      <c r="J272" s="2" t="n"/>
      <c r="K272" s="2" t="n"/>
      <c r="L272" s="2" t="n"/>
      <c r="M272" s="2" t="n"/>
      <c r="N272" s="2" t="n"/>
      <c r="O272" s="2" t="n">
        <v>2</v>
      </c>
      <c r="P272" s="2" t="n"/>
      <c r="Q272" s="2" t="n"/>
      <c r="R272" s="2" t="n"/>
      <c r="S272" s="2" t="n"/>
      <c r="T272" s="2" t="n"/>
      <c r="U272" s="2" t="n"/>
      <c r="V272" s="2">
        <f>SUM(J272:U272)*G272</f>
        <v/>
      </c>
      <c r="W272" s="2">
        <f>MAX(J272:U272)</f>
        <v/>
      </c>
      <c r="X272" s="2">
        <f>W272*G272</f>
        <v/>
      </c>
    </row>
    <row r="273">
      <c r="A273" s="2" t="inlineStr">
        <is>
          <t>14-K-367</t>
        </is>
      </c>
      <c r="B273" s="3" t="inlineStr">
        <is>
          <t>OJC-A1-SC/SC-SM-45-PC/PC-SP</t>
        </is>
      </c>
      <c r="C273" s="2" t="inlineStr">
        <is>
          <t>K9089026</t>
        </is>
      </c>
      <c r="D273" s="2" t="inlineStr">
        <is>
          <t>a1</t>
        </is>
      </c>
      <c r="E273" s="2" t="inlineStr">
        <is>
          <t>2.0mm</t>
        </is>
      </c>
      <c r="F273" s="2" t="n">
        <v>1</v>
      </c>
      <c r="G273" s="2" t="n">
        <v>45</v>
      </c>
      <c r="H273" s="2" t="inlineStr">
        <is>
          <t>SC/PC</t>
        </is>
      </c>
      <c r="I273" s="2" t="inlineStr">
        <is>
          <t>SC/PC</t>
        </is>
      </c>
      <c r="J273" s="2" t="n"/>
      <c r="K273" s="2" t="n"/>
      <c r="L273" s="2" t="n"/>
      <c r="M273" s="2" t="n"/>
      <c r="N273" s="2" t="n"/>
      <c r="O273" s="2" t="n"/>
      <c r="P273" s="2" t="n"/>
      <c r="Q273" s="2" t="n">
        <v>10</v>
      </c>
      <c r="R273" s="2" t="n"/>
      <c r="S273" s="2" t="n"/>
      <c r="T273" s="2" t="n"/>
      <c r="U273" s="2" t="n"/>
      <c r="V273" s="2">
        <f>SUM(J273:U273)*G273</f>
        <v/>
      </c>
      <c r="W273" s="2">
        <f>MAX(J273:U273)</f>
        <v/>
      </c>
      <c r="X273" s="2">
        <f>W273*G273</f>
        <v/>
      </c>
    </row>
    <row r="274">
      <c r="A274" s="2" t="inlineStr">
        <is>
          <t>14-K-368</t>
        </is>
      </c>
      <c r="B274" s="3" t="inlineStr">
        <is>
          <t>OJC-A1-SC/SC-SM-4-PC/PC-DP</t>
        </is>
      </c>
      <c r="C274" s="2" t="inlineStr">
        <is>
          <t>K9089126</t>
        </is>
      </c>
      <c r="D274" s="2" t="inlineStr">
        <is>
          <t>a1</t>
        </is>
      </c>
      <c r="E274" s="2" t="inlineStr">
        <is>
          <t>2.0mm</t>
        </is>
      </c>
      <c r="F274" s="2" t="n">
        <v>2</v>
      </c>
      <c r="G274" s="2" t="n">
        <v>4</v>
      </c>
      <c r="H274" s="2" t="inlineStr">
        <is>
          <t>SC/PC</t>
        </is>
      </c>
      <c r="I274" s="2" t="inlineStr">
        <is>
          <t>SC/PC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>
        <v>50</v>
      </c>
      <c r="V274" s="2">
        <f>SUM(J274:U274)*G274</f>
        <v/>
      </c>
      <c r="W274" s="2">
        <f>MAX(J274:U274)</f>
        <v/>
      </c>
      <c r="X274" s="2">
        <f>W274*G274</f>
        <v/>
      </c>
    </row>
    <row r="275">
      <c r="A275" s="2" t="inlineStr">
        <is>
          <t>14-K-371</t>
        </is>
      </c>
      <c r="B275" s="3" t="inlineStr">
        <is>
          <t>OJC-A1-SC/SC-SM-50-PC/PC-DP</t>
        </is>
      </c>
      <c r="C275" s="2" t="inlineStr">
        <is>
          <t>K9089156</t>
        </is>
      </c>
      <c r="D275" s="2" t="inlineStr">
        <is>
          <t>a1</t>
        </is>
      </c>
      <c r="E275" s="2" t="inlineStr">
        <is>
          <t>2.0mm</t>
        </is>
      </c>
      <c r="F275" s="2" t="n">
        <v>2</v>
      </c>
      <c r="G275" s="2" t="n">
        <v>50</v>
      </c>
      <c r="H275" s="2" t="inlineStr">
        <is>
          <t>SC/PC</t>
        </is>
      </c>
      <c r="I275" s="2" t="inlineStr">
        <is>
          <t>SC/PC</t>
        </is>
      </c>
      <c r="J275" s="2" t="n"/>
      <c r="K275" s="2" t="n"/>
      <c r="L275" s="2" t="n">
        <v>3</v>
      </c>
      <c r="M275" s="2" t="n"/>
      <c r="N275" s="2" t="n"/>
      <c r="O275" s="2" t="n"/>
      <c r="P275" s="2" t="n"/>
      <c r="Q275" s="2" t="n"/>
      <c r="R275" s="2" t="n">
        <v>9</v>
      </c>
      <c r="S275" s="2" t="n"/>
      <c r="T275" s="2" t="n"/>
      <c r="U275" s="2" t="n">
        <v>45</v>
      </c>
      <c r="V275" s="2">
        <f>SUM(J275:U275)*G275</f>
        <v/>
      </c>
      <c r="W275" s="2">
        <f>MAX(J275:U275)</f>
        <v/>
      </c>
      <c r="X275" s="2">
        <f>W275*G275</f>
        <v/>
      </c>
    </row>
    <row r="276">
      <c r="A276" s="2" t="inlineStr">
        <is>
          <t>14-K-375</t>
        </is>
      </c>
      <c r="B276" s="3" t="inlineStr">
        <is>
          <t>OJC-A1-SC/SC-SM-5-APC/APC-SP</t>
        </is>
      </c>
      <c r="C276" s="2" t="inlineStr"/>
      <c r="D276" s="2" t="inlineStr">
        <is>
          <t>a1</t>
        </is>
      </c>
      <c r="E276" s="2" t="inlineStr">
        <is>
          <t>2.0mm</t>
        </is>
      </c>
      <c r="F276" s="2" t="n">
        <v>1</v>
      </c>
      <c r="G276" s="2" t="n">
        <v>5</v>
      </c>
      <c r="H276" s="2" t="inlineStr">
        <is>
          <t>SC/APC</t>
        </is>
      </c>
      <c r="I276" s="2" t="inlineStr">
        <is>
          <t>SC/APC</t>
        </is>
      </c>
      <c r="J276" s="2" t="n"/>
      <c r="K276" s="2" t="n"/>
      <c r="L276" s="2" t="n">
        <v>2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SUM(J276:U276)*G276</f>
        <v/>
      </c>
      <c r="W276" s="2">
        <f>MAX(J276:U276)</f>
        <v/>
      </c>
      <c r="X276" s="2">
        <f>W276*G276</f>
        <v/>
      </c>
    </row>
    <row r="277">
      <c r="A277" s="2" t="inlineStr">
        <is>
          <t>14-K-376</t>
        </is>
      </c>
      <c r="B277" s="3" t="inlineStr">
        <is>
          <t>OJC-A1-SC/SC-SM-5-PC/APC-DP</t>
        </is>
      </c>
      <c r="C277" s="2" t="inlineStr">
        <is>
          <t>K9089187</t>
        </is>
      </c>
      <c r="D277" s="2" t="inlineStr">
        <is>
          <t>a1</t>
        </is>
      </c>
      <c r="E277" s="2" t="inlineStr">
        <is>
          <t>2.0mm</t>
        </is>
      </c>
      <c r="F277" s="2" t="n">
        <v>2</v>
      </c>
      <c r="G277" s="2" t="n">
        <v>5</v>
      </c>
      <c r="H277" s="2" t="inlineStr">
        <is>
          <t>SC/PC</t>
        </is>
      </c>
      <c r="I277" s="2" t="inlineStr">
        <is>
          <t>SC/APC</t>
        </is>
      </c>
      <c r="J277" s="2" t="n"/>
      <c r="K277" s="2" t="n"/>
      <c r="L277" s="2" t="n"/>
      <c r="M277" s="2" t="n"/>
      <c r="N277" s="2" t="n"/>
      <c r="O277" s="2" t="n"/>
      <c r="P277" s="2" t="n">
        <v>8</v>
      </c>
      <c r="Q277" s="2" t="n"/>
      <c r="R277" s="2" t="n"/>
      <c r="S277" s="2" t="n"/>
      <c r="T277" s="2" t="n"/>
      <c r="U277" s="2" t="n"/>
      <c r="V277" s="2">
        <f>SUM(J277:U277)*G277</f>
        <v/>
      </c>
      <c r="W277" s="2">
        <f>MAX(J277:U277)</f>
        <v/>
      </c>
      <c r="X277" s="2">
        <f>W277*G277</f>
        <v/>
      </c>
    </row>
    <row r="278">
      <c r="A278" s="2" t="inlineStr">
        <is>
          <t>14-K-377</t>
        </is>
      </c>
      <c r="B278" s="3" t="inlineStr">
        <is>
          <t>OJC-A1-SC/SC-SM-5-PC/APC-SP</t>
        </is>
      </c>
      <c r="C278" s="2" t="inlineStr">
        <is>
          <t>K9089058</t>
        </is>
      </c>
      <c r="D278" s="2" t="inlineStr">
        <is>
          <t>a1</t>
        </is>
      </c>
      <c r="E278" s="2" t="inlineStr">
        <is>
          <t>2.0mm</t>
        </is>
      </c>
      <c r="F278" s="2" t="n">
        <v>1</v>
      </c>
      <c r="G278" s="2" t="n">
        <v>5</v>
      </c>
      <c r="H278" s="2" t="inlineStr">
        <is>
          <t>SC/PC</t>
        </is>
      </c>
      <c r="I278" s="2" t="inlineStr">
        <is>
          <t>SC/APC</t>
        </is>
      </c>
      <c r="J278" s="2" t="n"/>
      <c r="K278" s="2" t="n">
        <v>14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SUM(J278:U278)*G278</f>
        <v/>
      </c>
      <c r="W278" s="2">
        <f>MAX(J278:U278)</f>
        <v/>
      </c>
      <c r="X278" s="2">
        <f>W278*G278</f>
        <v/>
      </c>
    </row>
    <row r="279">
      <c r="A279" s="2" t="inlineStr">
        <is>
          <t>14-K-380</t>
        </is>
      </c>
      <c r="B279" s="3" t="inlineStr">
        <is>
          <t>OJC-A1-SC/SC-SM-60-PC/PC-DP</t>
        </is>
      </c>
      <c r="C279" s="2" t="inlineStr">
        <is>
          <t>K9089123</t>
        </is>
      </c>
      <c r="D279" s="2" t="inlineStr">
        <is>
          <t>a1</t>
        </is>
      </c>
      <c r="E279" s="2" t="inlineStr">
        <is>
          <t>2.0mm</t>
        </is>
      </c>
      <c r="F279" s="2" t="n">
        <v>2</v>
      </c>
      <c r="G279" s="2" t="n">
        <v>60</v>
      </c>
      <c r="H279" s="2" t="inlineStr">
        <is>
          <t>SC/PC</t>
        </is>
      </c>
      <c r="I279" s="2" t="inlineStr">
        <is>
          <t>SC/PC</t>
        </is>
      </c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>
        <v>6</v>
      </c>
      <c r="S279" s="2" t="n">
        <v>2</v>
      </c>
      <c r="T279" s="2" t="n"/>
      <c r="U279" s="2" t="n"/>
      <c r="V279" s="2">
        <f>SUM(J279:U279)*G279</f>
        <v/>
      </c>
      <c r="W279" s="2">
        <f>MAX(J279:U279)</f>
        <v/>
      </c>
      <c r="X279" s="2">
        <f>W279*G279</f>
        <v/>
      </c>
    </row>
    <row r="280">
      <c r="A280" s="2" t="inlineStr">
        <is>
          <t>14-K-390</t>
        </is>
      </c>
      <c r="B280" s="3" t="inlineStr">
        <is>
          <t>OJC-A1-SC/SC-SM-8-APC/APC-SP</t>
        </is>
      </c>
      <c r="C280" s="2" t="inlineStr"/>
      <c r="D280" s="2" t="inlineStr">
        <is>
          <t>a1</t>
        </is>
      </c>
      <c r="E280" s="2" t="inlineStr">
        <is>
          <t>2.0mm</t>
        </is>
      </c>
      <c r="F280" s="2" t="n">
        <v>1</v>
      </c>
      <c r="G280" s="2" t="n">
        <v>8</v>
      </c>
      <c r="H280" s="2" t="inlineStr">
        <is>
          <t>SC/APC</t>
        </is>
      </c>
      <c r="I280" s="2" t="inlineStr">
        <is>
          <t>SC/APC</t>
        </is>
      </c>
      <c r="J280" s="2" t="n"/>
      <c r="K280" s="2" t="n">
        <v>40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SUM(J280:U280)*G280</f>
        <v/>
      </c>
      <c r="W280" s="2">
        <f>MAX(J280:U280)</f>
        <v/>
      </c>
      <c r="X280" s="2">
        <f>W280*G280</f>
        <v/>
      </c>
    </row>
    <row r="281">
      <c r="A281" s="2" t="inlineStr">
        <is>
          <t>14-K-393</t>
        </is>
      </c>
      <c r="B281" s="3" t="inlineStr">
        <is>
          <t>OJC-A1-SC/SC-SM-8-PC/PC-SP</t>
        </is>
      </c>
      <c r="C281" s="2" t="inlineStr">
        <is>
          <t>K9089001</t>
        </is>
      </c>
      <c r="D281" s="2" t="inlineStr">
        <is>
          <t>a1</t>
        </is>
      </c>
      <c r="E281" s="2" t="inlineStr">
        <is>
          <t>2.0mm</t>
        </is>
      </c>
      <c r="F281" s="2" t="n">
        <v>1</v>
      </c>
      <c r="G281" s="2" t="n">
        <v>8</v>
      </c>
      <c r="H281" s="2" t="inlineStr">
        <is>
          <t>SC/PC</t>
        </is>
      </c>
      <c r="I281" s="2" t="inlineStr">
        <is>
          <t>SC/PC</t>
        </is>
      </c>
      <c r="J281" s="2" t="n"/>
      <c r="K281" s="2" t="n"/>
      <c r="L281" s="2" t="n"/>
      <c r="M281" s="2" t="n"/>
      <c r="N281" s="2" t="n"/>
      <c r="O281" s="2" t="n"/>
      <c r="P281" s="2" t="n">
        <v>10</v>
      </c>
      <c r="Q281" s="2" t="n"/>
      <c r="R281" s="2" t="n"/>
      <c r="S281" s="2" t="n"/>
      <c r="T281" s="2" t="n"/>
      <c r="U281" s="2" t="n">
        <v>20</v>
      </c>
      <c r="V281" s="2">
        <f>SUM(J281:U281)*G281</f>
        <v/>
      </c>
      <c r="W281" s="2">
        <f>MAX(J281:U281)</f>
        <v/>
      </c>
      <c r="X281" s="2">
        <f>W281*G281</f>
        <v/>
      </c>
    </row>
    <row r="282">
      <c r="A282" s="2" t="inlineStr">
        <is>
          <t>14-K-425</t>
        </is>
      </c>
      <c r="B282" s="3" t="inlineStr">
        <is>
          <t>OJC-C2-SC/LC-SM-10-PC/PC-12C</t>
        </is>
      </c>
      <c r="C282" s="2" t="inlineStr">
        <is>
          <t>K9089468</t>
        </is>
      </c>
      <c r="D282" s="2" t="inlineStr">
        <is>
          <t>a1-12c</t>
        </is>
      </c>
      <c r="E282" s="2" t="inlineStr">
        <is>
          <t>2.0mm</t>
        </is>
      </c>
      <c r="F282" s="2" t="n">
        <v>12</v>
      </c>
      <c r="G282" s="2" t="n">
        <v>10</v>
      </c>
      <c r="H282" s="2" t="inlineStr">
        <is>
          <t>SC/PC</t>
        </is>
      </c>
      <c r="I282" s="2" t="inlineStr">
        <is>
          <t>LC/PC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>
        <v>6</v>
      </c>
      <c r="S282" s="2" t="n"/>
      <c r="T282" s="2" t="n"/>
      <c r="U282" s="2" t="n"/>
      <c r="V282" s="2">
        <f>SUM(J282:U282)*G282</f>
        <v/>
      </c>
      <c r="W282" s="2">
        <f>MAX(J282:U282)</f>
        <v/>
      </c>
      <c r="X282" s="2">
        <f>W282*G282</f>
        <v/>
      </c>
    </row>
    <row r="283">
      <c r="A283" s="2" t="inlineStr">
        <is>
          <t>14-K-429</t>
        </is>
      </c>
      <c r="B283" s="3" t="inlineStr">
        <is>
          <t>OJC-C2-SC/LC-SM-15-PC/PC-20C</t>
        </is>
      </c>
      <c r="C283" s="2" t="inlineStr">
        <is>
          <t>K9094344</t>
        </is>
      </c>
      <c r="D283" s="2" t="inlineStr">
        <is>
          <t>a1-20c</t>
        </is>
      </c>
      <c r="E283" s="2" t="inlineStr">
        <is>
          <t>2.0mm</t>
        </is>
      </c>
      <c r="F283" s="2" t="n">
        <v>20</v>
      </c>
      <c r="G283" s="2" t="n">
        <v>15</v>
      </c>
      <c r="H283" s="2" t="inlineStr">
        <is>
          <t>SC/PC</t>
        </is>
      </c>
      <c r="I283" s="2" t="inlineStr">
        <is>
          <t>LC/PC</t>
        </is>
      </c>
      <c r="J283" s="2" t="n"/>
      <c r="K283" s="2" t="n">
        <v>1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>
        <f>SUM(J283:U283)*G283</f>
        <v/>
      </c>
      <c r="W283" s="2">
        <f>MAX(J283:U283)</f>
        <v/>
      </c>
      <c r="X283" s="2">
        <f>W283*G283</f>
        <v/>
      </c>
    </row>
    <row r="284">
      <c r="A284" s="2" t="inlineStr">
        <is>
          <t>14-K-453</t>
        </is>
      </c>
      <c r="B284" s="3" t="inlineStr">
        <is>
          <t>OJC-C2-SC/LC-SM-40-PC/PC-12C</t>
        </is>
      </c>
      <c r="C284" s="2" t="inlineStr">
        <is>
          <t>K9089468</t>
        </is>
      </c>
      <c r="D284" s="2" t="inlineStr">
        <is>
          <t>a1-12c</t>
        </is>
      </c>
      <c r="E284" s="2" t="inlineStr">
        <is>
          <t>2.0mm</t>
        </is>
      </c>
      <c r="F284" s="2" t="n">
        <v>12</v>
      </c>
      <c r="G284" s="2" t="n">
        <v>40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>
        <v>8</v>
      </c>
      <c r="S284" s="2" t="n"/>
      <c r="T284" s="2" t="n"/>
      <c r="U284" s="2" t="n"/>
      <c r="V284" s="2">
        <f>SUM(J284:U284)*G284</f>
        <v/>
      </c>
      <c r="W284" s="2">
        <f>MAX(J284:U284)</f>
        <v/>
      </c>
      <c r="X284" s="2">
        <f>W284*G284</f>
        <v/>
      </c>
    </row>
    <row r="285">
      <c r="A285" s="2" t="inlineStr">
        <is>
          <t>14-K-456</t>
        </is>
      </c>
      <c r="B285" s="3" t="inlineStr">
        <is>
          <t>OJC-C2-SC/SC-SM-10-PC/PC-12C</t>
        </is>
      </c>
      <c r="C285" s="2" t="inlineStr">
        <is>
          <t>K9089453</t>
        </is>
      </c>
      <c r="D285" s="2" t="inlineStr">
        <is>
          <t>a1-12c</t>
        </is>
      </c>
      <c r="E285" s="2" t="inlineStr">
        <is>
          <t>2.0mm</t>
        </is>
      </c>
      <c r="F285" s="2" t="n">
        <v>12</v>
      </c>
      <c r="G285" s="2" t="n">
        <v>10</v>
      </c>
      <c r="H285" s="2" t="inlineStr">
        <is>
          <t>SC/PC</t>
        </is>
      </c>
      <c r="I285" s="2" t="inlineStr">
        <is>
          <t>SC/PC</t>
        </is>
      </c>
      <c r="J285" s="2" t="n">
        <v>10</v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>
        <f>SUM(J285:U285)*G285</f>
        <v/>
      </c>
      <c r="W285" s="2">
        <f>MAX(J285:U285)</f>
        <v/>
      </c>
      <c r="X285" s="2">
        <f>W285*G285</f>
        <v/>
      </c>
    </row>
    <row r="286">
      <c r="A286" s="2" t="inlineStr">
        <is>
          <t>14-K-457</t>
        </is>
      </c>
      <c r="B286" s="3" t="inlineStr">
        <is>
          <t>OJC-C2-SC/SC-SM-10-PC/PC-16C</t>
        </is>
      </c>
      <c r="C286" s="2" t="inlineStr">
        <is>
          <t>K9094339</t>
        </is>
      </c>
      <c r="D286" s="2" t="inlineStr">
        <is>
          <t>a1-16c</t>
        </is>
      </c>
      <c r="E286" s="2" t="inlineStr">
        <is>
          <t>2.0mm</t>
        </is>
      </c>
      <c r="F286" s="2" t="n">
        <v>16</v>
      </c>
      <c r="G286" s="2" t="n">
        <v>10</v>
      </c>
      <c r="H286" s="2" t="inlineStr">
        <is>
          <t>SC/PC</t>
        </is>
      </c>
      <c r="I286" s="2" t="inlineStr">
        <is>
          <t>SC/PC</t>
        </is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>
        <v>20</v>
      </c>
      <c r="V286" s="2">
        <f>SUM(J286:U286)*G286</f>
        <v/>
      </c>
      <c r="W286" s="2">
        <f>MAX(J286:U286)</f>
        <v/>
      </c>
      <c r="X286" s="2">
        <f>W286*G286</f>
        <v/>
      </c>
    </row>
    <row r="287">
      <c r="A287" s="2" t="inlineStr">
        <is>
          <t>14-K-459</t>
        </is>
      </c>
      <c r="B287" s="3" t="inlineStr">
        <is>
          <t>OJC-C2-SC/SC-SM-10-PC/PC-8C</t>
        </is>
      </c>
      <c r="C287" s="2" t="inlineStr">
        <is>
          <t>K9089452</t>
        </is>
      </c>
      <c r="D287" s="2" t="inlineStr">
        <is>
          <t>a1-8c</t>
        </is>
      </c>
      <c r="E287" s="2" t="inlineStr">
        <is>
          <t>2.0mm</t>
        </is>
      </c>
      <c r="F287" s="2" t="n">
        <v>8</v>
      </c>
      <c r="G287" s="2" t="n">
        <v>10</v>
      </c>
      <c r="H287" s="2" t="inlineStr">
        <is>
          <t>SC/PC</t>
        </is>
      </c>
      <c r="I287" s="2" t="inlineStr">
        <is>
          <t>SC/PC</t>
        </is>
      </c>
      <c r="J287" s="2" t="n">
        <v>30</v>
      </c>
      <c r="K287" s="2" t="n">
        <v>19</v>
      </c>
      <c r="L287" s="2" t="n"/>
      <c r="M287" s="2" t="n">
        <v>19</v>
      </c>
      <c r="N287" s="2" t="n">
        <v>10</v>
      </c>
      <c r="O287" s="2" t="n"/>
      <c r="P287" s="2" t="n"/>
      <c r="Q287" s="2" t="n">
        <v>50</v>
      </c>
      <c r="R287" s="2" t="n"/>
      <c r="S287" s="2" t="n"/>
      <c r="T287" s="2" t="n"/>
      <c r="U287" s="2" t="n"/>
      <c r="V287" s="2">
        <f>SUM(J287:U287)*G287</f>
        <v/>
      </c>
      <c r="W287" s="2">
        <f>MAX(J287:U287)</f>
        <v/>
      </c>
      <c r="X287" s="2">
        <f>W287*G287</f>
        <v/>
      </c>
    </row>
    <row r="288">
      <c r="A288" s="2" t="inlineStr">
        <is>
          <t>14-K-474</t>
        </is>
      </c>
      <c r="B288" s="3" t="inlineStr">
        <is>
          <t>OJC-C2-SC/SC-SM-15-PC/PC-12C</t>
        </is>
      </c>
      <c r="C288" s="2" t="inlineStr">
        <is>
          <t>K9089453</t>
        </is>
      </c>
      <c r="D288" s="2" t="inlineStr">
        <is>
          <t>a1-12c</t>
        </is>
      </c>
      <c r="E288" s="2" t="inlineStr">
        <is>
          <t>2.0mm</t>
        </is>
      </c>
      <c r="F288" s="2" t="n">
        <v>12</v>
      </c>
      <c r="G288" s="2" t="n">
        <v>15</v>
      </c>
      <c r="H288" s="2" t="inlineStr">
        <is>
          <t>SC/PC</t>
        </is>
      </c>
      <c r="I288" s="2" t="inlineStr">
        <is>
          <t>SC/PC</t>
        </is>
      </c>
      <c r="J288" s="2" t="n">
        <v>10</v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>
        <f>SUM(J288:U288)*G288</f>
        <v/>
      </c>
      <c r="W288" s="2">
        <f>MAX(J288:U288)</f>
        <v/>
      </c>
      <c r="X288" s="2">
        <f>W288*G288</f>
        <v/>
      </c>
    </row>
    <row r="289">
      <c r="A289" s="2" t="inlineStr">
        <is>
          <t>14-K-478</t>
        </is>
      </c>
      <c r="B289" s="3" t="inlineStr">
        <is>
          <t>OJC-C2-SC/SC-SM-15-PC/PC-4C</t>
        </is>
      </c>
      <c r="C289" s="2" t="inlineStr">
        <is>
          <t>K9089451</t>
        </is>
      </c>
      <c r="D289" s="2" t="inlineStr">
        <is>
          <t>b3-4c</t>
        </is>
      </c>
      <c r="E289" s="2" t="inlineStr">
        <is>
          <t>2.0mm</t>
        </is>
      </c>
      <c r="F289" s="2" t="n">
        <v>4</v>
      </c>
      <c r="G289" s="2" t="n">
        <v>15</v>
      </c>
      <c r="H289" s="2" t="inlineStr">
        <is>
          <t>SC/PC</t>
        </is>
      </c>
      <c r="I289" s="2" t="inlineStr">
        <is>
          <t>SC/PC</t>
        </is>
      </c>
      <c r="J289" s="2" t="n">
        <v>10</v>
      </c>
      <c r="K289" s="2" t="n"/>
      <c r="L289" s="2" t="n"/>
      <c r="M289" s="2" t="n"/>
      <c r="N289" s="2" t="n">
        <v>20</v>
      </c>
      <c r="O289" s="2" t="n"/>
      <c r="P289" s="2" t="n">
        <v>5</v>
      </c>
      <c r="Q289" s="2" t="n">
        <v>20</v>
      </c>
      <c r="R289" s="2" t="n"/>
      <c r="S289" s="2" t="n"/>
      <c r="T289" s="2" t="n"/>
      <c r="U289" s="2" t="n"/>
      <c r="V289" s="2">
        <f>SUM(J289:U289)*G289</f>
        <v/>
      </c>
      <c r="W289" s="2">
        <f>MAX(J289:U289)</f>
        <v/>
      </c>
      <c r="X289" s="2">
        <f>W289*G289</f>
        <v/>
      </c>
    </row>
    <row r="290">
      <c r="A290" s="2" t="inlineStr">
        <is>
          <t>14-K-479</t>
        </is>
      </c>
      <c r="B290" s="3" t="inlineStr">
        <is>
          <t>OJC-C2-SC/SC-SM-15-PC/PC-8C</t>
        </is>
      </c>
      <c r="C290" s="2" t="inlineStr">
        <is>
          <t>K9089452</t>
        </is>
      </c>
      <c r="D290" s="2" t="inlineStr">
        <is>
          <t>a1-8c</t>
        </is>
      </c>
      <c r="E290" s="2" t="inlineStr">
        <is>
          <t>2.0mm</t>
        </is>
      </c>
      <c r="F290" s="2" t="n">
        <v>8</v>
      </c>
      <c r="G290" s="2" t="n">
        <v>15</v>
      </c>
      <c r="H290" s="2" t="inlineStr">
        <is>
          <t>SC/PC</t>
        </is>
      </c>
      <c r="I290" s="2" t="inlineStr">
        <is>
          <t>SC/PC</t>
        </is>
      </c>
      <c r="J290" s="2" t="n">
        <v>10</v>
      </c>
      <c r="K290" s="2" t="n">
        <v>14</v>
      </c>
      <c r="L290" s="2" t="n"/>
      <c r="M290" s="2" t="n"/>
      <c r="N290" s="2" t="n"/>
      <c r="O290" s="2" t="n"/>
      <c r="P290" s="2" t="n">
        <v>40</v>
      </c>
      <c r="Q290" s="2" t="n">
        <v>20</v>
      </c>
      <c r="R290" s="2" t="n"/>
      <c r="S290" s="2" t="n"/>
      <c r="T290" s="2" t="n"/>
      <c r="U290" s="2" t="n"/>
      <c r="V290" s="2">
        <f>SUM(J290:U290)*G290</f>
        <v/>
      </c>
      <c r="W290" s="2">
        <f>MAX(J290:U290)</f>
        <v/>
      </c>
      <c r="X290" s="2">
        <f>W290*G290</f>
        <v/>
      </c>
    </row>
    <row r="291">
      <c r="A291" s="2" t="inlineStr">
        <is>
          <t>14-K-505</t>
        </is>
      </c>
      <c r="B291" s="3" t="inlineStr">
        <is>
          <t>OJC-C2-SC/SC-SM-20-PC/PC-4C</t>
        </is>
      </c>
      <c r="C291" s="2" t="inlineStr">
        <is>
          <t>K9089451</t>
        </is>
      </c>
      <c r="D291" s="2" t="inlineStr">
        <is>
          <t>b3-4c</t>
        </is>
      </c>
      <c r="E291" s="2" t="inlineStr">
        <is>
          <t>2.0mm</t>
        </is>
      </c>
      <c r="F291" s="2" t="n">
        <v>4</v>
      </c>
      <c r="G291" s="2" t="n">
        <v>20</v>
      </c>
      <c r="H291" s="2" t="inlineStr">
        <is>
          <t>SC/PC</t>
        </is>
      </c>
      <c r="I291" s="2" t="inlineStr">
        <is>
          <t>SC/PC</t>
        </is>
      </c>
      <c r="J291" s="2" t="n"/>
      <c r="K291" s="2" t="n"/>
      <c r="L291" s="2" t="n"/>
      <c r="M291" s="2" t="n"/>
      <c r="N291" s="2" t="n">
        <v>20</v>
      </c>
      <c r="O291" s="2" t="n"/>
      <c r="P291" s="2" t="n">
        <v>5</v>
      </c>
      <c r="Q291" s="2" t="n"/>
      <c r="R291" s="2" t="n"/>
      <c r="S291" s="2" t="n"/>
      <c r="T291" s="2" t="n"/>
      <c r="U291" s="2" t="n"/>
      <c r="V291" s="2">
        <f>SUM(J291:U291)*G291</f>
        <v/>
      </c>
      <c r="W291" s="2">
        <f>MAX(J291:U291)</f>
        <v/>
      </c>
      <c r="X291" s="2">
        <f>W291*G291</f>
        <v/>
      </c>
    </row>
    <row r="292">
      <c r="A292" s="2" t="inlineStr">
        <is>
          <t>14-K-506</t>
        </is>
      </c>
      <c r="B292" s="3" t="inlineStr">
        <is>
          <t>OJC-C2-SC/SC-SM-20-PC/PC-8C</t>
        </is>
      </c>
      <c r="C292" s="2" t="inlineStr">
        <is>
          <t>K9089452</t>
        </is>
      </c>
      <c r="D292" s="2" t="inlineStr">
        <is>
          <t>a1-8c</t>
        </is>
      </c>
      <c r="E292" s="2" t="inlineStr">
        <is>
          <t>2.0mm</t>
        </is>
      </c>
      <c r="F292" s="2" t="n">
        <v>8</v>
      </c>
      <c r="G292" s="2" t="n">
        <v>20</v>
      </c>
      <c r="H292" s="2" t="inlineStr">
        <is>
          <t>SC/PC</t>
        </is>
      </c>
      <c r="I292" s="2" t="inlineStr">
        <is>
          <t>SC/PC</t>
        </is>
      </c>
      <c r="J292" s="2" t="n"/>
      <c r="K292" s="2" t="n"/>
      <c r="L292" s="2" t="n"/>
      <c r="M292" s="2" t="n"/>
      <c r="N292" s="2" t="n"/>
      <c r="O292" s="2" t="n"/>
      <c r="P292" s="2" t="n">
        <v>30</v>
      </c>
      <c r="Q292" s="2" t="n">
        <v>20</v>
      </c>
      <c r="R292" s="2" t="n"/>
      <c r="S292" s="2" t="n"/>
      <c r="T292" s="2" t="n"/>
      <c r="U292" s="2" t="n"/>
      <c r="V292" s="2">
        <f>SUM(J292:U292)*G292</f>
        <v/>
      </c>
      <c r="W292" s="2">
        <f>MAX(J292:U292)</f>
        <v/>
      </c>
      <c r="X292" s="2">
        <f>W292*G292</f>
        <v/>
      </c>
    </row>
    <row r="293">
      <c r="A293" s="2" t="inlineStr">
        <is>
          <t>14-K-512</t>
        </is>
      </c>
      <c r="B293" s="3" t="inlineStr">
        <is>
          <t>OJC-C2-SC/SC-SM-25-PC/PC-12C</t>
        </is>
      </c>
      <c r="C293" s="2" t="inlineStr">
        <is>
          <t>K9089453</t>
        </is>
      </c>
      <c r="D293" s="2" t="inlineStr">
        <is>
          <t>a1-12c</t>
        </is>
      </c>
      <c r="E293" s="2" t="inlineStr">
        <is>
          <t>2.0mm</t>
        </is>
      </c>
      <c r="F293" s="2" t="n">
        <v>12</v>
      </c>
      <c r="G293" s="2" t="n">
        <v>25</v>
      </c>
      <c r="H293" s="2" t="inlineStr">
        <is>
          <t>SC/PC</t>
        </is>
      </c>
      <c r="I293" s="2" t="inlineStr">
        <is>
          <t>SC/PC</t>
        </is>
      </c>
      <c r="J293" s="2" t="n"/>
      <c r="K293" s="2" t="n">
        <v>5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>
        <f>SUM(J293:U293)*G293</f>
        <v/>
      </c>
      <c r="W293" s="2">
        <f>MAX(J293:U293)</f>
        <v/>
      </c>
      <c r="X293" s="2">
        <f>W293*G293</f>
        <v/>
      </c>
    </row>
    <row r="294">
      <c r="A294" s="2" t="inlineStr">
        <is>
          <t>14-K-513</t>
        </is>
      </c>
      <c r="B294" s="3" t="inlineStr">
        <is>
          <t>OJC-C2-SC/SC-SM-25-PC/PC-16C</t>
        </is>
      </c>
      <c r="C294" s="2" t="inlineStr">
        <is>
          <t>K9094339</t>
        </is>
      </c>
      <c r="D294" s="2" t="inlineStr">
        <is>
          <t>a1-16c</t>
        </is>
      </c>
      <c r="E294" s="2" t="inlineStr">
        <is>
          <t>2.0mm</t>
        </is>
      </c>
      <c r="F294" s="2" t="n">
        <v>16</v>
      </c>
      <c r="G294" s="2" t="n">
        <v>25</v>
      </c>
      <c r="H294" s="2" t="inlineStr">
        <is>
          <t>SC/PC</t>
        </is>
      </c>
      <c r="I294" s="2" t="inlineStr">
        <is>
          <t>SC/PC</t>
        </is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>
        <v>2</v>
      </c>
      <c r="T294" s="2" t="n"/>
      <c r="U294" s="2" t="n"/>
      <c r="V294" s="2">
        <f>SUM(J294:U294)*G294</f>
        <v/>
      </c>
      <c r="W294" s="2">
        <f>MAX(J294:U294)</f>
        <v/>
      </c>
      <c r="X294" s="2">
        <f>W294*G294</f>
        <v/>
      </c>
    </row>
    <row r="295">
      <c r="A295" s="2" t="inlineStr">
        <is>
          <t>14-K-515</t>
        </is>
      </c>
      <c r="B295" s="3" t="inlineStr">
        <is>
          <t>OJC-C2-SC/SC-SM-25-PC/PC-8C</t>
        </is>
      </c>
      <c r="C295" s="2" t="inlineStr">
        <is>
          <t>K9089452</t>
        </is>
      </c>
      <c r="D295" s="2" t="inlineStr">
        <is>
          <t>a1-8c</t>
        </is>
      </c>
      <c r="E295" s="2" t="inlineStr">
        <is>
          <t>2.0mm</t>
        </is>
      </c>
      <c r="F295" s="2" t="n">
        <v>8</v>
      </c>
      <c r="G295" s="2" t="n">
        <v>25</v>
      </c>
      <c r="H295" s="2" t="inlineStr">
        <is>
          <t>SC/PC</t>
        </is>
      </c>
      <c r="I295" s="2" t="inlineStr">
        <is>
          <t>SC/PC</t>
        </is>
      </c>
      <c r="J295" s="2" t="n"/>
      <c r="K295" s="2" t="n"/>
      <c r="L295" s="2" t="n"/>
      <c r="M295" s="2" t="n"/>
      <c r="N295" s="2" t="n"/>
      <c r="O295" s="2" t="n"/>
      <c r="P295" s="2" t="n"/>
      <c r="Q295" s="2" t="n">
        <v>20</v>
      </c>
      <c r="R295" s="2" t="n"/>
      <c r="S295" s="2" t="n">
        <v>1</v>
      </c>
      <c r="T295" s="2" t="n"/>
      <c r="U295" s="2" t="n"/>
      <c r="V295" s="2">
        <f>SUM(J295:U295)*G295</f>
        <v/>
      </c>
      <c r="W295" s="2">
        <f>MAX(J295:U295)</f>
        <v/>
      </c>
      <c r="X295" s="2">
        <f>W295*G295</f>
        <v/>
      </c>
    </row>
    <row r="296">
      <c r="A296" s="2" t="inlineStr">
        <is>
          <t>14-K-525</t>
        </is>
      </c>
      <c r="B296" s="3" t="inlineStr">
        <is>
          <t>OJC-C2-SC/SC-SM-30-PC/PC-12C</t>
        </is>
      </c>
      <c r="C296" s="2" t="inlineStr">
        <is>
          <t>K9089453</t>
        </is>
      </c>
      <c r="D296" s="2" t="inlineStr">
        <is>
          <t>a1-12c</t>
        </is>
      </c>
      <c r="E296" s="2" t="inlineStr">
        <is>
          <t>2.0mm</t>
        </is>
      </c>
      <c r="F296" s="2" t="n">
        <v>12</v>
      </c>
      <c r="G296" s="2" t="n">
        <v>30</v>
      </c>
      <c r="H296" s="2" t="inlineStr">
        <is>
          <t>SC/PC</t>
        </is>
      </c>
      <c r="I296" s="2" t="inlineStr">
        <is>
          <t>SC/PC</t>
        </is>
      </c>
      <c r="J296" s="2" t="n"/>
      <c r="K296" s="2" t="n">
        <v>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>
        <f>SUM(J296:U296)*G296</f>
        <v/>
      </c>
      <c r="W296" s="2">
        <f>MAX(J296:U296)</f>
        <v/>
      </c>
      <c r="X296" s="2">
        <f>W296*G296</f>
        <v/>
      </c>
    </row>
    <row r="297">
      <c r="A297" s="2" t="inlineStr">
        <is>
          <t>14-K-527</t>
        </is>
      </c>
      <c r="B297" s="3" t="inlineStr">
        <is>
          <t>OJC-C2-SC/SC-SM-30-PC/PC-4C</t>
        </is>
      </c>
      <c r="C297" s="2" t="inlineStr">
        <is>
          <t>K9089451</t>
        </is>
      </c>
      <c r="D297" s="2" t="inlineStr">
        <is>
          <t>b3-4c</t>
        </is>
      </c>
      <c r="E297" s="2" t="inlineStr">
        <is>
          <t>2.0mm</t>
        </is>
      </c>
      <c r="F297" s="2" t="n">
        <v>4</v>
      </c>
      <c r="G297" s="2" t="n">
        <v>30</v>
      </c>
      <c r="H297" s="2" t="inlineStr">
        <is>
          <t>SC/PC</t>
        </is>
      </c>
      <c r="I297" s="2" t="inlineStr">
        <is>
          <t>SC/PC</t>
        </is>
      </c>
      <c r="J297" s="2" t="n"/>
      <c r="K297" s="2" t="n">
        <v>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>
        <f>SUM(J297:U297)*G297</f>
        <v/>
      </c>
      <c r="W297" s="2">
        <f>MAX(J297:U297)</f>
        <v/>
      </c>
      <c r="X297" s="2">
        <f>W297*G297</f>
        <v/>
      </c>
    </row>
    <row r="298">
      <c r="A298" s="2" t="inlineStr">
        <is>
          <t>14-K-529</t>
        </is>
      </c>
      <c r="B298" s="3" t="inlineStr">
        <is>
          <t>OJC-C2-SC/SC-SM-30-PC/PC-8C</t>
        </is>
      </c>
      <c r="C298" s="2" t="inlineStr">
        <is>
          <t>K9089452</t>
        </is>
      </c>
      <c r="D298" s="2" t="inlineStr">
        <is>
          <t>a1-8c</t>
        </is>
      </c>
      <c r="E298" s="2" t="inlineStr">
        <is>
          <t>2.0mm</t>
        </is>
      </c>
      <c r="F298" s="2" t="n">
        <v>8</v>
      </c>
      <c r="G298" s="2" t="n">
        <v>30</v>
      </c>
      <c r="H298" s="2" t="inlineStr">
        <is>
          <t>SC/PC</t>
        </is>
      </c>
      <c r="I298" s="2" t="inlineStr">
        <is>
          <t>SC/PC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>
        <v>20</v>
      </c>
      <c r="R298" s="2" t="n"/>
      <c r="S298" s="2" t="n"/>
      <c r="T298" s="2" t="n"/>
      <c r="U298" s="2" t="n"/>
      <c r="V298" s="2">
        <f>SUM(J298:U298)*G298</f>
        <v/>
      </c>
      <c r="W298" s="2">
        <f>MAX(J298:U298)</f>
        <v/>
      </c>
      <c r="X298" s="2">
        <f>W298*G298</f>
        <v/>
      </c>
    </row>
    <row r="299">
      <c r="A299" s="2" t="inlineStr">
        <is>
          <t>14-K-530</t>
        </is>
      </c>
      <c r="B299" s="3" t="inlineStr">
        <is>
          <t>OJC-C2-SC/SC-SM-35-PC/PC-20C</t>
        </is>
      </c>
      <c r="C299" s="2" t="inlineStr">
        <is>
          <t>K9094342</t>
        </is>
      </c>
      <c r="D299" s="2" t="inlineStr">
        <is>
          <t>a1-20c</t>
        </is>
      </c>
      <c r="E299" s="2" t="inlineStr">
        <is>
          <t>2.0mm</t>
        </is>
      </c>
      <c r="F299" s="2" t="n">
        <v>20</v>
      </c>
      <c r="G299" s="2" t="n">
        <v>35</v>
      </c>
      <c r="H299" s="2" t="inlineStr">
        <is>
          <t>SC/PC</t>
        </is>
      </c>
      <c r="I299" s="2" t="inlineStr">
        <is>
          <t>SC/PC</t>
        </is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>
        <v>2</v>
      </c>
      <c r="S299" s="2" t="n"/>
      <c r="T299" s="2" t="n"/>
      <c r="U299" s="2" t="n"/>
      <c r="V299" s="2">
        <f>SUM(J299:U299)*G299</f>
        <v/>
      </c>
      <c r="W299" s="2">
        <f>MAX(J299:U299)</f>
        <v/>
      </c>
      <c r="X299" s="2">
        <f>W299*G299</f>
        <v/>
      </c>
    </row>
    <row r="300">
      <c r="A300" s="2" t="inlineStr">
        <is>
          <t>14-K-532</t>
        </is>
      </c>
      <c r="B300" s="3" t="inlineStr">
        <is>
          <t>OJC-C2-SC/SC-SM-3-PC/PC-12C</t>
        </is>
      </c>
      <c r="C300" s="2" t="inlineStr">
        <is>
          <t>K9089453</t>
        </is>
      </c>
      <c r="D300" s="2" t="inlineStr">
        <is>
          <t>a1-12c</t>
        </is>
      </c>
      <c r="E300" s="2" t="inlineStr">
        <is>
          <t>2.0mm</t>
        </is>
      </c>
      <c r="F300" s="2" t="n">
        <v>12</v>
      </c>
      <c r="G300" s="2" t="n">
        <v>3</v>
      </c>
      <c r="H300" s="2" t="inlineStr">
        <is>
          <t>SC/PC</t>
        </is>
      </c>
      <c r="I300" s="2" t="inlineStr">
        <is>
          <t>SC/PC</t>
        </is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>
        <v>1</v>
      </c>
      <c r="V300" s="2">
        <f>SUM(J300:U300)*G300</f>
        <v/>
      </c>
      <c r="W300" s="2">
        <f>MAX(J300:U300)</f>
        <v/>
      </c>
      <c r="X300" s="2">
        <f>W300*G300</f>
        <v/>
      </c>
    </row>
    <row r="301">
      <c r="A301" s="2" t="inlineStr">
        <is>
          <t>14-K-544</t>
        </is>
      </c>
      <c r="B301" s="3" t="inlineStr">
        <is>
          <t>OJC-C2-SC/SC-SM-4-PC/PC-16C</t>
        </is>
      </c>
      <c r="C301" s="2" t="inlineStr">
        <is>
          <t>K9094339</t>
        </is>
      </c>
      <c r="D301" s="2" t="inlineStr">
        <is>
          <t>a1-16c</t>
        </is>
      </c>
      <c r="E301" s="2" t="inlineStr">
        <is>
          <t>2.0mm</t>
        </is>
      </c>
      <c r="F301" s="2" t="n">
        <v>16</v>
      </c>
      <c r="G301" s="2" t="n">
        <v>4</v>
      </c>
      <c r="H301" s="2" t="inlineStr">
        <is>
          <t>SC/PC</t>
        </is>
      </c>
      <c r="I301" s="2" t="inlineStr">
        <is>
          <t>SC/PC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>
        <v>30</v>
      </c>
      <c r="V301" s="2">
        <f>SUM(J301:U301)*G301</f>
        <v/>
      </c>
      <c r="W301" s="2">
        <f>MAX(J301:U301)</f>
        <v/>
      </c>
      <c r="X301" s="2">
        <f>W301*G301</f>
        <v/>
      </c>
    </row>
    <row r="302">
      <c r="A302" s="2" t="inlineStr">
        <is>
          <t>14-K-550</t>
        </is>
      </c>
      <c r="B302" s="3" t="inlineStr">
        <is>
          <t>OJC-C2-SC/SC-SM-5-PC/PC-16C</t>
        </is>
      </c>
      <c r="C302" s="2" t="inlineStr">
        <is>
          <t>K9094339</t>
        </is>
      </c>
      <c r="D302" s="2" t="inlineStr">
        <is>
          <t>a1-16c</t>
        </is>
      </c>
      <c r="E302" s="2" t="inlineStr">
        <is>
          <t>2.0mm</t>
        </is>
      </c>
      <c r="F302" s="2" t="n">
        <v>16</v>
      </c>
      <c r="G302" s="2" t="n">
        <v>5</v>
      </c>
      <c r="H302" s="2" t="inlineStr">
        <is>
          <t>SC/PC</t>
        </is>
      </c>
      <c r="I302" s="2" t="inlineStr">
        <is>
          <t>SC/PC</t>
        </is>
      </c>
      <c r="J302" s="2" t="n"/>
      <c r="K302" s="2" t="n"/>
      <c r="L302" s="2" t="n"/>
      <c r="M302" s="2" t="n"/>
      <c r="N302" s="2" t="n"/>
      <c r="O302" s="2" t="n"/>
      <c r="P302" s="2" t="n">
        <v>5</v>
      </c>
      <c r="Q302" s="2" t="n"/>
      <c r="R302" s="2" t="n">
        <v>10</v>
      </c>
      <c r="S302" s="2" t="n"/>
      <c r="T302" s="2" t="n"/>
      <c r="U302" s="2" t="n"/>
      <c r="V302" s="2">
        <f>SUM(J302:U302)*G302</f>
        <v/>
      </c>
      <c r="W302" s="2">
        <f>MAX(J302:U302)</f>
        <v/>
      </c>
      <c r="X302" s="2">
        <f>W302*G302</f>
        <v/>
      </c>
    </row>
    <row r="303">
      <c r="A303" s="2" t="inlineStr">
        <is>
          <t>14-K-553</t>
        </is>
      </c>
      <c r="B303" s="3" t="inlineStr">
        <is>
          <t>OJC-C2-SC/SC-SM-5-PC/PC-8C</t>
        </is>
      </c>
      <c r="C303" s="2" t="inlineStr">
        <is>
          <t>K9089452</t>
        </is>
      </c>
      <c r="D303" s="2" t="inlineStr">
        <is>
          <t>a1-8c</t>
        </is>
      </c>
      <c r="E303" s="2" t="inlineStr">
        <is>
          <t>2.0mm</t>
        </is>
      </c>
      <c r="F303" s="2" t="n">
        <v>8</v>
      </c>
      <c r="G303" s="2" t="n">
        <v>5</v>
      </c>
      <c r="H303" s="2" t="inlineStr">
        <is>
          <t>SC/PC</t>
        </is>
      </c>
      <c r="I303" s="2" t="inlineStr">
        <is>
          <t>SC/PC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>
        <v>15</v>
      </c>
      <c r="S303" s="2" t="n"/>
      <c r="T303" s="2" t="n">
        <v>92</v>
      </c>
      <c r="U303" s="2" t="n">
        <v>30</v>
      </c>
      <c r="V303" s="2">
        <f>SUM(J303:U303)*G303</f>
        <v/>
      </c>
      <c r="W303" s="2">
        <f>MAX(J303:U303)</f>
        <v/>
      </c>
      <c r="X303" s="2">
        <f>W303*G303</f>
        <v/>
      </c>
    </row>
    <row r="304">
      <c r="A304" s="2" t="inlineStr">
        <is>
          <t>14-K-558</t>
        </is>
      </c>
      <c r="B304" s="3" t="inlineStr">
        <is>
          <t>OJC-C2-SC/SC-SM-6-PC/PC-8C</t>
        </is>
      </c>
      <c r="C304" s="2" t="inlineStr">
        <is>
          <t>K9089452</t>
        </is>
      </c>
      <c r="D304" s="2" t="inlineStr">
        <is>
          <t>a1-8c</t>
        </is>
      </c>
      <c r="E304" s="2" t="inlineStr">
        <is>
          <t>2.0mm</t>
        </is>
      </c>
      <c r="F304" s="2" t="n">
        <v>8</v>
      </c>
      <c r="G304" s="2" t="n">
        <v>6</v>
      </c>
      <c r="H304" s="2" t="inlineStr">
        <is>
          <t>SC/PC</t>
        </is>
      </c>
      <c r="I304" s="2" t="inlineStr">
        <is>
          <t>SC/PC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>
        <v>34</v>
      </c>
      <c r="S304" s="2" t="n"/>
      <c r="T304" s="2" t="n"/>
      <c r="U304" s="2" t="n"/>
      <c r="V304" s="2">
        <f>SUM(J304:U304)*G304</f>
        <v/>
      </c>
      <c r="W304" s="2">
        <f>MAX(J304:U304)</f>
        <v/>
      </c>
      <c r="X304" s="2">
        <f>W304*G304</f>
        <v/>
      </c>
    </row>
    <row r="305">
      <c r="A305" s="2" t="inlineStr">
        <is>
          <t>14-K-562</t>
        </is>
      </c>
      <c r="B305" s="3" t="inlineStr">
        <is>
          <t>OJC-C2-SC/SC-SM-7-PC/PC-8C</t>
        </is>
      </c>
      <c r="C305" s="2" t="inlineStr">
        <is>
          <t>K9089452</t>
        </is>
      </c>
      <c r="D305" s="2" t="inlineStr">
        <is>
          <t>a1-8c</t>
        </is>
      </c>
      <c r="E305" s="2" t="inlineStr">
        <is>
          <t>2.0mm</t>
        </is>
      </c>
      <c r="F305" s="2" t="n">
        <v>8</v>
      </c>
      <c r="G305" s="2" t="n">
        <v>7</v>
      </c>
      <c r="H305" s="2" t="inlineStr">
        <is>
          <t>SC/PC</t>
        </is>
      </c>
      <c r="I305" s="2" t="inlineStr">
        <is>
          <t>SC/PC</t>
        </is>
      </c>
      <c r="J305" s="2" t="n"/>
      <c r="K305" s="2" t="n"/>
      <c r="L305" s="2" t="n"/>
      <c r="M305" s="2" t="n"/>
      <c r="N305" s="2" t="n"/>
      <c r="O305" s="2" t="n"/>
      <c r="P305" s="2" t="n">
        <v>10</v>
      </c>
      <c r="Q305" s="2" t="n"/>
      <c r="R305" s="2" t="n"/>
      <c r="S305" s="2" t="n"/>
      <c r="T305" s="2" t="n"/>
      <c r="U305" s="2" t="n"/>
      <c r="V305" s="2">
        <f>SUM(J305:U305)*G305</f>
        <v/>
      </c>
      <c r="W305" s="2">
        <f>MAX(J305:U305)</f>
        <v/>
      </c>
      <c r="X305" s="2">
        <f>W305*G305</f>
        <v/>
      </c>
    </row>
    <row r="306">
      <c r="A306" s="2" t="inlineStr">
        <is>
          <t>14-K-585</t>
        </is>
      </c>
      <c r="B306" s="3" t="inlineStr">
        <is>
          <t>OJC-A1-LC/LC-SM-2-PC/PC-SP</t>
        </is>
      </c>
      <c r="C306" s="2" t="inlineStr">
        <is>
          <t>K9089043</t>
        </is>
      </c>
      <c r="D306" s="2" t="inlineStr">
        <is>
          <t>a1</t>
        </is>
      </c>
      <c r="E306" s="2" t="inlineStr">
        <is>
          <t>2.0mm</t>
        </is>
      </c>
      <c r="F306" s="2" t="n">
        <v>1</v>
      </c>
      <c r="G306" s="2" t="n">
        <v>2</v>
      </c>
      <c r="H306" s="2" t="inlineStr">
        <is>
          <t>LC/PC</t>
        </is>
      </c>
      <c r="I306" s="2" t="inlineStr">
        <is>
          <t>LC/PC</t>
        </is>
      </c>
      <c r="J306" s="2" t="n"/>
      <c r="K306" s="2" t="n"/>
      <c r="L306" s="2" t="n"/>
      <c r="M306" s="2" t="n"/>
      <c r="N306" s="2" t="n"/>
      <c r="O306" s="2" t="n"/>
      <c r="P306" s="2" t="n">
        <v>2</v>
      </c>
      <c r="Q306" s="2" t="n"/>
      <c r="R306" s="2" t="n"/>
      <c r="S306" s="2" t="n"/>
      <c r="T306" s="2" t="n">
        <v>50</v>
      </c>
      <c r="U306" s="2" t="n"/>
      <c r="V306" s="2">
        <f>SUM(J306:U306)*G306</f>
        <v/>
      </c>
      <c r="W306" s="2">
        <f>MAX(J306:U306)</f>
        <v/>
      </c>
      <c r="X306" s="2">
        <f>W306*G306</f>
        <v/>
      </c>
    </row>
    <row r="307">
      <c r="A307" s="2" t="inlineStr">
        <is>
          <t>14-K-587</t>
        </is>
      </c>
      <c r="B307" s="3" t="inlineStr">
        <is>
          <t>OJC-A1-LC/LC-SM-60-PC/PC-DP</t>
        </is>
      </c>
      <c r="C307" s="2" t="inlineStr"/>
      <c r="D307" s="2" t="inlineStr">
        <is>
          <t>a1</t>
        </is>
      </c>
      <c r="E307" s="2" t="inlineStr">
        <is>
          <t>2.0mm</t>
        </is>
      </c>
      <c r="F307" s="2" t="n">
        <v>2</v>
      </c>
      <c r="G307" s="2" t="n">
        <v>60</v>
      </c>
      <c r="H307" s="2" t="inlineStr">
        <is>
          <t>LC/PC</t>
        </is>
      </c>
      <c r="I307" s="2" t="inlineStr">
        <is>
          <t>LC/PC</t>
        </is>
      </c>
      <c r="J307" s="2" t="n"/>
      <c r="K307" s="2" t="n">
        <v>2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>
        <v>59</v>
      </c>
      <c r="V307" s="2">
        <f>SUM(J307:U307)*G307</f>
        <v/>
      </c>
      <c r="W307" s="2">
        <f>MAX(J307:U307)</f>
        <v/>
      </c>
      <c r="X307" s="2">
        <f>W307*G307</f>
        <v/>
      </c>
    </row>
    <row r="308">
      <c r="A308" s="2" t="inlineStr">
        <is>
          <t>14-K-590</t>
        </is>
      </c>
      <c r="B308" s="3" t="inlineStr">
        <is>
          <t>OJC-A1-SC/SC-SM-14-PC/PC-SP</t>
        </is>
      </c>
      <c r="C308" s="2" t="inlineStr">
        <is>
          <t>K9089007</t>
        </is>
      </c>
      <c r="D308" s="2" t="inlineStr">
        <is>
          <t>a1</t>
        </is>
      </c>
      <c r="E308" s="2" t="inlineStr">
        <is>
          <t>2.0mm</t>
        </is>
      </c>
      <c r="F308" s="2" t="n">
        <v>1</v>
      </c>
      <c r="G308" s="2" t="n">
        <v>14</v>
      </c>
      <c r="H308" s="2" t="inlineStr">
        <is>
          <t>SC/PC</t>
        </is>
      </c>
      <c r="I308" s="2" t="inlineStr">
        <is>
          <t>SC/PC</t>
        </is>
      </c>
      <c r="J308" s="2" t="n"/>
      <c r="K308" s="2" t="n"/>
      <c r="L308" s="2" t="n"/>
      <c r="M308" s="2" t="n"/>
      <c r="N308" s="2" t="n"/>
      <c r="O308" s="2" t="n"/>
      <c r="P308" s="2" t="n"/>
      <c r="Q308" s="2" t="n">
        <v>100</v>
      </c>
      <c r="R308" s="2" t="n"/>
      <c r="S308" s="2" t="n"/>
      <c r="T308" s="2" t="n"/>
      <c r="U308" s="2" t="n">
        <v>20</v>
      </c>
      <c r="V308" s="2">
        <f>SUM(J308:U308)*G308</f>
        <v/>
      </c>
      <c r="W308" s="2">
        <f>MAX(J308:U308)</f>
        <v/>
      </c>
      <c r="X308" s="2">
        <f>W308*G308</f>
        <v/>
      </c>
    </row>
    <row r="309">
      <c r="A309" s="2" t="inlineStr">
        <is>
          <t>14-K-594</t>
        </is>
      </c>
      <c r="B309" s="3" t="inlineStr">
        <is>
          <t>OJC-A1-SC/LC-SM-18-PC/PC-DP</t>
        </is>
      </c>
      <c r="C309" s="2" t="inlineStr"/>
      <c r="D309" s="2" t="inlineStr">
        <is>
          <t>a1</t>
        </is>
      </c>
      <c r="E309" s="2" t="inlineStr">
        <is>
          <t>2.0mm</t>
        </is>
      </c>
      <c r="F309" s="2" t="n">
        <v>2</v>
      </c>
      <c r="G309" s="2" t="n">
        <v>18</v>
      </c>
      <c r="H309" s="2" t="inlineStr">
        <is>
          <t>SC/PC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>
        <v>6</v>
      </c>
      <c r="O309" s="2" t="n"/>
      <c r="P309" s="2" t="n"/>
      <c r="Q309" s="2" t="n"/>
      <c r="R309" s="2" t="n"/>
      <c r="S309" s="2" t="n"/>
      <c r="T309" s="2" t="n"/>
      <c r="U309" s="2" t="n"/>
      <c r="V309" s="2">
        <f>SUM(J309:U309)*G309</f>
        <v/>
      </c>
      <c r="W309" s="2">
        <f>MAX(J309:U309)</f>
        <v/>
      </c>
      <c r="X309" s="2">
        <f>W309*G309</f>
        <v/>
      </c>
    </row>
    <row r="310">
      <c r="A310" s="2" t="inlineStr">
        <is>
          <t>14-K-603</t>
        </is>
      </c>
      <c r="B310" s="3" t="inlineStr">
        <is>
          <t>OJC-C2-SC/SC-SM-4-PC/PC-8C-1.0</t>
        </is>
      </c>
      <c r="C310" s="2" t="inlineStr">
        <is>
          <t>K9089452</t>
        </is>
      </c>
      <c r="D310" s="2" t="inlineStr">
        <is>
          <t>a1-8c</t>
        </is>
      </c>
      <c r="E310" s="2" t="inlineStr">
        <is>
          <t>2.0mm</t>
        </is>
      </c>
      <c r="F310" s="2" t="n">
        <v>8</v>
      </c>
      <c r="G310" s="2" t="n">
        <v>4</v>
      </c>
      <c r="H310" s="2" t="inlineStr">
        <is>
          <t>SC/PC</t>
        </is>
      </c>
      <c r="I310" s="2" t="inlineStr">
        <is>
          <t>SC/PC</t>
        </is>
      </c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>
        <v>85</v>
      </c>
      <c r="V310" s="2">
        <f>SUM(J310:U310)*G310</f>
        <v/>
      </c>
      <c r="W310" s="2">
        <f>MAX(J310:U310)</f>
        <v/>
      </c>
      <c r="X310" s="2">
        <f>W310*G310</f>
        <v/>
      </c>
    </row>
    <row r="311">
      <c r="A311" s="2" t="inlineStr">
        <is>
          <t>14-K-607</t>
        </is>
      </c>
      <c r="B311" s="3" t="inlineStr">
        <is>
          <t>OJC-C2-SC/SC-SM-25-PC/PC-4C</t>
        </is>
      </c>
      <c r="C311" s="2" t="inlineStr">
        <is>
          <t>K9089451</t>
        </is>
      </c>
      <c r="D311" s="2" t="inlineStr">
        <is>
          <t>b3-4c</t>
        </is>
      </c>
      <c r="E311" s="2" t="inlineStr">
        <is>
          <t>2.0mm</t>
        </is>
      </c>
      <c r="F311" s="2" t="n">
        <v>4</v>
      </c>
      <c r="G311" s="2" t="n">
        <v>25</v>
      </c>
      <c r="H311" s="2" t="inlineStr">
        <is>
          <t>SC/PC</t>
        </is>
      </c>
      <c r="I311" s="2" t="inlineStr">
        <is>
          <t>SC/PC</t>
        </is>
      </c>
      <c r="J311" s="2" t="n"/>
      <c r="K311" s="2" t="n">
        <v>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>
        <f>SUM(J311:U311)*G311</f>
        <v/>
      </c>
      <c r="W311" s="2">
        <f>MAX(J311:U311)</f>
        <v/>
      </c>
      <c r="X311" s="2">
        <f>W311*G311</f>
        <v/>
      </c>
    </row>
    <row r="312">
      <c r="A312" s="2" t="inlineStr">
        <is>
          <t>14-K-616</t>
        </is>
      </c>
      <c r="B312" s="3" t="inlineStr">
        <is>
          <t>OJC-A1-LC/LC-SM-6-PC/PC-DP</t>
        </is>
      </c>
      <c r="C312" s="2" t="inlineStr"/>
      <c r="D312" s="2" t="inlineStr">
        <is>
          <t>a1</t>
        </is>
      </c>
      <c r="E312" s="2" t="inlineStr">
        <is>
          <t>2.0mm</t>
        </is>
      </c>
      <c r="F312" s="2" t="n">
        <v>2</v>
      </c>
      <c r="G312" s="2" t="n">
        <v>6</v>
      </c>
      <c r="H312" s="2" t="inlineStr">
        <is>
          <t>LC/PC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>
        <v>10</v>
      </c>
      <c r="V312" s="2">
        <f>SUM(J312:U312)*G312</f>
        <v/>
      </c>
      <c r="W312" s="2">
        <f>MAX(J312:U312)</f>
        <v/>
      </c>
      <c r="X312" s="2">
        <f>W312*G312</f>
        <v/>
      </c>
    </row>
    <row r="313">
      <c r="A313" s="2" t="inlineStr">
        <is>
          <t>14-K-617</t>
        </is>
      </c>
      <c r="B313" s="3" t="inlineStr">
        <is>
          <t>OJC-A1-LC/LC-SM-14-PC/PC-DP</t>
        </is>
      </c>
      <c r="C313" s="2" t="inlineStr"/>
      <c r="D313" s="2" t="inlineStr">
        <is>
          <t>a1</t>
        </is>
      </c>
      <c r="E313" s="2" t="inlineStr">
        <is>
          <t>2.0mm</t>
        </is>
      </c>
      <c r="F313" s="2" t="n">
        <v>2</v>
      </c>
      <c r="G313" s="2" t="n">
        <v>14</v>
      </c>
      <c r="H313" s="2" t="inlineStr">
        <is>
          <t>LC/PC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>
        <v>50</v>
      </c>
      <c r="S313" s="2" t="n"/>
      <c r="T313" s="2" t="n"/>
      <c r="U313" s="2" t="n"/>
      <c r="V313" s="2">
        <f>SUM(J313:U313)*G313</f>
        <v/>
      </c>
      <c r="W313" s="2">
        <f>MAX(J313:U313)</f>
        <v/>
      </c>
      <c r="X313" s="2">
        <f>W313*G313</f>
        <v/>
      </c>
    </row>
    <row r="314">
      <c r="A314" s="2" t="inlineStr">
        <is>
          <t>14-K-618</t>
        </is>
      </c>
      <c r="B314" s="3" t="inlineStr">
        <is>
          <t>OJC-A1-LC/LC-SM-16-PC/PC-DP</t>
        </is>
      </c>
      <c r="C314" s="2" t="inlineStr"/>
      <c r="D314" s="2" t="inlineStr">
        <is>
          <t>a1</t>
        </is>
      </c>
      <c r="E314" s="2" t="inlineStr">
        <is>
          <t>2.0mm</t>
        </is>
      </c>
      <c r="F314" s="2" t="n">
        <v>2</v>
      </c>
      <c r="G314" s="2" t="n">
        <v>16</v>
      </c>
      <c r="H314" s="2" t="inlineStr">
        <is>
          <t>LC/PC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>
        <v>5</v>
      </c>
      <c r="V314" s="2">
        <f>SUM(J314:U314)*G314</f>
        <v/>
      </c>
      <c r="W314" s="2">
        <f>MAX(J314:U314)</f>
        <v/>
      </c>
      <c r="X314" s="2">
        <f>W314*G314</f>
        <v/>
      </c>
    </row>
    <row r="315">
      <c r="A315" s="2" t="inlineStr">
        <is>
          <t>14-K-619</t>
        </is>
      </c>
      <c r="B315" s="3" t="inlineStr">
        <is>
          <t>OJC-A1-LC/LC-SM-17-PC/PC-DP</t>
        </is>
      </c>
      <c r="C315" s="2" t="inlineStr"/>
      <c r="D315" s="2" t="inlineStr">
        <is>
          <t>a1</t>
        </is>
      </c>
      <c r="E315" s="2" t="inlineStr">
        <is>
          <t>2.0mm</t>
        </is>
      </c>
      <c r="F315" s="2" t="n">
        <v>2</v>
      </c>
      <c r="G315" s="2" t="n">
        <v>17</v>
      </c>
      <c r="H315" s="2" t="inlineStr">
        <is>
          <t>LC/PC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>
        <v>5</v>
      </c>
      <c r="V315" s="2">
        <f>SUM(J315:U315)*G315</f>
        <v/>
      </c>
      <c r="W315" s="2">
        <f>MAX(J315:U315)</f>
        <v/>
      </c>
      <c r="X315" s="2">
        <f>W315*G315</f>
        <v/>
      </c>
    </row>
    <row r="316">
      <c r="A316" s="2" t="inlineStr">
        <is>
          <t>14-K-639</t>
        </is>
      </c>
      <c r="B316" s="3" t="inlineStr">
        <is>
          <t>OJC-A1-SC/SC-SM-11-PC/PC-SP</t>
        </is>
      </c>
      <c r="C316" s="2" t="inlineStr">
        <is>
          <t>K9089004</t>
        </is>
      </c>
      <c r="D316" s="2" t="inlineStr">
        <is>
          <t>a1</t>
        </is>
      </c>
      <c r="E316" s="2" t="inlineStr">
        <is>
          <t>2.0mm</t>
        </is>
      </c>
      <c r="F316" s="2" t="n">
        <v>1</v>
      </c>
      <c r="G316" s="2" t="n">
        <v>11</v>
      </c>
      <c r="H316" s="2" t="inlineStr">
        <is>
          <t>SC/PC</t>
        </is>
      </c>
      <c r="I316" s="2" t="inlineStr">
        <is>
          <t>SC/PC</t>
        </is>
      </c>
      <c r="J316" s="2" t="n"/>
      <c r="K316" s="2" t="n"/>
      <c r="L316" s="2" t="n"/>
      <c r="M316" s="2" t="n"/>
      <c r="N316" s="2" t="n"/>
      <c r="O316" s="2" t="n"/>
      <c r="P316" s="2" t="n"/>
      <c r="Q316" s="2" t="n">
        <v>100</v>
      </c>
      <c r="R316" s="2" t="n"/>
      <c r="S316" s="2" t="n"/>
      <c r="T316" s="2" t="n"/>
      <c r="U316" s="2" t="n"/>
      <c r="V316" s="2">
        <f>SUM(J316:U316)*G316</f>
        <v/>
      </c>
      <c r="W316" s="2">
        <f>MAX(J316:U316)</f>
        <v/>
      </c>
      <c r="X316" s="2">
        <f>W316*G316</f>
        <v/>
      </c>
    </row>
    <row r="317">
      <c r="A317" s="2" t="inlineStr">
        <is>
          <t>14-K-640</t>
        </is>
      </c>
      <c r="B317" s="3" t="inlineStr">
        <is>
          <t>OJC-A1-LC/LC-MM-7-PC/PC-DP</t>
        </is>
      </c>
      <c r="C317" s="2" t="inlineStr"/>
      <c r="D317" s="2" t="inlineStr">
        <is>
          <t>om1</t>
        </is>
      </c>
      <c r="E317" s="2" t="inlineStr">
        <is>
          <t>2.0mm</t>
        </is>
      </c>
      <c r="F317" s="2" t="n">
        <v>2</v>
      </c>
      <c r="G317" s="2" t="n">
        <v>7</v>
      </c>
      <c r="H317" s="2" t="inlineStr">
        <is>
          <t>LC/PC</t>
        </is>
      </c>
      <c r="I317" s="2" t="inlineStr">
        <is>
          <t>LC/PC</t>
        </is>
      </c>
      <c r="J317" s="2" t="n"/>
      <c r="K317" s="2" t="n"/>
      <c r="L317" s="2" t="n">
        <v>2</v>
      </c>
      <c r="M317" s="2" t="n"/>
      <c r="N317" s="2" t="n"/>
      <c r="O317" s="2" t="n"/>
      <c r="P317" s="2" t="n"/>
      <c r="Q317" s="2" t="n"/>
      <c r="R317" s="2" t="n"/>
      <c r="S317" s="2" t="n">
        <v>4</v>
      </c>
      <c r="T317" s="2" t="n"/>
      <c r="U317" s="2" t="n"/>
      <c r="V317" s="2">
        <f>SUM(J317:U317)*G317</f>
        <v/>
      </c>
      <c r="W317" s="2">
        <f>MAX(J317:U317)</f>
        <v/>
      </c>
      <c r="X317" s="2">
        <f>W317*G317</f>
        <v/>
      </c>
    </row>
    <row r="318">
      <c r="A318" s="2" t="inlineStr">
        <is>
          <t>14-K-650</t>
        </is>
      </c>
      <c r="B318" s="3" t="inlineStr">
        <is>
          <t>OJC-A1-SC/LC-MM-13-PC/PC-DP</t>
        </is>
      </c>
      <c r="C318" s="2" t="inlineStr"/>
      <c r="D318" s="2" t="inlineStr">
        <is>
          <t>om1</t>
        </is>
      </c>
      <c r="E318" s="2" t="inlineStr">
        <is>
          <t>2.0mm</t>
        </is>
      </c>
      <c r="F318" s="2" t="n">
        <v>2</v>
      </c>
      <c r="G318" s="2" t="n">
        <v>13</v>
      </c>
      <c r="H318" s="2" t="inlineStr">
        <is>
          <t>SC/PC</t>
        </is>
      </c>
      <c r="I318" s="2" t="inlineStr">
        <is>
          <t>LC/PC</t>
        </is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>
        <v>2</v>
      </c>
      <c r="T318" s="2" t="n"/>
      <c r="U318" s="2" t="n"/>
      <c r="V318" s="2">
        <f>SUM(J318:U318)*G318</f>
        <v/>
      </c>
      <c r="W318" s="2">
        <f>MAX(J318:U318)</f>
        <v/>
      </c>
      <c r="X318" s="2">
        <f>W318*G318</f>
        <v/>
      </c>
    </row>
    <row r="319">
      <c r="A319" s="2" t="inlineStr">
        <is>
          <t>14-K-652</t>
        </is>
      </c>
      <c r="B319" s="3" t="inlineStr">
        <is>
          <t>OJC-A1-SC/LC-SM-15-PC/PC-DP</t>
        </is>
      </c>
      <c r="C319" s="2" t="inlineStr">
        <is>
          <t>K9089163_청색</t>
        </is>
      </c>
      <c r="D319" s="2" t="inlineStr">
        <is>
          <t>a1-청</t>
        </is>
      </c>
      <c r="E319" s="2" t="inlineStr">
        <is>
          <t>2.0mm</t>
        </is>
      </c>
      <c r="F319" s="2" t="n">
        <v>2</v>
      </c>
      <c r="G319" s="2" t="n">
        <v>15</v>
      </c>
      <c r="H319" s="2" t="inlineStr">
        <is>
          <t>SC/PC</t>
        </is>
      </c>
      <c r="I319" s="2" t="inlineStr">
        <is>
          <t>LC/PC</t>
        </is>
      </c>
      <c r="J319" s="2" t="n"/>
      <c r="K319" s="2" t="n"/>
      <c r="L319" s="2" t="n"/>
      <c r="M319" s="2" t="n"/>
      <c r="N319" s="2" t="n">
        <v>50</v>
      </c>
      <c r="O319" s="2" t="n"/>
      <c r="P319" s="2" t="n"/>
      <c r="Q319" s="2" t="n"/>
      <c r="R319" s="2" t="n"/>
      <c r="S319" s="2" t="n"/>
      <c r="T319" s="2" t="n"/>
      <c r="U319" s="2" t="n"/>
      <c r="V319" s="2">
        <f>SUM(J319:U319)*G319</f>
        <v/>
      </c>
      <c r="W319" s="2">
        <f>MAX(J319:U319)</f>
        <v/>
      </c>
      <c r="X319" s="2">
        <f>W319*G319</f>
        <v/>
      </c>
    </row>
    <row r="320">
      <c r="A320" s="2" t="inlineStr">
        <is>
          <t>14-K-653</t>
        </is>
      </c>
      <c r="B320" s="3" t="inlineStr">
        <is>
          <t>OJC-A1-SC/LC-SM-20-PC/PC-DP</t>
        </is>
      </c>
      <c r="C320" s="2" t="inlineStr">
        <is>
          <t>K9089164_청색</t>
        </is>
      </c>
      <c r="D320" s="2" t="inlineStr">
        <is>
          <t>a1-청</t>
        </is>
      </c>
      <c r="E320" s="2" t="inlineStr">
        <is>
          <t>2.0mm</t>
        </is>
      </c>
      <c r="F320" s="2" t="n">
        <v>2</v>
      </c>
      <c r="G320" s="2" t="n">
        <v>20</v>
      </c>
      <c r="H320" s="2" t="inlineStr">
        <is>
          <t>SC/PC</t>
        </is>
      </c>
      <c r="I320" s="2" t="inlineStr">
        <is>
          <t>LC/PC</t>
        </is>
      </c>
      <c r="J320" s="2" t="n"/>
      <c r="K320" s="2" t="n"/>
      <c r="L320" s="2" t="n"/>
      <c r="M320" s="2" t="n"/>
      <c r="N320" s="2" t="n">
        <v>60</v>
      </c>
      <c r="O320" s="2" t="n"/>
      <c r="P320" s="2" t="n"/>
      <c r="Q320" s="2" t="n"/>
      <c r="R320" s="2" t="n"/>
      <c r="S320" s="2" t="n"/>
      <c r="T320" s="2" t="n"/>
      <c r="U320" s="2" t="n"/>
      <c r="V320" s="2">
        <f>SUM(J320:U320)*G320</f>
        <v/>
      </c>
      <c r="W320" s="2">
        <f>MAX(J320:U320)</f>
        <v/>
      </c>
      <c r="X320" s="2">
        <f>W320*G320</f>
        <v/>
      </c>
    </row>
    <row r="321">
      <c r="A321" s="2" t="inlineStr">
        <is>
          <t>14-K-654</t>
        </is>
      </c>
      <c r="B321" s="3" t="inlineStr">
        <is>
          <t>OJC-A1-SC/LC-SM-25-PC/PC-DP</t>
        </is>
      </c>
      <c r="C321" s="2" t="inlineStr">
        <is>
          <t>K9089165_청색</t>
        </is>
      </c>
      <c r="D321" s="2" t="inlineStr">
        <is>
          <t>a1-청</t>
        </is>
      </c>
      <c r="E321" s="2" t="inlineStr">
        <is>
          <t>2.0mm</t>
        </is>
      </c>
      <c r="F321" s="2" t="n">
        <v>2</v>
      </c>
      <c r="G321" s="2" t="n">
        <v>25</v>
      </c>
      <c r="H321" s="2" t="inlineStr">
        <is>
          <t>SC/PC</t>
        </is>
      </c>
      <c r="I321" s="2" t="inlineStr">
        <is>
          <t>LC/PC</t>
        </is>
      </c>
      <c r="J321" s="2" t="n"/>
      <c r="K321" s="2" t="n"/>
      <c r="L321" s="2" t="n"/>
      <c r="M321" s="2" t="n"/>
      <c r="N321" s="2" t="n">
        <v>74</v>
      </c>
      <c r="O321" s="2" t="n"/>
      <c r="P321" s="2" t="n"/>
      <c r="Q321" s="2" t="n"/>
      <c r="R321" s="2" t="n"/>
      <c r="S321" s="2" t="n"/>
      <c r="T321" s="2" t="n"/>
      <c r="U321" s="2" t="n"/>
      <c r="V321" s="2">
        <f>SUM(J321:U321)*G321</f>
        <v/>
      </c>
      <c r="W321" s="2">
        <f>MAX(J321:U321)</f>
        <v/>
      </c>
      <c r="X321" s="2">
        <f>W321*G321</f>
        <v/>
      </c>
    </row>
    <row r="322">
      <c r="A322" s="2" t="inlineStr">
        <is>
          <t>14-K-655</t>
        </is>
      </c>
      <c r="B322" s="3" t="inlineStr">
        <is>
          <t>OJC-A1-SC/LC-SM-30-PC/PC-DP</t>
        </is>
      </c>
      <c r="C322" s="2" t="inlineStr">
        <is>
          <t>K9089166_청색</t>
        </is>
      </c>
      <c r="D322" s="2" t="inlineStr">
        <is>
          <t>a1-청</t>
        </is>
      </c>
      <c r="E322" s="2" t="inlineStr">
        <is>
          <t>2.0mm</t>
        </is>
      </c>
      <c r="F322" s="2" t="n">
        <v>2</v>
      </c>
      <c r="G322" s="2" t="n">
        <v>30</v>
      </c>
      <c r="H322" s="2" t="inlineStr">
        <is>
          <t>SC/PC</t>
        </is>
      </c>
      <c r="I322" s="2" t="inlineStr">
        <is>
          <t>LC/PC</t>
        </is>
      </c>
      <c r="J322" s="2" t="n"/>
      <c r="K322" s="2" t="n"/>
      <c r="L322" s="2" t="n"/>
      <c r="M322" s="2" t="n"/>
      <c r="N322" s="2" t="n">
        <v>50</v>
      </c>
      <c r="O322" s="2" t="n"/>
      <c r="P322" s="2" t="n"/>
      <c r="Q322" s="2" t="n"/>
      <c r="R322" s="2" t="n"/>
      <c r="S322" s="2" t="n"/>
      <c r="T322" s="2" t="n"/>
      <c r="U322" s="2" t="n"/>
      <c r="V322" s="2">
        <f>SUM(J322:U322)*G322</f>
        <v/>
      </c>
      <c r="W322" s="2">
        <f>MAX(J322:U322)</f>
        <v/>
      </c>
      <c r="X322" s="2">
        <f>W322*G322</f>
        <v/>
      </c>
    </row>
    <row r="323">
      <c r="A323" s="2" t="inlineStr">
        <is>
          <t>14-K-656</t>
        </is>
      </c>
      <c r="B323" s="3" t="inlineStr">
        <is>
          <t>OJC-A1-SC/LC-SM-40-PC/PC-DP</t>
        </is>
      </c>
      <c r="C323" s="2" t="inlineStr">
        <is>
          <t>K9089168_청색</t>
        </is>
      </c>
      <c r="D323" s="2" t="inlineStr">
        <is>
          <t>a1-청</t>
        </is>
      </c>
      <c r="E323" s="2" t="inlineStr">
        <is>
          <t>2.0mm</t>
        </is>
      </c>
      <c r="F323" s="2" t="n">
        <v>2</v>
      </c>
      <c r="G323" s="2" t="n">
        <v>40</v>
      </c>
      <c r="H323" s="2" t="inlineStr">
        <is>
          <t>SC/PC</t>
        </is>
      </c>
      <c r="I323" s="2" t="inlineStr">
        <is>
          <t>LC/PC</t>
        </is>
      </c>
      <c r="J323" s="2" t="n"/>
      <c r="K323" s="2" t="n"/>
      <c r="L323" s="2" t="n"/>
      <c r="M323" s="2" t="n"/>
      <c r="N323" s="2" t="n">
        <v>50</v>
      </c>
      <c r="O323" s="2" t="n"/>
      <c r="P323" s="2" t="n"/>
      <c r="Q323" s="2" t="n"/>
      <c r="R323" s="2" t="n"/>
      <c r="S323" s="2" t="n"/>
      <c r="T323" s="2" t="n"/>
      <c r="U323" s="2" t="n"/>
      <c r="V323" s="2">
        <f>SUM(J323:U323)*G323</f>
        <v/>
      </c>
      <c r="W323" s="2">
        <f>MAX(J323:U323)</f>
        <v/>
      </c>
      <c r="X323" s="2">
        <f>W323*G323</f>
        <v/>
      </c>
    </row>
    <row r="324">
      <c r="A324" s="2" t="inlineStr">
        <is>
          <t>14-K-657</t>
        </is>
      </c>
      <c r="B324" s="3" t="inlineStr">
        <is>
          <t>OJC-A1-SC/LC-SM-35-PC/PC-DP</t>
        </is>
      </c>
      <c r="C324" s="2" t="inlineStr">
        <is>
          <t>K9089167_청색</t>
        </is>
      </c>
      <c r="D324" s="2" t="inlineStr">
        <is>
          <t>a1-청</t>
        </is>
      </c>
      <c r="E324" s="2" t="inlineStr">
        <is>
          <t>2.0mm</t>
        </is>
      </c>
      <c r="F324" s="2" t="n">
        <v>2</v>
      </c>
      <c r="G324" s="2" t="n">
        <v>35</v>
      </c>
      <c r="H324" s="2" t="inlineStr">
        <is>
          <t>SC/PC</t>
        </is>
      </c>
      <c r="I324" s="2" t="inlineStr">
        <is>
          <t>LC/PC</t>
        </is>
      </c>
      <c r="J324" s="2" t="n"/>
      <c r="K324" s="2" t="n"/>
      <c r="L324" s="2" t="n"/>
      <c r="M324" s="2" t="n"/>
      <c r="N324" s="2" t="n">
        <v>50</v>
      </c>
      <c r="O324" s="2" t="n"/>
      <c r="P324" s="2" t="n"/>
      <c r="Q324" s="2" t="n"/>
      <c r="R324" s="2" t="n"/>
      <c r="S324" s="2" t="n"/>
      <c r="T324" s="2" t="n"/>
      <c r="U324" s="2" t="n"/>
      <c r="V324" s="2">
        <f>SUM(J324:U324)*G324</f>
        <v/>
      </c>
      <c r="W324" s="2">
        <f>MAX(J324:U324)</f>
        <v/>
      </c>
      <c r="X324" s="2">
        <f>W324*G324</f>
        <v/>
      </c>
    </row>
    <row r="325">
      <c r="A325" s="2" t="inlineStr">
        <is>
          <t>14-K-658</t>
        </is>
      </c>
      <c r="B325" s="3" t="inlineStr">
        <is>
          <t>OJC-A1-LC/LC-MM-12-PC/PC-DP</t>
        </is>
      </c>
      <c r="C325" s="2" t="inlineStr"/>
      <c r="D325" s="2" t="inlineStr">
        <is>
          <t>om1</t>
        </is>
      </c>
      <c r="E325" s="2" t="inlineStr">
        <is>
          <t>2.0mm</t>
        </is>
      </c>
      <c r="F325" s="2" t="n">
        <v>2</v>
      </c>
      <c r="G325" s="2" t="n">
        <v>12</v>
      </c>
      <c r="H325" s="2" t="inlineStr">
        <is>
          <t>LC/PC</t>
        </is>
      </c>
      <c r="I325" s="2" t="inlineStr">
        <is>
          <t>LC/PC</t>
        </is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>
        <v>1</v>
      </c>
      <c r="T325" s="2" t="n"/>
      <c r="U325" s="2" t="n"/>
      <c r="V325" s="2">
        <f>SUM(J325:U325)*G325</f>
        <v/>
      </c>
      <c r="W325" s="2">
        <f>MAX(J325:U325)</f>
        <v/>
      </c>
      <c r="X325" s="2">
        <f>W325*G325</f>
        <v/>
      </c>
    </row>
    <row r="326">
      <c r="A326" s="2" t="inlineStr">
        <is>
          <t>14-K-663</t>
        </is>
      </c>
      <c r="B326" s="3" t="inlineStr">
        <is>
          <t>OJC-A1-LC/LC-MM(OM3)-40-PC/PC-DP</t>
        </is>
      </c>
      <c r="C326" s="2" t="inlineStr"/>
      <c r="D326" s="2" t="inlineStr">
        <is>
          <t>om3</t>
        </is>
      </c>
      <c r="E326" s="2" t="inlineStr">
        <is>
          <t>2.0mm</t>
        </is>
      </c>
      <c r="F326" s="2" t="n">
        <v>2</v>
      </c>
      <c r="G326" s="2" t="n">
        <v>40</v>
      </c>
      <c r="H326" s="2" t="inlineStr">
        <is>
          <t>LC/PC</t>
        </is>
      </c>
      <c r="I326" s="2" t="inlineStr">
        <is>
          <t>LC/PC</t>
        </is>
      </c>
      <c r="J326" s="2" t="n"/>
      <c r="K326" s="2" t="n"/>
      <c r="L326" s="2" t="n"/>
      <c r="M326" s="2" t="n">
        <v>4</v>
      </c>
      <c r="N326" s="2" t="n"/>
      <c r="O326" s="2" t="n"/>
      <c r="P326" s="2" t="n"/>
      <c r="Q326" s="2" t="n">
        <v>8</v>
      </c>
      <c r="R326" s="2" t="n"/>
      <c r="S326" s="2" t="n"/>
      <c r="T326" s="2" t="n"/>
      <c r="U326" s="2" t="n"/>
      <c r="V326" s="2">
        <f>SUM(J326:U326)*G326</f>
        <v/>
      </c>
      <c r="W326" s="2">
        <f>MAX(J326:U326)</f>
        <v/>
      </c>
      <c r="X326" s="2">
        <f>W326*G326</f>
        <v/>
      </c>
    </row>
    <row r="327">
      <c r="A327" s="2" t="inlineStr">
        <is>
          <t>14-K-667</t>
        </is>
      </c>
      <c r="B327" s="3" t="inlineStr">
        <is>
          <t>OJC-A1-SC/SC-SM-20-PC/PC-DP</t>
        </is>
      </c>
      <c r="C327" s="2" t="inlineStr">
        <is>
          <t>K9089142_녹색</t>
        </is>
      </c>
      <c r="D327" s="2" t="inlineStr">
        <is>
          <t>a1-녹</t>
        </is>
      </c>
      <c r="E327" s="2" t="inlineStr">
        <is>
          <t>2.0mm</t>
        </is>
      </c>
      <c r="F327" s="2" t="n">
        <v>2</v>
      </c>
      <c r="G327" s="2" t="n">
        <v>20</v>
      </c>
      <c r="H327" s="2" t="inlineStr">
        <is>
          <t>SC/PC</t>
        </is>
      </c>
      <c r="I327" s="2" t="inlineStr">
        <is>
          <t>SC/PC</t>
        </is>
      </c>
      <c r="J327" s="2" t="n"/>
      <c r="K327" s="2" t="n"/>
      <c r="L327" s="2" t="n"/>
      <c r="M327" s="2" t="n">
        <v>80</v>
      </c>
      <c r="N327" s="2" t="n"/>
      <c r="O327" s="2" t="n"/>
      <c r="P327" s="2" t="n"/>
      <c r="Q327" s="2" t="n">
        <v>50</v>
      </c>
      <c r="R327" s="2" t="n"/>
      <c r="S327" s="2" t="n"/>
      <c r="T327" s="2" t="n"/>
      <c r="U327" s="2" t="n"/>
      <c r="V327" s="2">
        <f>SUM(J327:U327)*G327</f>
        <v/>
      </c>
      <c r="W327" s="2">
        <f>MAX(J327:U327)</f>
        <v/>
      </c>
      <c r="X327" s="2">
        <f>W327*G327</f>
        <v/>
      </c>
    </row>
    <row r="328">
      <c r="A328" s="2" t="inlineStr">
        <is>
          <t>14-K-668</t>
        </is>
      </c>
      <c r="B328" s="3" t="inlineStr">
        <is>
          <t>OJC-A1-SC/SC-SM-25-PC/PC-DP</t>
        </is>
      </c>
      <c r="C328" s="2" t="inlineStr">
        <is>
          <t>K9089147_녹색</t>
        </is>
      </c>
      <c r="D328" s="2" t="inlineStr">
        <is>
          <t>a1-녹</t>
        </is>
      </c>
      <c r="E328" s="2" t="inlineStr">
        <is>
          <t>2.0mm</t>
        </is>
      </c>
      <c r="F328" s="2" t="n">
        <v>2</v>
      </c>
      <c r="G328" s="2" t="n">
        <v>25</v>
      </c>
      <c r="H328" s="2" t="inlineStr">
        <is>
          <t>SC/PC</t>
        </is>
      </c>
      <c r="I328" s="2" t="inlineStr">
        <is>
          <t>SC/PC</t>
        </is>
      </c>
      <c r="J328" s="2" t="n"/>
      <c r="K328" s="2" t="n"/>
      <c r="L328" s="2" t="n"/>
      <c r="M328" s="2" t="n">
        <v>100</v>
      </c>
      <c r="N328" s="2" t="n"/>
      <c r="O328" s="2" t="n"/>
      <c r="P328" s="2" t="n"/>
      <c r="Q328" s="2" t="n">
        <v>50</v>
      </c>
      <c r="R328" s="2" t="n"/>
      <c r="S328" s="2" t="n"/>
      <c r="T328" s="2" t="n">
        <v>100</v>
      </c>
      <c r="U328" s="2" t="n"/>
      <c r="V328" s="2">
        <f>SUM(J328:U328)*G328</f>
        <v/>
      </c>
      <c r="W328" s="2">
        <f>MAX(J328:U328)</f>
        <v/>
      </c>
      <c r="X328" s="2">
        <f>W328*G328</f>
        <v/>
      </c>
    </row>
    <row r="329">
      <c r="A329" s="2" t="inlineStr">
        <is>
          <t>14-K-669</t>
        </is>
      </c>
      <c r="B329" s="3" t="inlineStr">
        <is>
          <t>OJC-A1-SC/SC-SM-10-PC/PC-DP</t>
        </is>
      </c>
      <c r="C329" s="2" t="inlineStr">
        <is>
          <t>K9089132_녹색</t>
        </is>
      </c>
      <c r="D329" s="2" t="inlineStr">
        <is>
          <t>a1-녹</t>
        </is>
      </c>
      <c r="E329" s="2" t="inlineStr">
        <is>
          <t>2.0mm</t>
        </is>
      </c>
      <c r="F329" s="2" t="n">
        <v>2</v>
      </c>
      <c r="G329" s="2" t="n">
        <v>10</v>
      </c>
      <c r="H329" s="2" t="inlineStr">
        <is>
          <t>SC/PC</t>
        </is>
      </c>
      <c r="I329" s="2" t="inlineStr">
        <is>
          <t>SC/PC</t>
        </is>
      </c>
      <c r="J329" s="2" t="n"/>
      <c r="K329" s="2" t="n"/>
      <c r="L329" s="2" t="n"/>
      <c r="M329" s="2" t="n">
        <v>30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>
        <f>SUM(J329:U329)*G329</f>
        <v/>
      </c>
      <c r="W329" s="2">
        <f>MAX(J329:U329)</f>
        <v/>
      </c>
      <c r="X329" s="2">
        <f>W329*G329</f>
        <v/>
      </c>
    </row>
    <row r="330">
      <c r="A330" s="2" t="inlineStr">
        <is>
          <t>14-K-670</t>
        </is>
      </c>
      <c r="B330" s="3" t="inlineStr">
        <is>
          <t>OJC-A1-SC/SC-SM-15-PC/PC-DP</t>
        </is>
      </c>
      <c r="C330" s="2" t="inlineStr">
        <is>
          <t>K9089137_녹색</t>
        </is>
      </c>
      <c r="D330" s="2" t="inlineStr">
        <is>
          <t>a1-녹</t>
        </is>
      </c>
      <c r="E330" s="2" t="inlineStr">
        <is>
          <t>2.0mm</t>
        </is>
      </c>
      <c r="F330" s="2" t="n">
        <v>2</v>
      </c>
      <c r="G330" s="2" t="n">
        <v>15</v>
      </c>
      <c r="H330" s="2" t="inlineStr">
        <is>
          <t>SC/PC</t>
        </is>
      </c>
      <c r="I330" s="2" t="inlineStr">
        <is>
          <t>SC/PC</t>
        </is>
      </c>
      <c r="J330" s="2" t="n"/>
      <c r="K330" s="2" t="n"/>
      <c r="L330" s="2" t="n"/>
      <c r="M330" s="2" t="n">
        <v>32</v>
      </c>
      <c r="N330" s="2" t="n"/>
      <c r="O330" s="2" t="n"/>
      <c r="P330" s="2" t="n"/>
      <c r="Q330" s="2" t="n">
        <v>50</v>
      </c>
      <c r="R330" s="2" t="n"/>
      <c r="S330" s="2" t="n"/>
      <c r="T330" s="2" t="n"/>
      <c r="U330" s="2" t="n"/>
      <c r="V330" s="2">
        <f>SUM(J330:U330)*G330</f>
        <v/>
      </c>
      <c r="W330" s="2">
        <f>MAX(J330:U330)</f>
        <v/>
      </c>
      <c r="X330" s="2">
        <f>W330*G330</f>
        <v/>
      </c>
    </row>
    <row r="331">
      <c r="A331" s="2" t="inlineStr">
        <is>
          <t>14-K-673</t>
        </is>
      </c>
      <c r="B331" s="3" t="inlineStr">
        <is>
          <t>OJC-A1-SC/SC-SM-30-PC/PC-DP</t>
        </is>
      </c>
      <c r="C331" s="2" t="inlineStr">
        <is>
          <t>K9089152_녹색</t>
        </is>
      </c>
      <c r="D331" s="2" t="inlineStr">
        <is>
          <t>a1-녹</t>
        </is>
      </c>
      <c r="E331" s="2" t="inlineStr">
        <is>
          <t>2.0mm</t>
        </is>
      </c>
      <c r="F331" s="2" t="n">
        <v>2</v>
      </c>
      <c r="G331" s="2" t="n">
        <v>30</v>
      </c>
      <c r="H331" s="2" t="inlineStr">
        <is>
          <t>SC/PC</t>
        </is>
      </c>
      <c r="I331" s="2" t="inlineStr">
        <is>
          <t>SC/PC</t>
        </is>
      </c>
      <c r="J331" s="2" t="n"/>
      <c r="K331" s="2" t="n"/>
      <c r="L331" s="2" t="n"/>
      <c r="M331" s="2" t="n">
        <v>30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>
        <f>SUM(J331:U331)*G331</f>
        <v/>
      </c>
      <c r="W331" s="2">
        <f>MAX(J331:U331)</f>
        <v/>
      </c>
      <c r="X331" s="2">
        <f>W331*G331</f>
        <v/>
      </c>
    </row>
    <row r="332">
      <c r="A332" s="2" t="inlineStr">
        <is>
          <t>14-K-676</t>
        </is>
      </c>
      <c r="B332" s="3" t="inlineStr">
        <is>
          <t>OJC-A1-SC/ST-SM-10-PC/PC-SP</t>
        </is>
      </c>
      <c r="C332" s="2" t="inlineStr"/>
      <c r="D332" s="2" t="inlineStr">
        <is>
          <t>a1</t>
        </is>
      </c>
      <c r="E332" s="2" t="inlineStr">
        <is>
          <t>2.0mm</t>
        </is>
      </c>
      <c r="F332" s="2" t="n">
        <v>1</v>
      </c>
      <c r="G332" s="2" t="n">
        <v>10</v>
      </c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>
        <v>2</v>
      </c>
      <c r="V332" s="2">
        <f>SUM(J332:U332)*G332</f>
        <v/>
      </c>
      <c r="W332" s="2">
        <f>MAX(J332:U332)</f>
        <v/>
      </c>
      <c r="X332" s="2">
        <f>W332*G332</f>
        <v/>
      </c>
    </row>
    <row r="333">
      <c r="A333" s="2" t="inlineStr">
        <is>
          <t>14-K-680</t>
        </is>
      </c>
      <c r="B333" s="3" t="inlineStr">
        <is>
          <t>OJC-A1-SC/SC-SM-26-PC/PC-SP</t>
        </is>
      </c>
      <c r="C333" s="2" t="inlineStr">
        <is>
          <t>K9089019</t>
        </is>
      </c>
      <c r="D333" s="2" t="inlineStr">
        <is>
          <t>a1</t>
        </is>
      </c>
      <c r="E333" s="2" t="inlineStr">
        <is>
          <t>2.0mm</t>
        </is>
      </c>
      <c r="F333" s="2" t="n">
        <v>1</v>
      </c>
      <c r="G333" s="2" t="n">
        <v>26</v>
      </c>
      <c r="H333" s="2" t="inlineStr">
        <is>
          <t>SC/PC</t>
        </is>
      </c>
      <c r="I333" s="2" t="inlineStr">
        <is>
          <t>SC/PC</t>
        </is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>
        <v>10</v>
      </c>
      <c r="V333" s="2">
        <f>SUM(J333:U333)*G333</f>
        <v/>
      </c>
      <c r="W333" s="2">
        <f>MAX(J333:U333)</f>
        <v/>
      </c>
      <c r="X333" s="2">
        <f>W333*G333</f>
        <v/>
      </c>
    </row>
    <row r="334">
      <c r="A334" s="2" t="inlineStr">
        <is>
          <t>14-K-682</t>
        </is>
      </c>
      <c r="B334" s="3" t="inlineStr">
        <is>
          <t>OJC-A1-SC/SC-SM-25-PC/PC-DP</t>
        </is>
      </c>
      <c r="C334" s="2" t="inlineStr">
        <is>
          <t>K9089147_적색</t>
        </is>
      </c>
      <c r="D334" s="2" t="inlineStr">
        <is>
          <t>a1-적</t>
        </is>
      </c>
      <c r="E334" s="2" t="inlineStr">
        <is>
          <t>2.0mm</t>
        </is>
      </c>
      <c r="F334" s="2" t="n">
        <v>2</v>
      </c>
      <c r="G334" s="2" t="n">
        <v>25</v>
      </c>
      <c r="H334" s="2" t="inlineStr">
        <is>
          <t>SC/PC</t>
        </is>
      </c>
      <c r="I334" s="2" t="inlineStr">
        <is>
          <t>SC/PC</t>
        </is>
      </c>
      <c r="J334" s="2" t="n"/>
      <c r="K334" s="2" t="n"/>
      <c r="L334" s="2" t="n"/>
      <c r="M334" s="2" t="n">
        <v>30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>
        <f>SUM(J334:U334)*G334</f>
        <v/>
      </c>
      <c r="W334" s="2">
        <f>MAX(J334:U334)</f>
        <v/>
      </c>
      <c r="X334" s="2">
        <f>W334*G334</f>
        <v/>
      </c>
    </row>
    <row r="335">
      <c r="A335" s="2" t="inlineStr">
        <is>
          <t>14-K-683</t>
        </is>
      </c>
      <c r="B335" s="3" t="inlineStr">
        <is>
          <t>OJC-A1-SC/SC-SM-15-PC/PC-DP</t>
        </is>
      </c>
      <c r="C335" s="2" t="inlineStr">
        <is>
          <t>K9089137_적색</t>
        </is>
      </c>
      <c r="D335" s="2" t="inlineStr">
        <is>
          <t>a1-적</t>
        </is>
      </c>
      <c r="E335" s="2" t="inlineStr">
        <is>
          <t>2.0mm</t>
        </is>
      </c>
      <c r="F335" s="2" t="n">
        <v>2</v>
      </c>
      <c r="G335" s="2" t="n">
        <v>15</v>
      </c>
      <c r="H335" s="2" t="inlineStr">
        <is>
          <t>SC/PC</t>
        </is>
      </c>
      <c r="I335" s="2" t="inlineStr">
        <is>
          <t>SC/PC</t>
        </is>
      </c>
      <c r="J335" s="2" t="n"/>
      <c r="K335" s="2" t="n"/>
      <c r="L335" s="2" t="n"/>
      <c r="M335" s="2" t="n">
        <v>30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>
        <f>SUM(J335:U335)*G335</f>
        <v/>
      </c>
      <c r="W335" s="2">
        <f>MAX(J335:U335)</f>
        <v/>
      </c>
      <c r="X335" s="2">
        <f>W335*G335</f>
        <v/>
      </c>
    </row>
    <row r="336">
      <c r="A336" s="2" t="inlineStr">
        <is>
          <t>14-K-684</t>
        </is>
      </c>
      <c r="B336" s="3" t="inlineStr">
        <is>
          <t>OJC-A1-SC/SC-SM-10-PC/PC-DP</t>
        </is>
      </c>
      <c r="C336" s="2" t="inlineStr">
        <is>
          <t>K9089132_적색</t>
        </is>
      </c>
      <c r="D336" s="2" t="inlineStr">
        <is>
          <t>a1-적</t>
        </is>
      </c>
      <c r="E336" s="2" t="inlineStr">
        <is>
          <t>2.0mm</t>
        </is>
      </c>
      <c r="F336" s="2" t="n">
        <v>2</v>
      </c>
      <c r="G336" s="2" t="n">
        <v>10</v>
      </c>
      <c r="H336" s="2" t="inlineStr">
        <is>
          <t>SC/PC</t>
        </is>
      </c>
      <c r="I336" s="2" t="inlineStr">
        <is>
          <t>SC/PC</t>
        </is>
      </c>
      <c r="J336" s="2" t="n"/>
      <c r="K336" s="2" t="n"/>
      <c r="L336" s="2" t="n"/>
      <c r="M336" s="2" t="n">
        <v>30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SUM(J336:U336)*G336</f>
        <v/>
      </c>
      <c r="W336" s="2">
        <f>MAX(J336:U336)</f>
        <v/>
      </c>
      <c r="X336" s="2">
        <f>W336*G336</f>
        <v/>
      </c>
    </row>
    <row r="337">
      <c r="A337" s="2" t="inlineStr">
        <is>
          <t>14-K-699</t>
        </is>
      </c>
      <c r="B337" s="3" t="inlineStr">
        <is>
          <t>OJC-A1-SC/LC-MM(OM3)-10-PC/PC-DP</t>
        </is>
      </c>
      <c r="C337" s="2" t="inlineStr"/>
      <c r="D337" s="2" t="inlineStr">
        <is>
          <t>om3</t>
        </is>
      </c>
      <c r="E337" s="2" t="inlineStr">
        <is>
          <t>2.0mm</t>
        </is>
      </c>
      <c r="F337" s="2" t="n">
        <v>2</v>
      </c>
      <c r="G337" s="2" t="n">
        <v>10</v>
      </c>
      <c r="H337" s="2" t="inlineStr">
        <is>
          <t>SC/PC</t>
        </is>
      </c>
      <c r="I337" s="2" t="inlineStr">
        <is>
          <t>LC/PC</t>
        </is>
      </c>
      <c r="J337" s="2" t="n"/>
      <c r="K337" s="2" t="n"/>
      <c r="L337" s="2" t="n"/>
      <c r="M337" s="2" t="n"/>
      <c r="N337" s="2" t="n"/>
      <c r="O337" s="2" t="n"/>
      <c r="P337" s="2" t="n">
        <v>2</v>
      </c>
      <c r="Q337" s="2" t="n"/>
      <c r="R337" s="2" t="n"/>
      <c r="S337" s="2" t="n"/>
      <c r="T337" s="2" t="n"/>
      <c r="U337" s="2" t="n"/>
      <c r="V337" s="2">
        <f>SUM(J337:U337)*G337</f>
        <v/>
      </c>
      <c r="W337" s="2">
        <f>MAX(J337:U337)</f>
        <v/>
      </c>
      <c r="X337" s="2">
        <f>W337*G337</f>
        <v/>
      </c>
    </row>
    <row r="338">
      <c r="A338" s="2" t="inlineStr">
        <is>
          <t>14-K-700</t>
        </is>
      </c>
      <c r="B338" s="3" t="inlineStr">
        <is>
          <t>OJC-A1-SC/SC-SM-15-PC/PC-SP</t>
        </is>
      </c>
      <c r="C338" s="2" t="inlineStr">
        <is>
          <t>K9089008_청색</t>
        </is>
      </c>
      <c r="D338" s="2" t="inlineStr">
        <is>
          <t>a1-청</t>
        </is>
      </c>
      <c r="E338" s="2" t="inlineStr">
        <is>
          <t>2.0mm</t>
        </is>
      </c>
      <c r="F338" s="2" t="n">
        <v>1</v>
      </c>
      <c r="G338" s="2" t="n">
        <v>15</v>
      </c>
      <c r="H338" s="2" t="inlineStr">
        <is>
          <t>SC/PC</t>
        </is>
      </c>
      <c r="I338" s="2" t="inlineStr">
        <is>
          <t>SC/PC</t>
        </is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>
        <v>10</v>
      </c>
      <c r="U338" s="2" t="n"/>
      <c r="V338" s="2">
        <f>SUM(J338:U338)*G338</f>
        <v/>
      </c>
      <c r="W338" s="2">
        <f>MAX(J338:U338)</f>
        <v/>
      </c>
      <c r="X338" s="2">
        <f>W338*G338</f>
        <v/>
      </c>
    </row>
    <row r="339">
      <c r="A339" s="2" t="inlineStr">
        <is>
          <t>14-K-705</t>
        </is>
      </c>
      <c r="B339" s="3" t="inlineStr">
        <is>
          <t>OJC-A1-SC/SC-SM-15-PC/PC-SP</t>
        </is>
      </c>
      <c r="C339" s="2" t="inlineStr">
        <is>
          <t>K9089008_녹색</t>
        </is>
      </c>
      <c r="D339" s="2" t="inlineStr">
        <is>
          <t>a1-녹</t>
        </is>
      </c>
      <c r="E339" s="2" t="inlineStr">
        <is>
          <t>2.0mm</t>
        </is>
      </c>
      <c r="F339" s="2" t="n">
        <v>1</v>
      </c>
      <c r="G339" s="2" t="n">
        <v>15</v>
      </c>
      <c r="H339" s="2" t="inlineStr">
        <is>
          <t>SC/PC</t>
        </is>
      </c>
      <c r="I339" s="2" t="inlineStr">
        <is>
          <t>SC/PC</t>
        </is>
      </c>
      <c r="J339" s="2" t="n"/>
      <c r="K339" s="2" t="n"/>
      <c r="L339" s="2" t="n">
        <v>2</v>
      </c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>
        <f>SUM(J339:U339)*G339</f>
        <v/>
      </c>
      <c r="W339" s="2">
        <f>MAX(J339:U339)</f>
        <v/>
      </c>
      <c r="X339" s="2">
        <f>W339*G339</f>
        <v/>
      </c>
    </row>
    <row r="340">
      <c r="A340" s="2" t="inlineStr">
        <is>
          <t>14-K-708</t>
        </is>
      </c>
      <c r="B340" s="3" t="inlineStr">
        <is>
          <t>OJC-A1-SC/SC-SM-10-PC/PC-DP</t>
        </is>
      </c>
      <c r="C340" s="2" t="inlineStr">
        <is>
          <t>K9089132_청색</t>
        </is>
      </c>
      <c r="D340" s="2" t="inlineStr">
        <is>
          <t>a1-청</t>
        </is>
      </c>
      <c r="E340" s="2" t="inlineStr">
        <is>
          <t>2.0mm</t>
        </is>
      </c>
      <c r="F340" s="2" t="n">
        <v>2</v>
      </c>
      <c r="G340" s="2" t="n">
        <v>10</v>
      </c>
      <c r="H340" s="2" t="inlineStr">
        <is>
          <t>SC/PC</t>
        </is>
      </c>
      <c r="I340" s="2" t="inlineStr">
        <is>
          <t>SC/PC</t>
        </is>
      </c>
      <c r="J340" s="2" t="n"/>
      <c r="K340" s="2" t="n"/>
      <c r="L340" s="2" t="n"/>
      <c r="M340" s="2" t="n"/>
      <c r="N340" s="2" t="n">
        <v>50</v>
      </c>
      <c r="O340" s="2" t="n"/>
      <c r="P340" s="2" t="n"/>
      <c r="Q340" s="2" t="n"/>
      <c r="R340" s="2" t="n"/>
      <c r="S340" s="2" t="n"/>
      <c r="T340" s="2" t="n"/>
      <c r="U340" s="2" t="n"/>
      <c r="V340" s="2">
        <f>SUM(J340:U340)*G340</f>
        <v/>
      </c>
      <c r="W340" s="2">
        <f>MAX(J340:U340)</f>
        <v/>
      </c>
      <c r="X340" s="2">
        <f>W340*G340</f>
        <v/>
      </c>
    </row>
    <row r="341">
      <c r="A341" s="2" t="inlineStr">
        <is>
          <t>14-K-709</t>
        </is>
      </c>
      <c r="B341" s="3" t="inlineStr">
        <is>
          <t>OJC-A1-SC/SC-SM-15-PC/PC-DP</t>
        </is>
      </c>
      <c r="C341" s="2" t="inlineStr">
        <is>
          <t>K9089137_청색</t>
        </is>
      </c>
      <c r="D341" s="2" t="inlineStr">
        <is>
          <t>a1-청</t>
        </is>
      </c>
      <c r="E341" s="2" t="inlineStr">
        <is>
          <t>2.0mm</t>
        </is>
      </c>
      <c r="F341" s="2" t="n">
        <v>2</v>
      </c>
      <c r="G341" s="2" t="n">
        <v>15</v>
      </c>
      <c r="H341" s="2" t="inlineStr">
        <is>
          <t>SC/PC</t>
        </is>
      </c>
      <c r="I341" s="2" t="inlineStr">
        <is>
          <t>SC/PC</t>
        </is>
      </c>
      <c r="J341" s="2" t="n"/>
      <c r="K341" s="2" t="n"/>
      <c r="L341" s="2" t="n"/>
      <c r="M341" s="2" t="n"/>
      <c r="N341" s="2" t="n">
        <v>50</v>
      </c>
      <c r="O341" s="2" t="n"/>
      <c r="P341" s="2" t="n"/>
      <c r="Q341" s="2" t="n"/>
      <c r="R341" s="2" t="n"/>
      <c r="S341" s="2" t="n"/>
      <c r="T341" s="2" t="n"/>
      <c r="U341" s="2" t="n"/>
      <c r="V341" s="2">
        <f>SUM(J341:U341)*G341</f>
        <v/>
      </c>
      <c r="W341" s="2">
        <f>MAX(J341:U341)</f>
        <v/>
      </c>
      <c r="X341" s="2">
        <f>W341*G341</f>
        <v/>
      </c>
    </row>
    <row r="342">
      <c r="A342" s="2" t="inlineStr">
        <is>
          <t>14-K-710</t>
        </is>
      </c>
      <c r="B342" s="3" t="inlineStr">
        <is>
          <t>OJC-A1-SC/SC-SM-20-PC/PC-DP</t>
        </is>
      </c>
      <c r="C342" s="2" t="inlineStr">
        <is>
          <t>K9089142_청색</t>
        </is>
      </c>
      <c r="D342" s="2" t="inlineStr">
        <is>
          <t>a1-청</t>
        </is>
      </c>
      <c r="E342" s="2" t="inlineStr">
        <is>
          <t>2.0mm</t>
        </is>
      </c>
      <c r="F342" s="2" t="n">
        <v>2</v>
      </c>
      <c r="G342" s="2" t="n">
        <v>20</v>
      </c>
      <c r="H342" s="2" t="inlineStr">
        <is>
          <t>SC/PC</t>
        </is>
      </c>
      <c r="I342" s="2" t="inlineStr">
        <is>
          <t>SC/PC</t>
        </is>
      </c>
      <c r="J342" s="2" t="n"/>
      <c r="K342" s="2" t="n"/>
      <c r="L342" s="2" t="n"/>
      <c r="M342" s="2" t="n"/>
      <c r="N342" s="2" t="n">
        <v>50</v>
      </c>
      <c r="O342" s="2" t="n"/>
      <c r="P342" s="2" t="n"/>
      <c r="Q342" s="2" t="n"/>
      <c r="R342" s="2" t="n"/>
      <c r="S342" s="2" t="n"/>
      <c r="T342" s="2" t="n"/>
      <c r="U342" s="2" t="n"/>
      <c r="V342" s="2">
        <f>SUM(J342:U342)*G342</f>
        <v/>
      </c>
      <c r="W342" s="2">
        <f>MAX(J342:U342)</f>
        <v/>
      </c>
      <c r="X342" s="2">
        <f>W342*G342</f>
        <v/>
      </c>
    </row>
    <row r="343">
      <c r="A343" s="2" t="inlineStr">
        <is>
          <t>14-K-711</t>
        </is>
      </c>
      <c r="B343" s="3" t="inlineStr">
        <is>
          <t>OJC-A1-SC/SC-SM-25-PC/PC-DP</t>
        </is>
      </c>
      <c r="C343" s="2" t="inlineStr">
        <is>
          <t>K9089147_청색</t>
        </is>
      </c>
      <c r="D343" s="2" t="inlineStr">
        <is>
          <t>a1-청</t>
        </is>
      </c>
      <c r="E343" s="2" t="inlineStr">
        <is>
          <t>2.0mm</t>
        </is>
      </c>
      <c r="F343" s="2" t="n">
        <v>2</v>
      </c>
      <c r="G343" s="2" t="n">
        <v>25</v>
      </c>
      <c r="H343" s="2" t="inlineStr">
        <is>
          <t>SC/PC</t>
        </is>
      </c>
      <c r="I343" s="2" t="inlineStr">
        <is>
          <t>SC/PC</t>
        </is>
      </c>
      <c r="J343" s="2" t="n"/>
      <c r="K343" s="2" t="n"/>
      <c r="L343" s="2" t="n"/>
      <c r="M343" s="2" t="n"/>
      <c r="N343" s="2" t="n">
        <v>50</v>
      </c>
      <c r="O343" s="2" t="n"/>
      <c r="P343" s="2" t="n"/>
      <c r="Q343" s="2" t="n"/>
      <c r="R343" s="2" t="n"/>
      <c r="S343" s="2" t="n"/>
      <c r="T343" s="2" t="n"/>
      <c r="U343" s="2" t="n"/>
      <c r="V343" s="2">
        <f>SUM(J343:U343)*G343</f>
        <v/>
      </c>
      <c r="W343" s="2">
        <f>MAX(J343:U343)</f>
        <v/>
      </c>
      <c r="X343" s="2">
        <f>W343*G343</f>
        <v/>
      </c>
    </row>
    <row r="344">
      <c r="A344" s="2" t="inlineStr">
        <is>
          <t>14-K-712</t>
        </is>
      </c>
      <c r="B344" s="3" t="inlineStr">
        <is>
          <t>OJC-A1-SC/SC-SM-30-PC/PC-DP</t>
        </is>
      </c>
      <c r="C344" s="2" t="inlineStr">
        <is>
          <t>K9089152_청색</t>
        </is>
      </c>
      <c r="D344" s="2" t="inlineStr">
        <is>
          <t>a1-청</t>
        </is>
      </c>
      <c r="E344" s="2" t="inlineStr">
        <is>
          <t>2.0mm</t>
        </is>
      </c>
      <c r="F344" s="2" t="n">
        <v>2</v>
      </c>
      <c r="G344" s="2" t="n">
        <v>30</v>
      </c>
      <c r="H344" s="2" t="inlineStr">
        <is>
          <t>SC/PC</t>
        </is>
      </c>
      <c r="I344" s="2" t="inlineStr">
        <is>
          <t>SC/PC</t>
        </is>
      </c>
      <c r="J344" s="2" t="n"/>
      <c r="K344" s="2" t="n"/>
      <c r="L344" s="2" t="n"/>
      <c r="M344" s="2" t="n"/>
      <c r="N344" s="2" t="n">
        <v>50</v>
      </c>
      <c r="O344" s="2" t="n"/>
      <c r="P344" s="2" t="n"/>
      <c r="Q344" s="2" t="n"/>
      <c r="R344" s="2" t="n"/>
      <c r="S344" s="2" t="n"/>
      <c r="T344" s="2" t="n"/>
      <c r="U344" s="2" t="n"/>
      <c r="V344" s="2">
        <f>SUM(J344:U344)*G344</f>
        <v/>
      </c>
      <c r="W344" s="2">
        <f>MAX(J344:U344)</f>
        <v/>
      </c>
      <c r="X344" s="2">
        <f>W344*G344</f>
        <v/>
      </c>
    </row>
    <row r="345">
      <c r="A345" s="2" t="inlineStr">
        <is>
          <t>14-K-713</t>
        </is>
      </c>
      <c r="B345" s="3" t="inlineStr">
        <is>
          <t>OJC-A1-SC/SC-SM-30-PC/PC-DP</t>
        </is>
      </c>
      <c r="C345" s="2" t="inlineStr">
        <is>
          <t>K9089152_적색</t>
        </is>
      </c>
      <c r="D345" s="2" t="inlineStr">
        <is>
          <t>a1-적</t>
        </is>
      </c>
      <c r="E345" s="2" t="inlineStr">
        <is>
          <t>2.0mm</t>
        </is>
      </c>
      <c r="F345" s="2" t="n">
        <v>2</v>
      </c>
      <c r="G345" s="2" t="n">
        <v>30</v>
      </c>
      <c r="H345" s="2" t="inlineStr">
        <is>
          <t>SC/PC</t>
        </is>
      </c>
      <c r="I345" s="2" t="inlineStr">
        <is>
          <t>SC/PC</t>
        </is>
      </c>
      <c r="J345" s="2" t="n"/>
      <c r="K345" s="2" t="n"/>
      <c r="L345" s="2" t="n"/>
      <c r="M345" s="2" t="n">
        <v>30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>
        <f>SUM(J345:U345)*G345</f>
        <v/>
      </c>
      <c r="W345" s="2">
        <f>MAX(J345:U345)</f>
        <v/>
      </c>
      <c r="X345" s="2">
        <f>W345*G345</f>
        <v/>
      </c>
    </row>
    <row r="346">
      <c r="A346" s="2" t="inlineStr">
        <is>
          <t>14-K-716</t>
        </is>
      </c>
      <c r="B346" s="3" t="inlineStr">
        <is>
          <t>OJC-A1-LC/LC-SM-35-PC/PC-DP</t>
        </is>
      </c>
      <c r="C346" s="2" t="inlineStr">
        <is>
          <t>K9089181_청색</t>
        </is>
      </c>
      <c r="D346" s="2" t="inlineStr">
        <is>
          <t>a1-청</t>
        </is>
      </c>
      <c r="E346" s="2" t="inlineStr">
        <is>
          <t>2.0mm</t>
        </is>
      </c>
      <c r="F346" s="2" t="n">
        <v>2</v>
      </c>
      <c r="G346" s="2" t="n">
        <v>35</v>
      </c>
      <c r="H346" s="2" t="inlineStr">
        <is>
          <t>LC/PC</t>
        </is>
      </c>
      <c r="I346" s="2" t="inlineStr">
        <is>
          <t>LC/PC</t>
        </is>
      </c>
      <c r="J346" s="2" t="n"/>
      <c r="K346" s="2" t="n"/>
      <c r="L346" s="2" t="n"/>
      <c r="M346" s="2" t="n"/>
      <c r="N346" s="2" t="n">
        <v>50</v>
      </c>
      <c r="O346" s="2" t="n"/>
      <c r="P346" s="2" t="n"/>
      <c r="Q346" s="2" t="n"/>
      <c r="R346" s="2" t="n"/>
      <c r="S346" s="2" t="n"/>
      <c r="T346" s="2" t="n"/>
      <c r="U346" s="2" t="n"/>
      <c r="V346" s="2">
        <f>SUM(J346:U346)*G346</f>
        <v/>
      </c>
      <c r="W346" s="2">
        <f>MAX(J346:U346)</f>
        <v/>
      </c>
      <c r="X346" s="2">
        <f>W346*G346</f>
        <v/>
      </c>
    </row>
    <row r="347">
      <c r="A347" s="2" t="inlineStr">
        <is>
          <t>14-K-717</t>
        </is>
      </c>
      <c r="B347" s="3" t="inlineStr">
        <is>
          <t>OJC-A1-LC/LC-SM-30-PC/PC-DP</t>
        </is>
      </c>
      <c r="C347" s="2" t="inlineStr">
        <is>
          <t>K9089180_청색</t>
        </is>
      </c>
      <c r="D347" s="2" t="inlineStr">
        <is>
          <t>a1-청</t>
        </is>
      </c>
      <c r="E347" s="2" t="inlineStr">
        <is>
          <t>2.0mm</t>
        </is>
      </c>
      <c r="F347" s="2" t="n">
        <v>2</v>
      </c>
      <c r="G347" s="2" t="n">
        <v>30</v>
      </c>
      <c r="H347" s="2" t="inlineStr">
        <is>
          <t>LC/PC</t>
        </is>
      </c>
      <c r="I347" s="2" t="inlineStr">
        <is>
          <t>LC/PC</t>
        </is>
      </c>
      <c r="J347" s="2" t="n"/>
      <c r="K347" s="2" t="n"/>
      <c r="L347" s="2" t="n">
        <v>10</v>
      </c>
      <c r="M347" s="2" t="n"/>
      <c r="N347" s="2" t="n">
        <v>50</v>
      </c>
      <c r="O347" s="2" t="n"/>
      <c r="P347" s="2" t="n"/>
      <c r="Q347" s="2" t="n"/>
      <c r="R347" s="2" t="n"/>
      <c r="S347" s="2" t="n"/>
      <c r="T347" s="2" t="n"/>
      <c r="U347" s="2" t="n"/>
      <c r="V347" s="2">
        <f>SUM(J347:U347)*G347</f>
        <v/>
      </c>
      <c r="W347" s="2">
        <f>MAX(J347:U347)</f>
        <v/>
      </c>
      <c r="X347" s="2">
        <f>W347*G347</f>
        <v/>
      </c>
    </row>
    <row r="348">
      <c r="A348" s="2" t="inlineStr">
        <is>
          <t>14-K-719</t>
        </is>
      </c>
      <c r="B348" s="3" t="inlineStr">
        <is>
          <t>OJC-A1-LC/LC-SM-20-PC/PC-DP</t>
        </is>
      </c>
      <c r="C348" s="2" t="inlineStr">
        <is>
          <t>K9089178_청색</t>
        </is>
      </c>
      <c r="D348" s="2" t="inlineStr">
        <is>
          <t>a1-청</t>
        </is>
      </c>
      <c r="E348" s="2" t="inlineStr">
        <is>
          <t>2.0mm</t>
        </is>
      </c>
      <c r="F348" s="2" t="n">
        <v>2</v>
      </c>
      <c r="G348" s="2" t="n">
        <v>20</v>
      </c>
      <c r="H348" s="2" t="inlineStr">
        <is>
          <t>LC/PC</t>
        </is>
      </c>
      <c r="I348" s="2" t="inlineStr">
        <is>
          <t>LC/PC</t>
        </is>
      </c>
      <c r="J348" s="2" t="n"/>
      <c r="K348" s="2" t="n">
        <v>30</v>
      </c>
      <c r="L348" s="2" t="n">
        <v>20</v>
      </c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>
        <f>SUM(J348:U348)*G348</f>
        <v/>
      </c>
      <c r="W348" s="2">
        <f>MAX(J348:U348)</f>
        <v/>
      </c>
      <c r="X348" s="2">
        <f>W348*G348</f>
        <v/>
      </c>
    </row>
    <row r="349">
      <c r="A349" s="2" t="inlineStr">
        <is>
          <t>14-K-720</t>
        </is>
      </c>
      <c r="B349" s="3" t="inlineStr">
        <is>
          <t>OJC-A1-LC/LC-SM-15-PC/PC-DP</t>
        </is>
      </c>
      <c r="C349" s="2" t="inlineStr">
        <is>
          <t>K9089177_청색</t>
        </is>
      </c>
      <c r="D349" s="2" t="inlineStr">
        <is>
          <t>a1-청</t>
        </is>
      </c>
      <c r="E349" s="2" t="inlineStr">
        <is>
          <t>2.0mm</t>
        </is>
      </c>
      <c r="F349" s="2" t="n">
        <v>2</v>
      </c>
      <c r="G349" s="2" t="n">
        <v>15</v>
      </c>
      <c r="H349" s="2" t="inlineStr">
        <is>
          <t>LC/PC</t>
        </is>
      </c>
      <c r="I349" s="2" t="inlineStr">
        <is>
          <t>LC/PC</t>
        </is>
      </c>
      <c r="J349" s="2" t="n"/>
      <c r="K349" s="2" t="n">
        <v>30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>
        <f>SUM(J349:U349)*G349</f>
        <v/>
      </c>
      <c r="W349" s="2">
        <f>MAX(J349:U349)</f>
        <v/>
      </c>
      <c r="X349" s="2">
        <f>W349*G349</f>
        <v/>
      </c>
    </row>
    <row r="350">
      <c r="A350" s="2" t="inlineStr">
        <is>
          <t>14-K-721</t>
        </is>
      </c>
      <c r="B350" s="3" t="inlineStr">
        <is>
          <t>OJC-A1-LC/LC-SM-10-PC/PC-DP</t>
        </is>
      </c>
      <c r="C350" s="2" t="inlineStr">
        <is>
          <t>K9089176_청색</t>
        </is>
      </c>
      <c r="D350" s="2" t="inlineStr">
        <is>
          <t>a1-청</t>
        </is>
      </c>
      <c r="E350" s="2" t="inlineStr">
        <is>
          <t>2.0mm</t>
        </is>
      </c>
      <c r="F350" s="2" t="n">
        <v>2</v>
      </c>
      <c r="G350" s="2" t="n">
        <v>10</v>
      </c>
      <c r="H350" s="2" t="inlineStr">
        <is>
          <t>LC/PC</t>
        </is>
      </c>
      <c r="I350" s="2" t="inlineStr">
        <is>
          <t>LC/PC</t>
        </is>
      </c>
      <c r="J350" s="2" t="n"/>
      <c r="K350" s="2" t="n">
        <v>10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>
        <f>SUM(J350:U350)*G350</f>
        <v/>
      </c>
      <c r="W350" s="2">
        <f>MAX(J350:U350)</f>
        <v/>
      </c>
      <c r="X350" s="2">
        <f>W350*G350</f>
        <v/>
      </c>
    </row>
    <row r="351">
      <c r="A351" s="2" t="inlineStr">
        <is>
          <t>14-K-744</t>
        </is>
      </c>
      <c r="B351" s="3" t="inlineStr">
        <is>
          <t>OJC-A1-LC/LC-MM(OM3)-2-PC/PC-DP</t>
        </is>
      </c>
      <c r="C351" s="2" t="inlineStr"/>
      <c r="D351" s="2" t="inlineStr">
        <is>
          <t>om3</t>
        </is>
      </c>
      <c r="E351" s="2" t="inlineStr">
        <is>
          <t>2.0mm</t>
        </is>
      </c>
      <c r="F351" s="2" t="n">
        <v>2</v>
      </c>
      <c r="G351" s="2" t="n">
        <v>2</v>
      </c>
      <c r="H351" s="2" t="inlineStr">
        <is>
          <t>LC/PC</t>
        </is>
      </c>
      <c r="I351" s="2" t="inlineStr">
        <is>
          <t>LC/PC</t>
        </is>
      </c>
      <c r="J351" s="2" t="n">
        <v>5</v>
      </c>
      <c r="K351" s="2" t="n">
        <v>4</v>
      </c>
      <c r="L351" s="2" t="n"/>
      <c r="M351" s="2" t="n"/>
      <c r="N351" s="2" t="n"/>
      <c r="O351" s="2" t="n"/>
      <c r="P351" s="2" t="n">
        <v>50</v>
      </c>
      <c r="Q351" s="2" t="n"/>
      <c r="R351" s="2" t="n"/>
      <c r="S351" s="2" t="n"/>
      <c r="T351" s="2" t="n"/>
      <c r="U351" s="2" t="n"/>
      <c r="V351" s="2">
        <f>SUM(J351:U351)*G351</f>
        <v/>
      </c>
      <c r="W351" s="2">
        <f>MAX(J351:U351)</f>
        <v/>
      </c>
      <c r="X351" s="2">
        <f>W351*G351</f>
        <v/>
      </c>
    </row>
    <row r="352">
      <c r="A352" s="2" t="inlineStr">
        <is>
          <t>14-K-754</t>
        </is>
      </c>
      <c r="B352" s="3" t="inlineStr">
        <is>
          <t>OJC-A1-LC/LC-SM-40-PC/PC-DP</t>
        </is>
      </c>
      <c r="C352" s="2" t="inlineStr">
        <is>
          <t>K9089182_청색</t>
        </is>
      </c>
      <c r="D352" s="2" t="inlineStr">
        <is>
          <t>a1-청</t>
        </is>
      </c>
      <c r="E352" s="2" t="inlineStr">
        <is>
          <t>2.0mm</t>
        </is>
      </c>
      <c r="F352" s="2" t="n">
        <v>2</v>
      </c>
      <c r="G352" s="2" t="n">
        <v>40</v>
      </c>
      <c r="H352" s="2" t="inlineStr">
        <is>
          <t>LC/PC</t>
        </is>
      </c>
      <c r="I352" s="2" t="inlineStr">
        <is>
          <t>LC/PC</t>
        </is>
      </c>
      <c r="J352" s="2" t="n"/>
      <c r="K352" s="2" t="n"/>
      <c r="L352" s="2" t="n"/>
      <c r="M352" s="2" t="n"/>
      <c r="N352" s="2" t="n">
        <v>50</v>
      </c>
      <c r="O352" s="2" t="n"/>
      <c r="P352" s="2" t="n"/>
      <c r="Q352" s="2" t="n"/>
      <c r="R352" s="2" t="n"/>
      <c r="S352" s="2" t="n"/>
      <c r="T352" s="2" t="n"/>
      <c r="U352" s="2" t="n"/>
      <c r="V352" s="2">
        <f>SUM(J352:U352)*G352</f>
        <v/>
      </c>
      <c r="W352" s="2">
        <f>MAX(J352:U352)</f>
        <v/>
      </c>
      <c r="X352" s="2">
        <f>W352*G352</f>
        <v/>
      </c>
    </row>
    <row r="353">
      <c r="A353" s="2" t="inlineStr">
        <is>
          <t>14-K-755</t>
        </is>
      </c>
      <c r="B353" s="3" t="inlineStr">
        <is>
          <t>OJC-A1-LC/LC-SM-45-PC/PC-DP</t>
        </is>
      </c>
      <c r="C353" s="2" t="inlineStr">
        <is>
          <t>K9089183_청색</t>
        </is>
      </c>
      <c r="D353" s="2" t="inlineStr">
        <is>
          <t>a1-청</t>
        </is>
      </c>
      <c r="E353" s="2" t="inlineStr">
        <is>
          <t>2.0mm</t>
        </is>
      </c>
      <c r="F353" s="2" t="n">
        <v>2</v>
      </c>
      <c r="G353" s="2" t="n">
        <v>45</v>
      </c>
      <c r="H353" s="2" t="inlineStr">
        <is>
          <t>LC/PC</t>
        </is>
      </c>
      <c r="I353" s="2" t="inlineStr">
        <is>
          <t>LC/PC</t>
        </is>
      </c>
      <c r="J353" s="2" t="n"/>
      <c r="K353" s="2" t="n"/>
      <c r="L353" s="2" t="n"/>
      <c r="M353" s="2" t="n"/>
      <c r="N353" s="2" t="n">
        <v>80</v>
      </c>
      <c r="O353" s="2" t="n"/>
      <c r="P353" s="2" t="n"/>
      <c r="Q353" s="2" t="n"/>
      <c r="R353" s="2" t="n"/>
      <c r="S353" s="2" t="n"/>
      <c r="T353" s="2" t="n"/>
      <c r="U353" s="2" t="n"/>
      <c r="V353" s="2">
        <f>SUM(J353:U353)*G353</f>
        <v/>
      </c>
      <c r="W353" s="2">
        <f>MAX(J353:U353)</f>
        <v/>
      </c>
      <c r="X353" s="2">
        <f>W353*G353</f>
        <v/>
      </c>
    </row>
    <row r="354">
      <c r="A354" s="2" t="inlineStr">
        <is>
          <t>14-K-758</t>
        </is>
      </c>
      <c r="B354" s="3" t="inlineStr">
        <is>
          <t>OJC-A1-SC/SC-SM-13-PC/PC-DP</t>
        </is>
      </c>
      <c r="C354" s="2" t="inlineStr">
        <is>
          <t>K9089135_청색</t>
        </is>
      </c>
      <c r="D354" s="2" t="inlineStr">
        <is>
          <t>a1-청</t>
        </is>
      </c>
      <c r="E354" s="2" t="inlineStr">
        <is>
          <t>2.0mm</t>
        </is>
      </c>
      <c r="F354" s="2" t="n">
        <v>2</v>
      </c>
      <c r="G354" s="2" t="n">
        <v>13</v>
      </c>
      <c r="H354" s="2" t="inlineStr">
        <is>
          <t>SC/PC</t>
        </is>
      </c>
      <c r="I354" s="2" t="inlineStr">
        <is>
          <t>SC/PC</t>
        </is>
      </c>
      <c r="J354" s="2" t="n"/>
      <c r="K354" s="2" t="n"/>
      <c r="L354" s="2" t="n"/>
      <c r="M354" s="2" t="n"/>
      <c r="N354" s="2" t="n">
        <v>50</v>
      </c>
      <c r="O354" s="2" t="n"/>
      <c r="P354" s="2" t="n"/>
      <c r="Q354" s="2" t="n"/>
      <c r="R354" s="2" t="n"/>
      <c r="S354" s="2" t="n"/>
      <c r="T354" s="2" t="n"/>
      <c r="U354" s="2" t="n"/>
      <c r="V354" s="2">
        <f>SUM(J354:U354)*G354</f>
        <v/>
      </c>
      <c r="W354" s="2">
        <f>MAX(J354:U354)</f>
        <v/>
      </c>
      <c r="X354" s="2">
        <f>W354*G354</f>
        <v/>
      </c>
    </row>
    <row r="355">
      <c r="A355" s="2" t="inlineStr">
        <is>
          <t>14-K-762</t>
        </is>
      </c>
      <c r="B355" s="3" t="inlineStr">
        <is>
          <t>OJC-C2-SC/SC-SM-10-PC/PC-4C</t>
        </is>
      </c>
      <c r="C355" s="2" t="inlineStr">
        <is>
          <t>K9089451</t>
        </is>
      </c>
      <c r="D355" s="2" t="inlineStr">
        <is>
          <t>b3-4c</t>
        </is>
      </c>
      <c r="E355" s="2" t="inlineStr">
        <is>
          <t>2.0mm</t>
        </is>
      </c>
      <c r="F355" s="2" t="n">
        <v>4</v>
      </c>
      <c r="G355" s="2" t="n">
        <v>10</v>
      </c>
      <c r="H355" s="2" t="inlineStr">
        <is>
          <t>SC/PC</t>
        </is>
      </c>
      <c r="I355" s="2" t="inlineStr">
        <is>
          <t>SC/PC</t>
        </is>
      </c>
      <c r="J355" s="2" t="n">
        <v>10</v>
      </c>
      <c r="K355" s="2" t="n"/>
      <c r="L355" s="2" t="n"/>
      <c r="M355" s="2" t="n"/>
      <c r="N355" s="2" t="n">
        <v>20</v>
      </c>
      <c r="O355" s="2" t="n"/>
      <c r="P355" s="2" t="n"/>
      <c r="Q355" s="2" t="n">
        <v>10</v>
      </c>
      <c r="R355" s="2" t="n"/>
      <c r="S355" s="2" t="n"/>
      <c r="T355" s="2" t="n"/>
      <c r="U355" s="2" t="n"/>
      <c r="V355" s="2">
        <f>SUM(J355:U355)*G355</f>
        <v/>
      </c>
      <c r="W355" s="2">
        <f>MAX(J355:U355)</f>
        <v/>
      </c>
      <c r="X355" s="2">
        <f>W355*G355</f>
        <v/>
      </c>
    </row>
    <row r="356">
      <c r="A356" s="2" t="inlineStr">
        <is>
          <t>14-K-763</t>
        </is>
      </c>
      <c r="B356" s="3" t="inlineStr">
        <is>
          <t>OJC-A1-SC/SC-SM-0.3-PC/PC-DP</t>
        </is>
      </c>
      <c r="C356" s="2" t="inlineStr"/>
      <c r="D356" s="2" t="inlineStr">
        <is>
          <t>a1</t>
        </is>
      </c>
      <c r="E356" s="2" t="inlineStr">
        <is>
          <t>2.0mm</t>
        </is>
      </c>
      <c r="F356" s="2" t="n">
        <v>2</v>
      </c>
      <c r="G356" s="2" t="n">
        <v>0.3</v>
      </c>
      <c r="H356" s="2" t="inlineStr">
        <is>
          <t>SC/PC</t>
        </is>
      </c>
      <c r="I356" s="2" t="inlineStr">
        <is>
          <t>SC/PC</t>
        </is>
      </c>
      <c r="J356" s="2" t="n"/>
      <c r="K356" s="2" t="n">
        <v>170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>
        <f>SUM(J356:U356)*G356</f>
        <v/>
      </c>
      <c r="W356" s="2">
        <f>MAX(J356:U356)</f>
        <v/>
      </c>
      <c r="X356" s="2">
        <f>W356*G356</f>
        <v/>
      </c>
    </row>
    <row r="357">
      <c r="A357" s="2" t="inlineStr">
        <is>
          <t>14-K-771</t>
        </is>
      </c>
      <c r="B357" s="3" t="inlineStr">
        <is>
          <t>OJC-A1-LC/LC-SM-0.3-PC/PC-DP</t>
        </is>
      </c>
      <c r="C357" s="2" t="inlineStr"/>
      <c r="D357" s="2" t="inlineStr">
        <is>
          <t>a1</t>
        </is>
      </c>
      <c r="E357" s="2" t="inlineStr">
        <is>
          <t>2.0mm</t>
        </is>
      </c>
      <c r="F357" s="2" t="n">
        <v>2</v>
      </c>
      <c r="G357" s="2" t="n">
        <v>0.3</v>
      </c>
      <c r="H357" s="2" t="inlineStr">
        <is>
          <t>LC/PC</t>
        </is>
      </c>
      <c r="I357" s="2" t="inlineStr">
        <is>
          <t>LC/PC</t>
        </is>
      </c>
      <c r="J357" s="2" t="n"/>
      <c r="K357" s="2" t="n"/>
      <c r="L357" s="2" t="n"/>
      <c r="M357" s="2" t="n"/>
      <c r="N357" s="2" t="n"/>
      <c r="O357" s="2" t="n">
        <v>60</v>
      </c>
      <c r="P357" s="2" t="n"/>
      <c r="Q357" s="2" t="n">
        <v>85</v>
      </c>
      <c r="R357" s="2" t="n"/>
      <c r="S357" s="2" t="n"/>
      <c r="T357" s="2" t="n"/>
      <c r="U357" s="2" t="n"/>
      <c r="V357" s="2">
        <f>SUM(J357:U357)*G357</f>
        <v/>
      </c>
      <c r="W357" s="2">
        <f>MAX(J357:U357)</f>
        <v/>
      </c>
      <c r="X357" s="2">
        <f>W357*G357</f>
        <v/>
      </c>
    </row>
    <row r="358">
      <c r="A358" s="2" t="inlineStr">
        <is>
          <t>14-K-773</t>
        </is>
      </c>
      <c r="B358" s="3" t="inlineStr">
        <is>
          <t>OJC-A1-SC/LC-SM-1.5-PC/PC-SP</t>
        </is>
      </c>
      <c r="C358" s="2" t="inlineStr"/>
      <c r="D358" s="2" t="inlineStr">
        <is>
          <t>a1</t>
        </is>
      </c>
      <c r="E358" s="2" t="inlineStr">
        <is>
          <t>2.0mm</t>
        </is>
      </c>
      <c r="F358" s="2" t="n">
        <v>1</v>
      </c>
      <c r="G358" s="2" t="n">
        <v>1.5</v>
      </c>
      <c r="H358" s="2" t="inlineStr">
        <is>
          <t>SC/PC</t>
        </is>
      </c>
      <c r="I358" s="2" t="inlineStr">
        <is>
          <t>LC/PC</t>
        </is>
      </c>
      <c r="J358" s="2" t="n">
        <v>20</v>
      </c>
      <c r="K358" s="2" t="n"/>
      <c r="L358" s="2" t="n"/>
      <c r="M358" s="2" t="n">
        <v>2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>
        <f>SUM(J358:U358)*G358</f>
        <v/>
      </c>
      <c r="W358" s="2">
        <f>MAX(J358:U358)</f>
        <v/>
      </c>
      <c r="X358" s="2">
        <f>W358*G358</f>
        <v/>
      </c>
    </row>
    <row r="359">
      <c r="A359" s="2" t="inlineStr">
        <is>
          <t>14-K-775</t>
        </is>
      </c>
      <c r="B359" s="3" t="inlineStr">
        <is>
          <t>OJC-A1-SC/SC-SM-20-PC/PC-DP</t>
        </is>
      </c>
      <c r="C359" s="2" t="inlineStr">
        <is>
          <t>K9089142_적색</t>
        </is>
      </c>
      <c r="D359" s="2" t="inlineStr">
        <is>
          <t>a1-적</t>
        </is>
      </c>
      <c r="E359" s="2" t="inlineStr">
        <is>
          <t>2.0mm</t>
        </is>
      </c>
      <c r="F359" s="2" t="n">
        <v>2</v>
      </c>
      <c r="G359" s="2" t="n">
        <v>20</v>
      </c>
      <c r="H359" s="2" t="inlineStr">
        <is>
          <t>SC/PC</t>
        </is>
      </c>
      <c r="I359" s="2" t="inlineStr">
        <is>
          <t>SC/PC</t>
        </is>
      </c>
      <c r="J359" s="2" t="n"/>
      <c r="K359" s="2" t="n"/>
      <c r="L359" s="2" t="n"/>
      <c r="M359" s="2" t="n">
        <v>30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>
        <f>SUM(J359:U359)*G359</f>
        <v/>
      </c>
      <c r="W359" s="2">
        <f>MAX(J359:U359)</f>
        <v/>
      </c>
      <c r="X359" s="2">
        <f>W359*G359</f>
        <v/>
      </c>
    </row>
    <row r="360">
      <c r="A360" s="2" t="inlineStr">
        <is>
          <t>14-K-781</t>
        </is>
      </c>
      <c r="B360" s="3" t="inlineStr">
        <is>
          <t>OJC-A1-SC/LC-SM-20-PC/PC-DP</t>
        </is>
      </c>
      <c r="C360" s="2" t="inlineStr">
        <is>
          <t>K9089164_적색</t>
        </is>
      </c>
      <c r="D360" s="2" t="inlineStr">
        <is>
          <t>a1-적</t>
        </is>
      </c>
      <c r="E360" s="2" t="inlineStr">
        <is>
          <t>2.0mm</t>
        </is>
      </c>
      <c r="F360" s="2" t="n">
        <v>2</v>
      </c>
      <c r="G360" s="2" t="n">
        <v>20</v>
      </c>
      <c r="H360" s="2" t="inlineStr">
        <is>
          <t>SC/PC</t>
        </is>
      </c>
      <c r="I360" s="2" t="inlineStr">
        <is>
          <t>LC/PC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>
        <v>30</v>
      </c>
      <c r="R360" s="2" t="n"/>
      <c r="S360" s="2" t="n"/>
      <c r="T360" s="2" t="n"/>
      <c r="U360" s="2" t="n"/>
      <c r="V360" s="2">
        <f>SUM(J360:U360)*G360</f>
        <v/>
      </c>
      <c r="W360" s="2">
        <f>MAX(J360:U360)</f>
        <v/>
      </c>
      <c r="X360" s="2">
        <f>W360*G360</f>
        <v/>
      </c>
    </row>
    <row r="361">
      <c r="A361" s="2" t="inlineStr">
        <is>
          <t>14-K-783</t>
        </is>
      </c>
      <c r="B361" s="3" t="inlineStr">
        <is>
          <t>OJC-A1-LC/LC-SM-20-PC/PC-DP</t>
        </is>
      </c>
      <c r="C361" s="2" t="inlineStr">
        <is>
          <t>K9089178_적색</t>
        </is>
      </c>
      <c r="D361" s="2" t="inlineStr">
        <is>
          <t>a1-적</t>
        </is>
      </c>
      <c r="E361" s="2" t="inlineStr">
        <is>
          <t>2.0mm</t>
        </is>
      </c>
      <c r="F361" s="2" t="n">
        <v>2</v>
      </c>
      <c r="G361" s="2" t="n">
        <v>20</v>
      </c>
      <c r="H361" s="2" t="inlineStr">
        <is>
          <t>LC/PC</t>
        </is>
      </c>
      <c r="I361" s="2" t="inlineStr">
        <is>
          <t>LC/PC</t>
        </is>
      </c>
      <c r="J361" s="2" t="n"/>
      <c r="K361" s="2" t="n"/>
      <c r="L361" s="2" t="n">
        <v>100</v>
      </c>
      <c r="M361" s="2" t="n"/>
      <c r="N361" s="2" t="n"/>
      <c r="O361" s="2" t="n"/>
      <c r="P361" s="2" t="n"/>
      <c r="Q361" s="2" t="n">
        <v>30</v>
      </c>
      <c r="R361" s="2" t="n"/>
      <c r="S361" s="2" t="n"/>
      <c r="T361" s="2" t="n"/>
      <c r="U361" s="2" t="n"/>
      <c r="V361" s="2">
        <f>SUM(J361:U361)*G361</f>
        <v/>
      </c>
      <c r="W361" s="2">
        <f>MAX(J361:U361)</f>
        <v/>
      </c>
      <c r="X361" s="2">
        <f>W361*G361</f>
        <v/>
      </c>
    </row>
    <row r="362">
      <c r="A362" s="2" t="inlineStr">
        <is>
          <t>14-K-784</t>
        </is>
      </c>
      <c r="B362" s="3" t="inlineStr">
        <is>
          <t>OJC-A1-LC/LC-SM-25-PC/PC-DP</t>
        </is>
      </c>
      <c r="C362" s="2" t="inlineStr">
        <is>
          <t>K9089179_적색</t>
        </is>
      </c>
      <c r="D362" s="2" t="inlineStr">
        <is>
          <t>a1-적</t>
        </is>
      </c>
      <c r="E362" s="2" t="inlineStr">
        <is>
          <t>2.0mm</t>
        </is>
      </c>
      <c r="F362" s="2" t="n">
        <v>2</v>
      </c>
      <c r="G362" s="2" t="n">
        <v>25</v>
      </c>
      <c r="H362" s="2" t="inlineStr">
        <is>
          <t>LC/PC</t>
        </is>
      </c>
      <c r="I362" s="2" t="inlineStr">
        <is>
          <t>LC/PC</t>
        </is>
      </c>
      <c r="J362" s="2" t="n"/>
      <c r="K362" s="2" t="n"/>
      <c r="L362" s="2" t="n">
        <v>60</v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>
        <f>SUM(J362:U362)*G362</f>
        <v/>
      </c>
      <c r="W362" s="2">
        <f>MAX(J362:U362)</f>
        <v/>
      </c>
      <c r="X362" s="2">
        <f>W362*G362</f>
        <v/>
      </c>
    </row>
    <row r="363">
      <c r="A363" s="2" t="inlineStr">
        <is>
          <t>14-K-785</t>
        </is>
      </c>
      <c r="B363" s="3" t="inlineStr">
        <is>
          <t>OJC-A1-SC/SC-SM-28-PC/PC-SP</t>
        </is>
      </c>
      <c r="C363" s="2" t="inlineStr">
        <is>
          <t>K9089021</t>
        </is>
      </c>
      <c r="D363" s="2" t="inlineStr">
        <is>
          <t>a1</t>
        </is>
      </c>
      <c r="E363" s="2" t="inlineStr">
        <is>
          <t>2.0mm</t>
        </is>
      </c>
      <c r="F363" s="2" t="n">
        <v>1</v>
      </c>
      <c r="G363" s="2" t="n">
        <v>28</v>
      </c>
      <c r="H363" s="2" t="inlineStr">
        <is>
          <t>SC/PC</t>
        </is>
      </c>
      <c r="I363" s="2" t="inlineStr">
        <is>
          <t>SC/PC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>
        <v>10</v>
      </c>
      <c r="V363" s="2">
        <f>SUM(J363:U363)*G363</f>
        <v/>
      </c>
      <c r="W363" s="2">
        <f>MAX(J363:U363)</f>
        <v/>
      </c>
      <c r="X363" s="2">
        <f>W363*G363</f>
        <v/>
      </c>
    </row>
    <row r="364">
      <c r="A364" s="2" t="inlineStr">
        <is>
          <t>14-K-786</t>
        </is>
      </c>
      <c r="B364" s="3" t="inlineStr">
        <is>
          <t>OJC-A1-LC/LC-SM-30-PC/PC-DP</t>
        </is>
      </c>
      <c r="C364" s="2" t="inlineStr">
        <is>
          <t>K9089180_적색</t>
        </is>
      </c>
      <c r="D364" s="2" t="inlineStr">
        <is>
          <t>a1-적</t>
        </is>
      </c>
      <c r="E364" s="2" t="inlineStr">
        <is>
          <t>2.0mm</t>
        </is>
      </c>
      <c r="F364" s="2" t="n">
        <v>2</v>
      </c>
      <c r="G364" s="2" t="n">
        <v>30</v>
      </c>
      <c r="H364" s="2" t="inlineStr">
        <is>
          <t>LC/PC</t>
        </is>
      </c>
      <c r="I364" s="2" t="inlineStr">
        <is>
          <t>LC/PC</t>
        </is>
      </c>
      <c r="J364" s="2" t="n"/>
      <c r="K364" s="2" t="n"/>
      <c r="L364" s="2" t="n">
        <v>30</v>
      </c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>
        <f>SUM(J364:U364)*G364</f>
        <v/>
      </c>
      <c r="W364" s="2">
        <f>MAX(J364:U364)</f>
        <v/>
      </c>
      <c r="X364" s="2">
        <f>W364*G364</f>
        <v/>
      </c>
    </row>
    <row r="365">
      <c r="A365" s="2" t="inlineStr">
        <is>
          <t>14-K-787</t>
        </is>
      </c>
      <c r="B365" s="3" t="inlineStr">
        <is>
          <t>OJC-A1-SC/LC-SM-30-PC/PC-DP</t>
        </is>
      </c>
      <c r="C365" s="2" t="inlineStr">
        <is>
          <t>K9089166_적색</t>
        </is>
      </c>
      <c r="D365" s="2" t="inlineStr">
        <is>
          <t>a1-적</t>
        </is>
      </c>
      <c r="E365" s="2" t="inlineStr">
        <is>
          <t>2.0mm</t>
        </is>
      </c>
      <c r="F365" s="2" t="n">
        <v>2</v>
      </c>
      <c r="G365" s="2" t="n">
        <v>30</v>
      </c>
      <c r="H365" s="2" t="inlineStr">
        <is>
          <t>SC/PC</t>
        </is>
      </c>
      <c r="I365" s="2" t="inlineStr">
        <is>
          <t>LC/PC</t>
        </is>
      </c>
      <c r="J365" s="2" t="n"/>
      <c r="K365" s="2" t="n"/>
      <c r="L365" s="2" t="n">
        <v>20</v>
      </c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>
        <f>SUM(J365:U365)*G365</f>
        <v/>
      </c>
      <c r="W365" s="2">
        <f>MAX(J365:U365)</f>
        <v/>
      </c>
      <c r="X365" s="2">
        <f>W365*G365</f>
        <v/>
      </c>
    </row>
    <row r="366">
      <c r="A366" s="2" t="inlineStr">
        <is>
          <t>14-K-789</t>
        </is>
      </c>
      <c r="B366" s="3" t="inlineStr">
        <is>
          <t>OJC-A1-LC/LC-MM(OM3)-7-PC/PC-DP</t>
        </is>
      </c>
      <c r="C366" s="2" t="inlineStr"/>
      <c r="D366" s="2" t="inlineStr">
        <is>
          <t>om3</t>
        </is>
      </c>
      <c r="E366" s="2" t="inlineStr">
        <is>
          <t>2.0mm</t>
        </is>
      </c>
      <c r="F366" s="2" t="n">
        <v>2</v>
      </c>
      <c r="G366" s="2" t="n">
        <v>7</v>
      </c>
      <c r="H366" s="2" t="inlineStr">
        <is>
          <t>LC/PC</t>
        </is>
      </c>
      <c r="I366" s="2" t="inlineStr">
        <is>
          <t>LC/PC</t>
        </is>
      </c>
      <c r="J366" s="2" t="n"/>
      <c r="K366" s="2" t="n">
        <v>6</v>
      </c>
      <c r="L366" s="2" t="n"/>
      <c r="M366" s="2" t="n"/>
      <c r="N366" s="2" t="n"/>
      <c r="O366" s="2" t="n"/>
      <c r="P366" s="2" t="n"/>
      <c r="Q366" s="2" t="n"/>
      <c r="R366" s="2" t="n"/>
      <c r="S366" s="2" t="n">
        <v>34</v>
      </c>
      <c r="T366" s="2" t="n"/>
      <c r="U366" s="2" t="n"/>
      <c r="V366" s="2">
        <f>SUM(J366:U366)*G366</f>
        <v/>
      </c>
      <c r="W366" s="2">
        <f>MAX(J366:U366)</f>
        <v/>
      </c>
      <c r="X366" s="2">
        <f>W366*G366</f>
        <v/>
      </c>
    </row>
    <row r="367">
      <c r="A367" s="2" t="inlineStr">
        <is>
          <t>14-K-790</t>
        </is>
      </c>
      <c r="B367" s="3" t="inlineStr">
        <is>
          <t>OJC-A1-LC/LC-SM-9-PC/PC-DP</t>
        </is>
      </c>
      <c r="C367" s="2" t="inlineStr"/>
      <c r="D367" s="2" t="inlineStr">
        <is>
          <t>a1</t>
        </is>
      </c>
      <c r="E367" s="2" t="inlineStr">
        <is>
          <t>2.0mm</t>
        </is>
      </c>
      <c r="F367" s="2" t="n">
        <v>2</v>
      </c>
      <c r="G367" s="2" t="n">
        <v>9</v>
      </c>
      <c r="H367" s="2" t="inlineStr">
        <is>
          <t>LC/PC</t>
        </is>
      </c>
      <c r="I367" s="2" t="inlineStr">
        <is>
          <t>LC/PC</t>
        </is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>
        <v>50</v>
      </c>
      <c r="S367" s="2" t="n"/>
      <c r="T367" s="2" t="n"/>
      <c r="U367" s="2" t="n">
        <v>18</v>
      </c>
      <c r="V367" s="2">
        <f>SUM(J367:U367)*G367</f>
        <v/>
      </c>
      <c r="W367" s="2">
        <f>MAX(J367:U367)</f>
        <v/>
      </c>
      <c r="X367" s="2">
        <f>W367*G367</f>
        <v/>
      </c>
    </row>
    <row r="368">
      <c r="A368" s="2" t="inlineStr">
        <is>
          <t>14-K-801</t>
        </is>
      </c>
      <c r="B368" s="3" t="inlineStr">
        <is>
          <t>OJC-C2-SC/SC-SM-12-PC/PC-16C</t>
        </is>
      </c>
      <c r="C368" s="2" t="inlineStr">
        <is>
          <t>K9094339</t>
        </is>
      </c>
      <c r="D368" s="2" t="inlineStr">
        <is>
          <t>a1-16c</t>
        </is>
      </c>
      <c r="E368" s="2" t="inlineStr">
        <is>
          <t>2.0mm</t>
        </is>
      </c>
      <c r="F368" s="2" t="n">
        <v>16</v>
      </c>
      <c r="G368" s="2" t="n">
        <v>12</v>
      </c>
      <c r="H368" s="2" t="inlineStr">
        <is>
          <t>SC/PC</t>
        </is>
      </c>
      <c r="I368" s="2" t="inlineStr">
        <is>
          <t>SC/PC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>
        <v>6</v>
      </c>
      <c r="S368" s="2" t="n"/>
      <c r="T368" s="2" t="n"/>
      <c r="U368" s="2" t="n"/>
      <c r="V368" s="2">
        <f>SUM(J368:U368)*G368</f>
        <v/>
      </c>
      <c r="W368" s="2">
        <f>MAX(J368:U368)</f>
        <v/>
      </c>
      <c r="X368" s="2">
        <f>W368*G368</f>
        <v/>
      </c>
    </row>
    <row r="369">
      <c r="A369" s="2" t="inlineStr">
        <is>
          <t>14-K-802</t>
        </is>
      </c>
      <c r="B369" s="3" t="inlineStr">
        <is>
          <t>OJC-A1-LC/LC-MM(OM3)-60-PC/PC-DP</t>
        </is>
      </c>
      <c r="C369" s="2" t="inlineStr"/>
      <c r="D369" s="2" t="inlineStr">
        <is>
          <t>om3</t>
        </is>
      </c>
      <c r="E369" s="2" t="inlineStr">
        <is>
          <t>2.0mm</t>
        </is>
      </c>
      <c r="F369" s="2" t="n">
        <v>2</v>
      </c>
      <c r="G369" s="2" t="n">
        <v>60</v>
      </c>
      <c r="H369" s="2" t="inlineStr">
        <is>
          <t>LC/PC</t>
        </is>
      </c>
      <c r="I369" s="2" t="inlineStr">
        <is>
          <t>LC/PC</t>
        </is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>
        <v>4</v>
      </c>
      <c r="T369" s="2" t="n"/>
      <c r="U369" s="2" t="n"/>
      <c r="V369" s="2">
        <f>SUM(J369:U369)*G369</f>
        <v/>
      </c>
      <c r="W369" s="2">
        <f>MAX(J369:U369)</f>
        <v/>
      </c>
      <c r="X369" s="2">
        <f>W369*G369</f>
        <v/>
      </c>
    </row>
    <row r="370">
      <c r="A370" s="2" t="inlineStr">
        <is>
          <t>14-K-808</t>
        </is>
      </c>
      <c r="B370" s="3" t="inlineStr">
        <is>
          <t>OJC-A1-LC/LC-SM-70-PC/PC-DP</t>
        </is>
      </c>
      <c r="C370" s="2" t="inlineStr"/>
      <c r="D370" s="2" t="inlineStr">
        <is>
          <t>a1</t>
        </is>
      </c>
      <c r="E370" s="2" t="inlineStr">
        <is>
          <t>2.0mm</t>
        </is>
      </c>
      <c r="F370" s="2" t="n">
        <v>2</v>
      </c>
      <c r="G370" s="2" t="n">
        <v>70</v>
      </c>
      <c r="H370" s="2" t="inlineStr">
        <is>
          <t>LC/PC</t>
        </is>
      </c>
      <c r="I370" s="2" t="inlineStr">
        <is>
          <t>LC/PC</t>
        </is>
      </c>
      <c r="J370" s="2" t="n"/>
      <c r="K370" s="2" t="n">
        <v>1</v>
      </c>
      <c r="L370" s="2" t="n"/>
      <c r="M370" s="2" t="n"/>
      <c r="N370" s="2" t="n">
        <v>20</v>
      </c>
      <c r="O370" s="2" t="n"/>
      <c r="P370" s="2" t="n"/>
      <c r="Q370" s="2" t="n"/>
      <c r="R370" s="2" t="n"/>
      <c r="S370" s="2" t="n"/>
      <c r="T370" s="2" t="n"/>
      <c r="U370" s="2" t="n"/>
      <c r="V370" s="2">
        <f>SUM(J370:U370)*G370</f>
        <v/>
      </c>
      <c r="W370" s="2">
        <f>MAX(J370:U370)</f>
        <v/>
      </c>
      <c r="X370" s="2">
        <f>W370*G370</f>
        <v/>
      </c>
    </row>
    <row r="371">
      <c r="A371" s="2" t="inlineStr">
        <is>
          <t>14-K-818</t>
        </is>
      </c>
      <c r="B371" s="3" t="inlineStr">
        <is>
          <t>OJC-A1-SC/SC-SM-10-PC/PC-SP</t>
        </is>
      </c>
      <c r="C371" s="2" t="inlineStr">
        <is>
          <t>K9089003_적색</t>
        </is>
      </c>
      <c r="D371" s="2" t="inlineStr">
        <is>
          <t>a1-적</t>
        </is>
      </c>
      <c r="E371" s="2" t="inlineStr">
        <is>
          <t>2.0mm</t>
        </is>
      </c>
      <c r="F371" s="2" t="n">
        <v>1</v>
      </c>
      <c r="G371" s="2" t="n">
        <v>10</v>
      </c>
      <c r="H371" s="2" t="inlineStr">
        <is>
          <t>SC/PC</t>
        </is>
      </c>
      <c r="I371" s="2" t="inlineStr">
        <is>
          <t>SC/PC</t>
        </is>
      </c>
      <c r="J371" s="2" t="n"/>
      <c r="K371" s="2" t="n"/>
      <c r="L371" s="2" t="n">
        <v>10</v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>
        <f>SUM(J371:U371)*G371</f>
        <v/>
      </c>
      <c r="W371" s="2">
        <f>MAX(J371:U371)</f>
        <v/>
      </c>
      <c r="X371" s="2">
        <f>W371*G371</f>
        <v/>
      </c>
    </row>
    <row r="372">
      <c r="A372" s="2" t="inlineStr">
        <is>
          <t>14-K-819</t>
        </is>
      </c>
      <c r="B372" s="3" t="inlineStr">
        <is>
          <t>OJC-A1-LC/LC-MM(OM3)-1-PC/PC-DP</t>
        </is>
      </c>
      <c r="C372" s="2" t="inlineStr"/>
      <c r="D372" s="2" t="inlineStr">
        <is>
          <t>om3</t>
        </is>
      </c>
      <c r="E372" s="2" t="inlineStr">
        <is>
          <t>2.0mm</t>
        </is>
      </c>
      <c r="F372" s="2" t="n">
        <v>2</v>
      </c>
      <c r="G372" s="2" t="n">
        <v>1</v>
      </c>
      <c r="H372" s="2" t="inlineStr">
        <is>
          <t>LC/PC</t>
        </is>
      </c>
      <c r="I372" s="2" t="inlineStr">
        <is>
          <t>LC/PC</t>
        </is>
      </c>
      <c r="J372" s="2" t="n">
        <v>5</v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>
        <f>SUM(J372:U372)*G372</f>
        <v/>
      </c>
      <c r="W372" s="2">
        <f>MAX(J372:U372)</f>
        <v/>
      </c>
      <c r="X372" s="2">
        <f>W372*G372</f>
        <v/>
      </c>
    </row>
    <row r="373">
      <c r="A373" s="2" t="inlineStr">
        <is>
          <t>14-K-830</t>
        </is>
      </c>
      <c r="B373" s="3" t="inlineStr">
        <is>
          <t>OJC-A1-SC/LC-SM-55-PC/PC-DP</t>
        </is>
      </c>
      <c r="C373" s="2" t="inlineStr"/>
      <c r="D373" s="2" t="inlineStr">
        <is>
          <t>a1</t>
        </is>
      </c>
      <c r="E373" s="2" t="inlineStr">
        <is>
          <t>2.0mm</t>
        </is>
      </c>
      <c r="F373" s="2" t="n">
        <v>2</v>
      </c>
      <c r="G373" s="2" t="n">
        <v>55</v>
      </c>
      <c r="H373" s="2" t="inlineStr">
        <is>
          <t>SC/PC</t>
        </is>
      </c>
      <c r="I373" s="2" t="inlineStr">
        <is>
          <t>LC/PC</t>
        </is>
      </c>
      <c r="J373" s="2" t="n"/>
      <c r="K373" s="2" t="n"/>
      <c r="L373" s="2" t="n">
        <v>4</v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>
        <f>SUM(J373:U373)*G373</f>
        <v/>
      </c>
      <c r="W373" s="2">
        <f>MAX(J373:U373)</f>
        <v/>
      </c>
      <c r="X373" s="2">
        <f>W373*G373</f>
        <v/>
      </c>
    </row>
    <row r="374">
      <c r="A374" s="2" t="inlineStr">
        <is>
          <t>14-K-837</t>
        </is>
      </c>
      <c r="B374" s="3" t="inlineStr">
        <is>
          <t>OJC-A1-LC/LC-MM(OM3)-70-PC/PC-DP</t>
        </is>
      </c>
      <c r="C374" s="2" t="inlineStr"/>
      <c r="D374" s="2" t="inlineStr">
        <is>
          <t>om3</t>
        </is>
      </c>
      <c r="E374" s="2" t="inlineStr">
        <is>
          <t>2.0mm</t>
        </is>
      </c>
      <c r="F374" s="2" t="n">
        <v>2</v>
      </c>
      <c r="G374" s="2" t="n">
        <v>70</v>
      </c>
      <c r="H374" s="2" t="inlineStr">
        <is>
          <t>LC/PC</t>
        </is>
      </c>
      <c r="I374" s="2" t="inlineStr">
        <is>
          <t>LC/PC</t>
        </is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>
        <v>10</v>
      </c>
      <c r="T374" s="2" t="n"/>
      <c r="U374" s="2" t="n"/>
      <c r="V374" s="2">
        <f>SUM(J374:U374)*G374</f>
        <v/>
      </c>
      <c r="W374" s="2">
        <f>MAX(J374:U374)</f>
        <v/>
      </c>
      <c r="X374" s="2">
        <f>W374*G374</f>
        <v/>
      </c>
    </row>
    <row r="375">
      <c r="A375" s="2" t="inlineStr">
        <is>
          <t>14-K-849</t>
        </is>
      </c>
      <c r="B375" s="3" t="inlineStr">
        <is>
          <t>OJC-A1-SC/SC-SM-1-PC/PC-SP</t>
        </is>
      </c>
      <c r="C375" s="2" t="inlineStr">
        <is>
          <t>K9088994_포앤티</t>
        </is>
      </c>
      <c r="D375" s="2" t="inlineStr">
        <is>
          <t>a1</t>
        </is>
      </c>
      <c r="E375" s="2" t="inlineStr">
        <is>
          <t>2.0mm</t>
        </is>
      </c>
      <c r="F375" s="2" t="n">
        <v>1</v>
      </c>
      <c r="G375" s="2" t="n">
        <v>1</v>
      </c>
      <c r="H375" s="2" t="inlineStr">
        <is>
          <t>SC/PC</t>
        </is>
      </c>
      <c r="I375" s="2" t="inlineStr">
        <is>
          <t>SC/PC</t>
        </is>
      </c>
      <c r="J375" s="2" t="n"/>
      <c r="K375" s="2" t="n">
        <v>700</v>
      </c>
      <c r="L375" s="2" t="n">
        <v>200</v>
      </c>
      <c r="M375" s="2" t="n"/>
      <c r="N375" s="2" t="n">
        <v>100</v>
      </c>
      <c r="O375" s="2" t="n"/>
      <c r="P375" s="2" t="n"/>
      <c r="Q375" s="2" t="n"/>
      <c r="R375" s="2" t="n"/>
      <c r="S375" s="2" t="n"/>
      <c r="T375" s="2" t="n"/>
      <c r="U375" s="2" t="n"/>
      <c r="V375" s="2">
        <f>SUM(J375:U375)*G375</f>
        <v/>
      </c>
      <c r="W375" s="2">
        <f>MAX(J375:U375)</f>
        <v/>
      </c>
      <c r="X375" s="2">
        <f>W375*G375</f>
        <v/>
      </c>
    </row>
    <row r="376">
      <c r="A376" s="2" t="inlineStr">
        <is>
          <t>14-K-851</t>
        </is>
      </c>
      <c r="B376" s="3" t="inlineStr">
        <is>
          <t>OJC-A1-SC/SC-SM-3-PC/PC-SP</t>
        </is>
      </c>
      <c r="C376" s="2" t="inlineStr">
        <is>
          <t>K9088996_포앤티</t>
        </is>
      </c>
      <c r="D376" s="2" t="inlineStr">
        <is>
          <t>a1</t>
        </is>
      </c>
      <c r="E376" s="2" t="inlineStr">
        <is>
          <t>2.0mm</t>
        </is>
      </c>
      <c r="F376" s="2" t="n">
        <v>1</v>
      </c>
      <c r="G376" s="2" t="n">
        <v>3</v>
      </c>
      <c r="H376" s="2" t="inlineStr">
        <is>
          <t>SC/PC</t>
        </is>
      </c>
      <c r="I376" s="2" t="inlineStr">
        <is>
          <t>SC/PC</t>
        </is>
      </c>
      <c r="J376" s="2" t="n"/>
      <c r="K376" s="2" t="n">
        <v>1000</v>
      </c>
      <c r="L376" s="2" t="n">
        <v>200</v>
      </c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>
        <f>SUM(J376:U376)*G376</f>
        <v/>
      </c>
      <c r="W376" s="2">
        <f>MAX(J376:U376)</f>
        <v/>
      </c>
      <c r="X376" s="2">
        <f>W376*G376</f>
        <v/>
      </c>
    </row>
    <row r="377">
      <c r="A377" s="2" t="inlineStr">
        <is>
          <t>14-K-858</t>
        </is>
      </c>
      <c r="B377" s="3" t="inlineStr">
        <is>
          <t>OJC-A1-LC/LC-MM(OM3)-100-PC/PC-DP</t>
        </is>
      </c>
      <c r="C377" s="2" t="inlineStr"/>
      <c r="D377" s="2" t="inlineStr">
        <is>
          <t>om3</t>
        </is>
      </c>
      <c r="E377" s="2" t="inlineStr">
        <is>
          <t>2.0mm</t>
        </is>
      </c>
      <c r="F377" s="2" t="n">
        <v>2</v>
      </c>
      <c r="G377" s="2" t="n">
        <v>100</v>
      </c>
      <c r="H377" s="2" t="inlineStr">
        <is>
          <t>LC/PC</t>
        </is>
      </c>
      <c r="I377" s="2" t="inlineStr">
        <is>
          <t>LC/PC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>
        <v>4</v>
      </c>
      <c r="S377" s="2" t="n"/>
      <c r="T377" s="2" t="n"/>
      <c r="U377" s="2" t="n"/>
      <c r="V377" s="2">
        <f>SUM(J377:U377)*G377</f>
        <v/>
      </c>
      <c r="W377" s="2">
        <f>MAX(J377:U377)</f>
        <v/>
      </c>
      <c r="X377" s="2">
        <f>W377*G377</f>
        <v/>
      </c>
    </row>
    <row r="378">
      <c r="A378" s="2" t="inlineStr">
        <is>
          <t>14-K-869</t>
        </is>
      </c>
      <c r="B378" s="3" t="inlineStr">
        <is>
          <t>OJC-A1-LC/LC-SM-35-PC/PC-SP</t>
        </is>
      </c>
      <c r="C378" s="2" t="inlineStr">
        <is>
          <t>K9089052</t>
        </is>
      </c>
      <c r="D378" s="2" t="inlineStr">
        <is>
          <t>a1</t>
        </is>
      </c>
      <c r="E378" s="2" t="inlineStr">
        <is>
          <t>2.0mm</t>
        </is>
      </c>
      <c r="F378" s="2" t="n">
        <v>1</v>
      </c>
      <c r="G378" s="2" t="n">
        <v>35</v>
      </c>
      <c r="H378" s="2" t="inlineStr">
        <is>
          <t>LC/PC</t>
        </is>
      </c>
      <c r="I378" s="2" t="inlineStr">
        <is>
          <t>LC/PC</t>
        </is>
      </c>
      <c r="J378" s="2" t="n"/>
      <c r="K378" s="2" t="n"/>
      <c r="L378" s="2" t="n"/>
      <c r="M378" s="2" t="n"/>
      <c r="N378" s="2" t="n"/>
      <c r="O378" s="2" t="n"/>
      <c r="P378" s="2" t="n"/>
      <c r="Q378" s="2" t="n">
        <v>10</v>
      </c>
      <c r="R378" s="2" t="n"/>
      <c r="S378" s="2" t="n"/>
      <c r="T378" s="2" t="n"/>
      <c r="U378" s="2" t="n"/>
      <c r="V378" s="2">
        <f>SUM(J378:U378)*G378</f>
        <v/>
      </c>
      <c r="W378" s="2">
        <f>MAX(J378:U378)</f>
        <v/>
      </c>
      <c r="X378" s="2">
        <f>W378*G378</f>
        <v/>
      </c>
    </row>
    <row r="379">
      <c r="A379" s="2" t="inlineStr">
        <is>
          <t>14-K-872</t>
        </is>
      </c>
      <c r="B379" s="3" t="inlineStr">
        <is>
          <t>OJC-A1-SC/LC-MM(OM3)-20-PC/PC-DP</t>
        </is>
      </c>
      <c r="C379" s="2" t="inlineStr"/>
      <c r="D379" s="2" t="inlineStr">
        <is>
          <t>om3</t>
        </is>
      </c>
      <c r="E379" s="2" t="inlineStr">
        <is>
          <t>2.0mm</t>
        </is>
      </c>
      <c r="F379" s="2" t="n">
        <v>2</v>
      </c>
      <c r="G379" s="2" t="n">
        <v>20</v>
      </c>
      <c r="H379" s="2" t="inlineStr">
        <is>
          <t>SC/PC</t>
        </is>
      </c>
      <c r="I379" s="2" t="inlineStr">
        <is>
          <t>LC/PC</t>
        </is>
      </c>
      <c r="J379" s="2" t="n"/>
      <c r="K379" s="2" t="n"/>
      <c r="L379" s="2" t="n"/>
      <c r="M379" s="2" t="n"/>
      <c r="N379" s="2" t="n"/>
      <c r="O379" s="2" t="n">
        <v>1</v>
      </c>
      <c r="P379" s="2" t="n"/>
      <c r="Q379" s="2" t="n"/>
      <c r="R379" s="2" t="n"/>
      <c r="S379" s="2" t="n"/>
      <c r="T379" s="2" t="n"/>
      <c r="U379" s="2" t="n"/>
      <c r="V379" s="2">
        <f>SUM(J379:U379)*G379</f>
        <v/>
      </c>
      <c r="W379" s="2">
        <f>MAX(J379:U379)</f>
        <v/>
      </c>
      <c r="X379" s="2">
        <f>W379*G379</f>
        <v/>
      </c>
    </row>
    <row r="380">
      <c r="A380" s="2" t="inlineStr">
        <is>
          <t>14-K-873</t>
        </is>
      </c>
      <c r="B380" s="3" t="inlineStr">
        <is>
          <t>OJC-A1-LC/LC-SM-50-PC/PC-DP</t>
        </is>
      </c>
      <c r="C380" s="2" t="inlineStr">
        <is>
          <t>K9089184_청색</t>
        </is>
      </c>
      <c r="D380" s="2" t="inlineStr">
        <is>
          <t>a1-청</t>
        </is>
      </c>
      <c r="E380" s="2" t="inlineStr">
        <is>
          <t>2.0mm</t>
        </is>
      </c>
      <c r="F380" s="2" t="n">
        <v>2</v>
      </c>
      <c r="G380" s="2" t="n">
        <v>50</v>
      </c>
      <c r="H380" s="2" t="inlineStr">
        <is>
          <t>LC/PC</t>
        </is>
      </c>
      <c r="I380" s="2" t="inlineStr">
        <is>
          <t>LC/PC</t>
        </is>
      </c>
      <c r="J380" s="2" t="n"/>
      <c r="K380" s="2" t="n"/>
      <c r="L380" s="2" t="n">
        <v>20</v>
      </c>
      <c r="M380" s="2" t="n"/>
      <c r="N380" s="2" t="n">
        <v>80</v>
      </c>
      <c r="O380" s="2" t="n"/>
      <c r="P380" s="2" t="n"/>
      <c r="Q380" s="2" t="n"/>
      <c r="R380" s="2" t="n"/>
      <c r="S380" s="2" t="n"/>
      <c r="T380" s="2" t="n"/>
      <c r="U380" s="2" t="n"/>
      <c r="V380" s="2">
        <f>SUM(J380:U380)*G380</f>
        <v/>
      </c>
      <c r="W380" s="2">
        <f>MAX(J380:U380)</f>
        <v/>
      </c>
      <c r="X380" s="2">
        <f>W380*G380</f>
        <v/>
      </c>
    </row>
    <row r="381">
      <c r="A381" s="2" t="inlineStr">
        <is>
          <t>14-K-933</t>
        </is>
      </c>
      <c r="B381" s="3" t="inlineStr">
        <is>
          <t>OJC-A1-SC/LC-SM-27-PC/PC-DP</t>
        </is>
      </c>
      <c r="C381" s="2" t="inlineStr"/>
      <c r="D381" s="2" t="inlineStr">
        <is>
          <t>a1</t>
        </is>
      </c>
      <c r="E381" s="2" t="inlineStr">
        <is>
          <t>2.0mm</t>
        </is>
      </c>
      <c r="F381" s="2" t="n">
        <v>2</v>
      </c>
      <c r="G381" s="2" t="n">
        <v>27</v>
      </c>
      <c r="H381" s="2" t="inlineStr">
        <is>
          <t>SC/PC</t>
        </is>
      </c>
      <c r="I381" s="2" t="inlineStr">
        <is>
          <t>LC/PC</t>
        </is>
      </c>
      <c r="J381" s="2" t="n"/>
      <c r="K381" s="2" t="n"/>
      <c r="L381" s="2" t="n">
        <v>38</v>
      </c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>
        <f>SUM(J381:U381)*G381</f>
        <v/>
      </c>
      <c r="W381" s="2">
        <f>MAX(J381:U381)</f>
        <v/>
      </c>
      <c r="X381" s="2">
        <f>W381*G381</f>
        <v/>
      </c>
    </row>
    <row r="382">
      <c r="A382" s="2" t="inlineStr">
        <is>
          <t>14-K-937</t>
        </is>
      </c>
      <c r="B382" s="3" t="inlineStr">
        <is>
          <t>OJC-A1-LC/LC-SM-40-PC/PC-SP</t>
        </is>
      </c>
      <c r="C382" s="2" t="inlineStr">
        <is>
          <t>K9089053</t>
        </is>
      </c>
      <c r="D382" s="2" t="inlineStr">
        <is>
          <t>a1</t>
        </is>
      </c>
      <c r="E382" s="2" t="inlineStr">
        <is>
          <t>2.0mm</t>
        </is>
      </c>
      <c r="F382" s="2" t="n">
        <v>1</v>
      </c>
      <c r="G382" s="2" t="n">
        <v>40</v>
      </c>
      <c r="H382" s="2" t="inlineStr">
        <is>
          <t>LC/PC</t>
        </is>
      </c>
      <c r="I382" s="2" t="inlineStr">
        <is>
          <t>LC/PC</t>
        </is>
      </c>
      <c r="J382" s="2" t="n"/>
      <c r="K382" s="2" t="n"/>
      <c r="L382" s="2" t="n">
        <v>23</v>
      </c>
      <c r="M382" s="2" t="n"/>
      <c r="N382" s="2" t="n"/>
      <c r="O382" s="2" t="n"/>
      <c r="P382" s="2" t="n"/>
      <c r="Q382" s="2" t="n">
        <v>10</v>
      </c>
      <c r="R382" s="2" t="n"/>
      <c r="S382" s="2" t="n"/>
      <c r="T382" s="2" t="n"/>
      <c r="U382" s="2" t="n"/>
      <c r="V382" s="2">
        <f>SUM(J382:U382)*G382</f>
        <v/>
      </c>
      <c r="W382" s="2">
        <f>MAX(J382:U382)</f>
        <v/>
      </c>
      <c r="X382" s="2">
        <f>W382*G382</f>
        <v/>
      </c>
    </row>
    <row r="383">
      <c r="A383" s="2" t="inlineStr">
        <is>
          <t>14-K-988</t>
        </is>
      </c>
      <c r="B383" s="3" t="inlineStr">
        <is>
          <t>OJC-A1-SC/SC-SM-20-PC/PC-SP</t>
        </is>
      </c>
      <c r="C383" s="2" t="inlineStr">
        <is>
          <t>K9089013_청색</t>
        </is>
      </c>
      <c r="D383" s="2" t="inlineStr">
        <is>
          <t>a1-청</t>
        </is>
      </c>
      <c r="E383" s="2" t="inlineStr">
        <is>
          <t>2.0mm</t>
        </is>
      </c>
      <c r="F383" s="2" t="n">
        <v>1</v>
      </c>
      <c r="G383" s="2" t="n">
        <v>20</v>
      </c>
      <c r="H383" s="2" t="inlineStr">
        <is>
          <t>SC/PC</t>
        </is>
      </c>
      <c r="I383" s="2" t="inlineStr">
        <is>
          <t>SC/PC</t>
        </is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>
        <v>10</v>
      </c>
      <c r="U383" s="2" t="n"/>
      <c r="V383" s="2">
        <f>SUM(J383:U383)*G383</f>
        <v/>
      </c>
      <c r="W383" s="2">
        <f>MAX(J383:U383)</f>
        <v/>
      </c>
      <c r="X383" s="2">
        <f>W383*G383</f>
        <v/>
      </c>
    </row>
    <row r="384">
      <c r="A384" s="2" t="inlineStr">
        <is>
          <t>14-K-989</t>
        </is>
      </c>
      <c r="B384" s="3" t="inlineStr">
        <is>
          <t>OJC-A1-SC/SC-SM-25-PC/PC-SP</t>
        </is>
      </c>
      <c r="C384" s="2" t="inlineStr">
        <is>
          <t>K9089018_청색</t>
        </is>
      </c>
      <c r="D384" s="2" t="inlineStr">
        <is>
          <t>a1-청</t>
        </is>
      </c>
      <c r="E384" s="2" t="inlineStr">
        <is>
          <t>2.0mm</t>
        </is>
      </c>
      <c r="F384" s="2" t="n">
        <v>1</v>
      </c>
      <c r="G384" s="2" t="n">
        <v>25</v>
      </c>
      <c r="H384" s="2" t="inlineStr">
        <is>
          <t>SC/PC</t>
        </is>
      </c>
      <c r="I384" s="2" t="inlineStr">
        <is>
          <t>SC/PC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>
        <v>10</v>
      </c>
      <c r="U384" s="2" t="n"/>
      <c r="V384" s="2">
        <f>SUM(J384:U384)*G384</f>
        <v/>
      </c>
      <c r="W384" s="2">
        <f>MAX(J384:U384)</f>
        <v/>
      </c>
      <c r="X384" s="2">
        <f>W384*G384</f>
        <v/>
      </c>
    </row>
    <row r="385">
      <c r="A385" s="2" t="inlineStr">
        <is>
          <t>14-K-A100</t>
        </is>
      </c>
      <c r="B385" s="3" t="inlineStr">
        <is>
          <t>OJC-A1-SC/LC-SM-40-PC/PC-DP</t>
        </is>
      </c>
      <c r="C385" s="2" t="inlineStr">
        <is>
          <t>적색</t>
        </is>
      </c>
      <c r="D385" s="2" t="inlineStr">
        <is>
          <t>a1-적</t>
        </is>
      </c>
      <c r="E385" s="2" t="inlineStr">
        <is>
          <t>2.0mm</t>
        </is>
      </c>
      <c r="F385" s="2" t="n">
        <v>2</v>
      </c>
      <c r="G385" s="2" t="n">
        <v>40</v>
      </c>
      <c r="H385" s="2" t="inlineStr">
        <is>
          <t>SC/PC</t>
        </is>
      </c>
      <c r="I385" s="2" t="inlineStr">
        <is>
          <t>LC/PC</t>
        </is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>
        <v>20</v>
      </c>
      <c r="U385" s="2" t="n"/>
      <c r="V385" s="2">
        <f>SUM(J385:U385)*G385</f>
        <v/>
      </c>
      <c r="W385" s="2">
        <f>MAX(J385:U385)</f>
        <v/>
      </c>
      <c r="X385" s="2">
        <f>W385*G385</f>
        <v/>
      </c>
    </row>
    <row r="386">
      <c r="A386" s="2" t="inlineStr">
        <is>
          <t>14-K-A143</t>
        </is>
      </c>
      <c r="B386" s="3" t="inlineStr">
        <is>
          <t>OJC-A1-LC/LC-SM-15-PC/PC-DP</t>
        </is>
      </c>
      <c r="C386" s="2" t="inlineStr">
        <is>
          <t>K9089177_녹색</t>
        </is>
      </c>
      <c r="D386" s="2" t="inlineStr">
        <is>
          <t>a1-녹</t>
        </is>
      </c>
      <c r="E386" s="2" t="inlineStr">
        <is>
          <t>2.0mm</t>
        </is>
      </c>
      <c r="F386" s="2" t="n">
        <v>2</v>
      </c>
      <c r="G386" s="2" t="n">
        <v>15</v>
      </c>
      <c r="H386" s="2" t="inlineStr">
        <is>
          <t>LC/PC</t>
        </is>
      </c>
      <c r="I386" s="2" t="inlineStr">
        <is>
          <t>LC/PC</t>
        </is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>
        <v>12</v>
      </c>
      <c r="S386" s="2" t="n"/>
      <c r="T386" s="2" t="n"/>
      <c r="U386" s="2" t="n"/>
      <c r="V386" s="2">
        <f>SUM(J386:U386)*G386</f>
        <v/>
      </c>
      <c r="W386" s="2">
        <f>MAX(J386:U386)</f>
        <v/>
      </c>
      <c r="X386" s="2">
        <f>W386*G386</f>
        <v/>
      </c>
    </row>
    <row r="387">
      <c r="A387" s="2" t="inlineStr">
        <is>
          <t>14-K-A161</t>
        </is>
      </c>
      <c r="B387" s="3" t="inlineStr">
        <is>
          <t>OJC-C2-SC/SC-SM-5-PC/PC-16C</t>
        </is>
      </c>
      <c r="C387" s="2" t="inlineStr">
        <is>
          <t>K9094339, 편단 분기부 0.5M</t>
        </is>
      </c>
      <c r="D387" s="2" t="inlineStr">
        <is>
          <t>a1-16c</t>
        </is>
      </c>
      <c r="E387" s="2" t="inlineStr">
        <is>
          <t>2.0mm</t>
        </is>
      </c>
      <c r="F387" s="2" t="n">
        <v>16</v>
      </c>
      <c r="G387" s="2" t="n">
        <v>5</v>
      </c>
      <c r="H387" s="2" t="inlineStr">
        <is>
          <t>SC/PC</t>
        </is>
      </c>
      <c r="I387" s="2" t="inlineStr">
        <is>
          <t>SC/PC</t>
        </is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>
        <v>50</v>
      </c>
      <c r="U387" s="2" t="n"/>
      <c r="V387" s="2">
        <f>SUM(J387:U387)*G387</f>
        <v/>
      </c>
      <c r="W387" s="2">
        <f>MAX(J387:U387)</f>
        <v/>
      </c>
      <c r="X387" s="2">
        <f>W387*G387</f>
        <v/>
      </c>
    </row>
    <row r="388">
      <c r="A388" s="2" t="inlineStr">
        <is>
          <t>14-K-A164</t>
        </is>
      </c>
      <c r="B388" s="3" t="inlineStr">
        <is>
          <t>OJC-A1-SC/FC-SM-20-PC/APC-DP</t>
        </is>
      </c>
      <c r="C388" s="2" t="inlineStr"/>
      <c r="D388" s="2" t="inlineStr">
        <is>
          <t>a1</t>
        </is>
      </c>
      <c r="E388" s="2" t="inlineStr">
        <is>
          <t>2.0mm</t>
        </is>
      </c>
      <c r="F388" s="2" t="n">
        <v>2</v>
      </c>
      <c r="G388" s="2" t="n">
        <v>20</v>
      </c>
      <c r="H388" s="2" t="inlineStr">
        <is>
          <t>SC/PC</t>
        </is>
      </c>
      <c r="I388" s="2" t="inlineStr">
        <is>
          <t>FC/APC</t>
        </is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>
        <v>4</v>
      </c>
      <c r="T388" s="2" t="n"/>
      <c r="U388" s="2" t="n"/>
      <c r="V388" s="2">
        <f>SUM(J388:U388)*G388</f>
        <v/>
      </c>
      <c r="W388" s="2">
        <f>MAX(J388:U388)</f>
        <v/>
      </c>
      <c r="X388" s="2">
        <f>W388*G388</f>
        <v/>
      </c>
    </row>
    <row r="389">
      <c r="A389" s="2" t="inlineStr">
        <is>
          <t>14-K-A185</t>
        </is>
      </c>
      <c r="B389" s="3" t="inlineStr">
        <is>
          <t>OJC-A1-LC/LC-SM-28-PC/PC-DP</t>
        </is>
      </c>
      <c r="C389" s="2" t="inlineStr"/>
      <c r="D389" s="2" t="inlineStr">
        <is>
          <t>a1</t>
        </is>
      </c>
      <c r="E389" s="2" t="inlineStr">
        <is>
          <t>2.0mm</t>
        </is>
      </c>
      <c r="F389" s="2" t="n">
        <v>2</v>
      </c>
      <c r="G389" s="2" t="n">
        <v>28</v>
      </c>
      <c r="H389" s="2" t="inlineStr">
        <is>
          <t>LC/PC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>
        <v>12</v>
      </c>
      <c r="O389" s="2" t="n"/>
      <c r="P389" s="2" t="n"/>
      <c r="Q389" s="2" t="n"/>
      <c r="R389" s="2" t="n"/>
      <c r="S389" s="2" t="n"/>
      <c r="T389" s="2" t="n"/>
      <c r="U389" s="2" t="n"/>
      <c r="V389" s="2">
        <f>SUM(J389:U389)*G389</f>
        <v/>
      </c>
      <c r="W389" s="2">
        <f>MAX(J389:U389)</f>
        <v/>
      </c>
      <c r="X389" s="2">
        <f>W389*G389</f>
        <v/>
      </c>
    </row>
    <row r="390">
      <c r="A390" s="2" t="inlineStr">
        <is>
          <t>14-K-A241</t>
        </is>
      </c>
      <c r="B390" s="3" t="inlineStr">
        <is>
          <t>OJC-A1-SC/SC-SM-1-PC/PC-SP</t>
        </is>
      </c>
      <c r="C390" s="2" t="inlineStr">
        <is>
          <t>K9088994_녹색</t>
        </is>
      </c>
      <c r="D390" s="2" t="inlineStr">
        <is>
          <t>a1-녹</t>
        </is>
      </c>
      <c r="E390" s="2" t="inlineStr">
        <is>
          <t>2.0mm</t>
        </is>
      </c>
      <c r="F390" s="2" t="n">
        <v>1</v>
      </c>
      <c r="G390" s="2" t="n">
        <v>1</v>
      </c>
      <c r="H390" s="2" t="inlineStr">
        <is>
          <t>SC/PC</t>
        </is>
      </c>
      <c r="I390" s="2" t="inlineStr">
        <is>
          <t>SC/PC</t>
        </is>
      </c>
      <c r="J390" s="2" t="n"/>
      <c r="K390" s="2" t="n"/>
      <c r="L390" s="2" t="n"/>
      <c r="M390" s="2" t="n">
        <v>70</v>
      </c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>
        <f>SUM(J390:U390)*G390</f>
        <v/>
      </c>
      <c r="W390" s="2">
        <f>MAX(J390:U390)</f>
        <v/>
      </c>
      <c r="X390" s="2">
        <f>W390*G390</f>
        <v/>
      </c>
    </row>
    <row r="391">
      <c r="A391" s="2" t="inlineStr">
        <is>
          <t>14-K-A266</t>
        </is>
      </c>
      <c r="B391" s="3" t="inlineStr">
        <is>
          <t>OJC-A1-LC/LC-SM-17-PC/PC-SP</t>
        </is>
      </c>
      <c r="C391" s="2" t="inlineStr"/>
      <c r="D391" s="2" t="inlineStr">
        <is>
          <t>a1</t>
        </is>
      </c>
      <c r="E391" s="2" t="inlineStr">
        <is>
          <t>2.0mm</t>
        </is>
      </c>
      <c r="F391" s="2" t="n">
        <v>1</v>
      </c>
      <c r="G391" s="2" t="n">
        <v>17</v>
      </c>
      <c r="H391" s="2" t="inlineStr">
        <is>
          <t>LC/PC</t>
        </is>
      </c>
      <c r="I391" s="2" t="inlineStr">
        <is>
          <t>LC/PC</t>
        </is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>
        <v>20</v>
      </c>
      <c r="V391" s="2">
        <f>SUM(J391:U391)*G391</f>
        <v/>
      </c>
      <c r="W391" s="2">
        <f>MAX(J391:U391)</f>
        <v/>
      </c>
      <c r="X391" s="2">
        <f>W391*G391</f>
        <v/>
      </c>
    </row>
    <row r="392">
      <c r="A392" s="2" t="inlineStr">
        <is>
          <t>14-K-A278</t>
        </is>
      </c>
      <c r="B392" s="3" t="inlineStr">
        <is>
          <t>OJC-A1-LC/LC-SM-65-PC/PC-DP</t>
        </is>
      </c>
      <c r="C392" s="2" t="inlineStr"/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65</v>
      </c>
      <c r="H392" s="2" t="inlineStr">
        <is>
          <t>LC/PC</t>
        </is>
      </c>
      <c r="I392" s="2" t="inlineStr">
        <is>
          <t>LC/PC</t>
        </is>
      </c>
      <c r="J392" s="2" t="n"/>
      <c r="K392" s="2" t="n"/>
      <c r="L392" s="2" t="n"/>
      <c r="M392" s="2" t="n"/>
      <c r="N392" s="2" t="n"/>
      <c r="O392" s="2" t="n"/>
      <c r="P392" s="2" t="n"/>
      <c r="Q392" s="2" t="n">
        <v>20</v>
      </c>
      <c r="R392" s="2" t="n"/>
      <c r="S392" s="2" t="n"/>
      <c r="T392" s="2" t="n"/>
      <c r="U392" s="2" t="n"/>
      <c r="V392" s="2">
        <f>SUM(J392:U392)*G392</f>
        <v/>
      </c>
      <c r="W392" s="2">
        <f>MAX(J392:U392)</f>
        <v/>
      </c>
      <c r="X392" s="2">
        <f>W392*G392</f>
        <v/>
      </c>
    </row>
    <row r="393">
      <c r="A393" s="2" t="inlineStr">
        <is>
          <t>14-K-A28</t>
        </is>
      </c>
      <c r="B393" s="3" t="inlineStr">
        <is>
          <t>OJC-C2-SC/SC-SM-35-PC/PC-8C</t>
        </is>
      </c>
      <c r="C393" s="2" t="inlineStr">
        <is>
          <t>K9089452</t>
        </is>
      </c>
      <c r="D393" s="2" t="inlineStr">
        <is>
          <t>a1-8c</t>
        </is>
      </c>
      <c r="E393" s="2" t="inlineStr">
        <is>
          <t>2.0mm</t>
        </is>
      </c>
      <c r="F393" s="2" t="n">
        <v>8</v>
      </c>
      <c r="G393" s="2" t="n">
        <v>35</v>
      </c>
      <c r="H393" s="2" t="inlineStr">
        <is>
          <t>SC/PC</t>
        </is>
      </c>
      <c r="I393" s="2" t="inlineStr">
        <is>
          <t>SC/PC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>
        <v>20</v>
      </c>
      <c r="R393" s="2" t="n"/>
      <c r="S393" s="2" t="n"/>
      <c r="T393" s="2" t="n"/>
      <c r="U393" s="2" t="n"/>
      <c r="V393" s="2">
        <f>SUM(J393:U393)*G393</f>
        <v/>
      </c>
      <c r="W393" s="2">
        <f>MAX(J393:U393)</f>
        <v/>
      </c>
      <c r="X393" s="2">
        <f>W393*G393</f>
        <v/>
      </c>
    </row>
    <row r="394">
      <c r="A394" s="2" t="inlineStr">
        <is>
          <t>14-K-A306</t>
        </is>
      </c>
      <c r="B394" s="3" t="inlineStr">
        <is>
          <t>OJC-A1-LC/LC-MM(OM3)-1-PC/PC-DP</t>
        </is>
      </c>
      <c r="C394" s="2" t="inlineStr">
        <is>
          <t>LC/DP Clip Type</t>
        </is>
      </c>
      <c r="D394" s="2" t="inlineStr">
        <is>
          <t>om3</t>
        </is>
      </c>
      <c r="E394" s="2" t="inlineStr">
        <is>
          <t>2.0mm</t>
        </is>
      </c>
      <c r="F394" s="2" t="n">
        <v>2</v>
      </c>
      <c r="G394" s="2" t="n">
        <v>1</v>
      </c>
      <c r="H394" s="2" t="inlineStr">
        <is>
          <t>LC/PC</t>
        </is>
      </c>
      <c r="I394" s="2" t="inlineStr">
        <is>
          <t>LC/PC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2</v>
      </c>
      <c r="S394" s="2" t="n"/>
      <c r="T394" s="2" t="n"/>
      <c r="U394" s="2" t="n"/>
      <c r="V394" s="2">
        <f>SUM(J394:U394)*G394</f>
        <v/>
      </c>
      <c r="W394" s="2">
        <f>MAX(J394:U394)</f>
        <v/>
      </c>
      <c r="X394" s="2">
        <f>W394*G394</f>
        <v/>
      </c>
    </row>
    <row r="395">
      <c r="A395" s="2" t="inlineStr">
        <is>
          <t>14-K-A307</t>
        </is>
      </c>
      <c r="B395" s="3" t="inlineStr">
        <is>
          <t>OJC-A1-LC/LC-MM(OM3)-3-PC/PC-DP</t>
        </is>
      </c>
      <c r="C395" s="2" t="inlineStr">
        <is>
          <t>LC/DP Clip Type</t>
        </is>
      </c>
      <c r="D395" s="2" t="inlineStr">
        <is>
          <t>om3</t>
        </is>
      </c>
      <c r="E395" s="2" t="inlineStr">
        <is>
          <t>2.0mm</t>
        </is>
      </c>
      <c r="F395" s="2" t="n">
        <v>2</v>
      </c>
      <c r="G395" s="2" t="n">
        <v>3</v>
      </c>
      <c r="H395" s="2" t="inlineStr">
        <is>
          <t>LC/PC</t>
        </is>
      </c>
      <c r="I395" s="2" t="inlineStr">
        <is>
          <t>LC/PC</t>
        </is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>
        <v>2</v>
      </c>
      <c r="S395" s="2" t="n">
        <v>5</v>
      </c>
      <c r="T395" s="2" t="n"/>
      <c r="U395" s="2" t="n"/>
      <c r="V395" s="2">
        <f>SUM(J395:U395)*G395</f>
        <v/>
      </c>
      <c r="W395" s="2">
        <f>MAX(J395:U395)</f>
        <v/>
      </c>
      <c r="X395" s="2">
        <f>W395*G395</f>
        <v/>
      </c>
    </row>
    <row r="396">
      <c r="A396" s="2" t="inlineStr">
        <is>
          <t>14-K-A308</t>
        </is>
      </c>
      <c r="B396" s="3" t="inlineStr">
        <is>
          <t>OJC-A1-LC/LC-MM(OM3)-10-PC/PC-DP</t>
        </is>
      </c>
      <c r="C396" s="2" t="inlineStr">
        <is>
          <t>LC/DP Clip Type</t>
        </is>
      </c>
      <c r="D396" s="2" t="inlineStr">
        <is>
          <t>om3</t>
        </is>
      </c>
      <c r="E396" s="2" t="inlineStr">
        <is>
          <t>2.0mm</t>
        </is>
      </c>
      <c r="F396" s="2" t="n">
        <v>2</v>
      </c>
      <c r="G396" s="2" t="n">
        <v>10</v>
      </c>
      <c r="H396" s="2" t="inlineStr">
        <is>
          <t>LC/PC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>
        <v>20</v>
      </c>
      <c r="P396" s="2" t="n"/>
      <c r="Q396" s="2" t="n"/>
      <c r="R396" s="2" t="n">
        <v>17</v>
      </c>
      <c r="S396" s="2" t="n"/>
      <c r="T396" s="2" t="n"/>
      <c r="U396" s="2" t="n"/>
      <c r="V396" s="2">
        <f>SUM(J396:U396)*G396</f>
        <v/>
      </c>
      <c r="W396" s="2">
        <f>MAX(J396:U396)</f>
        <v/>
      </c>
      <c r="X396" s="2">
        <f>W396*G396</f>
        <v/>
      </c>
    </row>
    <row r="397">
      <c r="A397" s="2" t="inlineStr">
        <is>
          <t>14-K-A309</t>
        </is>
      </c>
      <c r="B397" s="3" t="inlineStr">
        <is>
          <t>OJC-A1-LC/LC-MM(OM3)-15-PC/PC-DP</t>
        </is>
      </c>
      <c r="C397" s="2" t="inlineStr">
        <is>
          <t>LC/DP Clip Type</t>
        </is>
      </c>
      <c r="D397" s="2" t="inlineStr">
        <is>
          <t>om3</t>
        </is>
      </c>
      <c r="E397" s="2" t="inlineStr">
        <is>
          <t>2.0mm</t>
        </is>
      </c>
      <c r="F397" s="2" t="n">
        <v>2</v>
      </c>
      <c r="G397" s="2" t="n">
        <v>15</v>
      </c>
      <c r="H397" s="2" t="inlineStr">
        <is>
          <t>LC/PC</t>
        </is>
      </c>
      <c r="I397" s="2" t="inlineStr">
        <is>
          <t>LC/PC</t>
        </is>
      </c>
      <c r="J397" s="2" t="n"/>
      <c r="K397" s="2" t="n"/>
      <c r="L397" s="2" t="n"/>
      <c r="M397" s="2" t="n"/>
      <c r="N397" s="2" t="n"/>
      <c r="O397" s="2" t="n">
        <v>51</v>
      </c>
      <c r="P397" s="2" t="n">
        <v>34</v>
      </c>
      <c r="Q397" s="2" t="n"/>
      <c r="R397" s="2" t="n"/>
      <c r="S397" s="2" t="n"/>
      <c r="T397" s="2" t="n"/>
      <c r="U397" s="2" t="n"/>
      <c r="V397" s="2">
        <f>SUM(J397:U397)*G397</f>
        <v/>
      </c>
      <c r="W397" s="2">
        <f>MAX(J397:U397)</f>
        <v/>
      </c>
      <c r="X397" s="2">
        <f>W397*G397</f>
        <v/>
      </c>
    </row>
    <row r="398">
      <c r="A398" s="2" t="inlineStr">
        <is>
          <t>14-K-A33</t>
        </is>
      </c>
      <c r="B398" s="3" t="inlineStr">
        <is>
          <t>OJC-A1-FC/LC-SM-30-APC/PC-DP</t>
        </is>
      </c>
      <c r="C398" s="2" t="inlineStr"/>
      <c r="D398" s="2" t="inlineStr">
        <is>
          <t>a1</t>
        </is>
      </c>
      <c r="E398" s="2" t="inlineStr">
        <is>
          <t>2.0mm</t>
        </is>
      </c>
      <c r="F398" s="2" t="n">
        <v>2</v>
      </c>
      <c r="G398" s="2" t="n">
        <v>30</v>
      </c>
      <c r="H398" s="2" t="inlineStr">
        <is>
          <t>FC/APC</t>
        </is>
      </c>
      <c r="I398" s="2" t="inlineStr">
        <is>
          <t>LC/PC</t>
        </is>
      </c>
      <c r="J398" s="2" t="n"/>
      <c r="K398" s="2" t="n"/>
      <c r="L398" s="2" t="n"/>
      <c r="M398" s="2" t="n"/>
      <c r="N398" s="2" t="n"/>
      <c r="O398" s="2" t="n">
        <v>3</v>
      </c>
      <c r="P398" s="2" t="n"/>
      <c r="Q398" s="2" t="n"/>
      <c r="R398" s="2" t="n"/>
      <c r="S398" s="2" t="n"/>
      <c r="T398" s="2" t="n"/>
      <c r="U398" s="2" t="n"/>
      <c r="V398" s="2">
        <f>SUM(J398:U398)*G398</f>
        <v/>
      </c>
      <c r="W398" s="2">
        <f>MAX(J398:U398)</f>
        <v/>
      </c>
      <c r="X398" s="2">
        <f>W398*G398</f>
        <v/>
      </c>
    </row>
    <row r="399">
      <c r="A399" s="2" t="inlineStr">
        <is>
          <t>14-K-A37</t>
        </is>
      </c>
      <c r="B399" s="3" t="inlineStr">
        <is>
          <t>OJC-A1-FC/LC-SM-50-APC/PC-DP</t>
        </is>
      </c>
      <c r="C399" s="2" t="inlineStr"/>
      <c r="D399" s="2" t="inlineStr">
        <is>
          <t>a1</t>
        </is>
      </c>
      <c r="E399" s="2" t="inlineStr">
        <is>
          <t>2.0mm</t>
        </is>
      </c>
      <c r="F399" s="2" t="n">
        <v>2</v>
      </c>
      <c r="G399" s="2" t="n">
        <v>50</v>
      </c>
      <c r="H399" s="2" t="inlineStr">
        <is>
          <t>FC/APC</t>
        </is>
      </c>
      <c r="I399" s="2" t="inlineStr">
        <is>
          <t>LC/PC</t>
        </is>
      </c>
      <c r="J399" s="2" t="n"/>
      <c r="K399" s="2" t="n"/>
      <c r="L399" s="2" t="n"/>
      <c r="M399" s="2" t="n"/>
      <c r="N399" s="2" t="n"/>
      <c r="O399" s="2" t="n"/>
      <c r="P399" s="2" t="n"/>
      <c r="Q399" s="2" t="n">
        <v>15</v>
      </c>
      <c r="R399" s="2" t="n"/>
      <c r="S399" s="2" t="n"/>
      <c r="T399" s="2" t="n"/>
      <c r="U399" s="2" t="n"/>
      <c r="V399" s="2">
        <f>SUM(J399:U399)*G399</f>
        <v/>
      </c>
      <c r="W399" s="2">
        <f>MAX(J399:U399)</f>
        <v/>
      </c>
      <c r="X399" s="2">
        <f>W399*G399</f>
        <v/>
      </c>
    </row>
    <row r="400">
      <c r="A400" s="2" t="inlineStr">
        <is>
          <t>14-K-A52</t>
        </is>
      </c>
      <c r="B400" s="3" t="inlineStr">
        <is>
          <t>OJC-A1-SC/SC-SM-1-APC/APC-DP</t>
        </is>
      </c>
      <c r="C400" s="2" t="inlineStr">
        <is>
          <t>K9089245</t>
        </is>
      </c>
      <c r="D400" s="2" t="inlineStr">
        <is>
          <t>a1</t>
        </is>
      </c>
      <c r="E400" s="2" t="inlineStr">
        <is>
          <t>2.0mm</t>
        </is>
      </c>
      <c r="F400" s="2" t="n">
        <v>2</v>
      </c>
      <c r="G400" s="2" t="n">
        <v>1</v>
      </c>
      <c r="H400" s="2" t="inlineStr">
        <is>
          <t>SC/APC</t>
        </is>
      </c>
      <c r="I400" s="2" t="inlineStr">
        <is>
          <t>SC/APC</t>
        </is>
      </c>
      <c r="J400" s="2" t="n">
        <v>5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>
        <f>SUM(J400:U400)*G400</f>
        <v/>
      </c>
      <c r="W400" s="2">
        <f>MAX(J400:U400)</f>
        <v/>
      </c>
      <c r="X400" s="2">
        <f>W400*G400</f>
        <v/>
      </c>
    </row>
    <row r="401">
      <c r="A401" s="2" t="inlineStr">
        <is>
          <t>14-K-A62</t>
        </is>
      </c>
      <c r="B401" s="3" t="inlineStr">
        <is>
          <t>OJC-A1-LC/LC-SM-3-APC/APC-SP</t>
        </is>
      </c>
      <c r="C401" s="2" t="inlineStr"/>
      <c r="D401" s="2" t="inlineStr">
        <is>
          <t>a1</t>
        </is>
      </c>
      <c r="E401" s="2" t="inlineStr">
        <is>
          <t>2.0mm</t>
        </is>
      </c>
      <c r="F401" s="2" t="n">
        <v>1</v>
      </c>
      <c r="G401" s="2" t="n">
        <v>3</v>
      </c>
      <c r="H401" s="2" t="inlineStr">
        <is>
          <t>LC/APC</t>
        </is>
      </c>
      <c r="I401" s="2" t="inlineStr">
        <is>
          <t>LC/APC</t>
        </is>
      </c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>
        <v>2</v>
      </c>
      <c r="T401" s="2" t="n"/>
      <c r="U401" s="2" t="n">
        <v>8</v>
      </c>
      <c r="V401" s="2">
        <f>SUM(J401:U401)*G401</f>
        <v/>
      </c>
      <c r="W401" s="2">
        <f>MAX(J401:U401)</f>
        <v/>
      </c>
      <c r="X401" s="2">
        <f>W401*G401</f>
        <v/>
      </c>
    </row>
    <row r="402">
      <c r="A402" s="2" t="inlineStr">
        <is>
          <t>14-K-A716</t>
        </is>
      </c>
      <c r="B402" s="3" t="inlineStr">
        <is>
          <t>OJC-A1-LC/LC-MM(OM3)-5-PC/PC-DP</t>
        </is>
      </c>
      <c r="C402" s="2" t="inlineStr">
        <is>
          <t>LC/DP CLIP Type, 5M</t>
        </is>
      </c>
      <c r="D402" s="2" t="inlineStr">
        <is>
          <t>om3</t>
        </is>
      </c>
      <c r="E402" s="2" t="inlineStr">
        <is>
          <t>2.0mm</t>
        </is>
      </c>
      <c r="F402" s="2" t="n">
        <v>2</v>
      </c>
      <c r="G402" s="2" t="n">
        <v>5</v>
      </c>
      <c r="H402" s="2" t="inlineStr">
        <is>
          <t>LC/PC</t>
        </is>
      </c>
      <c r="I402" s="2" t="inlineStr">
        <is>
          <t>LC/PC</t>
        </is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>
        <v>5</v>
      </c>
      <c r="T402" s="2" t="n"/>
      <c r="U402" s="2" t="n"/>
      <c r="V402" s="2">
        <f>SUM(J402:U402)*G402</f>
        <v/>
      </c>
      <c r="W402" s="2">
        <f>MAX(J402:U402)</f>
        <v/>
      </c>
      <c r="X402" s="2">
        <f>W402*G402</f>
        <v/>
      </c>
    </row>
    <row r="403">
      <c r="A403" s="2" t="inlineStr">
        <is>
          <t>14-K-A718</t>
        </is>
      </c>
      <c r="B403" s="3" t="inlineStr">
        <is>
          <t>OJC-A1-LC/LC-MM(OM3)-7-PC/PC-DP</t>
        </is>
      </c>
      <c r="C403" s="2" t="inlineStr">
        <is>
          <t>LC/DP CLIP Type, 7M</t>
        </is>
      </c>
      <c r="D403" s="2" t="inlineStr">
        <is>
          <t>om3</t>
        </is>
      </c>
      <c r="E403" s="2" t="inlineStr">
        <is>
          <t>2.0mm</t>
        </is>
      </c>
      <c r="F403" s="2" t="n">
        <v>2</v>
      </c>
      <c r="G403" s="2" t="n">
        <v>7</v>
      </c>
      <c r="H403" s="2" t="inlineStr">
        <is>
          <t>LC/PC</t>
        </is>
      </c>
      <c r="I403" s="2" t="inlineStr">
        <is>
          <t>LC/PC</t>
        </is>
      </c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>
        <v>2</v>
      </c>
      <c r="S403" s="2" t="n"/>
      <c r="T403" s="2" t="n"/>
      <c r="U403" s="2" t="n"/>
      <c r="V403" s="2">
        <f>SUM(J403:U403)*G403</f>
        <v/>
      </c>
      <c r="W403" s="2">
        <f>MAX(J403:U403)</f>
        <v/>
      </c>
      <c r="X403" s="2">
        <f>W403*G403</f>
        <v/>
      </c>
    </row>
    <row r="404">
      <c r="A404" s="2" t="inlineStr">
        <is>
          <t>14-K-A722</t>
        </is>
      </c>
      <c r="B404" s="3" t="inlineStr">
        <is>
          <t>OJC-A1-LC/LC-MM(OM3)-11-PC/PC-DP</t>
        </is>
      </c>
      <c r="C404" s="2" t="inlineStr">
        <is>
          <t>LC/DP CLIP Type, 11M</t>
        </is>
      </c>
      <c r="D404" s="2" t="inlineStr">
        <is>
          <t>om3</t>
        </is>
      </c>
      <c r="E404" s="2" t="inlineStr">
        <is>
          <t>2.0mm</t>
        </is>
      </c>
      <c r="F404" s="2" t="n">
        <v>2</v>
      </c>
      <c r="G404" s="2" t="n">
        <v>11</v>
      </c>
      <c r="H404" s="2" t="inlineStr">
        <is>
          <t>LC/PC</t>
        </is>
      </c>
      <c r="I404" s="2" t="inlineStr">
        <is>
          <t>LC/PC</t>
        </is>
      </c>
      <c r="J404" s="2" t="n"/>
      <c r="K404" s="2" t="n"/>
      <c r="L404" s="2" t="n"/>
      <c r="M404" s="2" t="n"/>
      <c r="N404" s="2" t="n"/>
      <c r="O404" s="2" t="n">
        <v>4</v>
      </c>
      <c r="P404" s="2" t="n"/>
      <c r="Q404" s="2" t="n"/>
      <c r="R404" s="2" t="n"/>
      <c r="S404" s="2" t="n"/>
      <c r="T404" s="2" t="n"/>
      <c r="U404" s="2" t="n"/>
      <c r="V404" s="2">
        <f>SUM(J404:U404)*G404</f>
        <v/>
      </c>
      <c r="W404" s="2">
        <f>MAX(J404:U404)</f>
        <v/>
      </c>
      <c r="X404" s="2">
        <f>W404*G404</f>
        <v/>
      </c>
    </row>
    <row r="405">
      <c r="A405" s="2" t="inlineStr">
        <is>
          <t>14-K-A731</t>
        </is>
      </c>
      <c r="B405" s="3" t="inlineStr">
        <is>
          <t>OJC-A1-LC/LC-MM(OM3)-20-PC/PC-DP</t>
        </is>
      </c>
      <c r="C405" s="2" t="inlineStr">
        <is>
          <t>LC/DP CLIP Type, 20M</t>
        </is>
      </c>
      <c r="D405" s="2" t="inlineStr">
        <is>
          <t>om3</t>
        </is>
      </c>
      <c r="E405" s="2" t="inlineStr">
        <is>
          <t>2.0mm</t>
        </is>
      </c>
      <c r="F405" s="2" t="n">
        <v>2</v>
      </c>
      <c r="G405" s="2" t="n">
        <v>20</v>
      </c>
      <c r="H405" s="2" t="inlineStr">
        <is>
          <t>LC/PC</t>
        </is>
      </c>
      <c r="I405" s="2" t="inlineStr">
        <is>
          <t>LC/PC</t>
        </is>
      </c>
      <c r="J405" s="2" t="n"/>
      <c r="K405" s="2" t="n"/>
      <c r="L405" s="2" t="n"/>
      <c r="M405" s="2" t="n"/>
      <c r="N405" s="2" t="n"/>
      <c r="O405" s="2" t="n">
        <v>64</v>
      </c>
      <c r="P405" s="2" t="n"/>
      <c r="Q405" s="2" t="n"/>
      <c r="R405" s="2" t="n">
        <v>2</v>
      </c>
      <c r="S405" s="2" t="n"/>
      <c r="T405" s="2" t="n"/>
      <c r="U405" s="2" t="n"/>
      <c r="V405" s="2">
        <f>SUM(J405:U405)*G405</f>
        <v/>
      </c>
      <c r="W405" s="2">
        <f>MAX(J405:U405)</f>
        <v/>
      </c>
      <c r="X405" s="2">
        <f>W405*G405</f>
        <v/>
      </c>
    </row>
    <row r="406">
      <c r="A406" s="2" t="inlineStr">
        <is>
          <t>14-K-A741</t>
        </is>
      </c>
      <c r="B406" s="3" t="inlineStr">
        <is>
          <t>OJC-A1-LC/LC-MM(OM3)-30-PC/PC-DP</t>
        </is>
      </c>
      <c r="C406" s="2" t="inlineStr">
        <is>
          <t>LC/DP CLIP Type, 30M</t>
        </is>
      </c>
      <c r="D406" s="2" t="inlineStr">
        <is>
          <t>om3</t>
        </is>
      </c>
      <c r="E406" s="2" t="inlineStr">
        <is>
          <t>2.0mm</t>
        </is>
      </c>
      <c r="F406" s="2" t="n">
        <v>2</v>
      </c>
      <c r="G406" s="2" t="n">
        <v>30</v>
      </c>
      <c r="H406" s="2" t="inlineStr">
        <is>
          <t>LC/PC</t>
        </is>
      </c>
      <c r="I406" s="2" t="inlineStr">
        <is>
          <t>LC/PC</t>
        </is>
      </c>
      <c r="J406" s="2" t="n"/>
      <c r="K406" s="2" t="n"/>
      <c r="L406" s="2" t="n"/>
      <c r="M406" s="2" t="n"/>
      <c r="N406" s="2" t="n"/>
      <c r="O406" s="2" t="n">
        <v>8</v>
      </c>
      <c r="P406" s="2" t="n"/>
      <c r="Q406" s="2" t="n"/>
      <c r="R406" s="2" t="n"/>
      <c r="S406" s="2" t="n"/>
      <c r="T406" s="2" t="n"/>
      <c r="U406" s="2" t="n"/>
      <c r="V406" s="2">
        <f>SUM(J406:U406)*G406</f>
        <v/>
      </c>
      <c r="W406" s="2">
        <f>MAX(J406:U406)</f>
        <v/>
      </c>
      <c r="X406" s="2">
        <f>W406*G406</f>
        <v/>
      </c>
    </row>
    <row r="407">
      <c r="A407" s="2" t="inlineStr">
        <is>
          <t>14-K-A746</t>
        </is>
      </c>
      <c r="B407" s="3" t="inlineStr">
        <is>
          <t>OJC-A1-LC/LC-MM(OM3)-35-PC/PC-DP</t>
        </is>
      </c>
      <c r="C407" s="2" t="inlineStr">
        <is>
          <t>LC/DP CLIP Type, 35M</t>
        </is>
      </c>
      <c r="D407" s="2" t="inlineStr">
        <is>
          <t>om3</t>
        </is>
      </c>
      <c r="E407" s="2" t="inlineStr">
        <is>
          <t>2.0mm</t>
        </is>
      </c>
      <c r="F407" s="2" t="n">
        <v>2</v>
      </c>
      <c r="G407" s="2" t="n">
        <v>35</v>
      </c>
      <c r="H407" s="2" t="inlineStr">
        <is>
          <t>LC/PC</t>
        </is>
      </c>
      <c r="I407" s="2" t="inlineStr">
        <is>
          <t>LC/PC</t>
        </is>
      </c>
      <c r="J407" s="2" t="n"/>
      <c r="K407" s="2" t="n"/>
      <c r="L407" s="2" t="n"/>
      <c r="M407" s="2" t="n"/>
      <c r="N407" s="2" t="n"/>
      <c r="O407" s="2" t="n">
        <v>3</v>
      </c>
      <c r="P407" s="2" t="n"/>
      <c r="Q407" s="2" t="n"/>
      <c r="R407" s="2" t="n"/>
      <c r="S407" s="2" t="n"/>
      <c r="T407" s="2" t="n"/>
      <c r="U407" s="2" t="n"/>
      <c r="V407" s="2">
        <f>SUM(J407:U407)*G407</f>
        <v/>
      </c>
      <c r="W407" s="2">
        <f>MAX(J407:U407)</f>
        <v/>
      </c>
      <c r="X407" s="2">
        <f>W407*G407</f>
        <v/>
      </c>
    </row>
    <row r="408">
      <c r="A408" s="2" t="inlineStr">
        <is>
          <t>14-K-A751</t>
        </is>
      </c>
      <c r="B408" s="3" t="inlineStr">
        <is>
          <t>OJC-A1-LC/LC-MM(OM3)-40-PC/PC-DP</t>
        </is>
      </c>
      <c r="C408" s="2" t="inlineStr">
        <is>
          <t>LC/DP CLIP Type, 40M</t>
        </is>
      </c>
      <c r="D408" s="2" t="inlineStr">
        <is>
          <t>om3</t>
        </is>
      </c>
      <c r="E408" s="2" t="inlineStr">
        <is>
          <t>2.0mm</t>
        </is>
      </c>
      <c r="F408" s="2" t="n">
        <v>2</v>
      </c>
      <c r="G408" s="2" t="n">
        <v>40</v>
      </c>
      <c r="H408" s="2" t="inlineStr">
        <is>
          <t>LC/PC</t>
        </is>
      </c>
      <c r="I408" s="2" t="inlineStr">
        <is>
          <t>LC/PC</t>
        </is>
      </c>
      <c r="J408" s="2" t="n"/>
      <c r="K408" s="2" t="n"/>
      <c r="L408" s="2" t="n"/>
      <c r="M408" s="2" t="n"/>
      <c r="N408" s="2" t="n"/>
      <c r="O408" s="2" t="n">
        <v>6</v>
      </c>
      <c r="P408" s="2" t="n"/>
      <c r="Q408" s="2" t="n"/>
      <c r="R408" s="2" t="n"/>
      <c r="S408" s="2" t="n"/>
      <c r="T408" s="2" t="n"/>
      <c r="U408" s="2" t="n"/>
      <c r="V408" s="2">
        <f>SUM(J408:U408)*G408</f>
        <v/>
      </c>
      <c r="W408" s="2">
        <f>MAX(J408:U408)</f>
        <v/>
      </c>
      <c r="X408" s="2">
        <f>W408*G408</f>
        <v/>
      </c>
    </row>
    <row r="409">
      <c r="A409" s="2" t="inlineStr">
        <is>
          <t>14-K-A752</t>
        </is>
      </c>
      <c r="B409" s="3" t="inlineStr">
        <is>
          <t>OJC-A1-LC/LC-MM(OM3)-41-PC/PC-DP</t>
        </is>
      </c>
      <c r="C409" s="2" t="inlineStr">
        <is>
          <t>LC/DP CLIP Type, 41M</t>
        </is>
      </c>
      <c r="D409" s="2" t="inlineStr">
        <is>
          <t>om3</t>
        </is>
      </c>
      <c r="E409" s="2" t="inlineStr">
        <is>
          <t>2.0mm</t>
        </is>
      </c>
      <c r="F409" s="2" t="n">
        <v>2</v>
      </c>
      <c r="G409" s="2" t="n">
        <v>41</v>
      </c>
      <c r="H409" s="2" t="inlineStr">
        <is>
          <t>LC/PC</t>
        </is>
      </c>
      <c r="I409" s="2" t="inlineStr">
        <is>
          <t>LC/PC</t>
        </is>
      </c>
      <c r="J409" s="2" t="n"/>
      <c r="K409" s="2" t="n"/>
      <c r="L409" s="2" t="n"/>
      <c r="M409" s="2" t="n"/>
      <c r="N409" s="2" t="n"/>
      <c r="O409" s="2" t="n">
        <v>18</v>
      </c>
      <c r="P409" s="2" t="n"/>
      <c r="Q409" s="2" t="n"/>
      <c r="R409" s="2" t="n"/>
      <c r="S409" s="2" t="n"/>
      <c r="T409" s="2" t="n"/>
      <c r="U409" s="2" t="n"/>
      <c r="V409" s="2">
        <f>SUM(J409:U409)*G409</f>
        <v/>
      </c>
      <c r="W409" s="2">
        <f>MAX(J409:U409)</f>
        <v/>
      </c>
      <c r="X409" s="2">
        <f>W409*G409</f>
        <v/>
      </c>
    </row>
    <row r="410">
      <c r="A410" s="2" t="inlineStr">
        <is>
          <t>14-K-A753</t>
        </is>
      </c>
      <c r="B410" s="3" t="inlineStr">
        <is>
          <t>OJC-A1-LC/LC-MM(OM3)-42-PC/PC-DP</t>
        </is>
      </c>
      <c r="C410" s="2" t="inlineStr">
        <is>
          <t>LC/DP CLIP Type, 42M</t>
        </is>
      </c>
      <c r="D410" s="2" t="inlineStr">
        <is>
          <t>om3</t>
        </is>
      </c>
      <c r="E410" s="2" t="inlineStr">
        <is>
          <t>2.0mm</t>
        </is>
      </c>
      <c r="F410" s="2" t="n">
        <v>2</v>
      </c>
      <c r="G410" s="2" t="n">
        <v>42</v>
      </c>
      <c r="H410" s="2" t="inlineStr">
        <is>
          <t>LC/PC</t>
        </is>
      </c>
      <c r="I410" s="2" t="inlineStr">
        <is>
          <t>LC/PC</t>
        </is>
      </c>
      <c r="J410" s="2" t="n"/>
      <c r="K410" s="2" t="n"/>
      <c r="L410" s="2" t="n"/>
      <c r="M410" s="2" t="n"/>
      <c r="N410" s="2" t="n"/>
      <c r="O410" s="2" t="n">
        <v>18</v>
      </c>
      <c r="P410" s="2" t="n"/>
      <c r="Q410" s="2" t="n"/>
      <c r="R410" s="2" t="n"/>
      <c r="S410" s="2" t="n"/>
      <c r="T410" s="2" t="n"/>
      <c r="U410" s="2" t="n"/>
      <c r="V410" s="2">
        <f>SUM(J410:U410)*G410</f>
        <v/>
      </c>
      <c r="W410" s="2">
        <f>MAX(J410:U410)</f>
        <v/>
      </c>
      <c r="X410" s="2">
        <f>W410*G410</f>
        <v/>
      </c>
    </row>
    <row r="411">
      <c r="A411" s="2" t="inlineStr">
        <is>
          <t>14-K-A76</t>
        </is>
      </c>
      <c r="B411" s="3" t="inlineStr">
        <is>
          <t>OJC-A1-LC/LC-SM-80-PC/PC-DP</t>
        </is>
      </c>
      <c r="C411" s="2" t="inlineStr">
        <is>
          <t>K9089184</t>
        </is>
      </c>
      <c r="D411" s="2" t="inlineStr">
        <is>
          <t>a1</t>
        </is>
      </c>
      <c r="E411" s="2" t="inlineStr">
        <is>
          <t>2.0mm</t>
        </is>
      </c>
      <c r="F411" s="2" t="n">
        <v>2</v>
      </c>
      <c r="G411" s="2" t="n">
        <v>80</v>
      </c>
      <c r="H411" s="2" t="inlineStr">
        <is>
          <t>LC/PC</t>
        </is>
      </c>
      <c r="I411" s="2" t="inlineStr">
        <is>
          <t>LC/PC</t>
        </is>
      </c>
      <c r="J411" s="2" t="n"/>
      <c r="K411" s="2" t="n">
        <v>4</v>
      </c>
      <c r="L411" s="2" t="n"/>
      <c r="M411" s="2" t="n"/>
      <c r="N411" s="2" t="n"/>
      <c r="O411" s="2" t="n"/>
      <c r="P411" s="2" t="n"/>
      <c r="Q411" s="2" t="n">
        <v>10</v>
      </c>
      <c r="R411" s="2" t="n"/>
      <c r="S411" s="2" t="n"/>
      <c r="T411" s="2" t="n">
        <v>16</v>
      </c>
      <c r="U411" s="2" t="n">
        <v>20</v>
      </c>
      <c r="V411" s="2">
        <f>SUM(J411:U411)*G411</f>
        <v/>
      </c>
      <c r="W411" s="2">
        <f>MAX(J411:U411)</f>
        <v/>
      </c>
      <c r="X411" s="2">
        <f>W411*G411</f>
        <v/>
      </c>
    </row>
    <row r="412">
      <c r="A412" s="2" t="inlineStr">
        <is>
          <t>14-K-A761</t>
        </is>
      </c>
      <c r="B412" s="3" t="inlineStr">
        <is>
          <t>OJC-A1-LC/LC-MM(OM3)-50-PC/PC-DP</t>
        </is>
      </c>
      <c r="C412" s="2" t="inlineStr">
        <is>
          <t>LC/DP CLIP Type, 50M</t>
        </is>
      </c>
      <c r="D412" s="2" t="inlineStr">
        <is>
          <t>om3</t>
        </is>
      </c>
      <c r="E412" s="2" t="inlineStr">
        <is>
          <t>2.0mm</t>
        </is>
      </c>
      <c r="F412" s="2" t="n">
        <v>2</v>
      </c>
      <c r="G412" s="2" t="n">
        <v>50</v>
      </c>
      <c r="H412" s="2" t="inlineStr">
        <is>
          <t>LC/PC</t>
        </is>
      </c>
      <c r="I412" s="2" t="inlineStr">
        <is>
          <t>LC/PC</t>
        </is>
      </c>
      <c r="J412" s="2" t="n"/>
      <c r="K412" s="2" t="n"/>
      <c r="L412" s="2" t="n"/>
      <c r="M412" s="2" t="n"/>
      <c r="N412" s="2" t="n"/>
      <c r="O412" s="2" t="n">
        <v>8</v>
      </c>
      <c r="P412" s="2" t="n"/>
      <c r="Q412" s="2" t="n"/>
      <c r="R412" s="2" t="n"/>
      <c r="S412" s="2" t="n"/>
      <c r="T412" s="2" t="n"/>
      <c r="U412" s="2" t="n"/>
      <c r="V412" s="2">
        <f>SUM(J412:U412)*G412</f>
        <v/>
      </c>
      <c r="W412" s="2">
        <f>MAX(J412:U412)</f>
        <v/>
      </c>
      <c r="X412" s="2">
        <f>W412*G412</f>
        <v/>
      </c>
    </row>
    <row r="413">
      <c r="A413" s="2" t="inlineStr">
        <is>
          <t>14-K-A766</t>
        </is>
      </c>
      <c r="B413" s="3" t="inlineStr">
        <is>
          <t>OJC-A1-LC/LC-MM(OM3)-55-PC/PC-DP</t>
        </is>
      </c>
      <c r="C413" s="2" t="inlineStr">
        <is>
          <t>LC/DP CLIP Type, 55M</t>
        </is>
      </c>
      <c r="D413" s="2" t="inlineStr">
        <is>
          <t>om3</t>
        </is>
      </c>
      <c r="E413" s="2" t="inlineStr">
        <is>
          <t>2.0mm</t>
        </is>
      </c>
      <c r="F413" s="2" t="n">
        <v>2</v>
      </c>
      <c r="G413" s="2" t="n">
        <v>55</v>
      </c>
      <c r="H413" s="2" t="inlineStr">
        <is>
          <t>LC/PC</t>
        </is>
      </c>
      <c r="I413" s="2" t="inlineStr">
        <is>
          <t>LC/PC</t>
        </is>
      </c>
      <c r="J413" s="2" t="n"/>
      <c r="K413" s="2" t="n"/>
      <c r="L413" s="2" t="n"/>
      <c r="M413" s="2" t="n"/>
      <c r="N413" s="2" t="n"/>
      <c r="O413" s="2" t="n">
        <v>20</v>
      </c>
      <c r="P413" s="2" t="n"/>
      <c r="Q413" s="2" t="n"/>
      <c r="R413" s="2" t="n"/>
      <c r="S413" s="2" t="n"/>
      <c r="T413" s="2" t="n"/>
      <c r="U413" s="2" t="n"/>
      <c r="V413" s="2">
        <f>SUM(J413:U413)*G413</f>
        <v/>
      </c>
      <c r="W413" s="2">
        <f>MAX(J413:U413)</f>
        <v/>
      </c>
      <c r="X413" s="2">
        <f>W413*G413</f>
        <v/>
      </c>
    </row>
    <row r="414">
      <c r="A414" s="2" t="inlineStr">
        <is>
          <t>14-K-A768</t>
        </is>
      </c>
      <c r="B414" s="3" t="inlineStr">
        <is>
          <t>OJC-A1-LC/LC-MM(OM3)-57-PC/PC-DP</t>
        </is>
      </c>
      <c r="C414" s="2" t="inlineStr">
        <is>
          <t>LC/DP CLIP Type, 57M</t>
        </is>
      </c>
      <c r="D414" s="2" t="inlineStr">
        <is>
          <t>om3</t>
        </is>
      </c>
      <c r="E414" s="2" t="inlineStr">
        <is>
          <t>2.0mm</t>
        </is>
      </c>
      <c r="F414" s="2" t="n">
        <v>2</v>
      </c>
      <c r="G414" s="2" t="n">
        <v>57</v>
      </c>
      <c r="H414" s="2" t="inlineStr">
        <is>
          <t>LC/PC</t>
        </is>
      </c>
      <c r="I414" s="2" t="inlineStr">
        <is>
          <t>LC/PC</t>
        </is>
      </c>
      <c r="J414" s="2" t="n"/>
      <c r="K414" s="2" t="n"/>
      <c r="L414" s="2" t="n"/>
      <c r="M414" s="2" t="n"/>
      <c r="N414" s="2" t="n"/>
      <c r="O414" s="2" t="n">
        <v>20</v>
      </c>
      <c r="P414" s="2" t="n"/>
      <c r="Q414" s="2" t="n"/>
      <c r="R414" s="2" t="n"/>
      <c r="S414" s="2" t="n"/>
      <c r="T414" s="2" t="n"/>
      <c r="U414" s="2" t="n"/>
      <c r="V414" s="2">
        <f>SUM(J414:U414)*G414</f>
        <v/>
      </c>
      <c r="W414" s="2">
        <f>MAX(J414:U414)</f>
        <v/>
      </c>
      <c r="X414" s="2">
        <f>W414*G414</f>
        <v/>
      </c>
    </row>
    <row r="415">
      <c r="A415" s="2" t="inlineStr">
        <is>
          <t>14-K-A781</t>
        </is>
      </c>
      <c r="B415" s="3" t="inlineStr">
        <is>
          <t>OJC-A1-LC/LC-MM(OM3)-70-PC/PC-DP</t>
        </is>
      </c>
      <c r="C415" s="2" t="inlineStr">
        <is>
          <t>LC/DP CLIP Type, 70M</t>
        </is>
      </c>
      <c r="D415" s="2" t="inlineStr">
        <is>
          <t>om3</t>
        </is>
      </c>
      <c r="E415" s="2" t="inlineStr">
        <is>
          <t>2.0mm</t>
        </is>
      </c>
      <c r="F415" s="2" t="n">
        <v>2</v>
      </c>
      <c r="G415" s="2" t="n">
        <v>70</v>
      </c>
      <c r="H415" s="2" t="inlineStr">
        <is>
          <t>LC/PC</t>
        </is>
      </c>
      <c r="I415" s="2" t="inlineStr">
        <is>
          <t>LC/PC</t>
        </is>
      </c>
      <c r="J415" s="2" t="n"/>
      <c r="K415" s="2" t="n"/>
      <c r="L415" s="2" t="n"/>
      <c r="M415" s="2" t="n"/>
      <c r="N415" s="2" t="n"/>
      <c r="O415" s="2" t="n">
        <v>2</v>
      </c>
      <c r="P415" s="2" t="n"/>
      <c r="Q415" s="2" t="n"/>
      <c r="R415" s="2" t="n"/>
      <c r="S415" s="2" t="n"/>
      <c r="T415" s="2" t="n"/>
      <c r="U415" s="2" t="n"/>
      <c r="V415" s="2">
        <f>SUM(J415:U415)*G415</f>
        <v/>
      </c>
      <c r="W415" s="2">
        <f>MAX(J415:U415)</f>
        <v/>
      </c>
      <c r="X415" s="2">
        <f>W415*G415</f>
        <v/>
      </c>
    </row>
    <row r="416">
      <c r="A416" s="2" t="inlineStr">
        <is>
          <t>14-K-A791</t>
        </is>
      </c>
      <c r="B416" s="3" t="inlineStr">
        <is>
          <t>OJC-A1-LC/LC-MM(OM3)-80-PC/PC-DP</t>
        </is>
      </c>
      <c r="C416" s="2" t="inlineStr">
        <is>
          <t>LC/DP CLIP Type, 80M</t>
        </is>
      </c>
      <c r="D416" s="2" t="inlineStr">
        <is>
          <t>om3</t>
        </is>
      </c>
      <c r="E416" s="2" t="inlineStr">
        <is>
          <t>2.0mm</t>
        </is>
      </c>
      <c r="F416" s="2" t="n">
        <v>2</v>
      </c>
      <c r="G416" s="2" t="n">
        <v>80</v>
      </c>
      <c r="H416" s="2" t="inlineStr">
        <is>
          <t>LC/PC</t>
        </is>
      </c>
      <c r="I416" s="2" t="inlineStr">
        <is>
          <t>LC/PC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>
        <v>5</v>
      </c>
      <c r="T416" s="2" t="n"/>
      <c r="U416" s="2" t="n"/>
      <c r="V416" s="2">
        <f>SUM(J416:U416)*G416</f>
        <v/>
      </c>
      <c r="W416" s="2">
        <f>MAX(J416:U416)</f>
        <v/>
      </c>
      <c r="X416" s="2">
        <f>W416*G416</f>
        <v/>
      </c>
    </row>
    <row r="417">
      <c r="A417" s="2" t="inlineStr">
        <is>
          <t>14-K-A87</t>
        </is>
      </c>
      <c r="B417" s="3" t="inlineStr">
        <is>
          <t>OJC-A1-LC/LC-SM-15-PC/PC-DP</t>
        </is>
      </c>
      <c r="C417" s="2" t="inlineStr">
        <is>
          <t>적색</t>
        </is>
      </c>
      <c r="D417" s="2" t="inlineStr">
        <is>
          <t>a1-적</t>
        </is>
      </c>
      <c r="E417" s="2" t="inlineStr">
        <is>
          <t>2.0mm</t>
        </is>
      </c>
      <c r="F417" s="2" t="n">
        <v>2</v>
      </c>
      <c r="G417" s="2" t="n">
        <v>15</v>
      </c>
      <c r="H417" s="2" t="inlineStr">
        <is>
          <t>LC/PC</t>
        </is>
      </c>
      <c r="I417" s="2" t="inlineStr">
        <is>
          <t>LC/PC</t>
        </is>
      </c>
      <c r="J417" s="2" t="n"/>
      <c r="K417" s="2" t="n"/>
      <c r="L417" s="2" t="n">
        <v>30</v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>
        <f>SUM(J417:U417)*G417</f>
        <v/>
      </c>
      <c r="W417" s="2">
        <f>MAX(J417:U417)</f>
        <v/>
      </c>
      <c r="X417" s="2">
        <f>W417*G417</f>
        <v/>
      </c>
    </row>
    <row r="418">
      <c r="A418" s="2" t="inlineStr">
        <is>
          <t>14-K-A92</t>
        </is>
      </c>
      <c r="B418" s="3" t="inlineStr">
        <is>
          <t>OJC-A1-LC/LC-SM-10-PC/PC-DP</t>
        </is>
      </c>
      <c r="C418" s="2" t="inlineStr">
        <is>
          <t>적색</t>
        </is>
      </c>
      <c r="D418" s="2" t="inlineStr">
        <is>
          <t>a1-적</t>
        </is>
      </c>
      <c r="E418" s="2" t="inlineStr">
        <is>
          <t>2.0mm</t>
        </is>
      </c>
      <c r="F418" s="2" t="n">
        <v>2</v>
      </c>
      <c r="G418" s="2" t="n">
        <v>10</v>
      </c>
      <c r="H418" s="2" t="inlineStr">
        <is>
          <t>LC/PC</t>
        </is>
      </c>
      <c r="I418" s="2" t="inlineStr">
        <is>
          <t>LC/PC</t>
        </is>
      </c>
      <c r="J418" s="2" t="n"/>
      <c r="K418" s="2" t="n"/>
      <c r="L418" s="2" t="n">
        <v>30</v>
      </c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>
        <f>SUM(J418:U418)*G418</f>
        <v/>
      </c>
      <c r="W418" s="2">
        <f>MAX(J418:U418)</f>
        <v/>
      </c>
      <c r="X418" s="2">
        <f>W418*G418</f>
        <v/>
      </c>
    </row>
    <row r="419">
      <c r="A419" s="2" t="inlineStr">
        <is>
          <t>14-K-A95</t>
        </is>
      </c>
      <c r="B419" s="3" t="inlineStr">
        <is>
          <t>OJC-A1-LC/LC-SM-40-PC/PC-DP</t>
        </is>
      </c>
      <c r="C419" s="2" t="inlineStr">
        <is>
          <t>적색</t>
        </is>
      </c>
      <c r="D419" s="2" t="inlineStr">
        <is>
          <t>a1-적</t>
        </is>
      </c>
      <c r="E419" s="2" t="inlineStr">
        <is>
          <t>2.0mm</t>
        </is>
      </c>
      <c r="F419" s="2" t="n">
        <v>2</v>
      </c>
      <c r="G419" s="2" t="n">
        <v>40</v>
      </c>
      <c r="H419" s="2" t="inlineStr">
        <is>
          <t>LC/PC</t>
        </is>
      </c>
      <c r="I419" s="2" t="inlineStr">
        <is>
          <t>LC/PC</t>
        </is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>
        <v>10</v>
      </c>
      <c r="U419" s="2" t="n"/>
      <c r="V419" s="2">
        <f>SUM(J419:U419)*G419</f>
        <v/>
      </c>
      <c r="W419" s="2">
        <f>MAX(J419:U419)</f>
        <v/>
      </c>
      <c r="X419" s="2">
        <f>W419*G419</f>
        <v/>
      </c>
    </row>
    <row r="420">
      <c r="A420" s="2" t="inlineStr">
        <is>
          <t>14-K-B131</t>
        </is>
      </c>
      <c r="B420" s="3" t="inlineStr">
        <is>
          <t>OJC-A1-SC/LC-SM-55-PC/PC-SP</t>
        </is>
      </c>
      <c r="C420" s="2" t="inlineStr"/>
      <c r="D420" s="2" t="inlineStr">
        <is>
          <t>a1</t>
        </is>
      </c>
      <c r="E420" s="2" t="inlineStr">
        <is>
          <t>2.0mm</t>
        </is>
      </c>
      <c r="F420" s="2" t="n">
        <v>1</v>
      </c>
      <c r="G420" s="2" t="n">
        <v>55</v>
      </c>
      <c r="H420" s="2" t="inlineStr">
        <is>
          <t>SC/PC</t>
        </is>
      </c>
      <c r="I420" s="2" t="inlineStr">
        <is>
          <t>LC/PC</t>
        </is>
      </c>
      <c r="J420" s="2" t="n"/>
      <c r="K420" s="2" t="n"/>
      <c r="L420" s="2" t="n"/>
      <c r="M420" s="2" t="n"/>
      <c r="N420" s="2" t="n"/>
      <c r="O420" s="2" t="n"/>
      <c r="P420" s="2" t="n"/>
      <c r="Q420" s="2" t="n">
        <v>4</v>
      </c>
      <c r="R420" s="2" t="n"/>
      <c r="S420" s="2" t="n"/>
      <c r="T420" s="2" t="n"/>
      <c r="U420" s="2" t="n"/>
      <c r="V420" s="2">
        <f>SUM(J420:U420)*G420</f>
        <v/>
      </c>
      <c r="W420" s="2">
        <f>MAX(J420:U420)</f>
        <v/>
      </c>
      <c r="X420" s="2">
        <f>W420*G420</f>
        <v/>
      </c>
    </row>
    <row r="421">
      <c r="A421" s="2" t="inlineStr">
        <is>
          <t>14-K-B134</t>
        </is>
      </c>
      <c r="B421" s="3" t="inlineStr">
        <is>
          <t>OJC-A1-SC/SC-SM-40-PC/APC-SP</t>
        </is>
      </c>
      <c r="C421" s="2" t="inlineStr"/>
      <c r="D421" s="2" t="inlineStr">
        <is>
          <t>a1</t>
        </is>
      </c>
      <c r="E421" s="2" t="inlineStr">
        <is>
          <t>2.0mm</t>
        </is>
      </c>
      <c r="F421" s="2" t="n">
        <v>1</v>
      </c>
      <c r="G421" s="2" t="n">
        <v>40</v>
      </c>
      <c r="H421" s="2" t="inlineStr">
        <is>
          <t>SC/PC</t>
        </is>
      </c>
      <c r="I421" s="2" t="inlineStr">
        <is>
          <t>SC/APC</t>
        </is>
      </c>
      <c r="J421" s="2" t="n">
        <v>50</v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>
        <f>SUM(J421:U421)*G421</f>
        <v/>
      </c>
      <c r="W421" s="2">
        <f>MAX(J421:U421)</f>
        <v/>
      </c>
      <c r="X421" s="2">
        <f>W421*G421</f>
        <v/>
      </c>
    </row>
    <row r="422">
      <c r="A422" s="2" t="inlineStr">
        <is>
          <t>14-K-B154</t>
        </is>
      </c>
      <c r="B422" s="3" t="inlineStr">
        <is>
          <t>OJC-A1-SC/LC-SM-35-PC/PC-DP</t>
        </is>
      </c>
      <c r="C422" s="2" t="inlineStr">
        <is>
          <t>적색</t>
        </is>
      </c>
      <c r="D422" s="2" t="inlineStr">
        <is>
          <t>a1-적</t>
        </is>
      </c>
      <c r="E422" s="2" t="inlineStr">
        <is>
          <t>2.0mm</t>
        </is>
      </c>
      <c r="F422" s="2" t="n">
        <v>2</v>
      </c>
      <c r="G422" s="2" t="n">
        <v>35</v>
      </c>
      <c r="H422" s="2" t="inlineStr">
        <is>
          <t>SC/PC</t>
        </is>
      </c>
      <c r="I422" s="2" t="inlineStr">
        <is>
          <t>LC/PC</t>
        </is>
      </c>
      <c r="J422" s="2" t="n"/>
      <c r="K422" s="2" t="n"/>
      <c r="L422" s="2" t="n">
        <v>30</v>
      </c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>
        <f>SUM(J422:U422)*G422</f>
        <v/>
      </c>
      <c r="W422" s="2">
        <f>MAX(J422:U422)</f>
        <v/>
      </c>
      <c r="X422" s="2">
        <f>W422*G422</f>
        <v/>
      </c>
    </row>
    <row r="423">
      <c r="A423" s="2" t="inlineStr">
        <is>
          <t>14-K-B208</t>
        </is>
      </c>
      <c r="B423" s="3" t="inlineStr">
        <is>
          <t>OJC-C2-SC/LC-SM-10-PC/PC-8C</t>
        </is>
      </c>
      <c r="C423" s="2" t="inlineStr">
        <is>
          <t>K9089467</t>
        </is>
      </c>
      <c r="D423" s="2" t="inlineStr">
        <is>
          <t>a1-8c</t>
        </is>
      </c>
      <c r="E423" s="2" t="inlineStr">
        <is>
          <t>2.0mm</t>
        </is>
      </c>
      <c r="F423" s="2" t="n">
        <v>8</v>
      </c>
      <c r="G423" s="2" t="n">
        <v>10</v>
      </c>
      <c r="H423" s="2" t="inlineStr">
        <is>
          <t>SC/PC</t>
        </is>
      </c>
      <c r="I423" s="2" t="inlineStr">
        <is>
          <t>LC/PC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>
        <v>4</v>
      </c>
      <c r="R423" s="2" t="n"/>
      <c r="S423" s="2" t="n"/>
      <c r="T423" s="2" t="n"/>
      <c r="U423" s="2" t="n"/>
      <c r="V423" s="2">
        <f>SUM(J423:U423)*G423</f>
        <v/>
      </c>
      <c r="W423" s="2">
        <f>MAX(J423:U423)</f>
        <v/>
      </c>
      <c r="X423" s="2">
        <f>W423*G423</f>
        <v/>
      </c>
    </row>
    <row r="424">
      <c r="A424" s="2" t="inlineStr">
        <is>
          <t>14-K-B260</t>
        </is>
      </c>
      <c r="B424" s="3" t="inlineStr">
        <is>
          <t>OJC-A1-LC/LC-MM(OM3)-6-PC/PC-DP</t>
        </is>
      </c>
      <c r="C424" s="2" t="inlineStr"/>
      <c r="D424" s="2" t="inlineStr">
        <is>
          <t>om3</t>
        </is>
      </c>
      <c r="E424" s="2" t="inlineStr">
        <is>
          <t>2.0mm</t>
        </is>
      </c>
      <c r="F424" s="2" t="n">
        <v>2</v>
      </c>
      <c r="G424" s="2" t="n">
        <v>6</v>
      </c>
      <c r="H424" s="2" t="inlineStr">
        <is>
          <t>LC/PC</t>
        </is>
      </c>
      <c r="I424" s="2" t="inlineStr">
        <is>
          <t>LC/PC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>
        <v>20</v>
      </c>
      <c r="R424" s="2" t="n"/>
      <c r="S424" s="2" t="n"/>
      <c r="T424" s="2" t="n"/>
      <c r="U424" s="2" t="n"/>
      <c r="V424" s="2">
        <f>SUM(J424:U424)*G424</f>
        <v/>
      </c>
      <c r="W424" s="2">
        <f>MAX(J424:U424)</f>
        <v/>
      </c>
      <c r="X424" s="2">
        <f>W424*G424</f>
        <v/>
      </c>
    </row>
    <row r="425">
      <c r="A425" s="2" t="inlineStr">
        <is>
          <t>14-K-B307</t>
        </is>
      </c>
      <c r="B425" s="3" t="inlineStr">
        <is>
          <t>OJC-A1-LC/LC-SM-11-PC/PC-DP</t>
        </is>
      </c>
      <c r="C425" s="2" t="inlineStr"/>
      <c r="D425" s="2" t="inlineStr">
        <is>
          <t>a1</t>
        </is>
      </c>
      <c r="E425" s="2" t="inlineStr">
        <is>
          <t>2.0mm</t>
        </is>
      </c>
      <c r="F425" s="2" t="n">
        <v>2</v>
      </c>
      <c r="G425" s="2" t="n">
        <v>11</v>
      </c>
      <c r="H425" s="2" t="inlineStr">
        <is>
          <t>LC/PC</t>
        </is>
      </c>
      <c r="I425" s="2" t="inlineStr">
        <is>
          <t>LC/PC</t>
        </is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>
        <v>50</v>
      </c>
      <c r="S425" s="2" t="n"/>
      <c r="T425" s="2" t="n"/>
      <c r="U425" s="2" t="n">
        <v>14</v>
      </c>
      <c r="V425" s="2">
        <f>SUM(J425:U425)*G425</f>
        <v/>
      </c>
      <c r="W425" s="2">
        <f>MAX(J425:U425)</f>
        <v/>
      </c>
      <c r="X425" s="2">
        <f>W425*G425</f>
        <v/>
      </c>
    </row>
    <row r="426">
      <c r="A426" s="2" t="inlineStr">
        <is>
          <t>14-K-B326</t>
        </is>
      </c>
      <c r="B426" s="3" t="inlineStr">
        <is>
          <t>OJC-A1-SC/LC-SM-5-APC/PC-SP</t>
        </is>
      </c>
      <c r="C426" s="2" t="inlineStr"/>
      <c r="D426" s="2" t="inlineStr">
        <is>
          <t>a1</t>
        </is>
      </c>
      <c r="E426" s="2" t="inlineStr">
        <is>
          <t>2.0mm</t>
        </is>
      </c>
      <c r="F426" s="2" t="n">
        <v>1</v>
      </c>
      <c r="G426" s="2" t="n">
        <v>5</v>
      </c>
      <c r="H426" s="2" t="inlineStr">
        <is>
          <t>SC/APC</t>
        </is>
      </c>
      <c r="I426" s="2" t="inlineStr">
        <is>
          <t>LC/PC</t>
        </is>
      </c>
      <c r="J426" s="2" t="n"/>
      <c r="K426" s="2" t="n"/>
      <c r="L426" s="2" t="n"/>
      <c r="M426" s="2" t="n"/>
      <c r="N426" s="2" t="n">
        <v>5</v>
      </c>
      <c r="O426" s="2" t="n"/>
      <c r="P426" s="2" t="n"/>
      <c r="Q426" s="2" t="n"/>
      <c r="R426" s="2" t="n"/>
      <c r="S426" s="2" t="n"/>
      <c r="T426" s="2" t="n"/>
      <c r="U426" s="2" t="n"/>
      <c r="V426" s="2">
        <f>SUM(J426:U426)*G426</f>
        <v/>
      </c>
      <c r="W426" s="2">
        <f>MAX(J426:U426)</f>
        <v/>
      </c>
      <c r="X426" s="2">
        <f>W426*G426</f>
        <v/>
      </c>
    </row>
    <row r="427">
      <c r="A427" s="2" t="inlineStr">
        <is>
          <t>14-K-B341</t>
        </is>
      </c>
      <c r="B427" s="3" t="inlineStr">
        <is>
          <t>OJC-A1-SC/LC-SM-15-APC/PC-SP</t>
        </is>
      </c>
      <c r="C427" s="2" t="inlineStr"/>
      <c r="D427" s="2" t="inlineStr">
        <is>
          <t>a1</t>
        </is>
      </c>
      <c r="E427" s="2" t="inlineStr">
        <is>
          <t>2.0mm</t>
        </is>
      </c>
      <c r="F427" s="2" t="n">
        <v>1</v>
      </c>
      <c r="G427" s="2" t="n">
        <v>15</v>
      </c>
      <c r="H427" s="2" t="inlineStr">
        <is>
          <t>SC/APC</t>
        </is>
      </c>
      <c r="I427" s="2" t="inlineStr">
        <is>
          <t>LC/PC</t>
        </is>
      </c>
      <c r="J427" s="2" t="n"/>
      <c r="K427" s="2" t="n"/>
      <c r="L427" s="2" t="n"/>
      <c r="M427" s="2" t="n"/>
      <c r="N427" s="2" t="n">
        <v>5</v>
      </c>
      <c r="O427" s="2" t="n"/>
      <c r="P427" s="2" t="n"/>
      <c r="Q427" s="2" t="n"/>
      <c r="R427" s="2" t="n"/>
      <c r="S427" s="2" t="n"/>
      <c r="T427" s="2" t="n"/>
      <c r="U427" s="2" t="n"/>
      <c r="V427" s="2">
        <f>SUM(J427:U427)*G427</f>
        <v/>
      </c>
      <c r="W427" s="2">
        <f>MAX(J427:U427)</f>
        <v/>
      </c>
      <c r="X427" s="2">
        <f>W427*G427</f>
        <v/>
      </c>
    </row>
    <row r="428">
      <c r="A428" s="2" t="inlineStr">
        <is>
          <t>14-K-B368</t>
        </is>
      </c>
      <c r="B428" s="3" t="inlineStr">
        <is>
          <t>OJC-A1-SC/SC-SM-7-APC/APC-DP</t>
        </is>
      </c>
      <c r="C428" s="2" t="inlineStr"/>
      <c r="D428" s="2" t="inlineStr">
        <is>
          <t>a1</t>
        </is>
      </c>
      <c r="E428" s="2" t="inlineStr">
        <is>
          <t>2.0mm</t>
        </is>
      </c>
      <c r="F428" s="2" t="n">
        <v>2</v>
      </c>
      <c r="G428" s="2" t="n">
        <v>7</v>
      </c>
      <c r="H428" s="2" t="inlineStr">
        <is>
          <t>SC/APC</t>
        </is>
      </c>
      <c r="I428" s="2" t="inlineStr">
        <is>
          <t>SC/APC</t>
        </is>
      </c>
      <c r="J428" s="2" t="n">
        <v>29</v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>
        <f>SUM(J428:U428)*G428</f>
        <v/>
      </c>
      <c r="W428" s="2">
        <f>MAX(J428:U428)</f>
        <v/>
      </c>
      <c r="X428" s="2">
        <f>W428*G428</f>
        <v/>
      </c>
    </row>
    <row r="429">
      <c r="A429" s="2" t="inlineStr">
        <is>
          <t>14-K-B372</t>
        </is>
      </c>
      <c r="B429" s="3" t="inlineStr">
        <is>
          <t>OJC-A1-LC/LC-SM-8-PC/PC-DP</t>
        </is>
      </c>
      <c r="C429" s="2" t="inlineStr">
        <is>
          <t>청색</t>
        </is>
      </c>
      <c r="D429" s="2" t="inlineStr">
        <is>
          <t>a1-청</t>
        </is>
      </c>
      <c r="E429" s="2" t="inlineStr">
        <is>
          <t>2.0mm</t>
        </is>
      </c>
      <c r="F429" s="2" t="n">
        <v>2</v>
      </c>
      <c r="G429" s="2" t="n">
        <v>8</v>
      </c>
      <c r="H429" s="2" t="inlineStr">
        <is>
          <t>LC/PC</t>
        </is>
      </c>
      <c r="I429" s="2" t="inlineStr">
        <is>
          <t>LC/PC</t>
        </is>
      </c>
      <c r="J429" s="2" t="n"/>
      <c r="K429" s="2" t="n"/>
      <c r="L429" s="2" t="n">
        <v>60</v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>
        <f>SUM(J429:U429)*G429</f>
        <v/>
      </c>
      <c r="W429" s="2">
        <f>MAX(J429:U429)</f>
        <v/>
      </c>
      <c r="X429" s="2">
        <f>W429*G429</f>
        <v/>
      </c>
    </row>
    <row r="430">
      <c r="A430" s="2" t="inlineStr">
        <is>
          <t>14-K-B377</t>
        </is>
      </c>
      <c r="B430" s="3" t="inlineStr">
        <is>
          <t>OJC-A1-LC/LC-SM-11-PC/PC-SP</t>
        </is>
      </c>
      <c r="C430" s="2" t="inlineStr"/>
      <c r="D430" s="2" t="inlineStr">
        <is>
          <t>a1</t>
        </is>
      </c>
      <c r="E430" s="2" t="inlineStr">
        <is>
          <t>2.0mm</t>
        </is>
      </c>
      <c r="F430" s="2" t="n">
        <v>1</v>
      </c>
      <c r="G430" s="2" t="n">
        <v>11</v>
      </c>
      <c r="H430" s="2" t="inlineStr">
        <is>
          <t>LC/PC</t>
        </is>
      </c>
      <c r="I430" s="2" t="inlineStr">
        <is>
          <t>LC/PC</t>
        </is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>
        <v>10</v>
      </c>
      <c r="V430" s="2">
        <f>SUM(J430:U430)*G430</f>
        <v/>
      </c>
      <c r="W430" s="2">
        <f>MAX(J430:U430)</f>
        <v/>
      </c>
      <c r="X430" s="2">
        <f>W430*G430</f>
        <v/>
      </c>
    </row>
    <row r="431">
      <c r="A431" s="2" t="inlineStr">
        <is>
          <t>14-K-B378</t>
        </is>
      </c>
      <c r="B431" s="3" t="inlineStr">
        <is>
          <t>OJC-A1-LC/LC-SM-3-PC/APC-SP</t>
        </is>
      </c>
      <c r="C431" s="2" t="inlineStr"/>
      <c r="D431" s="2" t="inlineStr">
        <is>
          <t>a1</t>
        </is>
      </c>
      <c r="E431" s="2" t="inlineStr">
        <is>
          <t>2.0mm</t>
        </is>
      </c>
      <c r="F431" s="2" t="n">
        <v>1</v>
      </c>
      <c r="G431" s="2" t="n">
        <v>3</v>
      </c>
      <c r="H431" s="2" t="inlineStr">
        <is>
          <t>LC/PC</t>
        </is>
      </c>
      <c r="I431" s="2" t="inlineStr">
        <is>
          <t>LC/APC</t>
        </is>
      </c>
      <c r="J431" s="2" t="n"/>
      <c r="K431" s="2" t="n">
        <v>3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>
        <f>SUM(J431:U431)*G431</f>
        <v/>
      </c>
      <c r="W431" s="2">
        <f>MAX(J431:U431)</f>
        <v/>
      </c>
      <c r="X431" s="2">
        <f>W431*G431</f>
        <v/>
      </c>
    </row>
    <row r="432">
      <c r="A432" s="2" t="inlineStr">
        <is>
          <t>14-K-B379</t>
        </is>
      </c>
      <c r="B432" s="3" t="inlineStr">
        <is>
          <t>OJC-A1-LC/LC-SM-15-PC/APC-SP</t>
        </is>
      </c>
      <c r="C432" s="2" t="inlineStr"/>
      <c r="D432" s="2" t="inlineStr">
        <is>
          <t>a1</t>
        </is>
      </c>
      <c r="E432" s="2" t="inlineStr">
        <is>
          <t>2.0mm</t>
        </is>
      </c>
      <c r="F432" s="2" t="n">
        <v>1</v>
      </c>
      <c r="G432" s="2" t="n">
        <v>15</v>
      </c>
      <c r="H432" s="2" t="inlineStr">
        <is>
          <t>LC/PC</t>
        </is>
      </c>
      <c r="I432" s="2" t="inlineStr">
        <is>
          <t>LC/APC</t>
        </is>
      </c>
      <c r="J432" s="2" t="n"/>
      <c r="K432" s="2" t="n">
        <v>3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>
        <f>SUM(J432:U432)*G432</f>
        <v/>
      </c>
      <c r="W432" s="2">
        <f>MAX(J432:U432)</f>
        <v/>
      </c>
      <c r="X432" s="2">
        <f>W432*G432</f>
        <v/>
      </c>
    </row>
    <row r="433">
      <c r="A433" s="2" t="inlineStr">
        <is>
          <t>14-K-B381</t>
        </is>
      </c>
      <c r="B433" s="3" t="inlineStr">
        <is>
          <t>OJC-A1-LC/LC-SM-0.9-PC/PC-SP</t>
        </is>
      </c>
      <c r="C433" s="2" t="inlineStr"/>
      <c r="D433" s="2" t="inlineStr">
        <is>
          <t>a1</t>
        </is>
      </c>
      <c r="E433" s="2" t="inlineStr">
        <is>
          <t>2.0mm</t>
        </is>
      </c>
      <c r="F433" s="2" t="n">
        <v>1</v>
      </c>
      <c r="G433" s="2" t="n">
        <v>0.9</v>
      </c>
      <c r="H433" s="2" t="inlineStr">
        <is>
          <t>LC/PC</t>
        </is>
      </c>
      <c r="I433" s="2" t="inlineStr">
        <is>
          <t>LC/PC</t>
        </is>
      </c>
      <c r="J433" s="2" t="n"/>
      <c r="K433" s="2" t="n"/>
      <c r="L433" s="2" t="n">
        <v>5</v>
      </c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>
        <f>SUM(J433:U433)*G433</f>
        <v/>
      </c>
      <c r="W433" s="2">
        <f>MAX(J433:U433)</f>
        <v/>
      </c>
      <c r="X433" s="2">
        <f>W433*G433</f>
        <v/>
      </c>
    </row>
    <row r="434">
      <c r="A434" s="2" t="inlineStr">
        <is>
          <t>14-K-B382</t>
        </is>
      </c>
      <c r="B434" s="3" t="inlineStr">
        <is>
          <t>OJC-A1-LC/LC-SM-0.75-PC/PC-DP</t>
        </is>
      </c>
      <c r="C434" s="2" t="inlineStr"/>
      <c r="D434" s="2" t="inlineStr">
        <is>
          <t>a1</t>
        </is>
      </c>
      <c r="E434" s="2" t="inlineStr">
        <is>
          <t>2.0mm</t>
        </is>
      </c>
      <c r="F434" s="2" t="n">
        <v>2</v>
      </c>
      <c r="G434" s="2" t="n">
        <v>0.75</v>
      </c>
      <c r="H434" s="2" t="inlineStr">
        <is>
          <t>LC/PC</t>
        </is>
      </c>
      <c r="I434" s="2" t="inlineStr">
        <is>
          <t>LC/PC</t>
        </is>
      </c>
      <c r="J434" s="2" t="n"/>
      <c r="K434" s="2" t="n"/>
      <c r="L434" s="2" t="n">
        <v>15</v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>
        <f>SUM(J434:U434)*G434</f>
        <v/>
      </c>
      <c r="W434" s="2">
        <f>MAX(J434:U434)</f>
        <v/>
      </c>
      <c r="X434" s="2">
        <f>W434*G434</f>
        <v/>
      </c>
    </row>
    <row r="435">
      <c r="A435" s="2" t="inlineStr">
        <is>
          <t>14-K-B383</t>
        </is>
      </c>
      <c r="B435" s="3" t="inlineStr">
        <is>
          <t>OJC-A1-LC/LC-SM-1.5-PC/PC-DP</t>
        </is>
      </c>
      <c r="C435" s="2" t="inlineStr"/>
      <c r="D435" s="2" t="inlineStr">
        <is>
          <t>a1</t>
        </is>
      </c>
      <c r="E435" s="2" t="inlineStr">
        <is>
          <t>2.0mm</t>
        </is>
      </c>
      <c r="F435" s="2" t="n">
        <v>2</v>
      </c>
      <c r="G435" s="2" t="n">
        <v>1.5</v>
      </c>
      <c r="H435" s="2" t="inlineStr">
        <is>
          <t>LC/PC</t>
        </is>
      </c>
      <c r="I435" s="2" t="inlineStr">
        <is>
          <t>LC/PC</t>
        </is>
      </c>
      <c r="J435" s="2" t="n"/>
      <c r="K435" s="2" t="n"/>
      <c r="L435" s="2" t="n">
        <v>10</v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>
        <f>SUM(J435:U435)*G435</f>
        <v/>
      </c>
      <c r="W435" s="2">
        <f>MAX(J435:U435)</f>
        <v/>
      </c>
      <c r="X435" s="2">
        <f>W435*G435</f>
        <v/>
      </c>
    </row>
    <row r="436">
      <c r="A436" s="2" t="inlineStr">
        <is>
          <t>14-K-B384</t>
        </is>
      </c>
      <c r="B436" s="3" t="inlineStr">
        <is>
          <t>OJC-A1-LC/LC-SM-2-PC/PC-DP</t>
        </is>
      </c>
      <c r="C436" s="2" t="inlineStr"/>
      <c r="D436" s="2" t="inlineStr">
        <is>
          <t>a1</t>
        </is>
      </c>
      <c r="E436" s="2" t="inlineStr">
        <is>
          <t>2.0mm</t>
        </is>
      </c>
      <c r="F436" s="2" t="n">
        <v>2</v>
      </c>
      <c r="G436" s="2" t="n">
        <v>2</v>
      </c>
      <c r="H436" s="2" t="inlineStr">
        <is>
          <t>LC/PC</t>
        </is>
      </c>
      <c r="I436" s="2" t="inlineStr">
        <is>
          <t>LC/PC</t>
        </is>
      </c>
      <c r="J436" s="2" t="n"/>
      <c r="K436" s="2" t="n"/>
      <c r="L436" s="2" t="n">
        <v>5</v>
      </c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>
        <f>SUM(J436:U436)*G436</f>
        <v/>
      </c>
      <c r="W436" s="2">
        <f>MAX(J436:U436)</f>
        <v/>
      </c>
      <c r="X436" s="2">
        <f>W436*G436</f>
        <v/>
      </c>
    </row>
    <row r="437">
      <c r="A437" s="2" t="inlineStr">
        <is>
          <t>14-K-B385</t>
        </is>
      </c>
      <c r="B437" s="3" t="inlineStr">
        <is>
          <t>OJC-A1-LC/LC-SM-2.5-PC/PC-DP</t>
        </is>
      </c>
      <c r="C437" s="2" t="inlineStr"/>
      <c r="D437" s="2" t="inlineStr">
        <is>
          <t>a1</t>
        </is>
      </c>
      <c r="E437" s="2" t="inlineStr">
        <is>
          <t>2.0mm</t>
        </is>
      </c>
      <c r="F437" s="2" t="n">
        <v>2</v>
      </c>
      <c r="G437" s="2" t="n">
        <v>2.5</v>
      </c>
      <c r="H437" s="2" t="inlineStr">
        <is>
          <t>LC/PC</t>
        </is>
      </c>
      <c r="I437" s="2" t="inlineStr">
        <is>
          <t>LC/PC</t>
        </is>
      </c>
      <c r="J437" s="2" t="n"/>
      <c r="K437" s="2" t="n"/>
      <c r="L437" s="2" t="n">
        <v>5</v>
      </c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>
        <f>SUM(J437:U437)*G437</f>
        <v/>
      </c>
      <c r="W437" s="2">
        <f>MAX(J437:U437)</f>
        <v/>
      </c>
      <c r="X437" s="2">
        <f>W437*G437</f>
        <v/>
      </c>
    </row>
    <row r="438">
      <c r="A438" s="2" t="inlineStr">
        <is>
          <t>14-K-B386</t>
        </is>
      </c>
      <c r="B438" s="3" t="inlineStr">
        <is>
          <t>OJC-A1-SC/LC-MM(OM3)-18-PC/PC-DP</t>
        </is>
      </c>
      <c r="C438" s="2" t="inlineStr"/>
      <c r="D438" s="2" t="inlineStr">
        <is>
          <t>om3</t>
        </is>
      </c>
      <c r="E438" s="2" t="inlineStr">
        <is>
          <t>2.0mm</t>
        </is>
      </c>
      <c r="F438" s="2" t="n">
        <v>2</v>
      </c>
      <c r="G438" s="2" t="n">
        <v>18</v>
      </c>
      <c r="H438" s="2" t="inlineStr">
        <is>
          <t>SC/PC</t>
        </is>
      </c>
      <c r="I438" s="2" t="inlineStr">
        <is>
          <t>LC/PC</t>
        </is>
      </c>
      <c r="J438" s="2" t="n"/>
      <c r="K438" s="2" t="n"/>
      <c r="L438" s="2" t="n">
        <v>8</v>
      </c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>
        <f>SUM(J438:U438)*G438</f>
        <v/>
      </c>
      <c r="W438" s="2">
        <f>MAX(J438:U438)</f>
        <v/>
      </c>
      <c r="X438" s="2">
        <f>W438*G438</f>
        <v/>
      </c>
    </row>
    <row r="439">
      <c r="A439" s="2" t="inlineStr">
        <is>
          <t>14-K-B387</t>
        </is>
      </c>
      <c r="B439" s="3" t="inlineStr">
        <is>
          <t>OJC-A1-FC/LC-SM-5-PC/PC-DP</t>
        </is>
      </c>
      <c r="C439" s="2" t="inlineStr"/>
      <c r="D439" s="2" t="inlineStr">
        <is>
          <t>a1</t>
        </is>
      </c>
      <c r="E439" s="2" t="inlineStr">
        <is>
          <t>2.0mm</t>
        </is>
      </c>
      <c r="F439" s="2" t="n">
        <v>2</v>
      </c>
      <c r="G439" s="2" t="n">
        <v>5</v>
      </c>
      <c r="H439" s="2" t="inlineStr">
        <is>
          <t>FC/PC</t>
        </is>
      </c>
      <c r="I439" s="2" t="inlineStr">
        <is>
          <t>LC/PC</t>
        </is>
      </c>
      <c r="J439" s="2" t="n"/>
      <c r="K439" s="2" t="n"/>
      <c r="L439" s="2" t="n"/>
      <c r="M439" s="2" t="n">
        <v>40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>
        <f>SUM(J439:U439)*G439</f>
        <v/>
      </c>
      <c r="W439" s="2">
        <f>MAX(J439:U439)</f>
        <v/>
      </c>
      <c r="X439" s="2">
        <f>W439*G439</f>
        <v/>
      </c>
    </row>
    <row r="440">
      <c r="A440" s="2" t="inlineStr">
        <is>
          <t>14-K-B388</t>
        </is>
      </c>
      <c r="B440" s="3" t="inlineStr">
        <is>
          <t>OJC-A1-LC/LC-MM-20-PC/PC-DP</t>
        </is>
      </c>
      <c r="C440" s="2" t="inlineStr"/>
      <c r="D440" s="2" t="inlineStr">
        <is>
          <t>om1</t>
        </is>
      </c>
      <c r="E440" s="2" t="inlineStr">
        <is>
          <t>2.0mm</t>
        </is>
      </c>
      <c r="F440" s="2" t="n">
        <v>2</v>
      </c>
      <c r="G440" s="2" t="n">
        <v>20</v>
      </c>
      <c r="H440" s="2" t="inlineStr">
        <is>
          <t>LC/PC</t>
        </is>
      </c>
      <c r="I440" s="2" t="inlineStr">
        <is>
          <t>LC/PC</t>
        </is>
      </c>
      <c r="J440" s="2" t="n"/>
      <c r="K440" s="2" t="n"/>
      <c r="L440" s="2" t="n"/>
      <c r="M440" s="2" t="n"/>
      <c r="N440" s="2" t="n">
        <v>5</v>
      </c>
      <c r="O440" s="2" t="n"/>
      <c r="P440" s="2" t="n"/>
      <c r="Q440" s="2" t="n"/>
      <c r="R440" s="2" t="n"/>
      <c r="S440" s="2" t="n"/>
      <c r="T440" s="2" t="n"/>
      <c r="U440" s="2" t="n"/>
      <c r="V440" s="2">
        <f>SUM(J440:U440)*G440</f>
        <v/>
      </c>
      <c r="W440" s="2">
        <f>MAX(J440:U440)</f>
        <v/>
      </c>
      <c r="X440" s="2">
        <f>W440*G440</f>
        <v/>
      </c>
    </row>
    <row r="441">
      <c r="A441" s="2" t="inlineStr">
        <is>
          <t>14-K-B389</t>
        </is>
      </c>
      <c r="B441" s="3" t="inlineStr">
        <is>
          <t>OJC-A1-LC/LC-MM-15-PC/PC-DP</t>
        </is>
      </c>
      <c r="C441" s="2" t="inlineStr"/>
      <c r="D441" s="2" t="inlineStr">
        <is>
          <t>om1</t>
        </is>
      </c>
      <c r="E441" s="2" t="inlineStr">
        <is>
          <t>2.0mm</t>
        </is>
      </c>
      <c r="F441" s="2" t="n">
        <v>2</v>
      </c>
      <c r="G441" s="2" t="n">
        <v>15</v>
      </c>
      <c r="H441" s="2" t="inlineStr">
        <is>
          <t>LC/PC</t>
        </is>
      </c>
      <c r="I441" s="2" t="inlineStr">
        <is>
          <t>LC/PC</t>
        </is>
      </c>
      <c r="J441" s="2" t="n"/>
      <c r="K441" s="2" t="n"/>
      <c r="L441" s="2" t="n"/>
      <c r="M441" s="2" t="n"/>
      <c r="N441" s="2" t="n">
        <v>5</v>
      </c>
      <c r="O441" s="2" t="n"/>
      <c r="P441" s="2" t="n"/>
      <c r="Q441" s="2" t="n"/>
      <c r="R441" s="2" t="n"/>
      <c r="S441" s="2" t="n"/>
      <c r="T441" s="2" t="n"/>
      <c r="U441" s="2" t="n"/>
      <c r="V441" s="2">
        <f>SUM(J441:U441)*G441</f>
        <v/>
      </c>
      <c r="W441" s="2">
        <f>MAX(J441:U441)</f>
        <v/>
      </c>
      <c r="X441" s="2">
        <f>W441*G441</f>
        <v/>
      </c>
    </row>
    <row r="442">
      <c r="A442" s="2" t="inlineStr">
        <is>
          <t>14-K-B390</t>
        </is>
      </c>
      <c r="B442" s="3" t="inlineStr">
        <is>
          <t>OJC-A1-FC/LC-SM-55-PC/PC-DP</t>
        </is>
      </c>
      <c r="C442" s="2" t="inlineStr"/>
      <c r="D442" s="2" t="inlineStr">
        <is>
          <t>a1</t>
        </is>
      </c>
      <c r="E442" s="2" t="inlineStr">
        <is>
          <t>2.0mm</t>
        </is>
      </c>
      <c r="F442" s="2" t="n">
        <v>2</v>
      </c>
      <c r="G442" s="2" t="n">
        <v>55</v>
      </c>
      <c r="H442" s="2" t="inlineStr">
        <is>
          <t>FC/PC</t>
        </is>
      </c>
      <c r="I442" s="2" t="inlineStr">
        <is>
          <t>LC/PC</t>
        </is>
      </c>
      <c r="J442" s="2" t="n"/>
      <c r="K442" s="2" t="n"/>
      <c r="L442" s="2" t="n"/>
      <c r="M442" s="2" t="n"/>
      <c r="N442" s="2" t="n">
        <v>2</v>
      </c>
      <c r="O442" s="2" t="n"/>
      <c r="P442" s="2" t="n"/>
      <c r="Q442" s="2" t="n"/>
      <c r="R442" s="2" t="n"/>
      <c r="S442" s="2" t="n"/>
      <c r="T442" s="2" t="n"/>
      <c r="U442" s="2" t="n"/>
      <c r="V442" s="2">
        <f>SUM(J442:U442)*G442</f>
        <v/>
      </c>
      <c r="W442" s="2">
        <f>MAX(J442:U442)</f>
        <v/>
      </c>
      <c r="X442" s="2">
        <f>W442*G442</f>
        <v/>
      </c>
    </row>
    <row r="443">
      <c r="A443" s="2" t="inlineStr">
        <is>
          <t>14-K-B391</t>
        </is>
      </c>
      <c r="B443" s="3" t="inlineStr">
        <is>
          <t>OJC-A1-SC/LC-SM-60-APC/PC-DP</t>
        </is>
      </c>
      <c r="C443" s="2" t="inlineStr"/>
      <c r="D443" s="2" t="inlineStr">
        <is>
          <t>a1</t>
        </is>
      </c>
      <c r="E443" s="2" t="inlineStr">
        <is>
          <t>2.0mm</t>
        </is>
      </c>
      <c r="F443" s="2" t="n">
        <v>2</v>
      </c>
      <c r="G443" s="2" t="n">
        <v>60</v>
      </c>
      <c r="H443" s="2" t="inlineStr">
        <is>
          <t>SC/APC</t>
        </is>
      </c>
      <c r="I443" s="2" t="inlineStr">
        <is>
          <t>LC/PC</t>
        </is>
      </c>
      <c r="J443" s="2" t="n"/>
      <c r="K443" s="2" t="n"/>
      <c r="L443" s="2" t="n"/>
      <c r="M443" s="2" t="n"/>
      <c r="N443" s="2" t="n"/>
      <c r="O443" s="2" t="n">
        <v>10</v>
      </c>
      <c r="P443" s="2" t="n"/>
      <c r="Q443" s="2" t="n"/>
      <c r="R443" s="2" t="n"/>
      <c r="S443" s="2" t="n"/>
      <c r="T443" s="2" t="n"/>
      <c r="U443" s="2" t="n"/>
      <c r="V443" s="2">
        <f>SUM(J443:U443)*G443</f>
        <v/>
      </c>
      <c r="W443" s="2">
        <f>MAX(J443:U443)</f>
        <v/>
      </c>
      <c r="X443" s="2">
        <f>W443*G443</f>
        <v/>
      </c>
    </row>
    <row r="444">
      <c r="A444" s="2" t="inlineStr">
        <is>
          <t>14-K-B392</t>
        </is>
      </c>
      <c r="B444" s="3" t="inlineStr">
        <is>
          <t>OJC-A1-SC/LC-SM-30-APC/PC-DP</t>
        </is>
      </c>
      <c r="C444" s="2" t="inlineStr"/>
      <c r="D444" s="2" t="inlineStr">
        <is>
          <t>a1</t>
        </is>
      </c>
      <c r="E444" s="2" t="inlineStr">
        <is>
          <t>2.0mm</t>
        </is>
      </c>
      <c r="F444" s="2" t="n">
        <v>2</v>
      </c>
      <c r="G444" s="2" t="n">
        <v>30</v>
      </c>
      <c r="H444" s="2" t="inlineStr">
        <is>
          <t>SC/APC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>
        <v>10</v>
      </c>
      <c r="P444" s="2" t="n"/>
      <c r="Q444" s="2" t="n"/>
      <c r="R444" s="2" t="n"/>
      <c r="S444" s="2" t="n"/>
      <c r="T444" s="2" t="n"/>
      <c r="U444" s="2" t="n"/>
      <c r="V444" s="2">
        <f>SUM(J444:U444)*G444</f>
        <v/>
      </c>
      <c r="W444" s="2">
        <f>MAX(J444:U444)</f>
        <v/>
      </c>
      <c r="X444" s="2">
        <f>W444*G444</f>
        <v/>
      </c>
    </row>
    <row r="445">
      <c r="A445" s="2" t="inlineStr">
        <is>
          <t>14-K-B393</t>
        </is>
      </c>
      <c r="B445" s="3" t="inlineStr">
        <is>
          <t>OJC-C2-SC/LC-SM-13-PC/PC-8C</t>
        </is>
      </c>
      <c r="C445" s="2" t="inlineStr">
        <is>
          <t>K9089467</t>
        </is>
      </c>
      <c r="D445" s="2" t="inlineStr">
        <is>
          <t>a1-8c</t>
        </is>
      </c>
      <c r="E445" s="2" t="inlineStr">
        <is>
          <t>2.0mm</t>
        </is>
      </c>
      <c r="F445" s="2" t="n">
        <v>8</v>
      </c>
      <c r="G445" s="2" t="n">
        <v>13</v>
      </c>
      <c r="H445" s="2" t="inlineStr">
        <is>
          <t>SC/PC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>
        <v>1</v>
      </c>
      <c r="R445" s="2" t="n"/>
      <c r="S445" s="2" t="n"/>
      <c r="T445" s="2" t="n"/>
      <c r="U445" s="2" t="n"/>
      <c r="V445" s="2">
        <f>SUM(J445:U445)*G445</f>
        <v/>
      </c>
      <c r="W445" s="2">
        <f>MAX(J445:U445)</f>
        <v/>
      </c>
      <c r="X445" s="2">
        <f>W445*G445</f>
        <v/>
      </c>
    </row>
    <row r="446">
      <c r="A446" s="2" t="inlineStr">
        <is>
          <t>14-K-B394</t>
        </is>
      </c>
      <c r="B446" s="3" t="inlineStr">
        <is>
          <t>OJC-A1-LC/LC-SM-5-PC/PC-DP</t>
        </is>
      </c>
      <c r="C446" s="2" t="inlineStr">
        <is>
          <t>K9089175, CLIP Type</t>
        </is>
      </c>
      <c r="D446" s="2" t="inlineStr">
        <is>
          <t>a1</t>
        </is>
      </c>
      <c r="E446" s="2" t="inlineStr">
        <is>
          <t>2.0mm</t>
        </is>
      </c>
      <c r="F446" s="2" t="n">
        <v>2</v>
      </c>
      <c r="G446" s="2" t="n">
        <v>5</v>
      </c>
      <c r="H446" s="2" t="inlineStr">
        <is>
          <t>LC/PC</t>
        </is>
      </c>
      <c r="I446" s="2" t="inlineStr">
        <is>
          <t>LC/PC</t>
        </is>
      </c>
      <c r="J446" s="2" t="n"/>
      <c r="K446" s="2" t="n"/>
      <c r="L446" s="2" t="n"/>
      <c r="M446" s="2" t="n"/>
      <c r="N446" s="2" t="n"/>
      <c r="O446" s="2" t="n"/>
      <c r="P446" s="2" t="n"/>
      <c r="Q446" s="2" t="n">
        <v>8</v>
      </c>
      <c r="R446" s="2" t="n"/>
      <c r="S446" s="2" t="n"/>
      <c r="T446" s="2" t="n"/>
      <c r="U446" s="2" t="n"/>
      <c r="V446" s="2">
        <f>SUM(J446:U446)*G446</f>
        <v/>
      </c>
      <c r="W446" s="2">
        <f>MAX(J446:U446)</f>
        <v/>
      </c>
      <c r="X446" s="2">
        <f>W446*G446</f>
        <v/>
      </c>
    </row>
    <row r="447">
      <c r="A447" s="2" t="inlineStr">
        <is>
          <t>14-K-B395</t>
        </is>
      </c>
      <c r="B447" s="3" t="inlineStr">
        <is>
          <t>OJC-A1-LC/LC-MM(OM3)-8-PC/PC-DP</t>
        </is>
      </c>
      <c r="C447" s="2" t="inlineStr">
        <is>
          <t>CLIP Type</t>
        </is>
      </c>
      <c r="D447" s="2" t="inlineStr">
        <is>
          <t>om3</t>
        </is>
      </c>
      <c r="E447" s="2" t="inlineStr">
        <is>
          <t>2.0mm</t>
        </is>
      </c>
      <c r="F447" s="2" t="n">
        <v>2</v>
      </c>
      <c r="G447" s="2" t="n">
        <v>8</v>
      </c>
      <c r="H447" s="2" t="inlineStr">
        <is>
          <t>LC/PC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>
        <v>3</v>
      </c>
      <c r="R447" s="2" t="n"/>
      <c r="S447" s="2" t="n"/>
      <c r="T447" s="2" t="n"/>
      <c r="U447" s="2" t="n"/>
      <c r="V447" s="2">
        <f>SUM(J447:U447)*G447</f>
        <v/>
      </c>
      <c r="W447" s="2">
        <f>MAX(J447:U447)</f>
        <v/>
      </c>
      <c r="X447" s="2">
        <f>W447*G447</f>
        <v/>
      </c>
    </row>
    <row r="448">
      <c r="A448" s="2" t="inlineStr">
        <is>
          <t>14-K-B396</t>
        </is>
      </c>
      <c r="B448" s="3" t="inlineStr">
        <is>
          <t>OJC-A1-LC/LC-MM(OM3)-9-PC/PC-DP</t>
        </is>
      </c>
      <c r="C448" s="2" t="inlineStr">
        <is>
          <t>CLIP Type</t>
        </is>
      </c>
      <c r="D448" s="2" t="inlineStr">
        <is>
          <t>om3</t>
        </is>
      </c>
      <c r="E448" s="2" t="inlineStr">
        <is>
          <t>2.0mm</t>
        </is>
      </c>
      <c r="F448" s="2" t="n">
        <v>2</v>
      </c>
      <c r="G448" s="2" t="n">
        <v>9</v>
      </c>
      <c r="H448" s="2" t="inlineStr">
        <is>
          <t>LC/PC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>
        <v>3</v>
      </c>
      <c r="R448" s="2" t="n"/>
      <c r="S448" s="2" t="n"/>
      <c r="T448" s="2" t="n"/>
      <c r="U448" s="2" t="n"/>
      <c r="V448" s="2">
        <f>SUM(J448:U448)*G448</f>
        <v/>
      </c>
      <c r="W448" s="2">
        <f>MAX(J448:U448)</f>
        <v/>
      </c>
      <c r="X448" s="2">
        <f>W448*G448</f>
        <v/>
      </c>
    </row>
    <row r="449">
      <c r="A449" s="2" t="inlineStr">
        <is>
          <t>14-K-B397</t>
        </is>
      </c>
      <c r="B449" s="3" t="inlineStr">
        <is>
          <t>OJC-A1-LC/LC-MM(OM3)-10-PC/PC-DP</t>
        </is>
      </c>
      <c r="C449" s="2" t="inlineStr">
        <is>
          <t>CLIP Type</t>
        </is>
      </c>
      <c r="D449" s="2" t="inlineStr">
        <is>
          <t>om3</t>
        </is>
      </c>
      <c r="E449" s="2" t="inlineStr">
        <is>
          <t>2.0mm</t>
        </is>
      </c>
      <c r="F449" s="2" t="n">
        <v>2</v>
      </c>
      <c r="G449" s="2" t="n">
        <v>10</v>
      </c>
      <c r="H449" s="2" t="inlineStr">
        <is>
          <t>LC/PC</t>
        </is>
      </c>
      <c r="I449" s="2" t="inlineStr">
        <is>
          <t>LC/PC</t>
        </is>
      </c>
      <c r="J449" s="2" t="n"/>
      <c r="K449" s="2" t="n"/>
      <c r="L449" s="2" t="n"/>
      <c r="M449" s="2" t="n"/>
      <c r="N449" s="2" t="n"/>
      <c r="O449" s="2" t="n"/>
      <c r="P449" s="2" t="n"/>
      <c r="Q449" s="2" t="n">
        <v>17</v>
      </c>
      <c r="R449" s="2" t="n"/>
      <c r="S449" s="2" t="n"/>
      <c r="T449" s="2" t="n"/>
      <c r="U449" s="2" t="n"/>
      <c r="V449" s="2">
        <f>SUM(J449:U449)*G449</f>
        <v/>
      </c>
      <c r="W449" s="2">
        <f>MAX(J449:U449)</f>
        <v/>
      </c>
      <c r="X449" s="2">
        <f>W449*G449</f>
        <v/>
      </c>
    </row>
    <row r="450">
      <c r="A450" s="2" t="inlineStr">
        <is>
          <t>14-K-B398</t>
        </is>
      </c>
      <c r="B450" s="3" t="inlineStr">
        <is>
          <t>OJC-A1-LC/LC-MM(OM3)-11-PC/PC-DP</t>
        </is>
      </c>
      <c r="C450" s="2" t="inlineStr">
        <is>
          <t>CLIP Type</t>
        </is>
      </c>
      <c r="D450" s="2" t="inlineStr">
        <is>
          <t>om3</t>
        </is>
      </c>
      <c r="E450" s="2" t="inlineStr">
        <is>
          <t>2.0mm</t>
        </is>
      </c>
      <c r="F450" s="2" t="n">
        <v>2</v>
      </c>
      <c r="G450" s="2" t="n">
        <v>11</v>
      </c>
      <c r="H450" s="2" t="inlineStr">
        <is>
          <t>LC/PC</t>
        </is>
      </c>
      <c r="I450" s="2" t="inlineStr">
        <is>
          <t>LC/PC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>
        <v>31</v>
      </c>
      <c r="R450" s="2" t="n"/>
      <c r="S450" s="2" t="n"/>
      <c r="T450" s="2" t="n"/>
      <c r="U450" s="2" t="n"/>
      <c r="V450" s="2">
        <f>SUM(J450:U450)*G450</f>
        <v/>
      </c>
      <c r="W450" s="2">
        <f>MAX(J450:U450)</f>
        <v/>
      </c>
      <c r="X450" s="2">
        <f>W450*G450</f>
        <v/>
      </c>
    </row>
    <row r="451">
      <c r="A451" s="2" t="inlineStr">
        <is>
          <t>14-K-B399</t>
        </is>
      </c>
      <c r="B451" s="3" t="inlineStr">
        <is>
          <t>OJC-A1-LC/LC-MM(OM3)-12-PC/PC-DP</t>
        </is>
      </c>
      <c r="C451" s="2" t="inlineStr">
        <is>
          <t>CLIP Type</t>
        </is>
      </c>
      <c r="D451" s="2" t="inlineStr">
        <is>
          <t>om3</t>
        </is>
      </c>
      <c r="E451" s="2" t="inlineStr">
        <is>
          <t>2.0mm</t>
        </is>
      </c>
      <c r="F451" s="2" t="n">
        <v>2</v>
      </c>
      <c r="G451" s="2" t="n">
        <v>12</v>
      </c>
      <c r="H451" s="2" t="inlineStr">
        <is>
          <t>LC/PC</t>
        </is>
      </c>
      <c r="I451" s="2" t="inlineStr">
        <is>
          <t>LC/PC</t>
        </is>
      </c>
      <c r="J451" s="2" t="n"/>
      <c r="K451" s="2" t="n"/>
      <c r="L451" s="2" t="n"/>
      <c r="M451" s="2" t="n"/>
      <c r="N451" s="2" t="n"/>
      <c r="O451" s="2" t="n"/>
      <c r="P451" s="2" t="n"/>
      <c r="Q451" s="2" t="n">
        <v>31</v>
      </c>
      <c r="R451" s="2" t="n"/>
      <c r="S451" s="2" t="n"/>
      <c r="T451" s="2" t="n"/>
      <c r="U451" s="2" t="n"/>
      <c r="V451" s="2">
        <f>SUM(J451:U451)*G451</f>
        <v/>
      </c>
      <c r="W451" s="2">
        <f>MAX(J451:U451)</f>
        <v/>
      </c>
      <c r="X451" s="2">
        <f>W451*G451</f>
        <v/>
      </c>
    </row>
    <row r="452">
      <c r="A452" s="2" t="inlineStr">
        <is>
          <t>14-K-B400</t>
        </is>
      </c>
      <c r="B452" s="3" t="inlineStr">
        <is>
          <t>OJC-A1-LC/LC-MM(OM3)-13-PC/PC-DP</t>
        </is>
      </c>
      <c r="C452" s="2" t="inlineStr">
        <is>
          <t>CLIP Type</t>
        </is>
      </c>
      <c r="D452" s="2" t="inlineStr">
        <is>
          <t>om3</t>
        </is>
      </c>
      <c r="E452" s="2" t="inlineStr">
        <is>
          <t>2.0mm</t>
        </is>
      </c>
      <c r="F452" s="2" t="n">
        <v>2</v>
      </c>
      <c r="G452" s="2" t="n">
        <v>13</v>
      </c>
      <c r="H452" s="2" t="inlineStr">
        <is>
          <t>LC/PC</t>
        </is>
      </c>
      <c r="I452" s="2" t="inlineStr">
        <is>
          <t>LC/PC</t>
        </is>
      </c>
      <c r="J452" s="2" t="n"/>
      <c r="K452" s="2" t="n"/>
      <c r="L452" s="2" t="n"/>
      <c r="M452" s="2" t="n"/>
      <c r="N452" s="2" t="n"/>
      <c r="O452" s="2" t="n"/>
      <c r="P452" s="2" t="n"/>
      <c r="Q452" s="2" t="n">
        <v>39</v>
      </c>
      <c r="R452" s="2" t="n"/>
      <c r="S452" s="2" t="n"/>
      <c r="T452" s="2" t="n"/>
      <c r="U452" s="2" t="n"/>
      <c r="V452" s="2">
        <f>SUM(J452:U452)*G452</f>
        <v/>
      </c>
      <c r="W452" s="2">
        <f>MAX(J452:U452)</f>
        <v/>
      </c>
      <c r="X452" s="2">
        <f>W452*G452</f>
        <v/>
      </c>
    </row>
    <row r="453">
      <c r="A453" s="2" t="inlineStr">
        <is>
          <t>14-K-B401</t>
        </is>
      </c>
      <c r="B453" s="3" t="inlineStr">
        <is>
          <t>OJC-A1-LC/LC-MM(OM3)-14-PC/PC-DP</t>
        </is>
      </c>
      <c r="C453" s="2" t="inlineStr">
        <is>
          <t>CLIP Type</t>
        </is>
      </c>
      <c r="D453" s="2" t="inlineStr">
        <is>
          <t>om3</t>
        </is>
      </c>
      <c r="E453" s="2" t="inlineStr">
        <is>
          <t>2.0mm</t>
        </is>
      </c>
      <c r="F453" s="2" t="n">
        <v>2</v>
      </c>
      <c r="G453" s="2" t="n">
        <v>14</v>
      </c>
      <c r="H453" s="2" t="inlineStr">
        <is>
          <t>LC/PC</t>
        </is>
      </c>
      <c r="I453" s="2" t="inlineStr">
        <is>
          <t>LC/PC</t>
        </is>
      </c>
      <c r="J453" s="2" t="n"/>
      <c r="K453" s="2" t="n"/>
      <c r="L453" s="2" t="n"/>
      <c r="M453" s="2" t="n"/>
      <c r="N453" s="2" t="n"/>
      <c r="O453" s="2" t="n"/>
      <c r="P453" s="2" t="n"/>
      <c r="Q453" s="2" t="n">
        <v>77</v>
      </c>
      <c r="R453" s="2" t="n"/>
      <c r="S453" s="2" t="n"/>
      <c r="T453" s="2" t="n"/>
      <c r="U453" s="2" t="n"/>
      <c r="V453" s="2">
        <f>SUM(J453:U453)*G453</f>
        <v/>
      </c>
      <c r="W453" s="2">
        <f>MAX(J453:U453)</f>
        <v/>
      </c>
      <c r="X453" s="2">
        <f>W453*G453</f>
        <v/>
      </c>
    </row>
    <row r="454">
      <c r="A454" s="2" t="inlineStr">
        <is>
          <t>14-K-B402</t>
        </is>
      </c>
      <c r="B454" s="3" t="inlineStr">
        <is>
          <t>OJC-A1-LC/LC-MM(OM3)-15-PC/PC-DP</t>
        </is>
      </c>
      <c r="C454" s="2" t="inlineStr">
        <is>
          <t>CLIP Type</t>
        </is>
      </c>
      <c r="D454" s="2" t="inlineStr">
        <is>
          <t>om3</t>
        </is>
      </c>
      <c r="E454" s="2" t="inlineStr">
        <is>
          <t>2.0mm</t>
        </is>
      </c>
      <c r="F454" s="2" t="n">
        <v>2</v>
      </c>
      <c r="G454" s="2" t="n">
        <v>15</v>
      </c>
      <c r="H454" s="2" t="inlineStr">
        <is>
          <t>LC/PC</t>
        </is>
      </c>
      <c r="I454" s="2" t="inlineStr">
        <is>
          <t>LC/PC</t>
        </is>
      </c>
      <c r="J454" s="2" t="n"/>
      <c r="K454" s="2" t="n"/>
      <c r="L454" s="2" t="n"/>
      <c r="M454" s="2" t="n"/>
      <c r="N454" s="2" t="n"/>
      <c r="O454" s="2" t="n"/>
      <c r="P454" s="2" t="n"/>
      <c r="Q454" s="2" t="n">
        <v>115</v>
      </c>
      <c r="R454" s="2" t="n"/>
      <c r="S454" s="2" t="n"/>
      <c r="T454" s="2" t="n"/>
      <c r="U454" s="2" t="n"/>
      <c r="V454" s="2">
        <f>SUM(J454:U454)*G454</f>
        <v/>
      </c>
      <c r="W454" s="2">
        <f>MAX(J454:U454)</f>
        <v/>
      </c>
      <c r="X454" s="2">
        <f>W454*G454</f>
        <v/>
      </c>
    </row>
    <row r="455">
      <c r="A455" s="2" t="inlineStr">
        <is>
          <t>14-K-B403</t>
        </is>
      </c>
      <c r="B455" s="3" t="inlineStr">
        <is>
          <t>OJC-A1-LC/LC-MM(OM3)-16-PC/PC-DP</t>
        </is>
      </c>
      <c r="C455" s="2" t="inlineStr">
        <is>
          <t>CLIP Type</t>
        </is>
      </c>
      <c r="D455" s="2" t="inlineStr">
        <is>
          <t>om3</t>
        </is>
      </c>
      <c r="E455" s="2" t="inlineStr">
        <is>
          <t>2.0mm</t>
        </is>
      </c>
      <c r="F455" s="2" t="n">
        <v>2</v>
      </c>
      <c r="G455" s="2" t="n">
        <v>16</v>
      </c>
      <c r="H455" s="2" t="inlineStr">
        <is>
          <t>LC/PC</t>
        </is>
      </c>
      <c r="I455" s="2" t="inlineStr">
        <is>
          <t>LC/PC</t>
        </is>
      </c>
      <c r="J455" s="2" t="n"/>
      <c r="K455" s="2" t="n"/>
      <c r="L455" s="2" t="n"/>
      <c r="M455" s="2" t="n"/>
      <c r="N455" s="2" t="n"/>
      <c r="O455" s="2" t="n"/>
      <c r="P455" s="2" t="n"/>
      <c r="Q455" s="2" t="n">
        <v>100</v>
      </c>
      <c r="R455" s="2" t="n"/>
      <c r="S455" s="2" t="n"/>
      <c r="T455" s="2" t="n"/>
      <c r="U455" s="2" t="n"/>
      <c r="V455" s="2">
        <f>SUM(J455:U455)*G455</f>
        <v/>
      </c>
      <c r="W455" s="2">
        <f>MAX(J455:U455)</f>
        <v/>
      </c>
      <c r="X455" s="2">
        <f>W455*G455</f>
        <v/>
      </c>
    </row>
    <row r="456">
      <c r="A456" s="2" t="inlineStr">
        <is>
          <t>14-K-B404</t>
        </is>
      </c>
      <c r="B456" s="3" t="inlineStr">
        <is>
          <t>OJC-A1-LC/LC-MM(OM3)-17-PC/PC-DP</t>
        </is>
      </c>
      <c r="C456" s="2" t="inlineStr">
        <is>
          <t>CLIP Type</t>
        </is>
      </c>
      <c r="D456" s="2" t="inlineStr">
        <is>
          <t>om3</t>
        </is>
      </c>
      <c r="E456" s="2" t="inlineStr">
        <is>
          <t>2.0mm</t>
        </is>
      </c>
      <c r="F456" s="2" t="n">
        <v>2</v>
      </c>
      <c r="G456" s="2" t="n">
        <v>17</v>
      </c>
      <c r="H456" s="2" t="inlineStr">
        <is>
          <t>LC/PC</t>
        </is>
      </c>
      <c r="I456" s="2" t="inlineStr">
        <is>
          <t>LC/PC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>
        <v>74</v>
      </c>
      <c r="R456" s="2" t="n">
        <v>12</v>
      </c>
      <c r="S456" s="2" t="n"/>
      <c r="T456" s="2" t="n"/>
      <c r="U456" s="2" t="n"/>
      <c r="V456" s="2">
        <f>SUM(J456:U456)*G456</f>
        <v/>
      </c>
      <c r="W456" s="2">
        <f>MAX(J456:U456)</f>
        <v/>
      </c>
      <c r="X456" s="2">
        <f>W456*G456</f>
        <v/>
      </c>
    </row>
    <row r="457">
      <c r="A457" s="2" t="inlineStr">
        <is>
          <t>14-K-B405</t>
        </is>
      </c>
      <c r="B457" s="3" t="inlineStr">
        <is>
          <t>OJC-A1-LC/LC-MM(OM3)-25-PC/PC-DP</t>
        </is>
      </c>
      <c r="C457" s="2" t="inlineStr">
        <is>
          <t>CLIP Type</t>
        </is>
      </c>
      <c r="D457" s="2" t="inlineStr">
        <is>
          <t>om3</t>
        </is>
      </c>
      <c r="E457" s="2" t="inlineStr">
        <is>
          <t>2.0mm</t>
        </is>
      </c>
      <c r="F457" s="2" t="n">
        <v>2</v>
      </c>
      <c r="G457" s="2" t="n">
        <v>25</v>
      </c>
      <c r="H457" s="2" t="inlineStr">
        <is>
          <t>LC/PC</t>
        </is>
      </c>
      <c r="I457" s="2" t="inlineStr">
        <is>
          <t>LC/PC</t>
        </is>
      </c>
      <c r="J457" s="2" t="n"/>
      <c r="K457" s="2" t="n"/>
      <c r="L457" s="2" t="n"/>
      <c r="M457" s="2" t="n"/>
      <c r="N457" s="2" t="n"/>
      <c r="O457" s="2" t="n"/>
      <c r="P457" s="2" t="n"/>
      <c r="Q457" s="2" t="n">
        <v>22</v>
      </c>
      <c r="R457" s="2" t="n"/>
      <c r="S457" s="2" t="n"/>
      <c r="T457" s="2" t="n"/>
      <c r="U457" s="2" t="n"/>
      <c r="V457" s="2">
        <f>SUM(J457:U457)*G457</f>
        <v/>
      </c>
      <c r="W457" s="2">
        <f>MAX(J457:U457)</f>
        <v/>
      </c>
      <c r="X457" s="2">
        <f>W457*G457</f>
        <v/>
      </c>
    </row>
    <row r="458">
      <c r="A458" s="2" t="inlineStr">
        <is>
          <t>14-K-B406</t>
        </is>
      </c>
      <c r="B458" s="3" t="inlineStr">
        <is>
          <t>OJC-A1-LC/LC-MM(OM3)-26-PC/PC-DP</t>
        </is>
      </c>
      <c r="C458" s="2" t="inlineStr">
        <is>
          <t>CLIP Type</t>
        </is>
      </c>
      <c r="D458" s="2" t="inlineStr">
        <is>
          <t>om3</t>
        </is>
      </c>
      <c r="E458" s="2" t="inlineStr">
        <is>
          <t>2.0mm</t>
        </is>
      </c>
      <c r="F458" s="2" t="n">
        <v>2</v>
      </c>
      <c r="G458" s="2" t="n">
        <v>26</v>
      </c>
      <c r="H458" s="2" t="inlineStr">
        <is>
          <t>LC/PC</t>
        </is>
      </c>
      <c r="I458" s="2" t="inlineStr">
        <is>
          <t>LC/PC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>
        <v>22</v>
      </c>
      <c r="R458" s="2" t="n"/>
      <c r="S458" s="2" t="n"/>
      <c r="T458" s="2" t="n"/>
      <c r="U458" s="2" t="n"/>
      <c r="V458" s="2">
        <f>SUM(J458:U458)*G458</f>
        <v/>
      </c>
      <c r="W458" s="2">
        <f>MAX(J458:U458)</f>
        <v/>
      </c>
      <c r="X458" s="2">
        <f>W458*G458</f>
        <v/>
      </c>
    </row>
    <row r="459">
      <c r="A459" s="2" t="inlineStr">
        <is>
          <t>14-K-B407</t>
        </is>
      </c>
      <c r="B459" s="3" t="inlineStr">
        <is>
          <t>OJC-A1-LC/LC-MM(OM3)-27-PC/PC-DP</t>
        </is>
      </c>
      <c r="C459" s="2" t="inlineStr">
        <is>
          <t>CLIP Type</t>
        </is>
      </c>
      <c r="D459" s="2" t="inlineStr">
        <is>
          <t>om3</t>
        </is>
      </c>
      <c r="E459" s="2" t="inlineStr">
        <is>
          <t>2.0mm</t>
        </is>
      </c>
      <c r="F459" s="2" t="n">
        <v>2</v>
      </c>
      <c r="G459" s="2" t="n">
        <v>27</v>
      </c>
      <c r="H459" s="2" t="inlineStr">
        <is>
          <t>LC/PC</t>
        </is>
      </c>
      <c r="I459" s="2" t="inlineStr">
        <is>
          <t>LC/PC</t>
        </is>
      </c>
      <c r="J459" s="2" t="n"/>
      <c r="K459" s="2" t="n"/>
      <c r="L459" s="2" t="n"/>
      <c r="M459" s="2" t="n"/>
      <c r="N459" s="2" t="n"/>
      <c r="O459" s="2" t="n"/>
      <c r="P459" s="2" t="n"/>
      <c r="Q459" s="2" t="n">
        <v>22</v>
      </c>
      <c r="R459" s="2" t="n"/>
      <c r="S459" s="2" t="n"/>
      <c r="T459" s="2" t="n"/>
      <c r="U459" s="2" t="n"/>
      <c r="V459" s="2">
        <f>SUM(J459:U459)*G459</f>
        <v/>
      </c>
      <c r="W459" s="2">
        <f>MAX(J459:U459)</f>
        <v/>
      </c>
      <c r="X459" s="2">
        <f>W459*G459</f>
        <v/>
      </c>
    </row>
    <row r="460">
      <c r="A460" s="2" t="inlineStr">
        <is>
          <t>14-K-B408</t>
        </is>
      </c>
      <c r="B460" s="3" t="inlineStr">
        <is>
          <t>OJC-A1-LC/LC-MM(OM3)-28-PC/PC-DP</t>
        </is>
      </c>
      <c r="C460" s="2" t="inlineStr">
        <is>
          <t>CLIP Type</t>
        </is>
      </c>
      <c r="D460" s="2" t="inlineStr">
        <is>
          <t>om3</t>
        </is>
      </c>
      <c r="E460" s="2" t="inlineStr">
        <is>
          <t>2.0mm</t>
        </is>
      </c>
      <c r="F460" s="2" t="n">
        <v>2</v>
      </c>
      <c r="G460" s="2" t="n">
        <v>28</v>
      </c>
      <c r="H460" s="2" t="inlineStr">
        <is>
          <t>LC/PC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/>
      <c r="O460" s="2" t="n"/>
      <c r="P460" s="2" t="n"/>
      <c r="Q460" s="2" t="n">
        <v>22</v>
      </c>
      <c r="R460" s="2" t="n"/>
      <c r="S460" s="2" t="n"/>
      <c r="T460" s="2" t="n"/>
      <c r="U460" s="2" t="n"/>
      <c r="V460" s="2">
        <f>SUM(J460:U460)*G460</f>
        <v/>
      </c>
      <c r="W460" s="2">
        <f>MAX(J460:U460)</f>
        <v/>
      </c>
      <c r="X460" s="2">
        <f>W460*G460</f>
        <v/>
      </c>
    </row>
    <row r="461">
      <c r="A461" s="2" t="inlineStr">
        <is>
          <t>14-K-B409</t>
        </is>
      </c>
      <c r="B461" s="3" t="inlineStr">
        <is>
          <t>OJC-A1-ST/LC-MM-15-PC/PC-DP</t>
        </is>
      </c>
      <c r="C461" s="2" t="inlineStr"/>
      <c r="D461" s="2" t="inlineStr">
        <is>
          <t>om1</t>
        </is>
      </c>
      <c r="E461" s="2" t="inlineStr">
        <is>
          <t>2.0mm</t>
        </is>
      </c>
      <c r="F461" s="2" t="n">
        <v>2</v>
      </c>
      <c r="G461" s="2" t="n">
        <v>15</v>
      </c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>
        <v>28</v>
      </c>
      <c r="R461" s="2" t="n"/>
      <c r="S461" s="2" t="n"/>
      <c r="T461" s="2" t="n"/>
      <c r="U461" s="2" t="n"/>
      <c r="V461" s="2">
        <f>SUM(J461:U461)*G461</f>
        <v/>
      </c>
      <c r="W461" s="2">
        <f>MAX(J461:U461)</f>
        <v/>
      </c>
      <c r="X461" s="2">
        <f>W461*G461</f>
        <v/>
      </c>
    </row>
    <row r="462">
      <c r="A462" s="2" t="inlineStr">
        <is>
          <t>14-K-B414</t>
        </is>
      </c>
      <c r="B462" s="3" t="inlineStr">
        <is>
          <t>OJC-A1-SC/LC-MM-12-PC/PC-DP</t>
        </is>
      </c>
      <c r="C462" s="2" t="inlineStr"/>
      <c r="D462" s="2" t="inlineStr">
        <is>
          <t>om1</t>
        </is>
      </c>
      <c r="E462" s="2" t="inlineStr">
        <is>
          <t>2.0mm</t>
        </is>
      </c>
      <c r="F462" s="2" t="n">
        <v>2</v>
      </c>
      <c r="G462" s="2" t="n">
        <v>12</v>
      </c>
      <c r="H462" s="2" t="inlineStr">
        <is>
          <t>SC/PC</t>
        </is>
      </c>
      <c r="I462" s="2" t="inlineStr">
        <is>
          <t>LC/PC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>
        <v>1</v>
      </c>
      <c r="T462" s="2" t="n"/>
      <c r="U462" s="2" t="n"/>
      <c r="V462" s="2">
        <f>SUM(J462:U462)*G462</f>
        <v/>
      </c>
      <c r="W462" s="2">
        <f>MAX(J462:U462)</f>
        <v/>
      </c>
      <c r="X462" s="2">
        <f>W462*G462</f>
        <v/>
      </c>
    </row>
    <row r="463">
      <c r="A463" s="2" t="inlineStr">
        <is>
          <t>14-K-B415</t>
        </is>
      </c>
      <c r="B463" s="3" t="inlineStr">
        <is>
          <t>OJC-A1-LC/LC-SM-35-PC/PC-DP</t>
        </is>
      </c>
      <c r="C463" s="2" t="inlineStr">
        <is>
          <t>LC/DP CLIP Type</t>
        </is>
      </c>
      <c r="D463" s="2" t="inlineStr">
        <is>
          <t>a1</t>
        </is>
      </c>
      <c r="E463" s="2" t="inlineStr">
        <is>
          <t>2.0mm</t>
        </is>
      </c>
      <c r="F463" s="2" t="n">
        <v>2</v>
      </c>
      <c r="G463" s="2" t="n">
        <v>35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>
        <v>30</v>
      </c>
      <c r="T463" s="2" t="n"/>
      <c r="U463" s="2" t="n"/>
      <c r="V463" s="2">
        <f>SUM(J463:U463)*G463</f>
        <v/>
      </c>
      <c r="W463" s="2">
        <f>MAX(J463:U463)</f>
        <v/>
      </c>
      <c r="X463" s="2">
        <f>W463*G463</f>
        <v/>
      </c>
    </row>
    <row r="464">
      <c r="A464" s="2" t="inlineStr">
        <is>
          <t>14-K-B416</t>
        </is>
      </c>
      <c r="B464" s="3" t="inlineStr">
        <is>
          <t>OJC-A1-LC/LC-SM-40-PC/PC-DP</t>
        </is>
      </c>
      <c r="C464" s="2" t="inlineStr">
        <is>
          <t>LC/DP CLIP Type</t>
        </is>
      </c>
      <c r="D464" s="2" t="inlineStr">
        <is>
          <t>a1</t>
        </is>
      </c>
      <c r="E464" s="2" t="inlineStr">
        <is>
          <t>2.0mm</t>
        </is>
      </c>
      <c r="F464" s="2" t="n">
        <v>2</v>
      </c>
      <c r="G464" s="2" t="n">
        <v>40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>
        <v>20</v>
      </c>
      <c r="T464" s="2" t="n"/>
      <c r="U464" s="2" t="n"/>
      <c r="V464" s="2">
        <f>SUM(J464:U464)*G464</f>
        <v/>
      </c>
      <c r="W464" s="2">
        <f>MAX(J464:U464)</f>
        <v/>
      </c>
      <c r="X464" s="2">
        <f>W464*G464</f>
        <v/>
      </c>
    </row>
    <row r="465">
      <c r="A465" s="2" t="inlineStr">
        <is>
          <t>14-K-B417</t>
        </is>
      </c>
      <c r="B465" s="3" t="inlineStr">
        <is>
          <t>OJC-A1-LC/LC-MM(OM3)-160-PC/PC-DP</t>
        </is>
      </c>
      <c r="C465" s="2" t="inlineStr"/>
      <c r="D465" s="2" t="inlineStr">
        <is>
          <t>om3</t>
        </is>
      </c>
      <c r="E465" s="2" t="inlineStr">
        <is>
          <t>2.0mm</t>
        </is>
      </c>
      <c r="F465" s="2" t="n">
        <v>2</v>
      </c>
      <c r="G465" s="2" t="n">
        <v>160</v>
      </c>
      <c r="H465" s="2" t="inlineStr">
        <is>
          <t>LC/PC</t>
        </is>
      </c>
      <c r="I465" s="2" t="inlineStr">
        <is>
          <t>LC/PC</t>
        </is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>
        <v>1</v>
      </c>
      <c r="U465" s="2" t="n"/>
      <c r="V465" s="2">
        <f>SUM(J465:U465)*G465</f>
        <v/>
      </c>
      <c r="W465" s="2">
        <f>MAX(J465:U465)</f>
        <v/>
      </c>
      <c r="X465" s="2">
        <f>W465*G465</f>
        <v/>
      </c>
    </row>
    <row r="466">
      <c r="A466" s="2" t="inlineStr">
        <is>
          <t>14-K-B418</t>
        </is>
      </c>
      <c r="B466" s="3" t="inlineStr">
        <is>
          <t>OJC-A1-SC/LC-SM-45-PC/PC-DP</t>
        </is>
      </c>
      <c r="C466" s="2" t="inlineStr">
        <is>
          <t>K9089169_적색</t>
        </is>
      </c>
      <c r="D466" s="2" t="inlineStr">
        <is>
          <t>a1-적</t>
        </is>
      </c>
      <c r="E466" s="2" t="inlineStr">
        <is>
          <t>2.0mm</t>
        </is>
      </c>
      <c r="F466" s="2" t="n">
        <v>2</v>
      </c>
      <c r="G466" s="2" t="n">
        <v>45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>
        <v>5</v>
      </c>
      <c r="U466" s="2" t="n"/>
      <c r="V466" s="2">
        <f>SUM(J466:U466)*G466</f>
        <v/>
      </c>
      <c r="W466" s="2">
        <f>MAX(J466:U466)</f>
        <v/>
      </c>
      <c r="X466" s="2">
        <f>W466*G466</f>
        <v/>
      </c>
    </row>
    <row r="467">
      <c r="A467" s="2" t="inlineStr">
        <is>
          <t>14-K-B419</t>
        </is>
      </c>
      <c r="B467" s="3" t="inlineStr">
        <is>
          <t>OJC-A1-SC/LC-SM-31-PC/PC-SP</t>
        </is>
      </c>
      <c r="C467" s="2" t="inlineStr"/>
      <c r="D467" s="2" t="inlineStr">
        <is>
          <t>a1</t>
        </is>
      </c>
      <c r="E467" s="2" t="inlineStr">
        <is>
          <t>2.0mm</t>
        </is>
      </c>
      <c r="F467" s="2" t="n">
        <v>1</v>
      </c>
      <c r="G467" s="2" t="n">
        <v>31</v>
      </c>
      <c r="H467" s="2" t="inlineStr">
        <is>
          <t>SC/PC</t>
        </is>
      </c>
      <c r="I467" s="2" t="inlineStr">
        <is>
          <t>LC/PC</t>
        </is>
      </c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>
        <v>5</v>
      </c>
      <c r="V467" s="2">
        <f>SUM(J467:U467)*G467</f>
        <v/>
      </c>
      <c r="W467" s="2">
        <f>MAX(J467:U467)</f>
        <v/>
      </c>
      <c r="X467" s="2">
        <f>W467*G467</f>
        <v/>
      </c>
    </row>
    <row r="468">
      <c r="A468" s="2" t="inlineStr">
        <is>
          <t>14-K-B420</t>
        </is>
      </c>
      <c r="B468" s="3" t="inlineStr">
        <is>
          <t>OJC-A1-SC/LC-SM-33-PC/PC-SP</t>
        </is>
      </c>
      <c r="C468" s="2" t="inlineStr"/>
      <c r="D468" s="2" t="inlineStr">
        <is>
          <t>a1</t>
        </is>
      </c>
      <c r="E468" s="2" t="inlineStr">
        <is>
          <t>2.0mm</t>
        </is>
      </c>
      <c r="F468" s="2" t="n">
        <v>1</v>
      </c>
      <c r="G468" s="2" t="n">
        <v>33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>
        <v>5</v>
      </c>
      <c r="V468" s="2">
        <f>SUM(J468:U468)*G468</f>
        <v/>
      </c>
      <c r="W468" s="2">
        <f>MAX(J468:U468)</f>
        <v/>
      </c>
      <c r="X468" s="2">
        <f>W468*G468</f>
        <v/>
      </c>
    </row>
    <row r="469">
      <c r="A469" s="2" t="inlineStr">
        <is>
          <t>14-K-B421</t>
        </is>
      </c>
      <c r="B469" s="3" t="inlineStr">
        <is>
          <t>OJC-A1-SC/LC-SM-34-PC/PC-SP</t>
        </is>
      </c>
      <c r="C469" s="2" t="inlineStr"/>
      <c r="D469" s="2" t="inlineStr">
        <is>
          <t>a1</t>
        </is>
      </c>
      <c r="E469" s="2" t="inlineStr">
        <is>
          <t>2.0mm</t>
        </is>
      </c>
      <c r="F469" s="2" t="n">
        <v>1</v>
      </c>
      <c r="G469" s="2" t="n">
        <v>34</v>
      </c>
      <c r="H469" s="2" t="inlineStr">
        <is>
          <t>SC/PC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>
        <v>5</v>
      </c>
      <c r="V469" s="2">
        <f>SUM(J469:U469)*G469</f>
        <v/>
      </c>
      <c r="W469" s="2">
        <f>MAX(J469:U469)</f>
        <v/>
      </c>
      <c r="X469" s="2">
        <f>W469*G469</f>
        <v/>
      </c>
    </row>
    <row r="470">
      <c r="A470" s="2" t="inlineStr">
        <is>
          <t>14-K-B422</t>
        </is>
      </c>
      <c r="B470" s="3" t="inlineStr">
        <is>
          <t>OJC-A1-LC/LC-SM-12-PC/PC-SP</t>
        </is>
      </c>
      <c r="C470" s="2" t="inlineStr"/>
      <c r="D470" s="2" t="inlineStr">
        <is>
          <t>a1</t>
        </is>
      </c>
      <c r="E470" s="2" t="inlineStr">
        <is>
          <t>2.0mm</t>
        </is>
      </c>
      <c r="F470" s="2" t="n">
        <v>1</v>
      </c>
      <c r="G470" s="2" t="n">
        <v>12</v>
      </c>
      <c r="H470" s="2" t="inlineStr">
        <is>
          <t>LC/PC</t>
        </is>
      </c>
      <c r="I470" s="2" t="inlineStr">
        <is>
          <t>LC/PC</t>
        </is>
      </c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>
        <v>10</v>
      </c>
      <c r="V470" s="2">
        <f>SUM(J470:U470)*G470</f>
        <v/>
      </c>
      <c r="W470" s="2">
        <f>MAX(J470:U470)</f>
        <v/>
      </c>
      <c r="X470" s="2">
        <f>W470*G470</f>
        <v/>
      </c>
    </row>
    <row r="471">
      <c r="A471" s="2" t="inlineStr">
        <is>
          <t>14-K-B423</t>
        </is>
      </c>
      <c r="B471" s="3" t="inlineStr">
        <is>
          <t>OJC-A1-LC/LC-SM-13-PC/PC-SP</t>
        </is>
      </c>
      <c r="C471" s="2" t="inlineStr"/>
      <c r="D471" s="2" t="inlineStr">
        <is>
          <t>a1</t>
        </is>
      </c>
      <c r="E471" s="2" t="inlineStr">
        <is>
          <t>2.0mm</t>
        </is>
      </c>
      <c r="F471" s="2" t="n">
        <v>1</v>
      </c>
      <c r="G471" s="2" t="n">
        <v>13</v>
      </c>
      <c r="H471" s="2" t="inlineStr">
        <is>
          <t>LC/PC</t>
        </is>
      </c>
      <c r="I471" s="2" t="inlineStr">
        <is>
          <t>LC/PC</t>
        </is>
      </c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>
        <v>10</v>
      </c>
      <c r="V471" s="2">
        <f>SUM(J471:U471)*G471</f>
        <v/>
      </c>
      <c r="W471" s="2">
        <f>MAX(J471:U471)</f>
        <v/>
      </c>
      <c r="X471" s="2">
        <f>W471*G471</f>
        <v/>
      </c>
    </row>
    <row r="472">
      <c r="A472" s="2" t="inlineStr">
        <is>
          <t>14-K-B424</t>
        </is>
      </c>
      <c r="B472" s="3" t="inlineStr">
        <is>
          <t>OJC-A1-LC/LC-SM-14-PC/PC-SP</t>
        </is>
      </c>
      <c r="C472" s="2" t="inlineStr"/>
      <c r="D472" s="2" t="inlineStr">
        <is>
          <t>a1</t>
        </is>
      </c>
      <c r="E472" s="2" t="inlineStr">
        <is>
          <t>2.0mm</t>
        </is>
      </c>
      <c r="F472" s="2" t="n">
        <v>1</v>
      </c>
      <c r="G472" s="2" t="n">
        <v>14</v>
      </c>
      <c r="H472" s="2" t="inlineStr">
        <is>
          <t>LC/PC</t>
        </is>
      </c>
      <c r="I472" s="2" t="inlineStr">
        <is>
          <t>LC/PC</t>
        </is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>
        <v>10</v>
      </c>
      <c r="V472" s="2">
        <f>SUM(J472:U472)*G472</f>
        <v/>
      </c>
      <c r="W472" s="2">
        <f>MAX(J472:U472)</f>
        <v/>
      </c>
      <c r="X472" s="2">
        <f>W472*G472</f>
        <v/>
      </c>
    </row>
    <row r="473">
      <c r="A473" s="2" t="inlineStr">
        <is>
          <t>14-K-B425</t>
        </is>
      </c>
      <c r="B473" s="3" t="inlineStr">
        <is>
          <t>OJC-A1-LC/LC-SM-16-PC/PC-SP</t>
        </is>
      </c>
      <c r="C473" s="2" t="inlineStr"/>
      <c r="D473" s="2" t="inlineStr">
        <is>
          <t>a1</t>
        </is>
      </c>
      <c r="E473" s="2" t="inlineStr">
        <is>
          <t>2.0mm</t>
        </is>
      </c>
      <c r="F473" s="2" t="n">
        <v>1</v>
      </c>
      <c r="G473" s="2" t="n">
        <v>16</v>
      </c>
      <c r="H473" s="2" t="inlineStr">
        <is>
          <t>LC/PC</t>
        </is>
      </c>
      <c r="I473" s="2" t="inlineStr">
        <is>
          <t>LC/PC</t>
        </is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>
        <v>20</v>
      </c>
      <c r="V473" s="2">
        <f>SUM(J473:U473)*G473</f>
        <v/>
      </c>
      <c r="W473" s="2">
        <f>MAX(J473:U473)</f>
        <v/>
      </c>
      <c r="X473" s="2">
        <f>W473*G473</f>
        <v/>
      </c>
    </row>
    <row r="474">
      <c r="A474" s="2" t="inlineStr">
        <is>
          <t>14-K-B426</t>
        </is>
      </c>
      <c r="B474" s="3" t="inlineStr">
        <is>
          <t>OJC-A1-LC/LC-SM-18-PC/PC-SP</t>
        </is>
      </c>
      <c r="C474" s="2" t="inlineStr"/>
      <c r="D474" s="2" t="inlineStr">
        <is>
          <t>a1</t>
        </is>
      </c>
      <c r="E474" s="2" t="inlineStr">
        <is>
          <t>2.0mm</t>
        </is>
      </c>
      <c r="F474" s="2" t="n">
        <v>1</v>
      </c>
      <c r="G474" s="2" t="n">
        <v>18</v>
      </c>
      <c r="H474" s="2" t="inlineStr">
        <is>
          <t>LC/PC</t>
        </is>
      </c>
      <c r="I474" s="2" t="inlineStr">
        <is>
          <t>LC/PC</t>
        </is>
      </c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>
        <v>20</v>
      </c>
      <c r="V474" s="2">
        <f>SUM(J474:U474)*G474</f>
        <v/>
      </c>
      <c r="W474" s="2">
        <f>MAX(J474:U474)</f>
        <v/>
      </c>
      <c r="X474" s="2">
        <f>W474*G474</f>
        <v/>
      </c>
    </row>
    <row r="475">
      <c r="A475" s="2" t="inlineStr">
        <is>
          <t>14-K-B427</t>
        </is>
      </c>
      <c r="B475" s="3" t="inlineStr">
        <is>
          <t>OJC-A1-LC/LC-SM-19-PC/PC-SP</t>
        </is>
      </c>
      <c r="C475" s="2" t="inlineStr"/>
      <c r="D475" s="2" t="inlineStr">
        <is>
          <t>a1</t>
        </is>
      </c>
      <c r="E475" s="2" t="inlineStr">
        <is>
          <t>2.0mm</t>
        </is>
      </c>
      <c r="F475" s="2" t="n">
        <v>1</v>
      </c>
      <c r="G475" s="2" t="n">
        <v>19</v>
      </c>
      <c r="H475" s="2" t="inlineStr">
        <is>
          <t>LC/PC</t>
        </is>
      </c>
      <c r="I475" s="2" t="inlineStr">
        <is>
          <t>LC/PC</t>
        </is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>
        <v>20</v>
      </c>
      <c r="V475" s="2">
        <f>SUM(J475:U475)*G475</f>
        <v/>
      </c>
      <c r="W475" s="2">
        <f>MAX(J475:U475)</f>
        <v/>
      </c>
      <c r="X475" s="2">
        <f>W475*G475</f>
        <v/>
      </c>
    </row>
    <row r="476">
      <c r="A476" s="2" t="inlineStr">
        <is>
          <t>14-K-B428</t>
        </is>
      </c>
      <c r="B476" s="3" t="inlineStr">
        <is>
          <t>OJC-A1-LC/LC-SM-21-PC/PC-SP</t>
        </is>
      </c>
      <c r="C476" s="2" t="inlineStr"/>
      <c r="D476" s="2" t="inlineStr">
        <is>
          <t>a1</t>
        </is>
      </c>
      <c r="E476" s="2" t="inlineStr">
        <is>
          <t>2.0mm</t>
        </is>
      </c>
      <c r="F476" s="2" t="n">
        <v>1</v>
      </c>
      <c r="G476" s="2" t="n">
        <v>21</v>
      </c>
      <c r="H476" s="2" t="inlineStr">
        <is>
          <t>LC/PC</t>
        </is>
      </c>
      <c r="I476" s="2" t="inlineStr">
        <is>
          <t>LC/PC</t>
        </is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>
        <v>20</v>
      </c>
      <c r="V476" s="2">
        <f>SUM(J476:U476)*G476</f>
        <v/>
      </c>
      <c r="W476" s="2">
        <f>MAX(J476:U476)</f>
        <v/>
      </c>
      <c r="X476" s="2">
        <f>W476*G476</f>
        <v/>
      </c>
    </row>
    <row r="477">
      <c r="A477" s="2" t="inlineStr">
        <is>
          <t>14-K-B429</t>
        </is>
      </c>
      <c r="B477" s="3" t="inlineStr">
        <is>
          <t>OJC-A1-LC/LC-SM-22-PC/PC-SP</t>
        </is>
      </c>
      <c r="C477" s="2" t="inlineStr"/>
      <c r="D477" s="2" t="inlineStr">
        <is>
          <t>a1</t>
        </is>
      </c>
      <c r="E477" s="2" t="inlineStr">
        <is>
          <t>2.0mm</t>
        </is>
      </c>
      <c r="F477" s="2" t="n">
        <v>1</v>
      </c>
      <c r="G477" s="2" t="n">
        <v>22</v>
      </c>
      <c r="H477" s="2" t="inlineStr">
        <is>
          <t>LC/PC</t>
        </is>
      </c>
      <c r="I477" s="2" t="inlineStr">
        <is>
          <t>LC/PC</t>
        </is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>
        <v>20</v>
      </c>
      <c r="V477" s="2">
        <f>SUM(J477:U477)*G477</f>
        <v/>
      </c>
      <c r="W477" s="2">
        <f>MAX(J477:U477)</f>
        <v/>
      </c>
      <c r="X477" s="2">
        <f>W477*G477</f>
        <v/>
      </c>
    </row>
    <row r="478">
      <c r="A478" s="2" t="inlineStr">
        <is>
          <t>14-K-B430</t>
        </is>
      </c>
      <c r="B478" s="3" t="inlineStr">
        <is>
          <t>OJC-A1-LC/LC-SM-23-PC/PC-SP</t>
        </is>
      </c>
      <c r="C478" s="2" t="inlineStr"/>
      <c r="D478" s="2" t="inlineStr">
        <is>
          <t>a1</t>
        </is>
      </c>
      <c r="E478" s="2" t="inlineStr">
        <is>
          <t>2.0mm</t>
        </is>
      </c>
      <c r="F478" s="2" t="n">
        <v>1</v>
      </c>
      <c r="G478" s="2" t="n">
        <v>23</v>
      </c>
      <c r="H478" s="2" t="inlineStr">
        <is>
          <t>LC/PC</t>
        </is>
      </c>
      <c r="I478" s="2" t="inlineStr">
        <is>
          <t>LC/PC</t>
        </is>
      </c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>
        <v>20</v>
      </c>
      <c r="V478" s="2">
        <f>SUM(J478:U478)*G478</f>
        <v/>
      </c>
      <c r="W478" s="2">
        <f>MAX(J478:U478)</f>
        <v/>
      </c>
      <c r="X478" s="2">
        <f>W478*G478</f>
        <v/>
      </c>
    </row>
    <row r="479">
      <c r="A479" s="2" t="inlineStr">
        <is>
          <t>14-K-B431</t>
        </is>
      </c>
      <c r="B479" s="3" t="inlineStr">
        <is>
          <t>OJC-A1-LC/LC-SM-24-PC/PC-SP</t>
        </is>
      </c>
      <c r="C479" s="2" t="inlineStr"/>
      <c r="D479" s="2" t="inlineStr">
        <is>
          <t>a1</t>
        </is>
      </c>
      <c r="E479" s="2" t="inlineStr">
        <is>
          <t>2.0mm</t>
        </is>
      </c>
      <c r="F479" s="2" t="n">
        <v>1</v>
      </c>
      <c r="G479" s="2" t="n">
        <v>24</v>
      </c>
      <c r="H479" s="2" t="inlineStr">
        <is>
          <t>LC/PC</t>
        </is>
      </c>
      <c r="I479" s="2" t="inlineStr">
        <is>
          <t>LC/PC</t>
        </is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>
        <v>20</v>
      </c>
      <c r="V479" s="2">
        <f>SUM(J479:U479)*G479</f>
        <v/>
      </c>
      <c r="W479" s="2">
        <f>MAX(J479:U479)</f>
        <v/>
      </c>
      <c r="X479" s="2">
        <f>W479*G479</f>
        <v/>
      </c>
    </row>
    <row r="480">
      <c r="A480" s="2" t="inlineStr">
        <is>
          <t>14-K-B432</t>
        </is>
      </c>
      <c r="B480" s="3" t="inlineStr">
        <is>
          <t>OJC-A1-LC/LC-SM-26-PC/PC-SP</t>
        </is>
      </c>
      <c r="C480" s="2" t="inlineStr"/>
      <c r="D480" s="2" t="inlineStr">
        <is>
          <t>a1</t>
        </is>
      </c>
      <c r="E480" s="2" t="inlineStr">
        <is>
          <t>2.0mm</t>
        </is>
      </c>
      <c r="F480" s="2" t="n">
        <v>1</v>
      </c>
      <c r="G480" s="2" t="n">
        <v>26</v>
      </c>
      <c r="H480" s="2" t="inlineStr">
        <is>
          <t>LC/PC</t>
        </is>
      </c>
      <c r="I480" s="2" t="inlineStr">
        <is>
          <t>LC/PC</t>
        </is>
      </c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>
        <v>10</v>
      </c>
      <c r="V480" s="2">
        <f>SUM(J480:U480)*G480</f>
        <v/>
      </c>
      <c r="W480" s="2">
        <f>MAX(J480:U480)</f>
        <v/>
      </c>
      <c r="X480" s="2">
        <f>W480*G480</f>
        <v/>
      </c>
    </row>
    <row r="481">
      <c r="A481" s="2" t="inlineStr">
        <is>
          <t>14-K-B433</t>
        </is>
      </c>
      <c r="B481" s="3" t="inlineStr">
        <is>
          <t>OJC-A1-LC/LC-SM-27-PC/PC-SP</t>
        </is>
      </c>
      <c r="C481" s="2" t="inlineStr"/>
      <c r="D481" s="2" t="inlineStr">
        <is>
          <t>a1</t>
        </is>
      </c>
      <c r="E481" s="2" t="inlineStr">
        <is>
          <t>2.0mm</t>
        </is>
      </c>
      <c r="F481" s="2" t="n">
        <v>1</v>
      </c>
      <c r="G481" s="2" t="n">
        <v>27</v>
      </c>
      <c r="H481" s="2" t="inlineStr">
        <is>
          <t>LC/PC</t>
        </is>
      </c>
      <c r="I481" s="2" t="inlineStr">
        <is>
          <t>LC/PC</t>
        </is>
      </c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>
        <v>10</v>
      </c>
      <c r="V481" s="2">
        <f>SUM(J481:U481)*G481</f>
        <v/>
      </c>
      <c r="W481" s="2">
        <f>MAX(J481:U481)</f>
        <v/>
      </c>
      <c r="X481" s="2">
        <f>W481*G481</f>
        <v/>
      </c>
    </row>
    <row r="482">
      <c r="A482" s="2" t="inlineStr">
        <is>
          <t>14-K-B434</t>
        </is>
      </c>
      <c r="B482" s="3" t="inlineStr">
        <is>
          <t>OJC-A1-LC/LC-SM-28-PC/PC-SP</t>
        </is>
      </c>
      <c r="C482" s="2" t="inlineStr"/>
      <c r="D482" s="2" t="inlineStr">
        <is>
          <t>a1</t>
        </is>
      </c>
      <c r="E482" s="2" t="inlineStr">
        <is>
          <t>2.0mm</t>
        </is>
      </c>
      <c r="F482" s="2" t="n">
        <v>1</v>
      </c>
      <c r="G482" s="2" t="n">
        <v>28</v>
      </c>
      <c r="H482" s="2" t="inlineStr">
        <is>
          <t>LC/PC</t>
        </is>
      </c>
      <c r="I482" s="2" t="inlineStr">
        <is>
          <t>LC/PC</t>
        </is>
      </c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>
        <v>10</v>
      </c>
      <c r="V482" s="2">
        <f>SUM(J482:U482)*G482</f>
        <v/>
      </c>
      <c r="W482" s="2">
        <f>MAX(J482:U482)</f>
        <v/>
      </c>
      <c r="X482" s="2">
        <f>W482*G482</f>
        <v/>
      </c>
    </row>
    <row r="483">
      <c r="A483" s="2" t="inlineStr">
        <is>
          <t>14-K-B435</t>
        </is>
      </c>
      <c r="B483" s="3" t="inlineStr">
        <is>
          <t>OJC-A1-LC/LC-SM-29-PC/PC-SP</t>
        </is>
      </c>
      <c r="C483" s="2" t="inlineStr"/>
      <c r="D483" s="2" t="inlineStr">
        <is>
          <t>a1</t>
        </is>
      </c>
      <c r="E483" s="2" t="inlineStr">
        <is>
          <t>2.0mm</t>
        </is>
      </c>
      <c r="F483" s="2" t="n">
        <v>1</v>
      </c>
      <c r="G483" s="2" t="n">
        <v>29</v>
      </c>
      <c r="H483" s="2" t="inlineStr">
        <is>
          <t>LC/PC</t>
        </is>
      </c>
      <c r="I483" s="2" t="inlineStr">
        <is>
          <t>LC/PC</t>
        </is>
      </c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>
        <v>10</v>
      </c>
      <c r="V483" s="2">
        <f>SUM(J483:U483)*G483</f>
        <v/>
      </c>
      <c r="W483" s="2">
        <f>MAX(J483:U483)</f>
        <v/>
      </c>
      <c r="X483" s="2">
        <f>W483*G483</f>
        <v/>
      </c>
    </row>
    <row r="484">
      <c r="A484" s="2" t="inlineStr">
        <is>
          <t>14-K-B440</t>
        </is>
      </c>
      <c r="B484" s="3" t="inlineStr">
        <is>
          <t>OJC-A1-SC/SC-SM-10-PC/PC-SP</t>
        </is>
      </c>
      <c r="C484" s="2" t="inlineStr">
        <is>
          <t>K9089003_포앤티</t>
        </is>
      </c>
      <c r="D484" s="2" t="inlineStr">
        <is>
          <t>a1</t>
        </is>
      </c>
      <c r="E484" s="2" t="inlineStr">
        <is>
          <t>2.0mm</t>
        </is>
      </c>
      <c r="F484" s="2" t="n">
        <v>1</v>
      </c>
      <c r="G484" s="2" t="n">
        <v>10</v>
      </c>
      <c r="H484" s="2" t="inlineStr">
        <is>
          <t>SC/PC</t>
        </is>
      </c>
      <c r="I484" s="2" t="inlineStr">
        <is>
          <t>SC/PC</t>
        </is>
      </c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>
        <v>550</v>
      </c>
      <c r="V484" s="2">
        <f>SUM(J484:U484)*G484</f>
        <v/>
      </c>
      <c r="W484" s="2">
        <f>MAX(J484:U484)</f>
        <v/>
      </c>
      <c r="X484" s="2">
        <f>W484*G484</f>
        <v/>
      </c>
    </row>
    <row r="485">
      <c r="A485" s="2" t="inlineStr">
        <is>
          <t>14-K-B441</t>
        </is>
      </c>
      <c r="B485" s="3" t="inlineStr">
        <is>
          <t>OJC-A1-SC/SC-SM-15-PC/PC-SP</t>
        </is>
      </c>
      <c r="C485" s="2" t="inlineStr">
        <is>
          <t>K9089008_포앤티</t>
        </is>
      </c>
      <c r="D485" s="2" t="inlineStr">
        <is>
          <t>a1</t>
        </is>
      </c>
      <c r="E485" s="2" t="inlineStr">
        <is>
          <t>2.0mm</t>
        </is>
      </c>
      <c r="F485" s="2" t="n">
        <v>1</v>
      </c>
      <c r="G485" s="2" t="n">
        <v>15</v>
      </c>
      <c r="H485" s="2" t="inlineStr">
        <is>
          <t>SC/PC</t>
        </is>
      </c>
      <c r="I485" s="2" t="inlineStr">
        <is>
          <t>SC/PC</t>
        </is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>
        <v>100</v>
      </c>
      <c r="V485" s="2">
        <f>SUM(J485:U485)*G485</f>
        <v/>
      </c>
      <c r="W485" s="2">
        <f>MAX(J485:U485)</f>
        <v/>
      </c>
      <c r="X485" s="2">
        <f>W485*G485</f>
        <v/>
      </c>
    </row>
    <row r="486">
      <c r="A486" s="2" t="inlineStr">
        <is>
          <t>14-K-B442</t>
        </is>
      </c>
      <c r="B486" s="3" t="inlineStr">
        <is>
          <t>OJC-A1-SC/SC-SM-20-PC/PC-SP</t>
        </is>
      </c>
      <c r="C486" s="2" t="inlineStr">
        <is>
          <t>K9089013_포앤티</t>
        </is>
      </c>
      <c r="D486" s="2" t="inlineStr">
        <is>
          <t>a1</t>
        </is>
      </c>
      <c r="E486" s="2" t="inlineStr">
        <is>
          <t>2.0mm</t>
        </is>
      </c>
      <c r="F486" s="2" t="n">
        <v>1</v>
      </c>
      <c r="G486" s="2" t="n">
        <v>20</v>
      </c>
      <c r="H486" s="2" t="inlineStr">
        <is>
          <t>SC/PC</t>
        </is>
      </c>
      <c r="I486" s="2" t="inlineStr">
        <is>
          <t>SC/PC</t>
        </is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>
        <v>230</v>
      </c>
      <c r="V486" s="2">
        <f>SUM(J486:U486)*G486</f>
        <v/>
      </c>
      <c r="W486" s="2">
        <f>MAX(J486:U486)</f>
        <v/>
      </c>
      <c r="X486" s="2">
        <f>W486*G486</f>
        <v/>
      </c>
    </row>
    <row r="487">
      <c r="A487" s="2" t="inlineStr">
        <is>
          <t>14-K-B690</t>
        </is>
      </c>
      <c r="B487" s="3" t="inlineStr">
        <is>
          <t>OJC-A1-SC/SC-SM-80-PC/PC-DP</t>
        </is>
      </c>
      <c r="C487" s="2" t="inlineStr">
        <is>
          <t>80M</t>
        </is>
      </c>
      <c r="D487" s="2" t="inlineStr">
        <is>
          <t>a1</t>
        </is>
      </c>
      <c r="E487" s="2" t="inlineStr">
        <is>
          <t>2.0mm</t>
        </is>
      </c>
      <c r="F487" s="2" t="n">
        <v>2</v>
      </c>
      <c r="G487" s="2" t="n">
        <v>80</v>
      </c>
      <c r="H487" s="2" t="inlineStr">
        <is>
          <t>SC/PC</t>
        </is>
      </c>
      <c r="I487" s="2" t="inlineStr">
        <is>
          <t>SC/PC</t>
        </is>
      </c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>
        <v>1</v>
      </c>
      <c r="V487" s="2">
        <f>SUM(J487:U487)*G487</f>
        <v/>
      </c>
      <c r="W487" s="2">
        <f>MAX(J487:U487)</f>
        <v/>
      </c>
      <c r="X487" s="2">
        <f>W487*G487</f>
        <v/>
      </c>
    </row>
    <row r="488">
      <c r="A488" s="2" t="inlineStr">
        <is>
          <t>14-M-011</t>
        </is>
      </c>
      <c r="B488" s="3" t="inlineStr">
        <is>
          <t>MOJC-SM-12C-LC/PC-LC/PC</t>
        </is>
      </c>
      <c r="C488" s="2" t="inlineStr">
        <is>
          <t>15M</t>
        </is>
      </c>
      <c r="D488" s="2" t="inlineStr">
        <is>
          <t>b3-12c</t>
        </is>
      </c>
      <c r="E488" s="2" t="inlineStr">
        <is>
          <t>2.0mm</t>
        </is>
      </c>
      <c r="F488" s="2" t="n">
        <v>12</v>
      </c>
      <c r="G488" s="2" t="n">
        <v>15</v>
      </c>
      <c r="H488" s="2" t="inlineStr">
        <is>
          <t>LC/PC</t>
        </is>
      </c>
      <c r="I488" s="2" t="inlineStr">
        <is>
          <t>LC/PC</t>
        </is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>
        <v>12</v>
      </c>
      <c r="T488" s="2" t="n"/>
      <c r="U488" s="2" t="n"/>
      <c r="V488" s="2">
        <f>SUM(J488:U488)*G488</f>
        <v/>
      </c>
      <c r="W488" s="2">
        <f>MAX(J488:U488)</f>
        <v/>
      </c>
      <c r="X488" s="2">
        <f>W488*G488</f>
        <v/>
      </c>
    </row>
    <row r="489">
      <c r="A489" s="2" t="inlineStr">
        <is>
          <t>14-M-016</t>
        </is>
      </c>
      <c r="B489" s="3" t="inlineStr">
        <is>
          <t>MOJC-SM-12C-LC/PC-LC/PC</t>
        </is>
      </c>
      <c r="C489" s="2" t="inlineStr">
        <is>
          <t>3M</t>
        </is>
      </c>
      <c r="D489" s="2" t="inlineStr">
        <is>
          <t>b3-12c</t>
        </is>
      </c>
      <c r="E489" s="2" t="inlineStr">
        <is>
          <t>2.0mm</t>
        </is>
      </c>
      <c r="F489" s="2" t="n">
        <v>12</v>
      </c>
      <c r="G489" s="2" t="n">
        <v>3</v>
      </c>
      <c r="H489" s="2" t="inlineStr">
        <is>
          <t>LC/PC</t>
        </is>
      </c>
      <c r="I489" s="2" t="inlineStr">
        <is>
          <t>LC/PC</t>
        </is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>
        <v>4</v>
      </c>
      <c r="U489" s="2" t="n"/>
      <c r="V489" s="2">
        <f>SUM(J489:U489)*G489</f>
        <v/>
      </c>
      <c r="W489" s="2">
        <f>MAX(J489:U489)</f>
        <v/>
      </c>
      <c r="X489" s="2">
        <f>W489*G489</f>
        <v/>
      </c>
    </row>
    <row r="490">
      <c r="A490" s="2" t="inlineStr">
        <is>
          <t>14-M-235</t>
        </is>
      </c>
      <c r="B490" s="3" t="inlineStr">
        <is>
          <t>MOJC-SM-6C-SC/PC-SC/PC</t>
        </is>
      </c>
      <c r="C490" s="2" t="inlineStr">
        <is>
          <t>3M</t>
        </is>
      </c>
      <c r="D490" s="2" t="inlineStr">
        <is>
          <t>b3-6c</t>
        </is>
      </c>
      <c r="E490" s="2" t="inlineStr">
        <is>
          <t>2.0mm</t>
        </is>
      </c>
      <c r="F490" s="2" t="n">
        <v>6</v>
      </c>
      <c r="G490" s="2" t="n">
        <v>3</v>
      </c>
      <c r="H490" s="2" t="inlineStr">
        <is>
          <t>SC/PC</t>
        </is>
      </c>
      <c r="I490" s="2" t="inlineStr">
        <is>
          <t>SC/PC</t>
        </is>
      </c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>
        <v>1</v>
      </c>
      <c r="V490" s="2">
        <f>SUM(J490:U490)*G490</f>
        <v/>
      </c>
      <c r="W490" s="2">
        <f>MAX(J490:U490)</f>
        <v/>
      </c>
      <c r="X490" s="2">
        <f>W490*G490</f>
        <v/>
      </c>
    </row>
    <row r="491">
      <c r="A491" s="2" t="inlineStr">
        <is>
          <t>14-M-A066</t>
        </is>
      </c>
      <c r="B491" s="3" t="inlineStr">
        <is>
          <t>MOJC-SM-16C-SC/PC-SC/PC</t>
        </is>
      </c>
      <c r="C491" s="2" t="inlineStr">
        <is>
          <t>3M</t>
        </is>
      </c>
      <c r="D491" s="2" t="inlineStr">
        <is>
          <t>b3-16c</t>
        </is>
      </c>
      <c r="E491" s="2" t="inlineStr">
        <is>
          <t>2.0mm</t>
        </is>
      </c>
      <c r="F491" s="2" t="n">
        <v>16</v>
      </c>
      <c r="G491" s="2" t="n">
        <v>3</v>
      </c>
      <c r="H491" s="2" t="inlineStr">
        <is>
          <t>SC/PC</t>
        </is>
      </c>
      <c r="I491" s="2" t="inlineStr">
        <is>
          <t>SC/PC</t>
        </is>
      </c>
      <c r="J491" s="2" t="n">
        <v>26</v>
      </c>
      <c r="K491" s="2" t="n"/>
      <c r="L491" s="2" t="n">
        <v>2</v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>
        <f>SUM(J491:U491)*G491</f>
        <v/>
      </c>
      <c r="W491" s="2">
        <f>MAX(J491:U491)</f>
        <v/>
      </c>
      <c r="X491" s="2">
        <f>W491*G491</f>
        <v/>
      </c>
    </row>
    <row r="492">
      <c r="A492" s="2" t="inlineStr">
        <is>
          <t>14-M-A076</t>
        </is>
      </c>
      <c r="B492" s="3" t="inlineStr">
        <is>
          <t>MOJC-SM-12C-LC/PC</t>
        </is>
      </c>
      <c r="C492" s="2" t="inlineStr">
        <is>
          <t>3M, 한쪽만 커넥팅</t>
        </is>
      </c>
      <c r="D492" s="2" t="inlineStr">
        <is>
          <t>b3-12c</t>
        </is>
      </c>
      <c r="E492" s="2" t="inlineStr">
        <is>
          <t>2.0mm</t>
        </is>
      </c>
      <c r="F492" s="2" t="n">
        <v>12</v>
      </c>
      <c r="G492" s="2" t="n">
        <v>3</v>
      </c>
      <c r="H492" s="2" t="inlineStr">
        <is>
          <t>LC/PC</t>
        </is>
      </c>
      <c r="I492" s="2" t="inlineStr">
        <is>
          <t>LC/PC</t>
        </is>
      </c>
      <c r="J492" s="2" t="n"/>
      <c r="K492" s="2" t="n"/>
      <c r="L492" s="2" t="n"/>
      <c r="M492" s="2" t="n"/>
      <c r="N492" s="2" t="n">
        <v>24</v>
      </c>
      <c r="O492" s="2" t="n"/>
      <c r="P492" s="2" t="n"/>
      <c r="Q492" s="2" t="n"/>
      <c r="R492" s="2" t="n"/>
      <c r="S492" s="2" t="n"/>
      <c r="T492" s="2" t="n"/>
      <c r="U492" s="2" t="n"/>
      <c r="V492" s="2">
        <f>SUM(J492:U492)*G492</f>
        <v/>
      </c>
      <c r="W492" s="2">
        <f>MAX(J492:U492)</f>
        <v/>
      </c>
      <c r="X492" s="2">
        <f>W492*G492</f>
        <v/>
      </c>
    </row>
    <row r="493">
      <c r="A493" s="2" t="inlineStr">
        <is>
          <t>14-P-005</t>
        </is>
      </c>
      <c r="B493" s="3" t="inlineStr">
        <is>
          <t>PIGTAIL-LC/PC-SM-12C(Distribution cable)</t>
        </is>
      </c>
      <c r="C493" s="2" t="inlineStr">
        <is>
          <t>4.2M</t>
        </is>
      </c>
      <c r="D493" s="2" t="inlineStr">
        <is>
          <t>pigtail</t>
        </is>
      </c>
      <c r="E493" s="2" t="n">
        <v>0.9</v>
      </c>
      <c r="F493" s="2" t="n">
        <v>12</v>
      </c>
      <c r="G493" s="2" t="n">
        <v>4.2</v>
      </c>
      <c r="H493" s="2" t="inlineStr">
        <is>
          <t>LC/PC</t>
        </is>
      </c>
      <c r="I493" s="2" t="n"/>
      <c r="J493" s="2" t="n"/>
      <c r="K493" s="2" t="n"/>
      <c r="L493" s="2" t="n"/>
      <c r="M493" s="2" t="n"/>
      <c r="N493" s="2" t="n"/>
      <c r="O493" s="2" t="n">
        <v>24</v>
      </c>
      <c r="P493" s="2" t="n"/>
      <c r="Q493" s="2" t="n"/>
      <c r="R493" s="2" t="n"/>
      <c r="S493" s="2" t="n"/>
      <c r="T493" s="2" t="n"/>
      <c r="U493" s="2" t="n"/>
      <c r="V493" s="2">
        <f>SUM(J493:U493)*G493</f>
        <v/>
      </c>
      <c r="W493" s="2">
        <f>MAX(J493:U493)</f>
        <v/>
      </c>
      <c r="X493" s="2">
        <f>W493*G493</f>
        <v/>
      </c>
    </row>
    <row r="494">
      <c r="A494" s="2" t="inlineStr">
        <is>
          <t>14-P-012</t>
        </is>
      </c>
      <c r="B494" s="3" t="inlineStr">
        <is>
          <t>PIGTAIL-SC/APC-SM-1C (0.9mm)</t>
        </is>
      </c>
      <c r="C494" s="2" t="inlineStr">
        <is>
          <t>1.5M</t>
        </is>
      </c>
      <c r="D494" s="2" t="inlineStr">
        <is>
          <t>pigtail</t>
        </is>
      </c>
      <c r="E494" s="2" t="n">
        <v>0.9</v>
      </c>
      <c r="F494" s="2" t="n">
        <v>1</v>
      </c>
      <c r="G494" s="2" t="n">
        <v>1.5</v>
      </c>
      <c r="H494" s="2" t="inlineStr">
        <is>
          <t>SC/APC</t>
        </is>
      </c>
      <c r="I494" s="2" t="n"/>
      <c r="J494" s="2" t="n">
        <v>330</v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>
        <f>SUM(J494:U494)*G494</f>
        <v/>
      </c>
      <c r="W494" s="2">
        <f>MAX(J494:U494)</f>
        <v/>
      </c>
      <c r="X494" s="2">
        <f>W494*G494</f>
        <v/>
      </c>
    </row>
    <row r="495">
      <c r="A495" s="2" t="inlineStr">
        <is>
          <t>14-P-013</t>
        </is>
      </c>
      <c r="B495" s="3" t="inlineStr">
        <is>
          <t>PIGTAIL-SC/APC-SM-1C (2.0mm)</t>
        </is>
      </c>
      <c r="C495" s="2" t="inlineStr">
        <is>
          <t>1.5M</t>
        </is>
      </c>
      <c r="D495" s="2" t="inlineStr">
        <is>
          <t>pigtail</t>
        </is>
      </c>
      <c r="E495" s="2" t="inlineStr">
        <is>
          <t>2.0mm</t>
        </is>
      </c>
      <c r="F495" s="2" t="n">
        <v>1</v>
      </c>
      <c r="G495" s="2" t="n">
        <v>1.5</v>
      </c>
      <c r="H495" s="2" t="inlineStr">
        <is>
          <t>SC/APC</t>
        </is>
      </c>
      <c r="I495" s="2" t="n"/>
      <c r="J495" s="2" t="n">
        <v>226</v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>
        <v>40</v>
      </c>
      <c r="U495" s="2" t="n"/>
      <c r="V495" s="2">
        <f>SUM(J495:U495)*G495</f>
        <v/>
      </c>
      <c r="W495" s="2">
        <f>MAX(J495:U495)</f>
        <v/>
      </c>
      <c r="X495" s="2">
        <f>W495*G495</f>
        <v/>
      </c>
    </row>
    <row r="496">
      <c r="A496" s="2" t="inlineStr">
        <is>
          <t>14-P-014</t>
        </is>
      </c>
      <c r="B496" s="3" t="inlineStr">
        <is>
          <t>PIGTAIL-SC/APC-SM-6C (0.9mm)</t>
        </is>
      </c>
      <c r="C496" s="2" t="inlineStr">
        <is>
          <t>1.5M_6색</t>
        </is>
      </c>
      <c r="D496" s="2" t="inlineStr">
        <is>
          <t>pigtail</t>
        </is>
      </c>
      <c r="E496" s="2" t="n">
        <v>0.9</v>
      </c>
      <c r="F496" s="2" t="n">
        <v>6</v>
      </c>
      <c r="G496" s="2" t="n">
        <v>1.5</v>
      </c>
      <c r="H496" s="2" t="inlineStr">
        <is>
          <t>SC/APC</t>
        </is>
      </c>
      <c r="I496" s="2" t="n"/>
      <c r="J496" s="2" t="n">
        <v>50</v>
      </c>
      <c r="K496" s="2" t="n"/>
      <c r="L496" s="2" t="n"/>
      <c r="M496" s="2" t="n"/>
      <c r="N496" s="2" t="n">
        <v>58</v>
      </c>
      <c r="O496" s="2" t="n"/>
      <c r="P496" s="2" t="n">
        <v>50</v>
      </c>
      <c r="Q496" s="2" t="n"/>
      <c r="R496" s="2" t="n"/>
      <c r="S496" s="2" t="n"/>
      <c r="T496" s="2" t="n"/>
      <c r="U496" s="2" t="n"/>
      <c r="V496" s="2">
        <f>SUM(J496:U496)*G496</f>
        <v/>
      </c>
      <c r="W496" s="2">
        <f>MAX(J496:U496)</f>
        <v/>
      </c>
      <c r="X496" s="2">
        <f>W496*G496</f>
        <v/>
      </c>
    </row>
    <row r="497">
      <c r="A497" s="2" t="inlineStr">
        <is>
          <t>14-P-016</t>
        </is>
      </c>
      <c r="B497" s="3" t="inlineStr">
        <is>
          <t>PIGTAIL-SC/PC-MM-1C (0.9mm)</t>
        </is>
      </c>
      <c r="C497" s="2" t="inlineStr">
        <is>
          <t>1.5M</t>
        </is>
      </c>
      <c r="D497" s="2" t="inlineStr">
        <is>
          <t>om1-pigtail</t>
        </is>
      </c>
      <c r="E497" s="2" t="n">
        <v>0.9</v>
      </c>
      <c r="F497" s="2" t="n">
        <v>1</v>
      </c>
      <c r="G497" s="2" t="n">
        <v>1.5</v>
      </c>
      <c r="H497" s="2" t="inlineStr">
        <is>
          <t>SC/PC</t>
        </is>
      </c>
      <c r="I497" s="2" t="n"/>
      <c r="J497" s="2" t="n"/>
      <c r="K497" s="2" t="n"/>
      <c r="L497" s="2" t="n">
        <v>5</v>
      </c>
      <c r="M497" s="2" t="n"/>
      <c r="N497" s="2" t="n"/>
      <c r="O497" s="2" t="n">
        <v>48</v>
      </c>
      <c r="P497" s="2" t="n"/>
      <c r="Q497" s="2" t="n"/>
      <c r="R497" s="2" t="n">
        <v>10</v>
      </c>
      <c r="S497" s="2" t="n"/>
      <c r="T497" s="2" t="n">
        <v>24</v>
      </c>
      <c r="U497" s="2" t="n"/>
      <c r="V497" s="2">
        <f>SUM(J497:U497)*G497</f>
        <v/>
      </c>
      <c r="W497" s="2">
        <f>MAX(J497:U497)</f>
        <v/>
      </c>
      <c r="X497" s="2">
        <f>W497*G497</f>
        <v/>
      </c>
    </row>
    <row r="498">
      <c r="A498" s="2" t="inlineStr">
        <is>
          <t>14-P-017</t>
        </is>
      </c>
      <c r="B498" s="3" t="inlineStr">
        <is>
          <t>PIGTAIL-SC/PC-SM-12C (0.9mm)</t>
        </is>
      </c>
      <c r="C498" s="2" t="inlineStr">
        <is>
          <t>1.5M_12색</t>
        </is>
      </c>
      <c r="D498" s="2" t="inlineStr">
        <is>
          <t>pigtail</t>
        </is>
      </c>
      <c r="E498" s="2" t="n">
        <v>0.9</v>
      </c>
      <c r="F498" s="2" t="n">
        <v>12</v>
      </c>
      <c r="G498" s="2" t="n">
        <v>1.5</v>
      </c>
      <c r="H498" s="2" t="inlineStr">
        <is>
          <t>SC/PC</t>
        </is>
      </c>
      <c r="I498" s="2" t="n"/>
      <c r="J498" s="2" t="n"/>
      <c r="K498" s="2" t="n">
        <v>150</v>
      </c>
      <c r="L498" s="2" t="n"/>
      <c r="M498" s="2" t="n">
        <v>4</v>
      </c>
      <c r="N498" s="2" t="n">
        <v>50</v>
      </c>
      <c r="O498" s="2" t="n">
        <v>93</v>
      </c>
      <c r="P498" s="2" t="n"/>
      <c r="Q498" s="2" t="n"/>
      <c r="R498" s="2" t="n"/>
      <c r="S498" s="2" t="n"/>
      <c r="T498" s="2" t="n"/>
      <c r="U498" s="2" t="n"/>
      <c r="V498" s="2">
        <f>SUM(J498:U498)*G498</f>
        <v/>
      </c>
      <c r="W498" s="2">
        <f>MAX(J498:U498)</f>
        <v/>
      </c>
      <c r="X498" s="2">
        <f>W498*G498</f>
        <v/>
      </c>
    </row>
    <row r="499">
      <c r="A499" s="2" t="inlineStr">
        <is>
          <t>14-P-025</t>
        </is>
      </c>
      <c r="B499" s="3" t="inlineStr">
        <is>
          <t>PIGTAIL-SC/APC-SM-12C (SK성단용)</t>
        </is>
      </c>
      <c r="C499" s="2" t="inlineStr">
        <is>
          <t>1.5M</t>
        </is>
      </c>
      <c r="D499" s="2" t="inlineStr">
        <is>
          <t>pigtail</t>
        </is>
      </c>
      <c r="E499" s="2" t="n">
        <v>0.9</v>
      </c>
      <c r="F499" s="2" t="n">
        <v>12</v>
      </c>
      <c r="G499" s="2" t="n">
        <v>1.5</v>
      </c>
      <c r="H499" s="2" t="inlineStr">
        <is>
          <t>SC/APC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>
        <v>280</v>
      </c>
      <c r="T499" s="2" t="n"/>
      <c r="U499" s="2" t="n"/>
      <c r="V499" s="2">
        <f>SUM(J499:U499)*G499</f>
        <v/>
      </c>
      <c r="W499" s="2">
        <f>MAX(J499:U499)</f>
        <v/>
      </c>
      <c r="X499" s="2">
        <f>W499*G499</f>
        <v/>
      </c>
    </row>
    <row r="500">
      <c r="A500" s="2" t="inlineStr">
        <is>
          <t>14-P-028</t>
        </is>
      </c>
      <c r="B500" s="3" t="inlineStr">
        <is>
          <t>PIGTAIL-LC/APC-SM-1C (2.0mm)</t>
        </is>
      </c>
      <c r="C500" s="2" t="inlineStr">
        <is>
          <t>1.5M</t>
        </is>
      </c>
      <c r="D500" s="2" t="inlineStr">
        <is>
          <t>pigtail</t>
        </is>
      </c>
      <c r="E500" s="2" t="inlineStr">
        <is>
          <t>2.0mm</t>
        </is>
      </c>
      <c r="F500" s="2" t="n">
        <v>1</v>
      </c>
      <c r="G500" s="2" t="n">
        <v>1.5</v>
      </c>
      <c r="H500" s="2" t="inlineStr">
        <is>
          <t>LC/APC</t>
        </is>
      </c>
      <c r="I500" s="2" t="n"/>
      <c r="J500" s="2" t="n">
        <v>184</v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>
        <f>SUM(J500:U500)*G500</f>
        <v/>
      </c>
      <c r="W500" s="2">
        <f>MAX(J500:U500)</f>
        <v/>
      </c>
      <c r="X500" s="2">
        <f>W500*G500</f>
        <v/>
      </c>
    </row>
    <row r="501">
      <c r="A501" s="2" t="inlineStr">
        <is>
          <t>14-P-029</t>
        </is>
      </c>
      <c r="B501" s="3" t="inlineStr">
        <is>
          <t>PIGTAIL-SC/PC-SM-12C (SK성단용)</t>
        </is>
      </c>
      <c r="C501" s="2" t="inlineStr">
        <is>
          <t>1.5M</t>
        </is>
      </c>
      <c r="D501" s="2" t="inlineStr">
        <is>
          <t>pigtail</t>
        </is>
      </c>
      <c r="E501" s="2" t="n">
        <v>0.9</v>
      </c>
      <c r="F501" s="2" t="n">
        <v>12</v>
      </c>
      <c r="G501" s="2" t="n">
        <v>1.5</v>
      </c>
      <c r="H501" s="2" t="inlineStr">
        <is>
          <t>SC/PC</t>
        </is>
      </c>
      <c r="I501" s="2" t="n"/>
      <c r="J501" s="2" t="n">
        <v>80</v>
      </c>
      <c r="K501" s="2" t="n"/>
      <c r="L501" s="2" t="n"/>
      <c r="M501" s="2" t="n"/>
      <c r="N501" s="2" t="n"/>
      <c r="O501" s="2" t="n"/>
      <c r="P501" s="2" t="n"/>
      <c r="Q501" s="2" t="n">
        <v>20</v>
      </c>
      <c r="R501" s="2" t="n">
        <v>34</v>
      </c>
      <c r="S501" s="2" t="n"/>
      <c r="T501" s="2" t="n"/>
      <c r="U501" s="2" t="n"/>
      <c r="V501" s="2">
        <f>SUM(J501:U501)*G501</f>
        <v/>
      </c>
      <c r="W501" s="2">
        <f>MAX(J501:U501)</f>
        <v/>
      </c>
      <c r="X501" s="2">
        <f>W501*G501</f>
        <v/>
      </c>
    </row>
    <row r="502">
      <c r="A502" s="2" t="inlineStr">
        <is>
          <t>14-P-030</t>
        </is>
      </c>
      <c r="B502" s="3" t="inlineStr">
        <is>
          <t>PIGTAIL-SC/PC-SM-12C (0.9mm)</t>
        </is>
      </c>
      <c r="C502" s="2" t="inlineStr">
        <is>
          <t>1.5M_(노란색)</t>
        </is>
      </c>
      <c r="D502" s="2" t="inlineStr">
        <is>
          <t>pigtail</t>
        </is>
      </c>
      <c r="E502" s="2" t="n">
        <v>0.9</v>
      </c>
      <c r="F502" s="2" t="n">
        <v>12</v>
      </c>
      <c r="G502" s="2" t="n">
        <v>1.5</v>
      </c>
      <c r="H502" s="2" t="inlineStr">
        <is>
          <t>SC/PC</t>
        </is>
      </c>
      <c r="I502" s="2" t="n"/>
      <c r="J502" s="2" t="n">
        <v>30</v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>
        <f>SUM(J502:U502)*G502</f>
        <v/>
      </c>
      <c r="W502" s="2">
        <f>MAX(J502:U502)</f>
        <v/>
      </c>
      <c r="X502" s="2">
        <f>W502*G502</f>
        <v/>
      </c>
    </row>
    <row r="503">
      <c r="A503" s="2" t="inlineStr">
        <is>
          <t>14-P-033</t>
        </is>
      </c>
      <c r="B503" s="3" t="inlineStr">
        <is>
          <t>PIGTAIL-LC/PC-MM-12C (SK성단용)</t>
        </is>
      </c>
      <c r="C503" s="2" t="inlineStr">
        <is>
          <t>1.5M</t>
        </is>
      </c>
      <c r="D503" s="2" t="inlineStr">
        <is>
          <t>om1-pigtail</t>
        </is>
      </c>
      <c r="E503" s="2" t="inlineStr">
        <is>
          <t>2.0mm</t>
        </is>
      </c>
      <c r="F503" s="2" t="n">
        <v>12</v>
      </c>
      <c r="G503" s="2" t="n">
        <v>1.5</v>
      </c>
      <c r="H503" s="2" t="inlineStr">
        <is>
          <t>LC/PC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>
        <v>3</v>
      </c>
      <c r="U503" s="2" t="n"/>
      <c r="V503" s="2">
        <f>SUM(J503:U503)*G503</f>
        <v/>
      </c>
      <c r="W503" s="2">
        <f>MAX(J503:U503)</f>
        <v/>
      </c>
      <c r="X503" s="2">
        <f>W503*G503</f>
        <v/>
      </c>
    </row>
    <row r="504">
      <c r="A504" s="2" t="inlineStr">
        <is>
          <t>14-P-038</t>
        </is>
      </c>
      <c r="B504" s="3" t="inlineStr">
        <is>
          <t>PIGTAIL-SC/PC-MM-12C (0.9mm)</t>
        </is>
      </c>
      <c r="C504" s="2" t="inlineStr">
        <is>
          <t>1.5M</t>
        </is>
      </c>
      <c r="D504" s="2" t="inlineStr">
        <is>
          <t>om1-pigtail</t>
        </is>
      </c>
      <c r="E504" s="2" t="n">
        <v>0.9</v>
      </c>
      <c r="F504" s="2" t="n">
        <v>12</v>
      </c>
      <c r="G504" s="2" t="n">
        <v>1.5</v>
      </c>
      <c r="H504" s="2" t="inlineStr">
        <is>
          <t>SC/PC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>
        <v>2</v>
      </c>
      <c r="S504" s="2" t="n"/>
      <c r="T504" s="2" t="n"/>
      <c r="U504" s="2" t="n"/>
      <c r="V504" s="2">
        <f>SUM(J504:U504)*G504</f>
        <v/>
      </c>
      <c r="W504" s="2">
        <f>MAX(J504:U504)</f>
        <v/>
      </c>
      <c r="X504" s="2">
        <f>W504*G504</f>
        <v/>
      </c>
    </row>
    <row r="505">
      <c r="A505" s="2" t="inlineStr">
        <is>
          <t>14-P-077</t>
        </is>
      </c>
      <c r="B505" s="3" t="inlineStr">
        <is>
          <t>PIGTAIL-LC/APC-SM-12C (SK성단용)</t>
        </is>
      </c>
      <c r="C505" s="2" t="inlineStr">
        <is>
          <t>1.5M</t>
        </is>
      </c>
      <c r="D505" s="2" t="inlineStr">
        <is>
          <t>pigtail</t>
        </is>
      </c>
      <c r="E505" s="2" t="n">
        <v>0.9</v>
      </c>
      <c r="F505" s="2" t="n">
        <v>12</v>
      </c>
      <c r="G505" s="2" t="n">
        <v>1.5</v>
      </c>
      <c r="H505" s="2" t="inlineStr">
        <is>
          <t>LC/APC</t>
        </is>
      </c>
      <c r="I505" s="2" t="n"/>
      <c r="J505" s="2" t="n"/>
      <c r="K505" s="2" t="n">
        <v>1</v>
      </c>
      <c r="L505" s="2" t="n"/>
      <c r="M505" s="2" t="n"/>
      <c r="N505" s="2" t="n"/>
      <c r="O505" s="2" t="n">
        <v>1</v>
      </c>
      <c r="P505" s="2" t="n"/>
      <c r="Q505" s="2" t="n"/>
      <c r="R505" s="2" t="n">
        <v>4</v>
      </c>
      <c r="S505" s="2" t="n"/>
      <c r="T505" s="2" t="n"/>
      <c r="U505" s="2" t="n"/>
      <c r="V505" s="2">
        <f>SUM(J505:U505)*G505</f>
        <v/>
      </c>
      <c r="W505" s="2">
        <f>MAX(J505:U505)</f>
        <v/>
      </c>
      <c r="X505" s="2">
        <f>W505*G505</f>
        <v/>
      </c>
    </row>
    <row r="506">
      <c r="A506" s="2" t="inlineStr">
        <is>
          <t>14-P-089</t>
        </is>
      </c>
      <c r="B506" s="3" t="inlineStr">
        <is>
          <t>PIGTAIL-SC/APC-SM-12C (0.9mm)</t>
        </is>
      </c>
      <c r="C506" s="2" t="inlineStr">
        <is>
          <t>3M_12색</t>
        </is>
      </c>
      <c r="D506" s="2" t="inlineStr">
        <is>
          <t>pigtail</t>
        </is>
      </c>
      <c r="E506" s="2" t="n">
        <v>0.9</v>
      </c>
      <c r="F506" s="2" t="n">
        <v>12</v>
      </c>
      <c r="G506" s="2" t="n">
        <v>3</v>
      </c>
      <c r="H506" s="2" t="inlineStr">
        <is>
          <t>SC/APC</t>
        </is>
      </c>
      <c r="I506" s="2" t="n"/>
      <c r="J506" s="2" t="n"/>
      <c r="K506" s="2" t="n">
        <v>4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>
        <f>SUM(J506:U506)*G506</f>
        <v/>
      </c>
      <c r="W506" s="2">
        <f>MAX(J506:U506)</f>
        <v/>
      </c>
      <c r="X506" s="2">
        <f>W506*G506</f>
        <v/>
      </c>
    </row>
    <row r="507">
      <c r="A507" s="2" t="inlineStr">
        <is>
          <t>14-P-093</t>
        </is>
      </c>
      <c r="B507" s="3" t="inlineStr">
        <is>
          <t>PIGTAIL-LC/PC-SM-6C (SK성단용)</t>
        </is>
      </c>
      <c r="C507" s="2" t="inlineStr">
        <is>
          <t>1.5M_6색</t>
        </is>
      </c>
      <c r="D507" s="2" t="inlineStr">
        <is>
          <t>pigtail</t>
        </is>
      </c>
      <c r="E507" s="2" t="n">
        <v>0.9</v>
      </c>
      <c r="F507" s="2" t="n">
        <v>6</v>
      </c>
      <c r="G507" s="2" t="n">
        <v>1.5</v>
      </c>
      <c r="H507" s="2" t="inlineStr">
        <is>
          <t>LC/PC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>
        <v>192</v>
      </c>
      <c r="S507" s="2" t="n"/>
      <c r="T507" s="2" t="n"/>
      <c r="U507" s="2" t="n"/>
      <c r="V507" s="2">
        <f>SUM(J507:U507)*G507</f>
        <v/>
      </c>
      <c r="W507" s="2">
        <f>MAX(J507:U507)</f>
        <v/>
      </c>
      <c r="X507" s="2">
        <f>W507*G507</f>
        <v/>
      </c>
    </row>
    <row r="508">
      <c r="A508" s="2" t="inlineStr">
        <is>
          <t>14-P-109</t>
        </is>
      </c>
      <c r="B508" s="3" t="inlineStr">
        <is>
          <t>PIGTAIL-SC/PC-SM-12C (SK성단용)</t>
        </is>
      </c>
      <c r="C508" s="2" t="inlineStr">
        <is>
          <t>1.5M_노란색</t>
        </is>
      </c>
      <c r="D508" s="2" t="inlineStr">
        <is>
          <t>pigtail</t>
        </is>
      </c>
      <c r="E508" s="2" t="n">
        <v>0.9</v>
      </c>
      <c r="F508" s="2" t="n">
        <v>12</v>
      </c>
      <c r="G508" s="2" t="n">
        <v>1.5</v>
      </c>
      <c r="H508" s="2" t="inlineStr">
        <is>
          <t>SC/PC</t>
        </is>
      </c>
      <c r="I508" s="2" t="n"/>
      <c r="J508" s="2" t="n"/>
      <c r="K508" s="2" t="n"/>
      <c r="L508" s="2" t="n"/>
      <c r="M508" s="2" t="n"/>
      <c r="N508" s="2" t="n"/>
      <c r="O508" s="2" t="n">
        <v>40</v>
      </c>
      <c r="P508" s="2" t="n"/>
      <c r="Q508" s="2" t="n"/>
      <c r="R508" s="2" t="n"/>
      <c r="S508" s="2" t="n"/>
      <c r="T508" s="2" t="n"/>
      <c r="U508" s="2" t="n"/>
      <c r="V508" s="2">
        <f>SUM(J508:U508)*G508</f>
        <v/>
      </c>
      <c r="W508" s="2">
        <f>MAX(J508:U508)</f>
        <v/>
      </c>
      <c r="X508" s="2">
        <f>W508*G508</f>
        <v/>
      </c>
    </row>
    <row r="509">
      <c r="A509" s="2" t="inlineStr">
        <is>
          <t>14-S-086</t>
        </is>
      </c>
      <c r="B509" s="3" t="inlineStr">
        <is>
          <t>SOJC-SM-LC/PC-LC/PC</t>
        </is>
      </c>
      <c r="C509" s="2" t="inlineStr">
        <is>
          <t>10M</t>
        </is>
      </c>
      <c r="D509" s="2" t="inlineStr">
        <is>
          <t>a1</t>
        </is>
      </c>
      <c r="E509" s="2" t="inlineStr">
        <is>
          <t>2.0mm</t>
        </is>
      </c>
      <c r="F509" s="2" t="n">
        <v>1</v>
      </c>
      <c r="G509" s="2" t="n">
        <v>10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>
        <v>400</v>
      </c>
      <c r="N509" s="2" t="n">
        <v>100</v>
      </c>
      <c r="O509" s="2" t="n">
        <v>100</v>
      </c>
      <c r="P509" s="2" t="n"/>
      <c r="Q509" s="2" t="n"/>
      <c r="R509" s="2" t="n"/>
      <c r="S509" s="2" t="n"/>
      <c r="T509" s="2" t="n"/>
      <c r="U509" s="2" t="n"/>
      <c r="V509" s="2">
        <f>SUM(J509:U509)*G509</f>
        <v/>
      </c>
      <c r="W509" s="2">
        <f>MAX(J509:U509)</f>
        <v/>
      </c>
      <c r="X509" s="2">
        <f>W509*G509</f>
        <v/>
      </c>
    </row>
    <row r="510">
      <c r="A510" s="2" t="inlineStr">
        <is>
          <t>14-S-089</t>
        </is>
      </c>
      <c r="B510" s="3" t="inlineStr">
        <is>
          <t>SOJC-SM-LC/PC-LC/PC</t>
        </is>
      </c>
      <c r="C510" s="2" t="inlineStr">
        <is>
          <t>15M</t>
        </is>
      </c>
      <c r="D510" s="2" t="inlineStr">
        <is>
          <t>a1</t>
        </is>
      </c>
      <c r="E510" s="2" t="inlineStr">
        <is>
          <t>2.0mm</t>
        </is>
      </c>
      <c r="F510" s="2" t="n">
        <v>1</v>
      </c>
      <c r="G510" s="2" t="n">
        <v>15</v>
      </c>
      <c r="H510" s="2" t="inlineStr">
        <is>
          <t>LC/PC</t>
        </is>
      </c>
      <c r="I510" s="2" t="inlineStr">
        <is>
          <t>LC/PC</t>
        </is>
      </c>
      <c r="J510" s="2" t="n"/>
      <c r="K510" s="2" t="n"/>
      <c r="L510" s="2" t="n"/>
      <c r="M510" s="2" t="n">
        <v>30</v>
      </c>
      <c r="N510" s="2" t="n">
        <v>400</v>
      </c>
      <c r="O510" s="2" t="n">
        <v>100</v>
      </c>
      <c r="P510" s="2" t="n"/>
      <c r="Q510" s="2" t="n"/>
      <c r="R510" s="2" t="n"/>
      <c r="S510" s="2" t="n"/>
      <c r="T510" s="2" t="n"/>
      <c r="U510" s="2" t="n"/>
      <c r="V510" s="2">
        <f>SUM(J510:U510)*G510</f>
        <v/>
      </c>
      <c r="W510" s="2">
        <f>MAX(J510:U510)</f>
        <v/>
      </c>
      <c r="X510" s="2">
        <f>W510*G510</f>
        <v/>
      </c>
    </row>
    <row r="511">
      <c r="A511" s="2" t="inlineStr">
        <is>
          <t>14-S-094</t>
        </is>
      </c>
      <c r="B511" s="3" t="inlineStr">
        <is>
          <t>SOJC-SM-LC/PC-LC/PC</t>
        </is>
      </c>
      <c r="C511" s="2" t="inlineStr">
        <is>
          <t>20M</t>
        </is>
      </c>
      <c r="D511" s="2" t="inlineStr">
        <is>
          <t>a1</t>
        </is>
      </c>
      <c r="E511" s="2" t="inlineStr">
        <is>
          <t>2.0mm</t>
        </is>
      </c>
      <c r="F511" s="2" t="n">
        <v>1</v>
      </c>
      <c r="G511" s="2" t="n">
        <v>20</v>
      </c>
      <c r="H511" s="2" t="inlineStr">
        <is>
          <t>LC/PC</t>
        </is>
      </c>
      <c r="I511" s="2" t="inlineStr">
        <is>
          <t>LC/PC</t>
        </is>
      </c>
      <c r="J511" s="2" t="n"/>
      <c r="K511" s="2" t="n"/>
      <c r="L511" s="2" t="n"/>
      <c r="M511" s="2" t="n"/>
      <c r="N511" s="2" t="n">
        <v>50</v>
      </c>
      <c r="O511" s="2" t="n"/>
      <c r="P511" s="2" t="n"/>
      <c r="Q511" s="2" t="n"/>
      <c r="R511" s="2" t="n"/>
      <c r="S511" s="2" t="n"/>
      <c r="T511" s="2" t="n"/>
      <c r="U511" s="2" t="n"/>
      <c r="V511" s="2">
        <f>SUM(J511:U511)*G511</f>
        <v/>
      </c>
      <c r="W511" s="2">
        <f>MAX(J511:U511)</f>
        <v/>
      </c>
      <c r="X511" s="2">
        <f>W511*G511</f>
        <v/>
      </c>
    </row>
    <row r="512">
      <c r="A512" s="2" t="inlineStr">
        <is>
          <t>14-S-097</t>
        </is>
      </c>
      <c r="B512" s="3" t="inlineStr">
        <is>
          <t>SOJC-SM-LC/PC-LC/PC</t>
        </is>
      </c>
      <c r="C512" s="2" t="inlineStr">
        <is>
          <t>2M</t>
        </is>
      </c>
      <c r="D512" s="2" t="inlineStr">
        <is>
          <t>a1</t>
        </is>
      </c>
      <c r="E512" s="2" t="inlineStr">
        <is>
          <t>2.0mm</t>
        </is>
      </c>
      <c r="F512" s="2" t="n">
        <v>1</v>
      </c>
      <c r="G512" s="2" t="n">
        <v>2</v>
      </c>
      <c r="H512" s="2" t="inlineStr">
        <is>
          <t>LC/PC</t>
        </is>
      </c>
      <c r="I512" s="2" t="inlineStr">
        <is>
          <t>LC/PC</t>
        </is>
      </c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>
        <v>13</v>
      </c>
      <c r="V512" s="2">
        <f>SUM(J512:U512)*G512</f>
        <v/>
      </c>
      <c r="W512" s="2">
        <f>MAX(J512:U512)</f>
        <v/>
      </c>
      <c r="X512" s="2">
        <f>W512*G512</f>
        <v/>
      </c>
    </row>
    <row r="513">
      <c r="A513" s="2" t="inlineStr">
        <is>
          <t>14-S-104</t>
        </is>
      </c>
      <c r="B513" s="3" t="inlineStr">
        <is>
          <t>SOJC-SM-LC/PC-LC/PC</t>
        </is>
      </c>
      <c r="C513" s="2" t="inlineStr">
        <is>
          <t>5M</t>
        </is>
      </c>
      <c r="D513" s="2" t="inlineStr">
        <is>
          <t>a1</t>
        </is>
      </c>
      <c r="E513" s="2" t="inlineStr">
        <is>
          <t>2.0mm</t>
        </is>
      </c>
      <c r="F513" s="2" t="n">
        <v>1</v>
      </c>
      <c r="G513" s="2" t="n">
        <v>5</v>
      </c>
      <c r="H513" s="2" t="inlineStr">
        <is>
          <t>LC/PC</t>
        </is>
      </c>
      <c r="I513" s="2" t="inlineStr">
        <is>
          <t>LC/PC</t>
        </is>
      </c>
      <c r="J513" s="2" t="n"/>
      <c r="K513" s="2" t="n"/>
      <c r="L513" s="2" t="n"/>
      <c r="M513" s="2" t="n">
        <v>10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>
        <f>SUM(J513:U513)*G513</f>
        <v/>
      </c>
      <c r="W513" s="2">
        <f>MAX(J513:U513)</f>
        <v/>
      </c>
      <c r="X513" s="2">
        <f>W513*G513</f>
        <v/>
      </c>
    </row>
    <row r="514">
      <c r="A514" s="2" t="inlineStr">
        <is>
          <t>14-S-133</t>
        </is>
      </c>
      <c r="B514" s="3" t="inlineStr">
        <is>
          <t>SOJC-SM-LC/PC-SC/PC</t>
        </is>
      </c>
      <c r="C514" s="2" t="inlineStr">
        <is>
          <t>13M</t>
        </is>
      </c>
      <c r="D514" s="2" t="inlineStr">
        <is>
          <t>a1</t>
        </is>
      </c>
      <c r="E514" s="2" t="inlineStr">
        <is>
          <t>2.0mm</t>
        </is>
      </c>
      <c r="F514" s="2" t="n">
        <v>1</v>
      </c>
      <c r="G514" s="2" t="n">
        <v>13</v>
      </c>
      <c r="H514" s="2" t="inlineStr">
        <is>
          <t>LC/PC</t>
        </is>
      </c>
      <c r="I514" s="2" t="inlineStr">
        <is>
          <t>SC/PC</t>
        </is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>
        <v>30</v>
      </c>
      <c r="V514" s="2">
        <f>SUM(J514:U514)*G514</f>
        <v/>
      </c>
      <c r="W514" s="2">
        <f>MAX(J514:U514)</f>
        <v/>
      </c>
      <c r="X514" s="2">
        <f>W514*G514</f>
        <v/>
      </c>
    </row>
    <row r="515">
      <c r="A515" s="2" t="inlineStr">
        <is>
          <t>14-S-179</t>
        </is>
      </c>
      <c r="B515" s="3" t="inlineStr">
        <is>
          <t>SOJC-SM-SC/APC-SC/APC</t>
        </is>
      </c>
      <c r="C515" s="2" t="inlineStr">
        <is>
          <t>15M</t>
        </is>
      </c>
      <c r="D515" s="2" t="inlineStr">
        <is>
          <t>a1</t>
        </is>
      </c>
      <c r="E515" s="2" t="inlineStr">
        <is>
          <t>2.0mm</t>
        </is>
      </c>
      <c r="F515" s="2" t="n">
        <v>1</v>
      </c>
      <c r="G515" s="2" t="n">
        <v>15</v>
      </c>
      <c r="H515" s="2" t="inlineStr">
        <is>
          <t>SC/APC</t>
        </is>
      </c>
      <c r="I515" s="2" t="inlineStr">
        <is>
          <t>SC/APC</t>
        </is>
      </c>
      <c r="J515" s="2" t="n"/>
      <c r="K515" s="2" t="n"/>
      <c r="L515" s="2" t="n">
        <v>20</v>
      </c>
      <c r="M515" s="2" t="n"/>
      <c r="N515" s="2" t="n"/>
      <c r="O515" s="2" t="n"/>
      <c r="P515" s="2" t="n"/>
      <c r="Q515" s="2" t="n"/>
      <c r="R515" s="2" t="n">
        <v>2</v>
      </c>
      <c r="S515" s="2" t="n"/>
      <c r="T515" s="2" t="n"/>
      <c r="U515" s="2" t="n"/>
      <c r="V515" s="2">
        <f>SUM(J515:U515)*G515</f>
        <v/>
      </c>
      <c r="W515" s="2">
        <f>MAX(J515:U515)</f>
        <v/>
      </c>
      <c r="X515" s="2">
        <f>W515*G515</f>
        <v/>
      </c>
    </row>
    <row r="516">
      <c r="A516" s="2" t="inlineStr">
        <is>
          <t>14-S-189</t>
        </is>
      </c>
      <c r="B516" s="3" t="inlineStr">
        <is>
          <t>SOJC-SM-SC/APC-SC/APC</t>
        </is>
      </c>
      <c r="C516" s="2" t="inlineStr">
        <is>
          <t>5M</t>
        </is>
      </c>
      <c r="D516" s="2" t="inlineStr">
        <is>
          <t>a1</t>
        </is>
      </c>
      <c r="E516" s="2" t="inlineStr">
        <is>
          <t>2.0mm</t>
        </is>
      </c>
      <c r="F516" s="2" t="n">
        <v>1</v>
      </c>
      <c r="G516" s="2" t="n">
        <v>5</v>
      </c>
      <c r="H516" s="2" t="inlineStr">
        <is>
          <t>SC/APC</t>
        </is>
      </c>
      <c r="I516" s="2" t="inlineStr">
        <is>
          <t>SC/APC</t>
        </is>
      </c>
      <c r="J516" s="2" t="n"/>
      <c r="K516" s="2" t="n"/>
      <c r="L516" s="2" t="n"/>
      <c r="M516" s="2" t="n">
        <v>1</v>
      </c>
      <c r="N516" s="2" t="n"/>
      <c r="O516" s="2" t="n"/>
      <c r="P516" s="2" t="n"/>
      <c r="Q516" s="2" t="n"/>
      <c r="R516" s="2" t="n"/>
      <c r="S516" s="2" t="n"/>
      <c r="T516" s="2" t="n">
        <v>4</v>
      </c>
      <c r="U516" s="2" t="n"/>
      <c r="V516" s="2">
        <f>SUM(J516:U516)*G516</f>
        <v/>
      </c>
      <c r="W516" s="2">
        <f>MAX(J516:U516)</f>
        <v/>
      </c>
      <c r="X516" s="2">
        <f>W516*G516</f>
        <v/>
      </c>
    </row>
    <row r="517">
      <c r="A517" s="2" t="inlineStr">
        <is>
          <t>14-S-214</t>
        </is>
      </c>
      <c r="B517" s="3" t="inlineStr">
        <is>
          <t>SOJC-SM-SC/PC-FC/APC</t>
        </is>
      </c>
      <c r="C517" s="2" t="inlineStr">
        <is>
          <t>8M</t>
        </is>
      </c>
      <c r="D517" s="2" t="inlineStr">
        <is>
          <t>a1</t>
        </is>
      </c>
      <c r="E517" s="2" t="inlineStr">
        <is>
          <t>2.0mm</t>
        </is>
      </c>
      <c r="F517" s="2" t="n">
        <v>1</v>
      </c>
      <c r="G517" s="2" t="n">
        <v>8</v>
      </c>
      <c r="H517" s="2" t="inlineStr">
        <is>
          <t>SC/PC</t>
        </is>
      </c>
      <c r="I517" s="2" t="inlineStr">
        <is>
          <t>FC/APC</t>
        </is>
      </c>
      <c r="J517" s="2" t="n"/>
      <c r="K517" s="2" t="n"/>
      <c r="L517" s="2" t="n"/>
      <c r="M517" s="2" t="n"/>
      <c r="N517" s="2" t="n"/>
      <c r="O517" s="2" t="n"/>
      <c r="P517" s="2" t="n">
        <v>2</v>
      </c>
      <c r="Q517" s="2" t="n"/>
      <c r="R517" s="2" t="n"/>
      <c r="S517" s="2" t="n"/>
      <c r="T517" s="2" t="n"/>
      <c r="U517" s="2" t="n"/>
      <c r="V517" s="2">
        <f>SUM(J517:U517)*G517</f>
        <v/>
      </c>
      <c r="W517" s="2">
        <f>MAX(J517:U517)</f>
        <v/>
      </c>
      <c r="X517" s="2">
        <f>W517*G517</f>
        <v/>
      </c>
    </row>
    <row r="518">
      <c r="A518" s="2" t="inlineStr">
        <is>
          <t>14-S-237</t>
        </is>
      </c>
      <c r="B518" s="3" t="inlineStr">
        <is>
          <t>SOJC-SM-SC/PC-SC/APC</t>
        </is>
      </c>
      <c r="C518" s="2" t="inlineStr">
        <is>
          <t>15M</t>
        </is>
      </c>
      <c r="D518" s="2" t="inlineStr">
        <is>
          <t>a1</t>
        </is>
      </c>
      <c r="E518" s="2" t="inlineStr">
        <is>
          <t>2.0mm</t>
        </is>
      </c>
      <c r="F518" s="2" t="n">
        <v>1</v>
      </c>
      <c r="G518" s="2" t="n">
        <v>15</v>
      </c>
      <c r="H518" s="2" t="inlineStr">
        <is>
          <t>SC/PC</t>
        </is>
      </c>
      <c r="I518" s="2" t="inlineStr">
        <is>
          <t>SC/APC</t>
        </is>
      </c>
      <c r="J518" s="2" t="n"/>
      <c r="K518" s="2" t="n"/>
      <c r="L518" s="2" t="n">
        <v>30</v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>
        <f>SUM(J518:U518)*G518</f>
        <v/>
      </c>
      <c r="W518" s="2">
        <f>MAX(J518:U518)</f>
        <v/>
      </c>
      <c r="X518" s="2">
        <f>W518*G518</f>
        <v/>
      </c>
    </row>
    <row r="519">
      <c r="A519" s="2" t="inlineStr">
        <is>
          <t>14-S-241</t>
        </is>
      </c>
      <c r="B519" s="3" t="inlineStr">
        <is>
          <t>SOJC-SM-SC/PC-SC/APC</t>
        </is>
      </c>
      <c r="C519" s="2" t="inlineStr">
        <is>
          <t>20M</t>
        </is>
      </c>
      <c r="D519" s="2" t="inlineStr">
        <is>
          <t>a1</t>
        </is>
      </c>
      <c r="E519" s="2" t="inlineStr">
        <is>
          <t>2.0mm</t>
        </is>
      </c>
      <c r="F519" s="2" t="n">
        <v>1</v>
      </c>
      <c r="G519" s="2" t="n">
        <v>20</v>
      </c>
      <c r="H519" s="2" t="inlineStr">
        <is>
          <t>SC/PC</t>
        </is>
      </c>
      <c r="I519" s="2" t="inlineStr">
        <is>
          <t>SC/APC</t>
        </is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>
        <v>10</v>
      </c>
      <c r="V519" s="2">
        <f>SUM(J519:U519)*G519</f>
        <v/>
      </c>
      <c r="W519" s="2">
        <f>MAX(J519:U519)</f>
        <v/>
      </c>
      <c r="X519" s="2">
        <f>W519*G519</f>
        <v/>
      </c>
    </row>
    <row r="520">
      <c r="A520" s="2" t="inlineStr">
        <is>
          <t>14-S-249</t>
        </is>
      </c>
      <c r="B520" s="3" t="inlineStr">
        <is>
          <t>SOJC-SM-SC/PC-SC/APC</t>
        </is>
      </c>
      <c r="C520" s="2" t="inlineStr">
        <is>
          <t>3M</t>
        </is>
      </c>
      <c r="D520" s="2" t="inlineStr">
        <is>
          <t>a1</t>
        </is>
      </c>
      <c r="E520" s="2" t="inlineStr">
        <is>
          <t>2.0mm</t>
        </is>
      </c>
      <c r="F520" s="2" t="n">
        <v>1</v>
      </c>
      <c r="G520" s="2" t="n">
        <v>3</v>
      </c>
      <c r="H520" s="2" t="inlineStr">
        <is>
          <t>SC/PC</t>
        </is>
      </c>
      <c r="I520" s="2" t="inlineStr">
        <is>
          <t>SC/APC</t>
        </is>
      </c>
      <c r="J520" s="2" t="n"/>
      <c r="K520" s="2" t="n">
        <v>200</v>
      </c>
      <c r="L520" s="2" t="n">
        <v>200</v>
      </c>
      <c r="M520" s="2" t="n"/>
      <c r="N520" s="2" t="n">
        <v>50</v>
      </c>
      <c r="O520" s="2" t="n"/>
      <c r="P520" s="2" t="n"/>
      <c r="Q520" s="2" t="n"/>
      <c r="R520" s="2" t="n"/>
      <c r="S520" s="2" t="n"/>
      <c r="T520" s="2" t="n"/>
      <c r="U520" s="2" t="n"/>
      <c r="V520" s="2">
        <f>SUM(J520:U520)*G520</f>
        <v/>
      </c>
      <c r="W520" s="2">
        <f>MAX(J520:U520)</f>
        <v/>
      </c>
      <c r="X520" s="2">
        <f>W520*G520</f>
        <v/>
      </c>
    </row>
    <row r="521">
      <c r="A521" s="2" t="inlineStr">
        <is>
          <t>14-S-251</t>
        </is>
      </c>
      <c r="B521" s="3" t="inlineStr">
        <is>
          <t>SOJC-SM-SC/PC-SC/APC</t>
        </is>
      </c>
      <c r="C521" s="2" t="inlineStr">
        <is>
          <t>5M</t>
        </is>
      </c>
      <c r="D521" s="2" t="inlineStr">
        <is>
          <t>a1</t>
        </is>
      </c>
      <c r="E521" s="2" t="inlineStr">
        <is>
          <t>2.0mm</t>
        </is>
      </c>
      <c r="F521" s="2" t="n">
        <v>1</v>
      </c>
      <c r="G521" s="2" t="n">
        <v>5</v>
      </c>
      <c r="H521" s="2" t="inlineStr">
        <is>
          <t>SC/PC</t>
        </is>
      </c>
      <c r="I521" s="2" t="inlineStr">
        <is>
          <t>SC/APC</t>
        </is>
      </c>
      <c r="J521" s="2" t="n"/>
      <c r="K521" s="2" t="n">
        <v>2</v>
      </c>
      <c r="L521" s="2" t="n"/>
      <c r="M521" s="2" t="n"/>
      <c r="N521" s="2" t="n"/>
      <c r="O521" s="2" t="n"/>
      <c r="P521" s="2" t="n"/>
      <c r="Q521" s="2" t="n">
        <v>1</v>
      </c>
      <c r="R521" s="2" t="n"/>
      <c r="S521" s="2" t="n"/>
      <c r="T521" s="2" t="n"/>
      <c r="U521" s="2" t="n">
        <v>10</v>
      </c>
      <c r="V521" s="2">
        <f>SUM(J521:U521)*G521</f>
        <v/>
      </c>
      <c r="W521" s="2">
        <f>MAX(J521:U521)</f>
        <v/>
      </c>
      <c r="X521" s="2">
        <f>W521*G521</f>
        <v/>
      </c>
    </row>
    <row r="522">
      <c r="A522" s="2" t="inlineStr">
        <is>
          <t>14-S-261</t>
        </is>
      </c>
      <c r="B522" s="3" t="inlineStr">
        <is>
          <t>SOJC-SM-SC/PC-SC/PC</t>
        </is>
      </c>
      <c r="C522" s="2" t="inlineStr">
        <is>
          <t>1M</t>
        </is>
      </c>
      <c r="D522" s="2" t="inlineStr">
        <is>
          <t>a1</t>
        </is>
      </c>
      <c r="E522" s="2" t="inlineStr">
        <is>
          <t>2.0mm</t>
        </is>
      </c>
      <c r="F522" s="2" t="n">
        <v>1</v>
      </c>
      <c r="G522" s="2" t="n">
        <v>1</v>
      </c>
      <c r="H522" s="2" t="inlineStr">
        <is>
          <t>SC/PC</t>
        </is>
      </c>
      <c r="I522" s="2" t="inlineStr">
        <is>
          <t>SC/PC</t>
        </is>
      </c>
      <c r="J522" s="2" t="n"/>
      <c r="K522" s="2" t="n"/>
      <c r="L522" s="2" t="n">
        <v>100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>
        <f>SUM(J522:U522)*G522</f>
        <v/>
      </c>
      <c r="W522" s="2">
        <f>MAX(J522:U522)</f>
        <v/>
      </c>
      <c r="X522" s="2">
        <f>W522*G522</f>
        <v/>
      </c>
    </row>
    <row r="523">
      <c r="A523" s="2" t="inlineStr">
        <is>
          <t>14-S-268</t>
        </is>
      </c>
      <c r="B523" s="3" t="inlineStr">
        <is>
          <t>SOJC-SM-SC/PC-SC/PC</t>
        </is>
      </c>
      <c r="C523" s="2" t="inlineStr">
        <is>
          <t>3M</t>
        </is>
      </c>
      <c r="D523" s="2" t="inlineStr">
        <is>
          <t>a1</t>
        </is>
      </c>
      <c r="E523" s="2" t="inlineStr">
        <is>
          <t>2.0mm</t>
        </is>
      </c>
      <c r="F523" s="2" t="n">
        <v>1</v>
      </c>
      <c r="G523" s="2" t="n">
        <v>3</v>
      </c>
      <c r="H523" s="2" t="inlineStr">
        <is>
          <t>SC/PC</t>
        </is>
      </c>
      <c r="I523" s="2" t="inlineStr">
        <is>
          <t>SC/PC</t>
        </is>
      </c>
      <c r="J523" s="2" t="n"/>
      <c r="K523" s="2" t="n"/>
      <c r="L523" s="2" t="n">
        <v>300</v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>
        <f>SUM(J523:U523)*G523</f>
        <v/>
      </c>
      <c r="W523" s="2">
        <f>MAX(J523:U523)</f>
        <v/>
      </c>
      <c r="X523" s="2">
        <f>W523*G523</f>
        <v/>
      </c>
    </row>
    <row r="524">
      <c r="A524" s="2" t="inlineStr">
        <is>
          <t>14-S-390</t>
        </is>
      </c>
      <c r="B524" s="3" t="inlineStr">
        <is>
          <t>SOJC-SM-LC/APC-SC/APC</t>
        </is>
      </c>
      <c r="C524" s="2" t="inlineStr">
        <is>
          <t>20M</t>
        </is>
      </c>
      <c r="D524" s="2" t="inlineStr">
        <is>
          <t>a1</t>
        </is>
      </c>
      <c r="E524" s="2" t="inlineStr">
        <is>
          <t>2.0mm</t>
        </is>
      </c>
      <c r="F524" s="2" t="n">
        <v>1</v>
      </c>
      <c r="G524" s="2" t="n">
        <v>20</v>
      </c>
      <c r="H524" s="2" t="inlineStr">
        <is>
          <t>LC/APC</t>
        </is>
      </c>
      <c r="I524" s="2" t="inlineStr">
        <is>
          <t>SC/APC</t>
        </is>
      </c>
      <c r="J524" s="2" t="n"/>
      <c r="K524" s="2" t="n"/>
      <c r="L524" s="2" t="n"/>
      <c r="M524" s="2" t="n"/>
      <c r="N524" s="2" t="n"/>
      <c r="O524" s="2" t="n"/>
      <c r="P524" s="2" t="n">
        <v>10</v>
      </c>
      <c r="Q524" s="2" t="n"/>
      <c r="R524" s="2" t="n"/>
      <c r="S524" s="2" t="n"/>
      <c r="T524" s="2" t="n"/>
      <c r="U524" s="2" t="n"/>
      <c r="V524" s="2">
        <f>SUM(J524:U524)*G524</f>
        <v/>
      </c>
      <c r="W524" s="2">
        <f>MAX(J524:U524)</f>
        <v/>
      </c>
      <c r="X524" s="2">
        <f>W524*G524</f>
        <v/>
      </c>
    </row>
    <row r="525">
      <c r="A525" s="2" t="inlineStr">
        <is>
          <t>14-S-447</t>
        </is>
      </c>
      <c r="B525" s="3" t="inlineStr">
        <is>
          <t>SOJC-SM-LC/PC-LC/PC</t>
        </is>
      </c>
      <c r="C525" s="2" t="inlineStr">
        <is>
          <t>5M_청색케이블</t>
        </is>
      </c>
      <c r="D525" s="2" t="inlineStr">
        <is>
          <t>a1-청</t>
        </is>
      </c>
      <c r="E525" s="2" t="inlineStr">
        <is>
          <t>2.0mm</t>
        </is>
      </c>
      <c r="F525" s="2" t="n">
        <v>1</v>
      </c>
      <c r="G525" s="2" t="n">
        <v>5</v>
      </c>
      <c r="H525" s="2" t="inlineStr">
        <is>
          <t>LC/PC</t>
        </is>
      </c>
      <c r="I525" s="2" t="inlineStr">
        <is>
          <t>LC/PC</t>
        </is>
      </c>
      <c r="J525" s="2" t="n"/>
      <c r="K525" s="2" t="n"/>
      <c r="L525" s="2" t="n"/>
      <c r="M525" s="2" t="n">
        <v>150</v>
      </c>
      <c r="N525" s="2" t="n">
        <v>200</v>
      </c>
      <c r="O525" s="2" t="n"/>
      <c r="P525" s="2" t="n"/>
      <c r="Q525" s="2" t="n"/>
      <c r="R525" s="2" t="n"/>
      <c r="S525" s="2" t="n"/>
      <c r="T525" s="2" t="n"/>
      <c r="U525" s="2" t="n"/>
      <c r="V525" s="2">
        <f>SUM(J525:U525)*G525</f>
        <v/>
      </c>
      <c r="W525" s="2">
        <f>MAX(J525:U525)</f>
        <v/>
      </c>
      <c r="X525" s="2">
        <f>W525*G525</f>
        <v/>
      </c>
    </row>
    <row r="526">
      <c r="A526" s="2" t="inlineStr">
        <is>
          <t>14-S-500</t>
        </is>
      </c>
      <c r="B526" s="3" t="inlineStr">
        <is>
          <t>SOJC-SM-LC/PC-SC/APC</t>
        </is>
      </c>
      <c r="C526" s="2" t="inlineStr">
        <is>
          <t>0.3M</t>
        </is>
      </c>
      <c r="D526" s="2" t="inlineStr">
        <is>
          <t>a1</t>
        </is>
      </c>
      <c r="E526" s="2" t="inlineStr">
        <is>
          <t>2.0mm</t>
        </is>
      </c>
      <c r="F526" s="2" t="n">
        <v>1</v>
      </c>
      <c r="G526" s="2" t="n">
        <v>0.3</v>
      </c>
      <c r="H526" s="2" t="inlineStr">
        <is>
          <t>LC/PC</t>
        </is>
      </c>
      <c r="I526" s="2" t="inlineStr">
        <is>
          <t>SC/APC</t>
        </is>
      </c>
      <c r="J526" s="2" t="n"/>
      <c r="K526" s="2" t="n"/>
      <c r="L526" s="2" t="n"/>
      <c r="M526" s="2" t="n"/>
      <c r="N526" s="2" t="n"/>
      <c r="O526" s="2" t="n"/>
      <c r="P526" s="2" t="n">
        <v>100</v>
      </c>
      <c r="Q526" s="2" t="n"/>
      <c r="R526" s="2" t="n"/>
      <c r="S526" s="2" t="n">
        <v>100</v>
      </c>
      <c r="T526" s="2" t="n"/>
      <c r="U526" s="2" t="n"/>
      <c r="V526" s="2">
        <f>SUM(J526:U526)*G526</f>
        <v/>
      </c>
      <c r="W526" s="2">
        <f>MAX(J526:U526)</f>
        <v/>
      </c>
      <c r="X526" s="2">
        <f>W526*G526</f>
        <v/>
      </c>
    </row>
    <row r="527">
      <c r="A527" s="2" t="inlineStr">
        <is>
          <t>14-S-852</t>
        </is>
      </c>
      <c r="B527" s="3" t="inlineStr">
        <is>
          <t>OJC-A1-SC/SC-SM-3-PC/PC-SP</t>
        </is>
      </c>
      <c r="C527" s="2" t="inlineStr">
        <is>
          <t>K9088996_녹색</t>
        </is>
      </c>
      <c r="D527" s="2" t="inlineStr">
        <is>
          <t>a1-녹</t>
        </is>
      </c>
      <c r="E527" s="2" t="inlineStr">
        <is>
          <t>2.0mm</t>
        </is>
      </c>
      <c r="F527" s="2" t="n">
        <v>1</v>
      </c>
      <c r="G527" s="2" t="n">
        <v>3</v>
      </c>
      <c r="H527" s="2" t="inlineStr">
        <is>
          <t>SC/PC</t>
        </is>
      </c>
      <c r="I527" s="2" t="inlineStr">
        <is>
          <t>SC/PC</t>
        </is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>
        <v>100</v>
      </c>
      <c r="T527" s="2" t="n"/>
      <c r="U527" s="2" t="n"/>
      <c r="V527" s="2">
        <f>SUM(J527:U527)*G527</f>
        <v/>
      </c>
      <c r="W527" s="2">
        <f>MAX(J527:U527)</f>
        <v/>
      </c>
      <c r="X527" s="2">
        <f>W527*G527</f>
        <v/>
      </c>
    </row>
    <row r="528">
      <c r="A528" s="2" t="inlineStr">
        <is>
          <t>14-S-867</t>
        </is>
      </c>
      <c r="B528" s="3" t="inlineStr">
        <is>
          <t>OJC-A1-SC/LC-SM-0.3-PC/PC-SP</t>
        </is>
      </c>
      <c r="C528" s="2" t="inlineStr"/>
      <c r="D528" s="2" t="inlineStr">
        <is>
          <t>a1</t>
        </is>
      </c>
      <c r="E528" s="2" t="inlineStr">
        <is>
          <t>2.0mm</t>
        </is>
      </c>
      <c r="F528" s="2" t="n">
        <v>1</v>
      </c>
      <c r="G528" s="2" t="n">
        <v>0.3</v>
      </c>
      <c r="H528" s="2" t="inlineStr">
        <is>
          <t>SC/PC</t>
        </is>
      </c>
      <c r="I528" s="2" t="inlineStr">
        <is>
          <t>LC/PC</t>
        </is>
      </c>
      <c r="J528" s="2" t="n"/>
      <c r="K528" s="2" t="n"/>
      <c r="L528" s="2" t="n"/>
      <c r="M528" s="2" t="n"/>
      <c r="N528" s="2" t="n">
        <v>1</v>
      </c>
      <c r="O528" s="2" t="n">
        <v>526</v>
      </c>
      <c r="P528" s="2" t="n"/>
      <c r="Q528" s="2" t="n">
        <v>18</v>
      </c>
      <c r="R528" s="2" t="n"/>
      <c r="S528" s="2" t="n"/>
      <c r="T528" s="2" t="n"/>
      <c r="U528" s="2" t="n"/>
      <c r="V528" s="2">
        <f>SUM(J528:U528)*G528</f>
        <v/>
      </c>
      <c r="W528" s="2">
        <f>MAX(J528:U528)</f>
        <v/>
      </c>
      <c r="X528" s="2">
        <f>W528*G528</f>
        <v/>
      </c>
    </row>
    <row r="529">
      <c r="A529" s="2" t="inlineStr">
        <is>
          <t>14-S-868</t>
        </is>
      </c>
      <c r="B529" s="3" t="inlineStr">
        <is>
          <t>OJC-A1-SC/SC-SM-0.3-PC/PC-SP</t>
        </is>
      </c>
      <c r="C529" s="2" t="inlineStr"/>
      <c r="D529" s="2" t="inlineStr">
        <is>
          <t>a1</t>
        </is>
      </c>
      <c r="E529" s="2" t="inlineStr">
        <is>
          <t>2.0mm</t>
        </is>
      </c>
      <c r="F529" s="2" t="n">
        <v>1</v>
      </c>
      <c r="G529" s="2" t="n">
        <v>0.3</v>
      </c>
      <c r="H529" s="2" t="inlineStr">
        <is>
          <t>SC/PC</t>
        </is>
      </c>
      <c r="I529" s="2" t="inlineStr">
        <is>
          <t>SC/PC</t>
        </is>
      </c>
      <c r="J529" s="2" t="n"/>
      <c r="K529" s="2" t="n"/>
      <c r="L529" s="2" t="n"/>
      <c r="M529" s="2" t="n"/>
      <c r="N529" s="2" t="n"/>
      <c r="O529" s="2" t="n"/>
      <c r="P529" s="2" t="n"/>
      <c r="Q529" s="2" t="n">
        <v>19</v>
      </c>
      <c r="R529" s="2" t="n"/>
      <c r="S529" s="2" t="n"/>
      <c r="T529" s="2" t="n"/>
      <c r="U529" s="2" t="n"/>
      <c r="V529" s="2">
        <f>SUM(J529:U529)*G529</f>
        <v/>
      </c>
      <c r="W529" s="2">
        <f>MAX(J529:U529)</f>
        <v/>
      </c>
      <c r="X529" s="2">
        <f>W529*G529</f>
        <v/>
      </c>
    </row>
    <row r="530">
      <c r="A530" s="2" t="inlineStr">
        <is>
          <t>14-S-897</t>
        </is>
      </c>
      <c r="B530" s="3" t="inlineStr">
        <is>
          <t>SOJC-SM-LC/PC-LC-PC</t>
        </is>
      </c>
      <c r="C530" s="2" t="inlineStr">
        <is>
          <t>7M,청색 케이블</t>
        </is>
      </c>
      <c r="D530" s="2" t="inlineStr">
        <is>
          <t>a1-청</t>
        </is>
      </c>
      <c r="E530" s="2" t="inlineStr">
        <is>
          <t>2.0mm</t>
        </is>
      </c>
      <c r="F530" s="2" t="n">
        <v>1</v>
      </c>
      <c r="G530" s="2" t="n">
        <v>7</v>
      </c>
      <c r="H530" s="2" t="inlineStr">
        <is>
          <t>LC/PC</t>
        </is>
      </c>
      <c r="I530" s="2" t="inlineStr">
        <is>
          <t>LC/PC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>
        <v>150</v>
      </c>
      <c r="S530" s="2" t="n"/>
      <c r="T530" s="2" t="n"/>
      <c r="U530" s="2" t="n"/>
      <c r="V530" s="2">
        <f>SUM(J530:U530)*G530</f>
        <v/>
      </c>
      <c r="W530" s="2">
        <f>MAX(J530:U530)</f>
        <v/>
      </c>
      <c r="X530" s="2">
        <f>W530*G530</f>
        <v/>
      </c>
    </row>
    <row r="531">
      <c r="A531" s="2" t="inlineStr">
        <is>
          <t>14-S-A001</t>
        </is>
      </c>
      <c r="B531" s="3" t="inlineStr">
        <is>
          <t>SOJC-SM-LC/PC-LC-PC</t>
        </is>
      </c>
      <c r="C531" s="2" t="inlineStr">
        <is>
          <t>13M,청색 케이블</t>
        </is>
      </c>
      <c r="D531" s="2" t="inlineStr">
        <is>
          <t>a1-청</t>
        </is>
      </c>
      <c r="E531" s="2" t="inlineStr">
        <is>
          <t>2.0mm</t>
        </is>
      </c>
      <c r="F531" s="2" t="n">
        <v>1</v>
      </c>
      <c r="G531" s="2" t="n">
        <v>13</v>
      </c>
      <c r="H531" s="2" t="inlineStr">
        <is>
          <t>LC/PC</t>
        </is>
      </c>
      <c r="I531" s="2" t="inlineStr">
        <is>
          <t>LC/PC</t>
        </is>
      </c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>
        <v>200</v>
      </c>
      <c r="S531" s="2" t="n"/>
      <c r="T531" s="2" t="n"/>
      <c r="U531" s="2" t="n"/>
      <c r="V531" s="2">
        <f>SUM(J531:U531)*G531</f>
        <v/>
      </c>
      <c r="W531" s="2">
        <f>MAX(J531:U531)</f>
        <v/>
      </c>
      <c r="X531" s="2">
        <f>W531*G531</f>
        <v/>
      </c>
    </row>
    <row r="532">
      <c r="A532" s="2" t="inlineStr">
        <is>
          <t>14-S-A042</t>
        </is>
      </c>
      <c r="B532" s="3" t="inlineStr">
        <is>
          <t>SOJC-SM-LC/PC-FC/APC</t>
        </is>
      </c>
      <c r="C532" s="2" t="inlineStr">
        <is>
          <t>0.2M</t>
        </is>
      </c>
      <c r="D532" s="2" t="inlineStr">
        <is>
          <t>a1</t>
        </is>
      </c>
      <c r="E532" s="2" t="inlineStr">
        <is>
          <t>2.0mm</t>
        </is>
      </c>
      <c r="F532" s="2" t="n">
        <v>1</v>
      </c>
      <c r="G532" s="2" t="n">
        <v>0.2</v>
      </c>
      <c r="H532" s="2" t="inlineStr">
        <is>
          <t>LC/PC</t>
        </is>
      </c>
      <c r="I532" s="2" t="inlineStr">
        <is>
          <t>FC/APC</t>
        </is>
      </c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>
        <v>30</v>
      </c>
      <c r="T532" s="2" t="n"/>
      <c r="U532" s="2" t="n"/>
      <c r="V532" s="2">
        <f>SUM(J532:U532)*G532</f>
        <v/>
      </c>
      <c r="W532" s="2">
        <f>MAX(J532:U532)</f>
        <v/>
      </c>
      <c r="X532" s="2">
        <f>W532*G532</f>
        <v/>
      </c>
    </row>
    <row r="533">
      <c r="A533" s="2" t="inlineStr">
        <is>
          <t>14-S-A375</t>
        </is>
      </c>
      <c r="B533" s="3" t="inlineStr">
        <is>
          <t>SOJC-SM-LC/PC-LC/PC</t>
        </is>
      </c>
      <c r="C533" s="2" t="inlineStr">
        <is>
          <t>10M, 적색케이블</t>
        </is>
      </c>
      <c r="D533" s="2" t="inlineStr">
        <is>
          <t>a1-적</t>
        </is>
      </c>
      <c r="E533" s="2" t="inlineStr">
        <is>
          <t>2.0mm</t>
        </is>
      </c>
      <c r="F533" s="2" t="n">
        <v>1</v>
      </c>
      <c r="G533" s="2" t="n">
        <v>10</v>
      </c>
      <c r="H533" s="2" t="inlineStr">
        <is>
          <t>LC/PC</t>
        </is>
      </c>
      <c r="I533" s="2" t="inlineStr">
        <is>
          <t>LC/PC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>
        <v>30</v>
      </c>
      <c r="V533" s="2">
        <f>SUM(J533:U533)*G533</f>
        <v/>
      </c>
      <c r="W533" s="2">
        <f>MAX(J533:U533)</f>
        <v/>
      </c>
      <c r="X533" s="2">
        <f>W533*G533</f>
        <v/>
      </c>
    </row>
    <row r="534">
      <c r="A534" s="2" t="inlineStr">
        <is>
          <t>14-k-727</t>
        </is>
      </c>
      <c r="B534" s="3" t="inlineStr">
        <is>
          <t>OJC-C2-SC/SC-SM-6-PC/PC-16C</t>
        </is>
      </c>
      <c r="C534" s="2" t="inlineStr">
        <is>
          <t>K9094339</t>
        </is>
      </c>
      <c r="D534" s="2" t="inlineStr">
        <is>
          <t>a1-16c</t>
        </is>
      </c>
      <c r="E534" s="2" t="inlineStr">
        <is>
          <t>2.0mm</t>
        </is>
      </c>
      <c r="F534" s="2" t="n">
        <v>16</v>
      </c>
      <c r="G534" s="2" t="n">
        <v>6</v>
      </c>
      <c r="H534" s="2" t="inlineStr">
        <is>
          <t>SC/PC</t>
        </is>
      </c>
      <c r="I534" s="2" t="inlineStr">
        <is>
          <t>SC/PC</t>
        </is>
      </c>
      <c r="J534" s="2" t="n"/>
      <c r="K534" s="2" t="n"/>
      <c r="L534" s="2" t="n"/>
      <c r="M534" s="2" t="n"/>
      <c r="N534" s="2" t="n"/>
      <c r="O534" s="2" t="n"/>
      <c r="P534" s="2" t="n">
        <v>15</v>
      </c>
      <c r="Q534" s="2" t="n"/>
      <c r="R534" s="2" t="n">
        <v>29</v>
      </c>
      <c r="S534" s="2" t="n"/>
      <c r="T534" s="2" t="n"/>
      <c r="U534" s="2" t="n"/>
      <c r="V534" s="2">
        <f>SUM(J534:U534)*G534</f>
        <v/>
      </c>
      <c r="W534" s="2">
        <f>MAX(J534:U534)</f>
        <v/>
      </c>
      <c r="X534" s="2">
        <f>W534*G534</f>
        <v/>
      </c>
    </row>
    <row r="535">
      <c r="A535" s="2" t="inlineStr">
        <is>
          <t>45-A-123</t>
        </is>
      </c>
      <c r="B535" s="3" t="inlineStr">
        <is>
          <t>DOJC-SM-LC/PC-FC/APC</t>
        </is>
      </c>
      <c r="C535" s="2" t="inlineStr">
        <is>
          <t>B3, 13M</t>
        </is>
      </c>
      <c r="D535" s="2" t="inlineStr">
        <is>
          <t>b3</t>
        </is>
      </c>
      <c r="E535" s="2" t="inlineStr">
        <is>
          <t>2.0mm</t>
        </is>
      </c>
      <c r="F535" s="2" t="n">
        <v>2</v>
      </c>
      <c r="G535" s="2" t="n">
        <v>13</v>
      </c>
      <c r="H535" s="2" t="inlineStr">
        <is>
          <t>LC/PC</t>
        </is>
      </c>
      <c r="I535" s="2" t="inlineStr">
        <is>
          <t>FC/APC</t>
        </is>
      </c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>
        <v>4</v>
      </c>
      <c r="S535" s="2" t="n"/>
      <c r="T535" s="2" t="n"/>
      <c r="U535" s="2" t="n"/>
      <c r="V535" s="2">
        <f>SUM(J535:U535)*G535</f>
        <v/>
      </c>
      <c r="W535" s="2">
        <f>MAX(J535:U535)</f>
        <v/>
      </c>
      <c r="X535" s="2">
        <f>W535*G535</f>
        <v/>
      </c>
    </row>
    <row r="536">
      <c r="A536" s="2" t="inlineStr">
        <is>
          <t>A14-D-FA/FA-B-N-014</t>
        </is>
      </c>
      <c r="B536" s="3" t="inlineStr">
        <is>
          <t>DOJC-SM-FC/APC-FC/APC</t>
        </is>
      </c>
      <c r="C536" s="2" t="inlineStr">
        <is>
          <t>908040655, 8M, B3, 2.0mm</t>
        </is>
      </c>
      <c r="D536" s="2" t="inlineStr">
        <is>
          <t>b3</t>
        </is>
      </c>
      <c r="E536" s="2" t="inlineStr">
        <is>
          <t>2.0mm</t>
        </is>
      </c>
      <c r="F536" s="2" t="n">
        <v>2</v>
      </c>
      <c r="G536" s="2" t="n">
        <v>8</v>
      </c>
      <c r="H536" s="2" t="inlineStr">
        <is>
          <t>FC/APC</t>
        </is>
      </c>
      <c r="I536" s="2" t="inlineStr">
        <is>
          <t>FC/APC</t>
        </is>
      </c>
      <c r="J536" s="2" t="n"/>
      <c r="K536" s="2" t="n"/>
      <c r="L536" s="2" t="n">
        <v>2</v>
      </c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>
        <f>SUM(J536:U536)*G536</f>
        <v/>
      </c>
      <c r="W536" s="2">
        <f>MAX(J536:U536)</f>
        <v/>
      </c>
      <c r="X536" s="2">
        <f>W536*G536</f>
        <v/>
      </c>
    </row>
    <row r="537">
      <c r="A537" s="2" t="inlineStr">
        <is>
          <t>A14-D-FP/FA-B-N-001</t>
        </is>
      </c>
      <c r="B537" s="3" t="inlineStr">
        <is>
          <t>DOJC-SM-FC/PC-FC/APC</t>
        </is>
      </c>
      <c r="C537" s="2" t="inlineStr">
        <is>
          <t>908040627, 10M, B3, 2.0mm</t>
        </is>
      </c>
      <c r="D537" s="2" t="inlineStr">
        <is>
          <t>b3</t>
        </is>
      </c>
      <c r="E537" s="2" t="inlineStr">
        <is>
          <t>2.0mm</t>
        </is>
      </c>
      <c r="F537" s="2" t="n">
        <v>2</v>
      </c>
      <c r="G537" s="2" t="n">
        <v>10</v>
      </c>
      <c r="H537" s="2" t="inlineStr">
        <is>
          <t>FC/PC</t>
        </is>
      </c>
      <c r="I537" s="2" t="inlineStr">
        <is>
          <t>FC/APC</t>
        </is>
      </c>
      <c r="J537" s="2" t="n"/>
      <c r="K537" s="2" t="n"/>
      <c r="L537" s="2" t="n"/>
      <c r="M537" s="2" t="n"/>
      <c r="N537" s="2" t="n"/>
      <c r="O537" s="2" t="n"/>
      <c r="P537" s="2" t="n"/>
      <c r="Q537" s="2" t="n">
        <v>10</v>
      </c>
      <c r="R537" s="2" t="n"/>
      <c r="S537" s="2" t="n"/>
      <c r="T537" s="2" t="n"/>
      <c r="U537" s="2" t="n"/>
      <c r="V537" s="2">
        <f>SUM(J537:U537)*G537</f>
        <v/>
      </c>
      <c r="W537" s="2">
        <f>MAX(J537:U537)</f>
        <v/>
      </c>
      <c r="X537" s="2">
        <f>W537*G537</f>
        <v/>
      </c>
    </row>
    <row r="538">
      <c r="A538" s="2" t="inlineStr">
        <is>
          <t>A14-D-FP/FA-B-N-010</t>
        </is>
      </c>
      <c r="B538" s="3" t="inlineStr">
        <is>
          <t>DOJC-SM-FC/PC-FC/APC</t>
        </is>
      </c>
      <c r="C538" s="2" t="inlineStr">
        <is>
          <t>908040622, 5M, B3, 3.0mm</t>
        </is>
      </c>
      <c r="D538" s="2" t="inlineStr">
        <is>
          <t>b3</t>
        </is>
      </c>
      <c r="E538" s="2" t="inlineStr">
        <is>
          <t>3.0mm</t>
        </is>
      </c>
      <c r="F538" s="2" t="n">
        <v>2</v>
      </c>
      <c r="G538" s="2" t="n">
        <v>5</v>
      </c>
      <c r="H538" s="2" t="inlineStr">
        <is>
          <t>FC/PC</t>
        </is>
      </c>
      <c r="I538" s="2" t="inlineStr">
        <is>
          <t>FC/APC</t>
        </is>
      </c>
      <c r="J538" s="2" t="n"/>
      <c r="K538" s="2" t="n"/>
      <c r="L538" s="2" t="n"/>
      <c r="M538" s="2" t="n"/>
      <c r="N538" s="2" t="n"/>
      <c r="O538" s="2" t="n"/>
      <c r="P538" s="2" t="n"/>
      <c r="Q538" s="2" t="n">
        <v>8</v>
      </c>
      <c r="R538" s="2" t="n"/>
      <c r="S538" s="2" t="n"/>
      <c r="T538" s="2" t="n"/>
      <c r="U538" s="2" t="n"/>
      <c r="V538" s="2">
        <f>SUM(J538:U538)*G538</f>
        <v/>
      </c>
      <c r="W538" s="2">
        <f>MAX(J538:U538)</f>
        <v/>
      </c>
      <c r="X538" s="2">
        <f>W538*G538</f>
        <v/>
      </c>
    </row>
    <row r="539">
      <c r="A539" s="2" t="inlineStr">
        <is>
          <t>A14-D-FP/FP-B-N-004</t>
        </is>
      </c>
      <c r="B539" s="3" t="inlineStr">
        <is>
          <t>DOJC-SM-FC/PC-FC/PC</t>
        </is>
      </c>
      <c r="C539" s="2" t="inlineStr">
        <is>
          <t>908040607, 20M, B3, 2.0mm</t>
        </is>
      </c>
      <c r="D539" s="2" t="inlineStr">
        <is>
          <t>b3</t>
        </is>
      </c>
      <c r="E539" s="2" t="inlineStr">
        <is>
          <t>2.0mm</t>
        </is>
      </c>
      <c r="F539" s="2" t="n">
        <v>2</v>
      </c>
      <c r="G539" s="2" t="n">
        <v>20</v>
      </c>
      <c r="H539" s="2" t="inlineStr">
        <is>
          <t>FC/PC</t>
        </is>
      </c>
      <c r="I539" s="2" t="inlineStr">
        <is>
          <t>FC/PC</t>
        </is>
      </c>
      <c r="J539" s="2" t="n"/>
      <c r="K539" s="2" t="n"/>
      <c r="L539" s="2" t="n"/>
      <c r="M539" s="2" t="n"/>
      <c r="N539" s="2" t="n"/>
      <c r="O539" s="2" t="n"/>
      <c r="P539" s="2" t="n">
        <v>30</v>
      </c>
      <c r="Q539" s="2" t="n">
        <v>10</v>
      </c>
      <c r="R539" s="2" t="n"/>
      <c r="S539" s="2" t="n"/>
      <c r="T539" s="2" t="n"/>
      <c r="U539" s="2" t="n">
        <v>10</v>
      </c>
      <c r="V539" s="2">
        <f>SUM(J539:U539)*G539</f>
        <v/>
      </c>
      <c r="W539" s="2">
        <f>MAX(J539:U539)</f>
        <v/>
      </c>
      <c r="X539" s="2">
        <f>W539*G539</f>
        <v/>
      </c>
    </row>
    <row r="540">
      <c r="A540" s="2" t="inlineStr">
        <is>
          <t>A14-D-FP/FP-B-N-005</t>
        </is>
      </c>
      <c r="B540" s="3" t="inlineStr">
        <is>
          <t>DOJC-SM-FC/PC-FC/PC</t>
        </is>
      </c>
      <c r="C540" s="2" t="inlineStr">
        <is>
          <t>908040612, 25M, B3, 2.0mm</t>
        </is>
      </c>
      <c r="D540" s="2" t="inlineStr">
        <is>
          <t>b3</t>
        </is>
      </c>
      <c r="E540" s="2" t="inlineStr">
        <is>
          <t>2.0mm</t>
        </is>
      </c>
      <c r="F540" s="2" t="n">
        <v>2</v>
      </c>
      <c r="G540" s="2" t="n">
        <v>25</v>
      </c>
      <c r="H540" s="2" t="inlineStr">
        <is>
          <t>FC/PC</t>
        </is>
      </c>
      <c r="I540" s="2" t="inlineStr">
        <is>
          <t>FC/PC</t>
        </is>
      </c>
      <c r="J540" s="2" t="n"/>
      <c r="K540" s="2" t="n"/>
      <c r="L540" s="2" t="n">
        <v>20</v>
      </c>
      <c r="M540" s="2" t="n"/>
      <c r="N540" s="2" t="n"/>
      <c r="O540" s="2" t="n"/>
      <c r="P540" s="2" t="n">
        <v>30</v>
      </c>
      <c r="Q540" s="2" t="n">
        <v>10</v>
      </c>
      <c r="R540" s="2" t="n"/>
      <c r="S540" s="2" t="n"/>
      <c r="T540" s="2" t="n"/>
      <c r="U540" s="2" t="n"/>
      <c r="V540" s="2">
        <f>SUM(J540:U540)*G540</f>
        <v/>
      </c>
      <c r="W540" s="2">
        <f>MAX(J540:U540)</f>
        <v/>
      </c>
      <c r="X540" s="2">
        <f>W540*G540</f>
        <v/>
      </c>
    </row>
    <row r="541">
      <c r="A541" s="2" t="inlineStr">
        <is>
          <t>A14-D-FP/FP-B-N-007</t>
        </is>
      </c>
      <c r="B541" s="3" t="inlineStr">
        <is>
          <t>DOJC-SM-FC/PC-FC/PC</t>
        </is>
      </c>
      <c r="C541" s="2" t="inlineStr">
        <is>
          <t>908040617, 30M, B3, 2.0mm</t>
        </is>
      </c>
      <c r="D541" s="2" t="inlineStr">
        <is>
          <t>b3</t>
        </is>
      </c>
      <c r="E541" s="2" t="inlineStr">
        <is>
          <t>2.0mm</t>
        </is>
      </c>
      <c r="F541" s="2" t="n">
        <v>2</v>
      </c>
      <c r="G541" s="2" t="n">
        <v>30</v>
      </c>
      <c r="H541" s="2" t="inlineStr">
        <is>
          <t>FC/PC</t>
        </is>
      </c>
      <c r="I541" s="2" t="inlineStr">
        <is>
          <t>FC/PC</t>
        </is>
      </c>
      <c r="J541" s="2" t="n"/>
      <c r="K541" s="2" t="n"/>
      <c r="L541" s="2" t="n"/>
      <c r="M541" s="2" t="n"/>
      <c r="N541" s="2" t="n"/>
      <c r="O541" s="2" t="n"/>
      <c r="P541" s="2" t="n"/>
      <c r="Q541" s="2" t="n">
        <v>5</v>
      </c>
      <c r="R541" s="2" t="n"/>
      <c r="S541" s="2" t="n"/>
      <c r="T541" s="2" t="n"/>
      <c r="U541" s="2" t="n">
        <v>5</v>
      </c>
      <c r="V541" s="2">
        <f>SUM(J541:U541)*G541</f>
        <v/>
      </c>
      <c r="W541" s="2">
        <f>MAX(J541:U541)</f>
        <v/>
      </c>
      <c r="X541" s="2">
        <f>W541*G541</f>
        <v/>
      </c>
    </row>
    <row r="542">
      <c r="A542" s="2" t="inlineStr">
        <is>
          <t>A14-D-FP/FP-B-N-008</t>
        </is>
      </c>
      <c r="B542" s="3" t="inlineStr">
        <is>
          <t>DOJC-SM-FC/PC-FC/PC</t>
        </is>
      </c>
      <c r="C542" s="2" t="inlineStr">
        <is>
          <t>908040588, 3M, B3, 3.0mm</t>
        </is>
      </c>
      <c r="D542" s="2" t="inlineStr">
        <is>
          <t>b3</t>
        </is>
      </c>
      <c r="E542" s="2" t="inlineStr">
        <is>
          <t>3.0mm</t>
        </is>
      </c>
      <c r="F542" s="2" t="n">
        <v>2</v>
      </c>
      <c r="G542" s="2" t="n">
        <v>3</v>
      </c>
      <c r="H542" s="2" t="inlineStr">
        <is>
          <t>FC/PC</t>
        </is>
      </c>
      <c r="I542" s="2" t="inlineStr">
        <is>
          <t>FC/PC</t>
        </is>
      </c>
      <c r="J542" s="2" t="n"/>
      <c r="K542" s="2" t="n"/>
      <c r="L542" s="2" t="n"/>
      <c r="M542" s="2" t="n"/>
      <c r="N542" s="2" t="n"/>
      <c r="O542" s="2" t="n"/>
      <c r="P542" s="2" t="n"/>
      <c r="Q542" s="2" t="n">
        <v>10</v>
      </c>
      <c r="R542" s="2" t="n"/>
      <c r="S542" s="2" t="n"/>
      <c r="T542" s="2" t="n"/>
      <c r="U542" s="2" t="n"/>
      <c r="V542" s="2">
        <f>SUM(J542:U542)*G542</f>
        <v/>
      </c>
      <c r="W542" s="2">
        <f>MAX(J542:U542)</f>
        <v/>
      </c>
      <c r="X542" s="2">
        <f>W542*G542</f>
        <v/>
      </c>
    </row>
    <row r="543">
      <c r="A543" s="2" t="inlineStr">
        <is>
          <t>A14-D-LA/LA-B-N-007</t>
        </is>
      </c>
      <c r="B543" s="3" t="inlineStr">
        <is>
          <t>DOJC-SM-LC/APC-LC/APC</t>
        </is>
      </c>
      <c r="C543" s="2" t="inlineStr">
        <is>
          <t>930003858, 5M, B3, 3.0mm</t>
        </is>
      </c>
      <c r="D543" s="2" t="inlineStr">
        <is>
          <t>b3</t>
        </is>
      </c>
      <c r="E543" s="2" t="inlineStr">
        <is>
          <t>3.0mm</t>
        </is>
      </c>
      <c r="F543" s="2" t="n">
        <v>2</v>
      </c>
      <c r="G543" s="2" t="n">
        <v>5</v>
      </c>
      <c r="H543" s="2" t="inlineStr">
        <is>
          <t>LC/APC</t>
        </is>
      </c>
      <c r="I543" s="2" t="inlineStr">
        <is>
          <t>LC/APC</t>
        </is>
      </c>
      <c r="J543" s="2" t="n"/>
      <c r="K543" s="2" t="n"/>
      <c r="L543" s="2" t="n"/>
      <c r="M543" s="2" t="n">
        <v>20</v>
      </c>
      <c r="N543" s="2" t="n">
        <v>10</v>
      </c>
      <c r="O543" s="2" t="n"/>
      <c r="P543" s="2" t="n"/>
      <c r="Q543" s="2" t="n"/>
      <c r="R543" s="2" t="n"/>
      <c r="S543" s="2" t="n"/>
      <c r="T543" s="2" t="n"/>
      <c r="U543" s="2" t="n"/>
      <c r="V543" s="2">
        <f>SUM(J543:U543)*G543</f>
        <v/>
      </c>
      <c r="W543" s="2">
        <f>MAX(J543:U543)</f>
        <v/>
      </c>
      <c r="X543" s="2">
        <f>W543*G543</f>
        <v/>
      </c>
    </row>
    <row r="544">
      <c r="A544" s="2" t="inlineStr">
        <is>
          <t>A14-D-LP/FA-B-N-004</t>
        </is>
      </c>
      <c r="B544" s="3" t="inlineStr">
        <is>
          <t>DOJC-SM-LC/PC-FC/APC</t>
        </is>
      </c>
      <c r="C544" s="2" t="inlineStr">
        <is>
          <t>908040524, 1M, B3, 3.0mm</t>
        </is>
      </c>
      <c r="D544" s="2" t="inlineStr">
        <is>
          <t>b3</t>
        </is>
      </c>
      <c r="E544" s="2" t="inlineStr">
        <is>
          <t>3.0mm</t>
        </is>
      </c>
      <c r="F544" s="2" t="n">
        <v>2</v>
      </c>
      <c r="G544" s="2" t="n">
        <v>1</v>
      </c>
      <c r="H544" s="2" t="inlineStr">
        <is>
          <t>LC/PC</t>
        </is>
      </c>
      <c r="I544" s="2" t="inlineStr">
        <is>
          <t>FC/APC</t>
        </is>
      </c>
      <c r="J544" s="2" t="n"/>
      <c r="K544" s="2" t="n">
        <v>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>
        <f>SUM(J544:U544)*G544</f>
        <v/>
      </c>
      <c r="W544" s="2">
        <f>MAX(J544:U544)</f>
        <v/>
      </c>
      <c r="X544" s="2">
        <f>W544*G544</f>
        <v/>
      </c>
    </row>
    <row r="545">
      <c r="A545" s="2" t="inlineStr">
        <is>
          <t>A14-D-LP/FP-B-N-009</t>
        </is>
      </c>
      <c r="B545" s="3" t="inlineStr">
        <is>
          <t>DOJC-SM-LC/PC-FC/PC</t>
        </is>
      </c>
      <c r="C545" s="2" t="inlineStr">
        <is>
          <t>908040713, 3M, B3, 3.0mm</t>
        </is>
      </c>
      <c r="D545" s="2" t="inlineStr">
        <is>
          <t>b3</t>
        </is>
      </c>
      <c r="E545" s="2" t="inlineStr">
        <is>
          <t>3.0mm</t>
        </is>
      </c>
      <c r="F545" s="2" t="n">
        <v>2</v>
      </c>
      <c r="G545" s="2" t="n">
        <v>3</v>
      </c>
      <c r="H545" s="2" t="inlineStr">
        <is>
          <t>LC/PC</t>
        </is>
      </c>
      <c r="I545" s="2" t="inlineStr">
        <is>
          <t>FC/PC</t>
        </is>
      </c>
      <c r="J545" s="2" t="n"/>
      <c r="K545" s="2" t="n">
        <v>20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>
        <f>SUM(J545:U545)*G545</f>
        <v/>
      </c>
      <c r="W545" s="2">
        <f>MAX(J545:U545)</f>
        <v/>
      </c>
      <c r="X545" s="2">
        <f>W545*G545</f>
        <v/>
      </c>
    </row>
    <row r="546">
      <c r="A546" s="2" t="inlineStr">
        <is>
          <t>A14-D-LP/FP-B-N-012</t>
        </is>
      </c>
      <c r="B546" s="3" t="inlineStr">
        <is>
          <t>DOJC-SM-LC/PC-FC/PC</t>
        </is>
      </c>
      <c r="C546" s="2" t="inlineStr">
        <is>
          <t>908040719, 7M, B3, 2.0mm</t>
        </is>
      </c>
      <c r="D546" s="2" t="inlineStr">
        <is>
          <t>b3</t>
        </is>
      </c>
      <c r="E546" s="2" t="inlineStr">
        <is>
          <t>2.0mm</t>
        </is>
      </c>
      <c r="F546" s="2" t="n">
        <v>2</v>
      </c>
      <c r="G546" s="2" t="n">
        <v>7</v>
      </c>
      <c r="H546" s="2" t="inlineStr">
        <is>
          <t>LC/PC</t>
        </is>
      </c>
      <c r="I546" s="2" t="inlineStr">
        <is>
          <t>FC/PC</t>
        </is>
      </c>
      <c r="J546" s="2" t="n"/>
      <c r="K546" s="2" t="n">
        <v>20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>
        <f>SUM(J546:U546)*G546</f>
        <v/>
      </c>
      <c r="W546" s="2">
        <f>MAX(J546:U546)</f>
        <v/>
      </c>
      <c r="X546" s="2">
        <f>W546*G546</f>
        <v/>
      </c>
    </row>
    <row r="547">
      <c r="A547" s="2" t="inlineStr">
        <is>
          <t>A14-D-LP/LP-1-N-050</t>
        </is>
      </c>
      <c r="B547" s="3" t="inlineStr">
        <is>
          <t>DOJC-MM-LC/PC-LC/PC</t>
        </is>
      </c>
      <c r="C547" s="2" t="inlineStr">
        <is>
          <t>920000786, 4M</t>
        </is>
      </c>
      <c r="D547" s="2" t="inlineStr">
        <is>
          <t>om1</t>
        </is>
      </c>
      <c r="E547" s="2" t="inlineStr">
        <is>
          <t>2.0mm</t>
        </is>
      </c>
      <c r="F547" s="2" t="n">
        <v>2</v>
      </c>
      <c r="G547" s="2" t="n">
        <v>4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>
        <v>20</v>
      </c>
      <c r="U547" s="2" t="n"/>
      <c r="V547" s="2">
        <f>SUM(J547:U547)*G547</f>
        <v/>
      </c>
      <c r="W547" s="2">
        <f>MAX(J547:U547)</f>
        <v/>
      </c>
      <c r="X547" s="2">
        <f>W547*G547</f>
        <v/>
      </c>
    </row>
    <row r="548">
      <c r="A548" s="2" t="inlineStr">
        <is>
          <t>A14-D-LP/LP-B-N-002</t>
        </is>
      </c>
      <c r="B548" s="3" t="inlineStr">
        <is>
          <t>DOJC-SM-LC/PC-LC/PC</t>
        </is>
      </c>
      <c r="C548" s="2" t="inlineStr">
        <is>
          <t>908040693, 11M, B3, 2.0mm</t>
        </is>
      </c>
      <c r="D548" s="2" t="inlineStr">
        <is>
          <t>b3</t>
        </is>
      </c>
      <c r="E548" s="2" t="inlineStr">
        <is>
          <t>2.0mm</t>
        </is>
      </c>
      <c r="F548" s="2" t="n">
        <v>2</v>
      </c>
      <c r="G548" s="2" t="n">
        <v>11</v>
      </c>
      <c r="H548" s="2" t="inlineStr">
        <is>
          <t>LC/PC</t>
        </is>
      </c>
      <c r="I548" s="2" t="inlineStr">
        <is>
          <t>LC/PC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>
        <v>30</v>
      </c>
      <c r="T548" s="2" t="n"/>
      <c r="U548" s="2" t="n"/>
      <c r="V548" s="2">
        <f>SUM(J548:U548)*G548</f>
        <v/>
      </c>
      <c r="W548" s="2">
        <f>MAX(J548:U548)</f>
        <v/>
      </c>
      <c r="X548" s="2">
        <f>W548*G548</f>
        <v/>
      </c>
    </row>
    <row r="549">
      <c r="A549" s="2" t="inlineStr">
        <is>
          <t>A14-D-LP/LP-B-N-019</t>
        </is>
      </c>
      <c r="B549" s="3" t="inlineStr">
        <is>
          <t>DOJC-SM-LC/PC-LC/PC</t>
        </is>
      </c>
      <c r="C549" s="2" t="inlineStr">
        <is>
          <t>908041005, 9M, B3, 2.0mm</t>
        </is>
      </c>
      <c r="D549" s="2" t="inlineStr">
        <is>
          <t>b3</t>
        </is>
      </c>
      <c r="E549" s="2" t="inlineStr">
        <is>
          <t>2.0mm</t>
        </is>
      </c>
      <c r="F549" s="2" t="n">
        <v>2</v>
      </c>
      <c r="G549" s="2" t="n">
        <v>9</v>
      </c>
      <c r="H549" s="2" t="inlineStr">
        <is>
          <t>LC/PC</t>
        </is>
      </c>
      <c r="I549" s="2" t="inlineStr">
        <is>
          <t>LC/PC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>
        <v>20</v>
      </c>
      <c r="T549" s="2" t="n"/>
      <c r="U549" s="2" t="n"/>
      <c r="V549" s="2">
        <f>SUM(J549:U549)*G549</f>
        <v/>
      </c>
      <c r="W549" s="2">
        <f>MAX(J549:U549)</f>
        <v/>
      </c>
      <c r="X549" s="2">
        <f>W549*G549</f>
        <v/>
      </c>
    </row>
    <row r="550">
      <c r="A550" s="2" t="inlineStr">
        <is>
          <t>A14-D-LP/LP-B-N-020</t>
        </is>
      </c>
      <c r="B550" s="3" t="inlineStr">
        <is>
          <t>DOJC-SM-LC/PC-LC/PC</t>
        </is>
      </c>
      <c r="C550" s="2" t="inlineStr">
        <is>
          <t>45M, B3, 2.0mm</t>
        </is>
      </c>
      <c r="D550" s="2" t="inlineStr">
        <is>
          <t>b3</t>
        </is>
      </c>
      <c r="E550" s="2" t="inlineStr">
        <is>
          <t>2.0mm</t>
        </is>
      </c>
      <c r="F550" s="2" t="n">
        <v>2</v>
      </c>
      <c r="G550" s="2" t="n">
        <v>45</v>
      </c>
      <c r="H550" s="2" t="inlineStr">
        <is>
          <t>LC/PC</t>
        </is>
      </c>
      <c r="I550" s="2" t="inlineStr">
        <is>
          <t>LC/PC</t>
        </is>
      </c>
      <c r="J550" s="2" t="n">
        <v>4</v>
      </c>
      <c r="K550" s="2" t="n">
        <v>10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>
        <f>SUM(J550:U550)*G550</f>
        <v/>
      </c>
      <c r="W550" s="2">
        <f>MAX(J550:U550)</f>
        <v/>
      </c>
      <c r="X550" s="2">
        <f>W550*G550</f>
        <v/>
      </c>
    </row>
    <row r="551">
      <c r="A551" s="2" t="inlineStr">
        <is>
          <t>A14-D-LP/SA-B-N-002</t>
        </is>
      </c>
      <c r="B551" s="3" t="inlineStr">
        <is>
          <t>DOJC-SM-LC/PC-SC/APC</t>
        </is>
      </c>
      <c r="C551" s="2" t="inlineStr">
        <is>
          <t>908040919, 13M, B3, 2.0mm</t>
        </is>
      </c>
      <c r="D551" s="2" t="inlineStr">
        <is>
          <t>b3</t>
        </is>
      </c>
      <c r="E551" s="2" t="inlineStr">
        <is>
          <t>2.0mm</t>
        </is>
      </c>
      <c r="F551" s="2" t="n">
        <v>2</v>
      </c>
      <c r="G551" s="2" t="n">
        <v>13</v>
      </c>
      <c r="H551" s="2" t="inlineStr">
        <is>
          <t>LC/PC</t>
        </is>
      </c>
      <c r="I551" s="2" t="inlineStr">
        <is>
          <t>SC/APC</t>
        </is>
      </c>
      <c r="J551" s="2" t="n"/>
      <c r="K551" s="2" t="n"/>
      <c r="L551" s="2" t="n"/>
      <c r="M551" s="2" t="n"/>
      <c r="N551" s="2" t="n"/>
      <c r="O551" s="2" t="n"/>
      <c r="P551" s="2" t="n">
        <v>10</v>
      </c>
      <c r="Q551" s="2" t="n"/>
      <c r="R551" s="2" t="n"/>
      <c r="S551" s="2" t="n"/>
      <c r="T551" s="2" t="n"/>
      <c r="U551" s="2" t="n"/>
      <c r="V551" s="2">
        <f>SUM(J551:U551)*G551</f>
        <v/>
      </c>
      <c r="W551" s="2">
        <f>MAX(J551:U551)</f>
        <v/>
      </c>
      <c r="X551" s="2">
        <f>W551*G551</f>
        <v/>
      </c>
    </row>
    <row r="552">
      <c r="A552" s="2" t="inlineStr">
        <is>
          <t>A14-D-LP/SA-B-N-012</t>
        </is>
      </c>
      <c r="B552" s="3" t="inlineStr">
        <is>
          <t>DOJC-SM-LC/PC-SC/APC</t>
        </is>
      </c>
      <c r="C552" s="2" t="inlineStr">
        <is>
          <t>908040912, 6M, B3, 2.0mm</t>
        </is>
      </c>
      <c r="D552" s="2" t="inlineStr">
        <is>
          <t>b3</t>
        </is>
      </c>
      <c r="E552" s="2" t="inlineStr">
        <is>
          <t>2.0mm</t>
        </is>
      </c>
      <c r="F552" s="2" t="n">
        <v>2</v>
      </c>
      <c r="G552" s="2" t="n">
        <v>6</v>
      </c>
      <c r="H552" s="2" t="inlineStr">
        <is>
          <t>LC/PC</t>
        </is>
      </c>
      <c r="I552" s="2" t="inlineStr">
        <is>
          <t>SC/APC</t>
        </is>
      </c>
      <c r="J552" s="2" t="n">
        <v>5</v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>
        <v>5</v>
      </c>
      <c r="T552" s="2" t="n"/>
      <c r="U552" s="2" t="n"/>
      <c r="V552" s="2">
        <f>SUM(J552:U552)*G552</f>
        <v/>
      </c>
      <c r="W552" s="2">
        <f>MAX(J552:U552)</f>
        <v/>
      </c>
      <c r="X552" s="2">
        <f>W552*G552</f>
        <v/>
      </c>
    </row>
    <row r="553">
      <c r="A553" s="2" t="inlineStr">
        <is>
          <t>A14-D-LP/SP-1-N-007</t>
        </is>
      </c>
      <c r="B553" s="3" t="inlineStr">
        <is>
          <t>DOJC-MM-LC/PC-SC/PC</t>
        </is>
      </c>
      <c r="C553" s="2" t="inlineStr">
        <is>
          <t>908040764, 1M</t>
        </is>
      </c>
      <c r="D553" s="2" t="inlineStr">
        <is>
          <t>om1</t>
        </is>
      </c>
      <c r="E553" s="2" t="inlineStr">
        <is>
          <t>2.0mm</t>
        </is>
      </c>
      <c r="F553" s="2" t="n">
        <v>2</v>
      </c>
      <c r="G553" s="2" t="n">
        <v>1</v>
      </c>
      <c r="H553" s="2" t="inlineStr">
        <is>
          <t>LC/PC</t>
        </is>
      </c>
      <c r="I553" s="2" t="inlineStr">
        <is>
          <t>SC/PC</t>
        </is>
      </c>
      <c r="J553" s="2" t="n"/>
      <c r="K553" s="2" t="n"/>
      <c r="L553" s="2" t="n"/>
      <c r="M553" s="2" t="n"/>
      <c r="N553" s="2" t="n"/>
      <c r="O553" s="2" t="n">
        <v>30</v>
      </c>
      <c r="P553" s="2" t="n"/>
      <c r="Q553" s="2" t="n"/>
      <c r="R553" s="2" t="n"/>
      <c r="S553" s="2" t="n"/>
      <c r="T553" s="2" t="n"/>
      <c r="U553" s="2" t="n"/>
      <c r="V553" s="2">
        <f>SUM(J553:U553)*G553</f>
        <v/>
      </c>
      <c r="W553" s="2">
        <f>MAX(J553:U553)</f>
        <v/>
      </c>
      <c r="X553" s="2">
        <f>W553*G553</f>
        <v/>
      </c>
    </row>
    <row r="554">
      <c r="A554" s="2" t="inlineStr">
        <is>
          <t>A14-D-LP/SP-1-N-013</t>
        </is>
      </c>
      <c r="B554" s="3" t="inlineStr">
        <is>
          <t>DOJC-MM-LC/PC-SC/PC</t>
        </is>
      </c>
      <c r="C554" s="2" t="inlineStr">
        <is>
          <t>908040792, 30M</t>
        </is>
      </c>
      <c r="D554" s="2" t="inlineStr">
        <is>
          <t>om1</t>
        </is>
      </c>
      <c r="E554" s="2" t="inlineStr">
        <is>
          <t>2.0mm</t>
        </is>
      </c>
      <c r="F554" s="2" t="n">
        <v>2</v>
      </c>
      <c r="G554" s="2" t="n">
        <v>30</v>
      </c>
      <c r="H554" s="2" t="inlineStr">
        <is>
          <t>LC/PC</t>
        </is>
      </c>
      <c r="I554" s="2" t="inlineStr">
        <is>
          <t>SC/PC</t>
        </is>
      </c>
      <c r="J554" s="2" t="n"/>
      <c r="K554" s="2" t="n"/>
      <c r="L554" s="2" t="n"/>
      <c r="M554" s="2" t="n"/>
      <c r="N554" s="2" t="n"/>
      <c r="O554" s="2" t="n"/>
      <c r="P554" s="2" t="n"/>
      <c r="Q554" s="2" t="n">
        <v>1</v>
      </c>
      <c r="R554" s="2" t="n"/>
      <c r="S554" s="2" t="n"/>
      <c r="T554" s="2" t="n"/>
      <c r="U554" s="2" t="n"/>
      <c r="V554" s="2">
        <f>SUM(J554:U554)*G554</f>
        <v/>
      </c>
      <c r="W554" s="2">
        <f>MAX(J554:U554)</f>
        <v/>
      </c>
      <c r="X554" s="2">
        <f>W554*G554</f>
        <v/>
      </c>
    </row>
    <row r="555">
      <c r="A555" s="2" t="inlineStr">
        <is>
          <t>A14-D-LP/SP-1-N-019</t>
        </is>
      </c>
      <c r="B555" s="3" t="inlineStr">
        <is>
          <t>DOJC-MM-LC/PC-SC/PC</t>
        </is>
      </c>
      <c r="C555" s="2" t="inlineStr">
        <is>
          <t>908040767, 5M</t>
        </is>
      </c>
      <c r="D555" s="2" t="inlineStr">
        <is>
          <t>om1</t>
        </is>
      </c>
      <c r="E555" s="2" t="inlineStr">
        <is>
          <t>2.0mm</t>
        </is>
      </c>
      <c r="F555" s="2" t="n">
        <v>2</v>
      </c>
      <c r="G555" s="2" t="n">
        <v>5</v>
      </c>
      <c r="H555" s="2" t="inlineStr">
        <is>
          <t>LC/PC</t>
        </is>
      </c>
      <c r="I555" s="2" t="inlineStr">
        <is>
          <t>SC/PC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>
        <v>15</v>
      </c>
      <c r="S555" s="2" t="n">
        <v>10</v>
      </c>
      <c r="T555" s="2" t="n">
        <v>8</v>
      </c>
      <c r="U555" s="2" t="n"/>
      <c r="V555" s="2">
        <f>SUM(J555:U555)*G555</f>
        <v/>
      </c>
      <c r="W555" s="2">
        <f>MAX(J555:U555)</f>
        <v/>
      </c>
      <c r="X555" s="2">
        <f>W555*G555</f>
        <v/>
      </c>
    </row>
    <row r="556">
      <c r="A556" s="2" t="inlineStr">
        <is>
          <t>A14-D-LP/SP-B-N-004</t>
        </is>
      </c>
      <c r="B556" s="3" t="inlineStr">
        <is>
          <t>DOJC-SM-LC/PC-SC/PC</t>
        </is>
      </c>
      <c r="C556" s="2" t="inlineStr">
        <is>
          <t>908040860, 1M, B3, 3.0mm</t>
        </is>
      </c>
      <c r="D556" s="2" t="inlineStr">
        <is>
          <t>b3</t>
        </is>
      </c>
      <c r="E556" s="2" t="inlineStr">
        <is>
          <t>3.0mm</t>
        </is>
      </c>
      <c r="F556" s="2" t="n">
        <v>2</v>
      </c>
      <c r="G556" s="2" t="n">
        <v>1</v>
      </c>
      <c r="H556" s="2" t="inlineStr">
        <is>
          <t>LC/PC</t>
        </is>
      </c>
      <c r="I556" s="2" t="inlineStr">
        <is>
          <t>SC/PC</t>
        </is>
      </c>
      <c r="J556" s="2" t="n"/>
      <c r="K556" s="2" t="n">
        <v>30</v>
      </c>
      <c r="L556" s="2" t="n"/>
      <c r="M556" s="2" t="n">
        <v>30</v>
      </c>
      <c r="N556" s="2" t="n"/>
      <c r="O556" s="2" t="n"/>
      <c r="P556" s="2" t="n"/>
      <c r="Q556" s="2" t="n"/>
      <c r="R556" s="2" t="n"/>
      <c r="S556" s="2" t="n"/>
      <c r="T556" s="2" t="n">
        <v>50</v>
      </c>
      <c r="U556" s="2" t="n">
        <v>20</v>
      </c>
      <c r="V556" s="2">
        <f>SUM(J556:U556)*G556</f>
        <v/>
      </c>
      <c r="W556" s="2">
        <f>MAX(J556:U556)</f>
        <v/>
      </c>
      <c r="X556" s="2">
        <f>W556*G556</f>
        <v/>
      </c>
    </row>
    <row r="557">
      <c r="A557" s="2" t="inlineStr">
        <is>
          <t>A14-D-LP/SP-B-N-010</t>
        </is>
      </c>
      <c r="B557" s="3" t="inlineStr">
        <is>
          <t>DOJC-SM-LC/PC-SC/PC</t>
        </is>
      </c>
      <c r="C557" s="2" t="inlineStr">
        <is>
          <t>920000728, 35M, B3, 2.0mm</t>
        </is>
      </c>
      <c r="D557" s="2" t="inlineStr">
        <is>
          <t>b3</t>
        </is>
      </c>
      <c r="E557" s="2" t="inlineStr">
        <is>
          <t>2.0mm</t>
        </is>
      </c>
      <c r="F557" s="2" t="n">
        <v>2</v>
      </c>
      <c r="G557" s="2" t="n">
        <v>35</v>
      </c>
      <c r="H557" s="2" t="inlineStr">
        <is>
          <t>LC/PC</t>
        </is>
      </c>
      <c r="I557" s="2" t="inlineStr">
        <is>
          <t>SC/PC</t>
        </is>
      </c>
      <c r="J557" s="2" t="n">
        <v>10</v>
      </c>
      <c r="K557" s="2" t="n"/>
      <c r="L557" s="2" t="n"/>
      <c r="M557" s="2" t="n"/>
      <c r="N557" s="2" t="n">
        <v>40</v>
      </c>
      <c r="O557" s="2" t="n">
        <v>60</v>
      </c>
      <c r="P557" s="2" t="n"/>
      <c r="Q557" s="2" t="n"/>
      <c r="R557" s="2" t="n"/>
      <c r="S557" s="2" t="n"/>
      <c r="T557" s="2" t="n">
        <v>10</v>
      </c>
      <c r="U557" s="2" t="n"/>
      <c r="V557" s="2">
        <f>SUM(J557:U557)*G557</f>
        <v/>
      </c>
      <c r="W557" s="2">
        <f>MAX(J557:U557)</f>
        <v/>
      </c>
      <c r="X557" s="2">
        <f>W557*G557</f>
        <v/>
      </c>
    </row>
    <row r="558">
      <c r="A558" s="2" t="inlineStr">
        <is>
          <t>A14-D-LP/SP-B-N-019</t>
        </is>
      </c>
      <c r="B558" s="3" t="inlineStr">
        <is>
          <t>DOJC-SM-LC/PC-SC/PC</t>
        </is>
      </c>
      <c r="C558" s="2" t="inlineStr">
        <is>
          <t>45M, B3, 2.0mm</t>
        </is>
      </c>
      <c r="D558" s="2" t="inlineStr">
        <is>
          <t>b3</t>
        </is>
      </c>
      <c r="E558" s="2" t="inlineStr">
        <is>
          <t>2.0mm</t>
        </is>
      </c>
      <c r="F558" s="2" t="n">
        <v>2</v>
      </c>
      <c r="G558" s="2" t="n">
        <v>45</v>
      </c>
      <c r="H558" s="2" t="inlineStr">
        <is>
          <t>LC/PC</t>
        </is>
      </c>
      <c r="I558" s="2" t="inlineStr">
        <is>
          <t>SC/PC</t>
        </is>
      </c>
      <c r="J558" s="2" t="n"/>
      <c r="K558" s="2" t="n"/>
      <c r="L558" s="2" t="n">
        <v>2</v>
      </c>
      <c r="M558" s="2" t="n"/>
      <c r="N558" s="2" t="n"/>
      <c r="O558" s="2" t="n">
        <v>6</v>
      </c>
      <c r="P558" s="2" t="n"/>
      <c r="Q558" s="2" t="n"/>
      <c r="R558" s="2" t="n"/>
      <c r="S558" s="2" t="n"/>
      <c r="T558" s="2" t="n"/>
      <c r="U558" s="2" t="n"/>
      <c r="V558" s="2">
        <f>SUM(J558:U558)*G558</f>
        <v/>
      </c>
      <c r="W558" s="2">
        <f>MAX(J558:U558)</f>
        <v/>
      </c>
      <c r="X558" s="2">
        <f>W558*G558</f>
        <v/>
      </c>
    </row>
    <row r="559">
      <c r="A559" s="2" t="inlineStr">
        <is>
          <t>A14-D-SA/FA-B-N-001</t>
        </is>
      </c>
      <c r="B559" s="3" t="inlineStr">
        <is>
          <t>DOJC-SM-SC/APC-FC/APC</t>
        </is>
      </c>
      <c r="C559" s="2" t="inlineStr">
        <is>
          <t>908040502, 10M, B3, 2.0mm</t>
        </is>
      </c>
      <c r="D559" s="2" t="inlineStr">
        <is>
          <t>b3</t>
        </is>
      </c>
      <c r="E559" s="2" t="inlineStr">
        <is>
          <t>2.0mm</t>
        </is>
      </c>
      <c r="F559" s="2" t="n">
        <v>2</v>
      </c>
      <c r="G559" s="2" t="n">
        <v>10</v>
      </c>
      <c r="H559" s="2" t="inlineStr">
        <is>
          <t>SC/APC</t>
        </is>
      </c>
      <c r="I559" s="2" t="inlineStr">
        <is>
          <t>FC/APC</t>
        </is>
      </c>
      <c r="J559" s="2" t="n"/>
      <c r="K559" s="2" t="n"/>
      <c r="L559" s="2" t="n"/>
      <c r="M559" s="2" t="n"/>
      <c r="N559" s="2" t="n"/>
      <c r="O559" s="2" t="n"/>
      <c r="P559" s="2" t="n"/>
      <c r="Q559" s="2" t="n">
        <v>10</v>
      </c>
      <c r="R559" s="2" t="n"/>
      <c r="S559" s="2" t="n"/>
      <c r="T559" s="2" t="n"/>
      <c r="U559" s="2" t="n"/>
      <c r="V559" s="2">
        <f>SUM(J559:U559)*G559</f>
        <v/>
      </c>
      <c r="W559" s="2">
        <f>MAX(J559:U559)</f>
        <v/>
      </c>
      <c r="X559" s="2">
        <f>W559*G559</f>
        <v/>
      </c>
    </row>
    <row r="560">
      <c r="A560" s="2" t="inlineStr">
        <is>
          <t>A14-D-SA/FA-B-N-002</t>
        </is>
      </c>
      <c r="B560" s="3" t="inlineStr">
        <is>
          <t>DOJC-SM-SC/APC-FC/APC</t>
        </is>
      </c>
      <c r="C560" s="2" t="inlineStr">
        <is>
          <t>908040507, 15M, B3, 2.0mm</t>
        </is>
      </c>
      <c r="D560" s="2" t="inlineStr">
        <is>
          <t>b3</t>
        </is>
      </c>
      <c r="E560" s="2" t="inlineStr">
        <is>
          <t>2.0mm</t>
        </is>
      </c>
      <c r="F560" s="2" t="n">
        <v>2</v>
      </c>
      <c r="G560" s="2" t="n">
        <v>15</v>
      </c>
      <c r="H560" s="2" t="inlineStr">
        <is>
          <t>SC/APC</t>
        </is>
      </c>
      <c r="I560" s="2" t="inlineStr">
        <is>
          <t>FC/APC</t>
        </is>
      </c>
      <c r="J560" s="2" t="n"/>
      <c r="K560" s="2" t="n"/>
      <c r="L560" s="2" t="n"/>
      <c r="M560" s="2" t="n"/>
      <c r="N560" s="2" t="n"/>
      <c r="O560" s="2" t="n"/>
      <c r="P560" s="2" t="n"/>
      <c r="Q560" s="2" t="n">
        <v>10</v>
      </c>
      <c r="R560" s="2" t="n"/>
      <c r="S560" s="2" t="n"/>
      <c r="T560" s="2" t="n"/>
      <c r="U560" s="2" t="n"/>
      <c r="V560" s="2">
        <f>SUM(J560:U560)*G560</f>
        <v/>
      </c>
      <c r="W560" s="2">
        <f>MAX(J560:U560)</f>
        <v/>
      </c>
      <c r="X560" s="2">
        <f>W560*G560</f>
        <v/>
      </c>
    </row>
    <row r="561">
      <c r="A561" s="2" t="inlineStr">
        <is>
          <t>A14-D-SA/FP-B-N-005</t>
        </is>
      </c>
      <c r="B561" s="3" t="inlineStr">
        <is>
          <t>DOJC-SM-SC/APC-FC/PC</t>
        </is>
      </c>
      <c r="C561" s="2" t="inlineStr">
        <is>
          <t>908040482, 20M, B3, 2.0mm</t>
        </is>
      </c>
      <c r="D561" s="2" t="inlineStr">
        <is>
          <t>b3</t>
        </is>
      </c>
      <c r="E561" s="2" t="inlineStr">
        <is>
          <t>2.0mm</t>
        </is>
      </c>
      <c r="F561" s="2" t="n">
        <v>2</v>
      </c>
      <c r="G561" s="2" t="n">
        <v>20</v>
      </c>
      <c r="H561" s="2" t="inlineStr">
        <is>
          <t>SC/APC</t>
        </is>
      </c>
      <c r="I561" s="2" t="inlineStr">
        <is>
          <t>FC/PC</t>
        </is>
      </c>
      <c r="J561" s="2" t="n"/>
      <c r="K561" s="2" t="n"/>
      <c r="L561" s="2" t="n"/>
      <c r="M561" s="2" t="n"/>
      <c r="N561" s="2" t="n">
        <v>10</v>
      </c>
      <c r="O561" s="2" t="n"/>
      <c r="P561" s="2" t="n"/>
      <c r="Q561" s="2" t="n"/>
      <c r="R561" s="2" t="n"/>
      <c r="S561" s="2" t="n"/>
      <c r="T561" s="2" t="n"/>
      <c r="U561" s="2" t="n"/>
      <c r="V561" s="2">
        <f>SUM(J561:U561)*G561</f>
        <v/>
      </c>
      <c r="W561" s="2">
        <f>MAX(J561:U561)</f>
        <v/>
      </c>
      <c r="X561" s="2">
        <f>W561*G561</f>
        <v/>
      </c>
    </row>
    <row r="562">
      <c r="A562" s="2" t="inlineStr">
        <is>
          <t>A14-D-SA/SA-B-N-006</t>
        </is>
      </c>
      <c r="B562" s="3" t="inlineStr">
        <is>
          <t>DOJC-SM-SC/APC-SC/APC</t>
        </is>
      </c>
      <c r="C562" s="2" t="inlineStr">
        <is>
          <t>908040560, 2M, B3, 3.0mm</t>
        </is>
      </c>
      <c r="D562" s="2" t="inlineStr">
        <is>
          <t>b3</t>
        </is>
      </c>
      <c r="E562" s="2" t="inlineStr">
        <is>
          <t>3.0mm</t>
        </is>
      </c>
      <c r="F562" s="2" t="n">
        <v>2</v>
      </c>
      <c r="G562" s="2" t="n">
        <v>2</v>
      </c>
      <c r="H562" s="2" t="inlineStr">
        <is>
          <t>SC/APC</t>
        </is>
      </c>
      <c r="I562" s="2" t="inlineStr">
        <is>
          <t>SC/APC</t>
        </is>
      </c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>
        <v>5</v>
      </c>
      <c r="S562" s="2" t="n"/>
      <c r="T562" s="2" t="n"/>
      <c r="U562" s="2" t="n"/>
      <c r="V562" s="2">
        <f>SUM(J562:U562)*G562</f>
        <v/>
      </c>
      <c r="W562" s="2">
        <f>MAX(J562:U562)</f>
        <v/>
      </c>
      <c r="X562" s="2">
        <f>W562*G562</f>
        <v/>
      </c>
    </row>
    <row r="563">
      <c r="A563" s="2" t="inlineStr">
        <is>
          <t>A14-D-SP/FA-B-N-010</t>
        </is>
      </c>
      <c r="B563" s="3" t="inlineStr">
        <is>
          <t>DOJC-SM-SC/PC-FC/APC</t>
        </is>
      </c>
      <c r="C563" s="2" t="inlineStr">
        <is>
          <t>908040436, 4M, B3, 3.0mm</t>
        </is>
      </c>
      <c r="D563" s="2" t="inlineStr">
        <is>
          <t>b3</t>
        </is>
      </c>
      <c r="E563" s="2" t="inlineStr">
        <is>
          <t>3.0mm</t>
        </is>
      </c>
      <c r="F563" s="2" t="n">
        <v>2</v>
      </c>
      <c r="G563" s="2" t="n">
        <v>4</v>
      </c>
      <c r="H563" s="2" t="inlineStr">
        <is>
          <t>SC/PC</t>
        </is>
      </c>
      <c r="I563" s="2" t="inlineStr">
        <is>
          <t>FC/APC</t>
        </is>
      </c>
      <c r="J563" s="2" t="n"/>
      <c r="K563" s="2" t="n"/>
      <c r="L563" s="2" t="n"/>
      <c r="M563" s="2" t="n"/>
      <c r="N563" s="2" t="n">
        <v>10</v>
      </c>
      <c r="O563" s="2" t="n"/>
      <c r="P563" s="2" t="n"/>
      <c r="Q563" s="2" t="n"/>
      <c r="R563" s="2" t="n"/>
      <c r="S563" s="2" t="n"/>
      <c r="T563" s="2" t="n"/>
      <c r="U563" s="2" t="n"/>
      <c r="V563" s="2">
        <f>SUM(J563:U563)*G563</f>
        <v/>
      </c>
      <c r="W563" s="2">
        <f>MAX(J563:U563)</f>
        <v/>
      </c>
      <c r="X563" s="2">
        <f>W563*G563</f>
        <v/>
      </c>
    </row>
    <row r="564">
      <c r="A564" s="2" t="inlineStr">
        <is>
          <t>A14-D-SP/FA-B-N-012</t>
        </is>
      </c>
      <c r="B564" s="3" t="inlineStr">
        <is>
          <t>DOJC-SM-SC/PC-FC/APC</t>
        </is>
      </c>
      <c r="C564" s="2" t="inlineStr">
        <is>
          <t>908040438, 6M, B3, 2.0mm</t>
        </is>
      </c>
      <c r="D564" s="2" t="inlineStr">
        <is>
          <t>b3</t>
        </is>
      </c>
      <c r="E564" s="2" t="inlineStr">
        <is>
          <t>2.0mm</t>
        </is>
      </c>
      <c r="F564" s="2" t="n">
        <v>2</v>
      </c>
      <c r="G564" s="2" t="n">
        <v>6</v>
      </c>
      <c r="H564" s="2" t="inlineStr">
        <is>
          <t>SC/PC</t>
        </is>
      </c>
      <c r="I564" s="2" t="inlineStr">
        <is>
          <t>FC/APC</t>
        </is>
      </c>
      <c r="J564" s="2" t="n"/>
      <c r="K564" s="2" t="n"/>
      <c r="L564" s="2" t="n"/>
      <c r="M564" s="2" t="n"/>
      <c r="N564" s="2" t="n">
        <v>10</v>
      </c>
      <c r="O564" s="2" t="n"/>
      <c r="P564" s="2" t="n"/>
      <c r="Q564" s="2" t="n"/>
      <c r="R564" s="2" t="n"/>
      <c r="S564" s="2" t="n"/>
      <c r="T564" s="2" t="n"/>
      <c r="U564" s="2" t="n"/>
      <c r="V564" s="2">
        <f>SUM(J564:U564)*G564</f>
        <v/>
      </c>
      <c r="W564" s="2">
        <f>MAX(J564:U564)</f>
        <v/>
      </c>
      <c r="X564" s="2">
        <f>W564*G564</f>
        <v/>
      </c>
    </row>
    <row r="565">
      <c r="A565" s="2" t="inlineStr">
        <is>
          <t>A14-D-SP/FP-B-N-007</t>
        </is>
      </c>
      <c r="B565" s="3" t="inlineStr">
        <is>
          <t>DOJC-SM-SC/PC-FC/PC</t>
        </is>
      </c>
      <c r="C565" s="2" t="inlineStr">
        <is>
          <t>908040432, 30M, B3, 2.0mm</t>
        </is>
      </c>
      <c r="D565" s="2" t="inlineStr">
        <is>
          <t>b3</t>
        </is>
      </c>
      <c r="E565" s="2" t="inlineStr">
        <is>
          <t>2.0mm</t>
        </is>
      </c>
      <c r="F565" s="2" t="n">
        <v>2</v>
      </c>
      <c r="G565" s="2" t="n">
        <v>30</v>
      </c>
      <c r="H565" s="2" t="inlineStr">
        <is>
          <t>SC/PC</t>
        </is>
      </c>
      <c r="I565" s="2" t="inlineStr">
        <is>
          <t>FC/PC</t>
        </is>
      </c>
      <c r="J565" s="2" t="n"/>
      <c r="K565" s="2" t="n">
        <v>10</v>
      </c>
      <c r="L565" s="2" t="n">
        <v>10</v>
      </c>
      <c r="M565" s="2" t="n"/>
      <c r="N565" s="2" t="n"/>
      <c r="O565" s="2" t="n"/>
      <c r="P565" s="2" t="n"/>
      <c r="Q565" s="2" t="n">
        <v>5</v>
      </c>
      <c r="R565" s="2" t="n"/>
      <c r="S565" s="2" t="n"/>
      <c r="T565" s="2" t="n"/>
      <c r="U565" s="2" t="n">
        <v>2</v>
      </c>
      <c r="V565" s="2">
        <f>SUM(J565:U565)*G565</f>
        <v/>
      </c>
      <c r="W565" s="2">
        <f>MAX(J565:U565)</f>
        <v/>
      </c>
      <c r="X565" s="2">
        <f>W565*G565</f>
        <v/>
      </c>
    </row>
    <row r="566">
      <c r="A566" s="2" t="inlineStr">
        <is>
          <t>A14-D-SP/FP-B-N-012</t>
        </is>
      </c>
      <c r="B566" s="3" t="inlineStr">
        <is>
          <t>DOJC-SM-SC/PC-FC/PC</t>
        </is>
      </c>
      <c r="C566" s="2" t="inlineStr">
        <is>
          <t>908040684, 7M, B3, 2.0mm</t>
        </is>
      </c>
      <c r="D566" s="2" t="inlineStr">
        <is>
          <t>b3</t>
        </is>
      </c>
      <c r="E566" s="2" t="inlineStr">
        <is>
          <t>2.0mm</t>
        </is>
      </c>
      <c r="F566" s="2" t="n">
        <v>2</v>
      </c>
      <c r="G566" s="2" t="n">
        <v>7</v>
      </c>
      <c r="H566" s="2" t="inlineStr">
        <is>
          <t>SC/PC</t>
        </is>
      </c>
      <c r="I566" s="2" t="inlineStr">
        <is>
          <t>FC/PC</t>
        </is>
      </c>
      <c r="J566" s="2" t="n"/>
      <c r="K566" s="2" t="n"/>
      <c r="L566" s="2" t="n">
        <v>5</v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>
        <f>SUM(J566:U566)*G566</f>
        <v/>
      </c>
      <c r="W566" s="2">
        <f>MAX(J566:U566)</f>
        <v/>
      </c>
      <c r="X566" s="2">
        <f>W566*G566</f>
        <v/>
      </c>
    </row>
    <row r="567">
      <c r="A567" s="2" t="inlineStr">
        <is>
          <t>A14-D-SP/SA-B-N-008</t>
        </is>
      </c>
      <c r="B567" s="3" t="inlineStr">
        <is>
          <t>DOJC-SM-SC/PC-SC/APC</t>
        </is>
      </c>
      <c r="C567" s="2" t="inlineStr">
        <is>
          <t>908040557, 30M, B3, 2.0mm</t>
        </is>
      </c>
      <c r="D567" s="2" t="inlineStr">
        <is>
          <t>b3</t>
        </is>
      </c>
      <c r="E567" s="2" t="inlineStr">
        <is>
          <t>2.0mm</t>
        </is>
      </c>
      <c r="F567" s="2" t="n">
        <v>2</v>
      </c>
      <c r="G567" s="2" t="n">
        <v>30</v>
      </c>
      <c r="H567" s="2" t="inlineStr">
        <is>
          <t>SC/PC</t>
        </is>
      </c>
      <c r="I567" s="2" t="inlineStr">
        <is>
          <t>SC/APC</t>
        </is>
      </c>
      <c r="J567" s="2" t="n"/>
      <c r="K567" s="2" t="n"/>
      <c r="L567" s="2" t="n"/>
      <c r="M567" s="2" t="n"/>
      <c r="N567" s="2" t="n"/>
      <c r="O567" s="2" t="n"/>
      <c r="P567" s="2" t="n">
        <v>18</v>
      </c>
      <c r="Q567" s="2" t="n"/>
      <c r="R567" s="2" t="n"/>
      <c r="S567" s="2" t="n"/>
      <c r="T567" s="2" t="n"/>
      <c r="U567" s="2" t="n">
        <v>2</v>
      </c>
      <c r="V567" s="2">
        <f>SUM(J567:U567)*G567</f>
        <v/>
      </c>
      <c r="W567" s="2">
        <f>MAX(J567:U567)</f>
        <v/>
      </c>
      <c r="X567" s="2">
        <f>W567*G567</f>
        <v/>
      </c>
    </row>
    <row r="568">
      <c r="A568" s="2" t="inlineStr">
        <is>
          <t>A14-D-SP/SP-B-N-002</t>
        </is>
      </c>
      <c r="B568" s="3" t="inlineStr">
        <is>
          <t>DOJC-SM-SC/PC-SC/PC</t>
        </is>
      </c>
      <c r="C568" s="2" t="inlineStr">
        <is>
          <t>908040232, 12M, B3, 2.0mm</t>
        </is>
      </c>
      <c r="D568" s="2" t="inlineStr">
        <is>
          <t>b3</t>
        </is>
      </c>
      <c r="E568" s="2" t="inlineStr">
        <is>
          <t>2.0mm</t>
        </is>
      </c>
      <c r="F568" s="2" t="n">
        <v>2</v>
      </c>
      <c r="G568" s="2" t="n">
        <v>12</v>
      </c>
      <c r="H568" s="2" t="inlineStr">
        <is>
          <t>SC/PC</t>
        </is>
      </c>
      <c r="I568" s="2" t="inlineStr">
        <is>
          <t>SC/PC</t>
        </is>
      </c>
      <c r="J568" s="2" t="n"/>
      <c r="K568" s="2" t="n"/>
      <c r="L568" s="2" t="n"/>
      <c r="M568" s="2" t="n">
        <v>25</v>
      </c>
      <c r="N568" s="2" t="n"/>
      <c r="O568" s="2" t="n"/>
      <c r="P568" s="2" t="n"/>
      <c r="Q568" s="2" t="n">
        <v>50</v>
      </c>
      <c r="R568" s="2" t="n"/>
      <c r="S568" s="2" t="n"/>
      <c r="T568" s="2" t="n">
        <v>10</v>
      </c>
      <c r="U568" s="2" t="n"/>
      <c r="V568" s="2">
        <f>SUM(J568:U568)*G568</f>
        <v/>
      </c>
      <c r="W568" s="2">
        <f>MAX(J568:U568)</f>
        <v/>
      </c>
      <c r="X568" s="2">
        <f>W568*G568</f>
        <v/>
      </c>
    </row>
    <row r="569">
      <c r="A569" s="2" t="inlineStr">
        <is>
          <t>A14-D-SP/SP-B-N-015</t>
        </is>
      </c>
      <c r="B569" s="3" t="inlineStr">
        <is>
          <t>DOJC-SM-SC/PC-SC/PC</t>
        </is>
      </c>
      <c r="C569" s="2" t="inlineStr">
        <is>
          <t>908040227, 7M, B3, 2.0mm</t>
        </is>
      </c>
      <c r="D569" s="2" t="inlineStr">
        <is>
          <t>b3</t>
        </is>
      </c>
      <c r="E569" s="2" t="inlineStr">
        <is>
          <t>2.0mm</t>
        </is>
      </c>
      <c r="F569" s="2" t="n">
        <v>2</v>
      </c>
      <c r="G569" s="2" t="n">
        <v>7</v>
      </c>
      <c r="H569" s="2" t="inlineStr">
        <is>
          <t>SC/PC</t>
        </is>
      </c>
      <c r="I569" s="2" t="inlineStr">
        <is>
          <t>SC/PC</t>
        </is>
      </c>
      <c r="J569" s="2" t="n"/>
      <c r="K569" s="2" t="n"/>
      <c r="L569" s="2" t="n">
        <v>70</v>
      </c>
      <c r="M569" s="2" t="n"/>
      <c r="N569" s="2" t="n">
        <v>10</v>
      </c>
      <c r="O569" s="2" t="n">
        <v>20</v>
      </c>
      <c r="P569" s="2" t="n"/>
      <c r="Q569" s="2" t="n"/>
      <c r="R569" s="2" t="n"/>
      <c r="S569" s="2" t="n"/>
      <c r="T569" s="2" t="n">
        <v>10</v>
      </c>
      <c r="U569" s="2" t="n"/>
      <c r="V569" s="2">
        <f>SUM(J569:U569)*G569</f>
        <v/>
      </c>
      <c r="W569" s="2">
        <f>MAX(J569:U569)</f>
        <v/>
      </c>
      <c r="X569" s="2">
        <f>W569*G569</f>
        <v/>
      </c>
    </row>
    <row r="570">
      <c r="A570" s="2" t="inlineStr">
        <is>
          <t>A14-D1-N002</t>
        </is>
      </c>
      <c r="B570" s="3" t="inlineStr">
        <is>
          <t>DOJC-MM-LC/PC-LC/PC</t>
        </is>
      </c>
      <c r="C570" s="2" t="inlineStr">
        <is>
          <t>920000812, 30M</t>
        </is>
      </c>
      <c r="D570" s="2" t="inlineStr">
        <is>
          <t>om1</t>
        </is>
      </c>
      <c r="E570" s="2" t="inlineStr">
        <is>
          <t>2.0mm</t>
        </is>
      </c>
      <c r="F570" s="2" t="n">
        <v>2</v>
      </c>
      <c r="G570" s="2" t="n">
        <v>30</v>
      </c>
      <c r="H570" s="2" t="inlineStr">
        <is>
          <t>LC/PC</t>
        </is>
      </c>
      <c r="I570" s="2" t="inlineStr">
        <is>
          <t>LC/PC</t>
        </is>
      </c>
      <c r="J570" s="2" t="n"/>
      <c r="K570" s="2" t="n"/>
      <c r="L570" s="2" t="n">
        <v>5</v>
      </c>
      <c r="M570" s="2" t="n"/>
      <c r="N570" s="2" t="n"/>
      <c r="O570" s="2" t="n">
        <v>20</v>
      </c>
      <c r="P570" s="2" t="n"/>
      <c r="Q570" s="2" t="n">
        <v>10</v>
      </c>
      <c r="R570" s="2" t="n"/>
      <c r="S570" s="2" t="n"/>
      <c r="T570" s="2" t="n">
        <v>10</v>
      </c>
      <c r="U570" s="2" t="n">
        <v>4</v>
      </c>
      <c r="V570" s="2">
        <f>SUM(J570:U570)*G570</f>
        <v/>
      </c>
      <c r="W570" s="2">
        <f>MAX(J570:U570)</f>
        <v/>
      </c>
      <c r="X570" s="2">
        <f>W570*G570</f>
        <v/>
      </c>
    </row>
    <row r="571">
      <c r="A571" s="2" t="inlineStr">
        <is>
          <t>A14-D1-N003</t>
        </is>
      </c>
      <c r="B571" s="3" t="inlineStr">
        <is>
          <t>DOJC-MM-LC/PC-LC/PC</t>
        </is>
      </c>
      <c r="C571" s="2" t="inlineStr">
        <is>
          <t>920000788, 6M</t>
        </is>
      </c>
      <c r="D571" s="2" t="inlineStr">
        <is>
          <t>om1</t>
        </is>
      </c>
      <c r="E571" s="2" t="inlineStr">
        <is>
          <t>2.0mm</t>
        </is>
      </c>
      <c r="F571" s="2" t="n">
        <v>2</v>
      </c>
      <c r="G571" s="2" t="n">
        <v>6</v>
      </c>
      <c r="H571" s="2" t="inlineStr">
        <is>
          <t>LC/PC</t>
        </is>
      </c>
      <c r="I571" s="2" t="inlineStr">
        <is>
          <t>LC/PC</t>
        </is>
      </c>
      <c r="J571" s="2" t="n"/>
      <c r="K571" s="2" t="n">
        <v>6</v>
      </c>
      <c r="L571" s="2" t="n"/>
      <c r="M571" s="2" t="n"/>
      <c r="N571" s="2" t="n">
        <v>10</v>
      </c>
      <c r="O571" s="2" t="n"/>
      <c r="P571" s="2" t="n"/>
      <c r="Q571" s="2" t="n"/>
      <c r="R571" s="2" t="n"/>
      <c r="S571" s="2" t="n">
        <v>10</v>
      </c>
      <c r="T571" s="2" t="n">
        <v>7</v>
      </c>
      <c r="U571" s="2" t="n"/>
      <c r="V571" s="2">
        <f>SUM(J571:U571)*G571</f>
        <v/>
      </c>
      <c r="W571" s="2">
        <f>MAX(J571:U571)</f>
        <v/>
      </c>
      <c r="X571" s="2">
        <f>W571*G571</f>
        <v/>
      </c>
    </row>
    <row r="572">
      <c r="A572" s="2" t="inlineStr">
        <is>
          <t>A14-D1-N004</t>
        </is>
      </c>
      <c r="B572" s="3" t="inlineStr">
        <is>
          <t>DOJC-MM-LC/PC-LC/PC</t>
        </is>
      </c>
      <c r="C572" s="2" t="inlineStr">
        <is>
          <t>920000789, 7M</t>
        </is>
      </c>
      <c r="D572" s="2" t="inlineStr">
        <is>
          <t>om1</t>
        </is>
      </c>
      <c r="E572" s="2" t="inlineStr">
        <is>
          <t>2.0mm</t>
        </is>
      </c>
      <c r="F572" s="2" t="n">
        <v>2</v>
      </c>
      <c r="G572" s="2" t="n">
        <v>7</v>
      </c>
      <c r="H572" s="2" t="inlineStr">
        <is>
          <t>LC/PC</t>
        </is>
      </c>
      <c r="I572" s="2" t="inlineStr">
        <is>
          <t>LC/PC</t>
        </is>
      </c>
      <c r="J572" s="2" t="n"/>
      <c r="K572" s="2" t="n"/>
      <c r="L572" s="2" t="n">
        <v>10</v>
      </c>
      <c r="M572" s="2" t="n"/>
      <c r="N572" s="2" t="n"/>
      <c r="O572" s="2" t="n"/>
      <c r="P572" s="2" t="n"/>
      <c r="Q572" s="2" t="n"/>
      <c r="R572" s="2" t="n">
        <v>10</v>
      </c>
      <c r="S572" s="2" t="n"/>
      <c r="T572" s="2" t="n"/>
      <c r="U572" s="2" t="n"/>
      <c r="V572" s="2">
        <f>SUM(J572:U572)*G572</f>
        <v/>
      </c>
      <c r="W572" s="2">
        <f>MAX(J572:U572)</f>
        <v/>
      </c>
      <c r="X572" s="2">
        <f>W572*G572</f>
        <v/>
      </c>
    </row>
    <row r="573">
      <c r="A573" s="2" t="inlineStr">
        <is>
          <t>A14-D1-N007</t>
        </is>
      </c>
      <c r="B573" s="3" t="inlineStr">
        <is>
          <t>DOJC-MM-LC/PC-SC/PC</t>
        </is>
      </c>
      <c r="C573" s="2" t="inlineStr">
        <is>
          <t>908040782, 20M</t>
        </is>
      </c>
      <c r="D573" s="2" t="inlineStr">
        <is>
          <t>om1</t>
        </is>
      </c>
      <c r="E573" s="2" t="inlineStr">
        <is>
          <t>2.0mm</t>
        </is>
      </c>
      <c r="F573" s="2" t="n">
        <v>2</v>
      </c>
      <c r="G573" s="2" t="n">
        <v>20</v>
      </c>
      <c r="H573" s="2" t="inlineStr">
        <is>
          <t>LC/PC</t>
        </is>
      </c>
      <c r="I573" s="2" t="inlineStr">
        <is>
          <t>SC/PC</t>
        </is>
      </c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>
        <v>15</v>
      </c>
      <c r="S573" s="2" t="n"/>
      <c r="T573" s="2" t="n">
        <v>20</v>
      </c>
      <c r="U573" s="2" t="n"/>
      <c r="V573" s="2">
        <f>SUM(J573:U573)*G573</f>
        <v/>
      </c>
      <c r="W573" s="2">
        <f>MAX(J573:U573)</f>
        <v/>
      </c>
      <c r="X573" s="2">
        <f>W573*G573</f>
        <v/>
      </c>
    </row>
    <row r="574">
      <c r="A574" s="2" t="inlineStr">
        <is>
          <t>A14-D1-N012</t>
        </is>
      </c>
      <c r="B574" s="3" t="inlineStr">
        <is>
          <t>DOJC-MM-LC/PC-LC/PC</t>
        </is>
      </c>
      <c r="C574" s="2" t="inlineStr">
        <is>
          <t>920000790, 8M</t>
        </is>
      </c>
      <c r="D574" s="2" t="inlineStr">
        <is>
          <t>om1</t>
        </is>
      </c>
      <c r="E574" s="2" t="inlineStr">
        <is>
          <t>2.0mm</t>
        </is>
      </c>
      <c r="F574" s="2" t="n">
        <v>2</v>
      </c>
      <c r="G574" s="2" t="n">
        <v>8</v>
      </c>
      <c r="H574" s="2" t="inlineStr">
        <is>
          <t>LC/PC</t>
        </is>
      </c>
      <c r="I574" s="2" t="inlineStr">
        <is>
          <t>LC/PC</t>
        </is>
      </c>
      <c r="J574" s="2" t="n"/>
      <c r="K574" s="2" t="n"/>
      <c r="L574" s="2" t="n"/>
      <c r="M574" s="2" t="n">
        <v>8</v>
      </c>
      <c r="N574" s="2" t="n"/>
      <c r="O574" s="2" t="n"/>
      <c r="P574" s="2" t="n"/>
      <c r="Q574" s="2" t="n"/>
      <c r="R574" s="2" t="n">
        <v>10</v>
      </c>
      <c r="S574" s="2" t="n"/>
      <c r="T574" s="2" t="n"/>
      <c r="U574" s="2" t="n"/>
      <c r="V574" s="2">
        <f>SUM(J574:U574)*G574</f>
        <v/>
      </c>
      <c r="W574" s="2">
        <f>MAX(J574:U574)</f>
        <v/>
      </c>
      <c r="X574" s="2">
        <f>W574*G574</f>
        <v/>
      </c>
    </row>
    <row r="575">
      <c r="A575" s="2" t="inlineStr">
        <is>
          <t>A14-D1-N035</t>
        </is>
      </c>
      <c r="B575" s="3" t="inlineStr">
        <is>
          <t>DOJC-MM-LC/PC-LC/PC</t>
        </is>
      </c>
      <c r="C575" s="2" t="inlineStr">
        <is>
          <t>920000792, 10M</t>
        </is>
      </c>
      <c r="D575" s="2" t="inlineStr">
        <is>
          <t>om1</t>
        </is>
      </c>
      <c r="E575" s="2" t="inlineStr">
        <is>
          <t>2.0mm</t>
        </is>
      </c>
      <c r="F575" s="2" t="n">
        <v>2</v>
      </c>
      <c r="G575" s="2" t="n">
        <v>10</v>
      </c>
      <c r="H575" s="2" t="inlineStr">
        <is>
          <t>LC/PC</t>
        </is>
      </c>
      <c r="I575" s="2" t="inlineStr">
        <is>
          <t>LC/PC</t>
        </is>
      </c>
      <c r="J575" s="2" t="n"/>
      <c r="K575" s="2" t="n"/>
      <c r="L575" s="2" t="n"/>
      <c r="M575" s="2" t="n"/>
      <c r="N575" s="2" t="n"/>
      <c r="O575" s="2" t="n">
        <v>22</v>
      </c>
      <c r="P575" s="2" t="n">
        <v>55</v>
      </c>
      <c r="Q575" s="2" t="n"/>
      <c r="R575" s="2" t="n">
        <v>278</v>
      </c>
      <c r="S575" s="2" t="n">
        <v>300</v>
      </c>
      <c r="T575" s="2" t="n">
        <v>28</v>
      </c>
      <c r="U575" s="2" t="n"/>
      <c r="V575" s="2">
        <f>SUM(J575:U575)*G575</f>
        <v/>
      </c>
      <c r="W575" s="2">
        <f>MAX(J575:U575)</f>
        <v/>
      </c>
      <c r="X575" s="2">
        <f>W575*G575</f>
        <v/>
      </c>
    </row>
    <row r="576">
      <c r="A576" s="2" t="inlineStr">
        <is>
          <t>A14-D1-N035R</t>
        </is>
      </c>
      <c r="B576" s="3" t="inlineStr">
        <is>
          <t>DOJC-MM-LC/PC-LC/PC</t>
        </is>
      </c>
      <c r="C576" s="2" t="inlineStr">
        <is>
          <t>920000792, 10M</t>
        </is>
      </c>
      <c r="D576" s="2" t="inlineStr">
        <is>
          <t>om1</t>
        </is>
      </c>
      <c r="E576" s="2" t="inlineStr">
        <is>
          <t>2.0mm</t>
        </is>
      </c>
      <c r="F576" s="2" t="n">
        <v>2</v>
      </c>
      <c r="G576" s="2" t="n">
        <v>10</v>
      </c>
      <c r="H576" s="2" t="inlineStr">
        <is>
          <t>LC/PC</t>
        </is>
      </c>
      <c r="I576" s="2" t="inlineStr">
        <is>
          <t>LC/PC</t>
        </is>
      </c>
      <c r="J576" s="2" t="n">
        <v>10</v>
      </c>
      <c r="K576" s="2" t="n"/>
      <c r="L576" s="2" t="n"/>
      <c r="M576" s="2" t="n">
        <v>10</v>
      </c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>
        <f>SUM(J576:U576)*G576</f>
        <v/>
      </c>
      <c r="W576" s="2">
        <f>MAX(J576:U576)</f>
        <v/>
      </c>
      <c r="X576" s="2">
        <f>W576*G576</f>
        <v/>
      </c>
    </row>
    <row r="577">
      <c r="A577" s="2" t="inlineStr">
        <is>
          <t>A14-D1-N040</t>
        </is>
      </c>
      <c r="B577" s="3" t="inlineStr">
        <is>
          <t>DOJC-MM-LC/PC-LC/PC</t>
        </is>
      </c>
      <c r="C577" s="2" t="inlineStr">
        <is>
          <t>920000797, 15M</t>
        </is>
      </c>
      <c r="D577" s="2" t="inlineStr">
        <is>
          <t>om1</t>
        </is>
      </c>
      <c r="E577" s="2" t="inlineStr">
        <is>
          <t>2.0mm</t>
        </is>
      </c>
      <c r="F577" s="2" t="n">
        <v>2</v>
      </c>
      <c r="G577" s="2" t="n">
        <v>15</v>
      </c>
      <c r="H577" s="2" t="inlineStr">
        <is>
          <t>LC/PC</t>
        </is>
      </c>
      <c r="I577" s="2" t="inlineStr">
        <is>
          <t>LC/PC</t>
        </is>
      </c>
      <c r="J577" s="2" t="n"/>
      <c r="K577" s="2" t="n"/>
      <c r="L577" s="2" t="n"/>
      <c r="M577" s="2" t="n"/>
      <c r="N577" s="2" t="n">
        <v>8</v>
      </c>
      <c r="O577" s="2" t="n">
        <v>30</v>
      </c>
      <c r="P577" s="2" t="n">
        <v>28</v>
      </c>
      <c r="Q577" s="2" t="n">
        <v>30</v>
      </c>
      <c r="R577" s="2" t="n">
        <v>8</v>
      </c>
      <c r="S577" s="2" t="n">
        <v>95</v>
      </c>
      <c r="T577" s="2" t="n">
        <v>24</v>
      </c>
      <c r="U577" s="2" t="n"/>
      <c r="V577" s="2">
        <f>SUM(J577:U577)*G577</f>
        <v/>
      </c>
      <c r="W577" s="2">
        <f>MAX(J577:U577)</f>
        <v/>
      </c>
      <c r="X577" s="2">
        <f>W577*G577</f>
        <v/>
      </c>
    </row>
    <row r="578">
      <c r="A578" s="2" t="inlineStr">
        <is>
          <t>A14-D1-N044</t>
        </is>
      </c>
      <c r="B578" s="3" t="inlineStr">
        <is>
          <t>DOJC-MM-LC/PC-LC/PC</t>
        </is>
      </c>
      <c r="C578" s="2" t="inlineStr">
        <is>
          <t>920000802, 20M</t>
        </is>
      </c>
      <c r="D578" s="2" t="inlineStr">
        <is>
          <t>om1</t>
        </is>
      </c>
      <c r="E578" s="2" t="inlineStr">
        <is>
          <t>2.0mm</t>
        </is>
      </c>
      <c r="F578" s="2" t="n">
        <v>2</v>
      </c>
      <c r="G578" s="2" t="n">
        <v>20</v>
      </c>
      <c r="H578" s="2" t="inlineStr">
        <is>
          <t>LC/PC</t>
        </is>
      </c>
      <c r="I578" s="2" t="inlineStr">
        <is>
          <t>LC/PC</t>
        </is>
      </c>
      <c r="J578" s="2" t="n"/>
      <c r="K578" s="2" t="n"/>
      <c r="L578" s="2" t="n"/>
      <c r="M578" s="2" t="n"/>
      <c r="N578" s="2" t="n"/>
      <c r="O578" s="2" t="n">
        <v>11</v>
      </c>
      <c r="P578" s="2" t="n">
        <v>10</v>
      </c>
      <c r="Q578" s="2" t="n">
        <v>51</v>
      </c>
      <c r="R578" s="2" t="n">
        <v>30</v>
      </c>
      <c r="S578" s="2" t="n">
        <v>20</v>
      </c>
      <c r="T578" s="2" t="n">
        <v>4</v>
      </c>
      <c r="U578" s="2" t="n"/>
      <c r="V578" s="2">
        <f>SUM(J578:U578)*G578</f>
        <v/>
      </c>
      <c r="W578" s="2">
        <f>MAX(J578:U578)</f>
        <v/>
      </c>
      <c r="X578" s="2">
        <f>W578*G578</f>
        <v/>
      </c>
    </row>
    <row r="579">
      <c r="A579" s="2" t="inlineStr">
        <is>
          <t>A14-D1-N048</t>
        </is>
      </c>
      <c r="B579" s="3" t="inlineStr">
        <is>
          <t>DOJC-MM-LC/PC-LC/PC</t>
        </is>
      </c>
      <c r="C579" s="2" t="inlineStr">
        <is>
          <t>920000807, 25M</t>
        </is>
      </c>
      <c r="D579" s="2" t="inlineStr">
        <is>
          <t>om1</t>
        </is>
      </c>
      <c r="E579" s="2" t="inlineStr">
        <is>
          <t>2.0mm</t>
        </is>
      </c>
      <c r="F579" s="2" t="n">
        <v>2</v>
      </c>
      <c r="G579" s="2" t="n">
        <v>25</v>
      </c>
      <c r="H579" s="2" t="inlineStr">
        <is>
          <t>LC/PC</t>
        </is>
      </c>
      <c r="I579" s="2" t="inlineStr">
        <is>
          <t>LC/PC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>
        <v>27</v>
      </c>
      <c r="R579" s="2" t="n">
        <v>63</v>
      </c>
      <c r="S579" s="2" t="n"/>
      <c r="T579" s="2" t="n">
        <v>6</v>
      </c>
      <c r="U579" s="2" t="n"/>
      <c r="V579" s="2">
        <f>SUM(J579:U579)*G579</f>
        <v/>
      </c>
      <c r="W579" s="2">
        <f>MAX(J579:U579)</f>
        <v/>
      </c>
      <c r="X579" s="2">
        <f>W579*G579</f>
        <v/>
      </c>
    </row>
    <row r="580">
      <c r="A580" s="2" t="inlineStr">
        <is>
          <t>A14-D1-N052</t>
        </is>
      </c>
      <c r="B580" s="3" t="inlineStr">
        <is>
          <t>DOJC-MM-LC/PC-LC/PC</t>
        </is>
      </c>
      <c r="C580" s="2" t="inlineStr">
        <is>
          <t>920000785, 3M</t>
        </is>
      </c>
      <c r="D580" s="2" t="inlineStr">
        <is>
          <t>om1</t>
        </is>
      </c>
      <c r="E580" s="2" t="inlineStr">
        <is>
          <t>2.0mm</t>
        </is>
      </c>
      <c r="F580" s="2" t="n">
        <v>2</v>
      </c>
      <c r="G580" s="2" t="n">
        <v>3</v>
      </c>
      <c r="H580" s="2" t="inlineStr">
        <is>
          <t>LC/PC</t>
        </is>
      </c>
      <c r="I580" s="2" t="inlineStr">
        <is>
          <t>LC/PC</t>
        </is>
      </c>
      <c r="J580" s="2" t="n">
        <v>50</v>
      </c>
      <c r="K580" s="2" t="n"/>
      <c r="L580" s="2" t="n"/>
      <c r="M580" s="2" t="n"/>
      <c r="N580" s="2" t="n"/>
      <c r="O580" s="2" t="n"/>
      <c r="P580" s="2" t="n"/>
      <c r="Q580" s="2" t="n">
        <v>5</v>
      </c>
      <c r="R580" s="2" t="n"/>
      <c r="S580" s="2" t="n">
        <v>78</v>
      </c>
      <c r="T580" s="2" t="n">
        <v>7</v>
      </c>
      <c r="U580" s="2" t="n"/>
      <c r="V580" s="2">
        <f>SUM(J580:U580)*G580</f>
        <v/>
      </c>
      <c r="W580" s="2">
        <f>MAX(J580:U580)</f>
        <v/>
      </c>
      <c r="X580" s="2">
        <f>W580*G580</f>
        <v/>
      </c>
    </row>
    <row r="581">
      <c r="A581" s="2" t="inlineStr">
        <is>
          <t>A14-D1-N057</t>
        </is>
      </c>
      <c r="B581" s="3" t="inlineStr">
        <is>
          <t>DOJC-MM-LC/PC-LC/PC</t>
        </is>
      </c>
      <c r="C581" s="2" t="inlineStr">
        <is>
          <t>920000787, 5M</t>
        </is>
      </c>
      <c r="D581" s="2" t="inlineStr">
        <is>
          <t>om1</t>
        </is>
      </c>
      <c r="E581" s="2" t="inlineStr">
        <is>
          <t>2.0mm</t>
        </is>
      </c>
      <c r="F581" s="2" t="n">
        <v>2</v>
      </c>
      <c r="G581" s="2" t="n">
        <v>5</v>
      </c>
      <c r="H581" s="2" t="inlineStr">
        <is>
          <t>LC/PC</t>
        </is>
      </c>
      <c r="I581" s="2" t="inlineStr">
        <is>
          <t>LC/PC</t>
        </is>
      </c>
      <c r="J581" s="2" t="n"/>
      <c r="K581" s="2" t="n"/>
      <c r="L581" s="2" t="n"/>
      <c r="M581" s="2" t="n"/>
      <c r="N581" s="2" t="n"/>
      <c r="O581" s="2" t="n"/>
      <c r="P581" s="2" t="n">
        <v>37</v>
      </c>
      <c r="Q581" s="2" t="n">
        <v>22</v>
      </c>
      <c r="R581" s="2" t="n">
        <v>30</v>
      </c>
      <c r="S581" s="2" t="n">
        <v>50</v>
      </c>
      <c r="T581" s="2" t="n"/>
      <c r="U581" s="2" t="n"/>
      <c r="V581" s="2">
        <f>SUM(J581:U581)*G581</f>
        <v/>
      </c>
      <c r="W581" s="2">
        <f>MAX(J581:U581)</f>
        <v/>
      </c>
      <c r="X581" s="2">
        <f>W581*G581</f>
        <v/>
      </c>
    </row>
    <row r="582">
      <c r="A582" s="2" t="inlineStr">
        <is>
          <t>A14-D3-N008</t>
        </is>
      </c>
      <c r="B582" s="3" t="inlineStr">
        <is>
          <t>DOJC-MM(OM3)-LC/PC-LC/PC</t>
        </is>
      </c>
      <c r="C582" s="2" t="inlineStr">
        <is>
          <t>10M</t>
        </is>
      </c>
      <c r="D582" s="2" t="inlineStr">
        <is>
          <t>om3</t>
        </is>
      </c>
      <c r="E582" s="2" t="inlineStr">
        <is>
          <t>2.0mm</t>
        </is>
      </c>
      <c r="F582" s="2" t="n">
        <v>2</v>
      </c>
      <c r="G582" s="2" t="n">
        <v>10</v>
      </c>
      <c r="H582" s="2" t="inlineStr">
        <is>
          <t>LC/PC</t>
        </is>
      </c>
      <c r="I582" s="2" t="inlineStr">
        <is>
          <t>LC/PC</t>
        </is>
      </c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>
        <v>30</v>
      </c>
      <c r="U582" s="2" t="n">
        <v>10</v>
      </c>
      <c r="V582" s="2">
        <f>SUM(J582:U582)*G582</f>
        <v/>
      </c>
      <c r="W582" s="2">
        <f>MAX(J582:U582)</f>
        <v/>
      </c>
      <c r="X582" s="2">
        <f>W582*G582</f>
        <v/>
      </c>
    </row>
    <row r="583">
      <c r="A583" s="2" t="inlineStr">
        <is>
          <t>A14-D3-N010</t>
        </is>
      </c>
      <c r="B583" s="3" t="inlineStr">
        <is>
          <t>DOJC-MM(OM3)-LC/PC-LC/PC</t>
        </is>
      </c>
      <c r="C583" s="2" t="inlineStr">
        <is>
          <t>15M</t>
        </is>
      </c>
      <c r="D583" s="2" t="inlineStr">
        <is>
          <t>om3</t>
        </is>
      </c>
      <c r="E583" s="2" t="inlineStr">
        <is>
          <t>2.0mm</t>
        </is>
      </c>
      <c r="F583" s="2" t="n">
        <v>2</v>
      </c>
      <c r="G583" s="2" t="n">
        <v>15</v>
      </c>
      <c r="H583" s="2" t="inlineStr">
        <is>
          <t>LC/PC</t>
        </is>
      </c>
      <c r="I583" s="2" t="inlineStr">
        <is>
          <t>LC/PC</t>
        </is>
      </c>
      <c r="J583" s="2" t="n"/>
      <c r="K583" s="2" t="n"/>
      <c r="L583" s="2" t="n"/>
      <c r="M583" s="2" t="n"/>
      <c r="N583" s="2" t="n"/>
      <c r="O583" s="2" t="n"/>
      <c r="P583" s="2" t="n"/>
      <c r="Q583" s="2" t="n">
        <v>4</v>
      </c>
      <c r="R583" s="2" t="n"/>
      <c r="S583" s="2" t="n"/>
      <c r="T583" s="2" t="n">
        <v>9</v>
      </c>
      <c r="U583" s="2" t="n"/>
      <c r="V583" s="2">
        <f>SUM(J583:U583)*G583</f>
        <v/>
      </c>
      <c r="W583" s="2">
        <f>MAX(J583:U583)</f>
        <v/>
      </c>
      <c r="X583" s="2">
        <f>W583*G583</f>
        <v/>
      </c>
    </row>
    <row r="584">
      <c r="A584" s="2" t="inlineStr">
        <is>
          <t>A14-D3-N011</t>
        </is>
      </c>
      <c r="B584" s="3" t="inlineStr">
        <is>
          <t>DOJC-MM(OM3)-LC/PC-LC/PC</t>
        </is>
      </c>
      <c r="C584" s="2" t="inlineStr">
        <is>
          <t>20M</t>
        </is>
      </c>
      <c r="D584" s="2" t="inlineStr">
        <is>
          <t>om3</t>
        </is>
      </c>
      <c r="E584" s="2" t="inlineStr">
        <is>
          <t>2.0mm</t>
        </is>
      </c>
      <c r="F584" s="2" t="n">
        <v>2</v>
      </c>
      <c r="G584" s="2" t="n">
        <v>20</v>
      </c>
      <c r="H584" s="2" t="inlineStr">
        <is>
          <t>LC/PC</t>
        </is>
      </c>
      <c r="I584" s="2" t="inlineStr">
        <is>
          <t>LC/PC</t>
        </is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>
        <v>15</v>
      </c>
      <c r="U584" s="2" t="n"/>
      <c r="V584" s="2">
        <f>SUM(J584:U584)*G584</f>
        <v/>
      </c>
      <c r="W584" s="2">
        <f>MAX(J584:U584)</f>
        <v/>
      </c>
      <c r="X584" s="2">
        <f>W584*G584</f>
        <v/>
      </c>
    </row>
    <row r="585">
      <c r="A585" s="2" t="inlineStr">
        <is>
          <t>A14-D3-N016</t>
        </is>
      </c>
      <c r="B585" s="3" t="inlineStr">
        <is>
          <t>DOJC-MM(OM3)-LC/PC-LC/PC</t>
        </is>
      </c>
      <c r="C585" s="2" t="inlineStr">
        <is>
          <t>25M</t>
        </is>
      </c>
      <c r="D585" s="2" t="inlineStr">
        <is>
          <t>om3</t>
        </is>
      </c>
      <c r="E585" s="2" t="inlineStr">
        <is>
          <t>2.0mm</t>
        </is>
      </c>
      <c r="F585" s="2" t="n">
        <v>2</v>
      </c>
      <c r="G585" s="2" t="n">
        <v>25</v>
      </c>
      <c r="H585" s="2" t="inlineStr">
        <is>
          <t>LC/PC</t>
        </is>
      </c>
      <c r="I585" s="2" t="inlineStr">
        <is>
          <t>LC/PC</t>
        </is>
      </c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>
        <v>5</v>
      </c>
      <c r="U585" s="2" t="n"/>
      <c r="V585" s="2">
        <f>SUM(J585:U585)*G585</f>
        <v/>
      </c>
      <c r="W585" s="2">
        <f>MAX(J585:U585)</f>
        <v/>
      </c>
      <c r="X585" s="2">
        <f>W585*G585</f>
        <v/>
      </c>
    </row>
    <row r="586">
      <c r="A586" s="2" t="inlineStr">
        <is>
          <t>A14-D3-N025</t>
        </is>
      </c>
      <c r="B586" s="3" t="inlineStr">
        <is>
          <t>DOJC-MM(OM3)-LC/PC-LC/PC</t>
        </is>
      </c>
      <c r="C586" s="2" t="inlineStr">
        <is>
          <t>5M</t>
        </is>
      </c>
      <c r="D586" s="2" t="inlineStr">
        <is>
          <t>om3</t>
        </is>
      </c>
      <c r="E586" s="2" t="inlineStr">
        <is>
          <t>2.0mm</t>
        </is>
      </c>
      <c r="F586" s="2" t="n">
        <v>2</v>
      </c>
      <c r="G586" s="2" t="n">
        <v>5</v>
      </c>
      <c r="H586" s="2" t="inlineStr">
        <is>
          <t>LC/PC</t>
        </is>
      </c>
      <c r="I586" s="2" t="inlineStr">
        <is>
          <t>LC/PC</t>
        </is>
      </c>
      <c r="J586" s="2" t="n"/>
      <c r="K586" s="2" t="n"/>
      <c r="L586" s="2" t="n"/>
      <c r="M586" s="2" t="n"/>
      <c r="N586" s="2" t="n">
        <v>16</v>
      </c>
      <c r="O586" s="2" t="n"/>
      <c r="P586" s="2" t="n"/>
      <c r="Q586" s="2" t="n">
        <v>119</v>
      </c>
      <c r="R586" s="2" t="n"/>
      <c r="S586" s="2" t="n"/>
      <c r="T586" s="2" t="n"/>
      <c r="U586" s="2" t="n"/>
      <c r="V586" s="2">
        <f>SUM(J586:U586)*G586</f>
        <v/>
      </c>
      <c r="W586" s="2">
        <f>MAX(J586:U586)</f>
        <v/>
      </c>
      <c r="X586" s="2">
        <f>W586*G586</f>
        <v/>
      </c>
    </row>
    <row r="587">
      <c r="A587" s="2" t="inlineStr">
        <is>
          <t>A14-DA-N663</t>
        </is>
      </c>
      <c r="B587" s="3" t="inlineStr">
        <is>
          <t>DOJC-SM-LC/PC-LC/PC</t>
        </is>
      </c>
      <c r="C587" s="2" t="inlineStr">
        <is>
          <t>10M_적색케이블</t>
        </is>
      </c>
      <c r="D587" s="2" t="inlineStr">
        <is>
          <t>a1-적</t>
        </is>
      </c>
      <c r="E587" s="2" t="inlineStr">
        <is>
          <t>2.0mm</t>
        </is>
      </c>
      <c r="F587" s="2" t="n">
        <v>2</v>
      </c>
      <c r="G587" s="2" t="n">
        <v>10</v>
      </c>
      <c r="H587" s="2" t="inlineStr">
        <is>
          <t>LC/PC</t>
        </is>
      </c>
      <c r="I587" s="2" t="inlineStr">
        <is>
          <t>LC/PC</t>
        </is>
      </c>
      <c r="J587" s="2" t="n"/>
      <c r="K587" s="2" t="n"/>
      <c r="L587" s="2" t="n"/>
      <c r="M587" s="2" t="n">
        <v>20</v>
      </c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>
        <f>SUM(J587:U587)*G587</f>
        <v/>
      </c>
      <c r="W587" s="2">
        <f>MAX(J587:U587)</f>
        <v/>
      </c>
      <c r="X587" s="2">
        <f>W587*G587</f>
        <v/>
      </c>
    </row>
    <row r="588">
      <c r="A588" s="2" t="inlineStr">
        <is>
          <t>A14-DB-N105</t>
        </is>
      </c>
      <c r="B588" s="3" t="inlineStr">
        <is>
          <t>DOJC-SM-FC/APC-FC/APC</t>
        </is>
      </c>
      <c r="C588" s="2" t="inlineStr">
        <is>
          <t>908040657, 10M, B3, 2.0mm</t>
        </is>
      </c>
      <c r="D588" s="2" t="inlineStr">
        <is>
          <t>b3</t>
        </is>
      </c>
      <c r="E588" s="2" t="inlineStr">
        <is>
          <t>2.0mm</t>
        </is>
      </c>
      <c r="F588" s="2" t="n">
        <v>2</v>
      </c>
      <c r="G588" s="2" t="n">
        <v>10</v>
      </c>
      <c r="H588" s="2" t="inlineStr">
        <is>
          <t>FC/APC</t>
        </is>
      </c>
      <c r="I588" s="2" t="inlineStr">
        <is>
          <t>FC/APC</t>
        </is>
      </c>
      <c r="J588" s="2" t="n"/>
      <c r="K588" s="2" t="n"/>
      <c r="L588" s="2" t="n">
        <v>5</v>
      </c>
      <c r="M588" s="2" t="n">
        <v>4</v>
      </c>
      <c r="N588" s="2" t="n"/>
      <c r="O588" s="2" t="n"/>
      <c r="P588" s="2" t="n"/>
      <c r="Q588" s="2" t="n">
        <v>10</v>
      </c>
      <c r="R588" s="2" t="n"/>
      <c r="S588" s="2" t="n"/>
      <c r="T588" s="2" t="n">
        <v>10</v>
      </c>
      <c r="U588" s="2" t="n">
        <v>4</v>
      </c>
      <c r="V588" s="2">
        <f>SUM(J588:U588)*G588</f>
        <v/>
      </c>
      <c r="W588" s="2">
        <f>MAX(J588:U588)</f>
        <v/>
      </c>
      <c r="X588" s="2">
        <f>W588*G588</f>
        <v/>
      </c>
    </row>
    <row r="589">
      <c r="A589" s="2" t="inlineStr">
        <is>
          <t>A14-DB-N107</t>
        </is>
      </c>
      <c r="B589" s="3" t="inlineStr">
        <is>
          <t>DOJC-SM-FC/APC-FC/APC</t>
        </is>
      </c>
      <c r="C589" s="2" t="inlineStr">
        <is>
          <t>908040662, 15M, B3, 2.0mm</t>
        </is>
      </c>
      <c r="D589" s="2" t="inlineStr">
        <is>
          <t>b3</t>
        </is>
      </c>
      <c r="E589" s="2" t="inlineStr">
        <is>
          <t>2.0mm</t>
        </is>
      </c>
      <c r="F589" s="2" t="n">
        <v>2</v>
      </c>
      <c r="G589" s="2" t="n">
        <v>15</v>
      </c>
      <c r="H589" s="2" t="inlineStr">
        <is>
          <t>FC/APC</t>
        </is>
      </c>
      <c r="I589" s="2" t="inlineStr">
        <is>
          <t>FC/APC</t>
        </is>
      </c>
      <c r="J589" s="2" t="n"/>
      <c r="K589" s="2" t="n"/>
      <c r="L589" s="2" t="n"/>
      <c r="M589" s="2" t="n">
        <v>4</v>
      </c>
      <c r="N589" s="2" t="n"/>
      <c r="O589" s="2" t="n"/>
      <c r="P589" s="2" t="n"/>
      <c r="Q589" s="2" t="n"/>
      <c r="R589" s="2" t="n"/>
      <c r="S589" s="2" t="n"/>
      <c r="T589" s="2" t="n">
        <v>5</v>
      </c>
      <c r="U589" s="2" t="n">
        <v>20</v>
      </c>
      <c r="V589" s="2">
        <f>SUM(J589:U589)*G589</f>
        <v/>
      </c>
      <c r="W589" s="2">
        <f>MAX(J589:U589)</f>
        <v/>
      </c>
      <c r="X589" s="2">
        <f>W589*G589</f>
        <v/>
      </c>
    </row>
    <row r="590">
      <c r="A590" s="2" t="inlineStr">
        <is>
          <t>A14-DB-N110</t>
        </is>
      </c>
      <c r="B590" s="3" t="inlineStr">
        <is>
          <t>DOJC-SM-FC/APC-FC/APC</t>
        </is>
      </c>
      <c r="C590" s="2" t="inlineStr">
        <is>
          <t>908040667, 20M, B3, 2.0mm</t>
        </is>
      </c>
      <c r="D590" s="2" t="inlineStr">
        <is>
          <t>b3</t>
        </is>
      </c>
      <c r="E590" s="2" t="inlineStr">
        <is>
          <t>2.0mm</t>
        </is>
      </c>
      <c r="F590" s="2" t="n">
        <v>2</v>
      </c>
      <c r="G590" s="2" t="n">
        <v>20</v>
      </c>
      <c r="H590" s="2" t="inlineStr">
        <is>
          <t>FC/APC</t>
        </is>
      </c>
      <c r="I590" s="2" t="inlineStr">
        <is>
          <t>FC/APC</t>
        </is>
      </c>
      <c r="J590" s="2" t="n"/>
      <c r="K590" s="2" t="n"/>
      <c r="L590" s="2" t="n"/>
      <c r="M590" s="2" t="n"/>
      <c r="N590" s="2" t="n"/>
      <c r="O590" s="2" t="n">
        <v>20</v>
      </c>
      <c r="P590" s="2" t="n"/>
      <c r="Q590" s="2" t="n"/>
      <c r="R590" s="2" t="n">
        <v>5</v>
      </c>
      <c r="S590" s="2" t="n"/>
      <c r="T590" s="2" t="n"/>
      <c r="U590" s="2" t="n">
        <v>20</v>
      </c>
      <c r="V590" s="2">
        <f>SUM(J590:U590)*G590</f>
        <v/>
      </c>
      <c r="W590" s="2">
        <f>MAX(J590:U590)</f>
        <v/>
      </c>
      <c r="X590" s="2">
        <f>W590*G590</f>
        <v/>
      </c>
    </row>
    <row r="591">
      <c r="A591" s="2" t="inlineStr">
        <is>
          <t>A14-DB-N140</t>
        </is>
      </c>
      <c r="B591" s="3" t="inlineStr">
        <is>
          <t>DOJC-SM-FC/PC-FC/PC</t>
        </is>
      </c>
      <c r="C591" s="2" t="inlineStr">
        <is>
          <t>908040597, 10M, B3, 2.0mm</t>
        </is>
      </c>
      <c r="D591" s="2" t="inlineStr">
        <is>
          <t>b3</t>
        </is>
      </c>
      <c r="E591" s="2" t="inlineStr">
        <is>
          <t>2.0mm</t>
        </is>
      </c>
      <c r="F591" s="2" t="n">
        <v>2</v>
      </c>
      <c r="G591" s="2" t="n">
        <v>10</v>
      </c>
      <c r="H591" s="2" t="inlineStr">
        <is>
          <t>FC/PC</t>
        </is>
      </c>
      <c r="I591" s="2" t="inlineStr">
        <is>
          <t>FC/PC</t>
        </is>
      </c>
      <c r="J591" s="2" t="n">
        <v>10</v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>
        <v>10</v>
      </c>
      <c r="V591" s="2">
        <f>SUM(J591:U591)*G591</f>
        <v/>
      </c>
      <c r="W591" s="2">
        <f>MAX(J591:U591)</f>
        <v/>
      </c>
      <c r="X591" s="2">
        <f>W591*G591</f>
        <v/>
      </c>
    </row>
    <row r="592">
      <c r="A592" s="2" t="inlineStr">
        <is>
          <t>A14-DB-N143</t>
        </is>
      </c>
      <c r="B592" s="3" t="inlineStr">
        <is>
          <t>DOJC-SM-FC/PC-FC/PC</t>
        </is>
      </c>
      <c r="C592" s="2" t="inlineStr">
        <is>
          <t>908040602, 15M, B3, 2.0mm</t>
        </is>
      </c>
      <c r="D592" s="2" t="inlineStr">
        <is>
          <t>b3</t>
        </is>
      </c>
      <c r="E592" s="2" t="inlineStr">
        <is>
          <t>2.0mm</t>
        </is>
      </c>
      <c r="F592" s="2" t="n">
        <v>2</v>
      </c>
      <c r="G592" s="2" t="n">
        <v>15</v>
      </c>
      <c r="H592" s="2" t="inlineStr">
        <is>
          <t>FC/PC</t>
        </is>
      </c>
      <c r="I592" s="2" t="inlineStr">
        <is>
          <t>FC/PC</t>
        </is>
      </c>
      <c r="J592" s="2" t="n">
        <v>10</v>
      </c>
      <c r="K592" s="2" t="n"/>
      <c r="L592" s="2" t="n"/>
      <c r="M592" s="2" t="n"/>
      <c r="N592" s="2" t="n"/>
      <c r="O592" s="2" t="n"/>
      <c r="P592" s="2" t="n">
        <v>30</v>
      </c>
      <c r="Q592" s="2" t="n">
        <v>10</v>
      </c>
      <c r="R592" s="2" t="n"/>
      <c r="S592" s="2" t="n"/>
      <c r="T592" s="2" t="n"/>
      <c r="U592" s="2" t="n"/>
      <c r="V592" s="2">
        <f>SUM(J592:U592)*G592</f>
        <v/>
      </c>
      <c r="W592" s="2">
        <f>MAX(J592:U592)</f>
        <v/>
      </c>
      <c r="X592" s="2">
        <f>W592*G592</f>
        <v/>
      </c>
    </row>
    <row r="593">
      <c r="A593" s="2" t="inlineStr">
        <is>
          <t>A14-DB-N157</t>
        </is>
      </c>
      <c r="B593" s="3" t="inlineStr">
        <is>
          <t>DOJC-SM-LC/PC-FC/APC</t>
        </is>
      </c>
      <c r="C593" s="2" t="inlineStr">
        <is>
          <t>908040532, 10M, B3, 2.0mm</t>
        </is>
      </c>
      <c r="D593" s="2" t="inlineStr">
        <is>
          <t>b3</t>
        </is>
      </c>
      <c r="E593" s="2" t="inlineStr">
        <is>
          <t>2.0mm</t>
        </is>
      </c>
      <c r="F593" s="2" t="n">
        <v>2</v>
      </c>
      <c r="G593" s="2" t="n">
        <v>10</v>
      </c>
      <c r="H593" s="2" t="inlineStr">
        <is>
          <t>LC/PC</t>
        </is>
      </c>
      <c r="I593" s="2" t="inlineStr">
        <is>
          <t>FC/APC</t>
        </is>
      </c>
      <c r="J593" s="2" t="n"/>
      <c r="K593" s="2" t="n">
        <v>119</v>
      </c>
      <c r="L593" s="2" t="n">
        <v>110</v>
      </c>
      <c r="M593" s="2" t="n">
        <v>95</v>
      </c>
      <c r="N593" s="2" t="n"/>
      <c r="O593" s="2" t="n"/>
      <c r="P593" s="2" t="n"/>
      <c r="Q593" s="2" t="n"/>
      <c r="R593" s="2" t="n">
        <v>10</v>
      </c>
      <c r="S593" s="2" t="n">
        <v>67</v>
      </c>
      <c r="T593" s="2" t="n">
        <v>5</v>
      </c>
      <c r="U593" s="2" t="n"/>
      <c r="V593" s="2">
        <f>SUM(J593:U593)*G593</f>
        <v/>
      </c>
      <c r="W593" s="2">
        <f>MAX(J593:U593)</f>
        <v/>
      </c>
      <c r="X593" s="2">
        <f>W593*G593</f>
        <v/>
      </c>
    </row>
    <row r="594">
      <c r="A594" s="2" t="inlineStr">
        <is>
          <t>A14-DB-N161</t>
        </is>
      </c>
      <c r="B594" s="3" t="inlineStr">
        <is>
          <t>DOJC-SM-LC/PC-FC/APC</t>
        </is>
      </c>
      <c r="C594" s="2" t="inlineStr">
        <is>
          <t>908040891, 15M, B3, 2.0mm</t>
        </is>
      </c>
      <c r="D594" s="2" t="inlineStr">
        <is>
          <t>b3</t>
        </is>
      </c>
      <c r="E594" s="2" t="inlineStr">
        <is>
          <t>2.0mm</t>
        </is>
      </c>
      <c r="F594" s="2" t="n">
        <v>2</v>
      </c>
      <c r="G594" s="2" t="n">
        <v>15</v>
      </c>
      <c r="H594" s="2" t="inlineStr">
        <is>
          <t>LC/PC</t>
        </is>
      </c>
      <c r="I594" s="2" t="inlineStr">
        <is>
          <t>FC/APC</t>
        </is>
      </c>
      <c r="J594" s="2" t="n">
        <v>4</v>
      </c>
      <c r="K594" s="2" t="n">
        <v>347</v>
      </c>
      <c r="L594" s="2" t="n">
        <v>6</v>
      </c>
      <c r="M594" s="2" t="n">
        <v>120</v>
      </c>
      <c r="N594" s="2" t="n"/>
      <c r="O594" s="2" t="n"/>
      <c r="P594" s="2" t="n"/>
      <c r="Q594" s="2" t="n"/>
      <c r="R594" s="2" t="n"/>
      <c r="S594" s="2" t="n">
        <v>77</v>
      </c>
      <c r="T594" s="2" t="n">
        <v>60</v>
      </c>
      <c r="U594" s="2" t="n"/>
      <c r="V594" s="2">
        <f>SUM(J594:U594)*G594</f>
        <v/>
      </c>
      <c r="W594" s="2">
        <f>MAX(J594:U594)</f>
        <v/>
      </c>
      <c r="X594" s="2">
        <f>W594*G594</f>
        <v/>
      </c>
    </row>
    <row r="595">
      <c r="A595" s="2" t="inlineStr">
        <is>
          <t>A14-DB-N166</t>
        </is>
      </c>
      <c r="B595" s="3" t="inlineStr">
        <is>
          <t>DOJC-SM-LC/PC-FC/APC</t>
        </is>
      </c>
      <c r="C595" s="2" t="inlineStr">
        <is>
          <t>908040896, 20M, B3, 2.0mm</t>
        </is>
      </c>
      <c r="D595" s="2" t="inlineStr">
        <is>
          <t>b3</t>
        </is>
      </c>
      <c r="E595" s="2" t="inlineStr">
        <is>
          <t>2.0mm</t>
        </is>
      </c>
      <c r="F595" s="2" t="n">
        <v>2</v>
      </c>
      <c r="G595" s="2" t="n">
        <v>20</v>
      </c>
      <c r="H595" s="2" t="inlineStr">
        <is>
          <t>LC/PC</t>
        </is>
      </c>
      <c r="I595" s="2" t="inlineStr">
        <is>
          <t>FC/APC</t>
        </is>
      </c>
      <c r="J595" s="2" t="n"/>
      <c r="K595" s="2" t="n">
        <v>2</v>
      </c>
      <c r="L595" s="2" t="n">
        <v>102</v>
      </c>
      <c r="M595" s="2" t="n">
        <v>90</v>
      </c>
      <c r="N595" s="2" t="n"/>
      <c r="O595" s="2" t="n"/>
      <c r="P595" s="2" t="n"/>
      <c r="Q595" s="2" t="n"/>
      <c r="R595" s="2" t="n"/>
      <c r="S595" s="2" t="n">
        <v>36</v>
      </c>
      <c r="T595" s="2" t="n">
        <v>35</v>
      </c>
      <c r="U595" s="2" t="n"/>
      <c r="V595" s="2">
        <f>SUM(J595:U595)*G595</f>
        <v/>
      </c>
      <c r="W595" s="2">
        <f>MAX(J595:U595)</f>
        <v/>
      </c>
      <c r="X595" s="2">
        <f>W595*G595</f>
        <v/>
      </c>
    </row>
    <row r="596">
      <c r="A596" s="2" t="inlineStr">
        <is>
          <t>A14-DB-N170</t>
        </is>
      </c>
      <c r="B596" s="3" t="inlineStr">
        <is>
          <t>DOJC-SM-LC/PC-FC/APC</t>
        </is>
      </c>
      <c r="C596" s="2" t="inlineStr">
        <is>
          <t>908040901, 25M, B3, 2.0mm</t>
        </is>
      </c>
      <c r="D596" s="2" t="inlineStr">
        <is>
          <t>b3</t>
        </is>
      </c>
      <c r="E596" s="2" t="inlineStr">
        <is>
          <t>2.0mm</t>
        </is>
      </c>
      <c r="F596" s="2" t="n">
        <v>2</v>
      </c>
      <c r="G596" s="2" t="n">
        <v>25</v>
      </c>
      <c r="H596" s="2" t="inlineStr">
        <is>
          <t>LC/PC</t>
        </is>
      </c>
      <c r="I596" s="2" t="inlineStr">
        <is>
          <t>FC/APC</t>
        </is>
      </c>
      <c r="J596" s="2" t="n"/>
      <c r="K596" s="2" t="n">
        <v>129</v>
      </c>
      <c r="L596" s="2" t="n"/>
      <c r="M596" s="2" t="n">
        <v>17</v>
      </c>
      <c r="N596" s="2" t="n">
        <v>27</v>
      </c>
      <c r="O596" s="2" t="n"/>
      <c r="P596" s="2" t="n"/>
      <c r="Q596" s="2" t="n"/>
      <c r="R596" s="2" t="n"/>
      <c r="S596" s="2" t="n"/>
      <c r="T596" s="2" t="n"/>
      <c r="U596" s="2" t="n"/>
      <c r="V596" s="2">
        <f>SUM(J596:U596)*G596</f>
        <v/>
      </c>
      <c r="W596" s="2">
        <f>MAX(J596:U596)</f>
        <v/>
      </c>
      <c r="X596" s="2">
        <f>W596*G596</f>
        <v/>
      </c>
    </row>
    <row r="597">
      <c r="A597" s="2" t="inlineStr">
        <is>
          <t>A14-DB-N173</t>
        </is>
      </c>
      <c r="B597" s="3" t="inlineStr">
        <is>
          <t>DOJC-SM-LC/PC-FC/APC</t>
        </is>
      </c>
      <c r="C597" s="2" t="inlineStr">
        <is>
          <t>908040906, 30M, B3, 2.0mm</t>
        </is>
      </c>
      <c r="D597" s="2" t="inlineStr">
        <is>
          <t>b3</t>
        </is>
      </c>
      <c r="E597" s="2" t="inlineStr">
        <is>
          <t>2.0mm</t>
        </is>
      </c>
      <c r="F597" s="2" t="n">
        <v>2</v>
      </c>
      <c r="G597" s="2" t="n">
        <v>30</v>
      </c>
      <c r="H597" s="2" t="inlineStr">
        <is>
          <t>LC/PC</t>
        </is>
      </c>
      <c r="I597" s="2" t="inlineStr">
        <is>
          <t>FC/APC</t>
        </is>
      </c>
      <c r="J597" s="2" t="n"/>
      <c r="K597" s="2" t="n"/>
      <c r="L597" s="2" t="n">
        <v>4</v>
      </c>
      <c r="M597" s="2" t="n">
        <v>40</v>
      </c>
      <c r="N597" s="2" t="n">
        <v>10</v>
      </c>
      <c r="O597" s="2" t="n"/>
      <c r="P597" s="2" t="n"/>
      <c r="Q597" s="2" t="n"/>
      <c r="R597" s="2" t="n"/>
      <c r="S597" s="2" t="n"/>
      <c r="T597" s="2" t="n"/>
      <c r="U597" s="2" t="n">
        <v>2</v>
      </c>
      <c r="V597" s="2">
        <f>SUM(J597:U597)*G597</f>
        <v/>
      </c>
      <c r="W597" s="2">
        <f>MAX(J597:U597)</f>
        <v/>
      </c>
      <c r="X597" s="2">
        <f>W597*G597</f>
        <v/>
      </c>
    </row>
    <row r="598">
      <c r="A598" s="2" t="inlineStr">
        <is>
          <t>A14-DB-N174</t>
        </is>
      </c>
      <c r="B598" s="3" t="inlineStr">
        <is>
          <t>DOJC-SM-LC/PC-FC/APC</t>
        </is>
      </c>
      <c r="C598" s="2" t="inlineStr">
        <is>
          <t>35M, B3, 2.0mm</t>
        </is>
      </c>
      <c r="D598" s="2" t="inlineStr">
        <is>
          <t>b3</t>
        </is>
      </c>
      <c r="E598" s="2" t="inlineStr">
        <is>
          <t>2.0mm</t>
        </is>
      </c>
      <c r="F598" s="2" t="n">
        <v>2</v>
      </c>
      <c r="G598" s="2" t="n">
        <v>35</v>
      </c>
      <c r="H598" s="2" t="inlineStr">
        <is>
          <t>LC/PC</t>
        </is>
      </c>
      <c r="I598" s="2" t="inlineStr">
        <is>
          <t>FC/APC</t>
        </is>
      </c>
      <c r="J598" s="2" t="n">
        <v>5</v>
      </c>
      <c r="K598" s="2" t="n"/>
      <c r="L598" s="2" t="n">
        <v>20</v>
      </c>
      <c r="M598" s="2" t="n">
        <v>20</v>
      </c>
      <c r="N598" s="2" t="n">
        <v>12</v>
      </c>
      <c r="O598" s="2" t="n"/>
      <c r="P598" s="2" t="n">
        <v>5</v>
      </c>
      <c r="Q598" s="2" t="n"/>
      <c r="R598" s="2" t="n"/>
      <c r="S598" s="2" t="n"/>
      <c r="T598" s="2" t="n"/>
      <c r="U598" s="2" t="n"/>
      <c r="V598" s="2">
        <f>SUM(J598:U598)*G598</f>
        <v/>
      </c>
      <c r="W598" s="2">
        <f>MAX(J598:U598)</f>
        <v/>
      </c>
      <c r="X598" s="2">
        <f>W598*G598</f>
        <v/>
      </c>
    </row>
    <row r="599">
      <c r="A599" s="2" t="inlineStr">
        <is>
          <t>A14-DB-N175</t>
        </is>
      </c>
      <c r="B599" s="3" t="inlineStr">
        <is>
          <t>DOJC-SM-LC/PC-FC/APC</t>
        </is>
      </c>
      <c r="C599" s="2" t="inlineStr">
        <is>
          <t>908040523, 3M, B3, 3.0mm</t>
        </is>
      </c>
      <c r="D599" s="2" t="inlineStr">
        <is>
          <t>b3</t>
        </is>
      </c>
      <c r="E599" s="2" t="inlineStr">
        <is>
          <t>3.0mm</t>
        </is>
      </c>
      <c r="F599" s="2" t="n">
        <v>2</v>
      </c>
      <c r="G599" s="2" t="n">
        <v>3</v>
      </c>
      <c r="H599" s="2" t="inlineStr">
        <is>
          <t>LC/PC</t>
        </is>
      </c>
      <c r="I599" s="2" t="inlineStr">
        <is>
          <t>FC/APC</t>
        </is>
      </c>
      <c r="J599" s="2" t="n"/>
      <c r="K599" s="2" t="n"/>
      <c r="L599" s="2" t="n">
        <v>10</v>
      </c>
      <c r="M599" s="2" t="n"/>
      <c r="N599" s="2" t="n">
        <v>10</v>
      </c>
      <c r="O599" s="2" t="n">
        <v>20</v>
      </c>
      <c r="P599" s="2" t="n"/>
      <c r="Q599" s="2" t="n"/>
      <c r="R599" s="2" t="n"/>
      <c r="S599" s="2" t="n"/>
      <c r="T599" s="2" t="n"/>
      <c r="U599" s="2" t="n"/>
      <c r="V599" s="2">
        <f>SUM(J599:U599)*G599</f>
        <v/>
      </c>
      <c r="W599" s="2">
        <f>MAX(J599:U599)</f>
        <v/>
      </c>
      <c r="X599" s="2">
        <f>W599*G599</f>
        <v/>
      </c>
    </row>
    <row r="600">
      <c r="A600" s="2" t="inlineStr">
        <is>
          <t>A14-DB-N176</t>
        </is>
      </c>
      <c r="B600" s="3" t="inlineStr">
        <is>
          <t>DOJC-SM-LC/PC-FC/APC</t>
        </is>
      </c>
      <c r="C600" s="2" t="inlineStr">
        <is>
          <t>40M, B3, 2.0mm</t>
        </is>
      </c>
      <c r="D600" s="2" t="inlineStr">
        <is>
          <t>b3</t>
        </is>
      </c>
      <c r="E600" s="2" t="inlineStr">
        <is>
          <t>2.0mm</t>
        </is>
      </c>
      <c r="F600" s="2" t="n">
        <v>2</v>
      </c>
      <c r="G600" s="2" t="n">
        <v>40</v>
      </c>
      <c r="H600" s="2" t="inlineStr">
        <is>
          <t>LC/PC</t>
        </is>
      </c>
      <c r="I600" s="2" t="inlineStr">
        <is>
          <t>FC/APC</t>
        </is>
      </c>
      <c r="J600" s="2" t="n">
        <v>4</v>
      </c>
      <c r="K600" s="2" t="n"/>
      <c r="L600" s="2" t="n"/>
      <c r="M600" s="2" t="n"/>
      <c r="N600" s="2" t="n">
        <v>10</v>
      </c>
      <c r="O600" s="2" t="n"/>
      <c r="P600" s="2" t="n">
        <v>2</v>
      </c>
      <c r="Q600" s="2" t="n"/>
      <c r="R600" s="2" t="n"/>
      <c r="S600" s="2" t="n"/>
      <c r="T600" s="2" t="n"/>
      <c r="U600" s="2" t="n"/>
      <c r="V600" s="2">
        <f>SUM(J600:U600)*G600</f>
        <v/>
      </c>
      <c r="W600" s="2">
        <f>MAX(J600:U600)</f>
        <v/>
      </c>
      <c r="X600" s="2">
        <f>W600*G600</f>
        <v/>
      </c>
    </row>
    <row r="601">
      <c r="A601" s="2" t="inlineStr">
        <is>
          <t>A14-DB-N177</t>
        </is>
      </c>
      <c r="B601" s="3" t="inlineStr">
        <is>
          <t>DOJC-SM-LC/PC-FC/APC</t>
        </is>
      </c>
      <c r="C601" s="2" t="inlineStr">
        <is>
          <t>45M, B3, 2.0mm</t>
        </is>
      </c>
      <c r="D601" s="2" t="inlineStr">
        <is>
          <t>b3</t>
        </is>
      </c>
      <c r="E601" s="2" t="inlineStr">
        <is>
          <t>2.0mm</t>
        </is>
      </c>
      <c r="F601" s="2" t="n">
        <v>2</v>
      </c>
      <c r="G601" s="2" t="n">
        <v>45</v>
      </c>
      <c r="H601" s="2" t="inlineStr">
        <is>
          <t>LC/PC</t>
        </is>
      </c>
      <c r="I601" s="2" t="inlineStr">
        <is>
          <t>FC/APC</t>
        </is>
      </c>
      <c r="J601" s="2" t="n">
        <v>9</v>
      </c>
      <c r="K601" s="2" t="n"/>
      <c r="L601" s="2" t="n"/>
      <c r="M601" s="2" t="n"/>
      <c r="N601" s="2" t="n">
        <v>10</v>
      </c>
      <c r="O601" s="2" t="n"/>
      <c r="P601" s="2" t="n"/>
      <c r="Q601" s="2" t="n">
        <v>5</v>
      </c>
      <c r="R601" s="2" t="n">
        <v>6</v>
      </c>
      <c r="S601" s="2" t="n"/>
      <c r="T601" s="2" t="n"/>
      <c r="U601" s="2" t="n"/>
      <c r="V601" s="2">
        <f>SUM(J601:U601)*G601</f>
        <v/>
      </c>
      <c r="W601" s="2">
        <f>MAX(J601:U601)</f>
        <v/>
      </c>
      <c r="X601" s="2">
        <f>W601*G601</f>
        <v/>
      </c>
    </row>
    <row r="602">
      <c r="A602" s="2" t="inlineStr">
        <is>
          <t>A14-DB-N179</t>
        </is>
      </c>
      <c r="B602" s="3" t="inlineStr">
        <is>
          <t>DOJC-SM-LC/PC-FC/APC</t>
        </is>
      </c>
      <c r="C602" s="2" t="inlineStr">
        <is>
          <t>50M, B3, 2.0mm</t>
        </is>
      </c>
      <c r="D602" s="2" t="inlineStr">
        <is>
          <t>b3</t>
        </is>
      </c>
      <c r="E602" s="2" t="inlineStr">
        <is>
          <t>2.0mm</t>
        </is>
      </c>
      <c r="F602" s="2" t="n">
        <v>2</v>
      </c>
      <c r="G602" s="2" t="n">
        <v>50</v>
      </c>
      <c r="H602" s="2" t="inlineStr">
        <is>
          <t>LC/PC</t>
        </is>
      </c>
      <c r="I602" s="2" t="inlineStr">
        <is>
          <t>FC/APC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>
        <v>12</v>
      </c>
      <c r="R602" s="2" t="n"/>
      <c r="S602" s="2" t="n"/>
      <c r="T602" s="2" t="n"/>
      <c r="U602" s="2" t="n"/>
      <c r="V602" s="2">
        <f>SUM(J602:U602)*G602</f>
        <v/>
      </c>
      <c r="W602" s="2">
        <f>MAX(J602:U602)</f>
        <v/>
      </c>
      <c r="X602" s="2">
        <f>W602*G602</f>
        <v/>
      </c>
    </row>
    <row r="603">
      <c r="A603" s="2" t="inlineStr">
        <is>
          <t>A14-DB-N181</t>
        </is>
      </c>
      <c r="B603" s="3" t="inlineStr">
        <is>
          <t>DOJC-SM-LC/PC-FC/APC</t>
        </is>
      </c>
      <c r="C603" s="2" t="inlineStr">
        <is>
          <t>908040527, 5M, B3, 3.0mm</t>
        </is>
      </c>
      <c r="D603" s="2" t="inlineStr">
        <is>
          <t>b3</t>
        </is>
      </c>
      <c r="E603" s="2" t="inlineStr">
        <is>
          <t>3.0mm</t>
        </is>
      </c>
      <c r="F603" s="2" t="n">
        <v>2</v>
      </c>
      <c r="G603" s="2" t="n">
        <v>5</v>
      </c>
      <c r="H603" s="2" t="inlineStr">
        <is>
          <t>LC/PC</t>
        </is>
      </c>
      <c r="I603" s="2" t="inlineStr">
        <is>
          <t>FC/APC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>
        <v>10</v>
      </c>
      <c r="R603" s="2" t="n">
        <v>10</v>
      </c>
      <c r="S603" s="2" t="n"/>
      <c r="T603" s="2" t="n">
        <v>1</v>
      </c>
      <c r="U603" s="2" t="n">
        <v>3</v>
      </c>
      <c r="V603" s="2">
        <f>SUM(J603:U603)*G603</f>
        <v/>
      </c>
      <c r="W603" s="2">
        <f>MAX(J603:U603)</f>
        <v/>
      </c>
      <c r="X603" s="2">
        <f>W603*G603</f>
        <v/>
      </c>
    </row>
    <row r="604">
      <c r="A604" s="2" t="inlineStr">
        <is>
          <t>A14-DB-N187</t>
        </is>
      </c>
      <c r="B604" s="3" t="inlineStr">
        <is>
          <t>DOJC-SM-LC/PC-FC/APC</t>
        </is>
      </c>
      <c r="C604" s="2" t="inlineStr">
        <is>
          <t>908040529, 7M, B3, 2.0mm</t>
        </is>
      </c>
      <c r="D604" s="2" t="inlineStr">
        <is>
          <t>b3</t>
        </is>
      </c>
      <c r="E604" s="2" t="inlineStr">
        <is>
          <t>2.0mm</t>
        </is>
      </c>
      <c r="F604" s="2" t="n">
        <v>2</v>
      </c>
      <c r="G604" s="2" t="n">
        <v>7</v>
      </c>
      <c r="H604" s="2" t="inlineStr">
        <is>
          <t>LC/PC</t>
        </is>
      </c>
      <c r="I604" s="2" t="inlineStr">
        <is>
          <t>FC/APC</t>
        </is>
      </c>
      <c r="J604" s="2" t="n"/>
      <c r="K604" s="2" t="n"/>
      <c r="L604" s="2" t="n">
        <v>7</v>
      </c>
      <c r="M604" s="2" t="n"/>
      <c r="N604" s="2" t="n">
        <v>6</v>
      </c>
      <c r="O604" s="2" t="n"/>
      <c r="P604" s="2" t="n"/>
      <c r="Q604" s="2" t="n">
        <v>13</v>
      </c>
      <c r="R604" s="2" t="n"/>
      <c r="S604" s="2" t="n"/>
      <c r="T604" s="2" t="n">
        <v>5</v>
      </c>
      <c r="U604" s="2" t="n"/>
      <c r="V604" s="2">
        <f>SUM(J604:U604)*G604</f>
        <v/>
      </c>
      <c r="W604" s="2">
        <f>MAX(J604:U604)</f>
        <v/>
      </c>
      <c r="X604" s="2">
        <f>W604*G604</f>
        <v/>
      </c>
    </row>
    <row r="605">
      <c r="A605" s="2" t="inlineStr">
        <is>
          <t>A14-DB-N189</t>
        </is>
      </c>
      <c r="B605" s="3" t="inlineStr">
        <is>
          <t>DOJC-SM-LC/PC-FC/APC</t>
        </is>
      </c>
      <c r="C605" s="2" t="inlineStr">
        <is>
          <t>908040530, 8M, B3, 2.0mm</t>
        </is>
      </c>
      <c r="D605" s="2" t="inlineStr">
        <is>
          <t>b3</t>
        </is>
      </c>
      <c r="E605" s="2" t="inlineStr">
        <is>
          <t>2.0mm</t>
        </is>
      </c>
      <c r="F605" s="2" t="n">
        <v>2</v>
      </c>
      <c r="G605" s="2" t="n">
        <v>8</v>
      </c>
      <c r="H605" s="2" t="inlineStr">
        <is>
          <t>LC/PC</t>
        </is>
      </c>
      <c r="I605" s="2" t="inlineStr">
        <is>
          <t>FC/APC</t>
        </is>
      </c>
      <c r="J605" s="2" t="n"/>
      <c r="K605" s="2" t="n">
        <v>20</v>
      </c>
      <c r="L605" s="2" t="n"/>
      <c r="M605" s="2" t="n"/>
      <c r="N605" s="2" t="n"/>
      <c r="O605" s="2" t="n"/>
      <c r="P605" s="2" t="n">
        <v>10</v>
      </c>
      <c r="Q605" s="2" t="n"/>
      <c r="R605" s="2" t="n"/>
      <c r="S605" s="2" t="n"/>
      <c r="T605" s="2" t="n"/>
      <c r="U605" s="2" t="n"/>
      <c r="V605" s="2">
        <f>SUM(J605:U605)*G605</f>
        <v/>
      </c>
      <c r="W605" s="2">
        <f>MAX(J605:U605)</f>
        <v/>
      </c>
      <c r="X605" s="2">
        <f>W605*G605</f>
        <v/>
      </c>
    </row>
    <row r="606">
      <c r="A606" s="2" t="inlineStr">
        <is>
          <t>A14-DB-N192</t>
        </is>
      </c>
      <c r="B606" s="3" t="inlineStr">
        <is>
          <t>DOJC-SM-LC/PC-FC/PC</t>
        </is>
      </c>
      <c r="C606" s="2" t="inlineStr">
        <is>
          <t>908040722, 10M, B3, 2.0mm</t>
        </is>
      </c>
      <c r="D606" s="2" t="inlineStr">
        <is>
          <t>b3</t>
        </is>
      </c>
      <c r="E606" s="2" t="inlineStr">
        <is>
          <t>2.0mm</t>
        </is>
      </c>
      <c r="F606" s="2" t="n">
        <v>2</v>
      </c>
      <c r="G606" s="2" t="n">
        <v>10</v>
      </c>
      <c r="H606" s="2" t="inlineStr">
        <is>
          <t>LC/PC</t>
        </is>
      </c>
      <c r="I606" s="2" t="inlineStr">
        <is>
          <t>FC/PC</t>
        </is>
      </c>
      <c r="J606" s="2" t="n"/>
      <c r="K606" s="2" t="n">
        <v>73</v>
      </c>
      <c r="L606" s="2" t="n">
        <v>50</v>
      </c>
      <c r="M606" s="2" t="n">
        <v>15</v>
      </c>
      <c r="N606" s="2" t="n"/>
      <c r="O606" s="2" t="n"/>
      <c r="P606" s="2" t="n"/>
      <c r="Q606" s="2" t="n">
        <v>20</v>
      </c>
      <c r="R606" s="2" t="n">
        <v>80</v>
      </c>
      <c r="S606" s="2" t="n"/>
      <c r="T606" s="2" t="n"/>
      <c r="U606" s="2" t="n"/>
      <c r="V606" s="2">
        <f>SUM(J606:U606)*G606</f>
        <v/>
      </c>
      <c r="W606" s="2">
        <f>MAX(J606:U606)</f>
        <v/>
      </c>
      <c r="X606" s="2">
        <f>W606*G606</f>
        <v/>
      </c>
    </row>
    <row r="607">
      <c r="A607" s="2" t="inlineStr">
        <is>
          <t>A14-DB-N196</t>
        </is>
      </c>
      <c r="B607" s="3" t="inlineStr">
        <is>
          <t>DOJC-SM-LC/PC-FC/PC</t>
        </is>
      </c>
      <c r="C607" s="2" t="inlineStr">
        <is>
          <t>908040727, 15M, B3, 2.0mm</t>
        </is>
      </c>
      <c r="D607" s="2" t="inlineStr">
        <is>
          <t>b3</t>
        </is>
      </c>
      <c r="E607" s="2" t="inlineStr">
        <is>
          <t>2.0mm</t>
        </is>
      </c>
      <c r="F607" s="2" t="n">
        <v>2</v>
      </c>
      <c r="G607" s="2" t="n">
        <v>15</v>
      </c>
      <c r="H607" s="2" t="inlineStr">
        <is>
          <t>LC/PC</t>
        </is>
      </c>
      <c r="I607" s="2" t="inlineStr">
        <is>
          <t>FC/PC</t>
        </is>
      </c>
      <c r="J607" s="2" t="n"/>
      <c r="K607" s="2" t="n">
        <v>187</v>
      </c>
      <c r="L607" s="2" t="n">
        <v>130</v>
      </c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>
        <f>SUM(J607:U607)*G607</f>
        <v/>
      </c>
      <c r="W607" s="2">
        <f>MAX(J607:U607)</f>
        <v/>
      </c>
      <c r="X607" s="2">
        <f>W607*G607</f>
        <v/>
      </c>
    </row>
    <row r="608">
      <c r="A608" s="2" t="inlineStr">
        <is>
          <t>A14-DB-N199</t>
        </is>
      </c>
      <c r="B608" s="3" t="inlineStr">
        <is>
          <t>DOJC-SM-LC/PC-FC/PC</t>
        </is>
      </c>
      <c r="C608" s="2" t="inlineStr">
        <is>
          <t>908040732, 20M, B3, 2.0mm</t>
        </is>
      </c>
      <c r="D608" s="2" t="inlineStr">
        <is>
          <t>b3</t>
        </is>
      </c>
      <c r="E608" s="2" t="inlineStr">
        <is>
          <t>2.0mm</t>
        </is>
      </c>
      <c r="F608" s="2" t="n">
        <v>2</v>
      </c>
      <c r="G608" s="2" t="n">
        <v>20</v>
      </c>
      <c r="H608" s="2" t="inlineStr">
        <is>
          <t>LC/PC</t>
        </is>
      </c>
      <c r="I608" s="2" t="inlineStr">
        <is>
          <t>FC/PC</t>
        </is>
      </c>
      <c r="J608" s="2" t="n"/>
      <c r="K608" s="2" t="n">
        <v>199</v>
      </c>
      <c r="L608" s="2" t="n">
        <v>40</v>
      </c>
      <c r="M608" s="2" t="n">
        <v>5</v>
      </c>
      <c r="N608" s="2" t="n"/>
      <c r="O608" s="2" t="n"/>
      <c r="P608" s="2" t="n"/>
      <c r="Q608" s="2" t="n"/>
      <c r="R608" s="2" t="n">
        <v>30</v>
      </c>
      <c r="S608" s="2" t="n"/>
      <c r="T608" s="2" t="n">
        <v>15</v>
      </c>
      <c r="U608" s="2" t="n"/>
      <c r="V608" s="2">
        <f>SUM(J608:U608)*G608</f>
        <v/>
      </c>
      <c r="W608" s="2">
        <f>MAX(J608:U608)</f>
        <v/>
      </c>
      <c r="X608" s="2">
        <f>W608*G608</f>
        <v/>
      </c>
    </row>
    <row r="609">
      <c r="A609" s="2" t="inlineStr">
        <is>
          <t>A14-DB-N202</t>
        </is>
      </c>
      <c r="B609" s="3" t="inlineStr">
        <is>
          <t>DOJC-SM-LC/PC-FC/PC</t>
        </is>
      </c>
      <c r="C609" s="2" t="inlineStr">
        <is>
          <t>908040853, 25M, B3, 2.0mm</t>
        </is>
      </c>
      <c r="D609" s="2" t="inlineStr">
        <is>
          <t>b3</t>
        </is>
      </c>
      <c r="E609" s="2" t="inlineStr">
        <is>
          <t>2.0mm</t>
        </is>
      </c>
      <c r="F609" s="2" t="n">
        <v>2</v>
      </c>
      <c r="G609" s="2" t="n">
        <v>25</v>
      </c>
      <c r="H609" s="2" t="inlineStr">
        <is>
          <t>LC/PC</t>
        </is>
      </c>
      <c r="I609" s="2" t="inlineStr">
        <is>
          <t>FC/PC</t>
        </is>
      </c>
      <c r="J609" s="2" t="n"/>
      <c r="K609" s="2" t="n">
        <v>40</v>
      </c>
      <c r="L609" s="2" t="n">
        <v>37</v>
      </c>
      <c r="M609" s="2" t="n"/>
      <c r="N609" s="2" t="n">
        <v>20</v>
      </c>
      <c r="O609" s="2" t="n"/>
      <c r="P609" s="2" t="n"/>
      <c r="Q609" s="2" t="n"/>
      <c r="R609" s="2" t="n"/>
      <c r="S609" s="2" t="n">
        <v>1</v>
      </c>
      <c r="T609" s="2" t="n"/>
      <c r="U609" s="2" t="n"/>
      <c r="V609" s="2">
        <f>SUM(J609:U609)*G609</f>
        <v/>
      </c>
      <c r="W609" s="2">
        <f>MAX(J609:U609)</f>
        <v/>
      </c>
      <c r="X609" s="2">
        <f>W609*G609</f>
        <v/>
      </c>
    </row>
    <row r="610">
      <c r="A610" s="2" t="inlineStr">
        <is>
          <t>A14-DB-N205</t>
        </is>
      </c>
      <c r="B610" s="3" t="inlineStr">
        <is>
          <t>DOJC-SM-LC/PC-FC/PC</t>
        </is>
      </c>
      <c r="C610" s="2" t="inlineStr">
        <is>
          <t>908040858, 30M, B3, 2.0mm</t>
        </is>
      </c>
      <c r="D610" s="2" t="inlineStr">
        <is>
          <t>b3</t>
        </is>
      </c>
      <c r="E610" s="2" t="inlineStr">
        <is>
          <t>2.0mm</t>
        </is>
      </c>
      <c r="F610" s="2" t="n">
        <v>2</v>
      </c>
      <c r="G610" s="2" t="n">
        <v>30</v>
      </c>
      <c r="H610" s="2" t="inlineStr">
        <is>
          <t>LC/PC</t>
        </is>
      </c>
      <c r="I610" s="2" t="inlineStr">
        <is>
          <t>FC/PC</t>
        </is>
      </c>
      <c r="J610" s="2" t="n"/>
      <c r="K610" s="2" t="n">
        <v>20</v>
      </c>
      <c r="L610" s="2" t="n">
        <v>20</v>
      </c>
      <c r="M610" s="2" t="n"/>
      <c r="N610" s="2" t="n">
        <v>10</v>
      </c>
      <c r="O610" s="2" t="n"/>
      <c r="P610" s="2" t="n">
        <v>20</v>
      </c>
      <c r="Q610" s="2" t="n">
        <v>5</v>
      </c>
      <c r="R610" s="2" t="n">
        <v>30</v>
      </c>
      <c r="S610" s="2" t="n"/>
      <c r="T610" s="2" t="n">
        <v>10</v>
      </c>
      <c r="U610" s="2" t="n">
        <v>2</v>
      </c>
      <c r="V610" s="2">
        <f>SUM(J610:U610)*G610</f>
        <v/>
      </c>
      <c r="W610" s="2">
        <f>MAX(J610:U610)</f>
        <v/>
      </c>
      <c r="X610" s="2">
        <f>W610*G610</f>
        <v/>
      </c>
    </row>
    <row r="611">
      <c r="A611" s="2" t="inlineStr">
        <is>
          <t>A14-DB-N206</t>
        </is>
      </c>
      <c r="B611" s="3" t="inlineStr">
        <is>
          <t>DOJC-SM-LC/PC-FC/PC</t>
        </is>
      </c>
      <c r="C611" s="2" t="inlineStr">
        <is>
          <t>35M, B3, 2.0mm</t>
        </is>
      </c>
      <c r="D611" s="2" t="inlineStr">
        <is>
          <t>b3</t>
        </is>
      </c>
      <c r="E611" s="2" t="inlineStr">
        <is>
          <t>2.0mm</t>
        </is>
      </c>
      <c r="F611" s="2" t="n">
        <v>2</v>
      </c>
      <c r="G611" s="2" t="n">
        <v>35</v>
      </c>
      <c r="H611" s="2" t="inlineStr">
        <is>
          <t>LC/PC</t>
        </is>
      </c>
      <c r="I611" s="2" t="inlineStr">
        <is>
          <t>FC/PC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>
        <v>50</v>
      </c>
      <c r="R611" s="2" t="n">
        <v>5</v>
      </c>
      <c r="S611" s="2" t="n"/>
      <c r="T611" s="2" t="n"/>
      <c r="U611" s="2" t="n"/>
      <c r="V611" s="2">
        <f>SUM(J611:U611)*G611</f>
        <v/>
      </c>
      <c r="W611" s="2">
        <f>MAX(J611:U611)</f>
        <v/>
      </c>
      <c r="X611" s="2">
        <f>W611*G611</f>
        <v/>
      </c>
    </row>
    <row r="612">
      <c r="A612" s="2" t="inlineStr">
        <is>
          <t>A14-DB-N208</t>
        </is>
      </c>
      <c r="B612" s="3" t="inlineStr">
        <is>
          <t>DOJC-SM-LC/PC-FC/PC</t>
        </is>
      </c>
      <c r="C612" s="2" t="inlineStr">
        <is>
          <t>40M, B3, 2.0mm</t>
        </is>
      </c>
      <c r="D612" s="2" t="inlineStr">
        <is>
          <t>b3</t>
        </is>
      </c>
      <c r="E612" s="2" t="inlineStr">
        <is>
          <t>2.0mm</t>
        </is>
      </c>
      <c r="F612" s="2" t="n">
        <v>2</v>
      </c>
      <c r="G612" s="2" t="n">
        <v>40</v>
      </c>
      <c r="H612" s="2" t="inlineStr">
        <is>
          <t>LC/PC</t>
        </is>
      </c>
      <c r="I612" s="2" t="inlineStr">
        <is>
          <t>FC/PC</t>
        </is>
      </c>
      <c r="J612" s="2" t="n"/>
      <c r="K612" s="2" t="n">
        <v>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>
        <v>4</v>
      </c>
      <c r="U612" s="2" t="n"/>
      <c r="V612" s="2">
        <f>SUM(J612:U612)*G612</f>
        <v/>
      </c>
      <c r="W612" s="2">
        <f>MAX(J612:U612)</f>
        <v/>
      </c>
      <c r="X612" s="2">
        <f>W612*G612</f>
        <v/>
      </c>
    </row>
    <row r="613">
      <c r="A613" s="2" t="inlineStr">
        <is>
          <t>A14-DB-N223</t>
        </is>
      </c>
      <c r="B613" s="3" t="inlineStr">
        <is>
          <t>DOJC-SM-LC/PC-LC/PC</t>
        </is>
      </c>
      <c r="C613" s="2" t="inlineStr">
        <is>
          <t>908041006, 10M, B3, 2.0mm</t>
        </is>
      </c>
      <c r="D613" s="2" t="inlineStr">
        <is>
          <t>b3</t>
        </is>
      </c>
      <c r="E613" s="2" t="inlineStr">
        <is>
          <t>2.0mm</t>
        </is>
      </c>
      <c r="F613" s="2" t="n">
        <v>2</v>
      </c>
      <c r="G613" s="2" t="n">
        <v>10</v>
      </c>
      <c r="H613" s="2" t="inlineStr">
        <is>
          <t>LC/PC</t>
        </is>
      </c>
      <c r="I613" s="2" t="inlineStr">
        <is>
          <t>LC/PC</t>
        </is>
      </c>
      <c r="J613" s="2" t="n"/>
      <c r="K613" s="2" t="n"/>
      <c r="L613" s="2" t="n"/>
      <c r="M613" s="2" t="n"/>
      <c r="N613" s="2" t="n">
        <v>598</v>
      </c>
      <c r="O613" s="2" t="n">
        <v>297</v>
      </c>
      <c r="P613" s="2" t="n">
        <v>538</v>
      </c>
      <c r="Q613" s="2" t="n">
        <v>20</v>
      </c>
      <c r="R613" s="2" t="n"/>
      <c r="S613" s="2" t="n"/>
      <c r="T613" s="2" t="n">
        <v>587</v>
      </c>
      <c r="U613" s="2" t="n">
        <v>330</v>
      </c>
      <c r="V613" s="2">
        <f>SUM(J613:U613)*G613</f>
        <v/>
      </c>
      <c r="W613" s="2">
        <f>MAX(J613:U613)</f>
        <v/>
      </c>
      <c r="X613" s="2">
        <f>W613*G613</f>
        <v/>
      </c>
    </row>
    <row r="614">
      <c r="A614" s="2" t="inlineStr">
        <is>
          <t>A14-DB-N225</t>
        </is>
      </c>
      <c r="B614" s="3" t="inlineStr">
        <is>
          <t>DOJC-SM-LC/PC-LC/PC</t>
        </is>
      </c>
      <c r="C614" s="2" t="inlineStr">
        <is>
          <t>908040694, 12M, B3, 2.0mm</t>
        </is>
      </c>
      <c r="D614" s="2" t="inlineStr">
        <is>
          <t>b3</t>
        </is>
      </c>
      <c r="E614" s="2" t="inlineStr">
        <is>
          <t>2.0mm</t>
        </is>
      </c>
      <c r="F614" s="2" t="n">
        <v>2</v>
      </c>
      <c r="G614" s="2" t="n">
        <v>12</v>
      </c>
      <c r="H614" s="2" t="inlineStr">
        <is>
          <t>LC/PC</t>
        </is>
      </c>
      <c r="I614" s="2" t="inlineStr">
        <is>
          <t>LC/PC</t>
        </is>
      </c>
      <c r="J614" s="2" t="n">
        <v>10</v>
      </c>
      <c r="K614" s="2" t="n">
        <v>10</v>
      </c>
      <c r="L614" s="2" t="n">
        <v>20</v>
      </c>
      <c r="M614" s="2" t="n"/>
      <c r="N614" s="2" t="n">
        <v>30</v>
      </c>
      <c r="O614" s="2" t="n">
        <v>40</v>
      </c>
      <c r="P614" s="2" t="n"/>
      <c r="Q614" s="2" t="n"/>
      <c r="R614" s="2" t="n"/>
      <c r="S614" s="2" t="n">
        <v>10</v>
      </c>
      <c r="T614" s="2" t="n"/>
      <c r="U614" s="2" t="n"/>
      <c r="V614" s="2">
        <f>SUM(J614:U614)*G614</f>
        <v/>
      </c>
      <c r="W614" s="2">
        <f>MAX(J614:U614)</f>
        <v/>
      </c>
      <c r="X614" s="2">
        <f>W614*G614</f>
        <v/>
      </c>
    </row>
    <row r="615">
      <c r="A615" s="2" t="inlineStr">
        <is>
          <t>A14-DB-N226</t>
        </is>
      </c>
      <c r="B615" s="3" t="inlineStr">
        <is>
          <t>DOJC-SM-LC/PC-LC/PC</t>
        </is>
      </c>
      <c r="C615" s="2" t="inlineStr">
        <is>
          <t>908040695, 13M, B3, 2.0mm</t>
        </is>
      </c>
      <c r="D615" s="2" t="inlineStr">
        <is>
          <t>b3</t>
        </is>
      </c>
      <c r="E615" s="2" t="inlineStr">
        <is>
          <t>2.0mm</t>
        </is>
      </c>
      <c r="F615" s="2" t="n">
        <v>2</v>
      </c>
      <c r="G615" s="2" t="n">
        <v>13</v>
      </c>
      <c r="H615" s="2" t="inlineStr">
        <is>
          <t>LC/PC</t>
        </is>
      </c>
      <c r="I615" s="2" t="inlineStr">
        <is>
          <t>LC/PC</t>
        </is>
      </c>
      <c r="J615" s="2" t="n"/>
      <c r="K615" s="2" t="n"/>
      <c r="L615" s="2" t="n"/>
      <c r="M615" s="2" t="n"/>
      <c r="N615" s="2" t="n">
        <v>10</v>
      </c>
      <c r="O615" s="2" t="n">
        <v>88</v>
      </c>
      <c r="P615" s="2" t="n">
        <v>4</v>
      </c>
      <c r="Q615" s="2" t="n"/>
      <c r="R615" s="2" t="n">
        <v>10</v>
      </c>
      <c r="S615" s="2" t="n">
        <v>33</v>
      </c>
      <c r="T615" s="2" t="n"/>
      <c r="U615" s="2" t="n">
        <v>10</v>
      </c>
      <c r="V615" s="2">
        <f>SUM(J615:U615)*G615</f>
        <v/>
      </c>
      <c r="W615" s="2">
        <f>MAX(J615:U615)</f>
        <v/>
      </c>
      <c r="X615" s="2">
        <f>W615*G615</f>
        <v/>
      </c>
    </row>
    <row r="616">
      <c r="A616" s="2" t="inlineStr">
        <is>
          <t>A14-DB-N228</t>
        </is>
      </c>
      <c r="B616" s="3" t="inlineStr">
        <is>
          <t>DOJC-SM-LC/PC-LC/PC</t>
        </is>
      </c>
      <c r="C616" s="2" t="inlineStr">
        <is>
          <t>908040697, 15M, B3, 2.0mm</t>
        </is>
      </c>
      <c r="D616" s="2" t="inlineStr">
        <is>
          <t>b3</t>
        </is>
      </c>
      <c r="E616" s="2" t="inlineStr">
        <is>
          <t>2.0mm</t>
        </is>
      </c>
      <c r="F616" s="2" t="n">
        <v>2</v>
      </c>
      <c r="G616" s="2" t="n">
        <v>15</v>
      </c>
      <c r="H616" s="2" t="inlineStr">
        <is>
          <t>LC/PC</t>
        </is>
      </c>
      <c r="I616" s="2" t="inlineStr">
        <is>
          <t>LC/PC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>
        <v>3</v>
      </c>
      <c r="R616" s="2" t="n">
        <v>34</v>
      </c>
      <c r="S616" s="2" t="n"/>
      <c r="T616" s="2" t="n">
        <v>347</v>
      </c>
      <c r="U616" s="2" t="n"/>
      <c r="V616" s="2">
        <f>SUM(J616:U616)*G616</f>
        <v/>
      </c>
      <c r="W616" s="2">
        <f>MAX(J616:U616)</f>
        <v/>
      </c>
      <c r="X616" s="2">
        <f>W616*G616</f>
        <v/>
      </c>
    </row>
    <row r="617">
      <c r="A617" s="2" t="inlineStr">
        <is>
          <t>A14-DB-N233</t>
        </is>
      </c>
      <c r="B617" s="3" t="inlineStr">
        <is>
          <t>DOJC-SM-LC/PC-LC/PC</t>
        </is>
      </c>
      <c r="C617" s="2" t="inlineStr">
        <is>
          <t>908040998, 1M, B3, 3.0mm</t>
        </is>
      </c>
      <c r="D617" s="2" t="inlineStr">
        <is>
          <t>b3</t>
        </is>
      </c>
      <c r="E617" s="2" t="inlineStr">
        <is>
          <t>3.0mm</t>
        </is>
      </c>
      <c r="F617" s="2" t="n">
        <v>2</v>
      </c>
      <c r="G617" s="2" t="n">
        <v>1</v>
      </c>
      <c r="H617" s="2" t="inlineStr">
        <is>
          <t>LC/PC</t>
        </is>
      </c>
      <c r="I617" s="2" t="inlineStr">
        <is>
          <t>LC/PC</t>
        </is>
      </c>
      <c r="J617" s="2" t="n">
        <v>40</v>
      </c>
      <c r="K617" s="2" t="n"/>
      <c r="L617" s="2" t="n">
        <v>20</v>
      </c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>
        <f>SUM(J617:U617)*G617</f>
        <v/>
      </c>
      <c r="W617" s="2">
        <f>MAX(J617:U617)</f>
        <v/>
      </c>
      <c r="X617" s="2">
        <f>W617*G617</f>
        <v/>
      </c>
    </row>
    <row r="618">
      <c r="A618" s="2" t="inlineStr">
        <is>
          <t>A14-DB-N234</t>
        </is>
      </c>
      <c r="B618" s="3" t="inlineStr">
        <is>
          <t>DOJC-SM-LC/PC-LC/PC</t>
        </is>
      </c>
      <c r="C618" s="2" t="inlineStr">
        <is>
          <t>908040702, 20M, B3, 2.0mm</t>
        </is>
      </c>
      <c r="D618" s="2" t="inlineStr">
        <is>
          <t>b3</t>
        </is>
      </c>
      <c r="E618" s="2" t="inlineStr">
        <is>
          <t>2.0mm</t>
        </is>
      </c>
      <c r="F618" s="2" t="n">
        <v>2</v>
      </c>
      <c r="G618" s="2" t="n">
        <v>20</v>
      </c>
      <c r="H618" s="2" t="inlineStr">
        <is>
          <t>LC/PC</t>
        </is>
      </c>
      <c r="I618" s="2" t="inlineStr">
        <is>
          <t>LC/PC</t>
        </is>
      </c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>
        <v>67</v>
      </c>
      <c r="T618" s="2" t="n">
        <v>151</v>
      </c>
      <c r="U618" s="2" t="n"/>
      <c r="V618" s="2">
        <f>SUM(J618:U618)*G618</f>
        <v/>
      </c>
      <c r="W618" s="2">
        <f>MAX(J618:U618)</f>
        <v/>
      </c>
      <c r="X618" s="2">
        <f>W618*G618</f>
        <v/>
      </c>
    </row>
    <row r="619">
      <c r="A619" s="2" t="inlineStr">
        <is>
          <t>A14-DB-N237</t>
        </is>
      </c>
      <c r="B619" s="3" t="inlineStr">
        <is>
          <t>DOJC-SM-LC/PC-LC/PC</t>
        </is>
      </c>
      <c r="C619" s="2" t="inlineStr">
        <is>
          <t>908040707, 25M, B3, 2.0mm</t>
        </is>
      </c>
      <c r="D619" s="2" t="inlineStr">
        <is>
          <t>b3</t>
        </is>
      </c>
      <c r="E619" s="2" t="inlineStr">
        <is>
          <t>2.0mm</t>
        </is>
      </c>
      <c r="F619" s="2" t="n">
        <v>2</v>
      </c>
      <c r="G619" s="2" t="n">
        <v>25</v>
      </c>
      <c r="H619" s="2" t="inlineStr">
        <is>
          <t>LC/PC</t>
        </is>
      </c>
      <c r="I619" s="2" t="inlineStr">
        <is>
          <t>LC/PC</t>
        </is>
      </c>
      <c r="J619" s="2" t="n"/>
      <c r="K619" s="2" t="n">
        <v>20</v>
      </c>
      <c r="L619" s="2" t="n"/>
      <c r="M619" s="2" t="n"/>
      <c r="N619" s="2" t="n"/>
      <c r="O619" s="2" t="n"/>
      <c r="P619" s="2" t="n"/>
      <c r="Q619" s="2" t="n"/>
      <c r="R619" s="2" t="n">
        <v>133</v>
      </c>
      <c r="S619" s="2" t="n">
        <v>235</v>
      </c>
      <c r="T619" s="2" t="n">
        <v>90</v>
      </c>
      <c r="U619" s="2" t="n"/>
      <c r="V619" s="2">
        <f>SUM(J619:U619)*G619</f>
        <v/>
      </c>
      <c r="W619" s="2">
        <f>MAX(J619:U619)</f>
        <v/>
      </c>
      <c r="X619" s="2">
        <f>W619*G619</f>
        <v/>
      </c>
    </row>
    <row r="620">
      <c r="A620" s="2" t="inlineStr">
        <is>
          <t>A14-DB-N240</t>
        </is>
      </c>
      <c r="B620" s="3" t="inlineStr">
        <is>
          <t>DOJC-SM-LC/PC-LC/PC</t>
        </is>
      </c>
      <c r="C620" s="2" t="inlineStr">
        <is>
          <t>908040999, 2M, B3, 3.0mm</t>
        </is>
      </c>
      <c r="D620" s="2" t="inlineStr">
        <is>
          <t>b3</t>
        </is>
      </c>
      <c r="E620" s="2" t="inlineStr">
        <is>
          <t>3.0mm</t>
        </is>
      </c>
      <c r="F620" s="2" t="n">
        <v>2</v>
      </c>
      <c r="G620" s="2" t="n">
        <v>2</v>
      </c>
      <c r="H620" s="2" t="inlineStr">
        <is>
          <t>LC/PC</t>
        </is>
      </c>
      <c r="I620" s="2" t="inlineStr">
        <is>
          <t>LC/PC</t>
        </is>
      </c>
      <c r="J620" s="2" t="n"/>
      <c r="K620" s="2" t="n">
        <v>46</v>
      </c>
      <c r="L620" s="2" t="n"/>
      <c r="M620" s="2" t="n">
        <v>27</v>
      </c>
      <c r="N620" s="2" t="n"/>
      <c r="O620" s="2" t="n">
        <v>75</v>
      </c>
      <c r="P620" s="2" t="n">
        <v>190</v>
      </c>
      <c r="Q620" s="2" t="n">
        <v>80</v>
      </c>
      <c r="R620" s="2" t="n"/>
      <c r="S620" s="2" t="n"/>
      <c r="T620" s="2" t="n"/>
      <c r="U620" s="2" t="n"/>
      <c r="V620" s="2">
        <f>SUM(J620:U620)*G620</f>
        <v/>
      </c>
      <c r="W620" s="2">
        <f>MAX(J620:U620)</f>
        <v/>
      </c>
      <c r="X620" s="2">
        <f>W620*G620</f>
        <v/>
      </c>
    </row>
    <row r="621">
      <c r="A621" s="2" t="inlineStr">
        <is>
          <t>A14-DB-N241</t>
        </is>
      </c>
      <c r="B621" s="3" t="inlineStr">
        <is>
          <t>DOJC-SM-LC/PC-LC/PC</t>
        </is>
      </c>
      <c r="C621" s="2" t="inlineStr">
        <is>
          <t>908040712, 30M, B3, 2.0mm</t>
        </is>
      </c>
      <c r="D621" s="2" t="inlineStr">
        <is>
          <t>b3</t>
        </is>
      </c>
      <c r="E621" s="2" t="inlineStr">
        <is>
          <t>2.0mm</t>
        </is>
      </c>
      <c r="F621" s="2" t="n">
        <v>2</v>
      </c>
      <c r="G621" s="2" t="n">
        <v>30</v>
      </c>
      <c r="H621" s="2" t="inlineStr">
        <is>
          <t>LC/PC</t>
        </is>
      </c>
      <c r="I621" s="2" t="inlineStr">
        <is>
          <t>LC/PC</t>
        </is>
      </c>
      <c r="J621" s="2" t="n"/>
      <c r="K621" s="2" t="n"/>
      <c r="L621" s="2" t="n"/>
      <c r="M621" s="2" t="n"/>
      <c r="N621" s="2" t="n"/>
      <c r="O621" s="2" t="n"/>
      <c r="P621" s="2" t="n">
        <v>21</v>
      </c>
      <c r="Q621" s="2" t="n">
        <v>137</v>
      </c>
      <c r="R621" s="2" t="n">
        <v>60</v>
      </c>
      <c r="S621" s="2" t="n">
        <v>63</v>
      </c>
      <c r="T621" s="2" t="n">
        <v>4</v>
      </c>
      <c r="U621" s="2" t="n"/>
      <c r="V621" s="2">
        <f>SUM(J621:U621)*G621</f>
        <v/>
      </c>
      <c r="W621" s="2">
        <f>MAX(J621:U621)</f>
        <v/>
      </c>
      <c r="X621" s="2">
        <f>W621*G621</f>
        <v/>
      </c>
    </row>
    <row r="622">
      <c r="A622" s="2" t="inlineStr">
        <is>
          <t>A14-DB-N243</t>
        </is>
      </c>
      <c r="B622" s="3" t="inlineStr">
        <is>
          <t>DOJC-SM-LC/PC-LC/PC</t>
        </is>
      </c>
      <c r="C622" s="2" t="inlineStr">
        <is>
          <t>920000726, 35M, B3, 2.0mm</t>
        </is>
      </c>
      <c r="D622" s="2" t="inlineStr">
        <is>
          <t>b3</t>
        </is>
      </c>
      <c r="E622" s="2" t="inlineStr">
        <is>
          <t>2.0mm</t>
        </is>
      </c>
      <c r="F622" s="2" t="n">
        <v>2</v>
      </c>
      <c r="G622" s="2" t="n">
        <v>35</v>
      </c>
      <c r="H622" s="2" t="inlineStr">
        <is>
          <t>LC/PC</t>
        </is>
      </c>
      <c r="I622" s="2" t="inlineStr">
        <is>
          <t>LC/PC</t>
        </is>
      </c>
      <c r="J622" s="2" t="n">
        <v>18</v>
      </c>
      <c r="K622" s="2" t="n"/>
      <c r="L622" s="2" t="n">
        <v>16</v>
      </c>
      <c r="M622" s="2" t="n">
        <v>158</v>
      </c>
      <c r="N622" s="2" t="n">
        <v>13</v>
      </c>
      <c r="O622" s="2" t="n">
        <v>20</v>
      </c>
      <c r="P622" s="2" t="n">
        <v>20</v>
      </c>
      <c r="Q622" s="2" t="n">
        <v>90</v>
      </c>
      <c r="R622" s="2" t="n">
        <v>12</v>
      </c>
      <c r="S622" s="2" t="n">
        <v>30</v>
      </c>
      <c r="T622" s="2" t="n">
        <v>50</v>
      </c>
      <c r="U622" s="2" t="n"/>
      <c r="V622" s="2">
        <f>SUM(J622:U622)*G622</f>
        <v/>
      </c>
      <c r="W622" s="2">
        <f>MAX(J622:U622)</f>
        <v/>
      </c>
      <c r="X622" s="2">
        <f>W622*G622</f>
        <v/>
      </c>
    </row>
    <row r="623">
      <c r="A623" s="2" t="inlineStr">
        <is>
          <t>A14-DB-N244</t>
        </is>
      </c>
      <c r="B623" s="3" t="inlineStr">
        <is>
          <t>DOJC-SM-LC/PC-LC/PC</t>
        </is>
      </c>
      <c r="C623" s="2" t="inlineStr">
        <is>
          <t>908040997, 3M, B3, 3.0mm</t>
        </is>
      </c>
      <c r="D623" s="2" t="inlineStr">
        <is>
          <t>b3</t>
        </is>
      </c>
      <c r="E623" s="2" t="inlineStr">
        <is>
          <t>3.0mm</t>
        </is>
      </c>
      <c r="F623" s="2" t="n">
        <v>2</v>
      </c>
      <c r="G623" s="2" t="n">
        <v>3</v>
      </c>
      <c r="H623" s="2" t="inlineStr">
        <is>
          <t>LC/PC</t>
        </is>
      </c>
      <c r="I623" s="2" t="inlineStr">
        <is>
          <t>LC/PC</t>
        </is>
      </c>
      <c r="J623" s="2" t="n"/>
      <c r="K623" s="2" t="n">
        <v>120</v>
      </c>
      <c r="L623" s="2" t="n">
        <v>220</v>
      </c>
      <c r="M623" s="2" t="n">
        <v>382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>
        <f>SUM(J623:U623)*G623</f>
        <v/>
      </c>
      <c r="W623" s="2">
        <f>MAX(J623:U623)</f>
        <v/>
      </c>
      <c r="X623" s="2">
        <f>W623*G623</f>
        <v/>
      </c>
    </row>
    <row r="624">
      <c r="A624" s="2" t="inlineStr">
        <is>
          <t>A14-DB-N246</t>
        </is>
      </c>
      <c r="B624" s="3" t="inlineStr">
        <is>
          <t>DOJC-SM-LC/PC-LC/PC</t>
        </is>
      </c>
      <c r="C624" s="2" t="inlineStr">
        <is>
          <t>920000727, 40M, B3, 2.0mm</t>
        </is>
      </c>
      <c r="D624" s="2" t="inlineStr">
        <is>
          <t>b3</t>
        </is>
      </c>
      <c r="E624" s="2" t="inlineStr">
        <is>
          <t>2.0mm</t>
        </is>
      </c>
      <c r="F624" s="2" t="n">
        <v>2</v>
      </c>
      <c r="G624" s="2" t="n">
        <v>40</v>
      </c>
      <c r="H624" s="2" t="inlineStr">
        <is>
          <t>LC/PC</t>
        </is>
      </c>
      <c r="I624" s="2" t="inlineStr">
        <is>
          <t>LC/PC</t>
        </is>
      </c>
      <c r="J624" s="2" t="n">
        <v>10</v>
      </c>
      <c r="K624" s="2" t="n">
        <v>56</v>
      </c>
      <c r="L624" s="2" t="n"/>
      <c r="M624" s="2" t="n"/>
      <c r="N624" s="2" t="n">
        <v>47</v>
      </c>
      <c r="O624" s="2" t="n">
        <v>20</v>
      </c>
      <c r="P624" s="2" t="n">
        <v>10</v>
      </c>
      <c r="Q624" s="2" t="n">
        <v>20</v>
      </c>
      <c r="R624" s="2" t="n">
        <v>10</v>
      </c>
      <c r="S624" s="2" t="n">
        <v>6</v>
      </c>
      <c r="T624" s="2" t="n">
        <v>34</v>
      </c>
      <c r="U624" s="2" t="n"/>
      <c r="V624" s="2">
        <f>SUM(J624:U624)*G624</f>
        <v/>
      </c>
      <c r="W624" s="2">
        <f>MAX(J624:U624)</f>
        <v/>
      </c>
      <c r="X624" s="2">
        <f>W624*G624</f>
        <v/>
      </c>
    </row>
    <row r="625">
      <c r="A625" s="2" t="inlineStr">
        <is>
          <t>A14-DB-N247</t>
        </is>
      </c>
      <c r="B625" s="3" t="inlineStr">
        <is>
          <t>DOJC-SM-LC/PC-LC/PC</t>
        </is>
      </c>
      <c r="C625" s="2" t="inlineStr">
        <is>
          <t>45M, B3, 2.0mm</t>
        </is>
      </c>
      <c r="D625" s="2" t="inlineStr">
        <is>
          <t>b3</t>
        </is>
      </c>
      <c r="E625" s="2" t="inlineStr">
        <is>
          <t>2.0mm</t>
        </is>
      </c>
      <c r="F625" s="2" t="n">
        <v>2</v>
      </c>
      <c r="G625" s="2" t="n">
        <v>45</v>
      </c>
      <c r="H625" s="2" t="inlineStr">
        <is>
          <t>LC/PC</t>
        </is>
      </c>
      <c r="I625" s="2" t="inlineStr">
        <is>
          <t>LC/PC</t>
        </is>
      </c>
      <c r="J625" s="2" t="n"/>
      <c r="K625" s="2" t="n"/>
      <c r="L625" s="2" t="n"/>
      <c r="M625" s="2" t="n"/>
      <c r="N625" s="2" t="n">
        <v>20</v>
      </c>
      <c r="O625" s="2" t="n">
        <v>10</v>
      </c>
      <c r="P625" s="2" t="n"/>
      <c r="Q625" s="2" t="n"/>
      <c r="R625" s="2" t="n">
        <v>24</v>
      </c>
      <c r="S625" s="2" t="n">
        <v>4</v>
      </c>
      <c r="T625" s="2" t="n">
        <v>6</v>
      </c>
      <c r="U625" s="2" t="n">
        <v>10</v>
      </c>
      <c r="V625" s="2">
        <f>SUM(J625:U625)*G625</f>
        <v/>
      </c>
      <c r="W625" s="2">
        <f>MAX(J625:U625)</f>
        <v/>
      </c>
      <c r="X625" s="2">
        <f>W625*G625</f>
        <v/>
      </c>
    </row>
    <row r="626">
      <c r="A626" s="2" t="inlineStr">
        <is>
          <t>A14-DB-N248</t>
        </is>
      </c>
      <c r="B626" s="3" t="inlineStr">
        <is>
          <t>DOJC-SM-LC/PC-LC/PC</t>
        </is>
      </c>
      <c r="C626" s="2" t="inlineStr">
        <is>
          <t>908041000, 4M, B3, 3.0mm</t>
        </is>
      </c>
      <c r="D626" s="2" t="inlineStr">
        <is>
          <t>b3</t>
        </is>
      </c>
      <c r="E626" s="2" t="inlineStr">
        <is>
          <t>3.0mm</t>
        </is>
      </c>
      <c r="F626" s="2" t="n">
        <v>2</v>
      </c>
      <c r="G626" s="2" t="n">
        <v>4</v>
      </c>
      <c r="H626" s="2" t="inlineStr">
        <is>
          <t>LC/PC</t>
        </is>
      </c>
      <c r="I626" s="2" t="inlineStr">
        <is>
          <t>LC/PC</t>
        </is>
      </c>
      <c r="J626" s="2" t="n"/>
      <c r="K626" s="2" t="n"/>
      <c r="L626" s="2" t="n"/>
      <c r="M626" s="2" t="n"/>
      <c r="N626" s="2" t="n">
        <v>17</v>
      </c>
      <c r="O626" s="2" t="n">
        <v>30</v>
      </c>
      <c r="P626" s="2" t="n"/>
      <c r="Q626" s="2" t="n">
        <v>60</v>
      </c>
      <c r="R626" s="2" t="n">
        <v>120</v>
      </c>
      <c r="S626" s="2" t="n"/>
      <c r="T626" s="2" t="n"/>
      <c r="U626" s="2" t="n">
        <v>20</v>
      </c>
      <c r="V626" s="2">
        <f>SUM(J626:U626)*G626</f>
        <v/>
      </c>
      <c r="W626" s="2">
        <f>MAX(J626:U626)</f>
        <v/>
      </c>
      <c r="X626" s="2">
        <f>W626*G626</f>
        <v/>
      </c>
    </row>
    <row r="627">
      <c r="A627" s="2" t="inlineStr">
        <is>
          <t>A14-DB-N249</t>
        </is>
      </c>
      <c r="B627" s="3" t="inlineStr">
        <is>
          <t>DOJC-SM-LC/PC-LC/PC</t>
        </is>
      </c>
      <c r="C627" s="2" t="inlineStr">
        <is>
          <t>50M, B3, 2.0mm</t>
        </is>
      </c>
      <c r="D627" s="2" t="inlineStr">
        <is>
          <t>b3</t>
        </is>
      </c>
      <c r="E627" s="2" t="inlineStr">
        <is>
          <t>2.0mm</t>
        </is>
      </c>
      <c r="F627" s="2" t="n">
        <v>2</v>
      </c>
      <c r="G627" s="2" t="n">
        <v>50</v>
      </c>
      <c r="H627" s="2" t="inlineStr">
        <is>
          <t>LC/PC</t>
        </is>
      </c>
      <c r="I627" s="2" t="inlineStr">
        <is>
          <t>LC/PC</t>
        </is>
      </c>
      <c r="J627" s="2" t="n"/>
      <c r="K627" s="2" t="n">
        <v>22</v>
      </c>
      <c r="L627" s="2" t="n"/>
      <c r="M627" s="2" t="n"/>
      <c r="N627" s="2" t="n">
        <v>10</v>
      </c>
      <c r="O627" s="2" t="n">
        <v>10</v>
      </c>
      <c r="P627" s="2" t="n"/>
      <c r="Q627" s="2" t="n"/>
      <c r="R627" s="2" t="n">
        <v>4</v>
      </c>
      <c r="S627" s="2" t="n">
        <v>4</v>
      </c>
      <c r="T627" s="2" t="n"/>
      <c r="U627" s="2" t="n"/>
      <c r="V627" s="2">
        <f>SUM(J627:U627)*G627</f>
        <v/>
      </c>
      <c r="W627" s="2">
        <f>MAX(J627:U627)</f>
        <v/>
      </c>
      <c r="X627" s="2">
        <f>W627*G627</f>
        <v/>
      </c>
    </row>
    <row r="628">
      <c r="A628" s="2" t="inlineStr">
        <is>
          <t>A14-DB-N252</t>
        </is>
      </c>
      <c r="B628" s="3" t="inlineStr">
        <is>
          <t>DOJC-SM-LC/PC-LC/PC</t>
        </is>
      </c>
      <c r="C628" s="2" t="inlineStr">
        <is>
          <t>55M, B3, 2.0mm</t>
        </is>
      </c>
      <c r="D628" s="2" t="inlineStr">
        <is>
          <t>b3</t>
        </is>
      </c>
      <c r="E628" s="2" t="inlineStr">
        <is>
          <t>2.0mm</t>
        </is>
      </c>
      <c r="F628" s="2" t="n">
        <v>2</v>
      </c>
      <c r="G628" s="2" t="n">
        <v>55</v>
      </c>
      <c r="H628" s="2" t="inlineStr">
        <is>
          <t>LC/PC</t>
        </is>
      </c>
      <c r="I628" s="2" t="inlineStr">
        <is>
          <t>LC/PC</t>
        </is>
      </c>
      <c r="J628" s="2" t="n"/>
      <c r="K628" s="2" t="n"/>
      <c r="L628" s="2" t="n"/>
      <c r="M628" s="2" t="n"/>
      <c r="N628" s="2" t="n">
        <v>10</v>
      </c>
      <c r="O628" s="2" t="n"/>
      <c r="P628" s="2" t="n"/>
      <c r="Q628" s="2" t="n"/>
      <c r="R628" s="2" t="n"/>
      <c r="S628" s="2" t="n"/>
      <c r="T628" s="2" t="n"/>
      <c r="U628" s="2" t="n"/>
      <c r="V628" s="2">
        <f>SUM(J628:U628)*G628</f>
        <v/>
      </c>
      <c r="W628" s="2">
        <f>MAX(J628:U628)</f>
        <v/>
      </c>
      <c r="X628" s="2">
        <f>W628*G628</f>
        <v/>
      </c>
    </row>
    <row r="629">
      <c r="A629" s="2" t="inlineStr">
        <is>
          <t>A14-DB-N253</t>
        </is>
      </c>
      <c r="B629" s="3" t="inlineStr">
        <is>
          <t>DOJC-SM-LC/PC-LC/PC</t>
        </is>
      </c>
      <c r="C629" s="2" t="inlineStr">
        <is>
          <t>908041001, 5M, B3, 3.0mm</t>
        </is>
      </c>
      <c r="D629" s="2" t="inlineStr">
        <is>
          <t>b3</t>
        </is>
      </c>
      <c r="E629" s="2" t="inlineStr">
        <is>
          <t>3.0mm</t>
        </is>
      </c>
      <c r="F629" s="2" t="n">
        <v>2</v>
      </c>
      <c r="G629" s="2" t="n">
        <v>5</v>
      </c>
      <c r="H629" s="2" t="inlineStr">
        <is>
          <t>LC/PC</t>
        </is>
      </c>
      <c r="I629" s="2" t="inlineStr">
        <is>
          <t>LC/PC</t>
        </is>
      </c>
      <c r="J629" s="2" t="n">
        <v>9</v>
      </c>
      <c r="K629" s="2" t="n">
        <v>10</v>
      </c>
      <c r="L629" s="2" t="n"/>
      <c r="M629" s="2" t="n"/>
      <c r="N629" s="2" t="n"/>
      <c r="O629" s="2" t="n"/>
      <c r="P629" s="2" t="n">
        <v>160</v>
      </c>
      <c r="Q629" s="2" t="n">
        <v>35</v>
      </c>
      <c r="R629" s="2" t="n">
        <v>55</v>
      </c>
      <c r="S629" s="2" t="n">
        <v>68</v>
      </c>
      <c r="T629" s="2" t="n"/>
      <c r="U629" s="2" t="n"/>
      <c r="V629" s="2">
        <f>SUM(J629:U629)*G629</f>
        <v/>
      </c>
      <c r="W629" s="2">
        <f>MAX(J629:U629)</f>
        <v/>
      </c>
      <c r="X629" s="2">
        <f>W629*G629</f>
        <v/>
      </c>
    </row>
    <row r="630">
      <c r="A630" s="2" t="inlineStr">
        <is>
          <t>A14-DB-N254</t>
        </is>
      </c>
      <c r="B630" s="3" t="inlineStr">
        <is>
          <t>DOJC-SM-LC/PC-LC/PC</t>
        </is>
      </c>
      <c r="C630" s="2" t="inlineStr">
        <is>
          <t>60M, B3, 2.0mm</t>
        </is>
      </c>
      <c r="D630" s="2" t="inlineStr">
        <is>
          <t>b3</t>
        </is>
      </c>
      <c r="E630" s="2" t="inlineStr">
        <is>
          <t>2.0mm</t>
        </is>
      </c>
      <c r="F630" s="2" t="n">
        <v>2</v>
      </c>
      <c r="G630" s="2" t="n">
        <v>60</v>
      </c>
      <c r="H630" s="2" t="inlineStr">
        <is>
          <t>LC/PC</t>
        </is>
      </c>
      <c r="I630" s="2" t="inlineStr">
        <is>
          <t>LC/PC</t>
        </is>
      </c>
      <c r="J630" s="2" t="n"/>
      <c r="K630" s="2" t="n"/>
      <c r="L630" s="2" t="n"/>
      <c r="M630" s="2" t="n"/>
      <c r="N630" s="2" t="n">
        <v>4</v>
      </c>
      <c r="O630" s="2" t="n"/>
      <c r="P630" s="2" t="n"/>
      <c r="Q630" s="2" t="n"/>
      <c r="R630" s="2" t="n">
        <v>4</v>
      </c>
      <c r="S630" s="2" t="n">
        <v>4</v>
      </c>
      <c r="T630" s="2" t="n"/>
      <c r="U630" s="2" t="n"/>
      <c r="V630" s="2">
        <f>SUM(J630:U630)*G630</f>
        <v/>
      </c>
      <c r="W630" s="2">
        <f>MAX(J630:U630)</f>
        <v/>
      </c>
      <c r="X630" s="2">
        <f>W630*G630</f>
        <v/>
      </c>
    </row>
    <row r="631">
      <c r="A631" s="2" t="inlineStr">
        <is>
          <t>A14-DB-N256</t>
        </is>
      </c>
      <c r="B631" s="3" t="inlineStr">
        <is>
          <t>DOJC-SM-LC/PC-LC/PC</t>
        </is>
      </c>
      <c r="C631" s="2" t="inlineStr">
        <is>
          <t>908041002, 6M, B3, 2.0mm</t>
        </is>
      </c>
      <c r="D631" s="2" t="inlineStr">
        <is>
          <t>b3</t>
        </is>
      </c>
      <c r="E631" s="2" t="inlineStr">
        <is>
          <t>2.0mm</t>
        </is>
      </c>
      <c r="F631" s="2" t="n">
        <v>2</v>
      </c>
      <c r="G631" s="2" t="n">
        <v>6</v>
      </c>
      <c r="H631" s="2" t="inlineStr">
        <is>
          <t>LC/PC</t>
        </is>
      </c>
      <c r="I631" s="2" t="inlineStr">
        <is>
          <t>LC/PC</t>
        </is>
      </c>
      <c r="J631" s="2" t="n">
        <v>53</v>
      </c>
      <c r="K631" s="2" t="n"/>
      <c r="L631" s="2" t="n">
        <v>20</v>
      </c>
      <c r="M631" s="2" t="n"/>
      <c r="N631" s="2" t="n"/>
      <c r="O631" s="2" t="n"/>
      <c r="P631" s="2" t="n">
        <v>30</v>
      </c>
      <c r="Q631" s="2" t="n">
        <v>13</v>
      </c>
      <c r="R631" s="2" t="n"/>
      <c r="S631" s="2" t="n"/>
      <c r="T631" s="2" t="n"/>
      <c r="U631" s="2" t="n"/>
      <c r="V631" s="2">
        <f>SUM(J631:U631)*G631</f>
        <v/>
      </c>
      <c r="W631" s="2">
        <f>MAX(J631:U631)</f>
        <v/>
      </c>
      <c r="X631" s="2">
        <f>W631*G631</f>
        <v/>
      </c>
    </row>
    <row r="632">
      <c r="A632" s="2" t="inlineStr">
        <is>
          <t>A14-DB-N258</t>
        </is>
      </c>
      <c r="B632" s="3" t="inlineStr">
        <is>
          <t>DOJC-SM-LC/PC-LC/PC</t>
        </is>
      </c>
      <c r="C632" s="2" t="inlineStr">
        <is>
          <t>908041003, 7M, B3, 2.0mm</t>
        </is>
      </c>
      <c r="D632" s="2" t="inlineStr">
        <is>
          <t>b3</t>
        </is>
      </c>
      <c r="E632" s="2" t="inlineStr">
        <is>
          <t>2.0mm</t>
        </is>
      </c>
      <c r="F632" s="2" t="n">
        <v>2</v>
      </c>
      <c r="G632" s="2" t="n">
        <v>7</v>
      </c>
      <c r="H632" s="2" t="inlineStr">
        <is>
          <t>LC/PC</t>
        </is>
      </c>
      <c r="I632" s="2" t="inlineStr">
        <is>
          <t>LC/PC</t>
        </is>
      </c>
      <c r="J632" s="2" t="n"/>
      <c r="K632" s="2" t="n"/>
      <c r="L632" s="2" t="n"/>
      <c r="M632" s="2" t="n"/>
      <c r="N632" s="2" t="n">
        <v>78</v>
      </c>
      <c r="O632" s="2" t="n">
        <v>20</v>
      </c>
      <c r="P632" s="2" t="n">
        <v>122</v>
      </c>
      <c r="Q632" s="2" t="n"/>
      <c r="R632" s="2" t="n"/>
      <c r="S632" s="2" t="n"/>
      <c r="T632" s="2" t="n">
        <v>17</v>
      </c>
      <c r="U632" s="2" t="n"/>
      <c r="V632" s="2">
        <f>SUM(J632:U632)*G632</f>
        <v/>
      </c>
      <c r="W632" s="2">
        <f>MAX(J632:U632)</f>
        <v/>
      </c>
      <c r="X632" s="2">
        <f>W632*G632</f>
        <v/>
      </c>
    </row>
    <row r="633">
      <c r="A633" s="2" t="inlineStr">
        <is>
          <t>A14-DB-N260</t>
        </is>
      </c>
      <c r="B633" s="3" t="inlineStr">
        <is>
          <t>DOJC-SM-LC/PC-LC/PC</t>
        </is>
      </c>
      <c r="C633" s="2" t="inlineStr">
        <is>
          <t>908041004, 8M, B3, 2.0mm</t>
        </is>
      </c>
      <c r="D633" s="2" t="inlineStr">
        <is>
          <t>b3</t>
        </is>
      </c>
      <c r="E633" s="2" t="inlineStr">
        <is>
          <t>2.0mm</t>
        </is>
      </c>
      <c r="F633" s="2" t="n">
        <v>2</v>
      </c>
      <c r="G633" s="2" t="n">
        <v>8</v>
      </c>
      <c r="H633" s="2" t="inlineStr">
        <is>
          <t>LC/PC</t>
        </is>
      </c>
      <c r="I633" s="2" t="inlineStr">
        <is>
          <t>LC/PC</t>
        </is>
      </c>
      <c r="J633" s="2" t="n">
        <v>64</v>
      </c>
      <c r="K633" s="2" t="n">
        <v>14</v>
      </c>
      <c r="L633" s="2" t="n"/>
      <c r="M633" s="2" t="n"/>
      <c r="N633" s="2" t="n">
        <v>45</v>
      </c>
      <c r="O633" s="2" t="n"/>
      <c r="P633" s="2" t="n">
        <v>20</v>
      </c>
      <c r="Q633" s="2" t="n"/>
      <c r="R633" s="2" t="n">
        <v>30</v>
      </c>
      <c r="S633" s="2" t="n">
        <v>30</v>
      </c>
      <c r="T633" s="2" t="n">
        <v>130</v>
      </c>
      <c r="U633" s="2" t="n">
        <v>130</v>
      </c>
      <c r="V633" s="2">
        <f>SUM(J633:U633)*G633</f>
        <v/>
      </c>
      <c r="W633" s="2">
        <f>MAX(J633:U633)</f>
        <v/>
      </c>
      <c r="X633" s="2">
        <f>W633*G633</f>
        <v/>
      </c>
    </row>
    <row r="634">
      <c r="A634" s="2" t="inlineStr">
        <is>
          <t>A14-DB-N263</t>
        </is>
      </c>
      <c r="B634" s="3" t="inlineStr">
        <is>
          <t>DOJC-SM-LC/PC-SC/APC</t>
        </is>
      </c>
      <c r="C634" s="2" t="inlineStr">
        <is>
          <t>908040916, 10M, B3, 2.0mm</t>
        </is>
      </c>
      <c r="D634" s="2" t="inlineStr">
        <is>
          <t>b3</t>
        </is>
      </c>
      <c r="E634" s="2" t="inlineStr">
        <is>
          <t>2.0mm</t>
        </is>
      </c>
      <c r="F634" s="2" t="n">
        <v>2</v>
      </c>
      <c r="G634" s="2" t="n">
        <v>10</v>
      </c>
      <c r="H634" s="2" t="inlineStr">
        <is>
          <t>LC/PC</t>
        </is>
      </c>
      <c r="I634" s="2" t="inlineStr">
        <is>
          <t>SC/APC</t>
        </is>
      </c>
      <c r="J634" s="2" t="n"/>
      <c r="K634" s="2" t="n">
        <v>11</v>
      </c>
      <c r="L634" s="2" t="n">
        <v>70</v>
      </c>
      <c r="M634" s="2" t="n">
        <v>54</v>
      </c>
      <c r="N634" s="2" t="n">
        <v>65</v>
      </c>
      <c r="O634" s="2" t="n"/>
      <c r="P634" s="2" t="n">
        <v>33</v>
      </c>
      <c r="Q634" s="2" t="n"/>
      <c r="R634" s="2" t="n"/>
      <c r="S634" s="2" t="n"/>
      <c r="T634" s="2" t="n"/>
      <c r="U634" s="2" t="n"/>
      <c r="V634" s="2">
        <f>SUM(J634:U634)*G634</f>
        <v/>
      </c>
      <c r="W634" s="2">
        <f>MAX(J634:U634)</f>
        <v/>
      </c>
      <c r="X634" s="2">
        <f>W634*G634</f>
        <v/>
      </c>
    </row>
    <row r="635">
      <c r="A635" s="2" t="inlineStr">
        <is>
          <t>A14-DB-N266</t>
        </is>
      </c>
      <c r="B635" s="3" t="inlineStr">
        <is>
          <t>DOJC-SM-LC/PC-SC/APC</t>
        </is>
      </c>
      <c r="C635" s="2" t="inlineStr">
        <is>
          <t>908040921, 15M, B3, 2.0mm</t>
        </is>
      </c>
      <c r="D635" s="2" t="inlineStr">
        <is>
          <t>b3</t>
        </is>
      </c>
      <c r="E635" s="2" t="inlineStr">
        <is>
          <t>2.0mm</t>
        </is>
      </c>
      <c r="F635" s="2" t="n">
        <v>2</v>
      </c>
      <c r="G635" s="2" t="n">
        <v>15</v>
      </c>
      <c r="H635" s="2" t="inlineStr">
        <is>
          <t>LC/PC</t>
        </is>
      </c>
      <c r="I635" s="2" t="inlineStr">
        <is>
          <t>SC/APC</t>
        </is>
      </c>
      <c r="J635" s="2" t="n">
        <v>10</v>
      </c>
      <c r="K635" s="2" t="n"/>
      <c r="L635" s="2" t="n">
        <v>46</v>
      </c>
      <c r="M635" s="2" t="n">
        <v>45</v>
      </c>
      <c r="N635" s="2" t="n">
        <v>90</v>
      </c>
      <c r="O635" s="2" t="n"/>
      <c r="P635" s="2" t="n">
        <v>25</v>
      </c>
      <c r="Q635" s="2" t="n"/>
      <c r="R635" s="2" t="n"/>
      <c r="S635" s="2" t="n">
        <v>20</v>
      </c>
      <c r="T635" s="2" t="n">
        <v>1</v>
      </c>
      <c r="U635" s="2" t="n"/>
      <c r="V635" s="2">
        <f>SUM(J635:U635)*G635</f>
        <v/>
      </c>
      <c r="W635" s="2">
        <f>MAX(J635:U635)</f>
        <v/>
      </c>
      <c r="X635" s="2">
        <f>W635*G635</f>
        <v/>
      </c>
    </row>
    <row r="636">
      <c r="A636" s="2" t="inlineStr">
        <is>
          <t>A14-DB-N267</t>
        </is>
      </c>
      <c r="B636" s="3" t="inlineStr">
        <is>
          <t>DOJC-SM-LC/PC-SC/APC</t>
        </is>
      </c>
      <c r="C636" s="2" t="inlineStr">
        <is>
          <t>908040908, 1M, B3, 3.0mm</t>
        </is>
      </c>
      <c r="D636" s="2" t="inlineStr">
        <is>
          <t>b3</t>
        </is>
      </c>
      <c r="E636" s="2" t="inlineStr">
        <is>
          <t>3.0mm</t>
        </is>
      </c>
      <c r="F636" s="2" t="n">
        <v>2</v>
      </c>
      <c r="G636" s="2" t="n">
        <v>1</v>
      </c>
      <c r="H636" s="2" t="inlineStr">
        <is>
          <t>LC/PC</t>
        </is>
      </c>
      <c r="I636" s="2" t="inlineStr">
        <is>
          <t>SC/APC</t>
        </is>
      </c>
      <c r="J636" s="2" t="n">
        <v>48</v>
      </c>
      <c r="K636" s="2" t="n">
        <v>70</v>
      </c>
      <c r="L636" s="2" t="n"/>
      <c r="M636" s="2" t="n"/>
      <c r="N636" s="2" t="n"/>
      <c r="O636" s="2" t="n">
        <v>50</v>
      </c>
      <c r="P636" s="2" t="n">
        <v>30</v>
      </c>
      <c r="Q636" s="2" t="n"/>
      <c r="R636" s="2" t="n">
        <v>50</v>
      </c>
      <c r="S636" s="2" t="n"/>
      <c r="T636" s="2" t="n"/>
      <c r="U636" s="2" t="n">
        <v>30</v>
      </c>
      <c r="V636" s="2">
        <f>SUM(J636:U636)*G636</f>
        <v/>
      </c>
      <c r="W636" s="2">
        <f>MAX(J636:U636)</f>
        <v/>
      </c>
      <c r="X636" s="2">
        <f>W636*G636</f>
        <v/>
      </c>
    </row>
    <row r="637">
      <c r="A637" s="2" t="inlineStr">
        <is>
          <t>A14-DB-N268</t>
        </is>
      </c>
      <c r="B637" s="3" t="inlineStr">
        <is>
          <t>DOJC-SM-LC/PC-SC/APC</t>
        </is>
      </c>
      <c r="C637" s="2" t="inlineStr">
        <is>
          <t>908040926, 20M, B3, 2.0mm</t>
        </is>
      </c>
      <c r="D637" s="2" t="inlineStr">
        <is>
          <t>b3</t>
        </is>
      </c>
      <c r="E637" s="2" t="inlineStr">
        <is>
          <t>2.0mm</t>
        </is>
      </c>
      <c r="F637" s="2" t="n">
        <v>2</v>
      </c>
      <c r="G637" s="2" t="n">
        <v>20</v>
      </c>
      <c r="H637" s="2" t="inlineStr">
        <is>
          <t>LC/PC</t>
        </is>
      </c>
      <c r="I637" s="2" t="inlineStr">
        <is>
          <t>SC/APC</t>
        </is>
      </c>
      <c r="J637" s="2" t="n"/>
      <c r="K637" s="2" t="n">
        <v>100</v>
      </c>
      <c r="L637" s="2" t="n">
        <v>10</v>
      </c>
      <c r="M637" s="2" t="n">
        <v>21</v>
      </c>
      <c r="N637" s="2" t="n">
        <v>20</v>
      </c>
      <c r="O637" s="2" t="n">
        <v>4</v>
      </c>
      <c r="P637" s="2" t="n">
        <v>33</v>
      </c>
      <c r="Q637" s="2" t="n">
        <v>20</v>
      </c>
      <c r="R637" s="2" t="n">
        <v>14</v>
      </c>
      <c r="S637" s="2" t="n">
        <v>30</v>
      </c>
      <c r="T637" s="2" t="n"/>
      <c r="U637" s="2" t="n"/>
      <c r="V637" s="2">
        <f>SUM(J637:U637)*G637</f>
        <v/>
      </c>
      <c r="W637" s="2">
        <f>MAX(J637:U637)</f>
        <v/>
      </c>
      <c r="X637" s="2">
        <f>W637*G637</f>
        <v/>
      </c>
    </row>
    <row r="638">
      <c r="A638" s="2" t="inlineStr">
        <is>
          <t>A14-DB-N270</t>
        </is>
      </c>
      <c r="B638" s="3" t="inlineStr">
        <is>
          <t>DOJC-SM-LC/PC-SC/APC</t>
        </is>
      </c>
      <c r="C638" s="2" t="inlineStr">
        <is>
          <t>908040931, 25M, B3, 2.0mm</t>
        </is>
      </c>
      <c r="D638" s="2" t="inlineStr">
        <is>
          <t>b3</t>
        </is>
      </c>
      <c r="E638" s="2" t="inlineStr">
        <is>
          <t>2.0mm</t>
        </is>
      </c>
      <c r="F638" s="2" t="n">
        <v>2</v>
      </c>
      <c r="G638" s="2" t="n">
        <v>25</v>
      </c>
      <c r="H638" s="2" t="inlineStr">
        <is>
          <t>LC/PC</t>
        </is>
      </c>
      <c r="I638" s="2" t="inlineStr">
        <is>
          <t>SC/APC</t>
        </is>
      </c>
      <c r="J638" s="2" t="n"/>
      <c r="K638" s="2" t="n"/>
      <c r="L638" s="2" t="n"/>
      <c r="M638" s="2" t="n"/>
      <c r="N638" s="2" t="n"/>
      <c r="O638" s="2" t="n">
        <v>4</v>
      </c>
      <c r="P638" s="2" t="n">
        <v>22</v>
      </c>
      <c r="Q638" s="2" t="n"/>
      <c r="R638" s="2" t="n"/>
      <c r="S638" s="2" t="n"/>
      <c r="T638" s="2" t="n"/>
      <c r="U638" s="2" t="n"/>
      <c r="V638" s="2">
        <f>SUM(J638:U638)*G638</f>
        <v/>
      </c>
      <c r="W638" s="2">
        <f>MAX(J638:U638)</f>
        <v/>
      </c>
      <c r="X638" s="2">
        <f>W638*G638</f>
        <v/>
      </c>
    </row>
    <row r="639">
      <c r="A639" s="2" t="inlineStr">
        <is>
          <t>A14-DB-N271</t>
        </is>
      </c>
      <c r="B639" s="3" t="inlineStr">
        <is>
          <t>DOJC-SM-LC/PC-SC/APC</t>
        </is>
      </c>
      <c r="C639" s="2" t="inlineStr">
        <is>
          <t>908040909, 2M, B3, 3.0mm</t>
        </is>
      </c>
      <c r="D639" s="2" t="inlineStr">
        <is>
          <t>b3</t>
        </is>
      </c>
      <c r="E639" s="2" t="inlineStr">
        <is>
          <t>3.0mm</t>
        </is>
      </c>
      <c r="F639" s="2" t="n">
        <v>2</v>
      </c>
      <c r="G639" s="2" t="n">
        <v>2</v>
      </c>
      <c r="H639" s="2" t="inlineStr">
        <is>
          <t>LC/PC</t>
        </is>
      </c>
      <c r="I639" s="2" t="inlineStr">
        <is>
          <t>SC/APC</t>
        </is>
      </c>
      <c r="J639" s="2" t="n"/>
      <c r="K639" s="2" t="n"/>
      <c r="L639" s="2" t="n">
        <v>53</v>
      </c>
      <c r="M639" s="2" t="n">
        <v>40</v>
      </c>
      <c r="N639" s="2" t="n">
        <v>30</v>
      </c>
      <c r="O639" s="2" t="n">
        <v>12</v>
      </c>
      <c r="P639" s="2" t="n">
        <v>89</v>
      </c>
      <c r="Q639" s="2" t="n">
        <v>30</v>
      </c>
      <c r="R639" s="2" t="n"/>
      <c r="S639" s="2" t="n">
        <v>17</v>
      </c>
      <c r="T639" s="2" t="n"/>
      <c r="U639" s="2" t="n"/>
      <c r="V639" s="2">
        <f>SUM(J639:U639)*G639</f>
        <v/>
      </c>
      <c r="W639" s="2">
        <f>MAX(J639:U639)</f>
        <v/>
      </c>
      <c r="X639" s="2">
        <f>W639*G639</f>
        <v/>
      </c>
    </row>
    <row r="640">
      <c r="A640" s="2" t="inlineStr">
        <is>
          <t>A14-DB-N272</t>
        </is>
      </c>
      <c r="B640" s="3" t="inlineStr">
        <is>
          <t>DOJC-SM-LC/PC-SC/APC</t>
        </is>
      </c>
      <c r="C640" s="2" t="inlineStr">
        <is>
          <t>908040936, 30M, B3, 2.0mm</t>
        </is>
      </c>
      <c r="D640" s="2" t="inlineStr">
        <is>
          <t>b3</t>
        </is>
      </c>
      <c r="E640" s="2" t="inlineStr">
        <is>
          <t>2.0mm</t>
        </is>
      </c>
      <c r="F640" s="2" t="n">
        <v>2</v>
      </c>
      <c r="G640" s="2" t="n">
        <v>30</v>
      </c>
      <c r="H640" s="2" t="inlineStr">
        <is>
          <t>LC/PC</t>
        </is>
      </c>
      <c r="I640" s="2" t="inlineStr">
        <is>
          <t>SC/APC</t>
        </is>
      </c>
      <c r="J640" s="2" t="n"/>
      <c r="K640" s="2" t="n"/>
      <c r="L640" s="2" t="n"/>
      <c r="M640" s="2" t="n"/>
      <c r="N640" s="2" t="n"/>
      <c r="O640" s="2" t="n"/>
      <c r="P640" s="2" t="n">
        <v>46</v>
      </c>
      <c r="Q640" s="2" t="n"/>
      <c r="R640" s="2" t="n">
        <v>2</v>
      </c>
      <c r="S640" s="2" t="n"/>
      <c r="T640" s="2" t="n"/>
      <c r="U640" s="2" t="n">
        <v>4</v>
      </c>
      <c r="V640" s="2">
        <f>SUM(J640:U640)*G640</f>
        <v/>
      </c>
      <c r="W640" s="2">
        <f>MAX(J640:U640)</f>
        <v/>
      </c>
      <c r="X640" s="2">
        <f>W640*G640</f>
        <v/>
      </c>
    </row>
    <row r="641">
      <c r="A641" s="2" t="inlineStr">
        <is>
          <t>A14-DB-N273</t>
        </is>
      </c>
      <c r="B641" s="3" t="inlineStr">
        <is>
          <t>DOJC-SM-LC/PC-SC/APC</t>
        </is>
      </c>
      <c r="C641" s="2" t="inlineStr">
        <is>
          <t>35M, B3, 2.0mm</t>
        </is>
      </c>
      <c r="D641" s="2" t="inlineStr">
        <is>
          <t>b3</t>
        </is>
      </c>
      <c r="E641" s="2" t="inlineStr">
        <is>
          <t>2.0mm</t>
        </is>
      </c>
      <c r="F641" s="2" t="n">
        <v>2</v>
      </c>
      <c r="G641" s="2" t="n">
        <v>35</v>
      </c>
      <c r="H641" s="2" t="inlineStr">
        <is>
          <t>LC/PC</t>
        </is>
      </c>
      <c r="I641" s="2" t="inlineStr">
        <is>
          <t>SC/APC</t>
        </is>
      </c>
      <c r="J641" s="2" t="n"/>
      <c r="K641" s="2" t="n"/>
      <c r="L641" s="2" t="n"/>
      <c r="M641" s="2" t="n"/>
      <c r="N641" s="2" t="n"/>
      <c r="O641" s="2" t="n"/>
      <c r="P641" s="2" t="n">
        <v>2</v>
      </c>
      <c r="Q641" s="2" t="n"/>
      <c r="R641" s="2" t="n"/>
      <c r="S641" s="2" t="n"/>
      <c r="T641" s="2" t="n"/>
      <c r="U641" s="2" t="n"/>
      <c r="V641" s="2">
        <f>SUM(J641:U641)*G641</f>
        <v/>
      </c>
      <c r="W641" s="2">
        <f>MAX(J641:U641)</f>
        <v/>
      </c>
      <c r="X641" s="2">
        <f>W641*G641</f>
        <v/>
      </c>
    </row>
    <row r="642">
      <c r="A642" s="2" t="inlineStr">
        <is>
          <t>A14-DB-N274</t>
        </is>
      </c>
      <c r="B642" s="3" t="inlineStr">
        <is>
          <t>DOJC-SM-LC/PC-SC/APC</t>
        </is>
      </c>
      <c r="C642" s="2" t="inlineStr">
        <is>
          <t>908040907, 3M, B3, 3.0mm</t>
        </is>
      </c>
      <c r="D642" s="2" t="inlineStr">
        <is>
          <t>b3</t>
        </is>
      </c>
      <c r="E642" s="2" t="inlineStr">
        <is>
          <t>3.0mm</t>
        </is>
      </c>
      <c r="F642" s="2" t="n">
        <v>2</v>
      </c>
      <c r="G642" s="2" t="n">
        <v>3</v>
      </c>
      <c r="H642" s="2" t="inlineStr">
        <is>
          <t>LC/PC</t>
        </is>
      </c>
      <c r="I642" s="2" t="inlineStr">
        <is>
          <t>SC/APC</t>
        </is>
      </c>
      <c r="J642" s="2" t="n">
        <v>50</v>
      </c>
      <c r="K642" s="2" t="n">
        <v>208</v>
      </c>
      <c r="L642" s="2" t="n">
        <v>27</v>
      </c>
      <c r="M642" s="2" t="n">
        <v>60</v>
      </c>
      <c r="N642" s="2" t="n">
        <v>20</v>
      </c>
      <c r="O642" s="2" t="n"/>
      <c r="P642" s="2" t="n"/>
      <c r="Q642" s="2" t="n">
        <v>10</v>
      </c>
      <c r="R642" s="2" t="n"/>
      <c r="S642" s="2" t="n">
        <v>214</v>
      </c>
      <c r="T642" s="2" t="n">
        <v>60</v>
      </c>
      <c r="U642" s="2" t="n"/>
      <c r="V642" s="2">
        <f>SUM(J642:U642)*G642</f>
        <v/>
      </c>
      <c r="W642" s="2">
        <f>MAX(J642:U642)</f>
        <v/>
      </c>
      <c r="X642" s="2">
        <f>W642*G642</f>
        <v/>
      </c>
    </row>
    <row r="643">
      <c r="A643" s="2" t="inlineStr">
        <is>
          <t>A14-DB-N277</t>
        </is>
      </c>
      <c r="B643" s="3" t="inlineStr">
        <is>
          <t>DOJC-SM-LC/PC-SC/APC</t>
        </is>
      </c>
      <c r="C643" s="2" t="inlineStr">
        <is>
          <t>908040911, 5M, B3, 3.0mm</t>
        </is>
      </c>
      <c r="D643" s="2" t="inlineStr">
        <is>
          <t>b3</t>
        </is>
      </c>
      <c r="E643" s="2" t="inlineStr">
        <is>
          <t>3.0mm</t>
        </is>
      </c>
      <c r="F643" s="2" t="n">
        <v>2</v>
      </c>
      <c r="G643" s="2" t="n">
        <v>5</v>
      </c>
      <c r="H643" s="2" t="inlineStr">
        <is>
          <t>LC/PC</t>
        </is>
      </c>
      <c r="I643" s="2" t="inlineStr">
        <is>
          <t>SC/APC</t>
        </is>
      </c>
      <c r="J643" s="2" t="n"/>
      <c r="K643" s="2" t="n"/>
      <c r="L643" s="2" t="n"/>
      <c r="M643" s="2" t="n"/>
      <c r="N643" s="2" t="n"/>
      <c r="O643" s="2" t="n">
        <v>20</v>
      </c>
      <c r="P643" s="2" t="n">
        <v>30</v>
      </c>
      <c r="Q643" s="2" t="n"/>
      <c r="R643" s="2" t="n">
        <v>20</v>
      </c>
      <c r="S643" s="2" t="n"/>
      <c r="T643" s="2" t="n"/>
      <c r="U643" s="2" t="n"/>
      <c r="V643" s="2">
        <f>SUM(J643:U643)*G643</f>
        <v/>
      </c>
      <c r="W643" s="2">
        <f>MAX(J643:U643)</f>
        <v/>
      </c>
      <c r="X643" s="2">
        <f>W643*G643</f>
        <v/>
      </c>
    </row>
    <row r="644">
      <c r="A644" s="2" t="inlineStr">
        <is>
          <t>A14-DB-N279</t>
        </is>
      </c>
      <c r="B644" s="3" t="inlineStr">
        <is>
          <t>DOJC-SM-LC/PC-SC/APC</t>
        </is>
      </c>
      <c r="C644" s="2" t="inlineStr">
        <is>
          <t>908040913, 7M, B3, 2.0mm</t>
        </is>
      </c>
      <c r="D644" s="2" t="inlineStr">
        <is>
          <t>b3</t>
        </is>
      </c>
      <c r="E644" s="2" t="inlineStr">
        <is>
          <t>2.0mm</t>
        </is>
      </c>
      <c r="F644" s="2" t="n">
        <v>2</v>
      </c>
      <c r="G644" s="2" t="n">
        <v>7</v>
      </c>
      <c r="H644" s="2" t="inlineStr">
        <is>
          <t>LC/PC</t>
        </is>
      </c>
      <c r="I644" s="2" t="inlineStr">
        <is>
          <t>SC/APC</t>
        </is>
      </c>
      <c r="J644" s="2" t="n"/>
      <c r="K644" s="2" t="n">
        <v>50</v>
      </c>
      <c r="L644" s="2" t="n">
        <v>30</v>
      </c>
      <c r="M644" s="2" t="n"/>
      <c r="N644" s="2" t="n"/>
      <c r="O644" s="2" t="n"/>
      <c r="P644" s="2" t="n">
        <v>30</v>
      </c>
      <c r="Q644" s="2" t="n"/>
      <c r="R644" s="2" t="n"/>
      <c r="S644" s="2" t="n"/>
      <c r="T644" s="2" t="n"/>
      <c r="U644" s="2" t="n"/>
      <c r="V644" s="2">
        <f>SUM(J644:U644)*G644</f>
        <v/>
      </c>
      <c r="W644" s="2">
        <f>MAX(J644:U644)</f>
        <v/>
      </c>
      <c r="X644" s="2">
        <f>W644*G644</f>
        <v/>
      </c>
    </row>
    <row r="645">
      <c r="A645" s="2" t="inlineStr">
        <is>
          <t>A14-DB-N284</t>
        </is>
      </c>
      <c r="B645" s="3" t="inlineStr">
        <is>
          <t>DOJC-SM-LC/PC-SC/PC</t>
        </is>
      </c>
      <c r="C645" s="2" t="inlineStr">
        <is>
          <t>908040868, 10M, B3, 2.0mm</t>
        </is>
      </c>
      <c r="D645" s="2" t="inlineStr">
        <is>
          <t>b3</t>
        </is>
      </c>
      <c r="E645" s="2" t="inlineStr">
        <is>
          <t>2.0mm</t>
        </is>
      </c>
      <c r="F645" s="2" t="n">
        <v>2</v>
      </c>
      <c r="G645" s="2" t="n">
        <v>10</v>
      </c>
      <c r="H645" s="2" t="inlineStr">
        <is>
          <t>LC/PC</t>
        </is>
      </c>
      <c r="I645" s="2" t="inlineStr">
        <is>
          <t>SC/PC</t>
        </is>
      </c>
      <c r="J645" s="2" t="n">
        <v>300</v>
      </c>
      <c r="K645" s="2" t="n"/>
      <c r="L645" s="2" t="n"/>
      <c r="M645" s="2" t="n">
        <v>61</v>
      </c>
      <c r="N645" s="2" t="n">
        <v>40</v>
      </c>
      <c r="O645" s="2" t="n">
        <v>11</v>
      </c>
      <c r="P645" s="2" t="n"/>
      <c r="Q645" s="2" t="n"/>
      <c r="R645" s="2" t="n"/>
      <c r="S645" s="2" t="n"/>
      <c r="T645" s="2" t="n">
        <v>121</v>
      </c>
      <c r="U645" s="2" t="n"/>
      <c r="V645" s="2">
        <f>SUM(J645:U645)*G645</f>
        <v/>
      </c>
      <c r="W645" s="2">
        <f>MAX(J645:U645)</f>
        <v/>
      </c>
      <c r="X645" s="2">
        <f>W645*G645</f>
        <v/>
      </c>
    </row>
    <row r="646">
      <c r="A646" s="2" t="inlineStr">
        <is>
          <t>A14-DB-N286</t>
        </is>
      </c>
      <c r="B646" s="3" t="inlineStr">
        <is>
          <t>DOJC-SM-LC/PC-SC/PC</t>
        </is>
      </c>
      <c r="C646" s="2" t="inlineStr">
        <is>
          <t>908040870, 12M, B3, 2.0mm</t>
        </is>
      </c>
      <c r="D646" s="2" t="inlineStr">
        <is>
          <t>b3</t>
        </is>
      </c>
      <c r="E646" s="2" t="inlineStr">
        <is>
          <t>2.0mm</t>
        </is>
      </c>
      <c r="F646" s="2" t="n">
        <v>2</v>
      </c>
      <c r="G646" s="2" t="n">
        <v>12</v>
      </c>
      <c r="H646" s="2" t="inlineStr">
        <is>
          <t>LC/PC</t>
        </is>
      </c>
      <c r="I646" s="2" t="inlineStr">
        <is>
          <t>SC/PC</t>
        </is>
      </c>
      <c r="J646" s="2" t="n">
        <v>20</v>
      </c>
      <c r="K646" s="2" t="n"/>
      <c r="L646" s="2" t="n"/>
      <c r="M646" s="2" t="n"/>
      <c r="N646" s="2" t="n"/>
      <c r="O646" s="2" t="n"/>
      <c r="P646" s="2" t="n"/>
      <c r="Q646" s="2" t="n"/>
      <c r="R646" s="2" t="n">
        <v>40</v>
      </c>
      <c r="S646" s="2" t="n"/>
      <c r="T646" s="2" t="n">
        <v>80</v>
      </c>
      <c r="U646" s="2" t="n"/>
      <c r="V646" s="2">
        <f>SUM(J646:U646)*G646</f>
        <v/>
      </c>
      <c r="W646" s="2">
        <f>MAX(J646:U646)</f>
        <v/>
      </c>
      <c r="X646" s="2">
        <f>W646*G646</f>
        <v/>
      </c>
    </row>
    <row r="647">
      <c r="A647" s="2" t="inlineStr">
        <is>
          <t>A14-DB-N289</t>
        </is>
      </c>
      <c r="B647" s="3" t="inlineStr">
        <is>
          <t>DOJC-SM-LC/PC-SC/PC</t>
        </is>
      </c>
      <c r="C647" s="2" t="inlineStr">
        <is>
          <t>908040873, 15M, B3, 2.0mm</t>
        </is>
      </c>
      <c r="D647" s="2" t="inlineStr">
        <is>
          <t>b3</t>
        </is>
      </c>
      <c r="E647" s="2" t="inlineStr">
        <is>
          <t>2.0mm</t>
        </is>
      </c>
      <c r="F647" s="2" t="n">
        <v>2</v>
      </c>
      <c r="G647" s="2" t="n">
        <v>15</v>
      </c>
      <c r="H647" s="2" t="inlineStr">
        <is>
          <t>LC/PC</t>
        </is>
      </c>
      <c r="I647" s="2" t="inlineStr">
        <is>
          <t>SC/PC</t>
        </is>
      </c>
      <c r="J647" s="2" t="n"/>
      <c r="K647" s="2" t="n">
        <v>110</v>
      </c>
      <c r="L647" s="2" t="n">
        <v>140</v>
      </c>
      <c r="M647" s="2" t="n">
        <v>308</v>
      </c>
      <c r="N647" s="2" t="n"/>
      <c r="O647" s="2" t="n"/>
      <c r="P647" s="2" t="n"/>
      <c r="Q647" s="2" t="n"/>
      <c r="R647" s="2" t="n"/>
      <c r="S647" s="2" t="n">
        <v>48</v>
      </c>
      <c r="T647" s="2" t="n">
        <v>119</v>
      </c>
      <c r="U647" s="2" t="n"/>
      <c r="V647" s="2">
        <f>SUM(J647:U647)*G647</f>
        <v/>
      </c>
      <c r="W647" s="2">
        <f>MAX(J647:U647)</f>
        <v/>
      </c>
      <c r="X647" s="2">
        <f>W647*G647</f>
        <v/>
      </c>
    </row>
    <row r="648">
      <c r="A648" s="2" t="inlineStr">
        <is>
          <t>A14-DB-N292</t>
        </is>
      </c>
      <c r="B648" s="3" t="inlineStr">
        <is>
          <t>DOJC-SM-LC/PC-SC/PC</t>
        </is>
      </c>
      <c r="C648" s="2" t="inlineStr">
        <is>
          <t>18M, B3, 2.0mm</t>
        </is>
      </c>
      <c r="D648" s="2" t="inlineStr">
        <is>
          <t>b3</t>
        </is>
      </c>
      <c r="E648" s="2" t="inlineStr">
        <is>
          <t>2.0mm</t>
        </is>
      </c>
      <c r="F648" s="2" t="n">
        <v>2</v>
      </c>
      <c r="G648" s="2" t="n">
        <v>18</v>
      </c>
      <c r="H648" s="2" t="inlineStr">
        <is>
          <t>LC/PC</t>
        </is>
      </c>
      <c r="I648" s="2" t="inlineStr">
        <is>
          <t>SC/PC</t>
        </is>
      </c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>
        <v>20</v>
      </c>
      <c r="S648" s="2" t="n"/>
      <c r="T648" s="2" t="n"/>
      <c r="U648" s="2" t="n"/>
      <c r="V648" s="2">
        <f>SUM(J648:U648)*G648</f>
        <v/>
      </c>
      <c r="W648" s="2">
        <f>MAX(J648:U648)</f>
        <v/>
      </c>
      <c r="X648" s="2">
        <f>W648*G648</f>
        <v/>
      </c>
    </row>
    <row r="649">
      <c r="A649" s="2" t="inlineStr">
        <is>
          <t>A14-DB-N295</t>
        </is>
      </c>
      <c r="B649" s="3" t="inlineStr">
        <is>
          <t>DOJC-SM-LC/PC-SC/PC</t>
        </is>
      </c>
      <c r="C649" s="2" t="inlineStr">
        <is>
          <t>908040878, 20M, B3, 2.0mm</t>
        </is>
      </c>
      <c r="D649" s="2" t="inlineStr">
        <is>
          <t>b3</t>
        </is>
      </c>
      <c r="E649" s="2" t="inlineStr">
        <is>
          <t>2.0mm</t>
        </is>
      </c>
      <c r="F649" s="2" t="n">
        <v>2</v>
      </c>
      <c r="G649" s="2" t="n">
        <v>20</v>
      </c>
      <c r="H649" s="2" t="inlineStr">
        <is>
          <t>LC/PC</t>
        </is>
      </c>
      <c r="I649" s="2" t="inlineStr">
        <is>
          <t>SC/PC</t>
        </is>
      </c>
      <c r="J649" s="2" t="n"/>
      <c r="K649" s="2" t="n"/>
      <c r="L649" s="2" t="n"/>
      <c r="M649" s="2" t="n"/>
      <c r="N649" s="2" t="n">
        <v>59</v>
      </c>
      <c r="O649" s="2" t="n"/>
      <c r="P649" s="2" t="n"/>
      <c r="Q649" s="2" t="n"/>
      <c r="R649" s="2" t="n"/>
      <c r="S649" s="2" t="n">
        <v>48</v>
      </c>
      <c r="T649" s="2" t="n">
        <v>50</v>
      </c>
      <c r="U649" s="2" t="n"/>
      <c r="V649" s="2">
        <f>SUM(J649:U649)*G649</f>
        <v/>
      </c>
      <c r="W649" s="2">
        <f>MAX(J649:U649)</f>
        <v/>
      </c>
      <c r="X649" s="2">
        <f>W649*G649</f>
        <v/>
      </c>
    </row>
    <row r="650">
      <c r="A650" s="2" t="inlineStr">
        <is>
          <t>A14-DB-N300</t>
        </is>
      </c>
      <c r="B650" s="3" t="inlineStr">
        <is>
          <t>DOJC-SM-LC/PC-SC/PC</t>
        </is>
      </c>
      <c r="C650" s="2" t="inlineStr">
        <is>
          <t>908040883, 25M, B3, 2.0mm</t>
        </is>
      </c>
      <c r="D650" s="2" t="inlineStr">
        <is>
          <t>b3</t>
        </is>
      </c>
      <c r="E650" s="2" t="inlineStr">
        <is>
          <t>2.0mm</t>
        </is>
      </c>
      <c r="F650" s="2" t="n">
        <v>2</v>
      </c>
      <c r="G650" s="2" t="n">
        <v>25</v>
      </c>
      <c r="H650" s="2" t="inlineStr">
        <is>
          <t>LC/PC</t>
        </is>
      </c>
      <c r="I650" s="2" t="inlineStr">
        <is>
          <t>SC/PC</t>
        </is>
      </c>
      <c r="J650" s="2" t="n"/>
      <c r="K650" s="2" t="n"/>
      <c r="L650" s="2" t="n"/>
      <c r="M650" s="2" t="n"/>
      <c r="N650" s="2" t="n"/>
      <c r="O650" s="2" t="n">
        <v>24</v>
      </c>
      <c r="P650" s="2" t="n">
        <v>75</v>
      </c>
      <c r="Q650" s="2" t="n"/>
      <c r="R650" s="2" t="n"/>
      <c r="S650" s="2" t="n">
        <v>51</v>
      </c>
      <c r="T650" s="2" t="n">
        <v>30</v>
      </c>
      <c r="U650" s="2" t="n">
        <v>16</v>
      </c>
      <c r="V650" s="2">
        <f>SUM(J650:U650)*G650</f>
        <v/>
      </c>
      <c r="W650" s="2">
        <f>MAX(J650:U650)</f>
        <v/>
      </c>
      <c r="X650" s="2">
        <f>W650*G650</f>
        <v/>
      </c>
    </row>
    <row r="651">
      <c r="A651" s="2" t="inlineStr">
        <is>
          <t>A14-DB-N303</t>
        </is>
      </c>
      <c r="B651" s="3" t="inlineStr">
        <is>
          <t>DOJC-SM-LC/PC-SC/PC</t>
        </is>
      </c>
      <c r="C651" s="2" t="inlineStr">
        <is>
          <t>908040861, 2M, B3, 3.0mm</t>
        </is>
      </c>
      <c r="D651" s="2" t="inlineStr">
        <is>
          <t>b3</t>
        </is>
      </c>
      <c r="E651" s="2" t="inlineStr">
        <is>
          <t>3.0mm</t>
        </is>
      </c>
      <c r="F651" s="2" t="n">
        <v>2</v>
      </c>
      <c r="G651" s="2" t="n">
        <v>2</v>
      </c>
      <c r="H651" s="2" t="inlineStr">
        <is>
          <t>LC/PC</t>
        </is>
      </c>
      <c r="I651" s="2" t="inlineStr">
        <is>
          <t>SC/PC</t>
        </is>
      </c>
      <c r="J651" s="2" t="n"/>
      <c r="K651" s="2" t="n"/>
      <c r="L651" s="2" t="n"/>
      <c r="M651" s="2" t="n"/>
      <c r="N651" s="2" t="n"/>
      <c r="O651" s="2" t="n">
        <v>18</v>
      </c>
      <c r="P651" s="2" t="n">
        <v>53</v>
      </c>
      <c r="Q651" s="2" t="n"/>
      <c r="R651" s="2" t="n"/>
      <c r="S651" s="2" t="n"/>
      <c r="T651" s="2" t="n"/>
      <c r="U651" s="2" t="n"/>
      <c r="V651" s="2">
        <f>SUM(J651:U651)*G651</f>
        <v/>
      </c>
      <c r="W651" s="2">
        <f>MAX(J651:U651)</f>
        <v/>
      </c>
      <c r="X651" s="2">
        <f>W651*G651</f>
        <v/>
      </c>
    </row>
    <row r="652">
      <c r="A652" s="2" t="inlineStr">
        <is>
          <t>A14-DB-N304</t>
        </is>
      </c>
      <c r="B652" s="3" t="inlineStr">
        <is>
          <t>DOJC-SM-LC/PC-SC/PC</t>
        </is>
      </c>
      <c r="C652" s="2" t="inlineStr">
        <is>
          <t>908040888, 30M, B3, 2.0mm</t>
        </is>
      </c>
      <c r="D652" s="2" t="inlineStr">
        <is>
          <t>b3</t>
        </is>
      </c>
      <c r="E652" s="2" t="inlineStr">
        <is>
          <t>2.0mm</t>
        </is>
      </c>
      <c r="F652" s="2" t="n">
        <v>2</v>
      </c>
      <c r="G652" s="2" t="n">
        <v>30</v>
      </c>
      <c r="H652" s="2" t="inlineStr">
        <is>
          <t>LC/PC</t>
        </is>
      </c>
      <c r="I652" s="2" t="inlineStr">
        <is>
          <t>SC/PC</t>
        </is>
      </c>
      <c r="J652" s="2" t="n">
        <v>15</v>
      </c>
      <c r="K652" s="2" t="n">
        <v>20</v>
      </c>
      <c r="L652" s="2" t="n">
        <v>70</v>
      </c>
      <c r="M652" s="2" t="n"/>
      <c r="N652" s="2" t="n"/>
      <c r="O652" s="2" t="n">
        <v>30</v>
      </c>
      <c r="P652" s="2" t="n">
        <v>15</v>
      </c>
      <c r="Q652" s="2" t="n">
        <v>4</v>
      </c>
      <c r="R652" s="2" t="n">
        <v>77</v>
      </c>
      <c r="S652" s="2" t="n">
        <v>10</v>
      </c>
      <c r="T652" s="2" t="n">
        <v>10</v>
      </c>
      <c r="U652" s="2" t="n">
        <v>6</v>
      </c>
      <c r="V652" s="2">
        <f>SUM(J652:U652)*G652</f>
        <v/>
      </c>
      <c r="W652" s="2">
        <f>MAX(J652:U652)</f>
        <v/>
      </c>
      <c r="X652" s="2">
        <f>W652*G652</f>
        <v/>
      </c>
    </row>
    <row r="653">
      <c r="A653" s="2" t="inlineStr">
        <is>
          <t>A14-DB-N307</t>
        </is>
      </c>
      <c r="B653" s="3" t="inlineStr">
        <is>
          <t>DOJC-SM-LC/PC-SC/PC</t>
        </is>
      </c>
      <c r="C653" s="2" t="inlineStr">
        <is>
          <t>908040859, 3M, B3, 3.0mm</t>
        </is>
      </c>
      <c r="D653" s="2" t="inlineStr">
        <is>
          <t>b3</t>
        </is>
      </c>
      <c r="E653" s="2" t="inlineStr">
        <is>
          <t>3.0mm</t>
        </is>
      </c>
      <c r="F653" s="2" t="n">
        <v>2</v>
      </c>
      <c r="G653" s="2" t="n">
        <v>3</v>
      </c>
      <c r="H653" s="2" t="inlineStr">
        <is>
          <t>LC/PC</t>
        </is>
      </c>
      <c r="I653" s="2" t="inlineStr">
        <is>
          <t>SC/PC</t>
        </is>
      </c>
      <c r="J653" s="2" t="n"/>
      <c r="K653" s="2" t="n">
        <v>50</v>
      </c>
      <c r="L653" s="2" t="n">
        <v>18</v>
      </c>
      <c r="M653" s="2" t="n"/>
      <c r="N653" s="2" t="n">
        <v>50</v>
      </c>
      <c r="O653" s="2" t="n"/>
      <c r="P653" s="2" t="n">
        <v>175</v>
      </c>
      <c r="Q653" s="2" t="n">
        <v>60</v>
      </c>
      <c r="R653" s="2" t="n">
        <v>9</v>
      </c>
      <c r="S653" s="2" t="n"/>
      <c r="T653" s="2" t="n"/>
      <c r="U653" s="2" t="n"/>
      <c r="V653" s="2">
        <f>SUM(J653:U653)*G653</f>
        <v/>
      </c>
      <c r="W653" s="2">
        <f>MAX(J653:U653)</f>
        <v/>
      </c>
      <c r="X653" s="2">
        <f>W653*G653</f>
        <v/>
      </c>
    </row>
    <row r="654">
      <c r="A654" s="2" t="inlineStr">
        <is>
          <t>A14-DB-N308</t>
        </is>
      </c>
      <c r="B654" s="3" t="inlineStr">
        <is>
          <t>DOJC-SM-LC/PC-SC/PC</t>
        </is>
      </c>
      <c r="C654" s="2" t="inlineStr">
        <is>
          <t>920000729, 40M, B3, 2.0mm</t>
        </is>
      </c>
      <c r="D654" s="2" t="inlineStr">
        <is>
          <t>b3</t>
        </is>
      </c>
      <c r="E654" s="2" t="inlineStr">
        <is>
          <t>2.0mm</t>
        </is>
      </c>
      <c r="F654" s="2" t="n">
        <v>2</v>
      </c>
      <c r="G654" s="2" t="n">
        <v>40</v>
      </c>
      <c r="H654" s="2" t="inlineStr">
        <is>
          <t>LC/PC</t>
        </is>
      </c>
      <c r="I654" s="2" t="inlineStr">
        <is>
          <t>SC/PC</t>
        </is>
      </c>
      <c r="J654" s="2" t="n">
        <v>10</v>
      </c>
      <c r="K654" s="2" t="n"/>
      <c r="L654" s="2" t="n"/>
      <c r="M654" s="2" t="n">
        <v>10</v>
      </c>
      <c r="N654" s="2" t="n"/>
      <c r="O654" s="2" t="n">
        <v>12</v>
      </c>
      <c r="P654" s="2" t="n"/>
      <c r="Q654" s="2" t="n">
        <v>10</v>
      </c>
      <c r="R654" s="2" t="n"/>
      <c r="S654" s="2" t="n"/>
      <c r="T654" s="2" t="n">
        <v>14</v>
      </c>
      <c r="U654" s="2" t="n"/>
      <c r="V654" s="2">
        <f>SUM(J654:U654)*G654</f>
        <v/>
      </c>
      <c r="W654" s="2">
        <f>MAX(J654:U654)</f>
        <v/>
      </c>
      <c r="X654" s="2">
        <f>W654*G654</f>
        <v/>
      </c>
    </row>
    <row r="655">
      <c r="A655" s="2" t="inlineStr">
        <is>
          <t>A14-DB-N310</t>
        </is>
      </c>
      <c r="B655" s="3" t="inlineStr">
        <is>
          <t>DOJC-SM-LC/PC-SC/PC</t>
        </is>
      </c>
      <c r="C655" s="2" t="inlineStr">
        <is>
          <t>908040862, 4M, B3, 3.0mm</t>
        </is>
      </c>
      <c r="D655" s="2" t="inlineStr">
        <is>
          <t>b3</t>
        </is>
      </c>
      <c r="E655" s="2" t="inlineStr">
        <is>
          <t>3.0mm</t>
        </is>
      </c>
      <c r="F655" s="2" t="n">
        <v>2</v>
      </c>
      <c r="G655" s="2" t="n">
        <v>4</v>
      </c>
      <c r="H655" s="2" t="inlineStr">
        <is>
          <t>LC/PC</t>
        </is>
      </c>
      <c r="I655" s="2" t="inlineStr">
        <is>
          <t>SC/PC</t>
        </is>
      </c>
      <c r="J655" s="2" t="n"/>
      <c r="K655" s="2" t="n"/>
      <c r="L655" s="2" t="n"/>
      <c r="M655" s="2" t="n">
        <v>20</v>
      </c>
      <c r="N655" s="2" t="n">
        <v>10</v>
      </c>
      <c r="O655" s="2" t="n">
        <v>40</v>
      </c>
      <c r="P655" s="2" t="n"/>
      <c r="Q655" s="2" t="n"/>
      <c r="R655" s="2" t="n">
        <v>40</v>
      </c>
      <c r="S655" s="2" t="n"/>
      <c r="T655" s="2" t="n"/>
      <c r="U655" s="2" t="n">
        <v>20</v>
      </c>
      <c r="V655" s="2">
        <f>SUM(J655:U655)*G655</f>
        <v/>
      </c>
      <c r="W655" s="2">
        <f>MAX(J655:U655)</f>
        <v/>
      </c>
      <c r="X655" s="2">
        <f>W655*G655</f>
        <v/>
      </c>
    </row>
    <row r="656">
      <c r="A656" s="2" t="inlineStr">
        <is>
          <t>A14-DB-N313</t>
        </is>
      </c>
      <c r="B656" s="3" t="inlineStr">
        <is>
          <t>DOJC-SM-LC/PC-SC/PC</t>
        </is>
      </c>
      <c r="C656" s="2" t="inlineStr">
        <is>
          <t>908040863, 5M, B3, 3.0mm</t>
        </is>
      </c>
      <c r="D656" s="2" t="inlineStr">
        <is>
          <t>b3</t>
        </is>
      </c>
      <c r="E656" s="2" t="inlineStr">
        <is>
          <t>3.0mm</t>
        </is>
      </c>
      <c r="F656" s="2" t="n">
        <v>2</v>
      </c>
      <c r="G656" s="2" t="n">
        <v>5</v>
      </c>
      <c r="H656" s="2" t="inlineStr">
        <is>
          <t>LC/PC</t>
        </is>
      </c>
      <c r="I656" s="2" t="inlineStr">
        <is>
          <t>SC/PC</t>
        </is>
      </c>
      <c r="J656" s="2" t="n"/>
      <c r="K656" s="2" t="n"/>
      <c r="L656" s="2" t="n">
        <v>5</v>
      </c>
      <c r="M656" s="2" t="n"/>
      <c r="N656" s="2" t="n"/>
      <c r="O656" s="2" t="n"/>
      <c r="P656" s="2" t="n">
        <v>25</v>
      </c>
      <c r="Q656" s="2" t="n">
        <v>31</v>
      </c>
      <c r="R656" s="2" t="n">
        <v>20</v>
      </c>
      <c r="S656" s="2" t="n"/>
      <c r="T656" s="2" t="n"/>
      <c r="U656" s="2" t="n"/>
      <c r="V656" s="2">
        <f>SUM(J656:U656)*G656</f>
        <v/>
      </c>
      <c r="W656" s="2">
        <f>MAX(J656:U656)</f>
        <v/>
      </c>
      <c r="X656" s="2">
        <f>W656*G656</f>
        <v/>
      </c>
    </row>
    <row r="657">
      <c r="A657" s="2" t="inlineStr">
        <is>
          <t>A14-DB-N316</t>
        </is>
      </c>
      <c r="B657" s="3" t="inlineStr">
        <is>
          <t>DOJC-SM-LC/PC-SC/PC</t>
        </is>
      </c>
      <c r="C657" s="2" t="inlineStr">
        <is>
          <t>908040864, 6M, B3, 2.0mm</t>
        </is>
      </c>
      <c r="D657" s="2" t="inlineStr">
        <is>
          <t>b3</t>
        </is>
      </c>
      <c r="E657" s="2" t="inlineStr">
        <is>
          <t>2.0mm</t>
        </is>
      </c>
      <c r="F657" s="2" t="n">
        <v>2</v>
      </c>
      <c r="G657" s="2" t="n">
        <v>6</v>
      </c>
      <c r="H657" s="2" t="inlineStr">
        <is>
          <t>LC/PC</t>
        </is>
      </c>
      <c r="I657" s="2" t="inlineStr">
        <is>
          <t>SC/PC</t>
        </is>
      </c>
      <c r="J657" s="2" t="n">
        <v>10</v>
      </c>
      <c r="K657" s="2" t="n"/>
      <c r="L657" s="2" t="n"/>
      <c r="M657" s="2" t="n"/>
      <c r="N657" s="2" t="n"/>
      <c r="O657" s="2" t="n"/>
      <c r="P657" s="2" t="n">
        <v>40</v>
      </c>
      <c r="Q657" s="2" t="n"/>
      <c r="R657" s="2" t="n"/>
      <c r="S657" s="2" t="n"/>
      <c r="T657" s="2" t="n"/>
      <c r="U657" s="2" t="n"/>
      <c r="V657" s="2">
        <f>SUM(J657:U657)*G657</f>
        <v/>
      </c>
      <c r="W657" s="2">
        <f>MAX(J657:U657)</f>
        <v/>
      </c>
      <c r="X657" s="2">
        <f>W657*G657</f>
        <v/>
      </c>
    </row>
    <row r="658">
      <c r="A658" s="2" t="inlineStr">
        <is>
          <t>A14-DB-N318</t>
        </is>
      </c>
      <c r="B658" s="3" t="inlineStr">
        <is>
          <t>DOJC-SM-LC/PC-SC/PC</t>
        </is>
      </c>
      <c r="C658" s="2" t="inlineStr">
        <is>
          <t>908040865, 7M, B3, 2.0mm</t>
        </is>
      </c>
      <c r="D658" s="2" t="inlineStr">
        <is>
          <t>b3</t>
        </is>
      </c>
      <c r="E658" s="2" t="inlineStr">
        <is>
          <t>2.0mm</t>
        </is>
      </c>
      <c r="F658" s="2" t="n">
        <v>2</v>
      </c>
      <c r="G658" s="2" t="n">
        <v>7</v>
      </c>
      <c r="H658" s="2" t="inlineStr">
        <is>
          <t>LC/PC</t>
        </is>
      </c>
      <c r="I658" s="2" t="inlineStr">
        <is>
          <t>SC/PC</t>
        </is>
      </c>
      <c r="J658" s="2" t="n">
        <v>200</v>
      </c>
      <c r="K658" s="2" t="n"/>
      <c r="L658" s="2" t="n"/>
      <c r="M658" s="2" t="n"/>
      <c r="N658" s="2" t="n">
        <v>15</v>
      </c>
      <c r="O658" s="2" t="n"/>
      <c r="P658" s="2" t="n">
        <v>30</v>
      </c>
      <c r="Q658" s="2" t="n">
        <v>35</v>
      </c>
      <c r="R658" s="2" t="n">
        <v>10</v>
      </c>
      <c r="S658" s="2" t="n"/>
      <c r="T658" s="2" t="n">
        <v>60</v>
      </c>
      <c r="U658" s="2" t="n"/>
      <c r="V658" s="2">
        <f>SUM(J658:U658)*G658</f>
        <v/>
      </c>
      <c r="W658" s="2">
        <f>MAX(J658:U658)</f>
        <v/>
      </c>
      <c r="X658" s="2">
        <f>W658*G658</f>
        <v/>
      </c>
    </row>
    <row r="659">
      <c r="A659" s="2" t="inlineStr">
        <is>
          <t>A14-DB-N320</t>
        </is>
      </c>
      <c r="B659" s="3" t="inlineStr">
        <is>
          <t>DOJC-SM-LC/PC-SC/PC</t>
        </is>
      </c>
      <c r="C659" s="2" t="inlineStr">
        <is>
          <t>908040866, 8M, B3, 2.0mm</t>
        </is>
      </c>
      <c r="D659" s="2" t="inlineStr">
        <is>
          <t>b3</t>
        </is>
      </c>
      <c r="E659" s="2" t="inlineStr">
        <is>
          <t>2.0mm</t>
        </is>
      </c>
      <c r="F659" s="2" t="n">
        <v>2</v>
      </c>
      <c r="G659" s="2" t="n">
        <v>8</v>
      </c>
      <c r="H659" s="2" t="inlineStr">
        <is>
          <t>LC/PC</t>
        </is>
      </c>
      <c r="I659" s="2" t="inlineStr">
        <is>
          <t>SC/PC</t>
        </is>
      </c>
      <c r="J659" s="2" t="n">
        <v>10</v>
      </c>
      <c r="K659" s="2" t="n">
        <v>124</v>
      </c>
      <c r="L659" s="2" t="n">
        <v>160</v>
      </c>
      <c r="M659" s="2" t="n"/>
      <c r="N659" s="2" t="n">
        <v>20</v>
      </c>
      <c r="O659" s="2" t="n"/>
      <c r="P659" s="2" t="n">
        <v>20</v>
      </c>
      <c r="Q659" s="2" t="n"/>
      <c r="R659" s="2" t="n">
        <v>20</v>
      </c>
      <c r="S659" s="2" t="n"/>
      <c r="T659" s="2" t="n">
        <v>20</v>
      </c>
      <c r="U659" s="2" t="n"/>
      <c r="V659" s="2">
        <f>SUM(J659:U659)*G659</f>
        <v/>
      </c>
      <c r="W659" s="2">
        <f>MAX(J659:U659)</f>
        <v/>
      </c>
      <c r="X659" s="2">
        <f>W659*G659</f>
        <v/>
      </c>
    </row>
    <row r="660">
      <c r="A660" s="2" t="inlineStr">
        <is>
          <t>A14-DB-N379</t>
        </is>
      </c>
      <c r="B660" s="3" t="inlineStr">
        <is>
          <t>DOJC-SM-SC/APC-SC/APC</t>
        </is>
      </c>
      <c r="C660" s="2" t="inlineStr">
        <is>
          <t>908040567, 10M, B3, 2.0mm</t>
        </is>
      </c>
      <c r="D660" s="2" t="inlineStr">
        <is>
          <t>b3</t>
        </is>
      </c>
      <c r="E660" s="2" t="inlineStr">
        <is>
          <t>2.0mm</t>
        </is>
      </c>
      <c r="F660" s="2" t="n">
        <v>2</v>
      </c>
      <c r="G660" s="2" t="n">
        <v>10</v>
      </c>
      <c r="H660" s="2" t="inlineStr">
        <is>
          <t>SC/APC</t>
        </is>
      </c>
      <c r="I660" s="2" t="inlineStr">
        <is>
          <t>SC/APC</t>
        </is>
      </c>
      <c r="J660" s="2" t="n"/>
      <c r="K660" s="2" t="n"/>
      <c r="L660" s="2" t="n"/>
      <c r="M660" s="2" t="n"/>
      <c r="N660" s="2" t="n"/>
      <c r="O660" s="2" t="n"/>
      <c r="P660" s="2" t="n">
        <v>30</v>
      </c>
      <c r="Q660" s="2" t="n"/>
      <c r="R660" s="2" t="n">
        <v>20</v>
      </c>
      <c r="S660" s="2" t="n"/>
      <c r="T660" s="2" t="n">
        <v>20</v>
      </c>
      <c r="U660" s="2" t="n"/>
      <c r="V660" s="2">
        <f>SUM(J660:U660)*G660</f>
        <v/>
      </c>
      <c r="W660" s="2">
        <f>MAX(J660:U660)</f>
        <v/>
      </c>
      <c r="X660" s="2">
        <f>W660*G660</f>
        <v/>
      </c>
    </row>
    <row r="661">
      <c r="A661" s="2" t="inlineStr">
        <is>
          <t>A14-DB-N381</t>
        </is>
      </c>
      <c r="B661" s="3" t="inlineStr">
        <is>
          <t>DOJC-SM-SC/APC-SC/APC</t>
        </is>
      </c>
      <c r="C661" s="2" t="inlineStr">
        <is>
          <t>908040572, 15M, B3, 2.0mm</t>
        </is>
      </c>
      <c r="D661" s="2" t="inlineStr">
        <is>
          <t>b3</t>
        </is>
      </c>
      <c r="E661" s="2" t="inlineStr">
        <is>
          <t>2.0mm</t>
        </is>
      </c>
      <c r="F661" s="2" t="n">
        <v>2</v>
      </c>
      <c r="G661" s="2" t="n">
        <v>15</v>
      </c>
      <c r="H661" s="2" t="inlineStr">
        <is>
          <t>SC/APC</t>
        </is>
      </c>
      <c r="I661" s="2" t="inlineStr">
        <is>
          <t>SC/APC</t>
        </is>
      </c>
      <c r="J661" s="2" t="n"/>
      <c r="K661" s="2" t="n"/>
      <c r="L661" s="2" t="n"/>
      <c r="M661" s="2" t="n"/>
      <c r="N661" s="2" t="n"/>
      <c r="O661" s="2" t="n">
        <v>10</v>
      </c>
      <c r="P661" s="2" t="n">
        <v>20</v>
      </c>
      <c r="Q661" s="2" t="n"/>
      <c r="R661" s="2" t="n">
        <v>20</v>
      </c>
      <c r="S661" s="2" t="n"/>
      <c r="T661" s="2" t="n">
        <v>10</v>
      </c>
      <c r="U661" s="2" t="n"/>
      <c r="V661" s="2">
        <f>SUM(J661:U661)*G661</f>
        <v/>
      </c>
      <c r="W661" s="2">
        <f>MAX(J661:U661)</f>
        <v/>
      </c>
      <c r="X661" s="2">
        <f>W661*G661</f>
        <v/>
      </c>
    </row>
    <row r="662">
      <c r="A662" s="2" t="inlineStr">
        <is>
          <t>A14-DB-N383</t>
        </is>
      </c>
      <c r="B662" s="3" t="inlineStr">
        <is>
          <t>DOJC-SM-SC/APC-SC/APC</t>
        </is>
      </c>
      <c r="C662" s="2" t="inlineStr">
        <is>
          <t>908040577, 20M, B3, 2.0mm</t>
        </is>
      </c>
      <c r="D662" s="2" t="inlineStr">
        <is>
          <t>b3</t>
        </is>
      </c>
      <c r="E662" s="2" t="inlineStr">
        <is>
          <t>2.0mm</t>
        </is>
      </c>
      <c r="F662" s="2" t="n">
        <v>2</v>
      </c>
      <c r="G662" s="2" t="n">
        <v>20</v>
      </c>
      <c r="H662" s="2" t="inlineStr">
        <is>
          <t>SC/APC</t>
        </is>
      </c>
      <c r="I662" s="2" t="inlineStr">
        <is>
          <t>SC/APC</t>
        </is>
      </c>
      <c r="J662" s="2" t="n"/>
      <c r="K662" s="2" t="n"/>
      <c r="L662" s="2" t="n"/>
      <c r="M662" s="2" t="n"/>
      <c r="N662" s="2" t="n"/>
      <c r="O662" s="2" t="n">
        <v>17</v>
      </c>
      <c r="P662" s="2" t="n"/>
      <c r="Q662" s="2" t="n"/>
      <c r="R662" s="2" t="n"/>
      <c r="S662" s="2" t="n"/>
      <c r="T662" s="2" t="n">
        <v>10</v>
      </c>
      <c r="U662" s="2" t="n"/>
      <c r="V662" s="2">
        <f>SUM(J662:U662)*G662</f>
        <v/>
      </c>
      <c r="W662" s="2">
        <f>MAX(J662:U662)</f>
        <v/>
      </c>
      <c r="X662" s="2">
        <f>W662*G662</f>
        <v/>
      </c>
    </row>
    <row r="663">
      <c r="A663" s="2" t="inlineStr">
        <is>
          <t>A14-DB-N388</t>
        </is>
      </c>
      <c r="B663" s="3" t="inlineStr">
        <is>
          <t>DOJC-SM-SC/APC-SC/APC</t>
        </is>
      </c>
      <c r="C663" s="2" t="inlineStr">
        <is>
          <t>908040558, 3M, B3, 3.0mm</t>
        </is>
      </c>
      <c r="D663" s="2" t="inlineStr">
        <is>
          <t>b3</t>
        </is>
      </c>
      <c r="E663" s="2" t="inlineStr">
        <is>
          <t>3.0mm</t>
        </is>
      </c>
      <c r="F663" s="2" t="n">
        <v>2</v>
      </c>
      <c r="G663" s="2" t="n">
        <v>3</v>
      </c>
      <c r="H663" s="2" t="inlineStr">
        <is>
          <t>SC/APC</t>
        </is>
      </c>
      <c r="I663" s="2" t="inlineStr">
        <is>
          <t>SC/APC</t>
        </is>
      </c>
      <c r="J663" s="2" t="n"/>
      <c r="K663" s="2" t="n">
        <v>152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>
        <f>SUM(J663:U663)*G663</f>
        <v/>
      </c>
      <c r="W663" s="2">
        <f>MAX(J663:U663)</f>
        <v/>
      </c>
      <c r="X663" s="2">
        <f>W663*G663</f>
        <v/>
      </c>
    </row>
    <row r="664">
      <c r="A664" s="2" t="inlineStr">
        <is>
          <t>A14-DB-N392</t>
        </is>
      </c>
      <c r="B664" s="3" t="inlineStr">
        <is>
          <t>DOJC-SM-SC/APC-SC/APC</t>
        </is>
      </c>
      <c r="C664" s="2" t="inlineStr">
        <is>
          <t>908040562, 5M, B3, 3.0mm</t>
        </is>
      </c>
      <c r="D664" s="2" t="inlineStr">
        <is>
          <t>b3</t>
        </is>
      </c>
      <c r="E664" s="2" t="inlineStr">
        <is>
          <t>3.0mm</t>
        </is>
      </c>
      <c r="F664" s="2" t="n">
        <v>2</v>
      </c>
      <c r="G664" s="2" t="n">
        <v>5</v>
      </c>
      <c r="H664" s="2" t="inlineStr">
        <is>
          <t>SC/APC</t>
        </is>
      </c>
      <c r="I664" s="2" t="inlineStr">
        <is>
          <t>SC/APC</t>
        </is>
      </c>
      <c r="J664" s="2" t="n"/>
      <c r="K664" s="2" t="n"/>
      <c r="L664" s="2" t="n">
        <v>40</v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SUM(J664:U664)*G664</f>
        <v/>
      </c>
      <c r="W664" s="2">
        <f>MAX(J664:U664)</f>
        <v/>
      </c>
      <c r="X664" s="2">
        <f>W664*G664</f>
        <v/>
      </c>
    </row>
    <row r="665">
      <c r="A665" s="2" t="inlineStr">
        <is>
          <t>A14-DB-N396</t>
        </is>
      </c>
      <c r="B665" s="3" t="inlineStr">
        <is>
          <t>DOJC-SM-SC/PC-FC/APC</t>
        </is>
      </c>
      <c r="C665" s="2" t="inlineStr">
        <is>
          <t>908040442, 10M, B3, 2.0mm</t>
        </is>
      </c>
      <c r="D665" s="2" t="inlineStr">
        <is>
          <t>b3</t>
        </is>
      </c>
      <c r="E665" s="2" t="inlineStr">
        <is>
          <t>2.0mm</t>
        </is>
      </c>
      <c r="F665" s="2" t="n">
        <v>2</v>
      </c>
      <c r="G665" s="2" t="n">
        <v>10</v>
      </c>
      <c r="H665" s="2" t="inlineStr">
        <is>
          <t>SC/PC</t>
        </is>
      </c>
      <c r="I665" s="2" t="inlineStr">
        <is>
          <t>FC/APC</t>
        </is>
      </c>
      <c r="J665" s="2" t="n"/>
      <c r="K665" s="2" t="n">
        <v>21</v>
      </c>
      <c r="L665" s="2" t="n">
        <v>40</v>
      </c>
      <c r="M665" s="2" t="n"/>
      <c r="N665" s="2" t="n"/>
      <c r="O665" s="2" t="n"/>
      <c r="P665" s="2" t="n">
        <v>10</v>
      </c>
      <c r="Q665" s="2" t="n"/>
      <c r="R665" s="2" t="n">
        <v>12</v>
      </c>
      <c r="S665" s="2" t="n">
        <v>20</v>
      </c>
      <c r="T665" s="2" t="n">
        <v>60</v>
      </c>
      <c r="U665" s="2" t="n"/>
      <c r="V665" s="2">
        <f>SUM(J665:U665)*G665</f>
        <v/>
      </c>
      <c r="W665" s="2">
        <f>MAX(J665:U665)</f>
        <v/>
      </c>
      <c r="X665" s="2">
        <f>W665*G665</f>
        <v/>
      </c>
    </row>
    <row r="666">
      <c r="A666" s="2" t="inlineStr">
        <is>
          <t>A14-DB-N398</t>
        </is>
      </c>
      <c r="B666" s="3" t="inlineStr">
        <is>
          <t>DOJC-SM-SC/PC-FC/APC</t>
        </is>
      </c>
      <c r="C666" s="2" t="inlineStr">
        <is>
          <t>12M, B3, 2.0mm</t>
        </is>
      </c>
      <c r="D666" s="2" t="inlineStr">
        <is>
          <t>b3</t>
        </is>
      </c>
      <c r="E666" s="2" t="inlineStr">
        <is>
          <t>2.0mm</t>
        </is>
      </c>
      <c r="F666" s="2" t="n">
        <v>2</v>
      </c>
      <c r="G666" s="2" t="n">
        <v>12</v>
      </c>
      <c r="H666" s="2" t="inlineStr">
        <is>
          <t>SC/PC</t>
        </is>
      </c>
      <c r="I666" s="2" t="inlineStr">
        <is>
          <t>FC/APC</t>
        </is>
      </c>
      <c r="J666" s="2" t="n"/>
      <c r="K666" s="2" t="n">
        <v>10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>
        <f>SUM(J666:U666)*G666</f>
        <v/>
      </c>
      <c r="W666" s="2">
        <f>MAX(J666:U666)</f>
        <v/>
      </c>
      <c r="X666" s="2">
        <f>W666*G666</f>
        <v/>
      </c>
    </row>
    <row r="667">
      <c r="A667" s="2" t="inlineStr">
        <is>
          <t>A14-DB-N400</t>
        </is>
      </c>
      <c r="B667" s="3" t="inlineStr">
        <is>
          <t>DOJC-SM-SC/PC-FC/APC</t>
        </is>
      </c>
      <c r="C667" s="2" t="inlineStr">
        <is>
          <t>908040447, 15M, B3, 2.0mm</t>
        </is>
      </c>
      <c r="D667" s="2" t="inlineStr">
        <is>
          <t>b3</t>
        </is>
      </c>
      <c r="E667" s="2" t="inlineStr">
        <is>
          <t>2.0mm</t>
        </is>
      </c>
      <c r="F667" s="2" t="n">
        <v>2</v>
      </c>
      <c r="G667" s="2" t="n">
        <v>15</v>
      </c>
      <c r="H667" s="2" t="inlineStr">
        <is>
          <t>SC/PC</t>
        </is>
      </c>
      <c r="I667" s="2" t="inlineStr">
        <is>
          <t>FC/APC</t>
        </is>
      </c>
      <c r="J667" s="2" t="n"/>
      <c r="K667" s="2" t="n"/>
      <c r="L667" s="2" t="n">
        <v>44</v>
      </c>
      <c r="M667" s="2" t="n"/>
      <c r="N667" s="2" t="n"/>
      <c r="O667" s="2" t="n"/>
      <c r="P667" s="2" t="n"/>
      <c r="Q667" s="2" t="n"/>
      <c r="R667" s="2" t="n"/>
      <c r="S667" s="2" t="n">
        <v>10</v>
      </c>
      <c r="T667" s="2" t="n">
        <v>70</v>
      </c>
      <c r="U667" s="2" t="n">
        <v>70</v>
      </c>
      <c r="V667" s="2">
        <f>SUM(J667:U667)*G667</f>
        <v/>
      </c>
      <c r="W667" s="2">
        <f>MAX(J667:U667)</f>
        <v/>
      </c>
      <c r="X667" s="2">
        <f>W667*G667</f>
        <v/>
      </c>
    </row>
    <row r="668">
      <c r="A668" s="2" t="inlineStr">
        <is>
          <t>A14-DB-N404</t>
        </is>
      </c>
      <c r="B668" s="3" t="inlineStr">
        <is>
          <t>DOJC-SM-SC/PC-FC/APC</t>
        </is>
      </c>
      <c r="C668" s="2" t="inlineStr">
        <is>
          <t>908040452, 20M, B3, 2.0mm</t>
        </is>
      </c>
      <c r="D668" s="2" t="inlineStr">
        <is>
          <t>b3</t>
        </is>
      </c>
      <c r="E668" s="2" t="inlineStr">
        <is>
          <t>2.0mm</t>
        </is>
      </c>
      <c r="F668" s="2" t="n">
        <v>2</v>
      </c>
      <c r="G668" s="2" t="n">
        <v>20</v>
      </c>
      <c r="H668" s="2" t="inlineStr">
        <is>
          <t>SC/PC</t>
        </is>
      </c>
      <c r="I668" s="2" t="inlineStr">
        <is>
          <t>FC/APC</t>
        </is>
      </c>
      <c r="J668" s="2" t="n"/>
      <c r="K668" s="2" t="n"/>
      <c r="L668" s="2" t="n">
        <v>30</v>
      </c>
      <c r="M668" s="2" t="n">
        <v>8</v>
      </c>
      <c r="N668" s="2" t="n"/>
      <c r="O668" s="2" t="n">
        <v>65</v>
      </c>
      <c r="P668" s="2" t="n">
        <v>20</v>
      </c>
      <c r="Q668" s="2" t="n"/>
      <c r="R668" s="2" t="n">
        <v>3</v>
      </c>
      <c r="S668" s="2" t="n"/>
      <c r="T668" s="2" t="n">
        <v>46</v>
      </c>
      <c r="U668" s="2" t="n">
        <v>10</v>
      </c>
      <c r="V668" s="2">
        <f>SUM(J668:U668)*G668</f>
        <v/>
      </c>
      <c r="W668" s="2">
        <f>MAX(J668:U668)</f>
        <v/>
      </c>
      <c r="X668" s="2">
        <f>W668*G668</f>
        <v/>
      </c>
    </row>
    <row r="669">
      <c r="A669" s="2" t="inlineStr">
        <is>
          <t>A14-DB-N407</t>
        </is>
      </c>
      <c r="B669" s="3" t="inlineStr">
        <is>
          <t>DOJC-SM-SC/PC-FC/APC</t>
        </is>
      </c>
      <c r="C669" s="2" t="inlineStr">
        <is>
          <t>908040457, 25M, B3, 2.0mm</t>
        </is>
      </c>
      <c r="D669" s="2" t="inlineStr">
        <is>
          <t>b3</t>
        </is>
      </c>
      <c r="E669" s="2" t="inlineStr">
        <is>
          <t>2.0mm</t>
        </is>
      </c>
      <c r="F669" s="2" t="n">
        <v>2</v>
      </c>
      <c r="G669" s="2" t="n">
        <v>25</v>
      </c>
      <c r="H669" s="2" t="inlineStr">
        <is>
          <t>SC/PC</t>
        </is>
      </c>
      <c r="I669" s="2" t="inlineStr">
        <is>
          <t>FC/APC</t>
        </is>
      </c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>
        <v>34</v>
      </c>
      <c r="S669" s="2" t="n">
        <v>28</v>
      </c>
      <c r="T669" s="2" t="n">
        <v>36</v>
      </c>
      <c r="U669" s="2" t="n">
        <v>22</v>
      </c>
      <c r="V669" s="2">
        <f>SUM(J669:U669)*G669</f>
        <v/>
      </c>
      <c r="W669" s="2">
        <f>MAX(J669:U669)</f>
        <v/>
      </c>
      <c r="X669" s="2">
        <f>W669*G669</f>
        <v/>
      </c>
    </row>
    <row r="670">
      <c r="A670" s="2" t="inlineStr">
        <is>
          <t>A14-DB-N409</t>
        </is>
      </c>
      <c r="B670" s="3" t="inlineStr">
        <is>
          <t>DOJC-SM-SC/PC-FC/APC</t>
        </is>
      </c>
      <c r="C670" s="2" t="inlineStr">
        <is>
          <t>908040462, 30M, B3, 2.0mm</t>
        </is>
      </c>
      <c r="D670" s="2" t="inlineStr">
        <is>
          <t>b3</t>
        </is>
      </c>
      <c r="E670" s="2" t="inlineStr">
        <is>
          <t>2.0mm</t>
        </is>
      </c>
      <c r="F670" s="2" t="n">
        <v>2</v>
      </c>
      <c r="G670" s="2" t="n">
        <v>30</v>
      </c>
      <c r="H670" s="2" t="inlineStr">
        <is>
          <t>SC/PC</t>
        </is>
      </c>
      <c r="I670" s="2" t="inlineStr">
        <is>
          <t>FC/APC</t>
        </is>
      </c>
      <c r="J670" s="2" t="n"/>
      <c r="K670" s="2" t="n">
        <v>6</v>
      </c>
      <c r="L670" s="2" t="n">
        <v>10</v>
      </c>
      <c r="M670" s="2" t="n"/>
      <c r="N670" s="2" t="n"/>
      <c r="O670" s="2" t="n"/>
      <c r="P670" s="2" t="n"/>
      <c r="Q670" s="2" t="n"/>
      <c r="R670" s="2" t="n">
        <v>45</v>
      </c>
      <c r="S670" s="2" t="n"/>
      <c r="T670" s="2" t="n">
        <v>10</v>
      </c>
      <c r="U670" s="2" t="n">
        <v>2</v>
      </c>
      <c r="V670" s="2">
        <f>SUM(J670:U670)*G670</f>
        <v/>
      </c>
      <c r="W670" s="2">
        <f>MAX(J670:U670)</f>
        <v/>
      </c>
      <c r="X670" s="2">
        <f>W670*G670</f>
        <v/>
      </c>
    </row>
    <row r="671">
      <c r="A671" s="2" t="inlineStr">
        <is>
          <t>A14-DB-N411</t>
        </is>
      </c>
      <c r="B671" s="3" t="inlineStr">
        <is>
          <t>DOJC-SM-SC/PC-FC/APC</t>
        </is>
      </c>
      <c r="C671" s="2" t="inlineStr">
        <is>
          <t>35M, B3, 2.0mm</t>
        </is>
      </c>
      <c r="D671" s="2" t="inlineStr">
        <is>
          <t>b3</t>
        </is>
      </c>
      <c r="E671" s="2" t="inlineStr">
        <is>
          <t>2.0mm</t>
        </is>
      </c>
      <c r="F671" s="2" t="n">
        <v>2</v>
      </c>
      <c r="G671" s="2" t="n">
        <v>35</v>
      </c>
      <c r="H671" s="2" t="inlineStr">
        <is>
          <t>SC/PC</t>
        </is>
      </c>
      <c r="I671" s="2" t="inlineStr">
        <is>
          <t>FC/APC</t>
        </is>
      </c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>
        <v>6</v>
      </c>
      <c r="S671" s="2" t="n"/>
      <c r="T671" s="2" t="n"/>
      <c r="U671" s="2" t="n"/>
      <c r="V671" s="2">
        <f>SUM(J671:U671)*G671</f>
        <v/>
      </c>
      <c r="W671" s="2">
        <f>MAX(J671:U671)</f>
        <v/>
      </c>
      <c r="X671" s="2">
        <f>W671*G671</f>
        <v/>
      </c>
    </row>
    <row r="672">
      <c r="A672" s="2" t="inlineStr">
        <is>
          <t>A14-DB-N412</t>
        </is>
      </c>
      <c r="B672" s="3" t="inlineStr">
        <is>
          <t>DOJC-SM-SC/PC-FC/APC</t>
        </is>
      </c>
      <c r="C672" s="2" t="inlineStr">
        <is>
          <t>908040433, 3M, B3, 3.0mm</t>
        </is>
      </c>
      <c r="D672" s="2" t="inlineStr">
        <is>
          <t>b3</t>
        </is>
      </c>
      <c r="E672" s="2" t="inlineStr">
        <is>
          <t>3.0mm</t>
        </is>
      </c>
      <c r="F672" s="2" t="n">
        <v>2</v>
      </c>
      <c r="G672" s="2" t="n">
        <v>3</v>
      </c>
      <c r="H672" s="2" t="inlineStr">
        <is>
          <t>SC/PC</t>
        </is>
      </c>
      <c r="I672" s="2" t="inlineStr">
        <is>
          <t>FC/APC</t>
        </is>
      </c>
      <c r="J672" s="2" t="n"/>
      <c r="K672" s="2" t="n"/>
      <c r="L672" s="2" t="n"/>
      <c r="M672" s="2" t="n">
        <v>15</v>
      </c>
      <c r="N672" s="2" t="n">
        <v>10</v>
      </c>
      <c r="O672" s="2" t="n"/>
      <c r="P672" s="2" t="n"/>
      <c r="Q672" s="2" t="n"/>
      <c r="R672" s="2" t="n"/>
      <c r="S672" s="2" t="n"/>
      <c r="T672" s="2" t="n"/>
      <c r="U672" s="2" t="n"/>
      <c r="V672" s="2">
        <f>SUM(J672:U672)*G672</f>
        <v/>
      </c>
      <c r="W672" s="2">
        <f>MAX(J672:U672)</f>
        <v/>
      </c>
      <c r="X672" s="2">
        <f>W672*G672</f>
        <v/>
      </c>
    </row>
    <row r="673">
      <c r="A673" s="2" t="inlineStr">
        <is>
          <t>A14-DB-N418</t>
        </is>
      </c>
      <c r="B673" s="3" t="inlineStr">
        <is>
          <t>DOJC-SM-SC/PC-FC/APC</t>
        </is>
      </c>
      <c r="C673" s="2" t="inlineStr">
        <is>
          <t>908040437, 5M, B3, 3.0mm</t>
        </is>
      </c>
      <c r="D673" s="2" t="inlineStr">
        <is>
          <t>b3</t>
        </is>
      </c>
      <c r="E673" s="2" t="inlineStr">
        <is>
          <t>3.0mm</t>
        </is>
      </c>
      <c r="F673" s="2" t="n">
        <v>2</v>
      </c>
      <c r="G673" s="2" t="n">
        <v>5</v>
      </c>
      <c r="H673" s="2" t="inlineStr">
        <is>
          <t>SC/PC</t>
        </is>
      </c>
      <c r="I673" s="2" t="inlineStr">
        <is>
          <t>FC/APC</t>
        </is>
      </c>
      <c r="J673" s="2" t="n"/>
      <c r="K673" s="2" t="n">
        <v>5</v>
      </c>
      <c r="L673" s="2" t="n"/>
      <c r="M673" s="2" t="n"/>
      <c r="N673" s="2" t="n"/>
      <c r="O673" s="2" t="n"/>
      <c r="P673" s="2" t="n">
        <v>5</v>
      </c>
      <c r="Q673" s="2" t="n"/>
      <c r="R673" s="2" t="n"/>
      <c r="S673" s="2" t="n"/>
      <c r="T673" s="2" t="n"/>
      <c r="U673" s="2" t="n"/>
      <c r="V673" s="2">
        <f>SUM(J673:U673)*G673</f>
        <v/>
      </c>
      <c r="W673" s="2">
        <f>MAX(J673:U673)</f>
        <v/>
      </c>
      <c r="X673" s="2">
        <f>W673*G673</f>
        <v/>
      </c>
    </row>
    <row r="674">
      <c r="A674" s="2" t="inlineStr">
        <is>
          <t>A14-DB-N424</t>
        </is>
      </c>
      <c r="B674" s="3" t="inlineStr">
        <is>
          <t>DOJC-SM-SC/PC-FC/APC</t>
        </is>
      </c>
      <c r="C674" s="2" t="inlineStr">
        <is>
          <t>908040440, 8M, B3, 2.0mm</t>
        </is>
      </c>
      <c r="D674" s="2" t="inlineStr">
        <is>
          <t>b3</t>
        </is>
      </c>
      <c r="E674" s="2" t="inlineStr">
        <is>
          <t>2.0mm</t>
        </is>
      </c>
      <c r="F674" s="2" t="n">
        <v>2</v>
      </c>
      <c r="G674" s="2" t="n">
        <v>8</v>
      </c>
      <c r="H674" s="2" t="inlineStr">
        <is>
          <t>SC/PC</t>
        </is>
      </c>
      <c r="I674" s="2" t="inlineStr">
        <is>
          <t>FC/APC</t>
        </is>
      </c>
      <c r="J674" s="2" t="n"/>
      <c r="K674" s="2" t="n"/>
      <c r="L674" s="2" t="n"/>
      <c r="M674" s="2" t="n"/>
      <c r="N674" s="2" t="n"/>
      <c r="O674" s="2" t="n">
        <v>20</v>
      </c>
      <c r="P674" s="2" t="n">
        <v>10</v>
      </c>
      <c r="Q674" s="2" t="n"/>
      <c r="R674" s="2" t="n"/>
      <c r="S674" s="2" t="n"/>
      <c r="T674" s="2" t="n"/>
      <c r="U674" s="2" t="n"/>
      <c r="V674" s="2">
        <f>SUM(J674:U674)*G674</f>
        <v/>
      </c>
      <c r="W674" s="2">
        <f>MAX(J674:U674)</f>
        <v/>
      </c>
      <c r="X674" s="2">
        <f>W674*G674</f>
        <v/>
      </c>
    </row>
    <row r="675">
      <c r="A675" s="2" t="inlineStr">
        <is>
          <t>A14-DB-N426</t>
        </is>
      </c>
      <c r="B675" s="3" t="inlineStr">
        <is>
          <t>DOJC-SM-SC/PC-FC/PC</t>
        </is>
      </c>
      <c r="C675" s="2" t="inlineStr">
        <is>
          <t>908040687, 10M, B3, 2.0mm</t>
        </is>
      </c>
      <c r="D675" s="2" t="inlineStr">
        <is>
          <t>b3</t>
        </is>
      </c>
      <c r="E675" s="2" t="inlineStr">
        <is>
          <t>2.0mm</t>
        </is>
      </c>
      <c r="F675" s="2" t="n">
        <v>2</v>
      </c>
      <c r="G675" s="2" t="n">
        <v>10</v>
      </c>
      <c r="H675" s="2" t="inlineStr">
        <is>
          <t>SC/PC</t>
        </is>
      </c>
      <c r="I675" s="2" t="inlineStr">
        <is>
          <t>FC/PC</t>
        </is>
      </c>
      <c r="J675" s="2" t="n"/>
      <c r="K675" s="2" t="n"/>
      <c r="L675" s="2" t="n">
        <v>5</v>
      </c>
      <c r="M675" s="2" t="n"/>
      <c r="N675" s="2" t="n"/>
      <c r="O675" s="2" t="n"/>
      <c r="P675" s="2" t="n"/>
      <c r="Q675" s="2" t="n">
        <v>35</v>
      </c>
      <c r="R675" s="2" t="n"/>
      <c r="S675" s="2" t="n">
        <v>5</v>
      </c>
      <c r="T675" s="2" t="n"/>
      <c r="U675" s="2" t="n"/>
      <c r="V675" s="2">
        <f>SUM(J675:U675)*G675</f>
        <v/>
      </c>
      <c r="W675" s="2">
        <f>MAX(J675:U675)</f>
        <v/>
      </c>
      <c r="X675" s="2">
        <f>W675*G675</f>
        <v/>
      </c>
    </row>
    <row r="676">
      <c r="A676" s="2" t="inlineStr">
        <is>
          <t>A14-DB-N429</t>
        </is>
      </c>
      <c r="B676" s="3" t="inlineStr">
        <is>
          <t>DOJC-SM-SC/PC-FC/PC</t>
        </is>
      </c>
      <c r="C676" s="2" t="inlineStr">
        <is>
          <t>908040692, 15M, B3, 2.0mm</t>
        </is>
      </c>
      <c r="D676" s="2" t="inlineStr">
        <is>
          <t>b3</t>
        </is>
      </c>
      <c r="E676" s="2" t="inlineStr">
        <is>
          <t>2.0mm</t>
        </is>
      </c>
      <c r="F676" s="2" t="n">
        <v>2</v>
      </c>
      <c r="G676" s="2" t="n">
        <v>15</v>
      </c>
      <c r="H676" s="2" t="inlineStr">
        <is>
          <t>SC/PC</t>
        </is>
      </c>
      <c r="I676" s="2" t="inlineStr">
        <is>
          <t>FC/PC</t>
        </is>
      </c>
      <c r="J676" s="2" t="n"/>
      <c r="K676" s="2" t="n"/>
      <c r="L676" s="2" t="n">
        <v>42</v>
      </c>
      <c r="M676" s="2" t="n">
        <v>20</v>
      </c>
      <c r="N676" s="2" t="n">
        <v>30</v>
      </c>
      <c r="O676" s="2" t="n"/>
      <c r="P676" s="2" t="n">
        <v>1</v>
      </c>
      <c r="Q676" s="2" t="n">
        <v>5</v>
      </c>
      <c r="R676" s="2" t="n">
        <v>48</v>
      </c>
      <c r="S676" s="2" t="n"/>
      <c r="T676" s="2" t="n"/>
      <c r="U676" s="2" t="n"/>
      <c r="V676" s="2">
        <f>SUM(J676:U676)*G676</f>
        <v/>
      </c>
      <c r="W676" s="2">
        <f>MAX(J676:U676)</f>
        <v/>
      </c>
      <c r="X676" s="2">
        <f>W676*G676</f>
        <v/>
      </c>
    </row>
    <row r="677">
      <c r="A677" s="2" t="inlineStr">
        <is>
          <t>A14-DB-N430</t>
        </is>
      </c>
      <c r="B677" s="3" t="inlineStr">
        <is>
          <t>DOJC-SM-SC/PC-FC/PC</t>
        </is>
      </c>
      <c r="C677" s="2" t="inlineStr">
        <is>
          <t>908040422, 20M, B3, 2.0mm</t>
        </is>
      </c>
      <c r="D677" s="2" t="inlineStr">
        <is>
          <t>b3</t>
        </is>
      </c>
      <c r="E677" s="2" t="inlineStr">
        <is>
          <t>2.0mm</t>
        </is>
      </c>
      <c r="F677" s="2" t="n">
        <v>2</v>
      </c>
      <c r="G677" s="2" t="n">
        <v>20</v>
      </c>
      <c r="H677" s="2" t="inlineStr">
        <is>
          <t>SC/PC</t>
        </is>
      </c>
      <c r="I677" s="2" t="inlineStr">
        <is>
          <t>FC/PC</t>
        </is>
      </c>
      <c r="J677" s="2" t="n"/>
      <c r="K677" s="2" t="n"/>
      <c r="L677" s="2" t="n"/>
      <c r="M677" s="2" t="n"/>
      <c r="N677" s="2" t="n"/>
      <c r="O677" s="2" t="n"/>
      <c r="P677" s="2" t="n">
        <v>12</v>
      </c>
      <c r="Q677" s="2" t="n">
        <v>5</v>
      </c>
      <c r="R677" s="2" t="n">
        <v>35</v>
      </c>
      <c r="S677" s="2" t="n"/>
      <c r="T677" s="2" t="n"/>
      <c r="U677" s="2" t="n"/>
      <c r="V677" s="2">
        <f>SUM(J677:U677)*G677</f>
        <v/>
      </c>
      <c r="W677" s="2">
        <f>MAX(J677:U677)</f>
        <v/>
      </c>
      <c r="X677" s="2">
        <f>W677*G677</f>
        <v/>
      </c>
    </row>
    <row r="678">
      <c r="A678" s="2" t="inlineStr">
        <is>
          <t>A14-DB-N444</t>
        </is>
      </c>
      <c r="B678" s="3" t="inlineStr">
        <is>
          <t>DOJC-SM-SC/PC-SC/APC</t>
        </is>
      </c>
      <c r="C678" s="2" t="inlineStr">
        <is>
          <t>908040537, 10M, B3, 2.0mm</t>
        </is>
      </c>
      <c r="D678" s="2" t="inlineStr">
        <is>
          <t>b3</t>
        </is>
      </c>
      <c r="E678" s="2" t="inlineStr">
        <is>
          <t>2.0mm</t>
        </is>
      </c>
      <c r="F678" s="2" t="n">
        <v>2</v>
      </c>
      <c r="G678" s="2" t="n">
        <v>10</v>
      </c>
      <c r="H678" s="2" t="inlineStr">
        <is>
          <t>SC/PC</t>
        </is>
      </c>
      <c r="I678" s="2" t="inlineStr">
        <is>
          <t>SC/APC</t>
        </is>
      </c>
      <c r="J678" s="2" t="n">
        <v>200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>
        <f>SUM(J678:U678)*G678</f>
        <v/>
      </c>
      <c r="W678" s="2">
        <f>MAX(J678:U678)</f>
        <v/>
      </c>
      <c r="X678" s="2">
        <f>W678*G678</f>
        <v/>
      </c>
    </row>
    <row r="679">
      <c r="A679" s="2" t="inlineStr">
        <is>
          <t>A14-DB-N447</t>
        </is>
      </c>
      <c r="B679" s="3" t="inlineStr">
        <is>
          <t>DOJC-SM-SC/PC-SC/APC</t>
        </is>
      </c>
      <c r="C679" s="2" t="inlineStr">
        <is>
          <t>908040542, 15M, B3, 2.0mm</t>
        </is>
      </c>
      <c r="D679" s="2" t="inlineStr">
        <is>
          <t>b3</t>
        </is>
      </c>
      <c r="E679" s="2" t="inlineStr">
        <is>
          <t>2.0mm</t>
        </is>
      </c>
      <c r="F679" s="2" t="n">
        <v>2</v>
      </c>
      <c r="G679" s="2" t="n">
        <v>15</v>
      </c>
      <c r="H679" s="2" t="inlineStr">
        <is>
          <t>SC/PC</t>
        </is>
      </c>
      <c r="I679" s="2" t="inlineStr">
        <is>
          <t>SC/APC</t>
        </is>
      </c>
      <c r="J679" s="2" t="n">
        <v>210</v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>
        <f>SUM(J679:U679)*G679</f>
        <v/>
      </c>
      <c r="W679" s="2">
        <f>MAX(J679:U679)</f>
        <v/>
      </c>
      <c r="X679" s="2">
        <f>W679*G679</f>
        <v/>
      </c>
    </row>
    <row r="680">
      <c r="A680" s="2" t="inlineStr">
        <is>
          <t>A14-DB-N448</t>
        </is>
      </c>
      <c r="B680" s="3" t="inlineStr">
        <is>
          <t>DOJC-SM-SC/PC-SC/APC</t>
        </is>
      </c>
      <c r="C680" s="2" t="inlineStr">
        <is>
          <t>908040252, 1M, B3, 3.0mm</t>
        </is>
      </c>
      <c r="D680" s="2" t="inlineStr">
        <is>
          <t>b3</t>
        </is>
      </c>
      <c r="E680" s="2" t="inlineStr">
        <is>
          <t>3.0mm</t>
        </is>
      </c>
      <c r="F680" s="2" t="n">
        <v>2</v>
      </c>
      <c r="G680" s="2" t="n">
        <v>1</v>
      </c>
      <c r="H680" s="2" t="inlineStr">
        <is>
          <t>SC/PC</t>
        </is>
      </c>
      <c r="I680" s="2" t="inlineStr">
        <is>
          <t>SC/APC</t>
        </is>
      </c>
      <c r="J680" s="2" t="n"/>
      <c r="K680" s="2" t="n"/>
      <c r="L680" s="2" t="n">
        <v>20</v>
      </c>
      <c r="M680" s="2" t="n"/>
      <c r="N680" s="2" t="n"/>
      <c r="O680" s="2" t="n"/>
      <c r="P680" s="2" t="n">
        <v>20</v>
      </c>
      <c r="Q680" s="2" t="n"/>
      <c r="R680" s="2" t="n"/>
      <c r="S680" s="2" t="n"/>
      <c r="T680" s="2" t="n"/>
      <c r="U680" s="2" t="n"/>
      <c r="V680" s="2">
        <f>SUM(J680:U680)*G680</f>
        <v/>
      </c>
      <c r="W680" s="2">
        <f>MAX(J680:U680)</f>
        <v/>
      </c>
      <c r="X680" s="2">
        <f>W680*G680</f>
        <v/>
      </c>
    </row>
    <row r="681">
      <c r="A681" s="2" t="inlineStr">
        <is>
          <t>A14-DB-N449</t>
        </is>
      </c>
      <c r="B681" s="3" t="inlineStr">
        <is>
          <t>DOJC-SM-SC/PC-SC/APC</t>
        </is>
      </c>
      <c r="C681" s="2" t="inlineStr">
        <is>
          <t>908040547, 20M, B3, 2.0mm</t>
        </is>
      </c>
      <c r="D681" s="2" t="inlineStr">
        <is>
          <t>b3</t>
        </is>
      </c>
      <c r="E681" s="2" t="inlineStr">
        <is>
          <t>2.0mm</t>
        </is>
      </c>
      <c r="F681" s="2" t="n">
        <v>2</v>
      </c>
      <c r="G681" s="2" t="n">
        <v>20</v>
      </c>
      <c r="H681" s="2" t="inlineStr">
        <is>
          <t>SC/PC</t>
        </is>
      </c>
      <c r="I681" s="2" t="inlineStr">
        <is>
          <t>SC/APC</t>
        </is>
      </c>
      <c r="J681" s="2" t="n"/>
      <c r="K681" s="2" t="n"/>
      <c r="L681" s="2" t="n">
        <v>20</v>
      </c>
      <c r="M681" s="2" t="n">
        <v>10</v>
      </c>
      <c r="N681" s="2" t="n"/>
      <c r="O681" s="2" t="n"/>
      <c r="P681" s="2" t="n"/>
      <c r="Q681" s="2" t="n"/>
      <c r="R681" s="2" t="n"/>
      <c r="S681" s="2" t="n">
        <v>20</v>
      </c>
      <c r="T681" s="2" t="n"/>
      <c r="U681" s="2" t="n"/>
      <c r="V681" s="2">
        <f>SUM(J681:U681)*G681</f>
        <v/>
      </c>
      <c r="W681" s="2">
        <f>MAX(J681:U681)</f>
        <v/>
      </c>
      <c r="X681" s="2">
        <f>W681*G681</f>
        <v/>
      </c>
    </row>
    <row r="682">
      <c r="A682" s="2" t="inlineStr">
        <is>
          <t>A14-DB-N451</t>
        </is>
      </c>
      <c r="B682" s="3" t="inlineStr">
        <is>
          <t>DOJC-SM-SC/PC-SC/APC</t>
        </is>
      </c>
      <c r="C682" s="2" t="inlineStr">
        <is>
          <t>908040253, 2M, B3, 3.0mm</t>
        </is>
      </c>
      <c r="D682" s="2" t="inlineStr">
        <is>
          <t>b3</t>
        </is>
      </c>
      <c r="E682" s="2" t="inlineStr">
        <is>
          <t>3.0mm</t>
        </is>
      </c>
      <c r="F682" s="2" t="n">
        <v>2</v>
      </c>
      <c r="G682" s="2" t="n">
        <v>2</v>
      </c>
      <c r="H682" s="2" t="inlineStr">
        <is>
          <t>SC/PC</t>
        </is>
      </c>
      <c r="I682" s="2" t="inlineStr">
        <is>
          <t>SC/APC</t>
        </is>
      </c>
      <c r="J682" s="2" t="n"/>
      <c r="K682" s="2" t="n">
        <v>35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>
        <f>SUM(J682:U682)*G682</f>
        <v/>
      </c>
      <c r="W682" s="2">
        <f>MAX(J682:U682)</f>
        <v/>
      </c>
      <c r="X682" s="2">
        <f>W682*G682</f>
        <v/>
      </c>
    </row>
    <row r="683">
      <c r="A683" s="2" t="inlineStr">
        <is>
          <t>A14-DB-N455</t>
        </is>
      </c>
      <c r="B683" s="3" t="inlineStr">
        <is>
          <t>DOJC-SM-SC/PC-SC/APC</t>
        </is>
      </c>
      <c r="C683" s="2" t="inlineStr">
        <is>
          <t>908040251, 3M, B3, 3.0mm</t>
        </is>
      </c>
      <c r="D683" s="2" t="inlineStr">
        <is>
          <t>b3</t>
        </is>
      </c>
      <c r="E683" s="2" t="inlineStr">
        <is>
          <t>3.0mm</t>
        </is>
      </c>
      <c r="F683" s="2" t="n">
        <v>2</v>
      </c>
      <c r="G683" s="2" t="n">
        <v>3</v>
      </c>
      <c r="H683" s="2" t="inlineStr">
        <is>
          <t>SC/PC</t>
        </is>
      </c>
      <c r="I683" s="2" t="inlineStr">
        <is>
          <t>SC/APC</t>
        </is>
      </c>
      <c r="J683" s="2" t="n">
        <v>210</v>
      </c>
      <c r="K683" s="2" t="n"/>
      <c r="L683" s="2" t="n"/>
      <c r="M683" s="2" t="n"/>
      <c r="N683" s="2" t="n">
        <v>30</v>
      </c>
      <c r="O683" s="2" t="n">
        <v>50</v>
      </c>
      <c r="P683" s="2" t="n">
        <v>25</v>
      </c>
      <c r="Q683" s="2" t="n">
        <v>460</v>
      </c>
      <c r="R683" s="2" t="n">
        <v>30</v>
      </c>
      <c r="S683" s="2" t="n"/>
      <c r="T683" s="2" t="n">
        <v>120</v>
      </c>
      <c r="U683" s="2" t="n"/>
      <c r="V683" s="2">
        <f>SUM(J683:U683)*G683</f>
        <v/>
      </c>
      <c r="W683" s="2">
        <f>MAX(J683:U683)</f>
        <v/>
      </c>
      <c r="X683" s="2">
        <f>W683*G683</f>
        <v/>
      </c>
    </row>
    <row r="684">
      <c r="A684" s="2" t="inlineStr">
        <is>
          <t>A14-DB-N458</t>
        </is>
      </c>
      <c r="B684" s="3" t="inlineStr">
        <is>
          <t>DOJC-SM-SC/PC-SC/APC</t>
        </is>
      </c>
      <c r="C684" s="2" t="inlineStr">
        <is>
          <t>908040254, 4M, B3, 3.0mm</t>
        </is>
      </c>
      <c r="D684" s="2" t="inlineStr">
        <is>
          <t>b3</t>
        </is>
      </c>
      <c r="E684" s="2" t="inlineStr">
        <is>
          <t>3.0mm</t>
        </is>
      </c>
      <c r="F684" s="2" t="n">
        <v>2</v>
      </c>
      <c r="G684" s="2" t="n">
        <v>4</v>
      </c>
      <c r="H684" s="2" t="inlineStr">
        <is>
          <t>SC/PC</t>
        </is>
      </c>
      <c r="I684" s="2" t="inlineStr">
        <is>
          <t>SC/APC</t>
        </is>
      </c>
      <c r="J684" s="2" t="n"/>
      <c r="K684" s="2" t="n"/>
      <c r="L684" s="2" t="n">
        <v>20</v>
      </c>
      <c r="M684" s="2" t="n"/>
      <c r="N684" s="2" t="n"/>
      <c r="O684" s="2" t="n"/>
      <c r="P684" s="2" t="n"/>
      <c r="Q684" s="2" t="n"/>
      <c r="R684" s="2" t="n">
        <v>60</v>
      </c>
      <c r="S684" s="2" t="n"/>
      <c r="T684" s="2" t="n"/>
      <c r="U684" s="2" t="n"/>
      <c r="V684" s="2">
        <f>SUM(J684:U684)*G684</f>
        <v/>
      </c>
      <c r="W684" s="2">
        <f>MAX(J684:U684)</f>
        <v/>
      </c>
      <c r="X684" s="2">
        <f>W684*G684</f>
        <v/>
      </c>
    </row>
    <row r="685">
      <c r="A685" s="2" t="inlineStr">
        <is>
          <t>A14-DB-N461</t>
        </is>
      </c>
      <c r="B685" s="3" t="inlineStr">
        <is>
          <t>DOJC-SM-SC/PC-SC/APC</t>
        </is>
      </c>
      <c r="C685" s="2" t="inlineStr">
        <is>
          <t>908040257, 7M, B3, 2.0mm</t>
        </is>
      </c>
      <c r="D685" s="2" t="inlineStr">
        <is>
          <t>b3</t>
        </is>
      </c>
      <c r="E685" s="2" t="inlineStr">
        <is>
          <t>2.0mm</t>
        </is>
      </c>
      <c r="F685" s="2" t="n">
        <v>2</v>
      </c>
      <c r="G685" s="2" t="n">
        <v>7</v>
      </c>
      <c r="H685" s="2" t="inlineStr">
        <is>
          <t>SC/PC</t>
        </is>
      </c>
      <c r="I685" s="2" t="inlineStr">
        <is>
          <t>SC/APC</t>
        </is>
      </c>
      <c r="J685" s="2" t="n"/>
      <c r="K685" s="2" t="n">
        <v>10</v>
      </c>
      <c r="L685" s="2" t="n">
        <v>20</v>
      </c>
      <c r="M685" s="2" t="n"/>
      <c r="N685" s="2" t="n"/>
      <c r="O685" s="2" t="n"/>
      <c r="P685" s="2" t="n"/>
      <c r="Q685" s="2" t="n">
        <v>20</v>
      </c>
      <c r="R685" s="2" t="n">
        <v>40</v>
      </c>
      <c r="S685" s="2" t="n"/>
      <c r="T685" s="2" t="n"/>
      <c r="U685" s="2" t="n"/>
      <c r="V685" s="2">
        <f>SUM(J685:U685)*G685</f>
        <v/>
      </c>
      <c r="W685" s="2">
        <f>MAX(J685:U685)</f>
        <v/>
      </c>
      <c r="X685" s="2">
        <f>W685*G685</f>
        <v/>
      </c>
    </row>
    <row r="686">
      <c r="A686" s="2" t="inlineStr">
        <is>
          <t>A14-DB-N464</t>
        </is>
      </c>
      <c r="B686" s="3" t="inlineStr">
        <is>
          <t>DOJC-SM-SC/PC-SC/PC</t>
        </is>
      </c>
      <c r="C686" s="2" t="inlineStr">
        <is>
          <t>908040230, 10M, B3, 2.0mm</t>
        </is>
      </c>
      <c r="D686" s="2" t="inlineStr">
        <is>
          <t>b3</t>
        </is>
      </c>
      <c r="E686" s="2" t="inlineStr">
        <is>
          <t>2.0mm</t>
        </is>
      </c>
      <c r="F686" s="2" t="n">
        <v>2</v>
      </c>
      <c r="G686" s="2" t="n">
        <v>10</v>
      </c>
      <c r="H686" s="2" t="inlineStr">
        <is>
          <t>SC/PC</t>
        </is>
      </c>
      <c r="I686" s="2" t="inlineStr">
        <is>
          <t>SC/PC</t>
        </is>
      </c>
      <c r="J686" s="2" t="n">
        <v>200</v>
      </c>
      <c r="K686" s="2" t="n"/>
      <c r="L686" s="2" t="n"/>
      <c r="M686" s="2" t="n"/>
      <c r="N686" s="2" t="n"/>
      <c r="O686" s="2" t="n"/>
      <c r="P686" s="2" t="n"/>
      <c r="Q686" s="2" t="n">
        <v>17</v>
      </c>
      <c r="R686" s="2" t="n">
        <v>130</v>
      </c>
      <c r="S686" s="2" t="n">
        <v>76</v>
      </c>
      <c r="T686" s="2" t="n">
        <v>50</v>
      </c>
      <c r="U686" s="2" t="n"/>
      <c r="V686" s="2">
        <f>SUM(J686:U686)*G686</f>
        <v/>
      </c>
      <c r="W686" s="2">
        <f>MAX(J686:U686)</f>
        <v/>
      </c>
      <c r="X686" s="2">
        <f>W686*G686</f>
        <v/>
      </c>
    </row>
    <row r="687">
      <c r="A687" s="2" t="inlineStr">
        <is>
          <t>A14-DB-N466</t>
        </is>
      </c>
      <c r="B687" s="3" t="inlineStr">
        <is>
          <t>DOJC-SM-SC/PC-SC/PC</t>
        </is>
      </c>
      <c r="C687" s="2" t="inlineStr">
        <is>
          <t>908040235, 15M, B3, 2.0mm</t>
        </is>
      </c>
      <c r="D687" s="2" t="inlineStr">
        <is>
          <t>b3</t>
        </is>
      </c>
      <c r="E687" s="2" t="inlineStr">
        <is>
          <t>2.0mm</t>
        </is>
      </c>
      <c r="F687" s="2" t="n">
        <v>2</v>
      </c>
      <c r="G687" s="2" t="n">
        <v>15</v>
      </c>
      <c r="H687" s="2" t="inlineStr">
        <is>
          <t>SC/PC</t>
        </is>
      </c>
      <c r="I687" s="2" t="inlineStr">
        <is>
          <t>SC/PC</t>
        </is>
      </c>
      <c r="J687" s="2" t="n">
        <v>200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>
        <v>44</v>
      </c>
      <c r="U687" s="2" t="n"/>
      <c r="V687" s="2">
        <f>SUM(J687:U687)*G687</f>
        <v/>
      </c>
      <c r="W687" s="2">
        <f>MAX(J687:U687)</f>
        <v/>
      </c>
      <c r="X687" s="2">
        <f>W687*G687</f>
        <v/>
      </c>
    </row>
    <row r="688">
      <c r="A688" s="2" t="inlineStr">
        <is>
          <t>A14-DB-N467</t>
        </is>
      </c>
      <c r="B688" s="3" t="inlineStr">
        <is>
          <t>DOJC-SM-SC/PC-SC/PC</t>
        </is>
      </c>
      <c r="C688" s="2" t="inlineStr">
        <is>
          <t>908040222, 1M, B3, 3.0mm</t>
        </is>
      </c>
      <c r="D688" s="2" t="inlineStr">
        <is>
          <t>b3</t>
        </is>
      </c>
      <c r="E688" s="2" t="inlineStr">
        <is>
          <t>3.0mm</t>
        </is>
      </c>
      <c r="F688" s="2" t="n">
        <v>2</v>
      </c>
      <c r="G688" s="2" t="n">
        <v>1</v>
      </c>
      <c r="H688" s="2" t="inlineStr">
        <is>
          <t>SC/PC</t>
        </is>
      </c>
      <c r="I688" s="2" t="inlineStr">
        <is>
          <t>SC/PC</t>
        </is>
      </c>
      <c r="J688" s="2" t="n">
        <v>100</v>
      </c>
      <c r="K688" s="2" t="n">
        <v>60</v>
      </c>
      <c r="L688" s="2" t="n">
        <v>200</v>
      </c>
      <c r="M688" s="2" t="n">
        <v>100</v>
      </c>
      <c r="N688" s="2" t="n"/>
      <c r="O688" s="2" t="n">
        <v>30</v>
      </c>
      <c r="P688" s="2" t="n">
        <v>180</v>
      </c>
      <c r="Q688" s="2" t="n">
        <v>30</v>
      </c>
      <c r="R688" s="2" t="n"/>
      <c r="S688" s="2" t="n">
        <v>20</v>
      </c>
      <c r="T688" s="2" t="n"/>
      <c r="U688" s="2" t="n"/>
      <c r="V688" s="2">
        <f>SUM(J688:U688)*G688</f>
        <v/>
      </c>
      <c r="W688" s="2">
        <f>MAX(J688:U688)</f>
        <v/>
      </c>
      <c r="X688" s="2">
        <f>W688*G688</f>
        <v/>
      </c>
    </row>
    <row r="689">
      <c r="A689" s="2" t="inlineStr">
        <is>
          <t>A14-DB-N468</t>
        </is>
      </c>
      <c r="B689" s="3" t="inlineStr">
        <is>
          <t>DOJC-SM-SC/PC-SC/PC</t>
        </is>
      </c>
      <c r="C689" s="2" t="inlineStr">
        <is>
          <t>908040240, 20M, B3, 2.0mm</t>
        </is>
      </c>
      <c r="D689" s="2" t="inlineStr">
        <is>
          <t>b3</t>
        </is>
      </c>
      <c r="E689" s="2" t="inlineStr">
        <is>
          <t>2.0mm</t>
        </is>
      </c>
      <c r="F689" s="2" t="n">
        <v>2</v>
      </c>
      <c r="G689" s="2" t="n">
        <v>20</v>
      </c>
      <c r="H689" s="2" t="inlineStr">
        <is>
          <t>SC/PC</t>
        </is>
      </c>
      <c r="I689" s="2" t="inlineStr">
        <is>
          <t>SC/PC</t>
        </is>
      </c>
      <c r="J689" s="2" t="n"/>
      <c r="K689" s="2" t="n">
        <v>15</v>
      </c>
      <c r="L689" s="2" t="n">
        <v>40</v>
      </c>
      <c r="M689" s="2" t="n"/>
      <c r="N689" s="2" t="n">
        <v>5</v>
      </c>
      <c r="O689" s="2" t="n">
        <v>10</v>
      </c>
      <c r="P689" s="2" t="n">
        <v>25</v>
      </c>
      <c r="Q689" s="2" t="n">
        <v>85</v>
      </c>
      <c r="R689" s="2" t="n"/>
      <c r="S689" s="2" t="n">
        <v>8</v>
      </c>
      <c r="T689" s="2" t="n">
        <v>23</v>
      </c>
      <c r="U689" s="2" t="n">
        <v>20</v>
      </c>
      <c r="V689" s="2">
        <f>SUM(J689:U689)*G689</f>
        <v/>
      </c>
      <c r="W689" s="2">
        <f>MAX(J689:U689)</f>
        <v/>
      </c>
      <c r="X689" s="2">
        <f>W689*G689</f>
        <v/>
      </c>
    </row>
    <row r="690">
      <c r="A690" s="2" t="inlineStr">
        <is>
          <t>A14-DB-N470</t>
        </is>
      </c>
      <c r="B690" s="3" t="inlineStr">
        <is>
          <t>DOJC-SM-SC/PC-SC/PC</t>
        </is>
      </c>
      <c r="C690" s="2" t="inlineStr">
        <is>
          <t>908040245, 25M, B3, 2.0mm</t>
        </is>
      </c>
      <c r="D690" s="2" t="inlineStr">
        <is>
          <t>b3</t>
        </is>
      </c>
      <c r="E690" s="2" t="inlineStr">
        <is>
          <t>2.0mm</t>
        </is>
      </c>
      <c r="F690" s="2" t="n">
        <v>2</v>
      </c>
      <c r="G690" s="2" t="n">
        <v>25</v>
      </c>
      <c r="H690" s="2" t="inlineStr">
        <is>
          <t>SC/PC</t>
        </is>
      </c>
      <c r="I690" s="2" t="inlineStr">
        <is>
          <t>SC/PC</t>
        </is>
      </c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>
        <v>23</v>
      </c>
      <c r="U690" s="2" t="n"/>
      <c r="V690" s="2">
        <f>SUM(J690:U690)*G690</f>
        <v/>
      </c>
      <c r="W690" s="2">
        <f>MAX(J690:U690)</f>
        <v/>
      </c>
      <c r="X690" s="2">
        <f>W690*G690</f>
        <v/>
      </c>
    </row>
    <row r="691">
      <c r="A691" s="2" t="inlineStr">
        <is>
          <t>A14-DB-N471</t>
        </is>
      </c>
      <c r="B691" s="3" t="inlineStr">
        <is>
          <t>DOJC-SM-SC/PC-SC/PC</t>
        </is>
      </c>
      <c r="C691" s="2" t="inlineStr">
        <is>
          <t>908040223, 2M, B3, 3.0mm</t>
        </is>
      </c>
      <c r="D691" s="2" t="inlineStr">
        <is>
          <t>b3</t>
        </is>
      </c>
      <c r="E691" s="2" t="inlineStr">
        <is>
          <t>3.0mm</t>
        </is>
      </c>
      <c r="F691" s="2" t="n">
        <v>2</v>
      </c>
      <c r="G691" s="2" t="n">
        <v>2</v>
      </c>
      <c r="H691" s="2" t="inlineStr">
        <is>
          <t>SC/PC</t>
        </is>
      </c>
      <c r="I691" s="2" t="inlineStr">
        <is>
          <t>SC/PC</t>
        </is>
      </c>
      <c r="J691" s="2" t="n"/>
      <c r="K691" s="2" t="n">
        <v>30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>
        <f>SUM(J691:U691)*G691</f>
        <v/>
      </c>
      <c r="W691" s="2">
        <f>MAX(J691:U691)</f>
        <v/>
      </c>
      <c r="X691" s="2">
        <f>W691*G691</f>
        <v/>
      </c>
    </row>
    <row r="692">
      <c r="A692" s="2" t="inlineStr">
        <is>
          <t>A14-DB-N472</t>
        </is>
      </c>
      <c r="B692" s="3" t="inlineStr">
        <is>
          <t>DOJC-SM-SC/PC-SC/PC</t>
        </is>
      </c>
      <c r="C692" s="2" t="inlineStr">
        <is>
          <t>908040250, 30M, B3, 2.0mm</t>
        </is>
      </c>
      <c r="D692" s="2" t="inlineStr">
        <is>
          <t>b3</t>
        </is>
      </c>
      <c r="E692" s="2" t="inlineStr">
        <is>
          <t>2.0mm</t>
        </is>
      </c>
      <c r="F692" s="2" t="n">
        <v>2</v>
      </c>
      <c r="G692" s="2" t="n">
        <v>30</v>
      </c>
      <c r="H692" s="2" t="inlineStr">
        <is>
          <t>SC/PC</t>
        </is>
      </c>
      <c r="I692" s="2" t="inlineStr">
        <is>
          <t>SC/PC</t>
        </is>
      </c>
      <c r="J692" s="2" t="n"/>
      <c r="K692" s="2" t="n"/>
      <c r="L692" s="2" t="n">
        <v>10</v>
      </c>
      <c r="M692" s="2" t="n"/>
      <c r="N692" s="2" t="n">
        <v>35</v>
      </c>
      <c r="O692" s="2" t="n"/>
      <c r="P692" s="2" t="n">
        <v>5</v>
      </c>
      <c r="Q692" s="2" t="n">
        <v>1</v>
      </c>
      <c r="R692" s="2" t="n">
        <v>10</v>
      </c>
      <c r="S692" s="2" t="n">
        <v>10</v>
      </c>
      <c r="T692" s="2" t="n"/>
      <c r="U692" s="2" t="n">
        <v>1</v>
      </c>
      <c r="V692" s="2">
        <f>SUM(J692:U692)*G692</f>
        <v/>
      </c>
      <c r="W692" s="2">
        <f>MAX(J692:U692)</f>
        <v/>
      </c>
      <c r="X692" s="2">
        <f>W692*G692</f>
        <v/>
      </c>
    </row>
    <row r="693">
      <c r="A693" s="2" t="inlineStr">
        <is>
          <t>A14-DB-N474</t>
        </is>
      </c>
      <c r="B693" s="3" t="inlineStr">
        <is>
          <t>DOJC-SM-SC/PC-SC/PC</t>
        </is>
      </c>
      <c r="C693" s="2" t="inlineStr">
        <is>
          <t>908040221, 3M, B3, 3.0mm</t>
        </is>
      </c>
      <c r="D693" s="2" t="inlineStr">
        <is>
          <t>b3</t>
        </is>
      </c>
      <c r="E693" s="2" t="inlineStr">
        <is>
          <t>3.0mm</t>
        </is>
      </c>
      <c r="F693" s="2" t="n">
        <v>2</v>
      </c>
      <c r="G693" s="2" t="n">
        <v>3</v>
      </c>
      <c r="H693" s="2" t="inlineStr">
        <is>
          <t>SC/PC</t>
        </is>
      </c>
      <c r="I693" s="2" t="inlineStr">
        <is>
          <t>SC/PC</t>
        </is>
      </c>
      <c r="J693" s="2" t="n">
        <v>270</v>
      </c>
      <c r="K693" s="2" t="n"/>
      <c r="L693" s="2" t="n">
        <v>300</v>
      </c>
      <c r="M693" s="2" t="n">
        <v>100</v>
      </c>
      <c r="N693" s="2" t="n">
        <v>300</v>
      </c>
      <c r="O693" s="2" t="n"/>
      <c r="P693" s="2" t="n"/>
      <c r="Q693" s="2" t="n"/>
      <c r="R693" s="2" t="n">
        <v>46</v>
      </c>
      <c r="S693" s="2" t="n">
        <v>10</v>
      </c>
      <c r="T693" s="2" t="n">
        <v>50</v>
      </c>
      <c r="U693" s="2" t="n"/>
      <c r="V693" s="2">
        <f>SUM(J693:U693)*G693</f>
        <v/>
      </c>
      <c r="W693" s="2">
        <f>MAX(J693:U693)</f>
        <v/>
      </c>
      <c r="X693" s="2">
        <f>W693*G693</f>
        <v/>
      </c>
    </row>
    <row r="694">
      <c r="A694" s="2" t="inlineStr">
        <is>
          <t>A14-DB-N487</t>
        </is>
      </c>
      <c r="B694" s="3" t="inlineStr">
        <is>
          <t>DOJC-SM-SC/PC-SC/PC</t>
        </is>
      </c>
      <c r="C694" s="2" t="inlineStr">
        <is>
          <t>908040228, 8M, B3, 2.0mm</t>
        </is>
      </c>
      <c r="D694" s="2" t="inlineStr">
        <is>
          <t>b3</t>
        </is>
      </c>
      <c r="E694" s="2" t="inlineStr">
        <is>
          <t>2.0mm</t>
        </is>
      </c>
      <c r="F694" s="2" t="n">
        <v>2</v>
      </c>
      <c r="G694" s="2" t="n">
        <v>8</v>
      </c>
      <c r="H694" s="2" t="inlineStr">
        <is>
          <t>SC/PC</t>
        </is>
      </c>
      <c r="I694" s="2" t="inlineStr">
        <is>
          <t>SC/PC</t>
        </is>
      </c>
      <c r="J694" s="2" t="n">
        <v>20</v>
      </c>
      <c r="K694" s="2" t="n"/>
      <c r="L694" s="2" t="n"/>
      <c r="M694" s="2" t="n">
        <v>25</v>
      </c>
      <c r="N694" s="2" t="n"/>
      <c r="O694" s="2" t="n">
        <v>90</v>
      </c>
      <c r="P694" s="2" t="n">
        <v>10</v>
      </c>
      <c r="Q694" s="2" t="n"/>
      <c r="R694" s="2" t="n">
        <v>60</v>
      </c>
      <c r="S694" s="2" t="n"/>
      <c r="T694" s="2" t="n">
        <v>2</v>
      </c>
      <c r="U694" s="2" t="n"/>
      <c r="V694" s="2">
        <f>SUM(J694:U694)*G694</f>
        <v/>
      </c>
      <c r="W694" s="2">
        <f>MAX(J694:U694)</f>
        <v/>
      </c>
      <c r="X694" s="2">
        <f>W694*G694</f>
        <v/>
      </c>
    </row>
    <row r="695">
      <c r="A695" s="2" t="inlineStr">
        <is>
          <t>A14-DB-N488</t>
        </is>
      </c>
      <c r="B695" s="3" t="inlineStr">
        <is>
          <t>DOJC-SM-SC/PC-SC/PC</t>
        </is>
      </c>
      <c r="C695" s="2" t="inlineStr">
        <is>
          <t>11M, B3, 2.0mm</t>
        </is>
      </c>
      <c r="D695" s="2" t="inlineStr">
        <is>
          <t>b3</t>
        </is>
      </c>
      <c r="E695" s="2" t="inlineStr">
        <is>
          <t>2.0mm</t>
        </is>
      </c>
      <c r="F695" s="2" t="n">
        <v>2</v>
      </c>
      <c r="G695" s="2" t="n">
        <v>11</v>
      </c>
      <c r="H695" s="2" t="inlineStr">
        <is>
          <t>SC/PC</t>
        </is>
      </c>
      <c r="I695" s="2" t="inlineStr">
        <is>
          <t>SC/PC</t>
        </is>
      </c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>
        <v>2</v>
      </c>
      <c r="U695" s="2" t="n"/>
      <c r="V695" s="2">
        <f>SUM(J695:U695)*G695</f>
        <v/>
      </c>
      <c r="W695" s="2">
        <f>MAX(J695:U695)</f>
        <v/>
      </c>
      <c r="X695" s="2">
        <f>W695*G695</f>
        <v/>
      </c>
    </row>
    <row r="696">
      <c r="A696" s="2" t="inlineStr">
        <is>
          <t>A14-DB-N489</t>
        </is>
      </c>
      <c r="B696" s="3" t="inlineStr">
        <is>
          <t>DOJC-SM-SC/PC-SC/PC</t>
        </is>
      </c>
      <c r="C696" s="2" t="inlineStr">
        <is>
          <t>16M, B3, 2.0mm</t>
        </is>
      </c>
      <c r="D696" s="2" t="inlineStr">
        <is>
          <t>b3</t>
        </is>
      </c>
      <c r="E696" s="2" t="inlineStr">
        <is>
          <t>2.0mm</t>
        </is>
      </c>
      <c r="F696" s="2" t="n">
        <v>2</v>
      </c>
      <c r="G696" s="2" t="n">
        <v>16</v>
      </c>
      <c r="H696" s="2" t="inlineStr">
        <is>
          <t>SC/PC</t>
        </is>
      </c>
      <c r="I696" s="2" t="inlineStr">
        <is>
          <t>SC/PC</t>
        </is>
      </c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>
        <v>2</v>
      </c>
      <c r="U696" s="2" t="n"/>
      <c r="V696" s="2">
        <f>SUM(J696:U696)*G696</f>
        <v/>
      </c>
      <c r="W696" s="2">
        <f>MAX(J696:U696)</f>
        <v/>
      </c>
      <c r="X696" s="2">
        <f>W696*G696</f>
        <v/>
      </c>
    </row>
    <row r="697">
      <c r="A697" s="2" t="inlineStr">
        <is>
          <t>A14-DB-N490</t>
        </is>
      </c>
      <c r="B697" s="3" t="inlineStr">
        <is>
          <t>DOJC-SM-SC/PC-SC/PC</t>
        </is>
      </c>
      <c r="C697" s="2" t="inlineStr">
        <is>
          <t>21M, B3, 2.0mm</t>
        </is>
      </c>
      <c r="D697" s="2" t="inlineStr">
        <is>
          <t>b3</t>
        </is>
      </c>
      <c r="E697" s="2" t="inlineStr">
        <is>
          <t>2.0mm</t>
        </is>
      </c>
      <c r="F697" s="2" t="n">
        <v>2</v>
      </c>
      <c r="G697" s="2" t="n">
        <v>21</v>
      </c>
      <c r="H697" s="2" t="inlineStr">
        <is>
          <t>SC/PC</t>
        </is>
      </c>
      <c r="I697" s="2" t="inlineStr">
        <is>
          <t>SC/PC</t>
        </is>
      </c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>
        <v>2</v>
      </c>
      <c r="U697" s="2" t="n"/>
      <c r="V697" s="2">
        <f>SUM(J697:U697)*G697</f>
        <v/>
      </c>
      <c r="W697" s="2">
        <f>MAX(J697:U697)</f>
        <v/>
      </c>
      <c r="X697" s="2">
        <f>W697*G697</f>
        <v/>
      </c>
    </row>
    <row r="698">
      <c r="A698" s="2" t="inlineStr">
        <is>
          <t>A14-DB-N491</t>
        </is>
      </c>
      <c r="B698" s="3" t="inlineStr">
        <is>
          <t>DOJC-SM-SC/PC-SC/PC</t>
        </is>
      </c>
      <c r="C698" s="2" t="inlineStr">
        <is>
          <t>23M, B3, 2.0mm</t>
        </is>
      </c>
      <c r="D698" s="2" t="inlineStr">
        <is>
          <t>b3</t>
        </is>
      </c>
      <c r="E698" s="2" t="inlineStr">
        <is>
          <t>2.0mm</t>
        </is>
      </c>
      <c r="F698" s="2" t="n">
        <v>2</v>
      </c>
      <c r="G698" s="2" t="n">
        <v>23</v>
      </c>
      <c r="H698" s="2" t="inlineStr">
        <is>
          <t>SC/PC</t>
        </is>
      </c>
      <c r="I698" s="2" t="inlineStr">
        <is>
          <t>SC/PC</t>
        </is>
      </c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>
        <v>3</v>
      </c>
      <c r="U698" s="2" t="n"/>
      <c r="V698" s="2">
        <f>SUM(J698:U698)*G698</f>
        <v/>
      </c>
      <c r="W698" s="2">
        <f>MAX(J698:U698)</f>
        <v/>
      </c>
      <c r="X698" s="2">
        <f>W698*G698</f>
        <v/>
      </c>
    </row>
    <row r="699">
      <c r="A699" s="2" t="inlineStr">
        <is>
          <t>A14-DB-N492</t>
        </is>
      </c>
      <c r="B699" s="3" t="inlineStr">
        <is>
          <t>DOJC-SM-SC/PC-SC/PC</t>
        </is>
      </c>
      <c r="C699" s="2" t="inlineStr">
        <is>
          <t>27M, B3, 2.0mm</t>
        </is>
      </c>
      <c r="D699" s="2" t="inlineStr">
        <is>
          <t>b3</t>
        </is>
      </c>
      <c r="E699" s="2" t="inlineStr">
        <is>
          <t>2.0mm</t>
        </is>
      </c>
      <c r="F699" s="2" t="n">
        <v>2</v>
      </c>
      <c r="G699" s="2" t="n">
        <v>27</v>
      </c>
      <c r="H699" s="2" t="inlineStr">
        <is>
          <t>SC/PC</t>
        </is>
      </c>
      <c r="I699" s="2" t="inlineStr">
        <is>
          <t>SC/PC</t>
        </is>
      </c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>
        <v>1</v>
      </c>
      <c r="U699" s="2" t="n"/>
      <c r="V699" s="2">
        <f>SUM(J699:U699)*G699</f>
        <v/>
      </c>
      <c r="W699" s="2">
        <f>MAX(J699:U699)</f>
        <v/>
      </c>
      <c r="X699" s="2">
        <f>W699*G699</f>
        <v/>
      </c>
    </row>
    <row r="700">
      <c r="A700" s="2" t="inlineStr">
        <is>
          <t>A14-DB-N540</t>
        </is>
      </c>
      <c r="B700" s="3" t="inlineStr">
        <is>
          <t>DOJC-SM-LC/APC-LC/APC</t>
        </is>
      </c>
      <c r="C700" s="2" t="inlineStr">
        <is>
          <t>930003860, 15M, B3, 2.0mm</t>
        </is>
      </c>
      <c r="D700" s="2" t="inlineStr">
        <is>
          <t>b3</t>
        </is>
      </c>
      <c r="E700" s="2" t="inlineStr">
        <is>
          <t>2.0mm</t>
        </is>
      </c>
      <c r="F700" s="2" t="n">
        <v>2</v>
      </c>
      <c r="G700" s="2" t="n">
        <v>15</v>
      </c>
      <c r="H700" s="2" t="inlineStr">
        <is>
          <t>LC/APC</t>
        </is>
      </c>
      <c r="I700" s="2" t="inlineStr">
        <is>
          <t>LC/APC</t>
        </is>
      </c>
      <c r="J700" s="2" t="n"/>
      <c r="K700" s="2" t="n"/>
      <c r="L700" s="2" t="n"/>
      <c r="M700" s="2" t="n"/>
      <c r="N700" s="2" t="n"/>
      <c r="O700" s="2" t="n"/>
      <c r="P700" s="2" t="n"/>
      <c r="Q700" s="2" t="n">
        <v>30</v>
      </c>
      <c r="R700" s="2" t="n"/>
      <c r="S700" s="2" t="n">
        <v>15</v>
      </c>
      <c r="T700" s="2" t="n"/>
      <c r="U700" s="2" t="n"/>
      <c r="V700" s="2">
        <f>SUM(J700:U700)*G700</f>
        <v/>
      </c>
      <c r="W700" s="2">
        <f>MAX(J700:U700)</f>
        <v/>
      </c>
      <c r="X700" s="2">
        <f>W700*G700</f>
        <v/>
      </c>
    </row>
    <row r="701">
      <c r="A701" s="2" t="inlineStr">
        <is>
          <t>A14-DB-N541</t>
        </is>
      </c>
      <c r="B701" s="3" t="inlineStr">
        <is>
          <t>DOJC-SM-LC/APC-LC/APC</t>
        </is>
      </c>
      <c r="C701" s="2" t="inlineStr">
        <is>
          <t>930003861, 20M, B3, 2.0mm</t>
        </is>
      </c>
      <c r="D701" s="2" t="inlineStr">
        <is>
          <t>b3</t>
        </is>
      </c>
      <c r="E701" s="2" t="inlineStr">
        <is>
          <t>2.0mm</t>
        </is>
      </c>
      <c r="F701" s="2" t="n">
        <v>2</v>
      </c>
      <c r="G701" s="2" t="n">
        <v>20</v>
      </c>
      <c r="H701" s="2" t="inlineStr">
        <is>
          <t>LC/APC</t>
        </is>
      </c>
      <c r="I701" s="2" t="inlineStr">
        <is>
          <t>LC/APC</t>
        </is>
      </c>
      <c r="J701" s="2" t="n"/>
      <c r="K701" s="2" t="n"/>
      <c r="L701" s="2" t="n"/>
      <c r="M701" s="2" t="n"/>
      <c r="N701" s="2" t="n"/>
      <c r="O701" s="2" t="n"/>
      <c r="P701" s="2" t="n">
        <v>30</v>
      </c>
      <c r="Q701" s="2" t="n"/>
      <c r="R701" s="2" t="n"/>
      <c r="S701" s="2" t="n">
        <v>10</v>
      </c>
      <c r="T701" s="2" t="n"/>
      <c r="U701" s="2" t="n"/>
      <c r="V701" s="2">
        <f>SUM(J701:U701)*G701</f>
        <v/>
      </c>
      <c r="W701" s="2">
        <f>MAX(J701:U701)</f>
        <v/>
      </c>
      <c r="X701" s="2">
        <f>W701*G701</f>
        <v/>
      </c>
    </row>
    <row r="702">
      <c r="A702" s="2" t="inlineStr">
        <is>
          <t>A14-DB-N542</t>
        </is>
      </c>
      <c r="B702" s="3" t="inlineStr">
        <is>
          <t>DOJC-SM-LC/APC-LC/APC</t>
        </is>
      </c>
      <c r="C702" s="2" t="inlineStr">
        <is>
          <t>25M, B3, 2.0mm</t>
        </is>
      </c>
      <c r="D702" s="2" t="inlineStr">
        <is>
          <t>b3</t>
        </is>
      </c>
      <c r="E702" s="2" t="inlineStr">
        <is>
          <t>2.0mm</t>
        </is>
      </c>
      <c r="F702" s="2" t="n">
        <v>2</v>
      </c>
      <c r="G702" s="2" t="n">
        <v>25</v>
      </c>
      <c r="H702" s="2" t="inlineStr">
        <is>
          <t>LC/APC</t>
        </is>
      </c>
      <c r="I702" s="2" t="inlineStr">
        <is>
          <t>LC/APC</t>
        </is>
      </c>
      <c r="J702" s="2" t="n"/>
      <c r="K702" s="2" t="n"/>
      <c r="L702" s="2" t="n"/>
      <c r="M702" s="2" t="n"/>
      <c r="N702" s="2" t="n">
        <v>20</v>
      </c>
      <c r="O702" s="2" t="n"/>
      <c r="P702" s="2" t="n">
        <v>35</v>
      </c>
      <c r="Q702" s="2" t="n"/>
      <c r="R702" s="2" t="n"/>
      <c r="S702" s="2" t="n"/>
      <c r="T702" s="2" t="n"/>
      <c r="U702" s="2" t="n"/>
      <c r="V702" s="2">
        <f>SUM(J702:U702)*G702</f>
        <v/>
      </c>
      <c r="W702" s="2">
        <f>MAX(J702:U702)</f>
        <v/>
      </c>
      <c r="X702" s="2">
        <f>W702*G702</f>
        <v/>
      </c>
    </row>
    <row r="703">
      <c r="A703" s="2" t="inlineStr">
        <is>
          <t>A14-DB-N609</t>
        </is>
      </c>
      <c r="B703" s="3" t="inlineStr">
        <is>
          <t>DOJC-SM-LC/PC-LC/APC</t>
        </is>
      </c>
      <c r="C703" s="2" t="inlineStr">
        <is>
          <t>10M, B3, 2.0mm</t>
        </is>
      </c>
      <c r="D703" s="2" t="inlineStr">
        <is>
          <t>b3</t>
        </is>
      </c>
      <c r="E703" s="2" t="inlineStr">
        <is>
          <t>2.0mm</t>
        </is>
      </c>
      <c r="F703" s="2" t="n">
        <v>2</v>
      </c>
      <c r="G703" s="2" t="n">
        <v>10</v>
      </c>
      <c r="H703" s="2" t="inlineStr">
        <is>
          <t>LC/PC</t>
        </is>
      </c>
      <c r="I703" s="2" t="inlineStr">
        <is>
          <t>LC/APC</t>
        </is>
      </c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>
        <v>7</v>
      </c>
      <c r="S703" s="2" t="n"/>
      <c r="T703" s="2" t="n"/>
      <c r="U703" s="2" t="n"/>
      <c r="V703" s="2">
        <f>SUM(J703:U703)*G703</f>
        <v/>
      </c>
      <c r="W703" s="2">
        <f>MAX(J703:U703)</f>
        <v/>
      </c>
      <c r="X703" s="2">
        <f>W703*G703</f>
        <v/>
      </c>
    </row>
    <row r="704">
      <c r="A704" s="2" t="inlineStr">
        <is>
          <t>A14-DB-N610</t>
        </is>
      </c>
      <c r="B704" s="3" t="inlineStr">
        <is>
          <t>DOJC-SM-LC/PC-LC/APC</t>
        </is>
      </c>
      <c r="C704" s="2" t="inlineStr">
        <is>
          <t>15M, B3, 2.0mm</t>
        </is>
      </c>
      <c r="D704" s="2" t="inlineStr">
        <is>
          <t>b3</t>
        </is>
      </c>
      <c r="E704" s="2" t="inlineStr">
        <is>
          <t>2.0mm</t>
        </is>
      </c>
      <c r="F704" s="2" t="n">
        <v>2</v>
      </c>
      <c r="G704" s="2" t="n">
        <v>15</v>
      </c>
      <c r="H704" s="2" t="inlineStr">
        <is>
          <t>LC/PC</t>
        </is>
      </c>
      <c r="I704" s="2" t="inlineStr">
        <is>
          <t>LC/APC</t>
        </is>
      </c>
      <c r="J704" s="2" t="n"/>
      <c r="K704" s="2" t="n"/>
      <c r="L704" s="2" t="n"/>
      <c r="M704" s="2" t="n"/>
      <c r="N704" s="2" t="n">
        <v>10</v>
      </c>
      <c r="O704" s="2" t="n"/>
      <c r="P704" s="2" t="n"/>
      <c r="Q704" s="2" t="n"/>
      <c r="R704" s="2" t="n">
        <v>5</v>
      </c>
      <c r="S704" s="2" t="n"/>
      <c r="T704" s="2" t="n"/>
      <c r="U704" s="2" t="n"/>
      <c r="V704" s="2">
        <f>SUM(J704:U704)*G704</f>
        <v/>
      </c>
      <c r="W704" s="2">
        <f>MAX(J704:U704)</f>
        <v/>
      </c>
      <c r="X704" s="2">
        <f>W704*G704</f>
        <v/>
      </c>
    </row>
    <row r="705">
      <c r="A705" s="2" t="inlineStr">
        <is>
          <t>A14-DB-N611</t>
        </is>
      </c>
      <c r="B705" s="3" t="inlineStr">
        <is>
          <t>DOJC-SM-LC/PC-LC/APC</t>
        </is>
      </c>
      <c r="C705" s="2" t="inlineStr">
        <is>
          <t>20M, B3, 2.0mm</t>
        </is>
      </c>
      <c r="D705" s="2" t="inlineStr">
        <is>
          <t>b3</t>
        </is>
      </c>
      <c r="E705" s="2" t="inlineStr">
        <is>
          <t>2.0mm</t>
        </is>
      </c>
      <c r="F705" s="2" t="n">
        <v>2</v>
      </c>
      <c r="G705" s="2" t="n">
        <v>20</v>
      </c>
      <c r="H705" s="2" t="inlineStr">
        <is>
          <t>LC/PC</t>
        </is>
      </c>
      <c r="I705" s="2" t="inlineStr">
        <is>
          <t>LC/APC</t>
        </is>
      </c>
      <c r="J705" s="2" t="n"/>
      <c r="K705" s="2" t="n"/>
      <c r="L705" s="2" t="n"/>
      <c r="M705" s="2" t="n"/>
      <c r="N705" s="2" t="n">
        <v>10</v>
      </c>
      <c r="O705" s="2" t="n"/>
      <c r="P705" s="2" t="n">
        <v>55</v>
      </c>
      <c r="Q705" s="2" t="n"/>
      <c r="R705" s="2" t="n">
        <v>10</v>
      </c>
      <c r="S705" s="2" t="n"/>
      <c r="T705" s="2" t="n"/>
      <c r="U705" s="2" t="n"/>
      <c r="V705" s="2">
        <f>SUM(J705:U705)*G705</f>
        <v/>
      </c>
      <c r="W705" s="2">
        <f>MAX(J705:U705)</f>
        <v/>
      </c>
      <c r="X705" s="2">
        <f>W705*G705</f>
        <v/>
      </c>
    </row>
    <row r="706">
      <c r="A706" s="2" t="inlineStr">
        <is>
          <t>A14-DB-N612</t>
        </is>
      </c>
      <c r="B706" s="3" t="inlineStr">
        <is>
          <t>DOJC-SM-LC/PC-LC/APC</t>
        </is>
      </c>
      <c r="C706" s="2" t="inlineStr">
        <is>
          <t>25M, B3, 2.0mm</t>
        </is>
      </c>
      <c r="D706" s="2" t="inlineStr">
        <is>
          <t>b3</t>
        </is>
      </c>
      <c r="E706" s="2" t="inlineStr">
        <is>
          <t>2.0mm</t>
        </is>
      </c>
      <c r="F706" s="2" t="n">
        <v>2</v>
      </c>
      <c r="G706" s="2" t="n">
        <v>25</v>
      </c>
      <c r="H706" s="2" t="inlineStr">
        <is>
          <t>LC/PC</t>
        </is>
      </c>
      <c r="I706" s="2" t="inlineStr">
        <is>
          <t>LC/APC</t>
        </is>
      </c>
      <c r="J706" s="2" t="n"/>
      <c r="K706" s="2" t="n"/>
      <c r="L706" s="2" t="n"/>
      <c r="M706" s="2" t="n"/>
      <c r="N706" s="2" t="n">
        <v>10</v>
      </c>
      <c r="O706" s="2" t="n"/>
      <c r="P706" s="2" t="n">
        <v>5</v>
      </c>
      <c r="Q706" s="2" t="n"/>
      <c r="R706" s="2" t="n"/>
      <c r="S706" s="2" t="n"/>
      <c r="T706" s="2" t="n"/>
      <c r="U706" s="2" t="n"/>
      <c r="V706" s="2">
        <f>SUM(J706:U706)*G706</f>
        <v/>
      </c>
      <c r="W706" s="2">
        <f>MAX(J706:U706)</f>
        <v/>
      </c>
      <c r="X706" s="2">
        <f>W706*G706</f>
        <v/>
      </c>
    </row>
    <row r="707">
      <c r="A707" s="2" t="inlineStr">
        <is>
          <t>A14-DB-N613</t>
        </is>
      </c>
      <c r="B707" s="3" t="inlineStr">
        <is>
          <t>DOJC-SM-LC/PC-LC/APC</t>
        </is>
      </c>
      <c r="C707" s="2" t="inlineStr">
        <is>
          <t>30M, B3, 2.0mm</t>
        </is>
      </c>
      <c r="D707" s="2" t="inlineStr">
        <is>
          <t>b3</t>
        </is>
      </c>
      <c r="E707" s="2" t="inlineStr">
        <is>
          <t>2.0mm</t>
        </is>
      </c>
      <c r="F707" s="2" t="n">
        <v>2</v>
      </c>
      <c r="G707" s="2" t="n">
        <v>30</v>
      </c>
      <c r="H707" s="2" t="inlineStr">
        <is>
          <t>LC/PC</t>
        </is>
      </c>
      <c r="I707" s="2" t="inlineStr">
        <is>
          <t>LC/APC</t>
        </is>
      </c>
      <c r="J707" s="2" t="n"/>
      <c r="K707" s="2" t="n"/>
      <c r="L707" s="2" t="n">
        <v>10</v>
      </c>
      <c r="M707" s="2" t="n"/>
      <c r="N707" s="2" t="n"/>
      <c r="O707" s="2" t="n"/>
      <c r="P707" s="2" t="n">
        <v>20</v>
      </c>
      <c r="Q707" s="2" t="n"/>
      <c r="R707" s="2" t="n"/>
      <c r="S707" s="2" t="n"/>
      <c r="T707" s="2" t="n"/>
      <c r="U707" s="2" t="n"/>
      <c r="V707" s="2">
        <f>SUM(J707:U707)*G707</f>
        <v/>
      </c>
      <c r="W707" s="2">
        <f>MAX(J707:U707)</f>
        <v/>
      </c>
      <c r="X707" s="2">
        <f>W707*G707</f>
        <v/>
      </c>
    </row>
    <row r="708">
      <c r="A708" s="2" t="inlineStr">
        <is>
          <t>A14-DB-N676</t>
        </is>
      </c>
      <c r="B708" s="3" t="inlineStr">
        <is>
          <t>DOJC-SM-LC/PC-FC/PC</t>
        </is>
      </c>
      <c r="C708" s="2" t="inlineStr">
        <is>
          <t>45M, B3, 2.0mm</t>
        </is>
      </c>
      <c r="D708" s="2" t="inlineStr">
        <is>
          <t>b3</t>
        </is>
      </c>
      <c r="E708" s="2" t="inlineStr">
        <is>
          <t>2.0mm</t>
        </is>
      </c>
      <c r="F708" s="2" t="n">
        <v>2</v>
      </c>
      <c r="G708" s="2" t="n">
        <v>45</v>
      </c>
      <c r="H708" s="2" t="inlineStr">
        <is>
          <t>LC/PC</t>
        </is>
      </c>
      <c r="I708" s="2" t="inlineStr">
        <is>
          <t>FC/PC</t>
        </is>
      </c>
      <c r="J708" s="2" t="n">
        <v>4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>
        <f>SUM(J708:U708)*G708</f>
        <v/>
      </c>
      <c r="W708" s="2">
        <f>MAX(J708:U708)</f>
        <v/>
      </c>
      <c r="X708" s="2">
        <f>W708*G708</f>
        <v/>
      </c>
    </row>
    <row r="709">
      <c r="A709" s="2" t="inlineStr">
        <is>
          <t>A14-DB-N679</t>
        </is>
      </c>
      <c r="B709" s="3" t="inlineStr">
        <is>
          <t>SOJC-SM-SC/PC-SC/PC</t>
        </is>
      </c>
      <c r="C709" s="2" t="inlineStr">
        <is>
          <t>0.3M, B3, 3.0mm</t>
        </is>
      </c>
      <c r="D709" s="2" t="inlineStr">
        <is>
          <t>b3</t>
        </is>
      </c>
      <c r="E709" s="2" t="inlineStr">
        <is>
          <t>3.0mm</t>
        </is>
      </c>
      <c r="F709" s="2" t="n">
        <v>1</v>
      </c>
      <c r="G709" s="2" t="n">
        <v>0.3</v>
      </c>
      <c r="H709" s="2" t="inlineStr">
        <is>
          <t>SC/PC</t>
        </is>
      </c>
      <c r="I709" s="2" t="inlineStr">
        <is>
          <t>SC/PC</t>
        </is>
      </c>
      <c r="J709" s="2" t="n"/>
      <c r="K709" s="2" t="n"/>
      <c r="L709" s="2" t="n"/>
      <c r="M709" s="2" t="n"/>
      <c r="N709" s="2" t="n"/>
      <c r="O709" s="2" t="n"/>
      <c r="P709" s="2" t="n">
        <v>30</v>
      </c>
      <c r="Q709" s="2" t="n"/>
      <c r="R709" s="2" t="n"/>
      <c r="S709" s="2" t="n"/>
      <c r="T709" s="2" t="n"/>
      <c r="U709" s="2" t="n"/>
      <c r="V709" s="2">
        <f>SUM(J709:U709)*G709</f>
        <v/>
      </c>
      <c r="W709" s="2">
        <f>MAX(J709:U709)</f>
        <v/>
      </c>
      <c r="X709" s="2">
        <f>W709*G709</f>
        <v/>
      </c>
    </row>
    <row r="710">
      <c r="A710" s="2" t="inlineStr">
        <is>
          <t>A14-DB-N906</t>
        </is>
      </c>
      <c r="B710" s="3" t="inlineStr">
        <is>
          <t>DOJC-SM-LC/PC-SC/PC</t>
        </is>
      </c>
      <c r="C710" s="2" t="inlineStr">
        <is>
          <t>28M, B3, 2.0mm</t>
        </is>
      </c>
      <c r="D710" s="2" t="inlineStr">
        <is>
          <t>b3</t>
        </is>
      </c>
      <c r="E710" s="2" t="inlineStr">
        <is>
          <t>2.0mm</t>
        </is>
      </c>
      <c r="F710" s="2" t="n">
        <v>2</v>
      </c>
      <c r="G710" s="2" t="n">
        <v>28</v>
      </c>
      <c r="H710" s="2" t="inlineStr">
        <is>
          <t>LC/PC</t>
        </is>
      </c>
      <c r="I710" s="2" t="inlineStr">
        <is>
          <t>SC/PC</t>
        </is>
      </c>
      <c r="J710" s="2" t="n"/>
      <c r="K710" s="2" t="n"/>
      <c r="L710" s="2" t="n"/>
      <c r="M710" s="2" t="n"/>
      <c r="N710" s="2" t="n"/>
      <c r="O710" s="2" t="n">
        <v>2</v>
      </c>
      <c r="P710" s="2" t="n"/>
      <c r="Q710" s="2" t="n"/>
      <c r="R710" s="2" t="n"/>
      <c r="S710" s="2" t="n"/>
      <c r="T710" s="2" t="n"/>
      <c r="U710" s="2" t="n"/>
      <c r="V710" s="2">
        <f>SUM(J710:U710)*G710</f>
        <v/>
      </c>
      <c r="W710" s="2">
        <f>MAX(J710:U710)</f>
        <v/>
      </c>
      <c r="X710" s="2">
        <f>W710*G710</f>
        <v/>
      </c>
    </row>
    <row r="711">
      <c r="A711" s="2" t="inlineStr">
        <is>
          <t>A14-DB-N907</t>
        </is>
      </c>
      <c r="B711" s="3" t="inlineStr">
        <is>
          <t>DOJC-SM-LC/PC-SC/PC</t>
        </is>
      </c>
      <c r="C711" s="2" t="inlineStr">
        <is>
          <t>23M, B3, 2.0mm</t>
        </is>
      </c>
      <c r="D711" s="2" t="inlineStr">
        <is>
          <t>b3</t>
        </is>
      </c>
      <c r="E711" s="2" t="inlineStr">
        <is>
          <t>2.0mm</t>
        </is>
      </c>
      <c r="F711" s="2" t="n">
        <v>2</v>
      </c>
      <c r="G711" s="2" t="n">
        <v>23</v>
      </c>
      <c r="H711" s="2" t="inlineStr">
        <is>
          <t>LC/PC</t>
        </is>
      </c>
      <c r="I711" s="2" t="inlineStr">
        <is>
          <t>SC/PC</t>
        </is>
      </c>
      <c r="J711" s="2" t="n"/>
      <c r="K711" s="2" t="n"/>
      <c r="L711" s="2" t="n"/>
      <c r="M711" s="2" t="n"/>
      <c r="N711" s="2" t="n"/>
      <c r="O711" s="2" t="n">
        <v>17</v>
      </c>
      <c r="P711" s="2" t="n"/>
      <c r="Q711" s="2" t="n"/>
      <c r="R711" s="2" t="n"/>
      <c r="S711" s="2" t="n"/>
      <c r="T711" s="2" t="n"/>
      <c r="U711" s="2" t="n"/>
      <c r="V711" s="2">
        <f>SUM(J711:U711)*G711</f>
        <v/>
      </c>
      <c r="W711" s="2">
        <f>MAX(J711:U711)</f>
        <v/>
      </c>
      <c r="X711" s="2">
        <f>W711*G711</f>
        <v/>
      </c>
    </row>
    <row r="712">
      <c r="A712" s="2" t="inlineStr">
        <is>
          <t>A14-DB-N908</t>
        </is>
      </c>
      <c r="B712" s="3" t="inlineStr">
        <is>
          <t>DOJC-SM-LC/PC-FC/PC</t>
        </is>
      </c>
      <c r="C712" s="2" t="inlineStr">
        <is>
          <t>70M, B3, 2.0mm</t>
        </is>
      </c>
      <c r="D712" s="2" t="inlineStr">
        <is>
          <t>b3</t>
        </is>
      </c>
      <c r="E712" s="2" t="inlineStr">
        <is>
          <t>2.0mm</t>
        </is>
      </c>
      <c r="F712" s="2" t="n">
        <v>2</v>
      </c>
      <c r="G712" s="2" t="n">
        <v>70</v>
      </c>
      <c r="H712" s="2" t="inlineStr">
        <is>
          <t>LC/PC</t>
        </is>
      </c>
      <c r="I712" s="2" t="inlineStr">
        <is>
          <t>FC/PC</t>
        </is>
      </c>
      <c r="J712" s="2" t="n"/>
      <c r="K712" s="2" t="n"/>
      <c r="L712" s="2" t="n"/>
      <c r="M712" s="2" t="n"/>
      <c r="N712" s="2" t="n"/>
      <c r="O712" s="2" t="n">
        <v>2</v>
      </c>
      <c r="P712" s="2" t="n"/>
      <c r="Q712" s="2" t="n"/>
      <c r="R712" s="2" t="n"/>
      <c r="S712" s="2" t="n"/>
      <c r="T712" s="2" t="n"/>
      <c r="U712" s="2" t="n"/>
      <c r="V712" s="2">
        <f>SUM(J712:U712)*G712</f>
        <v/>
      </c>
      <c r="W712" s="2">
        <f>MAX(J712:U712)</f>
        <v/>
      </c>
      <c r="X712" s="2">
        <f>W712*G712</f>
        <v/>
      </c>
    </row>
    <row r="713">
      <c r="A713" s="2" t="inlineStr">
        <is>
          <t>A14-DB-N909</t>
        </is>
      </c>
      <c r="B713" s="3" t="inlineStr">
        <is>
          <t>DOJC-SM-SC/PC-FC/APC</t>
        </is>
      </c>
      <c r="C713" s="2" t="inlineStr">
        <is>
          <t>75M, B3, 2.0mm</t>
        </is>
      </c>
      <c r="D713" s="2" t="inlineStr">
        <is>
          <t>b3</t>
        </is>
      </c>
      <c r="E713" s="2" t="inlineStr">
        <is>
          <t>2.0mm</t>
        </is>
      </c>
      <c r="F713" s="2" t="n">
        <v>2</v>
      </c>
      <c r="G713" s="2" t="n">
        <v>75</v>
      </c>
      <c r="H713" s="2" t="inlineStr">
        <is>
          <t>SC/PC</t>
        </is>
      </c>
      <c r="I713" s="2" t="inlineStr">
        <is>
          <t>FC/APC</t>
        </is>
      </c>
      <c r="J713" s="2" t="n"/>
      <c r="K713" s="2" t="n"/>
      <c r="L713" s="2" t="n"/>
      <c r="M713" s="2" t="n"/>
      <c r="N713" s="2" t="n"/>
      <c r="O713" s="2" t="n">
        <v>12</v>
      </c>
      <c r="P713" s="2" t="n"/>
      <c r="Q713" s="2" t="n"/>
      <c r="R713" s="2" t="n"/>
      <c r="S713" s="2" t="n"/>
      <c r="T713" s="2" t="n"/>
      <c r="U713" s="2" t="n"/>
      <c r="V713" s="2">
        <f>SUM(J713:U713)*G713</f>
        <v/>
      </c>
      <c r="W713" s="2">
        <f>MAX(J713:U713)</f>
        <v/>
      </c>
      <c r="X713" s="2">
        <f>W713*G713</f>
        <v/>
      </c>
    </row>
    <row r="714">
      <c r="A714" s="2" t="inlineStr">
        <is>
          <t>A14-DB-NA55</t>
        </is>
      </c>
      <c r="B714" s="3" t="inlineStr">
        <is>
          <t>DOJC-SM-LC/APC-FC/PC</t>
        </is>
      </c>
      <c r="C714" s="2" t="inlineStr">
        <is>
          <t>20M, B3, 2.0mm</t>
        </is>
      </c>
      <c r="D714" s="2" t="inlineStr">
        <is>
          <t>b3</t>
        </is>
      </c>
      <c r="E714" s="2" t="inlineStr">
        <is>
          <t>2.0mm</t>
        </is>
      </c>
      <c r="F714" s="2" t="n">
        <v>2</v>
      </c>
      <c r="G714" s="2" t="n">
        <v>20</v>
      </c>
      <c r="H714" s="2" t="inlineStr">
        <is>
          <t>LC/APC</t>
        </is>
      </c>
      <c r="I714" s="2" t="inlineStr">
        <is>
          <t>FC/PC</t>
        </is>
      </c>
      <c r="J714" s="2" t="n"/>
      <c r="K714" s="2" t="n"/>
      <c r="L714" s="2" t="n"/>
      <c r="M714" s="2" t="n"/>
      <c r="N714" s="2" t="n"/>
      <c r="O714" s="2" t="n"/>
      <c r="P714" s="2" t="n">
        <v>20</v>
      </c>
      <c r="Q714" s="2" t="n"/>
      <c r="R714" s="2" t="n"/>
      <c r="S714" s="2" t="n"/>
      <c r="T714" s="2" t="n"/>
      <c r="U714" s="2" t="n"/>
      <c r="V714" s="2">
        <f>SUM(J714:U714)*G714</f>
        <v/>
      </c>
      <c r="W714" s="2">
        <f>MAX(J714:U714)</f>
        <v/>
      </c>
      <c r="X714" s="2">
        <f>W714*G714</f>
        <v/>
      </c>
    </row>
    <row r="715">
      <c r="A715" s="2" t="inlineStr">
        <is>
          <t>A14-DB-NA56</t>
        </is>
      </c>
      <c r="B715" s="3" t="inlineStr">
        <is>
          <t>DOJC-SM-LC/APC-FC/PC</t>
        </is>
      </c>
      <c r="C715" s="2" t="inlineStr">
        <is>
          <t>15M, B3, 2.0mm</t>
        </is>
      </c>
      <c r="D715" s="2" t="inlineStr">
        <is>
          <t>b3</t>
        </is>
      </c>
      <c r="E715" s="2" t="inlineStr">
        <is>
          <t>2.0mm</t>
        </is>
      </c>
      <c r="F715" s="2" t="n">
        <v>2</v>
      </c>
      <c r="G715" s="2" t="n">
        <v>15</v>
      </c>
      <c r="H715" s="2" t="inlineStr">
        <is>
          <t>LC/APC</t>
        </is>
      </c>
      <c r="I715" s="2" t="inlineStr">
        <is>
          <t>FC/PC</t>
        </is>
      </c>
      <c r="J715" s="2" t="n">
        <v>5</v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>
        <f>SUM(J715:U715)*G715</f>
        <v/>
      </c>
      <c r="W715" s="2">
        <f>MAX(J715:U715)</f>
        <v/>
      </c>
      <c r="X715" s="2">
        <f>W715*G715</f>
        <v/>
      </c>
    </row>
    <row r="716">
      <c r="A716" s="2" t="inlineStr">
        <is>
          <t>A14-DB-NAN9</t>
        </is>
      </c>
      <c r="B716" s="3" t="inlineStr">
        <is>
          <t>DOJC-SM-LC/APC-FC/APC</t>
        </is>
      </c>
      <c r="C716" s="2" t="inlineStr">
        <is>
          <t>20M, B3, 2.0mm</t>
        </is>
      </c>
      <c r="D716" s="2" t="inlineStr">
        <is>
          <t>b3</t>
        </is>
      </c>
      <c r="E716" s="2" t="inlineStr">
        <is>
          <t>2.0mm</t>
        </is>
      </c>
      <c r="F716" s="2" t="n">
        <v>2</v>
      </c>
      <c r="G716" s="2" t="n">
        <v>20</v>
      </c>
      <c r="H716" s="2" t="inlineStr">
        <is>
          <t>LC/APC</t>
        </is>
      </c>
      <c r="I716" s="2" t="inlineStr">
        <is>
          <t>FC/APC</t>
        </is>
      </c>
      <c r="J716" s="2" t="n"/>
      <c r="K716" s="2" t="n"/>
      <c r="L716" s="2" t="n"/>
      <c r="M716" s="2" t="n"/>
      <c r="N716" s="2" t="n">
        <v>20</v>
      </c>
      <c r="O716" s="2" t="n"/>
      <c r="P716" s="2" t="n">
        <v>20</v>
      </c>
      <c r="Q716" s="2" t="n">
        <v>5</v>
      </c>
      <c r="R716" s="2" t="n"/>
      <c r="S716" s="2" t="n"/>
      <c r="T716" s="2" t="n"/>
      <c r="U716" s="2" t="n"/>
      <c r="V716" s="2">
        <f>SUM(J716:U716)*G716</f>
        <v/>
      </c>
      <c r="W716" s="2">
        <f>MAX(J716:U716)</f>
        <v/>
      </c>
      <c r="X716" s="2">
        <f>W716*G716</f>
        <v/>
      </c>
    </row>
    <row r="717">
      <c r="A717" s="2" t="inlineStr">
        <is>
          <t>A14-DB-ND33</t>
        </is>
      </c>
      <c r="B717" s="3" t="inlineStr">
        <is>
          <t>DOJC-SM-LC/PC-LC/APC</t>
        </is>
      </c>
      <c r="C717" s="2" t="inlineStr">
        <is>
          <t>2M, B3, 2.0mm</t>
        </is>
      </c>
      <c r="D717" s="2" t="inlineStr">
        <is>
          <t>b3</t>
        </is>
      </c>
      <c r="E717" s="2" t="inlineStr">
        <is>
          <t>2.0mm</t>
        </is>
      </c>
      <c r="F717" s="2" t="n">
        <v>2</v>
      </c>
      <c r="G717" s="2" t="n">
        <v>2</v>
      </c>
      <c r="H717" s="2" t="inlineStr">
        <is>
          <t>LC/PC</t>
        </is>
      </c>
      <c r="I717" s="2" t="inlineStr">
        <is>
          <t>LC/APC</t>
        </is>
      </c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>
        <v>5</v>
      </c>
      <c r="S717" s="2" t="n"/>
      <c r="T717" s="2" t="n"/>
      <c r="U717" s="2" t="n"/>
      <c r="V717" s="2">
        <f>SUM(J717:U717)*G717</f>
        <v/>
      </c>
      <c r="W717" s="2">
        <f>MAX(J717:U717)</f>
        <v/>
      </c>
      <c r="X717" s="2">
        <f>W717*G717</f>
        <v/>
      </c>
    </row>
    <row r="718">
      <c r="A718" s="2" t="inlineStr">
        <is>
          <t>A14-M-LP/LP-B-N-001</t>
        </is>
      </c>
      <c r="B718" s="3" t="inlineStr">
        <is>
          <t>MOJC-SM-12C-LC/PC-LC/PC</t>
        </is>
      </c>
      <c r="C718" s="2" t="inlineStr">
        <is>
          <t>920001090, 3M, B3</t>
        </is>
      </c>
      <c r="D718" s="2" t="inlineStr">
        <is>
          <t>b3-12c</t>
        </is>
      </c>
      <c r="E718" s="2" t="inlineStr">
        <is>
          <t>2.0mm</t>
        </is>
      </c>
      <c r="F718" s="2" t="n">
        <v>12</v>
      </c>
      <c r="G718" s="2" t="n">
        <v>3</v>
      </c>
      <c r="H718" s="2" t="inlineStr">
        <is>
          <t>LC/PC</t>
        </is>
      </c>
      <c r="I718" s="2" t="inlineStr">
        <is>
          <t>LC/PC</t>
        </is>
      </c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>
        <v>5</v>
      </c>
      <c r="T718" s="2" t="n"/>
      <c r="U718" s="2" t="n"/>
      <c r="V718" s="2">
        <f>SUM(J718:U718)*G718</f>
        <v/>
      </c>
      <c r="W718" s="2">
        <f>MAX(J718:U718)</f>
        <v/>
      </c>
      <c r="X718" s="2">
        <f>W718*G718</f>
        <v/>
      </c>
    </row>
    <row r="719">
      <c r="A719" s="2" t="inlineStr">
        <is>
          <t>A14-M-LP/LP-B-N-002</t>
        </is>
      </c>
      <c r="B719" s="3" t="inlineStr">
        <is>
          <t>MOJC-SM-12C-LC/PC-LC/PC</t>
        </is>
      </c>
      <c r="C719" s="2" t="inlineStr">
        <is>
          <t>930003871, 10M, B3</t>
        </is>
      </c>
      <c r="D719" s="2" t="inlineStr">
        <is>
          <t>b3-12c</t>
        </is>
      </c>
      <c r="E719" s="2" t="inlineStr">
        <is>
          <t>2.0mm</t>
        </is>
      </c>
      <c r="F719" s="2" t="n">
        <v>12</v>
      </c>
      <c r="G719" s="2" t="n">
        <v>10</v>
      </c>
      <c r="H719" s="2" t="inlineStr">
        <is>
          <t>LC/PC</t>
        </is>
      </c>
      <c r="I719" s="2" t="inlineStr">
        <is>
          <t>LC/PC</t>
        </is>
      </c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>
        <v>6</v>
      </c>
      <c r="S719" s="2" t="n">
        <v>24</v>
      </c>
      <c r="T719" s="2" t="n"/>
      <c r="U719" s="2" t="n"/>
      <c r="V719" s="2">
        <f>SUM(J719:U719)*G719</f>
        <v/>
      </c>
      <c r="W719" s="2">
        <f>MAX(J719:U719)</f>
        <v/>
      </c>
      <c r="X719" s="2">
        <f>W719*G719</f>
        <v/>
      </c>
    </row>
    <row r="720">
      <c r="A720" s="2" t="inlineStr">
        <is>
          <t>A14-M-LP/LP-B-N-003</t>
        </is>
      </c>
      <c r="B720" s="3" t="inlineStr">
        <is>
          <t>MOJC-SM-12C-LC/PC-LC/PC</t>
        </is>
      </c>
      <c r="C720" s="2" t="inlineStr">
        <is>
          <t>930003872, 20M, B3</t>
        </is>
      </c>
      <c r="D720" s="2" t="inlineStr">
        <is>
          <t>b3-12c</t>
        </is>
      </c>
      <c r="E720" s="2" t="inlineStr">
        <is>
          <t>2.0mm</t>
        </is>
      </c>
      <c r="F720" s="2" t="n">
        <v>12</v>
      </c>
      <c r="G720" s="2" t="n">
        <v>20</v>
      </c>
      <c r="H720" s="2" t="inlineStr">
        <is>
          <t>LC/PC</t>
        </is>
      </c>
      <c r="I720" s="2" t="inlineStr">
        <is>
          <t>LC/PC</t>
        </is>
      </c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>
        <v>6</v>
      </c>
      <c r="S720" s="2" t="n"/>
      <c r="T720" s="2" t="n"/>
      <c r="U720" s="2" t="n"/>
      <c r="V720" s="2">
        <f>SUM(J720:U720)*G720</f>
        <v/>
      </c>
      <c r="W720" s="2">
        <f>MAX(J720:U720)</f>
        <v/>
      </c>
      <c r="X720" s="2">
        <f>W720*G720</f>
        <v/>
      </c>
    </row>
    <row r="721">
      <c r="A721" s="2" t="inlineStr">
        <is>
          <t>A14-M-SA/LP-B-N-001</t>
        </is>
      </c>
      <c r="B721" s="3" t="inlineStr">
        <is>
          <t>MOJC-SM-12C-SC/APC-LC/PC</t>
        </is>
      </c>
      <c r="C721" s="2" t="inlineStr">
        <is>
          <t>920000552, 10M, B3</t>
        </is>
      </c>
      <c r="D721" s="2" t="inlineStr">
        <is>
          <t>b3-12c</t>
        </is>
      </c>
      <c r="E721" s="2" t="inlineStr">
        <is>
          <t>2.0mm</t>
        </is>
      </c>
      <c r="F721" s="2" t="n">
        <v>12</v>
      </c>
      <c r="G721" s="2" t="n">
        <v>10</v>
      </c>
      <c r="H721" s="2" t="inlineStr">
        <is>
          <t>SC/APC</t>
        </is>
      </c>
      <c r="I721" s="2" t="inlineStr">
        <is>
          <t>LC/PC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>
        <v>1</v>
      </c>
      <c r="V721" s="2">
        <f>SUM(J721:U721)*G721</f>
        <v/>
      </c>
      <c r="W721" s="2">
        <f>MAX(J721:U721)</f>
        <v/>
      </c>
      <c r="X721" s="2">
        <f>W721*G721</f>
        <v/>
      </c>
    </row>
    <row r="722">
      <c r="A722" s="2" t="inlineStr">
        <is>
          <t>A14-M-SP/SP-B-N-003</t>
        </is>
      </c>
      <c r="B722" s="3" t="inlineStr">
        <is>
          <t>MOJC-SM-12C-SC/PC-SC/PC</t>
        </is>
      </c>
      <c r="C722" s="2" t="inlineStr">
        <is>
          <t>908040793, 3M, B3</t>
        </is>
      </c>
      <c r="D722" s="2" t="inlineStr">
        <is>
          <t>b3-12c</t>
        </is>
      </c>
      <c r="E722" s="2" t="inlineStr">
        <is>
          <t>2.0mm</t>
        </is>
      </c>
      <c r="F722" s="2" t="n">
        <v>12</v>
      </c>
      <c r="G722" s="2" t="n">
        <v>3</v>
      </c>
      <c r="H722" s="2" t="inlineStr">
        <is>
          <t>SC/PC</t>
        </is>
      </c>
      <c r="I722" s="2" t="inlineStr">
        <is>
          <t>SC/PC</t>
        </is>
      </c>
      <c r="J722" s="2" t="n"/>
      <c r="K722" s="2" t="n"/>
      <c r="L722" s="2" t="n">
        <v>29</v>
      </c>
      <c r="M722" s="2" t="n">
        <v>105</v>
      </c>
      <c r="N722" s="2" t="n"/>
      <c r="O722" s="2" t="n">
        <v>79</v>
      </c>
      <c r="P722" s="2" t="n">
        <v>40</v>
      </c>
      <c r="Q722" s="2" t="n"/>
      <c r="R722" s="2" t="n">
        <v>4</v>
      </c>
      <c r="S722" s="2" t="n">
        <v>10</v>
      </c>
      <c r="T722" s="2" t="n"/>
      <c r="U722" s="2" t="n"/>
      <c r="V722" s="2">
        <f>SUM(J722:U722)*G722</f>
        <v/>
      </c>
      <c r="W722" s="2">
        <f>MAX(J722:U722)</f>
        <v/>
      </c>
      <c r="X722" s="2">
        <f>W722*G722</f>
        <v/>
      </c>
    </row>
    <row r="723">
      <c r="A723" s="2" t="inlineStr">
        <is>
          <t>A14-M-SP/SP-B-N-004</t>
        </is>
      </c>
      <c r="B723" s="3" t="inlineStr">
        <is>
          <t>MOJC-SM-12C-SC/PC-SC/PC</t>
        </is>
      </c>
      <c r="C723" s="2" t="inlineStr">
        <is>
          <t>908040796, 4M, B3</t>
        </is>
      </c>
      <c r="D723" s="2" t="inlineStr">
        <is>
          <t>b3-12c</t>
        </is>
      </c>
      <c r="E723" s="2" t="inlineStr">
        <is>
          <t>2.0mm</t>
        </is>
      </c>
      <c r="F723" s="2" t="n">
        <v>12</v>
      </c>
      <c r="G723" s="2" t="n">
        <v>4</v>
      </c>
      <c r="H723" s="2" t="inlineStr">
        <is>
          <t>SC/PC</t>
        </is>
      </c>
      <c r="I723" s="2" t="inlineStr">
        <is>
          <t>SC/PC</t>
        </is>
      </c>
      <c r="J723" s="2" t="n"/>
      <c r="K723" s="2" t="n">
        <v>56</v>
      </c>
      <c r="L723" s="2" t="n">
        <v>33</v>
      </c>
      <c r="M723" s="2" t="n">
        <v>2</v>
      </c>
      <c r="N723" s="2" t="n"/>
      <c r="O723" s="2" t="n"/>
      <c r="P723" s="2" t="n">
        <v>6</v>
      </c>
      <c r="Q723" s="2" t="n">
        <v>21</v>
      </c>
      <c r="R723" s="2" t="n"/>
      <c r="S723" s="2" t="n"/>
      <c r="T723" s="2" t="n"/>
      <c r="U723" s="2" t="n"/>
      <c r="V723" s="2">
        <f>SUM(J723:U723)*G723</f>
        <v/>
      </c>
      <c r="W723" s="2">
        <f>MAX(J723:U723)</f>
        <v/>
      </c>
      <c r="X723" s="2">
        <f>W723*G723</f>
        <v/>
      </c>
    </row>
    <row r="724">
      <c r="A724" s="2" t="inlineStr">
        <is>
          <t>A14-M-SP/SP-B-N-005</t>
        </is>
      </c>
      <c r="B724" s="3" t="inlineStr">
        <is>
          <t>MOJC-SM-12C-SC/PC-SC/PC</t>
        </is>
      </c>
      <c r="C724" s="2" t="inlineStr">
        <is>
          <t>908040797, 5M, B3</t>
        </is>
      </c>
      <c r="D724" s="2" t="inlineStr">
        <is>
          <t>b3-12c</t>
        </is>
      </c>
      <c r="E724" s="2" t="inlineStr">
        <is>
          <t>2.0mm</t>
        </is>
      </c>
      <c r="F724" s="2" t="n">
        <v>12</v>
      </c>
      <c r="G724" s="2" t="n">
        <v>5</v>
      </c>
      <c r="H724" s="2" t="inlineStr">
        <is>
          <t>SC/PC</t>
        </is>
      </c>
      <c r="I724" s="2" t="inlineStr">
        <is>
          <t>SC/PC</t>
        </is>
      </c>
      <c r="J724" s="2" t="n">
        <v>20</v>
      </c>
      <c r="K724" s="2" t="n">
        <v>30</v>
      </c>
      <c r="L724" s="2" t="n">
        <v>29</v>
      </c>
      <c r="M724" s="2" t="n">
        <v>4</v>
      </c>
      <c r="N724" s="2" t="n"/>
      <c r="O724" s="2" t="n">
        <v>1</v>
      </c>
      <c r="P724" s="2" t="n"/>
      <c r="Q724" s="2" t="n"/>
      <c r="R724" s="2" t="n"/>
      <c r="S724" s="2" t="n">
        <v>8</v>
      </c>
      <c r="T724" s="2" t="n"/>
      <c r="U724" s="2" t="n"/>
      <c r="V724" s="2">
        <f>SUM(J724:U724)*G724</f>
        <v/>
      </c>
      <c r="W724" s="2">
        <f>MAX(J724:U724)</f>
        <v/>
      </c>
      <c r="X724" s="2">
        <f>W724*G724</f>
        <v/>
      </c>
    </row>
    <row r="725">
      <c r="A725" s="2" t="inlineStr">
        <is>
          <t>A14-M-SP/SP-B-N-006</t>
        </is>
      </c>
      <c r="B725" s="3" t="inlineStr">
        <is>
          <t>MOJC-SM-12C-SC/PC-SC/PC</t>
        </is>
      </c>
      <c r="C725" s="2" t="inlineStr">
        <is>
          <t>908040798, 6M, B3</t>
        </is>
      </c>
      <c r="D725" s="2" t="inlineStr">
        <is>
          <t>b3-12c</t>
        </is>
      </c>
      <c r="E725" s="2" t="inlineStr">
        <is>
          <t>2.0mm</t>
        </is>
      </c>
      <c r="F725" s="2" t="n">
        <v>12</v>
      </c>
      <c r="G725" s="2" t="n">
        <v>6</v>
      </c>
      <c r="H725" s="2" t="inlineStr">
        <is>
          <t>SC/PC</t>
        </is>
      </c>
      <c r="I725" s="2" t="inlineStr">
        <is>
          <t>SC/PC</t>
        </is>
      </c>
      <c r="J725" s="2" t="n"/>
      <c r="K725" s="2" t="n">
        <v>34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>
        <v>58</v>
      </c>
      <c r="V725" s="2">
        <f>SUM(J725:U725)*G725</f>
        <v/>
      </c>
      <c r="W725" s="2">
        <f>MAX(J725:U725)</f>
        <v/>
      </c>
      <c r="X725" s="2">
        <f>W725*G725</f>
        <v/>
      </c>
    </row>
    <row r="726">
      <c r="A726" s="2" t="inlineStr">
        <is>
          <t>A14-M-SP/SP-B-N-007</t>
        </is>
      </c>
      <c r="B726" s="3" t="inlineStr">
        <is>
          <t>MOJC-SM-12C-SC/PC-SC/PC</t>
        </is>
      </c>
      <c r="C726" s="2" t="inlineStr">
        <is>
          <t>908040799, 7M, B3</t>
        </is>
      </c>
      <c r="D726" s="2" t="inlineStr">
        <is>
          <t>b3-12c</t>
        </is>
      </c>
      <c r="E726" s="2" t="inlineStr">
        <is>
          <t>2.0mm</t>
        </is>
      </c>
      <c r="F726" s="2" t="n">
        <v>12</v>
      </c>
      <c r="G726" s="2" t="n">
        <v>7</v>
      </c>
      <c r="H726" s="2" t="inlineStr">
        <is>
          <t>SC/PC</t>
        </is>
      </c>
      <c r="I726" s="2" t="inlineStr">
        <is>
          <t>SC/PC</t>
        </is>
      </c>
      <c r="J726" s="2" t="n">
        <v>95</v>
      </c>
      <c r="K726" s="2" t="n"/>
      <c r="L726" s="2" t="n">
        <v>36</v>
      </c>
      <c r="M726" s="2" t="n">
        <v>34</v>
      </c>
      <c r="N726" s="2" t="n">
        <v>5</v>
      </c>
      <c r="O726" s="2" t="n"/>
      <c r="P726" s="2" t="n"/>
      <c r="Q726" s="2" t="n">
        <v>56</v>
      </c>
      <c r="R726" s="2" t="n"/>
      <c r="S726" s="2" t="n"/>
      <c r="T726" s="2" t="n"/>
      <c r="U726" s="2" t="n"/>
      <c r="V726" s="2">
        <f>SUM(J726:U726)*G726</f>
        <v/>
      </c>
      <c r="W726" s="2">
        <f>MAX(J726:U726)</f>
        <v/>
      </c>
      <c r="X726" s="2">
        <f>W726*G726</f>
        <v/>
      </c>
    </row>
    <row r="727">
      <c r="A727" s="2" t="inlineStr">
        <is>
          <t>A14-M-SP/SP-B-N-008</t>
        </is>
      </c>
      <c r="B727" s="3" t="inlineStr">
        <is>
          <t>MOJC-SM-12C-SC/PC-SC/PC</t>
        </is>
      </c>
      <c r="C727" s="2" t="inlineStr">
        <is>
          <t>908040800, 8M, B3</t>
        </is>
      </c>
      <c r="D727" s="2" t="inlineStr">
        <is>
          <t>b3-12c</t>
        </is>
      </c>
      <c r="E727" s="2" t="inlineStr">
        <is>
          <t>2.0mm</t>
        </is>
      </c>
      <c r="F727" s="2" t="n">
        <v>12</v>
      </c>
      <c r="G727" s="2" t="n">
        <v>8</v>
      </c>
      <c r="H727" s="2" t="inlineStr">
        <is>
          <t>SC/PC</t>
        </is>
      </c>
      <c r="I727" s="2" t="inlineStr">
        <is>
          <t>SC/PC</t>
        </is>
      </c>
      <c r="J727" s="2" t="n">
        <v>10</v>
      </c>
      <c r="K727" s="2" t="n"/>
      <c r="L727" s="2" t="n"/>
      <c r="M727" s="2" t="n">
        <v>70</v>
      </c>
      <c r="N727" s="2" t="n">
        <v>7</v>
      </c>
      <c r="O727" s="2" t="n"/>
      <c r="P727" s="2" t="n"/>
      <c r="Q727" s="2" t="n"/>
      <c r="R727" s="2" t="n"/>
      <c r="S727" s="2" t="n">
        <v>23</v>
      </c>
      <c r="T727" s="2" t="n">
        <v>50</v>
      </c>
      <c r="U727" s="2" t="n">
        <v>50</v>
      </c>
      <c r="V727" s="2">
        <f>SUM(J727:U727)*G727</f>
        <v/>
      </c>
      <c r="W727" s="2">
        <f>MAX(J727:U727)</f>
        <v/>
      </c>
      <c r="X727" s="2">
        <f>W727*G727</f>
        <v/>
      </c>
    </row>
    <row r="728">
      <c r="A728" s="2" t="inlineStr">
        <is>
          <t>A14-M-SP/SP-B-N-011</t>
        </is>
      </c>
      <c r="B728" s="3" t="inlineStr">
        <is>
          <t>MOJC-SM-12C-SC/PC-SC/PC</t>
        </is>
      </c>
      <c r="C728" s="2" t="inlineStr">
        <is>
          <t>908040804, 12M, B3</t>
        </is>
      </c>
      <c r="D728" s="2" t="inlineStr">
        <is>
          <t>b3-12c</t>
        </is>
      </c>
      <c r="E728" s="2" t="inlineStr">
        <is>
          <t>2.0mm</t>
        </is>
      </c>
      <c r="F728" s="2" t="n">
        <v>12</v>
      </c>
      <c r="G728" s="2" t="n">
        <v>12</v>
      </c>
      <c r="H728" s="2" t="inlineStr">
        <is>
          <t>SC/PC</t>
        </is>
      </c>
      <c r="I728" s="2" t="inlineStr">
        <is>
          <t>SC/PC</t>
        </is>
      </c>
      <c r="J728" s="2" t="n">
        <v>10</v>
      </c>
      <c r="K728" s="2" t="n"/>
      <c r="L728" s="2" t="n"/>
      <c r="M728" s="2" t="n">
        <v>10</v>
      </c>
      <c r="N728" s="2" t="n"/>
      <c r="O728" s="2" t="n"/>
      <c r="P728" s="2" t="n"/>
      <c r="Q728" s="2" t="n"/>
      <c r="R728" s="2" t="n"/>
      <c r="S728" s="2" t="n"/>
      <c r="T728" s="2" t="n">
        <v>21</v>
      </c>
      <c r="U728" s="2" t="n"/>
      <c r="V728" s="2">
        <f>SUM(J728:U728)*G728</f>
        <v/>
      </c>
      <c r="W728" s="2">
        <f>MAX(J728:U728)</f>
        <v/>
      </c>
      <c r="X728" s="2">
        <f>W728*G728</f>
        <v/>
      </c>
    </row>
    <row r="729">
      <c r="A729" s="2" t="inlineStr">
        <is>
          <t>A14-M-SP/SP-B-N-012</t>
        </is>
      </c>
      <c r="B729" s="3" t="inlineStr">
        <is>
          <t>MOJC-SM-12C-SC/PC-SC/PC</t>
        </is>
      </c>
      <c r="C729" s="2" t="inlineStr">
        <is>
          <t>908040807, 15M, B3</t>
        </is>
      </c>
      <c r="D729" s="2" t="inlineStr">
        <is>
          <t>b3-12c</t>
        </is>
      </c>
      <c r="E729" s="2" t="inlineStr">
        <is>
          <t>2.0mm</t>
        </is>
      </c>
      <c r="F729" s="2" t="n">
        <v>12</v>
      </c>
      <c r="G729" s="2" t="n">
        <v>15</v>
      </c>
      <c r="H729" s="2" t="inlineStr">
        <is>
          <t>SC/PC</t>
        </is>
      </c>
      <c r="I729" s="2" t="inlineStr">
        <is>
          <t>SC/PC</t>
        </is>
      </c>
      <c r="J729" s="2" t="n">
        <v>20</v>
      </c>
      <c r="K729" s="2" t="n">
        <v>14</v>
      </c>
      <c r="L729" s="2" t="n"/>
      <c r="M729" s="2" t="n">
        <v>20</v>
      </c>
      <c r="N729" s="2" t="n"/>
      <c r="O729" s="2" t="n">
        <v>20</v>
      </c>
      <c r="P729" s="2" t="n">
        <v>16</v>
      </c>
      <c r="Q729" s="2" t="n">
        <v>5</v>
      </c>
      <c r="R729" s="2" t="n"/>
      <c r="S729" s="2" t="n">
        <v>10</v>
      </c>
      <c r="T729" s="2" t="n">
        <v>28</v>
      </c>
      <c r="U729" s="2" t="n">
        <v>10</v>
      </c>
      <c r="V729" s="2">
        <f>SUM(J729:U729)*G729</f>
        <v/>
      </c>
      <c r="W729" s="2">
        <f>MAX(J729:U729)</f>
        <v/>
      </c>
      <c r="X729" s="2">
        <f>W729*G729</f>
        <v/>
      </c>
    </row>
    <row r="730">
      <c r="A730" s="2" t="inlineStr">
        <is>
          <t>A14-M-SP/SP-B-N-013</t>
        </is>
      </c>
      <c r="B730" s="3" t="inlineStr">
        <is>
          <t>MOJC-SM-12C-SC/PC-SC/PC</t>
        </is>
      </c>
      <c r="C730" s="2" t="inlineStr">
        <is>
          <t>908040812, 20M, B3</t>
        </is>
      </c>
      <c r="D730" s="2" t="inlineStr">
        <is>
          <t>b3-12c</t>
        </is>
      </c>
      <c r="E730" s="2" t="inlineStr">
        <is>
          <t>2.0mm</t>
        </is>
      </c>
      <c r="F730" s="2" t="n">
        <v>12</v>
      </c>
      <c r="G730" s="2" t="n">
        <v>20</v>
      </c>
      <c r="H730" s="2" t="inlineStr">
        <is>
          <t>SC/PC</t>
        </is>
      </c>
      <c r="I730" s="2" t="inlineStr">
        <is>
          <t>SC/PC</t>
        </is>
      </c>
      <c r="J730" s="2" t="n"/>
      <c r="K730" s="2" t="n"/>
      <c r="L730" s="2" t="n"/>
      <c r="M730" s="2" t="n"/>
      <c r="N730" s="2" t="n"/>
      <c r="O730" s="2" t="n"/>
      <c r="P730" s="2" t="n">
        <v>23</v>
      </c>
      <c r="Q730" s="2" t="n"/>
      <c r="R730" s="2" t="n"/>
      <c r="S730" s="2" t="n"/>
      <c r="T730" s="2" t="n"/>
      <c r="U730" s="2" t="n"/>
      <c r="V730" s="2">
        <f>SUM(J730:U730)*G730</f>
        <v/>
      </c>
      <c r="W730" s="2">
        <f>MAX(J730:U730)</f>
        <v/>
      </c>
      <c r="X730" s="2">
        <f>W730*G730</f>
        <v/>
      </c>
    </row>
    <row r="731">
      <c r="A731" s="2" t="inlineStr">
        <is>
          <t>A14-M-SP/SP-B-N-016</t>
        </is>
      </c>
      <c r="B731" s="3" t="inlineStr">
        <is>
          <t>MOJC-SM-24C-SC/PC-SC/PC</t>
        </is>
      </c>
      <c r="C731" s="2" t="inlineStr">
        <is>
          <t>920001114, 3M, B3</t>
        </is>
      </c>
      <c r="D731" s="2" t="inlineStr">
        <is>
          <t>b3-24c</t>
        </is>
      </c>
      <c r="E731" s="2" t="inlineStr">
        <is>
          <t>2.0mm</t>
        </is>
      </c>
      <c r="F731" s="2" t="n">
        <v>24</v>
      </c>
      <c r="G731" s="2" t="n">
        <v>3</v>
      </c>
      <c r="H731" s="2" t="inlineStr">
        <is>
          <t>SC/PC</t>
        </is>
      </c>
      <c r="I731" s="2" t="inlineStr">
        <is>
          <t>SC/PC</t>
        </is>
      </c>
      <c r="J731" s="2" t="n"/>
      <c r="K731" s="2" t="n"/>
      <c r="L731" s="2" t="n"/>
      <c r="M731" s="2" t="n">
        <v>3</v>
      </c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>
        <f>SUM(J731:U731)*G731</f>
        <v/>
      </c>
      <c r="W731" s="2">
        <f>MAX(J731:U731)</f>
        <v/>
      </c>
      <c r="X731" s="2">
        <f>W731*G731</f>
        <v/>
      </c>
    </row>
    <row r="732">
      <c r="A732" s="2" t="inlineStr">
        <is>
          <t>A14-M-SP/SP-B-N-021</t>
        </is>
      </c>
      <c r="B732" s="3" t="inlineStr">
        <is>
          <t>MOJC-SM-6C-SC/PC-SC/PC</t>
        </is>
      </c>
      <c r="C732" s="2" t="inlineStr">
        <is>
          <t>920000155, 3M, B3</t>
        </is>
      </c>
      <c r="D732" s="2" t="inlineStr">
        <is>
          <t>b3-6c</t>
        </is>
      </c>
      <c r="E732" s="2" t="inlineStr">
        <is>
          <t>2.0mm</t>
        </is>
      </c>
      <c r="F732" s="2" t="n">
        <v>6</v>
      </c>
      <c r="G732" s="2" t="n">
        <v>3</v>
      </c>
      <c r="H732" s="2" t="inlineStr">
        <is>
          <t>SC/PC</t>
        </is>
      </c>
      <c r="I732" s="2" t="inlineStr">
        <is>
          <t>SC/PC</t>
        </is>
      </c>
      <c r="J732" s="2" t="n"/>
      <c r="K732" s="2" t="n"/>
      <c r="L732" s="2" t="n">
        <v>3</v>
      </c>
      <c r="M732" s="2" t="n">
        <v>6</v>
      </c>
      <c r="N732" s="2" t="n">
        <v>14</v>
      </c>
      <c r="O732" s="2" t="n">
        <v>12</v>
      </c>
      <c r="P732" s="2" t="n">
        <v>12</v>
      </c>
      <c r="Q732" s="2" t="n"/>
      <c r="R732" s="2" t="n"/>
      <c r="S732" s="2" t="n">
        <v>30</v>
      </c>
      <c r="T732" s="2" t="n"/>
      <c r="U732" s="2" t="n"/>
      <c r="V732" s="2">
        <f>SUM(J732:U732)*G732</f>
        <v/>
      </c>
      <c r="W732" s="2">
        <f>MAX(J732:U732)</f>
        <v/>
      </c>
      <c r="X732" s="2">
        <f>W732*G732</f>
        <v/>
      </c>
    </row>
    <row r="733">
      <c r="A733" s="2" t="inlineStr">
        <is>
          <t>A14-M-SP/SP-B-N-022</t>
        </is>
      </c>
      <c r="B733" s="3" t="inlineStr">
        <is>
          <t>MOJC-SM-6C-SC/PC-SC/PC</t>
        </is>
      </c>
      <c r="C733" s="2" t="inlineStr">
        <is>
          <t>920000156, 4M, B3</t>
        </is>
      </c>
      <c r="D733" s="2" t="inlineStr">
        <is>
          <t>b3-6c</t>
        </is>
      </c>
      <c r="E733" s="2" t="inlineStr">
        <is>
          <t>2.0mm</t>
        </is>
      </c>
      <c r="F733" s="2" t="n">
        <v>6</v>
      </c>
      <c r="G733" s="2" t="n">
        <v>4</v>
      </c>
      <c r="H733" s="2" t="inlineStr">
        <is>
          <t>SC/PC</t>
        </is>
      </c>
      <c r="I733" s="2" t="inlineStr">
        <is>
          <t>SC/PC</t>
        </is>
      </c>
      <c r="J733" s="2" t="n"/>
      <c r="K733" s="2" t="n">
        <v>10</v>
      </c>
      <c r="L733" s="2" t="n">
        <v>4</v>
      </c>
      <c r="M733" s="2" t="n"/>
      <c r="N733" s="2" t="n"/>
      <c r="O733" s="2" t="n"/>
      <c r="P733" s="2" t="n"/>
      <c r="Q733" s="2" t="n">
        <v>21</v>
      </c>
      <c r="R733" s="2" t="n"/>
      <c r="S733" s="2" t="n"/>
      <c r="T733" s="2" t="n"/>
      <c r="U733" s="2" t="n"/>
      <c r="V733" s="2">
        <f>SUM(J733:U733)*G733</f>
        <v/>
      </c>
      <c r="W733" s="2">
        <f>MAX(J733:U733)</f>
        <v/>
      </c>
      <c r="X733" s="2">
        <f>W733*G733</f>
        <v/>
      </c>
    </row>
    <row r="734">
      <c r="A734" s="2" t="inlineStr">
        <is>
          <t>A14-M-SP/SP-B-N-023</t>
        </is>
      </c>
      <c r="B734" s="3" t="inlineStr">
        <is>
          <t>MOJC-SM-6C-SC/PC-SC/PC</t>
        </is>
      </c>
      <c r="C734" s="2" t="inlineStr">
        <is>
          <t>920000157, 5M, B3</t>
        </is>
      </c>
      <c r="D734" s="2" t="inlineStr">
        <is>
          <t>b3-6c</t>
        </is>
      </c>
      <c r="E734" s="2" t="inlineStr">
        <is>
          <t>2.0mm</t>
        </is>
      </c>
      <c r="F734" s="2" t="n">
        <v>6</v>
      </c>
      <c r="G734" s="2" t="n">
        <v>5</v>
      </c>
      <c r="H734" s="2" t="inlineStr">
        <is>
          <t>SC/PC</t>
        </is>
      </c>
      <c r="I734" s="2" t="inlineStr">
        <is>
          <t>SC/PC</t>
        </is>
      </c>
      <c r="J734" s="2" t="n">
        <v>150</v>
      </c>
      <c r="K734" s="2" t="n">
        <v>64</v>
      </c>
      <c r="L734" s="2" t="n">
        <v>32</v>
      </c>
      <c r="M734" s="2" t="n"/>
      <c r="N734" s="2" t="n"/>
      <c r="O734" s="2" t="n">
        <v>1</v>
      </c>
      <c r="P734" s="2" t="n"/>
      <c r="Q734" s="2" t="n"/>
      <c r="R734" s="2" t="n"/>
      <c r="S734" s="2" t="n">
        <v>4</v>
      </c>
      <c r="T734" s="2" t="n"/>
      <c r="U734" s="2" t="n"/>
      <c r="V734" s="2">
        <f>SUM(J734:U734)*G734</f>
        <v/>
      </c>
      <c r="W734" s="2">
        <f>MAX(J734:U734)</f>
        <v/>
      </c>
      <c r="X734" s="2">
        <f>W734*G734</f>
        <v/>
      </c>
    </row>
    <row r="735">
      <c r="A735" s="2" t="inlineStr">
        <is>
          <t>A14-M-SP/SP-B-N-024</t>
        </is>
      </c>
      <c r="B735" s="3" t="inlineStr">
        <is>
          <t>MOJC-SM-6C-SC/PC-SC/PC</t>
        </is>
      </c>
      <c r="C735" s="2" t="inlineStr">
        <is>
          <t>920000159, 7M, B3</t>
        </is>
      </c>
      <c r="D735" s="2" t="inlineStr">
        <is>
          <t>b3-6c</t>
        </is>
      </c>
      <c r="E735" s="2" t="inlineStr">
        <is>
          <t>2.0mm</t>
        </is>
      </c>
      <c r="F735" s="2" t="n">
        <v>6</v>
      </c>
      <c r="G735" s="2" t="n">
        <v>7</v>
      </c>
      <c r="H735" s="2" t="inlineStr">
        <is>
          <t>SC/PC</t>
        </is>
      </c>
      <c r="I735" s="2" t="inlineStr">
        <is>
          <t>SC/PC</t>
        </is>
      </c>
      <c r="J735" s="2" t="n"/>
      <c r="K735" s="2" t="n"/>
      <c r="L735" s="2" t="n">
        <v>42</v>
      </c>
      <c r="M735" s="2" t="n"/>
      <c r="N735" s="2" t="n"/>
      <c r="O735" s="2" t="n"/>
      <c r="P735" s="2" t="n"/>
      <c r="Q735" s="2" t="n">
        <v>26</v>
      </c>
      <c r="R735" s="2" t="n"/>
      <c r="S735" s="2" t="n"/>
      <c r="T735" s="2" t="n"/>
      <c r="U735" s="2" t="n"/>
      <c r="V735" s="2">
        <f>SUM(J735:U735)*G735</f>
        <v/>
      </c>
      <c r="W735" s="2">
        <f>MAX(J735:U735)</f>
        <v/>
      </c>
      <c r="X735" s="2">
        <f>W735*G735</f>
        <v/>
      </c>
    </row>
    <row r="736">
      <c r="A736" s="2" t="inlineStr">
        <is>
          <t>A14-M-SP/SP-B-N-025</t>
        </is>
      </c>
      <c r="B736" s="3" t="inlineStr">
        <is>
          <t>MOJC-SM-6C-SC/PC-SC/PC</t>
        </is>
      </c>
      <c r="C736" s="2" t="inlineStr">
        <is>
          <t>920000160, 8M, B3</t>
        </is>
      </c>
      <c r="D736" s="2" t="inlineStr">
        <is>
          <t>b3-6c</t>
        </is>
      </c>
      <c r="E736" s="2" t="inlineStr">
        <is>
          <t>2.0mm</t>
        </is>
      </c>
      <c r="F736" s="2" t="n">
        <v>6</v>
      </c>
      <c r="G736" s="2" t="n">
        <v>8</v>
      </c>
      <c r="H736" s="2" t="inlineStr">
        <is>
          <t>SC/PC</t>
        </is>
      </c>
      <c r="I736" s="2" t="inlineStr">
        <is>
          <t>SC/PC</t>
        </is>
      </c>
      <c r="J736" s="2" t="n"/>
      <c r="K736" s="2" t="n"/>
      <c r="L736" s="2" t="n">
        <v>50</v>
      </c>
      <c r="M736" s="2" t="n"/>
      <c r="N736" s="2" t="n"/>
      <c r="O736" s="2" t="n"/>
      <c r="P736" s="2" t="n"/>
      <c r="Q736" s="2" t="n"/>
      <c r="R736" s="2" t="n"/>
      <c r="S736" s="2" t="n">
        <v>30</v>
      </c>
      <c r="T736" s="2" t="n">
        <v>15</v>
      </c>
      <c r="U736" s="2" t="n"/>
      <c r="V736" s="2">
        <f>SUM(J736:U736)*G736</f>
        <v/>
      </c>
      <c r="W736" s="2">
        <f>MAX(J736:U736)</f>
        <v/>
      </c>
      <c r="X736" s="2">
        <f>W736*G736</f>
        <v/>
      </c>
    </row>
    <row r="737">
      <c r="A737" s="2" t="inlineStr">
        <is>
          <t>A14-M-SP/SP-B-N-026</t>
        </is>
      </c>
      <c r="B737" s="3" t="inlineStr">
        <is>
          <t>MOJC-SM-6C-SC/PC-SC/PC</t>
        </is>
      </c>
      <c r="C737" s="2" t="inlineStr">
        <is>
          <t>920000162, 10M, B3</t>
        </is>
      </c>
      <c r="D737" s="2" t="inlineStr">
        <is>
          <t>b3-6c</t>
        </is>
      </c>
      <c r="E737" s="2" t="inlineStr">
        <is>
          <t>2.0mm</t>
        </is>
      </c>
      <c r="F737" s="2" t="n">
        <v>6</v>
      </c>
      <c r="G737" s="2" t="n">
        <v>10</v>
      </c>
      <c r="H737" s="2" t="inlineStr">
        <is>
          <t>SC/PC</t>
        </is>
      </c>
      <c r="I737" s="2" t="inlineStr">
        <is>
          <t>SC/PC</t>
        </is>
      </c>
      <c r="J737" s="2" t="n"/>
      <c r="K737" s="2" t="n">
        <v>20</v>
      </c>
      <c r="L737" s="2" t="n">
        <v>50</v>
      </c>
      <c r="M737" s="2" t="n"/>
      <c r="N737" s="2" t="n"/>
      <c r="O737" s="2" t="n"/>
      <c r="P737" s="2" t="n">
        <v>50</v>
      </c>
      <c r="Q737" s="2" t="n">
        <v>5</v>
      </c>
      <c r="R737" s="2" t="n">
        <v>25</v>
      </c>
      <c r="S737" s="2" t="n">
        <v>40</v>
      </c>
      <c r="T737" s="2" t="n"/>
      <c r="U737" s="2" t="n"/>
      <c r="V737" s="2">
        <f>SUM(J737:U737)*G737</f>
        <v/>
      </c>
      <c r="W737" s="2">
        <f>MAX(J737:U737)</f>
        <v/>
      </c>
      <c r="X737" s="2">
        <f>W737*G737</f>
        <v/>
      </c>
    </row>
    <row r="738">
      <c r="A738" s="2" t="inlineStr">
        <is>
          <t>A14-M-SP/SP-B-N-027</t>
        </is>
      </c>
      <c r="B738" s="3" t="inlineStr">
        <is>
          <t>MOJC-SM-6C-SC/PC-SC/PC</t>
        </is>
      </c>
      <c r="C738" s="2" t="inlineStr">
        <is>
          <t>920000167, 15M, B3</t>
        </is>
      </c>
      <c r="D738" s="2" t="inlineStr">
        <is>
          <t>b3-6c</t>
        </is>
      </c>
      <c r="E738" s="2" t="inlineStr">
        <is>
          <t>2.0mm</t>
        </is>
      </c>
      <c r="F738" s="2" t="n">
        <v>6</v>
      </c>
      <c r="G738" s="2" t="n">
        <v>15</v>
      </c>
      <c r="H738" s="2" t="inlineStr">
        <is>
          <t>SC/PC</t>
        </is>
      </c>
      <c r="I738" s="2" t="inlineStr">
        <is>
          <t>SC/PC</t>
        </is>
      </c>
      <c r="J738" s="2" t="n"/>
      <c r="K738" s="2" t="n">
        <v>15</v>
      </c>
      <c r="L738" s="2" t="n"/>
      <c r="M738" s="2" t="n">
        <v>10</v>
      </c>
      <c r="N738" s="2" t="n"/>
      <c r="O738" s="2" t="n"/>
      <c r="P738" s="2" t="n"/>
      <c r="Q738" s="2" t="n"/>
      <c r="R738" s="2" t="n"/>
      <c r="S738" s="2" t="n"/>
      <c r="T738" s="2" t="n">
        <v>3</v>
      </c>
      <c r="U738" s="2" t="n"/>
      <c r="V738" s="2">
        <f>SUM(J738:U738)*G738</f>
        <v/>
      </c>
      <c r="W738" s="2">
        <f>MAX(J738:U738)</f>
        <v/>
      </c>
      <c r="X738" s="2">
        <f>W738*G738</f>
        <v/>
      </c>
    </row>
    <row r="739">
      <c r="A739" s="2" t="inlineStr">
        <is>
          <t>A14-M-SP/SP-B-N-031</t>
        </is>
      </c>
      <c r="B739" s="3" t="inlineStr">
        <is>
          <t>MOJC-SM-6C-SC/PC-SC/PC</t>
        </is>
      </c>
      <c r="C739" s="2" t="inlineStr">
        <is>
          <t>920000158, 6M, B3</t>
        </is>
      </c>
      <c r="D739" s="2" t="inlineStr">
        <is>
          <t>b3-6c</t>
        </is>
      </c>
      <c r="E739" s="2" t="inlineStr">
        <is>
          <t>2.0mm</t>
        </is>
      </c>
      <c r="F739" s="2" t="n">
        <v>6</v>
      </c>
      <c r="G739" s="2" t="n">
        <v>6</v>
      </c>
      <c r="H739" s="2" t="inlineStr">
        <is>
          <t>SC/PC</t>
        </is>
      </c>
      <c r="I739" s="2" t="inlineStr">
        <is>
          <t>SC/PC</t>
        </is>
      </c>
      <c r="J739" s="2" t="n"/>
      <c r="K739" s="2" t="n">
        <v>40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>
        <v>54</v>
      </c>
      <c r="V739" s="2">
        <f>SUM(J739:U739)*G739</f>
        <v/>
      </c>
      <c r="W739" s="2">
        <f>MAX(J739:U739)</f>
        <v/>
      </c>
      <c r="X739" s="2">
        <f>W739*G739</f>
        <v/>
      </c>
    </row>
    <row r="740">
      <c r="A740" s="2" t="inlineStr">
        <is>
          <t>A14-MB-N043</t>
        </is>
      </c>
      <c r="B740" s="3" t="inlineStr">
        <is>
          <t>MOJC-SM-12C-SC/PC-SC/PC</t>
        </is>
      </c>
      <c r="C740" s="2" t="inlineStr">
        <is>
          <t>908040802, 10M, B3</t>
        </is>
      </c>
      <c r="D740" s="2" t="inlineStr">
        <is>
          <t>b3-12c</t>
        </is>
      </c>
      <c r="E740" s="2" t="inlineStr">
        <is>
          <t>2.0mm</t>
        </is>
      </c>
      <c r="F740" s="2" t="n">
        <v>12</v>
      </c>
      <c r="G740" s="2" t="n">
        <v>10</v>
      </c>
      <c r="H740" s="2" t="inlineStr">
        <is>
          <t>SC/PC</t>
        </is>
      </c>
      <c r="I740" s="2" t="inlineStr">
        <is>
          <t>SC/PC</t>
        </is>
      </c>
      <c r="J740" s="2" t="n">
        <v>52</v>
      </c>
      <c r="K740" s="2" t="n"/>
      <c r="L740" s="2" t="n"/>
      <c r="M740" s="2" t="n">
        <v>87</v>
      </c>
      <c r="N740" s="2" t="n"/>
      <c r="O740" s="2" t="n">
        <v>55</v>
      </c>
      <c r="P740" s="2" t="n"/>
      <c r="Q740" s="2" t="n">
        <v>15</v>
      </c>
      <c r="R740" s="2" t="n">
        <v>40</v>
      </c>
      <c r="S740" s="2" t="n">
        <v>30</v>
      </c>
      <c r="T740" s="2" t="n">
        <v>40</v>
      </c>
      <c r="U740" s="2" t="n">
        <v>8</v>
      </c>
      <c r="V740" s="2">
        <f>SUM(J740:U740)*G740</f>
        <v/>
      </c>
      <c r="W740" s="2">
        <f>MAX(J740:U740)</f>
        <v/>
      </c>
      <c r="X740" s="2">
        <f>W740*G740</f>
        <v/>
      </c>
    </row>
    <row r="741">
      <c r="A741" s="2" t="inlineStr">
        <is>
          <t>A14-MB-N078</t>
        </is>
      </c>
      <c r="B741" s="3" t="inlineStr">
        <is>
          <t>MOJC-SM-6C-SC/PC-SC/PC</t>
        </is>
      </c>
      <c r="C741" s="2" t="inlineStr">
        <is>
          <t>12M, B3</t>
        </is>
      </c>
      <c r="D741" s="2" t="inlineStr">
        <is>
          <t>b3-6c</t>
        </is>
      </c>
      <c r="E741" s="2" t="inlineStr">
        <is>
          <t>2.0mm</t>
        </is>
      </c>
      <c r="F741" s="2" t="n">
        <v>6</v>
      </c>
      <c r="G741" s="2" t="n">
        <v>12</v>
      </c>
      <c r="H741" s="2" t="inlineStr">
        <is>
          <t>SC/PC</t>
        </is>
      </c>
      <c r="I741" s="2" t="inlineStr">
        <is>
          <t>SC/PC</t>
        </is>
      </c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>
        <v>15</v>
      </c>
      <c r="U741" s="2" t="n"/>
      <c r="V741" s="2">
        <f>SUM(J741:U741)*G741</f>
        <v/>
      </c>
      <c r="W741" s="2">
        <f>MAX(J741:U741)</f>
        <v/>
      </c>
      <c r="X741" s="2">
        <f>W741*G741</f>
        <v/>
      </c>
    </row>
    <row r="742">
      <c r="A742" s="2" t="inlineStr">
        <is>
          <t>A14-S-LP/FA-B-N-006</t>
        </is>
      </c>
      <c r="B742" s="3" t="inlineStr">
        <is>
          <t>SOJC-SM-LC/PC-FC/APC</t>
        </is>
      </c>
      <c r="C742" s="2" t="inlineStr">
        <is>
          <t>930001517, 30M, B3, 2.0mm</t>
        </is>
      </c>
      <c r="D742" s="2" t="inlineStr">
        <is>
          <t>b3</t>
        </is>
      </c>
      <c r="E742" s="2" t="inlineStr">
        <is>
          <t>2.0mm</t>
        </is>
      </c>
      <c r="F742" s="2" t="n">
        <v>1</v>
      </c>
      <c r="G742" s="2" t="n">
        <v>30</v>
      </c>
      <c r="H742" s="2" t="inlineStr">
        <is>
          <t>LC/PC</t>
        </is>
      </c>
      <c r="I742" s="2" t="inlineStr">
        <is>
          <t>FC/APC</t>
        </is>
      </c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>
        <v>10</v>
      </c>
      <c r="U742" s="2" t="n"/>
      <c r="V742" s="2">
        <f>SUM(J742:U742)*G742</f>
        <v/>
      </c>
      <c r="W742" s="2">
        <f>MAX(J742:U742)</f>
        <v/>
      </c>
      <c r="X742" s="2">
        <f>W742*G742</f>
        <v/>
      </c>
    </row>
    <row r="743">
      <c r="A743" s="2" t="inlineStr">
        <is>
          <t>A14-S-LP/FA-B-N-008</t>
        </is>
      </c>
      <c r="B743" s="3" t="inlineStr">
        <is>
          <t>SOJC-SM-LC/PC-FC/APC</t>
        </is>
      </c>
      <c r="C743" s="2" t="inlineStr">
        <is>
          <t>920001071, 3M, B3, 3.0mm</t>
        </is>
      </c>
      <c r="D743" s="2" t="inlineStr">
        <is>
          <t>b3</t>
        </is>
      </c>
      <c r="E743" s="2" t="inlineStr">
        <is>
          <t>3.0mm</t>
        </is>
      </c>
      <c r="F743" s="2" t="n">
        <v>1</v>
      </c>
      <c r="G743" s="2" t="n">
        <v>3</v>
      </c>
      <c r="H743" s="2" t="inlineStr">
        <is>
          <t>LC/PC</t>
        </is>
      </c>
      <c r="I743" s="2" t="inlineStr">
        <is>
          <t>FC/APC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>
        <v>10</v>
      </c>
      <c r="U743" s="2" t="n"/>
      <c r="V743" s="2">
        <f>SUM(J743:U743)*G743</f>
        <v/>
      </c>
      <c r="W743" s="2">
        <f>MAX(J743:U743)</f>
        <v/>
      </c>
      <c r="X743" s="2">
        <f>W743*G743</f>
        <v/>
      </c>
    </row>
    <row r="744">
      <c r="A744" s="2" t="inlineStr">
        <is>
          <t>A14-S-LP/FA-B-N-013</t>
        </is>
      </c>
      <c r="B744" s="3" t="inlineStr">
        <is>
          <t>SOJC-SM-LC/PC-FC/APC</t>
        </is>
      </c>
      <c r="C744" s="2" t="inlineStr">
        <is>
          <t>930001503, 8M, B3, 2.0mm</t>
        </is>
      </c>
      <c r="D744" s="2" t="inlineStr">
        <is>
          <t>b3</t>
        </is>
      </c>
      <c r="E744" s="2" t="inlineStr">
        <is>
          <t>2.0mm</t>
        </is>
      </c>
      <c r="F744" s="2" t="n">
        <v>1</v>
      </c>
      <c r="G744" s="2" t="n">
        <v>8</v>
      </c>
      <c r="H744" s="2" t="inlineStr">
        <is>
          <t>LC/PC</t>
        </is>
      </c>
      <c r="I744" s="2" t="inlineStr">
        <is>
          <t>FC/APC</t>
        </is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>
        <v>20</v>
      </c>
      <c r="U744" s="2" t="n"/>
      <c r="V744" s="2">
        <f>SUM(J744:U744)*G744</f>
        <v/>
      </c>
      <c r="W744" s="2">
        <f>MAX(J744:U744)</f>
        <v/>
      </c>
      <c r="X744" s="2">
        <f>W744*G744</f>
        <v/>
      </c>
    </row>
    <row r="745">
      <c r="A745" s="2" t="inlineStr">
        <is>
          <t>A14-S-LP/FP-B-N-007</t>
        </is>
      </c>
      <c r="B745" s="3" t="inlineStr">
        <is>
          <t>SOJC-SM-LC/PC-FC/PC</t>
        </is>
      </c>
      <c r="C745" s="2" t="inlineStr">
        <is>
          <t>908040160, 30M, B3, 2.0mm</t>
        </is>
      </c>
      <c r="D745" s="2" t="inlineStr">
        <is>
          <t>b3</t>
        </is>
      </c>
      <c r="E745" s="2" t="inlineStr">
        <is>
          <t>2.0mm</t>
        </is>
      </c>
      <c r="F745" s="2" t="n">
        <v>1</v>
      </c>
      <c r="G745" s="2" t="n">
        <v>30</v>
      </c>
      <c r="H745" s="2" t="inlineStr">
        <is>
          <t>LC/PC</t>
        </is>
      </c>
      <c r="I745" s="2" t="inlineStr">
        <is>
          <t>FC/PC</t>
        </is>
      </c>
      <c r="J745" s="2" t="n">
        <v>5</v>
      </c>
      <c r="K745" s="2" t="n">
        <v>20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>
        <f>SUM(J745:U745)*G745</f>
        <v/>
      </c>
      <c r="W745" s="2">
        <f>MAX(J745:U745)</f>
        <v/>
      </c>
      <c r="X745" s="2">
        <f>W745*G745</f>
        <v/>
      </c>
    </row>
    <row r="746">
      <c r="A746" s="2" t="inlineStr">
        <is>
          <t>A14-S-LP/FP-B-N-010</t>
        </is>
      </c>
      <c r="B746" s="3" t="inlineStr">
        <is>
          <t>SOJC-SM-LC/PC-FC/PC</t>
        </is>
      </c>
      <c r="C746" s="2" t="inlineStr">
        <is>
          <t>908040294, 5M, B3, 3.0mm</t>
        </is>
      </c>
      <c r="D746" s="2" t="inlineStr">
        <is>
          <t>b3</t>
        </is>
      </c>
      <c r="E746" s="2" t="inlineStr">
        <is>
          <t>3.0mm</t>
        </is>
      </c>
      <c r="F746" s="2" t="n">
        <v>1</v>
      </c>
      <c r="G746" s="2" t="n">
        <v>5</v>
      </c>
      <c r="H746" s="2" t="inlineStr">
        <is>
          <t>LC/PC</t>
        </is>
      </c>
      <c r="I746" s="2" t="inlineStr">
        <is>
          <t>FC/PC</t>
        </is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>
        <v>30</v>
      </c>
      <c r="V746" s="2">
        <f>SUM(J746:U746)*G746</f>
        <v/>
      </c>
      <c r="W746" s="2">
        <f>MAX(J746:U746)</f>
        <v/>
      </c>
      <c r="X746" s="2">
        <f>W746*G746</f>
        <v/>
      </c>
    </row>
    <row r="747">
      <c r="A747" s="2" t="inlineStr">
        <is>
          <t>A14-S-LP/FP-B-N-012</t>
        </is>
      </c>
      <c r="B747" s="3" t="inlineStr">
        <is>
          <t>SOJC-SM-LC/PC-FC/PC</t>
        </is>
      </c>
      <c r="C747" s="2" t="inlineStr">
        <is>
          <t>908040296, 7M, B3, 2.0mm</t>
        </is>
      </c>
      <c r="D747" s="2" t="inlineStr">
        <is>
          <t>b3</t>
        </is>
      </c>
      <c r="E747" s="2" t="inlineStr">
        <is>
          <t>2.0mm</t>
        </is>
      </c>
      <c r="F747" s="2" t="n">
        <v>1</v>
      </c>
      <c r="G747" s="2" t="n">
        <v>7</v>
      </c>
      <c r="H747" s="2" t="inlineStr">
        <is>
          <t>LC/PC</t>
        </is>
      </c>
      <c r="I747" s="2" t="inlineStr">
        <is>
          <t>FC/PC</t>
        </is>
      </c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>
        <v>30</v>
      </c>
      <c r="V747" s="2">
        <f>SUM(J747:U747)*G747</f>
        <v/>
      </c>
      <c r="W747" s="2">
        <f>MAX(J747:U747)</f>
        <v/>
      </c>
      <c r="X747" s="2">
        <f>W747*G747</f>
        <v/>
      </c>
    </row>
    <row r="748">
      <c r="A748" s="2" t="inlineStr">
        <is>
          <t>A14-S-LP/SP-1-N-001</t>
        </is>
      </c>
      <c r="B748" s="3" t="inlineStr">
        <is>
          <t>SOJC-MM-LC/PC-SC/PC</t>
        </is>
      </c>
      <c r="C748" s="2" t="inlineStr">
        <is>
          <t>908040200, 10M</t>
        </is>
      </c>
      <c r="D748" s="2" t="inlineStr">
        <is>
          <t>om1</t>
        </is>
      </c>
      <c r="E748" s="2" t="inlineStr">
        <is>
          <t>2.0mm</t>
        </is>
      </c>
      <c r="F748" s="2" t="n">
        <v>1</v>
      </c>
      <c r="G748" s="2" t="n">
        <v>10</v>
      </c>
      <c r="H748" s="2" t="inlineStr">
        <is>
          <t>LC/PC</t>
        </is>
      </c>
      <c r="I748" s="2" t="inlineStr">
        <is>
          <t>SC/PC</t>
        </is>
      </c>
      <c r="J748" s="2" t="n"/>
      <c r="K748" s="2" t="n">
        <v>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>
        <f>SUM(J748:U748)*G748</f>
        <v/>
      </c>
      <c r="W748" s="2">
        <f>MAX(J748:U748)</f>
        <v/>
      </c>
      <c r="X748" s="2">
        <f>W748*G748</f>
        <v/>
      </c>
    </row>
    <row r="749">
      <c r="A749" s="2" t="inlineStr">
        <is>
          <t>A14-S-LP/SP-1-N-002</t>
        </is>
      </c>
      <c r="B749" s="3" t="inlineStr">
        <is>
          <t>SOJC-MM-LC/PC-SC/PC</t>
        </is>
      </c>
      <c r="C749" s="2" t="inlineStr">
        <is>
          <t>908040205, 15M</t>
        </is>
      </c>
      <c r="D749" s="2" t="inlineStr">
        <is>
          <t>om1</t>
        </is>
      </c>
      <c r="E749" s="2" t="inlineStr">
        <is>
          <t>2.0mm</t>
        </is>
      </c>
      <c r="F749" s="2" t="n">
        <v>1</v>
      </c>
      <c r="G749" s="2" t="n">
        <v>15</v>
      </c>
      <c r="H749" s="2" t="inlineStr">
        <is>
          <t>LC/PC</t>
        </is>
      </c>
      <c r="I749" s="2" t="inlineStr">
        <is>
          <t>SC/PC</t>
        </is>
      </c>
      <c r="J749" s="2" t="n"/>
      <c r="K749" s="2" t="n">
        <v>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>
        <f>SUM(J749:U749)*G749</f>
        <v/>
      </c>
      <c r="W749" s="2">
        <f>MAX(J749:U749)</f>
        <v/>
      </c>
      <c r="X749" s="2">
        <f>W749*G749</f>
        <v/>
      </c>
    </row>
    <row r="750">
      <c r="A750" s="2" t="inlineStr">
        <is>
          <t>A14-S-LP/SP-1-N-010</t>
        </is>
      </c>
      <c r="B750" s="3" t="inlineStr">
        <is>
          <t>SOJC-MM-LC/PC-SC/PC</t>
        </is>
      </c>
      <c r="C750" s="2" t="inlineStr">
        <is>
          <t>908040192, 1M</t>
        </is>
      </c>
      <c r="D750" s="2" t="inlineStr">
        <is>
          <t>om1</t>
        </is>
      </c>
      <c r="E750" s="2" t="inlineStr">
        <is>
          <t>2.0mm</t>
        </is>
      </c>
      <c r="F750" s="2" t="n">
        <v>1</v>
      </c>
      <c r="G750" s="2" t="n">
        <v>1</v>
      </c>
      <c r="H750" s="2" t="inlineStr">
        <is>
          <t>LC/PC</t>
        </is>
      </c>
      <c r="I750" s="2" t="inlineStr">
        <is>
          <t>SC/PC</t>
        </is>
      </c>
      <c r="J750" s="2" t="n"/>
      <c r="K750" s="2" t="n"/>
      <c r="L750" s="2" t="n">
        <v>3</v>
      </c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>
        <f>SUM(J750:U750)*G750</f>
        <v/>
      </c>
      <c r="W750" s="2">
        <f>MAX(J750:U750)</f>
        <v/>
      </c>
      <c r="X750" s="2">
        <f>W750*G750</f>
        <v/>
      </c>
    </row>
    <row r="751">
      <c r="A751" s="2" t="inlineStr">
        <is>
          <t>A14-S-LP/SP-B-N-002</t>
        </is>
      </c>
      <c r="B751" s="3" t="inlineStr">
        <is>
          <t>SOJC-SM-LC/PC-SC/PC</t>
        </is>
      </c>
      <c r="C751" s="2" t="inlineStr">
        <is>
          <t>908040174, 14M, B3, 2.0mm</t>
        </is>
      </c>
      <c r="D751" s="2" t="inlineStr">
        <is>
          <t>b3</t>
        </is>
      </c>
      <c r="E751" s="2" t="inlineStr">
        <is>
          <t>2.0mm</t>
        </is>
      </c>
      <c r="F751" s="2" t="n">
        <v>1</v>
      </c>
      <c r="G751" s="2" t="n">
        <v>14</v>
      </c>
      <c r="H751" s="2" t="inlineStr">
        <is>
          <t>LC/PC</t>
        </is>
      </c>
      <c r="I751" s="2" t="inlineStr">
        <is>
          <t>SC/PC</t>
        </is>
      </c>
      <c r="J751" s="2" t="n"/>
      <c r="K751" s="2" t="n"/>
      <c r="L751" s="2" t="n"/>
      <c r="M751" s="2" t="n"/>
      <c r="N751" s="2" t="n"/>
      <c r="O751" s="2" t="n">
        <v>18</v>
      </c>
      <c r="P751" s="2" t="n"/>
      <c r="Q751" s="2" t="n"/>
      <c r="R751" s="2" t="n">
        <v>60</v>
      </c>
      <c r="S751" s="2" t="n"/>
      <c r="T751" s="2" t="n"/>
      <c r="U751" s="2" t="n"/>
      <c r="V751" s="2">
        <f>SUM(J751:U751)*G751</f>
        <v/>
      </c>
      <c r="W751" s="2">
        <f>MAX(J751:U751)</f>
        <v/>
      </c>
      <c r="X751" s="2">
        <f>W751*G751</f>
        <v/>
      </c>
    </row>
    <row r="752">
      <c r="A752" s="2" t="inlineStr">
        <is>
          <t>A14-S-LP/SP-B-N-010</t>
        </is>
      </c>
      <c r="B752" s="3" t="inlineStr">
        <is>
          <t>SOJC-SM-LC/PC-SC/PC</t>
        </is>
      </c>
      <c r="C752" s="2" t="inlineStr">
        <is>
          <t>908040164, 4M, B3, 3.0mm</t>
        </is>
      </c>
      <c r="D752" s="2" t="inlineStr">
        <is>
          <t>b3</t>
        </is>
      </c>
      <c r="E752" s="2" t="inlineStr">
        <is>
          <t>3.0mm</t>
        </is>
      </c>
      <c r="F752" s="2" t="n">
        <v>1</v>
      </c>
      <c r="G752" s="2" t="n">
        <v>4</v>
      </c>
      <c r="H752" s="2" t="inlineStr">
        <is>
          <t>LC/PC</t>
        </is>
      </c>
      <c r="I752" s="2" t="inlineStr">
        <is>
          <t>SC/PC</t>
        </is>
      </c>
      <c r="J752" s="2" t="n"/>
      <c r="K752" s="2" t="n"/>
      <c r="L752" s="2" t="n"/>
      <c r="M752" s="2" t="n"/>
      <c r="N752" s="2" t="n"/>
      <c r="O752" s="2" t="n">
        <v>100</v>
      </c>
      <c r="P752" s="2" t="n">
        <v>200</v>
      </c>
      <c r="Q752" s="2" t="n"/>
      <c r="R752" s="2" t="n"/>
      <c r="S752" s="2" t="n"/>
      <c r="T752" s="2" t="n"/>
      <c r="U752" s="2" t="n"/>
      <c r="V752" s="2">
        <f>SUM(J752:U752)*G752</f>
        <v/>
      </c>
      <c r="W752" s="2">
        <f>MAX(J752:U752)</f>
        <v/>
      </c>
      <c r="X752" s="2">
        <f>W752*G752</f>
        <v/>
      </c>
    </row>
    <row r="753">
      <c r="A753" s="2" t="inlineStr">
        <is>
          <t>A14-S-SA/FA-B-N-001</t>
        </is>
      </c>
      <c r="B753" s="3" t="inlineStr">
        <is>
          <t>SOJC-SM-SC/APC-FC/APC</t>
        </is>
      </c>
      <c r="C753" s="2" t="inlineStr">
        <is>
          <t>908040379, 10M,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1</v>
      </c>
      <c r="G753" s="2" t="n">
        <v>10</v>
      </c>
      <c r="H753" s="2" t="inlineStr">
        <is>
          <t>SC/APC</t>
        </is>
      </c>
      <c r="I753" s="2" t="inlineStr">
        <is>
          <t>FC/APC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>
        <v>15</v>
      </c>
      <c r="R753" s="2" t="n"/>
      <c r="S753" s="2" t="n"/>
      <c r="T753" s="2" t="n"/>
      <c r="U753" s="2" t="n"/>
      <c r="V753" s="2">
        <f>SUM(J753:U753)*G753</f>
        <v/>
      </c>
      <c r="W753" s="2">
        <f>MAX(J753:U753)</f>
        <v/>
      </c>
      <c r="X753" s="2">
        <f>W753*G753</f>
        <v/>
      </c>
    </row>
    <row r="754">
      <c r="A754" s="2" t="inlineStr">
        <is>
          <t>A14-S-SA/FA-B-N-003</t>
        </is>
      </c>
      <c r="B754" s="3" t="inlineStr">
        <is>
          <t>SOJC-SM-SC/APC-FC/APC</t>
        </is>
      </c>
      <c r="C754" s="2" t="inlineStr">
        <is>
          <t>908040384, 15M,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1</v>
      </c>
      <c r="G754" s="2" t="n">
        <v>15</v>
      </c>
      <c r="H754" s="2" t="inlineStr">
        <is>
          <t>SC/APC</t>
        </is>
      </c>
      <c r="I754" s="2" t="inlineStr">
        <is>
          <t>FC/APC</t>
        </is>
      </c>
      <c r="J754" s="2" t="n"/>
      <c r="K754" s="2" t="n"/>
      <c r="L754" s="2" t="n"/>
      <c r="M754" s="2" t="n"/>
      <c r="N754" s="2" t="n"/>
      <c r="O754" s="2" t="n">
        <v>10</v>
      </c>
      <c r="P754" s="2" t="n"/>
      <c r="Q754" s="2" t="n"/>
      <c r="R754" s="2" t="n"/>
      <c r="S754" s="2" t="n"/>
      <c r="T754" s="2" t="n"/>
      <c r="U754" s="2" t="n"/>
      <c r="V754" s="2">
        <f>SUM(J754:U754)*G754</f>
        <v/>
      </c>
      <c r="W754" s="2">
        <f>MAX(J754:U754)</f>
        <v/>
      </c>
      <c r="X754" s="2">
        <f>W754*G754</f>
        <v/>
      </c>
    </row>
    <row r="755">
      <c r="A755" s="2" t="inlineStr">
        <is>
          <t>A14-S-SA/FA-B-N-006</t>
        </is>
      </c>
      <c r="B755" s="3" t="inlineStr">
        <is>
          <t>SOJC-SM-SC/APC-FC/APC</t>
        </is>
      </c>
      <c r="C755" s="2" t="inlineStr">
        <is>
          <t>908040389, 20M,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1</v>
      </c>
      <c r="G755" s="2" t="n">
        <v>20</v>
      </c>
      <c r="H755" s="2" t="inlineStr">
        <is>
          <t>SC/APC</t>
        </is>
      </c>
      <c r="I755" s="2" t="inlineStr">
        <is>
          <t>FC/APC</t>
        </is>
      </c>
      <c r="J755" s="2" t="n"/>
      <c r="K755" s="2" t="n"/>
      <c r="L755" s="2" t="n"/>
      <c r="M755" s="2" t="n">
        <v>10</v>
      </c>
      <c r="N755" s="2" t="n">
        <v>25</v>
      </c>
      <c r="O755" s="2" t="n">
        <v>30</v>
      </c>
      <c r="P755" s="2" t="n"/>
      <c r="Q755" s="2" t="n">
        <v>35</v>
      </c>
      <c r="R755" s="2" t="n"/>
      <c r="S755" s="2" t="n"/>
      <c r="T755" s="2" t="n"/>
      <c r="U755" s="2" t="n"/>
      <c r="V755" s="2">
        <f>SUM(J755:U755)*G755</f>
        <v/>
      </c>
      <c r="W755" s="2">
        <f>MAX(J755:U755)</f>
        <v/>
      </c>
      <c r="X755" s="2">
        <f>W755*G755</f>
        <v/>
      </c>
    </row>
    <row r="756">
      <c r="A756" s="2" t="inlineStr">
        <is>
          <t>A14-S-SA/SA-B-N-012</t>
        </is>
      </c>
      <c r="B756" s="3" t="inlineStr">
        <is>
          <t>SOJC-SM-SC/APC-SC/APC</t>
        </is>
      </c>
      <c r="C756" s="2" t="inlineStr">
        <is>
          <t>908041456, 7M, B3, 2.0mm</t>
        </is>
      </c>
      <c r="D756" s="2" t="inlineStr">
        <is>
          <t>b3</t>
        </is>
      </c>
      <c r="E756" s="2" t="inlineStr">
        <is>
          <t>2.0mm</t>
        </is>
      </c>
      <c r="F756" s="2" t="n">
        <v>1</v>
      </c>
      <c r="G756" s="2" t="n">
        <v>7</v>
      </c>
      <c r="H756" s="2" t="inlineStr">
        <is>
          <t>SC/APC</t>
        </is>
      </c>
      <c r="I756" s="2" t="inlineStr">
        <is>
          <t>SC/APC</t>
        </is>
      </c>
      <c r="J756" s="2" t="n"/>
      <c r="K756" s="2" t="n"/>
      <c r="L756" s="2" t="n">
        <v>5</v>
      </c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>
        <f>SUM(J756:U756)*G756</f>
        <v/>
      </c>
      <c r="W756" s="2">
        <f>MAX(J756:U756)</f>
        <v/>
      </c>
      <c r="X756" s="2">
        <f>W756*G756</f>
        <v/>
      </c>
    </row>
    <row r="757">
      <c r="A757" s="2" t="inlineStr">
        <is>
          <t>A14-S-SP/FA-B-N-008</t>
        </is>
      </c>
      <c r="B757" s="3" t="inlineStr">
        <is>
          <t>SOJC-SM-SC/PC-FC/APC</t>
        </is>
      </c>
      <c r="C757" s="2" t="inlineStr">
        <is>
          <t>908040339, 30M, B3, 2.0mm</t>
        </is>
      </c>
      <c r="D757" s="2" t="inlineStr">
        <is>
          <t>b3</t>
        </is>
      </c>
      <c r="E757" s="2" t="inlineStr">
        <is>
          <t>2.0mm</t>
        </is>
      </c>
      <c r="F757" s="2" t="n">
        <v>1</v>
      </c>
      <c r="G757" s="2" t="n">
        <v>30</v>
      </c>
      <c r="H757" s="2" t="inlineStr">
        <is>
          <t>SC/PC</t>
        </is>
      </c>
      <c r="I757" s="2" t="inlineStr">
        <is>
          <t>FC/APC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>
        <v>10</v>
      </c>
      <c r="T757" s="2" t="n">
        <v>10</v>
      </c>
      <c r="U757" s="2" t="n"/>
      <c r="V757" s="2">
        <f>SUM(J757:U757)*G757</f>
        <v/>
      </c>
      <c r="W757" s="2">
        <f>MAX(J757:U757)</f>
        <v/>
      </c>
      <c r="X757" s="2">
        <f>W757*G757</f>
        <v/>
      </c>
    </row>
    <row r="758">
      <c r="A758" s="2" t="inlineStr">
        <is>
          <t>A14-S-SP/FA-B-N-012</t>
        </is>
      </c>
      <c r="B758" s="3" t="inlineStr">
        <is>
          <t>SOJC-SM-SC/PC-FC/APC</t>
        </is>
      </c>
      <c r="C758" s="2" t="inlineStr">
        <is>
          <t>908040315, 6M, B3, 2.0mm</t>
        </is>
      </c>
      <c r="D758" s="2" t="inlineStr">
        <is>
          <t>b3</t>
        </is>
      </c>
      <c r="E758" s="2" t="inlineStr">
        <is>
          <t>2.0mm</t>
        </is>
      </c>
      <c r="F758" s="2" t="n">
        <v>1</v>
      </c>
      <c r="G758" s="2" t="n">
        <v>6</v>
      </c>
      <c r="H758" s="2" t="inlineStr">
        <is>
          <t>SC/PC</t>
        </is>
      </c>
      <c r="I758" s="2" t="inlineStr">
        <is>
          <t>FC/APC</t>
        </is>
      </c>
      <c r="J758" s="2" t="n"/>
      <c r="K758" s="2" t="n"/>
      <c r="L758" s="2" t="n"/>
      <c r="M758" s="2" t="n"/>
      <c r="N758" s="2" t="n"/>
      <c r="O758" s="2" t="n"/>
      <c r="P758" s="2" t="n">
        <v>10</v>
      </c>
      <c r="Q758" s="2" t="n"/>
      <c r="R758" s="2" t="n"/>
      <c r="S758" s="2" t="n"/>
      <c r="T758" s="2" t="n"/>
      <c r="U758" s="2" t="n"/>
      <c r="V758" s="2">
        <f>SUM(J758:U758)*G758</f>
        <v/>
      </c>
      <c r="W758" s="2">
        <f>MAX(J758:U758)</f>
        <v/>
      </c>
      <c r="X758" s="2">
        <f>W758*G758</f>
        <v/>
      </c>
    </row>
    <row r="759">
      <c r="A759" s="2" t="inlineStr">
        <is>
          <t>A14-S-SP/FP-1-N-001</t>
        </is>
      </c>
      <c r="B759" s="3" t="inlineStr">
        <is>
          <t>SOJC-MM-SC/PC-FC/PC</t>
        </is>
      </c>
      <c r="C759" s="2" t="inlineStr">
        <is>
          <t>908040401, 1M</t>
        </is>
      </c>
      <c r="D759" s="2" t="inlineStr">
        <is>
          <t>om1</t>
        </is>
      </c>
      <c r="E759" s="2" t="inlineStr">
        <is>
          <t>2.0mm</t>
        </is>
      </c>
      <c r="F759" s="2" t="n">
        <v>1</v>
      </c>
      <c r="G759" s="2" t="n">
        <v>1</v>
      </c>
      <c r="H759" s="2" t="inlineStr">
        <is>
          <t>SC/PC</t>
        </is>
      </c>
      <c r="I759" s="2" t="inlineStr">
        <is>
          <t>FC/PC</t>
        </is>
      </c>
      <c r="J759" s="2" t="n"/>
      <c r="K759" s="2" t="n"/>
      <c r="L759" s="2" t="n">
        <v>3</v>
      </c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>
        <f>SUM(J759:U759)*G759</f>
        <v/>
      </c>
      <c r="W759" s="2">
        <f>MAX(J759:U759)</f>
        <v/>
      </c>
      <c r="X759" s="2">
        <f>W759*G759</f>
        <v/>
      </c>
    </row>
    <row r="760">
      <c r="A760" s="2" t="inlineStr">
        <is>
          <t>A14-S-SP/FP-B-N-003</t>
        </is>
      </c>
      <c r="B760" s="3" t="inlineStr">
        <is>
          <t>SOJC-SM-SC/PC-FC/PC</t>
        </is>
      </c>
      <c r="C760" s="2" t="inlineStr">
        <is>
          <t>908041372, 1M, B3, 3.0mm</t>
        </is>
      </c>
      <c r="D760" s="2" t="inlineStr">
        <is>
          <t>b3</t>
        </is>
      </c>
      <c r="E760" s="2" t="inlineStr">
        <is>
          <t>3.0mm</t>
        </is>
      </c>
      <c r="F760" s="2" t="n">
        <v>1</v>
      </c>
      <c r="G760" s="2" t="n">
        <v>1</v>
      </c>
      <c r="H760" s="2" t="inlineStr">
        <is>
          <t>SC/PC</t>
        </is>
      </c>
      <c r="I760" s="2" t="inlineStr">
        <is>
          <t>FC/PC</t>
        </is>
      </c>
      <c r="J760" s="2" t="n"/>
      <c r="K760" s="2" t="n"/>
      <c r="L760" s="2" t="n">
        <v>3</v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>
        <f>SUM(J760:U760)*G760</f>
        <v/>
      </c>
      <c r="W760" s="2">
        <f>MAX(J760:U760)</f>
        <v/>
      </c>
      <c r="X760" s="2">
        <f>W760*G760</f>
        <v/>
      </c>
    </row>
    <row r="761">
      <c r="A761" s="2" t="inlineStr">
        <is>
          <t>A14-S-SP/FP-B-N-008</t>
        </is>
      </c>
      <c r="B761" s="3" t="inlineStr">
        <is>
          <t>SOJC-SM-SC/PC-FC/PC</t>
        </is>
      </c>
      <c r="C761" s="2" t="inlineStr">
        <is>
          <t>908041371, 3M, B3, 3.0mm</t>
        </is>
      </c>
      <c r="D761" s="2" t="inlineStr">
        <is>
          <t>b3</t>
        </is>
      </c>
      <c r="E761" s="2" t="inlineStr">
        <is>
          <t>3.0mm</t>
        </is>
      </c>
      <c r="F761" s="2" t="n">
        <v>1</v>
      </c>
      <c r="G761" s="2" t="n">
        <v>3</v>
      </c>
      <c r="H761" s="2" t="inlineStr">
        <is>
          <t>SC/PC</t>
        </is>
      </c>
      <c r="I761" s="2" t="inlineStr">
        <is>
          <t>FC/PC</t>
        </is>
      </c>
      <c r="J761" s="2" t="n">
        <v>50</v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>
        <f>SUM(J761:U761)*G761</f>
        <v/>
      </c>
      <c r="W761" s="2">
        <f>MAX(J761:U761)</f>
        <v/>
      </c>
      <c r="X761" s="2">
        <f>W761*G761</f>
        <v/>
      </c>
    </row>
    <row r="762">
      <c r="A762" s="2" t="inlineStr">
        <is>
          <t>A14-S-SP/SA-B-N-013</t>
        </is>
      </c>
      <c r="B762" s="3" t="inlineStr">
        <is>
          <t>SOJC-SM-SC/PC-SC/APC</t>
        </is>
      </c>
      <c r="C762" s="2" t="inlineStr">
        <is>
          <t>908041426, 7M,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1</v>
      </c>
      <c r="G762" s="2" t="n">
        <v>7</v>
      </c>
      <c r="H762" s="2" t="inlineStr">
        <is>
          <t>SC/PC</t>
        </is>
      </c>
      <c r="I762" s="2" t="inlineStr">
        <is>
          <t>SC/APC</t>
        </is>
      </c>
      <c r="J762" s="2" t="n"/>
      <c r="K762" s="2" t="n"/>
      <c r="L762" s="2" t="n"/>
      <c r="M762" s="2" t="n"/>
      <c r="N762" s="2" t="n"/>
      <c r="O762" s="2" t="n"/>
      <c r="P762" s="2" t="n"/>
      <c r="Q762" s="2" t="n">
        <v>15</v>
      </c>
      <c r="R762" s="2" t="n"/>
      <c r="S762" s="2" t="n"/>
      <c r="T762" s="2" t="n"/>
      <c r="U762" s="2" t="n"/>
      <c r="V762" s="2">
        <f>SUM(J762:U762)*G762</f>
        <v/>
      </c>
      <c r="W762" s="2">
        <f>MAX(J762:U762)</f>
        <v/>
      </c>
      <c r="X762" s="2">
        <f>W762*G762</f>
        <v/>
      </c>
    </row>
    <row r="763">
      <c r="A763" s="2" t="inlineStr">
        <is>
          <t>A14-S-SP/SP-B-N-007</t>
        </is>
      </c>
      <c r="B763" s="3" t="inlineStr">
        <is>
          <t>SOJC-SM-SC/PC-SC/PC</t>
        </is>
      </c>
      <c r="C763" s="2" t="inlineStr">
        <is>
          <t>908041419, 30M,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1</v>
      </c>
      <c r="G763" s="2" t="n">
        <v>30</v>
      </c>
      <c r="H763" s="2" t="inlineStr">
        <is>
          <t>SC/PC</t>
        </is>
      </c>
      <c r="I763" s="2" t="inlineStr">
        <is>
          <t>SC/PC</t>
        </is>
      </c>
      <c r="J763" s="2" t="n"/>
      <c r="K763" s="2" t="n"/>
      <c r="L763" s="2" t="n"/>
      <c r="M763" s="2" t="n"/>
      <c r="N763" s="2" t="n"/>
      <c r="O763" s="2" t="n"/>
      <c r="P763" s="2" t="n"/>
      <c r="Q763" s="2" t="n">
        <v>1</v>
      </c>
      <c r="R763" s="2" t="n"/>
      <c r="S763" s="2" t="n"/>
      <c r="T763" s="2" t="n"/>
      <c r="U763" s="2" t="n">
        <v>10</v>
      </c>
      <c r="V763" s="2">
        <f>SUM(J763:U763)*G763</f>
        <v/>
      </c>
      <c r="W763" s="2">
        <f>MAX(J763:U763)</f>
        <v/>
      </c>
      <c r="X763" s="2">
        <f>W763*G763</f>
        <v/>
      </c>
    </row>
    <row r="764">
      <c r="A764" s="2" t="inlineStr">
        <is>
          <t>A14-SB-N018</t>
        </is>
      </c>
      <c r="B764" s="3" t="inlineStr">
        <is>
          <t>SOJC-MM-SC/PC-SC/PC</t>
        </is>
      </c>
      <c r="C764" s="2" t="inlineStr">
        <is>
          <t>908040111, 3M</t>
        </is>
      </c>
      <c r="D764" s="2" t="inlineStr">
        <is>
          <t>om1</t>
        </is>
      </c>
      <c r="E764" s="2" t="inlineStr">
        <is>
          <t>2.0mm</t>
        </is>
      </c>
      <c r="F764" s="2" t="n">
        <v>1</v>
      </c>
      <c r="G764" s="2" t="n">
        <v>3</v>
      </c>
      <c r="H764" s="2" t="inlineStr">
        <is>
          <t>SC/PC</t>
        </is>
      </c>
      <c r="I764" s="2" t="inlineStr">
        <is>
          <t>SC/PC</t>
        </is>
      </c>
      <c r="J764" s="2" t="n"/>
      <c r="K764" s="2" t="n">
        <v>150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>
        <f>SUM(J764:U764)*G764</f>
        <v/>
      </c>
      <c r="W764" s="2">
        <f>MAX(J764:U764)</f>
        <v/>
      </c>
      <c r="X764" s="2">
        <f>W764*G764</f>
        <v/>
      </c>
    </row>
    <row r="765">
      <c r="A765" s="2" t="inlineStr">
        <is>
          <t>A14-SB-N022</t>
        </is>
      </c>
      <c r="B765" s="3" t="inlineStr">
        <is>
          <t>SOJC-SM-FC/APC-FC/APC</t>
        </is>
      </c>
      <c r="C765" s="2" t="inlineStr">
        <is>
          <t>908041355, 15M,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1</v>
      </c>
      <c r="G765" s="2" t="n">
        <v>15</v>
      </c>
      <c r="H765" s="2" t="inlineStr">
        <is>
          <t>FC/APC</t>
        </is>
      </c>
      <c r="I765" s="2" t="inlineStr">
        <is>
          <t>FC/APC</t>
        </is>
      </c>
      <c r="J765" s="2" t="n"/>
      <c r="K765" s="2" t="n"/>
      <c r="L765" s="2" t="n"/>
      <c r="M765" s="2" t="n"/>
      <c r="N765" s="2" t="n"/>
      <c r="O765" s="2" t="n">
        <v>10</v>
      </c>
      <c r="P765" s="2" t="n"/>
      <c r="Q765" s="2" t="n"/>
      <c r="R765" s="2" t="n"/>
      <c r="S765" s="2" t="n"/>
      <c r="T765" s="2" t="n"/>
      <c r="U765" s="2" t="n"/>
      <c r="V765" s="2">
        <f>SUM(J765:U765)*G765</f>
        <v/>
      </c>
      <c r="W765" s="2">
        <f>MAX(J765:U765)</f>
        <v/>
      </c>
      <c r="X765" s="2">
        <f>W765*G765</f>
        <v/>
      </c>
    </row>
    <row r="766">
      <c r="A766" s="2" t="inlineStr">
        <is>
          <t>A14-SB-N048</t>
        </is>
      </c>
      <c r="B766" s="3" t="inlineStr">
        <is>
          <t>SOJC-SM-LC/PC-FC/APC</t>
        </is>
      </c>
      <c r="C766" s="2" t="inlineStr">
        <is>
          <t>930001505, 10M,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1</v>
      </c>
      <c r="G766" s="2" t="n">
        <v>10</v>
      </c>
      <c r="H766" s="2" t="inlineStr">
        <is>
          <t>LC/PC</t>
        </is>
      </c>
      <c r="I766" s="2" t="inlineStr">
        <is>
          <t>FC/APC</t>
        </is>
      </c>
      <c r="J766" s="2" t="n">
        <v>30</v>
      </c>
      <c r="K766" s="2" t="n"/>
      <c r="L766" s="2" t="n">
        <v>7</v>
      </c>
      <c r="M766" s="2" t="n">
        <v>30</v>
      </c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>
        <f>SUM(J766:U766)*G766</f>
        <v/>
      </c>
      <c r="W766" s="2">
        <f>MAX(J766:U766)</f>
        <v/>
      </c>
      <c r="X766" s="2">
        <f>W766*G766</f>
        <v/>
      </c>
    </row>
    <row r="767">
      <c r="A767" s="2" t="inlineStr">
        <is>
          <t>A14-SB-N050</t>
        </is>
      </c>
      <c r="B767" s="3" t="inlineStr">
        <is>
          <t>SOJC-SM-LC/PC-FC/APC</t>
        </is>
      </c>
      <c r="C767" s="2" t="inlineStr">
        <is>
          <t>13M,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1</v>
      </c>
      <c r="G767" s="2" t="n">
        <v>13</v>
      </c>
      <c r="H767" s="2" t="inlineStr">
        <is>
          <t>LC/PC</t>
        </is>
      </c>
      <c r="I767" s="2" t="inlineStr">
        <is>
          <t>FC/APC</t>
        </is>
      </c>
      <c r="J767" s="2" t="n"/>
      <c r="K767" s="2" t="n"/>
      <c r="L767" s="2" t="n"/>
      <c r="M767" s="2" t="n"/>
      <c r="N767" s="2" t="n"/>
      <c r="O767" s="2" t="n">
        <v>30</v>
      </c>
      <c r="P767" s="2" t="n"/>
      <c r="Q767" s="2" t="n"/>
      <c r="R767" s="2" t="n"/>
      <c r="S767" s="2" t="n"/>
      <c r="T767" s="2" t="n"/>
      <c r="U767" s="2" t="n"/>
      <c r="V767" s="2">
        <f>SUM(J767:U767)*G767</f>
        <v/>
      </c>
      <c r="W767" s="2">
        <f>MAX(J767:U767)</f>
        <v/>
      </c>
      <c r="X767" s="2">
        <f>W767*G767</f>
        <v/>
      </c>
    </row>
    <row r="768">
      <c r="A768" s="2" t="inlineStr">
        <is>
          <t>A14-SB-N052</t>
        </is>
      </c>
      <c r="B768" s="3" t="inlineStr">
        <is>
          <t>SOJC-SM-LC/PC-FC/APC</t>
        </is>
      </c>
      <c r="C768" s="2" t="inlineStr">
        <is>
          <t>930001510, 15M, B3, 2.0mm</t>
        </is>
      </c>
      <c r="D768" s="2" t="inlineStr">
        <is>
          <t>b3</t>
        </is>
      </c>
      <c r="E768" s="2" t="inlineStr">
        <is>
          <t>2.0mm</t>
        </is>
      </c>
      <c r="F768" s="2" t="n">
        <v>1</v>
      </c>
      <c r="G768" s="2" t="n">
        <v>15</v>
      </c>
      <c r="H768" s="2" t="inlineStr">
        <is>
          <t>LC/PC</t>
        </is>
      </c>
      <c r="I768" s="2" t="inlineStr">
        <is>
          <t>FC/APC</t>
        </is>
      </c>
      <c r="J768" s="2" t="n">
        <v>100</v>
      </c>
      <c r="K768" s="2" t="n"/>
      <c r="L768" s="2" t="n">
        <v>2</v>
      </c>
      <c r="M768" s="2" t="n">
        <v>55</v>
      </c>
      <c r="N768" s="2" t="n">
        <v>22</v>
      </c>
      <c r="O768" s="2" t="n">
        <v>30</v>
      </c>
      <c r="P768" s="2" t="n"/>
      <c r="Q768" s="2" t="n"/>
      <c r="R768" s="2" t="n"/>
      <c r="S768" s="2" t="n"/>
      <c r="T768" s="2" t="n"/>
      <c r="U768" s="2" t="n"/>
      <c r="V768" s="2">
        <f>SUM(J768:U768)*G768</f>
        <v/>
      </c>
      <c r="W768" s="2">
        <f>MAX(J768:U768)</f>
        <v/>
      </c>
      <c r="X768" s="2">
        <f>W768*G768</f>
        <v/>
      </c>
    </row>
    <row r="769">
      <c r="A769" s="2" t="inlineStr">
        <is>
          <t>A14-SB-N056</t>
        </is>
      </c>
      <c r="B769" s="3" t="inlineStr">
        <is>
          <t>SOJC-SM-LC/PC-FC/APC</t>
        </is>
      </c>
      <c r="C769" s="2" t="inlineStr">
        <is>
          <t>930001515, 20M, B3, 2.0mm</t>
        </is>
      </c>
      <c r="D769" s="2" t="inlineStr">
        <is>
          <t>b3</t>
        </is>
      </c>
      <c r="E769" s="2" t="inlineStr">
        <is>
          <t>2.0mm</t>
        </is>
      </c>
      <c r="F769" s="2" t="n">
        <v>1</v>
      </c>
      <c r="G769" s="2" t="n">
        <v>20</v>
      </c>
      <c r="H769" s="2" t="inlineStr">
        <is>
          <t>LC/PC</t>
        </is>
      </c>
      <c r="I769" s="2" t="inlineStr">
        <is>
          <t>FC/APC</t>
        </is>
      </c>
      <c r="J769" s="2" t="n"/>
      <c r="K769" s="2" t="n">
        <v>9</v>
      </c>
      <c r="L769" s="2" t="n">
        <v>5</v>
      </c>
      <c r="M769" s="2" t="n">
        <v>30</v>
      </c>
      <c r="N769" s="2" t="n"/>
      <c r="O769" s="2" t="n">
        <v>20</v>
      </c>
      <c r="P769" s="2" t="n"/>
      <c r="Q769" s="2" t="n"/>
      <c r="R769" s="2" t="n"/>
      <c r="S769" s="2" t="n">
        <v>10</v>
      </c>
      <c r="T769" s="2" t="n"/>
      <c r="U769" s="2" t="n"/>
      <c r="V769" s="2">
        <f>SUM(J769:U769)*G769</f>
        <v/>
      </c>
      <c r="W769" s="2">
        <f>MAX(J769:U769)</f>
        <v/>
      </c>
      <c r="X769" s="2">
        <f>W769*G769</f>
        <v/>
      </c>
    </row>
    <row r="770">
      <c r="A770" s="2" t="inlineStr">
        <is>
          <t>A14-SB-N068</t>
        </is>
      </c>
      <c r="B770" s="3" t="inlineStr">
        <is>
          <t>SOJC-SM-LC/PC-FC/PC</t>
        </is>
      </c>
      <c r="C770" s="2" t="inlineStr">
        <is>
          <t>908040140, 10M,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1</v>
      </c>
      <c r="G770" s="2" t="n">
        <v>10</v>
      </c>
      <c r="H770" s="2" t="inlineStr">
        <is>
          <t>LC/PC</t>
        </is>
      </c>
      <c r="I770" s="2" t="inlineStr">
        <is>
          <t>FC/PC</t>
        </is>
      </c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>
        <v>27</v>
      </c>
      <c r="V770" s="2">
        <f>SUM(J770:U770)*G770</f>
        <v/>
      </c>
      <c r="W770" s="2">
        <f>MAX(J770:U770)</f>
        <v/>
      </c>
      <c r="X770" s="2">
        <f>W770*G770</f>
        <v/>
      </c>
    </row>
    <row r="771">
      <c r="A771" s="2" t="inlineStr">
        <is>
          <t>A14-SB-N071</t>
        </is>
      </c>
      <c r="B771" s="3" t="inlineStr">
        <is>
          <t>SOJC-SM-LC/PC-FC/PC</t>
        </is>
      </c>
      <c r="C771" s="2" t="inlineStr">
        <is>
          <t>908040150, 20M,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1</v>
      </c>
      <c r="G771" s="2" t="n">
        <v>20</v>
      </c>
      <c r="H771" s="2" t="inlineStr">
        <is>
          <t>LC/PC</t>
        </is>
      </c>
      <c r="I771" s="2" t="inlineStr">
        <is>
          <t>FC/PC</t>
        </is>
      </c>
      <c r="J771" s="2" t="n">
        <v>50</v>
      </c>
      <c r="K771" s="2" t="n"/>
      <c r="L771" s="2" t="n"/>
      <c r="M771" s="2" t="n"/>
      <c r="N771" s="2" t="n">
        <v>10</v>
      </c>
      <c r="O771" s="2" t="n"/>
      <c r="P771" s="2" t="n"/>
      <c r="Q771" s="2" t="n"/>
      <c r="R771" s="2" t="n"/>
      <c r="S771" s="2" t="n"/>
      <c r="T771" s="2" t="n"/>
      <c r="U771" s="2" t="n"/>
      <c r="V771" s="2">
        <f>SUM(J771:U771)*G771</f>
        <v/>
      </c>
      <c r="W771" s="2">
        <f>MAX(J771:U771)</f>
        <v/>
      </c>
      <c r="X771" s="2">
        <f>W771*G771</f>
        <v/>
      </c>
    </row>
    <row r="772">
      <c r="A772" s="2" t="inlineStr">
        <is>
          <t>A14-SB-N080</t>
        </is>
      </c>
      <c r="B772" s="3" t="inlineStr">
        <is>
          <t>SOJC-SM-LC/PC-LC/APC</t>
        </is>
      </c>
      <c r="C772" s="2" t="inlineStr">
        <is>
          <t>15M,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1</v>
      </c>
      <c r="G772" s="2" t="n">
        <v>15</v>
      </c>
      <c r="H772" s="2" t="inlineStr">
        <is>
          <t>LC/PC</t>
        </is>
      </c>
      <c r="I772" s="2" t="inlineStr">
        <is>
          <t>LC/APC</t>
        </is>
      </c>
      <c r="J772" s="2" t="n">
        <v>8</v>
      </c>
      <c r="K772" s="2" t="n"/>
      <c r="L772" s="2" t="n">
        <v>10</v>
      </c>
      <c r="M772" s="2" t="n">
        <v>10</v>
      </c>
      <c r="N772" s="2" t="n"/>
      <c r="O772" s="2" t="n">
        <v>10</v>
      </c>
      <c r="P772" s="2" t="n">
        <v>6</v>
      </c>
      <c r="Q772" s="2" t="n"/>
      <c r="R772" s="2" t="n">
        <v>4</v>
      </c>
      <c r="S772" s="2" t="n"/>
      <c r="T772" s="2" t="n"/>
      <c r="U772" s="2" t="n">
        <v>10</v>
      </c>
      <c r="V772" s="2">
        <f>SUM(J772:U772)*G772</f>
        <v/>
      </c>
      <c r="W772" s="2">
        <f>MAX(J772:U772)</f>
        <v/>
      </c>
      <c r="X772" s="2">
        <f>W772*G772</f>
        <v/>
      </c>
    </row>
    <row r="773">
      <c r="A773" s="2" t="inlineStr">
        <is>
          <t>A14-SB-N081</t>
        </is>
      </c>
      <c r="B773" s="3" t="inlineStr">
        <is>
          <t>SOJC-SM-LC/PC-LC/APC</t>
        </is>
      </c>
      <c r="C773" s="2" t="inlineStr">
        <is>
          <t>20M,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1</v>
      </c>
      <c r="G773" s="2" t="n">
        <v>20</v>
      </c>
      <c r="H773" s="2" t="inlineStr">
        <is>
          <t>LC/PC</t>
        </is>
      </c>
      <c r="I773" s="2" t="inlineStr">
        <is>
          <t>LC/APC</t>
        </is>
      </c>
      <c r="J773" s="2" t="n"/>
      <c r="K773" s="2" t="n"/>
      <c r="L773" s="2" t="n">
        <v>10</v>
      </c>
      <c r="M773" s="2" t="n"/>
      <c r="N773" s="2" t="n"/>
      <c r="O773" s="2" t="n">
        <v>10</v>
      </c>
      <c r="P773" s="2" t="n">
        <v>16</v>
      </c>
      <c r="Q773" s="2" t="n">
        <v>3</v>
      </c>
      <c r="R773" s="2" t="n"/>
      <c r="S773" s="2" t="n"/>
      <c r="T773" s="2" t="n"/>
      <c r="U773" s="2" t="n">
        <v>5</v>
      </c>
      <c r="V773" s="2">
        <f>SUM(J773:U773)*G773</f>
        <v/>
      </c>
      <c r="W773" s="2">
        <f>MAX(J773:U773)</f>
        <v/>
      </c>
      <c r="X773" s="2">
        <f>W773*G773</f>
        <v/>
      </c>
    </row>
    <row r="774">
      <c r="A774" s="2" t="inlineStr">
        <is>
          <t>A14-SB-N082</t>
        </is>
      </c>
      <c r="B774" s="3" t="inlineStr">
        <is>
          <t>SOJC-SM-LC/PC-LC/APC</t>
        </is>
      </c>
      <c r="C774" s="2" t="inlineStr">
        <is>
          <t>25M, B3, 2.0mm</t>
        </is>
      </c>
      <c r="D774" s="2" t="inlineStr">
        <is>
          <t>b3</t>
        </is>
      </c>
      <c r="E774" s="2" t="inlineStr">
        <is>
          <t>2.0mm</t>
        </is>
      </c>
      <c r="F774" s="2" t="n">
        <v>1</v>
      </c>
      <c r="G774" s="2" t="n">
        <v>25</v>
      </c>
      <c r="H774" s="2" t="inlineStr">
        <is>
          <t>LC/PC</t>
        </is>
      </c>
      <c r="I774" s="2" t="inlineStr">
        <is>
          <t>LC/APC</t>
        </is>
      </c>
      <c r="J774" s="2" t="n"/>
      <c r="K774" s="2" t="n"/>
      <c r="L774" s="2" t="n"/>
      <c r="M774" s="2" t="n"/>
      <c r="N774" s="2" t="n"/>
      <c r="O774" s="2" t="n"/>
      <c r="P774" s="2" t="n">
        <v>10</v>
      </c>
      <c r="Q774" s="2" t="n"/>
      <c r="R774" s="2" t="n">
        <v>1</v>
      </c>
      <c r="S774" s="2" t="n"/>
      <c r="T774" s="2" t="n"/>
      <c r="U774" s="2" t="n"/>
      <c r="V774" s="2">
        <f>SUM(J774:U774)*G774</f>
        <v/>
      </c>
      <c r="W774" s="2">
        <f>MAX(J774:U774)</f>
        <v/>
      </c>
      <c r="X774" s="2">
        <f>W774*G774</f>
        <v/>
      </c>
    </row>
    <row r="775">
      <c r="A775" s="2" t="inlineStr">
        <is>
          <t>A14-SB-N086</t>
        </is>
      </c>
      <c r="B775" s="3" t="inlineStr">
        <is>
          <t>SOJC-SM-LC/PC-LC/PC</t>
        </is>
      </c>
      <c r="C775" s="2" t="inlineStr">
        <is>
          <t>908040269, 10M, B3, 2.0mm</t>
        </is>
      </c>
      <c r="D775" s="2" t="inlineStr">
        <is>
          <t>b3</t>
        </is>
      </c>
      <c r="E775" s="2" t="inlineStr">
        <is>
          <t>2.0mm</t>
        </is>
      </c>
      <c r="F775" s="2" t="n">
        <v>1</v>
      </c>
      <c r="G775" s="2" t="n">
        <v>10</v>
      </c>
      <c r="H775" s="2" t="inlineStr">
        <is>
          <t>LC/PC</t>
        </is>
      </c>
      <c r="I775" s="2" t="inlineStr">
        <is>
          <t>LC/PC</t>
        </is>
      </c>
      <c r="J775" s="2" t="n">
        <v>100</v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>
        <v>363</v>
      </c>
      <c r="T775" s="2" t="n">
        <v>50</v>
      </c>
      <c r="U775" s="2" t="n"/>
      <c r="V775" s="2">
        <f>SUM(J775:U775)*G775</f>
        <v/>
      </c>
      <c r="W775" s="2">
        <f>MAX(J775:U775)</f>
        <v/>
      </c>
      <c r="X775" s="2">
        <f>W775*G775</f>
        <v/>
      </c>
    </row>
    <row r="776">
      <c r="A776" s="2" t="inlineStr">
        <is>
          <t>A14-SB-N088</t>
        </is>
      </c>
      <c r="B776" s="3" t="inlineStr">
        <is>
          <t>SOJC-SM-LC/PC-LC/PC</t>
        </is>
      </c>
      <c r="C776" s="2" t="inlineStr">
        <is>
          <t>13M, B3, 2.0mm</t>
        </is>
      </c>
      <c r="D776" s="2" t="inlineStr">
        <is>
          <t>b3</t>
        </is>
      </c>
      <c r="E776" s="2" t="inlineStr">
        <is>
          <t>2.0mm</t>
        </is>
      </c>
      <c r="F776" s="2" t="n">
        <v>1</v>
      </c>
      <c r="G776" s="2" t="n">
        <v>13</v>
      </c>
      <c r="H776" s="2" t="inlineStr">
        <is>
          <t>LC/PC</t>
        </is>
      </c>
      <c r="I776" s="2" t="inlineStr">
        <is>
          <t>LC/PC</t>
        </is>
      </c>
      <c r="J776" s="2" t="n"/>
      <c r="K776" s="2" t="n">
        <v>10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>
        <v>10</v>
      </c>
      <c r="V776" s="2">
        <f>SUM(J776:U776)*G776</f>
        <v/>
      </c>
      <c r="W776" s="2">
        <f>MAX(J776:U776)</f>
        <v/>
      </c>
      <c r="X776" s="2">
        <f>W776*G776</f>
        <v/>
      </c>
    </row>
    <row r="777">
      <c r="A777" s="2" t="inlineStr">
        <is>
          <t>A14-SB-N089</t>
        </is>
      </c>
      <c r="B777" s="3" t="inlineStr">
        <is>
          <t>SOJC-SM-LC/PC-LC/PC</t>
        </is>
      </c>
      <c r="C777" s="2" t="inlineStr">
        <is>
          <t>908040274, 15M, B3, 2.0mm</t>
        </is>
      </c>
      <c r="D777" s="2" t="inlineStr">
        <is>
          <t>b3</t>
        </is>
      </c>
      <c r="E777" s="2" t="inlineStr">
        <is>
          <t>2.0mm</t>
        </is>
      </c>
      <c r="F777" s="2" t="n">
        <v>1</v>
      </c>
      <c r="G777" s="2" t="n">
        <v>15</v>
      </c>
      <c r="H777" s="2" t="inlineStr">
        <is>
          <t>LC/PC</t>
        </is>
      </c>
      <c r="I777" s="2" t="inlineStr">
        <is>
          <t>LC/PC</t>
        </is>
      </c>
      <c r="J777" s="2" t="n"/>
      <c r="K777" s="2" t="n"/>
      <c r="L777" s="2" t="n"/>
      <c r="M777" s="2" t="n"/>
      <c r="N777" s="2" t="n"/>
      <c r="O777" s="2" t="n"/>
      <c r="P777" s="2" t="n">
        <v>22</v>
      </c>
      <c r="Q777" s="2" t="n">
        <v>150</v>
      </c>
      <c r="R777" s="2" t="n">
        <v>30</v>
      </c>
      <c r="S777" s="2" t="n">
        <v>60</v>
      </c>
      <c r="T777" s="2" t="n">
        <v>550</v>
      </c>
      <c r="U777" s="2" t="n"/>
      <c r="V777" s="2">
        <f>SUM(J777:U777)*G777</f>
        <v/>
      </c>
      <c r="W777" s="2">
        <f>MAX(J777:U777)</f>
        <v/>
      </c>
      <c r="X777" s="2">
        <f>W777*G777</f>
        <v/>
      </c>
    </row>
    <row r="778">
      <c r="A778" s="2" t="inlineStr">
        <is>
          <t>A14-SB-N092</t>
        </is>
      </c>
      <c r="B778" s="3" t="inlineStr">
        <is>
          <t>SOJC-SM-LC/PC-LC/PC</t>
        </is>
      </c>
      <c r="C778" s="2" t="inlineStr">
        <is>
          <t>18M, B3, 2.0mm</t>
        </is>
      </c>
      <c r="D778" s="2" t="inlineStr">
        <is>
          <t>b3</t>
        </is>
      </c>
      <c r="E778" s="2" t="inlineStr">
        <is>
          <t>2.0mm</t>
        </is>
      </c>
      <c r="F778" s="2" t="n">
        <v>1</v>
      </c>
      <c r="G778" s="2" t="n">
        <v>18</v>
      </c>
      <c r="H778" s="2" t="inlineStr">
        <is>
          <t>LC/PC</t>
        </is>
      </c>
      <c r="I778" s="2" t="inlineStr">
        <is>
          <t>LC/PC</t>
        </is>
      </c>
      <c r="J778" s="2" t="n"/>
      <c r="K778" s="2" t="n"/>
      <c r="L778" s="2" t="n"/>
      <c r="M778" s="2" t="n"/>
      <c r="N778" s="2" t="n"/>
      <c r="O778" s="2" t="n"/>
      <c r="P778" s="2" t="n">
        <v>56</v>
      </c>
      <c r="Q778" s="2" t="n"/>
      <c r="R778" s="2" t="n"/>
      <c r="S778" s="2" t="n"/>
      <c r="T778" s="2" t="n"/>
      <c r="U778" s="2" t="n"/>
      <c r="V778" s="2">
        <f>SUM(J778:U778)*G778</f>
        <v/>
      </c>
      <c r="W778" s="2">
        <f>MAX(J778:U778)</f>
        <v/>
      </c>
      <c r="X778" s="2">
        <f>W778*G778</f>
        <v/>
      </c>
    </row>
    <row r="779">
      <c r="A779" s="2" t="inlineStr">
        <is>
          <t>A14-SB-N093</t>
        </is>
      </c>
      <c r="B779" s="3" t="inlineStr">
        <is>
          <t>SOJC-SM-LC/PC-LC/PC</t>
        </is>
      </c>
      <c r="C779" s="2" t="inlineStr">
        <is>
          <t>908040261, 1M, B3, 3.0mm</t>
        </is>
      </c>
      <c r="D779" s="2" t="inlineStr">
        <is>
          <t>b3</t>
        </is>
      </c>
      <c r="E779" s="2" t="inlineStr">
        <is>
          <t>3.0mm</t>
        </is>
      </c>
      <c r="F779" s="2" t="n">
        <v>1</v>
      </c>
      <c r="G779" s="2" t="n">
        <v>1</v>
      </c>
      <c r="H779" s="2" t="inlineStr">
        <is>
          <t>LC/PC</t>
        </is>
      </c>
      <c r="I779" s="2" t="inlineStr">
        <is>
          <t>LC/PC</t>
        </is>
      </c>
      <c r="J779" s="2" t="n"/>
      <c r="K779" s="2" t="n"/>
      <c r="L779" s="2" t="n"/>
      <c r="M779" s="2" t="n">
        <v>30</v>
      </c>
      <c r="N779" s="2" t="n">
        <v>28</v>
      </c>
      <c r="O779" s="2" t="n"/>
      <c r="P779" s="2" t="n">
        <v>70</v>
      </c>
      <c r="Q779" s="2" t="n"/>
      <c r="R779" s="2" t="n"/>
      <c r="S779" s="2" t="n">
        <v>50</v>
      </c>
      <c r="T779" s="2" t="n"/>
      <c r="U779" s="2" t="n"/>
      <c r="V779" s="2">
        <f>SUM(J779:U779)*G779</f>
        <v/>
      </c>
      <c r="W779" s="2">
        <f>MAX(J779:U779)</f>
        <v/>
      </c>
      <c r="X779" s="2">
        <f>W779*G779</f>
        <v/>
      </c>
    </row>
    <row r="780">
      <c r="A780" s="2" t="inlineStr">
        <is>
          <t>A14-SB-N094</t>
        </is>
      </c>
      <c r="B780" s="3" t="inlineStr">
        <is>
          <t>SOJC-SM-LC/PC-LC/PC</t>
        </is>
      </c>
      <c r="C780" s="2" t="inlineStr">
        <is>
          <t>908040279, 20M, B3, 2.0mm</t>
        </is>
      </c>
      <c r="D780" s="2" t="inlineStr">
        <is>
          <t>b3</t>
        </is>
      </c>
      <c r="E780" s="2" t="inlineStr">
        <is>
          <t>2.0mm</t>
        </is>
      </c>
      <c r="F780" s="2" t="n">
        <v>1</v>
      </c>
      <c r="G780" s="2" t="n">
        <v>20</v>
      </c>
      <c r="H780" s="2" t="inlineStr">
        <is>
          <t>LC/PC</t>
        </is>
      </c>
      <c r="I780" s="2" t="inlineStr">
        <is>
          <t>LC/PC</t>
        </is>
      </c>
      <c r="J780" s="2" t="n"/>
      <c r="K780" s="2" t="n"/>
      <c r="L780" s="2" t="n">
        <v>5</v>
      </c>
      <c r="M780" s="2" t="n"/>
      <c r="N780" s="2" t="n"/>
      <c r="O780" s="2" t="n"/>
      <c r="P780" s="2" t="n"/>
      <c r="Q780" s="2" t="n"/>
      <c r="R780" s="2" t="n"/>
      <c r="S780" s="2" t="n"/>
      <c r="T780" s="2" t="n">
        <v>12</v>
      </c>
      <c r="U780" s="2" t="n"/>
      <c r="V780" s="2">
        <f>SUM(J780:U780)*G780</f>
        <v/>
      </c>
      <c r="W780" s="2">
        <f>MAX(J780:U780)</f>
        <v/>
      </c>
      <c r="X780" s="2">
        <f>W780*G780</f>
        <v/>
      </c>
    </row>
    <row r="781">
      <c r="A781" s="2" t="inlineStr">
        <is>
          <t>A14-SB-N096</t>
        </is>
      </c>
      <c r="B781" s="3" t="inlineStr">
        <is>
          <t>SOJC-SM-LC/PC-LC/PC</t>
        </is>
      </c>
      <c r="C781" s="2" t="inlineStr">
        <is>
          <t>908040284, 25M, B3, 2.0mm</t>
        </is>
      </c>
      <c r="D781" s="2" t="inlineStr">
        <is>
          <t>b3</t>
        </is>
      </c>
      <c r="E781" s="2" t="inlineStr">
        <is>
          <t>2.0mm</t>
        </is>
      </c>
      <c r="F781" s="2" t="n">
        <v>1</v>
      </c>
      <c r="G781" s="2" t="n">
        <v>25</v>
      </c>
      <c r="H781" s="2" t="inlineStr">
        <is>
          <t>LC/PC</t>
        </is>
      </c>
      <c r="I781" s="2" t="inlineStr">
        <is>
          <t>LC/PC</t>
        </is>
      </c>
      <c r="J781" s="2" t="n"/>
      <c r="K781" s="2" t="n"/>
      <c r="L781" s="2" t="n">
        <v>2</v>
      </c>
      <c r="M781" s="2" t="n"/>
      <c r="N781" s="2" t="n">
        <v>2</v>
      </c>
      <c r="O781" s="2" t="n"/>
      <c r="P781" s="2" t="n"/>
      <c r="Q781" s="2" t="n"/>
      <c r="R781" s="2" t="n"/>
      <c r="S781" s="2" t="n">
        <v>30</v>
      </c>
      <c r="T781" s="2" t="n">
        <v>155</v>
      </c>
      <c r="U781" s="2" t="n"/>
      <c r="V781" s="2">
        <f>SUM(J781:U781)*G781</f>
        <v/>
      </c>
      <c r="W781" s="2">
        <f>MAX(J781:U781)</f>
        <v/>
      </c>
      <c r="X781" s="2">
        <f>W781*G781</f>
        <v/>
      </c>
    </row>
    <row r="782">
      <c r="A782" s="2" t="inlineStr">
        <is>
          <t>A14-SB-N097</t>
        </is>
      </c>
      <c r="B782" s="3" t="inlineStr">
        <is>
          <t>SOJC-SM-LC/PC-LC/PC</t>
        </is>
      </c>
      <c r="C782" s="2" t="inlineStr">
        <is>
          <t>908040262, 2M, B3, 3.0mm</t>
        </is>
      </c>
      <c r="D782" s="2" t="inlineStr">
        <is>
          <t>b3</t>
        </is>
      </c>
      <c r="E782" s="2" t="inlineStr">
        <is>
          <t>3.0mm</t>
        </is>
      </c>
      <c r="F782" s="2" t="n">
        <v>1</v>
      </c>
      <c r="G782" s="2" t="n">
        <v>2</v>
      </c>
      <c r="H782" s="2" t="inlineStr">
        <is>
          <t>LC/PC</t>
        </is>
      </c>
      <c r="I782" s="2" t="inlineStr">
        <is>
          <t>LC/PC</t>
        </is>
      </c>
      <c r="J782" s="2" t="n"/>
      <c r="K782" s="2" t="n"/>
      <c r="L782" s="2" t="n"/>
      <c r="M782" s="2" t="n"/>
      <c r="N782" s="2" t="n"/>
      <c r="O782" s="2" t="n"/>
      <c r="P782" s="2" t="n"/>
      <c r="Q782" s="2" t="n">
        <v>16</v>
      </c>
      <c r="R782" s="2" t="n"/>
      <c r="S782" s="2" t="n"/>
      <c r="T782" s="2" t="n"/>
      <c r="U782" s="2" t="n"/>
      <c r="V782" s="2">
        <f>SUM(J782:U782)*G782</f>
        <v/>
      </c>
      <c r="W782" s="2">
        <f>MAX(J782:U782)</f>
        <v/>
      </c>
      <c r="X782" s="2">
        <f>W782*G782</f>
        <v/>
      </c>
    </row>
    <row r="783">
      <c r="A783" s="2" t="inlineStr">
        <is>
          <t>A14-SB-N098</t>
        </is>
      </c>
      <c r="B783" s="3" t="inlineStr">
        <is>
          <t>SOJC-SM-LC/PC-LC/PC</t>
        </is>
      </c>
      <c r="C783" s="2" t="inlineStr">
        <is>
          <t>908040289, 30M, B3, 2.0mm</t>
        </is>
      </c>
      <c r="D783" s="2" t="inlineStr">
        <is>
          <t>b3</t>
        </is>
      </c>
      <c r="E783" s="2" t="inlineStr">
        <is>
          <t>2.0mm</t>
        </is>
      </c>
      <c r="F783" s="2" t="n">
        <v>1</v>
      </c>
      <c r="G783" s="2" t="n">
        <v>30</v>
      </c>
      <c r="H783" s="2" t="inlineStr">
        <is>
          <t>LC/PC</t>
        </is>
      </c>
      <c r="I783" s="2" t="inlineStr">
        <is>
          <t>LC/PC</t>
        </is>
      </c>
      <c r="J783" s="2" t="n"/>
      <c r="K783" s="2" t="n"/>
      <c r="L783" s="2" t="n"/>
      <c r="M783" s="2" t="n"/>
      <c r="N783" s="2" t="n"/>
      <c r="O783" s="2" t="n"/>
      <c r="P783" s="2" t="n">
        <v>13</v>
      </c>
      <c r="Q783" s="2" t="n"/>
      <c r="R783" s="2" t="n"/>
      <c r="S783" s="2" t="n"/>
      <c r="T783" s="2" t="n">
        <v>10</v>
      </c>
      <c r="U783" s="2" t="n">
        <v>2</v>
      </c>
      <c r="V783" s="2">
        <f>SUM(J783:U783)*G783</f>
        <v/>
      </c>
      <c r="W783" s="2">
        <f>MAX(J783:U783)</f>
        <v/>
      </c>
      <c r="X783" s="2">
        <f>W783*G783</f>
        <v/>
      </c>
    </row>
    <row r="784">
      <c r="A784" s="2" t="inlineStr">
        <is>
          <t>A14-SB-N104</t>
        </is>
      </c>
      <c r="B784" s="3" t="inlineStr">
        <is>
          <t>SOJC-SM-LC/PC-LC/PC</t>
        </is>
      </c>
      <c r="C784" s="2" t="inlineStr">
        <is>
          <t>908040264, 5M, B3, 3.0mm</t>
        </is>
      </c>
      <c r="D784" s="2" t="inlineStr">
        <is>
          <t>b3</t>
        </is>
      </c>
      <c r="E784" s="2" t="inlineStr">
        <is>
          <t>3.0mm</t>
        </is>
      </c>
      <c r="F784" s="2" t="n">
        <v>1</v>
      </c>
      <c r="G784" s="2" t="n">
        <v>5</v>
      </c>
      <c r="H784" s="2" t="inlineStr">
        <is>
          <t>LC/PC</t>
        </is>
      </c>
      <c r="I784" s="2" t="inlineStr">
        <is>
          <t>LC/PC</t>
        </is>
      </c>
      <c r="J784" s="2" t="n"/>
      <c r="K784" s="2" t="n">
        <v>140</v>
      </c>
      <c r="L784" s="2" t="n"/>
      <c r="M784" s="2" t="n"/>
      <c r="N784" s="2" t="n"/>
      <c r="O784" s="2" t="n"/>
      <c r="P784" s="2" t="n"/>
      <c r="Q784" s="2" t="n"/>
      <c r="R784" s="2" t="n">
        <v>21</v>
      </c>
      <c r="S784" s="2" t="n"/>
      <c r="T784" s="2" t="n"/>
      <c r="U784" s="2" t="n"/>
      <c r="V784" s="2">
        <f>SUM(J784:U784)*G784</f>
        <v/>
      </c>
      <c r="W784" s="2">
        <f>MAX(J784:U784)</f>
        <v/>
      </c>
      <c r="X784" s="2">
        <f>W784*G784</f>
        <v/>
      </c>
    </row>
    <row r="785">
      <c r="A785" s="2" t="inlineStr">
        <is>
          <t>A14-SB-N105</t>
        </is>
      </c>
      <c r="B785" s="3" t="inlineStr">
        <is>
          <t>SOJC-SM-LC/PC-LC/PC</t>
        </is>
      </c>
      <c r="C785" s="2" t="inlineStr">
        <is>
          <t>908040265, 6M, B3, 2.0mm</t>
        </is>
      </c>
      <c r="D785" s="2" t="inlineStr">
        <is>
          <t>b3</t>
        </is>
      </c>
      <c r="E785" s="2" t="inlineStr">
        <is>
          <t>2.0mm</t>
        </is>
      </c>
      <c r="F785" s="2" t="n">
        <v>1</v>
      </c>
      <c r="G785" s="2" t="n">
        <v>6</v>
      </c>
      <c r="H785" s="2" t="inlineStr">
        <is>
          <t>LC/PC</t>
        </is>
      </c>
      <c r="I785" s="2" t="inlineStr">
        <is>
          <t>LC/PC</t>
        </is>
      </c>
      <c r="J785" s="2" t="n">
        <v>20</v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>
        <f>SUM(J785:U785)*G785</f>
        <v/>
      </c>
      <c r="W785" s="2">
        <f>MAX(J785:U785)</f>
        <v/>
      </c>
      <c r="X785" s="2">
        <f>W785*G785</f>
        <v/>
      </c>
    </row>
    <row r="786">
      <c r="A786" s="2" t="inlineStr">
        <is>
          <t>A14-SB-N106</t>
        </is>
      </c>
      <c r="B786" s="3" t="inlineStr">
        <is>
          <t>SOJC-SM-LC/PC-LC/PC</t>
        </is>
      </c>
      <c r="C786" s="2" t="inlineStr">
        <is>
          <t>908040266, 7M, B3, 2.0mm</t>
        </is>
      </c>
      <c r="D786" s="2" t="inlineStr">
        <is>
          <t>b3</t>
        </is>
      </c>
      <c r="E786" s="2" t="inlineStr">
        <is>
          <t>2.0mm</t>
        </is>
      </c>
      <c r="F786" s="2" t="n">
        <v>1</v>
      </c>
      <c r="G786" s="2" t="n">
        <v>7</v>
      </c>
      <c r="H786" s="2" t="inlineStr">
        <is>
          <t>LC/PC</t>
        </is>
      </c>
      <c r="I786" s="2" t="inlineStr">
        <is>
          <t>LC/PC</t>
        </is>
      </c>
      <c r="J786" s="2" t="n">
        <v>10</v>
      </c>
      <c r="K786" s="2" t="n">
        <v>20</v>
      </c>
      <c r="L786" s="2" t="n"/>
      <c r="M786" s="2" t="n"/>
      <c r="N786" s="2" t="n"/>
      <c r="O786" s="2" t="n">
        <v>20</v>
      </c>
      <c r="P786" s="2" t="n"/>
      <c r="Q786" s="2" t="n"/>
      <c r="R786" s="2" t="n"/>
      <c r="S786" s="2" t="n">
        <v>200</v>
      </c>
      <c r="T786" s="2" t="n"/>
      <c r="U786" s="2" t="n"/>
      <c r="V786" s="2">
        <f>SUM(J786:U786)*G786</f>
        <v/>
      </c>
      <c r="W786" s="2">
        <f>MAX(J786:U786)</f>
        <v/>
      </c>
      <c r="X786" s="2">
        <f>W786*G786</f>
        <v/>
      </c>
    </row>
    <row r="787">
      <c r="A787" s="2" t="inlineStr">
        <is>
          <t>A14-SB-N114</t>
        </is>
      </c>
      <c r="B787" s="3" t="inlineStr">
        <is>
          <t>SOJC-SM-LC/PC-SC/APC</t>
        </is>
      </c>
      <c r="C787" s="2" t="inlineStr">
        <is>
          <t>920000749, 15M, B3, 2.0mm</t>
        </is>
      </c>
      <c r="D787" s="2" t="inlineStr">
        <is>
          <t>b3</t>
        </is>
      </c>
      <c r="E787" s="2" t="inlineStr">
        <is>
          <t>2.0mm</t>
        </is>
      </c>
      <c r="F787" s="2" t="n">
        <v>1</v>
      </c>
      <c r="G787" s="2" t="n">
        <v>15</v>
      </c>
      <c r="H787" s="2" t="inlineStr">
        <is>
          <t>LC/PC</t>
        </is>
      </c>
      <c r="I787" s="2" t="inlineStr">
        <is>
          <t>SC/APC</t>
        </is>
      </c>
      <c r="J787" s="2" t="n">
        <v>100</v>
      </c>
      <c r="K787" s="2" t="n"/>
      <c r="L787" s="2" t="n"/>
      <c r="M787" s="2" t="n">
        <v>50</v>
      </c>
      <c r="N787" s="2" t="n"/>
      <c r="O787" s="2" t="n">
        <v>20</v>
      </c>
      <c r="P787" s="2" t="n"/>
      <c r="Q787" s="2" t="n"/>
      <c r="R787" s="2" t="n"/>
      <c r="S787" s="2" t="n"/>
      <c r="T787" s="2" t="n"/>
      <c r="U787" s="2" t="n">
        <v>10</v>
      </c>
      <c r="V787" s="2">
        <f>SUM(J787:U787)*G787</f>
        <v/>
      </c>
      <c r="W787" s="2">
        <f>MAX(J787:U787)</f>
        <v/>
      </c>
      <c r="X787" s="2">
        <f>W787*G787</f>
        <v/>
      </c>
    </row>
    <row r="788">
      <c r="A788" s="2" t="inlineStr">
        <is>
          <t>A14-SB-N117</t>
        </is>
      </c>
      <c r="B788" s="3" t="inlineStr">
        <is>
          <t>SOJC-SM-LC/PC-SC/APC</t>
        </is>
      </c>
      <c r="C788" s="2" t="inlineStr">
        <is>
          <t>920000754, 20M, B3, 2.0mm</t>
        </is>
      </c>
      <c r="D788" s="2" t="inlineStr">
        <is>
          <t>b3</t>
        </is>
      </c>
      <c r="E788" s="2" t="inlineStr">
        <is>
          <t>2.0mm</t>
        </is>
      </c>
      <c r="F788" s="2" t="n">
        <v>1</v>
      </c>
      <c r="G788" s="2" t="n">
        <v>20</v>
      </c>
      <c r="H788" s="2" t="inlineStr">
        <is>
          <t>LC/PC</t>
        </is>
      </c>
      <c r="I788" s="2" t="inlineStr">
        <is>
          <t>SC/APC</t>
        </is>
      </c>
      <c r="J788" s="2" t="n">
        <v>50</v>
      </c>
      <c r="K788" s="2" t="n">
        <v>4</v>
      </c>
      <c r="L788" s="2" t="n"/>
      <c r="M788" s="2" t="n"/>
      <c r="N788" s="2" t="n"/>
      <c r="O788" s="2" t="n">
        <v>28</v>
      </c>
      <c r="P788" s="2" t="n"/>
      <c r="Q788" s="2" t="n"/>
      <c r="R788" s="2" t="n"/>
      <c r="S788" s="2" t="n"/>
      <c r="T788" s="2" t="n"/>
      <c r="U788" s="2" t="n"/>
      <c r="V788" s="2">
        <f>SUM(J788:U788)*G788</f>
        <v/>
      </c>
      <c r="W788" s="2">
        <f>MAX(J788:U788)</f>
        <v/>
      </c>
      <c r="X788" s="2">
        <f>W788*G788</f>
        <v/>
      </c>
    </row>
    <row r="789">
      <c r="A789" s="2" t="inlineStr">
        <is>
          <t>A14-SB-N120</t>
        </is>
      </c>
      <c r="B789" s="3" t="inlineStr">
        <is>
          <t>SOJC-SM-LC/PC-SC/APC</t>
        </is>
      </c>
      <c r="C789" s="2" t="inlineStr">
        <is>
          <t>920000764, 30M, B3, 2.0mm</t>
        </is>
      </c>
      <c r="D789" s="2" t="inlineStr">
        <is>
          <t>b3</t>
        </is>
      </c>
      <c r="E789" s="2" t="inlineStr">
        <is>
          <t>2.0mm</t>
        </is>
      </c>
      <c r="F789" s="2" t="n">
        <v>1</v>
      </c>
      <c r="G789" s="2" t="n">
        <v>30</v>
      </c>
      <c r="H789" s="2" t="inlineStr">
        <is>
          <t>LC/PC</t>
        </is>
      </c>
      <c r="I789" s="2" t="inlineStr">
        <is>
          <t>SC/APC</t>
        </is>
      </c>
      <c r="J789" s="2" t="n"/>
      <c r="K789" s="2" t="n"/>
      <c r="L789" s="2" t="n"/>
      <c r="M789" s="2" t="n">
        <v>30</v>
      </c>
      <c r="N789" s="2" t="n"/>
      <c r="O789" s="2" t="n"/>
      <c r="P789" s="2" t="n"/>
      <c r="Q789" s="2" t="n"/>
      <c r="R789" s="2" t="n">
        <v>101</v>
      </c>
      <c r="S789" s="2" t="n"/>
      <c r="T789" s="2" t="n"/>
      <c r="U789" s="2" t="n"/>
      <c r="V789" s="2">
        <f>SUM(J789:U789)*G789</f>
        <v/>
      </c>
      <c r="W789" s="2">
        <f>MAX(J789:U789)</f>
        <v/>
      </c>
      <c r="X789" s="2">
        <f>W789*G789</f>
        <v/>
      </c>
    </row>
    <row r="790">
      <c r="A790" s="2" t="inlineStr">
        <is>
          <t>A14-SB-N121</t>
        </is>
      </c>
      <c r="B790" s="3" t="inlineStr">
        <is>
          <t>SOJC-SM-LC/PC-SC/APC</t>
        </is>
      </c>
      <c r="C790" s="2" t="inlineStr">
        <is>
          <t>920000737, 3M, B3, 3.0mm</t>
        </is>
      </c>
      <c r="D790" s="2" t="inlineStr">
        <is>
          <t>b3</t>
        </is>
      </c>
      <c r="E790" s="2" t="inlineStr">
        <is>
          <t>3.0mm</t>
        </is>
      </c>
      <c r="F790" s="2" t="n">
        <v>1</v>
      </c>
      <c r="G790" s="2" t="n">
        <v>3</v>
      </c>
      <c r="H790" s="2" t="inlineStr">
        <is>
          <t>LC/PC</t>
        </is>
      </c>
      <c r="I790" s="2" t="inlineStr">
        <is>
          <t>SC/APC</t>
        </is>
      </c>
      <c r="J790" s="2" t="n"/>
      <c r="K790" s="2" t="n"/>
      <c r="L790" s="2" t="n">
        <v>15</v>
      </c>
      <c r="M790" s="2" t="n">
        <v>10</v>
      </c>
      <c r="N790" s="2" t="n"/>
      <c r="O790" s="2" t="n"/>
      <c r="P790" s="2" t="n"/>
      <c r="Q790" s="2" t="n"/>
      <c r="R790" s="2" t="n">
        <v>15</v>
      </c>
      <c r="S790" s="2" t="n"/>
      <c r="T790" s="2" t="n"/>
      <c r="U790" s="2" t="n"/>
      <c r="V790" s="2">
        <f>SUM(J790:U790)*G790</f>
        <v/>
      </c>
      <c r="W790" s="2">
        <f>MAX(J790:U790)</f>
        <v/>
      </c>
      <c r="X790" s="2">
        <f>W790*G790</f>
        <v/>
      </c>
    </row>
    <row r="791">
      <c r="A791" s="2" t="inlineStr">
        <is>
          <t>A14-SB-N130</t>
        </is>
      </c>
      <c r="B791" s="3" t="inlineStr">
        <is>
          <t>SOJC-SM-LC/PC-SC/PC</t>
        </is>
      </c>
      <c r="C791" s="2" t="inlineStr">
        <is>
          <t>908040170, 10M, B3, 2.0mm</t>
        </is>
      </c>
      <c r="D791" s="2" t="inlineStr">
        <is>
          <t>b3</t>
        </is>
      </c>
      <c r="E791" s="2" t="inlineStr">
        <is>
          <t>2.0mm</t>
        </is>
      </c>
      <c r="F791" s="2" t="n">
        <v>1</v>
      </c>
      <c r="G791" s="2" t="n">
        <v>10</v>
      </c>
      <c r="H791" s="2" t="inlineStr">
        <is>
          <t>LC/PC</t>
        </is>
      </c>
      <c r="I791" s="2" t="inlineStr">
        <is>
          <t>SC/PC</t>
        </is>
      </c>
      <c r="J791" s="2" t="n">
        <v>50</v>
      </c>
      <c r="K791" s="2" t="n"/>
      <c r="L791" s="2" t="n"/>
      <c r="M791" s="2" t="n"/>
      <c r="N791" s="2" t="n"/>
      <c r="O791" s="2" t="n">
        <v>475</v>
      </c>
      <c r="P791" s="2" t="n">
        <v>30</v>
      </c>
      <c r="Q791" s="2" t="n">
        <v>20</v>
      </c>
      <c r="R791" s="2" t="n">
        <v>32</v>
      </c>
      <c r="S791" s="2" t="n">
        <v>50</v>
      </c>
      <c r="T791" s="2" t="n">
        <v>180</v>
      </c>
      <c r="U791" s="2" t="n"/>
      <c r="V791" s="2">
        <f>SUM(J791:U791)*G791</f>
        <v/>
      </c>
      <c r="W791" s="2">
        <f>MAX(J791:U791)</f>
        <v/>
      </c>
      <c r="X791" s="2">
        <f>W791*G791</f>
        <v/>
      </c>
    </row>
    <row r="792">
      <c r="A792" s="2" t="inlineStr">
        <is>
          <t>A14-SB-N132</t>
        </is>
      </c>
      <c r="B792" s="3" t="inlineStr">
        <is>
          <t>SOJC-SM-LC/PC-SC/PC</t>
        </is>
      </c>
      <c r="C792" s="2" t="inlineStr">
        <is>
          <t>12M, B3, 2.0mm</t>
        </is>
      </c>
      <c r="D792" s="2" t="inlineStr">
        <is>
          <t>b3</t>
        </is>
      </c>
      <c r="E792" s="2" t="inlineStr">
        <is>
          <t>2.0mm</t>
        </is>
      </c>
      <c r="F792" s="2" t="n">
        <v>1</v>
      </c>
      <c r="G792" s="2" t="n">
        <v>12</v>
      </c>
      <c r="H792" s="2" t="inlineStr">
        <is>
          <t>LC/PC</t>
        </is>
      </c>
      <c r="I792" s="2" t="inlineStr">
        <is>
          <t>SC/PC</t>
        </is>
      </c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>
        <v>5</v>
      </c>
      <c r="U792" s="2" t="n">
        <v>20</v>
      </c>
      <c r="V792" s="2">
        <f>SUM(J792:U792)*G792</f>
        <v/>
      </c>
      <c r="W792" s="2">
        <f>MAX(J792:U792)</f>
        <v/>
      </c>
      <c r="X792" s="2">
        <f>W792*G792</f>
        <v/>
      </c>
    </row>
    <row r="793">
      <c r="A793" s="2" t="inlineStr">
        <is>
          <t>A14-SB-N134</t>
        </is>
      </c>
      <c r="B793" s="3" t="inlineStr">
        <is>
          <t>SOJC-SM-LC/PC-SC/PC</t>
        </is>
      </c>
      <c r="C793" s="2" t="inlineStr">
        <is>
          <t>15M, B3, 2.0mm</t>
        </is>
      </c>
      <c r="D793" s="2" t="inlineStr">
        <is>
          <t>b3</t>
        </is>
      </c>
      <c r="E793" s="2" t="inlineStr">
        <is>
          <t>2.0mm</t>
        </is>
      </c>
      <c r="F793" s="2" t="n">
        <v>1</v>
      </c>
      <c r="G793" s="2" t="n">
        <v>15</v>
      </c>
      <c r="H793" s="2" t="inlineStr">
        <is>
          <t>LC/PC</t>
        </is>
      </c>
      <c r="I793" s="2" t="inlineStr">
        <is>
          <t>SC/PC</t>
        </is>
      </c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>
        <v>100</v>
      </c>
      <c r="U793" s="2" t="n"/>
      <c r="V793" s="2">
        <f>SUM(J793:U793)*G793</f>
        <v/>
      </c>
      <c r="W793" s="2">
        <f>MAX(J793:U793)</f>
        <v/>
      </c>
      <c r="X793" s="2">
        <f>W793*G793</f>
        <v/>
      </c>
    </row>
    <row r="794">
      <c r="A794" s="2" t="inlineStr">
        <is>
          <t>A14-SB-N138</t>
        </is>
      </c>
      <c r="B794" s="3" t="inlineStr">
        <is>
          <t>SOJC-SM-LC/PC-SC/PC</t>
        </is>
      </c>
      <c r="C794" s="2" t="inlineStr">
        <is>
          <t>908040162, 1M, B3, 3.0mm</t>
        </is>
      </c>
      <c r="D794" s="2" t="inlineStr">
        <is>
          <t>b3</t>
        </is>
      </c>
      <c r="E794" s="2" t="inlineStr">
        <is>
          <t>3.0mm</t>
        </is>
      </c>
      <c r="F794" s="2" t="n">
        <v>1</v>
      </c>
      <c r="G794" s="2" t="n">
        <v>1</v>
      </c>
      <c r="H794" s="2" t="inlineStr">
        <is>
          <t>LC/PC</t>
        </is>
      </c>
      <c r="I794" s="2" t="inlineStr">
        <is>
          <t>SC/PC</t>
        </is>
      </c>
      <c r="J794" s="2" t="n"/>
      <c r="K794" s="2" t="n"/>
      <c r="L794" s="2" t="n"/>
      <c r="M794" s="2" t="n">
        <v>3</v>
      </c>
      <c r="N794" s="2" t="n">
        <v>6</v>
      </c>
      <c r="O794" s="2" t="n">
        <v>100</v>
      </c>
      <c r="P794" s="2" t="n">
        <v>200</v>
      </c>
      <c r="Q794" s="2" t="n"/>
      <c r="R794" s="2" t="n"/>
      <c r="S794" s="2" t="n"/>
      <c r="T794" s="2" t="n"/>
      <c r="U794" s="2" t="n"/>
      <c r="V794" s="2">
        <f>SUM(J794:U794)*G794</f>
        <v/>
      </c>
      <c r="W794" s="2">
        <f>MAX(J794:U794)</f>
        <v/>
      </c>
      <c r="X794" s="2">
        <f>W794*G794</f>
        <v/>
      </c>
    </row>
    <row r="795">
      <c r="A795" s="2" t="inlineStr">
        <is>
          <t>A14-SB-N139</t>
        </is>
      </c>
      <c r="B795" s="3" t="inlineStr">
        <is>
          <t>SOJC-SM-LC/PC-SC/PC</t>
        </is>
      </c>
      <c r="C795" s="2" t="inlineStr">
        <is>
          <t>908040180, 20M, B3, 2.0mm</t>
        </is>
      </c>
      <c r="D795" s="2" t="inlineStr">
        <is>
          <t>b3</t>
        </is>
      </c>
      <c r="E795" s="2" t="inlineStr">
        <is>
          <t>2.0mm</t>
        </is>
      </c>
      <c r="F795" s="2" t="n">
        <v>1</v>
      </c>
      <c r="G795" s="2" t="n">
        <v>20</v>
      </c>
      <c r="H795" s="2" t="inlineStr">
        <is>
          <t>LC/PC</t>
        </is>
      </c>
      <c r="I795" s="2" t="inlineStr">
        <is>
          <t>SC/PC</t>
        </is>
      </c>
      <c r="J795" s="2" t="n"/>
      <c r="K795" s="2" t="n"/>
      <c r="L795" s="2" t="n"/>
      <c r="M795" s="2" t="n"/>
      <c r="N795" s="2" t="n"/>
      <c r="O795" s="2" t="n"/>
      <c r="P795" s="2" t="n">
        <v>24</v>
      </c>
      <c r="Q795" s="2" t="n">
        <v>30</v>
      </c>
      <c r="R795" s="2" t="n"/>
      <c r="S795" s="2" t="n"/>
      <c r="T795" s="2" t="n"/>
      <c r="U795" s="2" t="n"/>
      <c r="V795" s="2">
        <f>SUM(J795:U795)*G795</f>
        <v/>
      </c>
      <c r="W795" s="2">
        <f>MAX(J795:U795)</f>
        <v/>
      </c>
      <c r="X795" s="2">
        <f>W795*G795</f>
        <v/>
      </c>
    </row>
    <row r="796">
      <c r="A796" s="2" t="inlineStr">
        <is>
          <t>A14-SB-N141</t>
        </is>
      </c>
      <c r="B796" s="3" t="inlineStr">
        <is>
          <t>SOJC-SM-LC/PC-SC/PC</t>
        </is>
      </c>
      <c r="C796" s="2" t="inlineStr">
        <is>
          <t>908040185, 25M,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1</v>
      </c>
      <c r="G796" s="2" t="n">
        <v>25</v>
      </c>
      <c r="H796" s="2" t="inlineStr">
        <is>
          <t>LC/PC</t>
        </is>
      </c>
      <c r="I796" s="2" t="inlineStr">
        <is>
          <t>SC/PC</t>
        </is>
      </c>
      <c r="J796" s="2" t="n">
        <v>14</v>
      </c>
      <c r="K796" s="2" t="n"/>
      <c r="L796" s="2" t="n">
        <v>25</v>
      </c>
      <c r="M796" s="2" t="n"/>
      <c r="N796" s="2" t="n"/>
      <c r="O796" s="2" t="n">
        <v>5</v>
      </c>
      <c r="P796" s="2" t="n"/>
      <c r="Q796" s="2" t="n">
        <v>25</v>
      </c>
      <c r="R796" s="2" t="n">
        <v>40</v>
      </c>
      <c r="S796" s="2" t="n"/>
      <c r="T796" s="2" t="n">
        <v>10</v>
      </c>
      <c r="U796" s="2" t="n">
        <v>1</v>
      </c>
      <c r="V796" s="2">
        <f>SUM(J796:U796)*G796</f>
        <v/>
      </c>
      <c r="W796" s="2">
        <f>MAX(J796:U796)</f>
        <v/>
      </c>
      <c r="X796" s="2">
        <f>W796*G796</f>
        <v/>
      </c>
    </row>
    <row r="797">
      <c r="A797" s="2" t="inlineStr">
        <is>
          <t>A14-SB-N143</t>
        </is>
      </c>
      <c r="B797" s="3" t="inlineStr">
        <is>
          <t>SOJC-SM-LC/PC-SC/PC</t>
        </is>
      </c>
      <c r="C797" s="2" t="inlineStr">
        <is>
          <t>908040163, 2M, B3, 3.0mm</t>
        </is>
      </c>
      <c r="D797" s="2" t="inlineStr">
        <is>
          <t>b3</t>
        </is>
      </c>
      <c r="E797" s="2" t="inlineStr">
        <is>
          <t>3.0mm</t>
        </is>
      </c>
      <c r="F797" s="2" t="n">
        <v>1</v>
      </c>
      <c r="G797" s="2" t="n">
        <v>2</v>
      </c>
      <c r="H797" s="2" t="inlineStr">
        <is>
          <t>LC/PC</t>
        </is>
      </c>
      <c r="I797" s="2" t="inlineStr">
        <is>
          <t>SC/PC</t>
        </is>
      </c>
      <c r="J797" s="2" t="n"/>
      <c r="K797" s="2" t="n"/>
      <c r="L797" s="2" t="n"/>
      <c r="M797" s="2" t="n"/>
      <c r="N797" s="2" t="n"/>
      <c r="O797" s="2" t="n">
        <v>90</v>
      </c>
      <c r="P797" s="2" t="n"/>
      <c r="Q797" s="2" t="n"/>
      <c r="R797" s="2" t="n"/>
      <c r="S797" s="2" t="n"/>
      <c r="T797" s="2" t="n">
        <v>20</v>
      </c>
      <c r="U797" s="2" t="n"/>
      <c r="V797" s="2">
        <f>SUM(J797:U797)*G797</f>
        <v/>
      </c>
      <c r="W797" s="2">
        <f>MAX(J797:U797)</f>
        <v/>
      </c>
      <c r="X797" s="2">
        <f>W797*G797</f>
        <v/>
      </c>
    </row>
    <row r="798">
      <c r="A798" s="2" t="inlineStr">
        <is>
          <t>A14-SB-N144</t>
        </is>
      </c>
      <c r="B798" s="3" t="inlineStr">
        <is>
          <t>SOJC-SM-LC/PC-SC/PC</t>
        </is>
      </c>
      <c r="C798" s="2" t="inlineStr">
        <is>
          <t>908040190, 30M,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1</v>
      </c>
      <c r="G798" s="2" t="n">
        <v>30</v>
      </c>
      <c r="H798" s="2" t="inlineStr">
        <is>
          <t>LC/PC</t>
        </is>
      </c>
      <c r="I798" s="2" t="inlineStr">
        <is>
          <t>SC/PC</t>
        </is>
      </c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>
        <v>5</v>
      </c>
      <c r="S798" s="2" t="n"/>
      <c r="T798" s="2" t="n">
        <v>35</v>
      </c>
      <c r="U798" s="2" t="n">
        <v>2</v>
      </c>
      <c r="V798" s="2">
        <f>SUM(J798:U798)*G798</f>
        <v/>
      </c>
      <c r="W798" s="2">
        <f>MAX(J798:U798)</f>
        <v/>
      </c>
      <c r="X798" s="2">
        <f>W798*G798</f>
        <v/>
      </c>
    </row>
    <row r="799">
      <c r="A799" s="2" t="inlineStr">
        <is>
          <t>A14-SB-N146</t>
        </is>
      </c>
      <c r="B799" s="3" t="inlineStr">
        <is>
          <t>SOJC-SM-LC/PC-SC/PC</t>
        </is>
      </c>
      <c r="C799" s="2" t="inlineStr">
        <is>
          <t>908040161, 3M, B3, 3.0mm</t>
        </is>
      </c>
      <c r="D799" s="2" t="inlineStr">
        <is>
          <t>b3</t>
        </is>
      </c>
      <c r="E799" s="2" t="inlineStr">
        <is>
          <t>3.0mm</t>
        </is>
      </c>
      <c r="F799" s="2" t="n">
        <v>1</v>
      </c>
      <c r="G799" s="2" t="n">
        <v>3</v>
      </c>
      <c r="H799" s="2" t="inlineStr">
        <is>
          <t>LC/PC</t>
        </is>
      </c>
      <c r="I799" s="2" t="inlineStr">
        <is>
          <t>SC/PC</t>
        </is>
      </c>
      <c r="J799" s="2" t="n"/>
      <c r="K799" s="2" t="n">
        <v>20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>
        <f>SUM(J799:U799)*G799</f>
        <v/>
      </c>
      <c r="W799" s="2">
        <f>MAX(J799:U799)</f>
        <v/>
      </c>
      <c r="X799" s="2">
        <f>W799*G799</f>
        <v/>
      </c>
    </row>
    <row r="800">
      <c r="A800" s="2" t="inlineStr">
        <is>
          <t>A14-SB-N149</t>
        </is>
      </c>
      <c r="B800" s="3" t="inlineStr">
        <is>
          <t>SOJC-SM-LC/PC-SC/PC</t>
        </is>
      </c>
      <c r="C800" s="2" t="inlineStr">
        <is>
          <t>908040166, 6M,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1</v>
      </c>
      <c r="G800" s="2" t="n">
        <v>6</v>
      </c>
      <c r="H800" s="2" t="inlineStr">
        <is>
          <t>LC/PC</t>
        </is>
      </c>
      <c r="I800" s="2" t="inlineStr">
        <is>
          <t>SC/PC</t>
        </is>
      </c>
      <c r="J800" s="2" t="n"/>
      <c r="K800" s="2" t="n"/>
      <c r="L800" s="2" t="n"/>
      <c r="M800" s="2" t="n"/>
      <c r="N800" s="2" t="n"/>
      <c r="O800" s="2" t="n"/>
      <c r="P800" s="2" t="n">
        <v>30</v>
      </c>
      <c r="Q800" s="2" t="n"/>
      <c r="R800" s="2" t="n"/>
      <c r="S800" s="2" t="n">
        <v>20</v>
      </c>
      <c r="T800" s="2" t="n"/>
      <c r="U800" s="2" t="n">
        <v>10</v>
      </c>
      <c r="V800" s="2">
        <f>SUM(J800:U800)*G800</f>
        <v/>
      </c>
      <c r="W800" s="2">
        <f>MAX(J800:U800)</f>
        <v/>
      </c>
      <c r="X800" s="2">
        <f>W800*G800</f>
        <v/>
      </c>
    </row>
    <row r="801">
      <c r="A801" s="2" t="inlineStr">
        <is>
          <t>A14-SB-N151</t>
        </is>
      </c>
      <c r="B801" s="3" t="inlineStr">
        <is>
          <t>SOJC-SM-LC/PC-SC/PC</t>
        </is>
      </c>
      <c r="C801" s="2" t="inlineStr">
        <is>
          <t>908040167, 7M,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1</v>
      </c>
      <c r="G801" s="2" t="n">
        <v>7</v>
      </c>
      <c r="H801" s="2" t="inlineStr">
        <is>
          <t>LC/PC</t>
        </is>
      </c>
      <c r="I801" s="2" t="inlineStr">
        <is>
          <t>SC/PC</t>
        </is>
      </c>
      <c r="J801" s="2" t="n">
        <v>15</v>
      </c>
      <c r="K801" s="2" t="n"/>
      <c r="L801" s="2" t="n"/>
      <c r="M801" s="2" t="n"/>
      <c r="N801" s="2" t="n">
        <v>18</v>
      </c>
      <c r="O801" s="2" t="n">
        <v>15</v>
      </c>
      <c r="P801" s="2" t="n"/>
      <c r="Q801" s="2" t="n"/>
      <c r="R801" s="2" t="n">
        <v>14</v>
      </c>
      <c r="S801" s="2" t="n">
        <v>70</v>
      </c>
      <c r="T801" s="2" t="n">
        <v>40</v>
      </c>
      <c r="U801" s="2" t="n">
        <v>90</v>
      </c>
      <c r="V801" s="2">
        <f>SUM(J801:U801)*G801</f>
        <v/>
      </c>
      <c r="W801" s="2">
        <f>MAX(J801:U801)</f>
        <v/>
      </c>
      <c r="X801" s="2">
        <f>W801*G801</f>
        <v/>
      </c>
    </row>
    <row r="802">
      <c r="A802" s="2" t="inlineStr">
        <is>
          <t>A14-SB-N152</t>
        </is>
      </c>
      <c r="B802" s="3" t="inlineStr">
        <is>
          <t>SOJC-SM-LC/PC-SC/PC</t>
        </is>
      </c>
      <c r="C802" s="2" t="inlineStr">
        <is>
          <t>908040168, 8M, B3, 2.0mm</t>
        </is>
      </c>
      <c r="D802" s="2" t="inlineStr">
        <is>
          <t>b3</t>
        </is>
      </c>
      <c r="E802" s="2" t="inlineStr">
        <is>
          <t>2.0mm</t>
        </is>
      </c>
      <c r="F802" s="2" t="n">
        <v>1</v>
      </c>
      <c r="G802" s="2" t="n">
        <v>8</v>
      </c>
      <c r="H802" s="2" t="inlineStr">
        <is>
          <t>LC/PC</t>
        </is>
      </c>
      <c r="I802" s="2" t="inlineStr">
        <is>
          <t>SC/PC</t>
        </is>
      </c>
      <c r="J802" s="2" t="n"/>
      <c r="K802" s="2" t="n"/>
      <c r="L802" s="2" t="n">
        <v>20</v>
      </c>
      <c r="M802" s="2" t="n"/>
      <c r="N802" s="2" t="n">
        <v>20</v>
      </c>
      <c r="O802" s="2" t="n"/>
      <c r="P802" s="2" t="n"/>
      <c r="Q802" s="2" t="n"/>
      <c r="R802" s="2" t="n"/>
      <c r="S802" s="2" t="n"/>
      <c r="T802" s="2" t="n">
        <v>50</v>
      </c>
      <c r="U802" s="2" t="n">
        <v>50</v>
      </c>
      <c r="V802" s="2">
        <f>SUM(J802:U802)*G802</f>
        <v/>
      </c>
      <c r="W802" s="2">
        <f>MAX(J802:U802)</f>
        <v/>
      </c>
      <c r="X802" s="2">
        <f>W802*G802</f>
        <v/>
      </c>
    </row>
    <row r="803">
      <c r="A803" s="2" t="inlineStr">
        <is>
          <t>A14-SB-N153</t>
        </is>
      </c>
      <c r="B803" s="3" t="inlineStr">
        <is>
          <t>SOJC-SM-LC/PC-SC/PC</t>
        </is>
      </c>
      <c r="C803" s="2" t="inlineStr">
        <is>
          <t>908040169, 9M,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1</v>
      </c>
      <c r="G803" s="2" t="n">
        <v>9</v>
      </c>
      <c r="H803" s="2" t="inlineStr">
        <is>
          <t>LC/PC</t>
        </is>
      </c>
      <c r="I803" s="2" t="inlineStr">
        <is>
          <t>SC/PC</t>
        </is>
      </c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>
        <v>20</v>
      </c>
      <c r="T803" s="2" t="n">
        <v>50</v>
      </c>
      <c r="U803" s="2" t="n">
        <v>70</v>
      </c>
      <c r="V803" s="2">
        <f>SUM(J803:U803)*G803</f>
        <v/>
      </c>
      <c r="W803" s="2">
        <f>MAX(J803:U803)</f>
        <v/>
      </c>
      <c r="X803" s="2">
        <f>W803*G803</f>
        <v/>
      </c>
    </row>
    <row r="804">
      <c r="A804" s="2" t="inlineStr">
        <is>
          <t>A14-SB-N154</t>
        </is>
      </c>
      <c r="B804" s="3" t="inlineStr">
        <is>
          <t>SOJC-SM-LC/PC-SC/PC</t>
        </is>
      </c>
      <c r="C804" s="2" t="inlineStr">
        <is>
          <t>35M, B3, 2.0mm</t>
        </is>
      </c>
      <c r="D804" s="2" t="inlineStr">
        <is>
          <t>b3</t>
        </is>
      </c>
      <c r="E804" s="2" t="inlineStr">
        <is>
          <t>2.0mm</t>
        </is>
      </c>
      <c r="F804" s="2" t="n">
        <v>1</v>
      </c>
      <c r="G804" s="2" t="n">
        <v>35</v>
      </c>
      <c r="H804" s="2" t="inlineStr">
        <is>
          <t>LC/PC</t>
        </is>
      </c>
      <c r="I804" s="2" t="inlineStr">
        <is>
          <t>SC/PC</t>
        </is>
      </c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>
        <v>10</v>
      </c>
      <c r="U804" s="2" t="n">
        <v>48</v>
      </c>
      <c r="V804" s="2">
        <f>SUM(J804:U804)*G804</f>
        <v/>
      </c>
      <c r="W804" s="2">
        <f>MAX(J804:U804)</f>
        <v/>
      </c>
      <c r="X804" s="2">
        <f>W804*G804</f>
        <v/>
      </c>
    </row>
    <row r="805">
      <c r="A805" s="2" t="inlineStr">
        <is>
          <t>A14-SB-N155</t>
        </is>
      </c>
      <c r="B805" s="3" t="inlineStr">
        <is>
          <t>SOJC-SM-LC/PC-SC/PC</t>
        </is>
      </c>
      <c r="C805" s="2" t="inlineStr">
        <is>
          <t>11M,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1</v>
      </c>
      <c r="G805" s="2" t="n">
        <v>11</v>
      </c>
      <c r="H805" s="2" t="inlineStr">
        <is>
          <t>LC/PC</t>
        </is>
      </c>
      <c r="I805" s="2" t="inlineStr">
        <is>
          <t>SC/PC</t>
        </is>
      </c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>
        <v>20</v>
      </c>
      <c r="U805" s="2" t="n">
        <v>30</v>
      </c>
      <c r="V805" s="2">
        <f>SUM(J805:U805)*G805</f>
        <v/>
      </c>
      <c r="W805" s="2">
        <f>MAX(J805:U805)</f>
        <v/>
      </c>
      <c r="X805" s="2">
        <f>W805*G805</f>
        <v/>
      </c>
    </row>
    <row r="806">
      <c r="A806" s="2" t="inlineStr">
        <is>
          <t>A14-SB-N176</t>
        </is>
      </c>
      <c r="B806" s="3" t="inlineStr">
        <is>
          <t>SOJC-SM-SC/APC-SC/APC</t>
        </is>
      </c>
      <c r="C806" s="2" t="inlineStr">
        <is>
          <t>908041459, 10M,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1</v>
      </c>
      <c r="G806" s="2" t="n">
        <v>10</v>
      </c>
      <c r="H806" s="2" t="inlineStr">
        <is>
          <t>SC/APC</t>
        </is>
      </c>
      <c r="I806" s="2" t="inlineStr">
        <is>
          <t>SC/APC</t>
        </is>
      </c>
      <c r="J806" s="2" t="n"/>
      <c r="K806" s="2" t="n"/>
      <c r="L806" s="2" t="n">
        <v>5</v>
      </c>
      <c r="M806" s="2" t="n">
        <v>10</v>
      </c>
      <c r="N806" s="2" t="n">
        <v>12</v>
      </c>
      <c r="O806" s="2" t="n">
        <v>10</v>
      </c>
      <c r="P806" s="2" t="n"/>
      <c r="Q806" s="2" t="n"/>
      <c r="R806" s="2" t="n">
        <v>20</v>
      </c>
      <c r="S806" s="2" t="n"/>
      <c r="T806" s="2" t="n"/>
      <c r="U806" s="2" t="n"/>
      <c r="V806" s="2">
        <f>SUM(J806:U806)*G806</f>
        <v/>
      </c>
      <c r="W806" s="2">
        <f>MAX(J806:U806)</f>
        <v/>
      </c>
      <c r="X806" s="2">
        <f>W806*G806</f>
        <v/>
      </c>
    </row>
    <row r="807">
      <c r="A807" s="2" t="inlineStr">
        <is>
          <t>A14-SB-N179</t>
        </is>
      </c>
      <c r="B807" s="3" t="inlineStr">
        <is>
          <t>SOJC-SM-SC/APC-SC/APC</t>
        </is>
      </c>
      <c r="C807" s="2" t="inlineStr">
        <is>
          <t>908041464, 15M, B3, 2.0mm</t>
        </is>
      </c>
      <c r="D807" s="2" t="inlineStr">
        <is>
          <t>b3</t>
        </is>
      </c>
      <c r="E807" s="2" t="inlineStr">
        <is>
          <t>2.0mm</t>
        </is>
      </c>
      <c r="F807" s="2" t="n">
        <v>1</v>
      </c>
      <c r="G807" s="2" t="n">
        <v>15</v>
      </c>
      <c r="H807" s="2" t="inlineStr">
        <is>
          <t>SC/APC</t>
        </is>
      </c>
      <c r="I807" s="2" t="inlineStr">
        <is>
          <t>SC/APC</t>
        </is>
      </c>
      <c r="J807" s="2" t="n"/>
      <c r="K807" s="2" t="n"/>
      <c r="L807" s="2" t="n"/>
      <c r="M807" s="2" t="n">
        <v>5</v>
      </c>
      <c r="N807" s="2" t="n"/>
      <c r="O807" s="2" t="n"/>
      <c r="P807" s="2" t="n"/>
      <c r="Q807" s="2" t="n">
        <v>20</v>
      </c>
      <c r="R807" s="2" t="n">
        <v>20</v>
      </c>
      <c r="S807" s="2" t="n"/>
      <c r="T807" s="2" t="n"/>
      <c r="U807" s="2" t="n"/>
      <c r="V807" s="2">
        <f>SUM(J807:U807)*G807</f>
        <v/>
      </c>
      <c r="W807" s="2">
        <f>MAX(J807:U807)</f>
        <v/>
      </c>
      <c r="X807" s="2">
        <f>W807*G807</f>
        <v/>
      </c>
    </row>
    <row r="808">
      <c r="A808" s="2" t="inlineStr">
        <is>
          <t>A14-SB-N185</t>
        </is>
      </c>
      <c r="B808" s="3" t="inlineStr">
        <is>
          <t>SOJC-SM-SC/APC-SC/APC</t>
        </is>
      </c>
      <c r="C808" s="2" t="inlineStr">
        <is>
          <t>908041450, 3M, B3, 3.0mm</t>
        </is>
      </c>
      <c r="D808" s="2" t="inlineStr">
        <is>
          <t>b3</t>
        </is>
      </c>
      <c r="E808" s="2" t="inlineStr">
        <is>
          <t>3.0mm</t>
        </is>
      </c>
      <c r="F808" s="2" t="n">
        <v>1</v>
      </c>
      <c r="G808" s="2" t="n">
        <v>3</v>
      </c>
      <c r="H808" s="2" t="inlineStr">
        <is>
          <t>SC/APC</t>
        </is>
      </c>
      <c r="I808" s="2" t="inlineStr">
        <is>
          <t>SC/APC</t>
        </is>
      </c>
      <c r="J808" s="2" t="n">
        <v>52</v>
      </c>
      <c r="K808" s="2" t="n">
        <v>340</v>
      </c>
      <c r="L808" s="2" t="n">
        <v>220</v>
      </c>
      <c r="M808" s="2" t="n">
        <v>270</v>
      </c>
      <c r="N808" s="2" t="n">
        <v>50</v>
      </c>
      <c r="O808" s="2" t="n"/>
      <c r="P808" s="2" t="n"/>
      <c r="Q808" s="2" t="n"/>
      <c r="R808" s="2" t="n"/>
      <c r="S808" s="2" t="n"/>
      <c r="T808" s="2" t="n"/>
      <c r="U808" s="2" t="n"/>
      <c r="V808" s="2">
        <f>SUM(J808:U808)*G808</f>
        <v/>
      </c>
      <c r="W808" s="2">
        <f>MAX(J808:U808)</f>
        <v/>
      </c>
      <c r="X808" s="2">
        <f>W808*G808</f>
        <v/>
      </c>
    </row>
    <row r="809">
      <c r="A809" s="2" t="inlineStr">
        <is>
          <t>A14-SB-N189</t>
        </is>
      </c>
      <c r="B809" s="3" t="inlineStr">
        <is>
          <t>SOJC-SM-SC/APC-SC/APC</t>
        </is>
      </c>
      <c r="C809" s="2" t="inlineStr">
        <is>
          <t>908041454, 5M, B3, 3.0mm</t>
        </is>
      </c>
      <c r="D809" s="2" t="inlineStr">
        <is>
          <t>b3</t>
        </is>
      </c>
      <c r="E809" s="2" t="inlineStr">
        <is>
          <t>3.0mm</t>
        </is>
      </c>
      <c r="F809" s="2" t="n">
        <v>1</v>
      </c>
      <c r="G809" s="2" t="n">
        <v>5</v>
      </c>
      <c r="H809" s="2" t="inlineStr">
        <is>
          <t>SC/APC</t>
        </is>
      </c>
      <c r="I809" s="2" t="inlineStr">
        <is>
          <t>SC/APC</t>
        </is>
      </c>
      <c r="J809" s="2" t="n"/>
      <c r="K809" s="2" t="n">
        <v>20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>
        <f>SUM(J809:U809)*G809</f>
        <v/>
      </c>
      <c r="W809" s="2">
        <f>MAX(J809:U809)</f>
        <v/>
      </c>
      <c r="X809" s="2">
        <f>W809*G809</f>
        <v/>
      </c>
    </row>
    <row r="810">
      <c r="A810" s="2" t="inlineStr">
        <is>
          <t>A14-SB-N193</t>
        </is>
      </c>
      <c r="B810" s="3" t="inlineStr">
        <is>
          <t>SOJC-SM-SC/PC-FC/APC</t>
        </is>
      </c>
      <c r="C810" s="2" t="inlineStr">
        <is>
          <t>908040319, 10M,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1</v>
      </c>
      <c r="G810" s="2" t="n">
        <v>10</v>
      </c>
      <c r="H810" s="2" t="inlineStr">
        <is>
          <t>SC/PC</t>
        </is>
      </c>
      <c r="I810" s="2" t="inlineStr">
        <is>
          <t>FC/APC</t>
        </is>
      </c>
      <c r="J810" s="2" t="n"/>
      <c r="K810" s="2" t="n"/>
      <c r="L810" s="2" t="n"/>
      <c r="M810" s="2" t="n"/>
      <c r="N810" s="2" t="n"/>
      <c r="O810" s="2" t="n">
        <v>53</v>
      </c>
      <c r="P810" s="2" t="n"/>
      <c r="Q810" s="2" t="n"/>
      <c r="R810" s="2" t="n">
        <v>16</v>
      </c>
      <c r="S810" s="2" t="n"/>
      <c r="T810" s="2" t="n"/>
      <c r="U810" s="2" t="n"/>
      <c r="V810" s="2">
        <f>SUM(J810:U810)*G810</f>
        <v/>
      </c>
      <c r="W810" s="2">
        <f>MAX(J810:U810)</f>
        <v/>
      </c>
      <c r="X810" s="2">
        <f>W810*G810</f>
        <v/>
      </c>
    </row>
    <row r="811">
      <c r="A811" s="2" t="inlineStr">
        <is>
          <t>A14-SB-N198</t>
        </is>
      </c>
      <c r="B811" s="3" t="inlineStr">
        <is>
          <t>SOJC-SM-SC/PC-FC/APC</t>
        </is>
      </c>
      <c r="C811" s="2" t="inlineStr">
        <is>
          <t>908040324, 15M,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1</v>
      </c>
      <c r="G811" s="2" t="n">
        <v>15</v>
      </c>
      <c r="H811" s="2" t="inlineStr">
        <is>
          <t>SC/PC</t>
        </is>
      </c>
      <c r="I811" s="2" t="inlineStr">
        <is>
          <t>FC/APC</t>
        </is>
      </c>
      <c r="J811" s="2" t="n"/>
      <c r="K811" s="2" t="n"/>
      <c r="L811" s="2" t="n"/>
      <c r="M811" s="2" t="n">
        <v>56</v>
      </c>
      <c r="N811" s="2" t="n"/>
      <c r="O811" s="2" t="n">
        <v>41</v>
      </c>
      <c r="P811" s="2" t="n"/>
      <c r="Q811" s="2" t="n"/>
      <c r="R811" s="2" t="n">
        <v>7</v>
      </c>
      <c r="S811" s="2" t="n">
        <v>40</v>
      </c>
      <c r="T811" s="2" t="n"/>
      <c r="U811" s="2" t="n"/>
      <c r="V811" s="2">
        <f>SUM(J811:U811)*G811</f>
        <v/>
      </c>
      <c r="W811" s="2">
        <f>MAX(J811:U811)</f>
        <v/>
      </c>
      <c r="X811" s="2">
        <f>W811*G811</f>
        <v/>
      </c>
    </row>
    <row r="812">
      <c r="A812" s="2" t="inlineStr">
        <is>
          <t>A14-SB-N200</t>
        </is>
      </c>
      <c r="B812" s="3" t="inlineStr">
        <is>
          <t>SOJC-SM-SC/PC-FC/APC</t>
        </is>
      </c>
      <c r="C812" s="2" t="inlineStr">
        <is>
          <t>908040329, 20M,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1</v>
      </c>
      <c r="G812" s="2" t="n">
        <v>20</v>
      </c>
      <c r="H812" s="2" t="inlineStr">
        <is>
          <t>SC/PC</t>
        </is>
      </c>
      <c r="I812" s="2" t="inlineStr">
        <is>
          <t>FC/APC</t>
        </is>
      </c>
      <c r="J812" s="2" t="n">
        <v>5</v>
      </c>
      <c r="K812" s="2" t="n"/>
      <c r="L812" s="2" t="n"/>
      <c r="M812" s="2" t="n"/>
      <c r="N812" s="2" t="n"/>
      <c r="O812" s="2" t="n">
        <v>26</v>
      </c>
      <c r="P812" s="2" t="n"/>
      <c r="Q812" s="2" t="n"/>
      <c r="R812" s="2" t="n"/>
      <c r="S812" s="2" t="n"/>
      <c r="T812" s="2" t="n">
        <v>10</v>
      </c>
      <c r="U812" s="2" t="n"/>
      <c r="V812" s="2">
        <f>SUM(J812:U812)*G812</f>
        <v/>
      </c>
      <c r="W812" s="2">
        <f>MAX(J812:U812)</f>
        <v/>
      </c>
      <c r="X812" s="2">
        <f>W812*G812</f>
        <v/>
      </c>
    </row>
    <row r="813">
      <c r="A813" s="2" t="inlineStr">
        <is>
          <t>A14-SB-N203</t>
        </is>
      </c>
      <c r="B813" s="3" t="inlineStr">
        <is>
          <t>SOJC-SM-SC/PC-FC/APC</t>
        </is>
      </c>
      <c r="C813" s="2" t="inlineStr">
        <is>
          <t>908040334, 25M,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1</v>
      </c>
      <c r="G813" s="2" t="n">
        <v>25</v>
      </c>
      <c r="H813" s="2" t="inlineStr">
        <is>
          <t>SC/PC</t>
        </is>
      </c>
      <c r="I813" s="2" t="inlineStr">
        <is>
          <t>FC/APC</t>
        </is>
      </c>
      <c r="J813" s="2" t="n"/>
      <c r="K813" s="2" t="n"/>
      <c r="L813" s="2" t="n">
        <v>2</v>
      </c>
      <c r="M813" s="2" t="n">
        <v>10</v>
      </c>
      <c r="N813" s="2" t="n">
        <v>11</v>
      </c>
      <c r="O813" s="2" t="n"/>
      <c r="P813" s="2" t="n"/>
      <c r="Q813" s="2" t="n"/>
      <c r="R813" s="2" t="n"/>
      <c r="S813" s="2" t="n"/>
      <c r="T813" s="2" t="n">
        <v>35</v>
      </c>
      <c r="U813" s="2" t="n">
        <v>26</v>
      </c>
      <c r="V813" s="2">
        <f>SUM(J813:U813)*G813</f>
        <v/>
      </c>
      <c r="W813" s="2">
        <f>MAX(J813:U813)</f>
        <v/>
      </c>
      <c r="X813" s="2">
        <f>W813*G813</f>
        <v/>
      </c>
    </row>
    <row r="814">
      <c r="A814" s="2" t="inlineStr">
        <is>
          <t>A14-SB-N207</t>
        </is>
      </c>
      <c r="B814" s="3" t="inlineStr">
        <is>
          <t>SOJC-SM-SC/PC-FC/APC</t>
        </is>
      </c>
      <c r="C814" s="2" t="inlineStr">
        <is>
          <t>908040310, 3M, B3, 3.0mm</t>
        </is>
      </c>
      <c r="D814" s="2" t="inlineStr">
        <is>
          <t>b3</t>
        </is>
      </c>
      <c r="E814" s="2" t="inlineStr">
        <is>
          <t>3.0mm</t>
        </is>
      </c>
      <c r="F814" s="2" t="n">
        <v>1</v>
      </c>
      <c r="G814" s="2" t="n">
        <v>3</v>
      </c>
      <c r="H814" s="2" t="inlineStr">
        <is>
          <t>SC/PC</t>
        </is>
      </c>
      <c r="I814" s="2" t="inlineStr">
        <is>
          <t>FC/APC</t>
        </is>
      </c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>
        <v>20</v>
      </c>
      <c r="U814" s="2" t="n"/>
      <c r="V814" s="2">
        <f>SUM(J814:U814)*G814</f>
        <v/>
      </c>
      <c r="W814" s="2">
        <f>MAX(J814:U814)</f>
        <v/>
      </c>
      <c r="X814" s="2">
        <f>W814*G814</f>
        <v/>
      </c>
    </row>
    <row r="815">
      <c r="A815" s="2" t="inlineStr">
        <is>
          <t>A14-SB-N210</t>
        </is>
      </c>
      <c r="B815" s="3" t="inlineStr">
        <is>
          <t>SOJC-SM-SC/PC-FC/APC</t>
        </is>
      </c>
      <c r="C815" s="2" t="inlineStr">
        <is>
          <t>908040314, 5M, B3, 3.0mm</t>
        </is>
      </c>
      <c r="D815" s="2" t="inlineStr">
        <is>
          <t>b3</t>
        </is>
      </c>
      <c r="E815" s="2" t="inlineStr">
        <is>
          <t>3.0mm</t>
        </is>
      </c>
      <c r="F815" s="2" t="n">
        <v>1</v>
      </c>
      <c r="G815" s="2" t="n">
        <v>5</v>
      </c>
      <c r="H815" s="2" t="inlineStr">
        <is>
          <t>SC/PC</t>
        </is>
      </c>
      <c r="I815" s="2" t="inlineStr">
        <is>
          <t>FC/APC</t>
        </is>
      </c>
      <c r="J815" s="2" t="n">
        <v>10</v>
      </c>
      <c r="K815" s="2" t="n"/>
      <c r="L815" s="2" t="n"/>
      <c r="M815" s="2" t="n">
        <v>20</v>
      </c>
      <c r="N815" s="2" t="n">
        <v>20</v>
      </c>
      <c r="O815" s="2" t="n"/>
      <c r="P815" s="2" t="n"/>
      <c r="Q815" s="2" t="n"/>
      <c r="R815" s="2" t="n"/>
      <c r="S815" s="2" t="n"/>
      <c r="T815" s="2" t="n">
        <v>5</v>
      </c>
      <c r="U815" s="2" t="n"/>
      <c r="V815" s="2">
        <f>SUM(J815:U815)*G815</f>
        <v/>
      </c>
      <c r="W815" s="2">
        <f>MAX(J815:U815)</f>
        <v/>
      </c>
      <c r="X815" s="2">
        <f>W815*G815</f>
        <v/>
      </c>
    </row>
    <row r="816">
      <c r="A816" s="2" t="inlineStr">
        <is>
          <t>A14-SB-N215</t>
        </is>
      </c>
      <c r="B816" s="3" t="inlineStr">
        <is>
          <t>SOJC-SM-SC/PC-FC/PC</t>
        </is>
      </c>
      <c r="C816" s="2" t="inlineStr">
        <is>
          <t>908041380, 10M,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1</v>
      </c>
      <c r="G816" s="2" t="n">
        <v>10</v>
      </c>
      <c r="H816" s="2" t="inlineStr">
        <is>
          <t>SC/PC</t>
        </is>
      </c>
      <c r="I816" s="2" t="inlineStr">
        <is>
          <t>FC/PC</t>
        </is>
      </c>
      <c r="J816" s="2" t="n"/>
      <c r="K816" s="2" t="n"/>
      <c r="L816" s="2" t="n">
        <v>20</v>
      </c>
      <c r="M816" s="2" t="n">
        <v>40</v>
      </c>
      <c r="N816" s="2" t="n"/>
      <c r="O816" s="2" t="n"/>
      <c r="P816" s="2" t="n"/>
      <c r="Q816" s="2" t="n">
        <v>20</v>
      </c>
      <c r="R816" s="2" t="n">
        <v>30</v>
      </c>
      <c r="S816" s="2" t="n"/>
      <c r="T816" s="2" t="n"/>
      <c r="U816" s="2" t="n">
        <v>5</v>
      </c>
      <c r="V816" s="2">
        <f>SUM(J816:U816)*G816</f>
        <v/>
      </c>
      <c r="W816" s="2">
        <f>MAX(J816:U816)</f>
        <v/>
      </c>
      <c r="X816" s="2">
        <f>W816*G816</f>
        <v/>
      </c>
    </row>
    <row r="817">
      <c r="A817" s="2" t="inlineStr">
        <is>
          <t>A14-SB-N218</t>
        </is>
      </c>
      <c r="B817" s="3" t="inlineStr">
        <is>
          <t>SOJC-SM-SC/PC-FC/PC</t>
        </is>
      </c>
      <c r="C817" s="2" t="inlineStr">
        <is>
          <t>908041385, 15M, B3, 2.0mm</t>
        </is>
      </c>
      <c r="D817" s="2" t="inlineStr">
        <is>
          <t>b3</t>
        </is>
      </c>
      <c r="E817" s="2" t="inlineStr">
        <is>
          <t>2.0mm</t>
        </is>
      </c>
      <c r="F817" s="2" t="n">
        <v>1</v>
      </c>
      <c r="G817" s="2" t="n">
        <v>15</v>
      </c>
      <c r="H817" s="2" t="inlineStr">
        <is>
          <t>SC/PC</t>
        </is>
      </c>
      <c r="I817" s="2" t="inlineStr">
        <is>
          <t>FC/PC</t>
        </is>
      </c>
      <c r="J817" s="2" t="n">
        <v>52</v>
      </c>
      <c r="K817" s="2" t="n"/>
      <c r="L817" s="2" t="n"/>
      <c r="M817" s="2" t="n"/>
      <c r="N817" s="2" t="n">
        <v>20</v>
      </c>
      <c r="O817" s="2" t="n"/>
      <c r="P817" s="2" t="n"/>
      <c r="Q817" s="2" t="n">
        <v>40</v>
      </c>
      <c r="R817" s="2" t="n">
        <v>72</v>
      </c>
      <c r="S817" s="2" t="n"/>
      <c r="T817" s="2" t="n"/>
      <c r="U817" s="2" t="n"/>
      <c r="V817" s="2">
        <f>SUM(J817:U817)*G817</f>
        <v/>
      </c>
      <c r="W817" s="2">
        <f>MAX(J817:U817)</f>
        <v/>
      </c>
      <c r="X817" s="2">
        <f>W817*G817</f>
        <v/>
      </c>
    </row>
    <row r="818">
      <c r="A818" s="2" t="inlineStr">
        <is>
          <t>A14-SB-N220</t>
        </is>
      </c>
      <c r="B818" s="3" t="inlineStr">
        <is>
          <t>SOJC-SM-SC/PC-FC/PC</t>
        </is>
      </c>
      <c r="C818" s="2" t="inlineStr">
        <is>
          <t>908040299, 20M,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1</v>
      </c>
      <c r="G818" s="2" t="n">
        <v>20</v>
      </c>
      <c r="H818" s="2" t="inlineStr">
        <is>
          <t>SC/PC</t>
        </is>
      </c>
      <c r="I818" s="2" t="inlineStr">
        <is>
          <t>FC/PC</t>
        </is>
      </c>
      <c r="J818" s="2" t="n"/>
      <c r="K818" s="2" t="n"/>
      <c r="L818" s="2" t="n"/>
      <c r="M818" s="2" t="n">
        <v>23</v>
      </c>
      <c r="N818" s="2" t="n"/>
      <c r="O818" s="2" t="n"/>
      <c r="P818" s="2" t="n"/>
      <c r="Q818" s="2" t="n">
        <v>40</v>
      </c>
      <c r="R818" s="2" t="n">
        <v>50</v>
      </c>
      <c r="S818" s="2" t="n"/>
      <c r="T818" s="2" t="n"/>
      <c r="U818" s="2" t="n"/>
      <c r="V818" s="2">
        <f>SUM(J818:U818)*G818</f>
        <v/>
      </c>
      <c r="W818" s="2">
        <f>MAX(J818:U818)</f>
        <v/>
      </c>
      <c r="X818" s="2">
        <f>W818*G818</f>
        <v/>
      </c>
    </row>
    <row r="819">
      <c r="A819" s="2" t="inlineStr">
        <is>
          <t>A14-SB-N221</t>
        </is>
      </c>
      <c r="B819" s="3" t="inlineStr">
        <is>
          <t>SOJC-SM-SC/PC-FC/PC</t>
        </is>
      </c>
      <c r="C819" s="2" t="inlineStr">
        <is>
          <t>908040304, 25M,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1</v>
      </c>
      <c r="G819" s="2" t="n">
        <v>25</v>
      </c>
      <c r="H819" s="2" t="inlineStr">
        <is>
          <t>SC/PC</t>
        </is>
      </c>
      <c r="I819" s="2" t="inlineStr">
        <is>
          <t>FC/PC</t>
        </is>
      </c>
      <c r="J819" s="2" t="n"/>
      <c r="K819" s="2" t="n"/>
      <c r="L819" s="2" t="n"/>
      <c r="M819" s="2" t="n"/>
      <c r="N819" s="2" t="n"/>
      <c r="O819" s="2" t="n"/>
      <c r="P819" s="2" t="n"/>
      <c r="Q819" s="2" t="n">
        <v>30</v>
      </c>
      <c r="R819" s="2" t="n">
        <v>10</v>
      </c>
      <c r="S819" s="2" t="n"/>
      <c r="T819" s="2" t="n"/>
      <c r="U819" s="2" t="n"/>
      <c r="V819" s="2">
        <f>SUM(J819:U819)*G819</f>
        <v/>
      </c>
      <c r="W819" s="2">
        <f>MAX(J819:U819)</f>
        <v/>
      </c>
      <c r="X819" s="2">
        <f>W819*G819</f>
        <v/>
      </c>
    </row>
    <row r="820">
      <c r="A820" s="2" t="inlineStr">
        <is>
          <t>A14-SB-N237</t>
        </is>
      </c>
      <c r="B820" s="3" t="inlineStr">
        <is>
          <t>SOJC-SM-SC/PC-SC/APC</t>
        </is>
      </c>
      <c r="C820" s="2" t="inlineStr">
        <is>
          <t>908041434, 15M, B3, 2.0mm</t>
        </is>
      </c>
      <c r="D820" s="2" t="inlineStr">
        <is>
          <t>b3</t>
        </is>
      </c>
      <c r="E820" s="2" t="inlineStr">
        <is>
          <t>2.0mm</t>
        </is>
      </c>
      <c r="F820" s="2" t="n">
        <v>1</v>
      </c>
      <c r="G820" s="2" t="n">
        <v>15</v>
      </c>
      <c r="H820" s="2" t="inlineStr">
        <is>
          <t>SC/PC</t>
        </is>
      </c>
      <c r="I820" s="2" t="inlineStr">
        <is>
          <t>SC/APC</t>
        </is>
      </c>
      <c r="J820" s="2" t="n"/>
      <c r="K820" s="2" t="n"/>
      <c r="L820" s="2" t="n"/>
      <c r="M820" s="2" t="n"/>
      <c r="N820" s="2" t="n"/>
      <c r="O820" s="2" t="n">
        <v>10</v>
      </c>
      <c r="P820" s="2" t="n">
        <v>14</v>
      </c>
      <c r="Q820" s="2" t="n">
        <v>65</v>
      </c>
      <c r="R820" s="2" t="n">
        <v>50</v>
      </c>
      <c r="S820" s="2" t="n"/>
      <c r="T820" s="2" t="n"/>
      <c r="U820" s="2" t="n">
        <v>10</v>
      </c>
      <c r="V820" s="2">
        <f>SUM(J820:U820)*G820</f>
        <v/>
      </c>
      <c r="W820" s="2">
        <f>MAX(J820:U820)</f>
        <v/>
      </c>
      <c r="X820" s="2">
        <f>W820*G820</f>
        <v/>
      </c>
    </row>
    <row r="821">
      <c r="A821" s="2" t="inlineStr">
        <is>
          <t>A14-SB-N239</t>
        </is>
      </c>
      <c r="B821" s="3" t="inlineStr">
        <is>
          <t>SOJC-SM-SC/PC-SC/APC</t>
        </is>
      </c>
      <c r="C821" s="2" t="inlineStr">
        <is>
          <t>908041421, 1M, B3, 3.0mm</t>
        </is>
      </c>
      <c r="D821" s="2" t="inlineStr">
        <is>
          <t>b3</t>
        </is>
      </c>
      <c r="E821" s="2" t="inlineStr">
        <is>
          <t>3.0mm</t>
        </is>
      </c>
      <c r="F821" s="2" t="n">
        <v>1</v>
      </c>
      <c r="G821" s="2" t="n">
        <v>1</v>
      </c>
      <c r="H821" s="2" t="inlineStr">
        <is>
          <t>SC/PC</t>
        </is>
      </c>
      <c r="I821" s="2" t="inlineStr">
        <is>
          <t>SC/APC</t>
        </is>
      </c>
      <c r="J821" s="2" t="n"/>
      <c r="K821" s="2" t="n"/>
      <c r="L821" s="2" t="n"/>
      <c r="M821" s="2" t="n">
        <v>10</v>
      </c>
      <c r="N821" s="2" t="n"/>
      <c r="O821" s="2" t="n"/>
      <c r="P821" s="2" t="n">
        <v>29</v>
      </c>
      <c r="Q821" s="2" t="n"/>
      <c r="R821" s="2" t="n"/>
      <c r="S821" s="2" t="n"/>
      <c r="T821" s="2" t="n">
        <v>42</v>
      </c>
      <c r="U821" s="2" t="n">
        <v>10</v>
      </c>
      <c r="V821" s="2">
        <f>SUM(J821:U821)*G821</f>
        <v/>
      </c>
      <c r="W821" s="2">
        <f>MAX(J821:U821)</f>
        <v/>
      </c>
      <c r="X821" s="2">
        <f>W821*G821</f>
        <v/>
      </c>
    </row>
    <row r="822">
      <c r="A822" s="2" t="inlineStr">
        <is>
          <t>A14-SB-N241</t>
        </is>
      </c>
      <c r="B822" s="3" t="inlineStr">
        <is>
          <t>SOJC-SM-SC/PC-SC/APC</t>
        </is>
      </c>
      <c r="C822" s="2" t="inlineStr">
        <is>
          <t>908041439, 20M,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1</v>
      </c>
      <c r="G822" s="2" t="n">
        <v>20</v>
      </c>
      <c r="H822" s="2" t="inlineStr">
        <is>
          <t>SC/PC</t>
        </is>
      </c>
      <c r="I822" s="2" t="inlineStr">
        <is>
          <t>SC/APC</t>
        </is>
      </c>
      <c r="J822" s="2" t="n"/>
      <c r="K822" s="2" t="n"/>
      <c r="L822" s="2" t="n"/>
      <c r="M822" s="2" t="n">
        <v>5</v>
      </c>
      <c r="N822" s="2" t="n"/>
      <c r="O822" s="2" t="n"/>
      <c r="P822" s="2" t="n"/>
      <c r="Q822" s="2" t="n">
        <v>15</v>
      </c>
      <c r="R822" s="2" t="n">
        <v>14</v>
      </c>
      <c r="S822" s="2" t="n"/>
      <c r="T822" s="2" t="n"/>
      <c r="U822" s="2" t="n"/>
      <c r="V822" s="2">
        <f>SUM(J822:U822)*G822</f>
        <v/>
      </c>
      <c r="W822" s="2">
        <f>MAX(J822:U822)</f>
        <v/>
      </c>
      <c r="X822" s="2">
        <f>W822*G822</f>
        <v/>
      </c>
    </row>
    <row r="823">
      <c r="A823" s="2" t="inlineStr">
        <is>
          <t>A14-SB-N245</t>
        </is>
      </c>
      <c r="B823" s="3" t="inlineStr">
        <is>
          <t>SOJC-SM-SC/PC-SC/APC</t>
        </is>
      </c>
      <c r="C823" s="2" t="inlineStr">
        <is>
          <t>908041422, 2M, B3, 3.0mm</t>
        </is>
      </c>
      <c r="D823" s="2" t="inlineStr">
        <is>
          <t>b3</t>
        </is>
      </c>
      <c r="E823" s="2" t="inlineStr">
        <is>
          <t>3.0mm</t>
        </is>
      </c>
      <c r="F823" s="2" t="n">
        <v>1</v>
      </c>
      <c r="G823" s="2" t="n">
        <v>2</v>
      </c>
      <c r="H823" s="2" t="inlineStr">
        <is>
          <t>SC/PC</t>
        </is>
      </c>
      <c r="I823" s="2" t="inlineStr">
        <is>
          <t>SC/APC</t>
        </is>
      </c>
      <c r="J823" s="2" t="n">
        <v>50</v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>
        <f>SUM(J823:U823)*G823</f>
        <v/>
      </c>
      <c r="W823" s="2">
        <f>MAX(J823:U823)</f>
        <v/>
      </c>
      <c r="X823" s="2">
        <f>W823*G823</f>
        <v/>
      </c>
    </row>
    <row r="824">
      <c r="A824" s="2" t="inlineStr">
        <is>
          <t>A14-SB-N249</t>
        </is>
      </c>
      <c r="B824" s="3" t="inlineStr">
        <is>
          <t>SOJC-SM-SC/PC-SC/APC</t>
        </is>
      </c>
      <c r="C824" s="2" t="inlineStr">
        <is>
          <t>908041420, 3M, B3, 3.0mm</t>
        </is>
      </c>
      <c r="D824" s="2" t="inlineStr">
        <is>
          <t>b3</t>
        </is>
      </c>
      <c r="E824" s="2" t="inlineStr">
        <is>
          <t>3.0mm</t>
        </is>
      </c>
      <c r="F824" s="2" t="n">
        <v>1</v>
      </c>
      <c r="G824" s="2" t="n">
        <v>3</v>
      </c>
      <c r="H824" s="2" t="inlineStr">
        <is>
          <t>SC/PC</t>
        </is>
      </c>
      <c r="I824" s="2" t="inlineStr">
        <is>
          <t>SC/APC</t>
        </is>
      </c>
      <c r="J824" s="2" t="n"/>
      <c r="K824" s="2" t="n">
        <v>400</v>
      </c>
      <c r="L824" s="2" t="n">
        <v>414</v>
      </c>
      <c r="M824" s="2" t="n">
        <v>357</v>
      </c>
      <c r="N824" s="2" t="n">
        <v>300</v>
      </c>
      <c r="O824" s="2" t="n"/>
      <c r="P824" s="2" t="n">
        <v>30</v>
      </c>
      <c r="Q824" s="2" t="n"/>
      <c r="R824" s="2" t="n">
        <v>162</v>
      </c>
      <c r="S824" s="2" t="n">
        <v>190</v>
      </c>
      <c r="T824" s="2" t="n">
        <v>200</v>
      </c>
      <c r="U824" s="2" t="n"/>
      <c r="V824" s="2">
        <f>SUM(J824:U824)*G824</f>
        <v/>
      </c>
      <c r="W824" s="2">
        <f>MAX(J824:U824)</f>
        <v/>
      </c>
      <c r="X824" s="2">
        <f>W824*G824</f>
        <v/>
      </c>
    </row>
    <row r="825">
      <c r="A825" s="2" t="inlineStr">
        <is>
          <t>A14-SB-N258</t>
        </is>
      </c>
      <c r="B825" s="3" t="inlineStr">
        <is>
          <t>SOJC-SM-SC/PC-SC/PC</t>
        </is>
      </c>
      <c r="C825" s="2" t="inlineStr">
        <is>
          <t>908041399, 10M, B3, 2.0mm</t>
        </is>
      </c>
      <c r="D825" s="2" t="inlineStr">
        <is>
          <t>b3</t>
        </is>
      </c>
      <c r="E825" s="2" t="inlineStr">
        <is>
          <t>2.0mm</t>
        </is>
      </c>
      <c r="F825" s="2" t="n">
        <v>1</v>
      </c>
      <c r="G825" s="2" t="n">
        <v>10</v>
      </c>
      <c r="H825" s="2" t="inlineStr">
        <is>
          <t>SC/PC</t>
        </is>
      </c>
      <c r="I825" s="2" t="inlineStr">
        <is>
          <t>SC/PC</t>
        </is>
      </c>
      <c r="J825" s="2" t="n"/>
      <c r="K825" s="2" t="n"/>
      <c r="L825" s="2" t="n"/>
      <c r="M825" s="2" t="n"/>
      <c r="N825" s="2" t="n"/>
      <c r="O825" s="2" t="n">
        <v>255</v>
      </c>
      <c r="P825" s="2" t="n"/>
      <c r="Q825" s="2" t="n"/>
      <c r="R825" s="2" t="n"/>
      <c r="S825" s="2" t="n"/>
      <c r="T825" s="2" t="n">
        <v>51</v>
      </c>
      <c r="U825" s="2" t="n"/>
      <c r="V825" s="2">
        <f>SUM(J825:U825)*G825</f>
        <v/>
      </c>
      <c r="W825" s="2">
        <f>MAX(J825:U825)</f>
        <v/>
      </c>
      <c r="X825" s="2">
        <f>W825*G825</f>
        <v/>
      </c>
    </row>
    <row r="826">
      <c r="A826" s="2" t="inlineStr">
        <is>
          <t>A14-SB-N260</t>
        </is>
      </c>
      <c r="B826" s="3" t="inlineStr">
        <is>
          <t>SOJC-SM-SC/PC-SC/PC</t>
        </is>
      </c>
      <c r="C826" s="2" t="inlineStr">
        <is>
          <t>908041404, 15M, B3, 2.0mm</t>
        </is>
      </c>
      <c r="D826" s="2" t="inlineStr">
        <is>
          <t>b3</t>
        </is>
      </c>
      <c r="E826" s="2" t="inlineStr">
        <is>
          <t>2.0mm</t>
        </is>
      </c>
      <c r="F826" s="2" t="n">
        <v>1</v>
      </c>
      <c r="G826" s="2" t="n">
        <v>15</v>
      </c>
      <c r="H826" s="2" t="inlineStr">
        <is>
          <t>SC/PC</t>
        </is>
      </c>
      <c r="I826" s="2" t="inlineStr">
        <is>
          <t>SC/PC</t>
        </is>
      </c>
      <c r="J826" s="2" t="n"/>
      <c r="K826" s="2" t="n"/>
      <c r="L826" s="2" t="n"/>
      <c r="M826" s="2" t="n"/>
      <c r="N826" s="2" t="n">
        <v>20</v>
      </c>
      <c r="O826" s="2" t="n">
        <v>22</v>
      </c>
      <c r="P826" s="2" t="n"/>
      <c r="Q826" s="2" t="n"/>
      <c r="R826" s="2" t="n"/>
      <c r="S826" s="2" t="n"/>
      <c r="T826" s="2" t="n"/>
      <c r="U826" s="2" t="n">
        <v>6</v>
      </c>
      <c r="V826" s="2">
        <f>SUM(J826:U826)*G826</f>
        <v/>
      </c>
      <c r="W826" s="2">
        <f>MAX(J826:U826)</f>
        <v/>
      </c>
      <c r="X826" s="2">
        <f>W826*G826</f>
        <v/>
      </c>
    </row>
    <row r="827">
      <c r="A827" s="2" t="inlineStr">
        <is>
          <t>A14-SB-N261</t>
        </is>
      </c>
      <c r="B827" s="3" t="inlineStr">
        <is>
          <t>SOJC-SM-SC/PC-SC/PC</t>
        </is>
      </c>
      <c r="C827" s="2" t="inlineStr">
        <is>
          <t>908041391, 1M, B3, 3.0mm</t>
        </is>
      </c>
      <c r="D827" s="2" t="inlineStr">
        <is>
          <t>b3</t>
        </is>
      </c>
      <c r="E827" s="2" t="inlineStr">
        <is>
          <t>3.0mm</t>
        </is>
      </c>
      <c r="F827" s="2" t="n">
        <v>1</v>
      </c>
      <c r="G827" s="2" t="n">
        <v>1</v>
      </c>
      <c r="H827" s="2" t="inlineStr">
        <is>
          <t>SC/PC</t>
        </is>
      </c>
      <c r="I827" s="2" t="inlineStr">
        <is>
          <t>SC/PC</t>
        </is>
      </c>
      <c r="J827" s="2" t="n"/>
      <c r="K827" s="2" t="n"/>
      <c r="L827" s="2" t="n">
        <v>100</v>
      </c>
      <c r="M827" s="2" t="n"/>
      <c r="N827" s="2" t="n">
        <v>500</v>
      </c>
      <c r="O827" s="2" t="n"/>
      <c r="P827" s="2" t="n">
        <v>146</v>
      </c>
      <c r="Q827" s="2" t="n"/>
      <c r="R827" s="2" t="n"/>
      <c r="S827" s="2" t="n"/>
      <c r="T827" s="2" t="n"/>
      <c r="U827" s="2" t="n"/>
      <c r="V827" s="2">
        <f>SUM(J827:U827)*G827</f>
        <v/>
      </c>
      <c r="W827" s="2">
        <f>MAX(J827:U827)</f>
        <v/>
      </c>
      <c r="X827" s="2">
        <f>W827*G827</f>
        <v/>
      </c>
    </row>
    <row r="828">
      <c r="A828" s="2" t="inlineStr">
        <is>
          <t>A14-SB-N263</t>
        </is>
      </c>
      <c r="B828" s="3" t="inlineStr">
        <is>
          <t>SOJC-SM-SC/PC-SC/PC</t>
        </is>
      </c>
      <c r="C828" s="2" t="inlineStr">
        <is>
          <t>908041409, 20M, B3, 2.0mm</t>
        </is>
      </c>
      <c r="D828" s="2" t="inlineStr">
        <is>
          <t>b3</t>
        </is>
      </c>
      <c r="E828" s="2" t="inlineStr">
        <is>
          <t>2.0mm</t>
        </is>
      </c>
      <c r="F828" s="2" t="n">
        <v>1</v>
      </c>
      <c r="G828" s="2" t="n">
        <v>20</v>
      </c>
      <c r="H828" s="2" t="inlineStr">
        <is>
          <t>SC/PC</t>
        </is>
      </c>
      <c r="I828" s="2" t="inlineStr">
        <is>
          <t>SC/PC</t>
        </is>
      </c>
      <c r="J828" s="2" t="n"/>
      <c r="K828" s="2" t="n"/>
      <c r="L828" s="2" t="n"/>
      <c r="M828" s="2" t="n">
        <v>50</v>
      </c>
      <c r="N828" s="2" t="n"/>
      <c r="O828" s="2" t="n">
        <v>20</v>
      </c>
      <c r="P828" s="2" t="n"/>
      <c r="Q828" s="2" t="n"/>
      <c r="R828" s="2" t="n"/>
      <c r="S828" s="2" t="n"/>
      <c r="T828" s="2" t="n">
        <v>9</v>
      </c>
      <c r="U828" s="2" t="n">
        <v>32</v>
      </c>
      <c r="V828" s="2">
        <f>SUM(J828:U828)*G828</f>
        <v/>
      </c>
      <c r="W828" s="2">
        <f>MAX(J828:U828)</f>
        <v/>
      </c>
      <c r="X828" s="2">
        <f>W828*G828</f>
        <v/>
      </c>
    </row>
    <row r="829">
      <c r="A829" s="2" t="inlineStr">
        <is>
          <t>A14-SB-N264</t>
        </is>
      </c>
      <c r="B829" s="3" t="inlineStr">
        <is>
          <t>SOJC-SM-SC/PC-SC/PC</t>
        </is>
      </c>
      <c r="C829" s="2" t="inlineStr">
        <is>
          <t>908041414, 25M, B3, 2.0mm</t>
        </is>
      </c>
      <c r="D829" s="2" t="inlineStr">
        <is>
          <t>b3</t>
        </is>
      </c>
      <c r="E829" s="2" t="inlineStr">
        <is>
          <t>2.0mm</t>
        </is>
      </c>
      <c r="F829" s="2" t="n">
        <v>1</v>
      </c>
      <c r="G829" s="2" t="n">
        <v>25</v>
      </c>
      <c r="H829" s="2" t="inlineStr">
        <is>
          <t>SC/PC</t>
        </is>
      </c>
      <c r="I829" s="2" t="inlineStr">
        <is>
          <t>SC/PC</t>
        </is>
      </c>
      <c r="J829" s="2" t="n"/>
      <c r="K829" s="2" t="n"/>
      <c r="L829" s="2" t="n"/>
      <c r="M829" s="2" t="n">
        <v>10</v>
      </c>
      <c r="N829" s="2" t="n"/>
      <c r="O829" s="2" t="n">
        <v>2</v>
      </c>
      <c r="P829" s="2" t="n"/>
      <c r="Q829" s="2" t="n">
        <v>8</v>
      </c>
      <c r="R829" s="2" t="n"/>
      <c r="S829" s="2" t="n"/>
      <c r="T829" s="2" t="n"/>
      <c r="U829" s="2" t="n"/>
      <c r="V829" s="2">
        <f>SUM(J829:U829)*G829</f>
        <v/>
      </c>
      <c r="W829" s="2">
        <f>MAX(J829:U829)</f>
        <v/>
      </c>
      <c r="X829" s="2">
        <f>W829*G829</f>
        <v/>
      </c>
    </row>
    <row r="830">
      <c r="A830" s="2" t="inlineStr">
        <is>
          <t>A14-SB-N268</t>
        </is>
      </c>
      <c r="B830" s="3" t="inlineStr">
        <is>
          <t>SOJC-SM-SC/PC-SC/PC</t>
        </is>
      </c>
      <c r="C830" s="2" t="inlineStr">
        <is>
          <t>908041390, 3M, B3, 3.0mm</t>
        </is>
      </c>
      <c r="D830" s="2" t="inlineStr">
        <is>
          <t>b3</t>
        </is>
      </c>
      <c r="E830" s="2" t="inlineStr">
        <is>
          <t>3.0mm</t>
        </is>
      </c>
      <c r="F830" s="2" t="n">
        <v>1</v>
      </c>
      <c r="G830" s="2" t="n">
        <v>3</v>
      </c>
      <c r="H830" s="2" t="inlineStr">
        <is>
          <t>SC/PC</t>
        </is>
      </c>
      <c r="I830" s="2" t="inlineStr">
        <is>
          <t>SC/PC</t>
        </is>
      </c>
      <c r="J830" s="2" t="n">
        <v>100</v>
      </c>
      <c r="K830" s="2" t="n">
        <v>100</v>
      </c>
      <c r="L830" s="2" t="n"/>
      <c r="M830" s="2" t="n">
        <v>260</v>
      </c>
      <c r="N830" s="2" t="n">
        <v>700</v>
      </c>
      <c r="O830" s="2" t="n"/>
      <c r="P830" s="2" t="n"/>
      <c r="Q830" s="2" t="n"/>
      <c r="R830" s="2" t="n"/>
      <c r="S830" s="2" t="n"/>
      <c r="T830" s="2" t="n"/>
      <c r="U830" s="2" t="n"/>
      <c r="V830" s="2">
        <f>SUM(J830:U830)*G830</f>
        <v/>
      </c>
      <c r="W830" s="2">
        <f>MAX(J830:U830)</f>
        <v/>
      </c>
      <c r="X830" s="2">
        <f>W830*G830</f>
        <v/>
      </c>
    </row>
    <row r="831">
      <c r="A831" s="2" t="inlineStr">
        <is>
          <t>A14-SB-N271</t>
        </is>
      </c>
      <c r="B831" s="3" t="inlineStr">
        <is>
          <t>SOJC-SM-SC/PC-SC/PC</t>
        </is>
      </c>
      <c r="C831" s="2" t="inlineStr">
        <is>
          <t>908041393, 4M, B3, 3.0mm</t>
        </is>
      </c>
      <c r="D831" s="2" t="inlineStr">
        <is>
          <t>b3</t>
        </is>
      </c>
      <c r="E831" s="2" t="inlineStr">
        <is>
          <t>3.0mm</t>
        </is>
      </c>
      <c r="F831" s="2" t="n">
        <v>1</v>
      </c>
      <c r="G831" s="2" t="n">
        <v>4</v>
      </c>
      <c r="H831" s="2" t="inlineStr">
        <is>
          <t>SC/PC</t>
        </is>
      </c>
      <c r="I831" s="2" t="inlineStr">
        <is>
          <t>SC/PC</t>
        </is>
      </c>
      <c r="J831" s="2" t="n"/>
      <c r="K831" s="2" t="n"/>
      <c r="L831" s="2" t="n"/>
      <c r="M831" s="2" t="n"/>
      <c r="N831" s="2" t="n"/>
      <c r="O831" s="2" t="n"/>
      <c r="P831" s="2" t="n">
        <v>175</v>
      </c>
      <c r="Q831" s="2" t="n"/>
      <c r="R831" s="2" t="n"/>
      <c r="S831" s="2" t="n"/>
      <c r="T831" s="2" t="n"/>
      <c r="U831" s="2" t="n"/>
      <c r="V831" s="2">
        <f>SUM(J831:U831)*G831</f>
        <v/>
      </c>
      <c r="W831" s="2">
        <f>MAX(J831:U831)</f>
        <v/>
      </c>
      <c r="X831" s="2">
        <f>W831*G831</f>
        <v/>
      </c>
    </row>
    <row r="832">
      <c r="A832" s="2" t="inlineStr">
        <is>
          <t>A14-SB-N273</t>
        </is>
      </c>
      <c r="B832" s="3" t="inlineStr">
        <is>
          <t>SOJC-SM-SC/PC-SC/PC</t>
        </is>
      </c>
      <c r="C832" s="2" t="inlineStr">
        <is>
          <t>908041396, 7M, B3, 2.0mm</t>
        </is>
      </c>
      <c r="D832" s="2" t="inlineStr">
        <is>
          <t>b3</t>
        </is>
      </c>
      <c r="E832" s="2" t="inlineStr">
        <is>
          <t>2.0mm</t>
        </is>
      </c>
      <c r="F832" s="2" t="n">
        <v>1</v>
      </c>
      <c r="G832" s="2" t="n">
        <v>7</v>
      </c>
      <c r="H832" s="2" t="inlineStr">
        <is>
          <t>SC/PC</t>
        </is>
      </c>
      <c r="I832" s="2" t="inlineStr">
        <is>
          <t>SC/PC</t>
        </is>
      </c>
      <c r="J832" s="2" t="n"/>
      <c r="K832" s="2" t="n"/>
      <c r="L832" s="2" t="n"/>
      <c r="M832" s="2" t="n"/>
      <c r="N832" s="2" t="n"/>
      <c r="O832" s="2" t="n">
        <v>151</v>
      </c>
      <c r="P832" s="2" t="n"/>
      <c r="Q832" s="2" t="n"/>
      <c r="R832" s="2" t="n"/>
      <c r="S832" s="2" t="n"/>
      <c r="T832" s="2" t="n"/>
      <c r="U832" s="2" t="n">
        <v>96</v>
      </c>
      <c r="V832" s="2">
        <f>SUM(J832:U832)*G832</f>
        <v/>
      </c>
      <c r="W832" s="2">
        <f>MAX(J832:U832)</f>
        <v/>
      </c>
      <c r="X832" s="2">
        <f>W832*G832</f>
        <v/>
      </c>
    </row>
    <row r="833">
      <c r="A833" s="2" t="inlineStr">
        <is>
          <t>A14-SB-N285</t>
        </is>
      </c>
      <c r="B833" s="3" t="inlineStr">
        <is>
          <t>SOJC-SM-SC/PC-SC/PC</t>
        </is>
      </c>
      <c r="C833" s="2" t="inlineStr">
        <is>
          <t>908041395, 6M, B3, 2.0mm</t>
        </is>
      </c>
      <c r="D833" s="2" t="inlineStr">
        <is>
          <t>b3</t>
        </is>
      </c>
      <c r="E833" s="2" t="inlineStr">
        <is>
          <t>2.0mm</t>
        </is>
      </c>
      <c r="F833" s="2" t="n">
        <v>1</v>
      </c>
      <c r="G833" s="2" t="n">
        <v>6</v>
      </c>
      <c r="H833" s="2" t="inlineStr">
        <is>
          <t>SC/PC</t>
        </is>
      </c>
      <c r="I833" s="2" t="inlineStr">
        <is>
          <t>SC/PC</t>
        </is>
      </c>
      <c r="J833" s="2" t="n"/>
      <c r="K833" s="2" t="n"/>
      <c r="L833" s="2" t="n"/>
      <c r="M833" s="2" t="n">
        <v>200</v>
      </c>
      <c r="N833" s="2" t="n"/>
      <c r="O833" s="2" t="n"/>
      <c r="P833" s="2" t="n">
        <v>4</v>
      </c>
      <c r="Q833" s="2" t="n"/>
      <c r="R833" s="2" t="n"/>
      <c r="S833" s="2" t="n"/>
      <c r="T833" s="2" t="n"/>
      <c r="U833" s="2" t="n"/>
      <c r="V833" s="2">
        <f>SUM(J833:U833)*G833</f>
        <v/>
      </c>
      <c r="W833" s="2">
        <f>MAX(J833:U833)</f>
        <v/>
      </c>
      <c r="X833" s="2">
        <f>W833*G833</f>
        <v/>
      </c>
    </row>
    <row r="834">
      <c r="A834" s="2" t="inlineStr">
        <is>
          <t>A14-SB-N299</t>
        </is>
      </c>
      <c r="B834" s="3" t="inlineStr">
        <is>
          <t>SOJC-SM-LC/APC-FC/APC</t>
        </is>
      </c>
      <c r="C834" s="2" t="inlineStr">
        <is>
          <t>20M, B3, 2.0mm</t>
        </is>
      </c>
      <c r="D834" s="2" t="inlineStr">
        <is>
          <t>b3</t>
        </is>
      </c>
      <c r="E834" s="2" t="inlineStr">
        <is>
          <t>2.0mm</t>
        </is>
      </c>
      <c r="F834" s="2" t="n">
        <v>1</v>
      </c>
      <c r="G834" s="2" t="n">
        <v>20</v>
      </c>
      <c r="H834" s="2" t="inlineStr">
        <is>
          <t>LC/APC</t>
        </is>
      </c>
      <c r="I834" s="2" t="inlineStr">
        <is>
          <t>FC/APC</t>
        </is>
      </c>
      <c r="J834" s="2" t="n"/>
      <c r="K834" s="2" t="n"/>
      <c r="L834" s="2" t="n"/>
      <c r="M834" s="2" t="n"/>
      <c r="N834" s="2" t="n"/>
      <c r="O834" s="2" t="n">
        <v>10</v>
      </c>
      <c r="P834" s="2" t="n">
        <v>6</v>
      </c>
      <c r="Q834" s="2" t="n"/>
      <c r="R834" s="2" t="n">
        <v>1</v>
      </c>
      <c r="S834" s="2" t="n"/>
      <c r="T834" s="2" t="n"/>
      <c r="U834" s="2" t="n"/>
      <c r="V834" s="2">
        <f>SUM(J834:U834)*G834</f>
        <v/>
      </c>
      <c r="W834" s="2">
        <f>MAX(J834:U834)</f>
        <v/>
      </c>
      <c r="X834" s="2">
        <f>W834*G834</f>
        <v/>
      </c>
    </row>
    <row r="835">
      <c r="A835" s="2" t="inlineStr">
        <is>
          <t>A14-SB-N360</t>
        </is>
      </c>
      <c r="B835" s="3" t="inlineStr">
        <is>
          <t>SOJC-SM-LC/APC-LC/APC</t>
        </is>
      </c>
      <c r="C835" s="2" t="inlineStr">
        <is>
          <t>10M, B3, 2.0mm</t>
        </is>
      </c>
      <c r="D835" s="2" t="inlineStr">
        <is>
          <t>b3</t>
        </is>
      </c>
      <c r="E835" s="2" t="inlineStr">
        <is>
          <t>2.0mm</t>
        </is>
      </c>
      <c r="F835" s="2" t="n">
        <v>1</v>
      </c>
      <c r="G835" s="2" t="n">
        <v>10</v>
      </c>
      <c r="H835" s="2" t="inlineStr">
        <is>
          <t>LC/APC</t>
        </is>
      </c>
      <c r="I835" s="2" t="inlineStr">
        <is>
          <t>LC/APC</t>
        </is>
      </c>
      <c r="J835" s="2" t="n"/>
      <c r="K835" s="2" t="n"/>
      <c r="L835" s="2" t="n"/>
      <c r="M835" s="2" t="n"/>
      <c r="N835" s="2" t="n"/>
      <c r="O835" s="2" t="n"/>
      <c r="P835" s="2" t="n">
        <v>20</v>
      </c>
      <c r="Q835" s="2" t="n"/>
      <c r="R835" s="2" t="n"/>
      <c r="S835" s="2" t="n"/>
      <c r="T835" s="2" t="n"/>
      <c r="U835" s="2" t="n"/>
      <c r="V835" s="2">
        <f>SUM(J835:U835)*G835</f>
        <v/>
      </c>
      <c r="W835" s="2">
        <f>MAX(J835:U835)</f>
        <v/>
      </c>
      <c r="X835" s="2">
        <f>W835*G835</f>
        <v/>
      </c>
    </row>
    <row r="836">
      <c r="A836" s="2" t="inlineStr">
        <is>
          <t>A14-SB-N361</t>
        </is>
      </c>
      <c r="B836" s="3" t="inlineStr">
        <is>
          <t>SOJC-SM-LC/APC-FC/APC</t>
        </is>
      </c>
      <c r="C836" s="2" t="inlineStr">
        <is>
          <t>10M, B3, 2.0mm</t>
        </is>
      </c>
      <c r="D836" s="2" t="inlineStr">
        <is>
          <t>b3</t>
        </is>
      </c>
      <c r="E836" s="2" t="inlineStr">
        <is>
          <t>2.0mm</t>
        </is>
      </c>
      <c r="F836" s="2" t="n">
        <v>1</v>
      </c>
      <c r="G836" s="2" t="n">
        <v>10</v>
      </c>
      <c r="H836" s="2" t="inlineStr">
        <is>
          <t>LC/APC</t>
        </is>
      </c>
      <c r="I836" s="2" t="inlineStr">
        <is>
          <t>FC/APC</t>
        </is>
      </c>
      <c r="J836" s="2" t="n"/>
      <c r="K836" s="2" t="n"/>
      <c r="L836" s="2" t="n"/>
      <c r="M836" s="2" t="n"/>
      <c r="N836" s="2" t="n"/>
      <c r="O836" s="2" t="n"/>
      <c r="P836" s="2" t="n">
        <v>15</v>
      </c>
      <c r="Q836" s="2" t="n"/>
      <c r="R836" s="2" t="n"/>
      <c r="S836" s="2" t="n"/>
      <c r="T836" s="2" t="n"/>
      <c r="U836" s="2" t="n"/>
      <c r="V836" s="2">
        <f>SUM(J836:U836)*G836</f>
        <v/>
      </c>
      <c r="W836" s="2">
        <f>MAX(J836:U836)</f>
        <v/>
      </c>
      <c r="X836" s="2">
        <f>W836*G836</f>
        <v/>
      </c>
    </row>
    <row r="837">
      <c r="A837" s="2" t="inlineStr">
        <is>
          <t>A14-SB-N453</t>
        </is>
      </c>
      <c r="B837" s="3" t="inlineStr">
        <is>
          <t>SOJC-SM-LC/APC-SC/PC</t>
        </is>
      </c>
      <c r="C837" s="2" t="inlineStr">
        <is>
          <t>1M, B3, 3.0mm</t>
        </is>
      </c>
      <c r="D837" s="2" t="inlineStr">
        <is>
          <t>b3</t>
        </is>
      </c>
      <c r="E837" s="2" t="inlineStr">
        <is>
          <t>3.0mm</t>
        </is>
      </c>
      <c r="F837" s="2" t="n">
        <v>1</v>
      </c>
      <c r="G837" s="2" t="n">
        <v>1</v>
      </c>
      <c r="H837" s="2" t="inlineStr">
        <is>
          <t>LC/APC</t>
        </is>
      </c>
      <c r="I837" s="2" t="inlineStr">
        <is>
          <t>SC/PC</t>
        </is>
      </c>
      <c r="J837" s="2" t="n"/>
      <c r="K837" s="2" t="n"/>
      <c r="L837" s="2" t="n"/>
      <c r="M837" s="2" t="n"/>
      <c r="N837" s="2" t="n"/>
      <c r="O837" s="2" t="n"/>
      <c r="P837" s="2" t="n"/>
      <c r="Q837" s="2" t="n">
        <v>10</v>
      </c>
      <c r="R837" s="2" t="n"/>
      <c r="S837" s="2" t="n"/>
      <c r="T837" s="2" t="n"/>
      <c r="U837" s="2" t="n"/>
      <c r="V837" s="2">
        <f>SUM(J837:U837)*G837</f>
        <v/>
      </c>
      <c r="W837" s="2">
        <f>MAX(J837:U837)</f>
        <v/>
      </c>
      <c r="X837" s="2">
        <f>W837*G837</f>
        <v/>
      </c>
    </row>
    <row r="838">
      <c r="A838" s="2" t="inlineStr">
        <is>
          <t>A14-SB-N486</t>
        </is>
      </c>
      <c r="B838" s="3" t="inlineStr">
        <is>
          <t>SOJC-SM-LC/PC-LC/PC</t>
        </is>
      </c>
      <c r="C838" s="2" t="inlineStr">
        <is>
          <t>11M, B3, 2.0mm</t>
        </is>
      </c>
      <c r="D838" s="2" t="inlineStr">
        <is>
          <t>b3</t>
        </is>
      </c>
      <c r="E838" s="2" t="inlineStr">
        <is>
          <t>2.0mm</t>
        </is>
      </c>
      <c r="F838" s="2" t="n">
        <v>1</v>
      </c>
      <c r="G838" s="2" t="n">
        <v>11</v>
      </c>
      <c r="H838" s="2" t="inlineStr">
        <is>
          <t>LC/PC</t>
        </is>
      </c>
      <c r="I838" s="2" t="inlineStr">
        <is>
          <t>LC/PC</t>
        </is>
      </c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>
        <v>10</v>
      </c>
      <c r="T838" s="2" t="n"/>
      <c r="U838" s="2" t="n"/>
      <c r="V838" s="2">
        <f>SUM(J838:U838)*G838</f>
        <v/>
      </c>
      <c r="W838" s="2">
        <f>MAX(J838:U838)</f>
        <v/>
      </c>
      <c r="X838" s="2">
        <f>W838*G838</f>
        <v/>
      </c>
    </row>
    <row r="839">
      <c r="A839" s="2" t="inlineStr">
        <is>
          <t>A14-SB-N645</t>
        </is>
      </c>
      <c r="B839" s="3" t="inlineStr">
        <is>
          <t>SOJC-SM-LC/PC-FC/PC</t>
        </is>
      </c>
      <c r="C839" s="2" t="inlineStr">
        <is>
          <t>13M,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1</v>
      </c>
      <c r="G839" s="2" t="n">
        <v>13</v>
      </c>
      <c r="H839" s="2" t="inlineStr">
        <is>
          <t>LC/PC</t>
        </is>
      </c>
      <c r="I839" s="2" t="inlineStr">
        <is>
          <t>FC/PC</t>
        </is>
      </c>
      <c r="J839" s="2" t="n"/>
      <c r="K839" s="2" t="n">
        <v>10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>
        <f>SUM(J839:U839)*G839</f>
        <v/>
      </c>
      <c r="W839" s="2">
        <f>MAX(J839:U839)</f>
        <v/>
      </c>
      <c r="X839" s="2">
        <f>W839*G839</f>
        <v/>
      </c>
    </row>
    <row r="840">
      <c r="A840" s="2" t="inlineStr">
        <is>
          <t>A14-SB-N660</t>
        </is>
      </c>
      <c r="B840" s="3" t="inlineStr">
        <is>
          <t>SOJC-SM-LC/PC-LC/PC</t>
        </is>
      </c>
      <c r="C840" s="2" t="inlineStr">
        <is>
          <t>35M, B3, 2mm</t>
        </is>
      </c>
      <c r="D840" s="2" t="inlineStr">
        <is>
          <t>b3</t>
        </is>
      </c>
      <c r="E840" s="2" t="inlineStr">
        <is>
          <t>2.0mm</t>
        </is>
      </c>
      <c r="F840" s="2" t="n">
        <v>1</v>
      </c>
      <c r="G840" s="2" t="n">
        <v>35</v>
      </c>
      <c r="H840" s="2" t="inlineStr">
        <is>
          <t>LC/PC</t>
        </is>
      </c>
      <c r="I840" s="2" t="inlineStr">
        <is>
          <t>LC/PC</t>
        </is>
      </c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>
        <v>4</v>
      </c>
      <c r="V840" s="2">
        <f>SUM(J840:U840)*G840</f>
        <v/>
      </c>
      <c r="W840" s="2">
        <f>MAX(J840:U840)</f>
        <v/>
      </c>
      <c r="X840" s="2">
        <f>W840*G840</f>
        <v/>
      </c>
    </row>
    <row r="841">
      <c r="A841" s="2" t="inlineStr">
        <is>
          <t>A14-SB-N834</t>
        </is>
      </c>
      <c r="B841" s="3" t="inlineStr">
        <is>
          <t>SOJC-SM-LC/APC-FC/APC</t>
        </is>
      </c>
      <c r="C841" s="2" t="inlineStr">
        <is>
          <t>15M,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1</v>
      </c>
      <c r="G841" s="2" t="n">
        <v>15</v>
      </c>
      <c r="H841" s="2" t="inlineStr">
        <is>
          <t>LC/APC</t>
        </is>
      </c>
      <c r="I841" s="2" t="inlineStr">
        <is>
          <t>FC/APC</t>
        </is>
      </c>
      <c r="J841" s="2" t="n"/>
      <c r="K841" s="2" t="n"/>
      <c r="L841" s="2" t="n"/>
      <c r="M841" s="2" t="n"/>
      <c r="N841" s="2" t="n"/>
      <c r="O841" s="2" t="n">
        <v>10</v>
      </c>
      <c r="P841" s="2" t="n">
        <v>17</v>
      </c>
      <c r="Q841" s="2" t="n"/>
      <c r="R841" s="2" t="n"/>
      <c r="S841" s="2" t="n"/>
      <c r="T841" s="2" t="n"/>
      <c r="U841" s="2" t="n"/>
      <c r="V841" s="2">
        <f>SUM(J841:U841)*G841</f>
        <v/>
      </c>
      <c r="W841" s="2">
        <f>MAX(J841:U841)</f>
        <v/>
      </c>
      <c r="X841" s="2">
        <f>W841*G841</f>
        <v/>
      </c>
    </row>
    <row r="842">
      <c r="A842" s="2" t="inlineStr">
        <is>
          <t>A14-SB-N836</t>
        </is>
      </c>
      <c r="B842" s="3" t="inlineStr">
        <is>
          <t>SOJC-SM-LC/APC-FC/PC</t>
        </is>
      </c>
      <c r="C842" s="2" t="inlineStr">
        <is>
          <t>20M, B3, 2.0mm</t>
        </is>
      </c>
      <c r="D842" s="2" t="inlineStr">
        <is>
          <t>b3</t>
        </is>
      </c>
      <c r="E842" s="2" t="inlineStr">
        <is>
          <t>2.0mm</t>
        </is>
      </c>
      <c r="F842" s="2" t="n">
        <v>1</v>
      </c>
      <c r="G842" s="2" t="n">
        <v>20</v>
      </c>
      <c r="H842" s="2" t="inlineStr">
        <is>
          <t>LC/APC</t>
        </is>
      </c>
      <c r="I842" s="2" t="inlineStr">
        <is>
          <t>FC/PC</t>
        </is>
      </c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>
        <v>1</v>
      </c>
      <c r="S842" s="2" t="n"/>
      <c r="T842" s="2" t="n"/>
      <c r="U842" s="2" t="n"/>
      <c r="V842" s="2">
        <f>SUM(J842:U842)*G842</f>
        <v/>
      </c>
      <c r="W842" s="2">
        <f>MAX(J842:U842)</f>
        <v/>
      </c>
      <c r="X842" s="2">
        <f>W842*G842</f>
        <v/>
      </c>
    </row>
    <row r="843">
      <c r="A843" s="2" t="inlineStr">
        <is>
          <t>A14-SB-N843</t>
        </is>
      </c>
      <c r="B843" s="3" t="inlineStr">
        <is>
          <t>SOJC-SM-LC/APC-LC/APC</t>
        </is>
      </c>
      <c r="C843" s="2" t="inlineStr">
        <is>
          <t>15M,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1</v>
      </c>
      <c r="G843" s="2" t="n">
        <v>15</v>
      </c>
      <c r="H843" s="2" t="inlineStr">
        <is>
          <t>LC/APC</t>
        </is>
      </c>
      <c r="I843" s="2" t="inlineStr">
        <is>
          <t>LC/APC</t>
        </is>
      </c>
      <c r="J843" s="2" t="n"/>
      <c r="K843" s="2" t="n"/>
      <c r="L843" s="2" t="n"/>
      <c r="M843" s="2" t="n"/>
      <c r="N843" s="2" t="n"/>
      <c r="O843" s="2" t="n"/>
      <c r="P843" s="2" t="n">
        <v>20</v>
      </c>
      <c r="Q843" s="2" t="n"/>
      <c r="R843" s="2" t="n"/>
      <c r="S843" s="2" t="n"/>
      <c r="T843" s="2" t="n"/>
      <c r="U843" s="2" t="n"/>
      <c r="V843" s="2">
        <f>SUM(J843:U843)*G843</f>
        <v/>
      </c>
      <c r="W843" s="2">
        <f>MAX(J843:U843)</f>
        <v/>
      </c>
      <c r="X843" s="2">
        <f>W843*G843</f>
        <v/>
      </c>
    </row>
    <row r="844">
      <c r="A844" s="2" t="inlineStr">
        <is>
          <t>A14-SB-N860</t>
        </is>
      </c>
      <c r="B844" s="3" t="inlineStr">
        <is>
          <t>SOJC-SM-LC/PC-LC/APC</t>
        </is>
      </c>
      <c r="C844" s="2" t="inlineStr">
        <is>
          <t>10M, B3, 2.0mm</t>
        </is>
      </c>
      <c r="D844" s="2" t="inlineStr">
        <is>
          <t>b3</t>
        </is>
      </c>
      <c r="E844" s="2" t="inlineStr">
        <is>
          <t>2.0mm</t>
        </is>
      </c>
      <c r="F844" s="2" t="n">
        <v>1</v>
      </c>
      <c r="G844" s="2" t="n">
        <v>10</v>
      </c>
      <c r="H844" s="2" t="inlineStr">
        <is>
          <t>LC/PC</t>
        </is>
      </c>
      <c r="I844" s="2" t="inlineStr">
        <is>
          <t>LC/APC</t>
        </is>
      </c>
      <c r="J844" s="2" t="n"/>
      <c r="K844" s="2" t="n"/>
      <c r="L844" s="2" t="n"/>
      <c r="M844" s="2" t="n"/>
      <c r="N844" s="2" t="n"/>
      <c r="O844" s="2" t="n"/>
      <c r="P844" s="2" t="n">
        <v>27</v>
      </c>
      <c r="Q844" s="2" t="n"/>
      <c r="R844" s="2" t="n">
        <v>6</v>
      </c>
      <c r="S844" s="2" t="n"/>
      <c r="T844" s="2" t="n"/>
      <c r="U844" s="2" t="n">
        <v>5</v>
      </c>
      <c r="V844" s="2">
        <f>SUM(J844:U844)*G844</f>
        <v/>
      </c>
      <c r="W844" s="2">
        <f>MAX(J844:U844)</f>
        <v/>
      </c>
      <c r="X844" s="2">
        <f>W844*G844</f>
        <v/>
      </c>
    </row>
    <row r="845">
      <c r="A845" s="2" t="inlineStr">
        <is>
          <t>A14-SB-N975</t>
        </is>
      </c>
      <c r="B845" s="3" t="inlineStr">
        <is>
          <t>SOJC-SM-LC/PC-SC/APC</t>
        </is>
      </c>
      <c r="C845" s="2" t="inlineStr">
        <is>
          <t>35M,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1</v>
      </c>
      <c r="G845" s="2" t="n">
        <v>35</v>
      </c>
      <c r="H845" s="2" t="inlineStr">
        <is>
          <t>LC/PC</t>
        </is>
      </c>
      <c r="I845" s="2" t="inlineStr">
        <is>
          <t>SC/APC</t>
        </is>
      </c>
      <c r="J845" s="2" t="n"/>
      <c r="K845" s="2" t="n"/>
      <c r="L845" s="2" t="n"/>
      <c r="M845" s="2" t="n">
        <v>30</v>
      </c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>
        <f>SUM(J845:U845)*G845</f>
        <v/>
      </c>
      <c r="W845" s="2">
        <f>MAX(J845:U845)</f>
        <v/>
      </c>
      <c r="X845" s="2">
        <f>W845*G845</f>
        <v/>
      </c>
    </row>
    <row r="846">
      <c r="A846" s="2" t="inlineStr">
        <is>
          <t>A14-SB-N987</t>
        </is>
      </c>
      <c r="B846" s="3" t="inlineStr">
        <is>
          <t>SOJC-SM-LC/PC-LC/APC</t>
        </is>
      </c>
      <c r="C846" s="2" t="inlineStr">
        <is>
          <t>15M, B3, 2mm</t>
        </is>
      </c>
      <c r="D846" s="2" t="inlineStr">
        <is>
          <t>b3</t>
        </is>
      </c>
      <c r="E846" s="2" t="inlineStr">
        <is>
          <t>2.0mm</t>
        </is>
      </c>
      <c r="F846" s="2" t="n">
        <v>1</v>
      </c>
      <c r="G846" s="2" t="n">
        <v>15</v>
      </c>
      <c r="H846" s="2" t="inlineStr">
        <is>
          <t>LC/PC</t>
        </is>
      </c>
      <c r="I846" s="2" t="inlineStr">
        <is>
          <t>LC/APC</t>
        </is>
      </c>
      <c r="J846" s="2" t="n"/>
      <c r="K846" s="2" t="n"/>
      <c r="L846" s="2" t="n"/>
      <c r="M846" s="2" t="n"/>
      <c r="N846" s="2" t="n"/>
      <c r="O846" s="2" t="n"/>
      <c r="P846" s="2" t="n">
        <v>20</v>
      </c>
      <c r="Q846" s="2" t="n"/>
      <c r="R846" s="2" t="n"/>
      <c r="S846" s="2" t="n"/>
      <c r="T846" s="2" t="n"/>
      <c r="U846" s="2" t="n"/>
      <c r="V846" s="2">
        <f>SUM(J846:U846)*G846</f>
        <v/>
      </c>
      <c r="W846" s="2">
        <f>MAX(J846:U846)</f>
        <v/>
      </c>
      <c r="X846" s="2">
        <f>W846*G846</f>
        <v/>
      </c>
    </row>
    <row r="847">
      <c r="A847" s="2" t="inlineStr">
        <is>
          <t>A14-SB-NA32</t>
        </is>
      </c>
      <c r="B847" s="3" t="inlineStr">
        <is>
          <t>SOJC-SM-SC/PC-SC/PC</t>
        </is>
      </c>
      <c r="C847" s="2" t="inlineStr">
        <is>
          <t>0.5M, B3, 2.0mm</t>
        </is>
      </c>
      <c r="D847" s="2" t="inlineStr">
        <is>
          <t>b3</t>
        </is>
      </c>
      <c r="E847" s="2" t="inlineStr">
        <is>
          <t>2.0mm</t>
        </is>
      </c>
      <c r="F847" s="2" t="n">
        <v>1</v>
      </c>
      <c r="G847" s="2" t="n">
        <v>0.5</v>
      </c>
      <c r="H847" s="2" t="inlineStr">
        <is>
          <t>SC/PC</t>
        </is>
      </c>
      <c r="I847" s="2" t="inlineStr">
        <is>
          <t>SC/PC</t>
        </is>
      </c>
      <c r="J847" s="2" t="n"/>
      <c r="K847" s="2" t="n"/>
      <c r="L847" s="2" t="n"/>
      <c r="M847" s="2" t="n">
        <v>100</v>
      </c>
      <c r="N847" s="2" t="n"/>
      <c r="O847" s="2" t="n"/>
      <c r="P847" s="2" t="n"/>
      <c r="Q847" s="2" t="n"/>
      <c r="R847" s="2" t="n">
        <v>50</v>
      </c>
      <c r="S847" s="2" t="n"/>
      <c r="T847" s="2" t="n"/>
      <c r="U847" s="2" t="n"/>
      <c r="V847" s="2">
        <f>SUM(J847:U847)*G847</f>
        <v/>
      </c>
      <c r="W847" s="2">
        <f>MAX(J847:U847)</f>
        <v/>
      </c>
      <c r="X847" s="2">
        <f>W847*G847</f>
        <v/>
      </c>
    </row>
    <row r="848">
      <c r="A848" s="2" t="inlineStr">
        <is>
          <t>A14-SB-NA38</t>
        </is>
      </c>
      <c r="B848" s="3" t="inlineStr">
        <is>
          <t>SOJC-SM-LC/APC-FC/APC</t>
        </is>
      </c>
      <c r="C848" s="2" t="inlineStr">
        <is>
          <t>35M, B3, 2.0mm</t>
        </is>
      </c>
      <c r="D848" s="2" t="inlineStr">
        <is>
          <t>b3</t>
        </is>
      </c>
      <c r="E848" s="2" t="inlineStr">
        <is>
          <t>2.0mm</t>
        </is>
      </c>
      <c r="F848" s="2" t="n">
        <v>1</v>
      </c>
      <c r="G848" s="2" t="n">
        <v>35</v>
      </c>
      <c r="H848" s="2" t="inlineStr">
        <is>
          <t>LC/APC</t>
        </is>
      </c>
      <c r="I848" s="2" t="inlineStr">
        <is>
          <t>FC/APC</t>
        </is>
      </c>
      <c r="J848" s="2" t="n"/>
      <c r="K848" s="2" t="n"/>
      <c r="L848" s="2" t="n"/>
      <c r="M848" s="2" t="n"/>
      <c r="N848" s="2" t="n"/>
      <c r="O848" s="2" t="n"/>
      <c r="P848" s="2" t="n">
        <v>2</v>
      </c>
      <c r="Q848" s="2" t="n"/>
      <c r="R848" s="2" t="n"/>
      <c r="S848" s="2" t="n"/>
      <c r="T848" s="2" t="n"/>
      <c r="U848" s="2" t="n"/>
      <c r="V848" s="2">
        <f>SUM(J848:U848)*G848</f>
        <v/>
      </c>
      <c r="W848" s="2">
        <f>MAX(J848:U848)</f>
        <v/>
      </c>
      <c r="X848" s="2">
        <f>W848*G848</f>
        <v/>
      </c>
    </row>
    <row r="849">
      <c r="A849" s="2" t="inlineStr">
        <is>
          <t>A14-SB-NA38</t>
        </is>
      </c>
      <c r="B849" s="3" t="inlineStr">
        <is>
          <t>SOJC-SM-​LC/APC-FC/APC</t>
        </is>
      </c>
      <c r="C849" s="2" t="inlineStr">
        <is>
          <t>35M,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1</v>
      </c>
      <c r="G849" s="2" t="n">
        <v>35</v>
      </c>
      <c r="H849" s="2" t="inlineStr">
        <is>
          <t>LC/APC</t>
        </is>
      </c>
      <c r="I849" s="2" t="inlineStr">
        <is>
          <t>FC/APC</t>
        </is>
      </c>
      <c r="J849" s="2" t="n"/>
      <c r="K849" s="2" t="n"/>
      <c r="L849" s="2" t="n"/>
      <c r="M849" s="2" t="n"/>
      <c r="N849" s="2" t="n"/>
      <c r="O849" s="2" t="n"/>
      <c r="P849" s="2" t="n">
        <v>10</v>
      </c>
      <c r="Q849" s="2" t="n"/>
      <c r="R849" s="2" t="n"/>
      <c r="S849" s="2" t="n"/>
      <c r="T849" s="2" t="n"/>
      <c r="U849" s="2" t="n"/>
      <c r="V849" s="2">
        <f>SUM(J849:U849)*G849</f>
        <v/>
      </c>
      <c r="W849" s="2">
        <f>MAX(J849:U849)</f>
        <v/>
      </c>
      <c r="X849" s="2">
        <f>W849*G849</f>
        <v/>
      </c>
    </row>
    <row r="850">
      <c r="A850" s="2" t="inlineStr">
        <is>
          <t>A14-SB-NA39</t>
        </is>
      </c>
      <c r="B850" s="3" t="inlineStr">
        <is>
          <t>SOJC-SM-​LC/APC-FC/APC</t>
        </is>
      </c>
      <c r="C850" s="2" t="inlineStr">
        <is>
          <t>40M, B3, 2.0mm</t>
        </is>
      </c>
      <c r="D850" s="2" t="inlineStr">
        <is>
          <t>b3</t>
        </is>
      </c>
      <c r="E850" s="2" t="inlineStr">
        <is>
          <t>2.0mm</t>
        </is>
      </c>
      <c r="F850" s="2" t="n">
        <v>1</v>
      </c>
      <c r="G850" s="2" t="n">
        <v>40</v>
      </c>
      <c r="H850" s="2" t="inlineStr">
        <is>
          <t>LC/APC</t>
        </is>
      </c>
      <c r="I850" s="2" t="inlineStr">
        <is>
          <t>FC/APC</t>
        </is>
      </c>
      <c r="J850" s="2" t="n"/>
      <c r="K850" s="2" t="n"/>
      <c r="L850" s="2" t="n"/>
      <c r="M850" s="2" t="n"/>
      <c r="N850" s="2" t="n"/>
      <c r="O850" s="2" t="n"/>
      <c r="P850" s="2" t="n">
        <v>10</v>
      </c>
      <c r="Q850" s="2" t="n"/>
      <c r="R850" s="2" t="n"/>
      <c r="S850" s="2" t="n"/>
      <c r="T850" s="2" t="n"/>
      <c r="U850" s="2" t="n"/>
      <c r="V850" s="2">
        <f>SUM(J850:U850)*G850</f>
        <v/>
      </c>
      <c r="W850" s="2">
        <f>MAX(J850:U850)</f>
        <v/>
      </c>
      <c r="X850" s="2">
        <f>W850*G850</f>
        <v/>
      </c>
    </row>
    <row r="851">
      <c r="A851" s="2" t="inlineStr">
        <is>
          <t>A14-SB-NA40</t>
        </is>
      </c>
      <c r="B851" s="3" t="inlineStr">
        <is>
          <t>SOJC-SM-SC/PC-ST/PC</t>
        </is>
      </c>
      <c r="C851" s="2" t="inlineStr">
        <is>
          <t>3M,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1</v>
      </c>
      <c r="G851" s="2" t="n">
        <v>3</v>
      </c>
      <c r="H851" s="2" t="inlineStr">
        <is>
          <t>SC/PC</t>
        </is>
      </c>
      <c r="I851" s="2" t="inlineStr">
        <is>
          <t>SC/PC</t>
        </is>
      </c>
      <c r="J851" s="2" t="n"/>
      <c r="K851" s="2" t="n"/>
      <c r="L851" s="2" t="n"/>
      <c r="M851" s="2" t="n"/>
      <c r="N851" s="2" t="n"/>
      <c r="O851" s="2" t="n"/>
      <c r="P851" s="2" t="n"/>
      <c r="Q851" s="2" t="n">
        <v>2</v>
      </c>
      <c r="R851" s="2" t="n"/>
      <c r="S851" s="2" t="n"/>
      <c r="T851" s="2" t="n"/>
      <c r="U851" s="2" t="n"/>
      <c r="V851" s="2">
        <f>SUM(J851:U851)*G851</f>
        <v/>
      </c>
      <c r="W851" s="2">
        <f>MAX(J851:U851)</f>
        <v/>
      </c>
      <c r="X851" s="2">
        <f>W851*G851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8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2" customWidth="1" min="4" max="4"/>
    <col width="8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4" customWidth="1" min="49" max="49"/>
  </cols>
  <sheetData>
    <row r="1" ht="40" customHeight="1">
      <c r="A1" s="1" t="inlineStr">
        <is>
          <t>품목코드</t>
        </is>
      </c>
      <c r="B1" s="1" t="inlineStr">
        <is>
          <t>품목명</t>
        </is>
      </c>
      <c r="C1" s="1" t="inlineStr">
        <is>
          <t>규격명</t>
        </is>
      </c>
      <c r="D1" s="1" t="inlineStr">
        <is>
          <t>케이블 종류</t>
        </is>
      </c>
      <c r="E1" s="1" t="inlineStr">
        <is>
          <t>파이</t>
        </is>
      </c>
      <c r="F1" s="1" t="inlineStr">
        <is>
          <t>코어수</t>
        </is>
      </c>
      <c r="G1" s="1" t="inlineStr">
        <is>
          <t>케이블 길이</t>
        </is>
      </c>
      <c r="H1" s="1" t="inlineStr">
        <is>
          <t>타입 1</t>
        </is>
      </c>
      <c r="I1" s="1" t="inlineStr">
        <is>
          <t>타입2</t>
        </is>
      </c>
      <c r="J1" s="1" t="inlineStr">
        <is>
          <t>25년01월</t>
        </is>
      </c>
      <c r="K1" s="1" t="inlineStr">
        <is>
          <t>25년02월</t>
        </is>
      </c>
      <c r="L1" s="1" t="inlineStr">
        <is>
          <t>25년03월</t>
        </is>
      </c>
      <c r="M1" s="1" t="inlineStr">
        <is>
          <t>25년04월</t>
        </is>
      </c>
      <c r="N1" s="1" t="inlineStr">
        <is>
          <t>25년05월</t>
        </is>
      </c>
      <c r="O1" s="1" t="inlineStr">
        <is>
          <t>25년06월</t>
        </is>
      </c>
      <c r="P1" s="1" t="inlineStr">
        <is>
          <t>25년07월</t>
        </is>
      </c>
      <c r="Q1" s="1" t="inlineStr">
        <is>
          <t>25년08월</t>
        </is>
      </c>
      <c r="R1" s="1" t="inlineStr">
        <is>
          <t>25년09월</t>
        </is>
      </c>
      <c r="S1" s="1" t="inlineStr">
        <is>
          <t>25년10월</t>
        </is>
      </c>
      <c r="T1" s="1" t="inlineStr">
        <is>
          <t>25년11월</t>
        </is>
      </c>
      <c r="U1" s="1" t="inlineStr">
        <is>
          <t>25년12월</t>
        </is>
      </c>
      <c r="V1" s="1" t="inlineStr">
        <is>
          <t>합계</t>
        </is>
      </c>
      <c r="W1" s="1" t="inlineStr">
        <is>
          <t>2.0MM - LC/PC(청색 하우징 키트)</t>
        </is>
      </c>
      <c r="X1" s="1" t="inlineStr">
        <is>
          <t>2.0MM - LC/PC(적색 하우징 키트)</t>
        </is>
      </c>
      <c r="Y1" s="1" t="inlineStr">
        <is>
          <t>2.0MM - LC/APC(녹색 하우징 키트)</t>
        </is>
      </c>
      <c r="Z1" s="1" t="inlineStr">
        <is>
          <t>2.0MM - LC/APC(적색 하우징 키트)</t>
        </is>
      </c>
      <c r="AA1" s="1" t="inlineStr">
        <is>
          <t>2.0MM - SC/PC(청) 하우징키트</t>
        </is>
      </c>
      <c r="AB1" s="1" t="inlineStr">
        <is>
          <t>2.0MM - SC/PC(적 부트) 하우징키트</t>
        </is>
      </c>
      <c r="AC1" s="1" t="inlineStr">
        <is>
          <t>2.0MM - SC/APC(녹)하우징키트</t>
        </is>
      </c>
      <c r="AD1" s="1" t="inlineStr">
        <is>
          <t>2.0MM - SC/APC(적)하우징키트</t>
        </is>
      </c>
      <c r="AE1" s="1" t="inlineStr">
        <is>
          <t>2.0MM - FC/PC(흑색 하우징키트)</t>
        </is>
      </c>
      <c r="AF1" s="1" t="inlineStr">
        <is>
          <t>2.0MM - FC/PC(적색 하우징키트)</t>
        </is>
      </c>
      <c r="AG1" s="1" t="inlineStr">
        <is>
          <t>2.0MM - FC/APC(녹색 하우징 키트)</t>
        </is>
      </c>
      <c r="AH1" s="1" t="inlineStr">
        <is>
          <t>2.0MM - FC/APC(적색 하우징 키트)</t>
        </is>
      </c>
      <c r="AI1" s="1" t="inlineStr">
        <is>
          <t>2.0MM - OJC LC/PC-MM 2.0 BEIGE</t>
        </is>
      </c>
      <c r="AJ1" s="1" t="inlineStr">
        <is>
          <t>3.0MM - LC/PC(청색 하우징 키트)</t>
        </is>
      </c>
      <c r="AK1" s="1" t="inlineStr">
        <is>
          <t>3.0MM - LC/PC(적색 하우징 키트)</t>
        </is>
      </c>
      <c r="AL1" s="1" t="inlineStr">
        <is>
          <t>3.0MM - LC/APC(녹색 하우징 키트)</t>
        </is>
      </c>
      <c r="AM1" s="1" t="inlineStr">
        <is>
          <t>3.0MM - LC/APC(적색 하우징 키트)</t>
        </is>
      </c>
      <c r="AN1" s="1" t="inlineStr">
        <is>
          <t>3.0MM - SC/PC(청) 하우징키트</t>
        </is>
      </c>
      <c r="AO1" s="1" t="inlineStr">
        <is>
          <t>3.0MM - SC/PC(적) 하우징키트</t>
        </is>
      </c>
      <c r="AP1" s="1" t="inlineStr">
        <is>
          <t>3.0MM - SC/APC(녹)</t>
        </is>
      </c>
      <c r="AQ1" s="1" t="inlineStr">
        <is>
          <t>3.0MM - SC/APC(적)</t>
        </is>
      </c>
      <c r="AR1" s="1" t="inlineStr">
        <is>
          <t>3.0MM - FC/PC(흑색 하우징키트)</t>
        </is>
      </c>
      <c r="AS1" s="1" t="inlineStr">
        <is>
          <t>3.0MM - FC/PC(적색 하우징키트)</t>
        </is>
      </c>
      <c r="AT1" s="1" t="inlineStr">
        <is>
          <t>3.0MM - FC/APC(녹색 하우징 키트)</t>
        </is>
      </c>
      <c r="AU1" s="1" t="inlineStr">
        <is>
          <t>3.0MM - FC/APC(적색 하우징 키트)</t>
        </is>
      </c>
      <c r="AV1" s="1" t="inlineStr">
        <is>
          <t>검증(하우징 필요수량)</t>
        </is>
      </c>
      <c r="AW1" s="1" t="inlineStr">
        <is>
          <t>하우징 계산 수량</t>
        </is>
      </c>
    </row>
    <row r="2">
      <c r="A2" s="2" t="inlineStr">
        <is>
          <t>14-C-001</t>
        </is>
      </c>
      <c r="B2" s="3" t="inlineStr">
        <is>
          <t>DROP-CABLE(LC/PC)</t>
        </is>
      </c>
      <c r="C2" s="2" t="inlineStr">
        <is>
          <t>10M</t>
        </is>
      </c>
      <c r="D2" s="2" t="inlineStr">
        <is>
          <t>drop</t>
        </is>
      </c>
      <c r="E2" s="2" t="inlineStr">
        <is>
          <t>3.0mm</t>
        </is>
      </c>
      <c r="F2" s="2" t="n">
        <v>1</v>
      </c>
      <c r="G2" s="2" t="n">
        <v>10</v>
      </c>
      <c r="H2" s="2" t="inlineStr">
        <is>
          <t>LC/PC</t>
        </is>
      </c>
      <c r="I2" s="2" t="inlineStr">
        <is>
          <t>LC/PC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10</v>
      </c>
      <c r="U2" s="2" t="n"/>
      <c r="V2" s="2">
        <f>SUM(J2:U2)</f>
        <v/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>
        <v>20</v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>
        <f>IF(F2=1,V2*2,IF(F2=2,V2*F2*2,IF(F2&gt;2,F2*2*V2)))</f>
        <v/>
      </c>
      <c r="AW2" s="2">
        <f>SUM(W2:AU2)</f>
        <v/>
      </c>
    </row>
    <row r="3">
      <c r="A3" s="2" t="inlineStr">
        <is>
          <t>14-C-005</t>
        </is>
      </c>
      <c r="B3" s="3" t="inlineStr">
        <is>
          <t>DROP-CABLE(LC/PC)</t>
        </is>
      </c>
      <c r="C3" s="2" t="inlineStr">
        <is>
          <t>3M</t>
        </is>
      </c>
      <c r="D3" s="2" t="inlineStr">
        <is>
          <t>drop</t>
        </is>
      </c>
      <c r="E3" s="2" t="inlineStr">
        <is>
          <t>3.0mm</t>
        </is>
      </c>
      <c r="F3" s="2" t="n">
        <v>1</v>
      </c>
      <c r="G3" s="2" t="n">
        <v>3</v>
      </c>
      <c r="H3" s="2" t="inlineStr">
        <is>
          <t>LC/PC</t>
        </is>
      </c>
      <c r="I3" s="2" t="inlineStr">
        <is>
          <t>LC/PC</t>
        </is>
      </c>
      <c r="J3" s="2" t="n">
        <v>250</v>
      </c>
      <c r="K3" s="2" t="n"/>
      <c r="L3" s="2" t="n">
        <v>32</v>
      </c>
      <c r="M3" s="2" t="n"/>
      <c r="N3" s="2" t="n">
        <v>30</v>
      </c>
      <c r="O3" s="2" t="n">
        <v>50</v>
      </c>
      <c r="P3" s="2" t="n">
        <v>30</v>
      </c>
      <c r="Q3" s="2" t="n"/>
      <c r="R3" s="2" t="n">
        <v>50</v>
      </c>
      <c r="S3" s="2" t="n">
        <v>50</v>
      </c>
      <c r="T3" s="2" t="n">
        <v>30</v>
      </c>
      <c r="U3" s="2" t="n">
        <v>130</v>
      </c>
      <c r="V3" s="2">
        <f>SUM(J3:U3)</f>
        <v/>
      </c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>
        <v>1304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>
        <f>IF(F3=1,V3*2,IF(F3=2,V3*F3*2,IF(F3&gt;2,F3*2*V3)))</f>
        <v/>
      </c>
      <c r="AW3" s="2">
        <f>SUM(W3:AU3)</f>
        <v/>
      </c>
    </row>
    <row r="4">
      <c r="A4" s="2" t="inlineStr">
        <is>
          <t>14-C-006</t>
        </is>
      </c>
      <c r="B4" s="3" t="inlineStr">
        <is>
          <t>DROP-CABLE(LC/PC)</t>
        </is>
      </c>
      <c r="C4" s="2" t="inlineStr">
        <is>
          <t>5M</t>
        </is>
      </c>
      <c r="D4" s="2" t="inlineStr">
        <is>
          <t>drop</t>
        </is>
      </c>
      <c r="E4" s="2" t="inlineStr">
        <is>
          <t>3.0mm</t>
        </is>
      </c>
      <c r="F4" s="2" t="n">
        <v>1</v>
      </c>
      <c r="G4" s="2" t="n">
        <v>5</v>
      </c>
      <c r="H4" s="2" t="inlineStr">
        <is>
          <t>LC/PC</t>
        </is>
      </c>
      <c r="I4" s="2" t="inlineStr">
        <is>
          <t>LC/PC</t>
        </is>
      </c>
      <c r="J4" s="2" t="n">
        <v>200</v>
      </c>
      <c r="K4" s="2" t="n"/>
      <c r="L4" s="2" t="n"/>
      <c r="M4" s="2" t="n"/>
      <c r="N4" s="2" t="n"/>
      <c r="O4" s="2" t="n"/>
      <c r="P4" s="2" t="n"/>
      <c r="Q4" s="2" t="n"/>
      <c r="R4" s="2" t="n">
        <v>25</v>
      </c>
      <c r="S4" s="2" t="n"/>
      <c r="T4" s="2" t="n">
        <v>20</v>
      </c>
      <c r="U4" s="2" t="n">
        <v>30</v>
      </c>
      <c r="V4" s="2">
        <f>SUM(J4:U4)</f>
        <v/>
      </c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>
        <v>550</v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>
        <f>IF(F4=1,V4*2,IF(F4=2,V4*F4*2,IF(F4&gt;2,F4*2*V4)))</f>
        <v/>
      </c>
      <c r="AW4" s="2">
        <f>SUM(W4:AU4)</f>
        <v/>
      </c>
    </row>
    <row r="5">
      <c r="A5" s="2" t="inlineStr">
        <is>
          <t>14-C-009</t>
        </is>
      </c>
      <c r="B5" s="3" t="inlineStr">
        <is>
          <t>DROP-CABLE(LC/PC-SC/APC)</t>
        </is>
      </c>
      <c r="C5" s="2" t="inlineStr">
        <is>
          <t>10M</t>
        </is>
      </c>
      <c r="D5" s="2" t="inlineStr">
        <is>
          <t>drop</t>
        </is>
      </c>
      <c r="E5" s="2" t="inlineStr">
        <is>
          <t>3.0mm</t>
        </is>
      </c>
      <c r="F5" s="2" t="n">
        <v>1</v>
      </c>
      <c r="G5" s="2" t="n">
        <v>10</v>
      </c>
      <c r="H5" s="2" t="inlineStr">
        <is>
          <t>LC/PC</t>
        </is>
      </c>
      <c r="I5" s="2" t="inlineStr">
        <is>
          <t>SC/APC</t>
        </is>
      </c>
      <c r="J5" s="2" t="n"/>
      <c r="K5" s="2" t="n">
        <v>10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>
        <f>SUM(J5:U5)</f>
        <v/>
      </c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>
        <v>10</v>
      </c>
      <c r="AK5" s="2" t="n"/>
      <c r="AL5" s="2" t="n"/>
      <c r="AM5" s="2" t="n"/>
      <c r="AN5" s="2" t="n"/>
      <c r="AO5" s="2" t="n"/>
      <c r="AP5" s="2" t="n">
        <v>10</v>
      </c>
      <c r="AQ5" s="2" t="n"/>
      <c r="AR5" s="2" t="n"/>
      <c r="AS5" s="2" t="n"/>
      <c r="AT5" s="2" t="n"/>
      <c r="AU5" s="2" t="n"/>
      <c r="AV5" s="2">
        <f>IF(F5=1,V5*2,IF(F5=2,V5*F5*2,IF(F5&gt;2,F5*2*V5)))</f>
        <v/>
      </c>
      <c r="AW5" s="2">
        <f>SUM(W5:AU5)</f>
        <v/>
      </c>
    </row>
    <row r="6">
      <c r="A6" s="2" t="inlineStr">
        <is>
          <t>14-C-010</t>
        </is>
      </c>
      <c r="B6" s="3" t="inlineStr">
        <is>
          <t>DROP-CABLE(LC/PC-SC/APC)</t>
        </is>
      </c>
      <c r="C6" s="2" t="inlineStr">
        <is>
          <t>20M</t>
        </is>
      </c>
      <c r="D6" s="2" t="inlineStr">
        <is>
          <t>drop</t>
        </is>
      </c>
      <c r="E6" s="2" t="inlineStr">
        <is>
          <t>3.0mm</t>
        </is>
      </c>
      <c r="F6" s="2" t="n">
        <v>1</v>
      </c>
      <c r="G6" s="2" t="n">
        <v>20</v>
      </c>
      <c r="H6" s="2" t="inlineStr">
        <is>
          <t>LC/PC</t>
        </is>
      </c>
      <c r="I6" s="2" t="inlineStr">
        <is>
          <t>SC/APC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>
        <v>50</v>
      </c>
      <c r="V6" s="2">
        <f>SUM(J6:U6)</f>
        <v/>
      </c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>
        <v>50</v>
      </c>
      <c r="AK6" s="2" t="n"/>
      <c r="AL6" s="2" t="n"/>
      <c r="AM6" s="2" t="n"/>
      <c r="AN6" s="2" t="n"/>
      <c r="AO6" s="2" t="n"/>
      <c r="AP6" s="2" t="n">
        <v>50</v>
      </c>
      <c r="AQ6" s="2" t="n"/>
      <c r="AR6" s="2" t="n"/>
      <c r="AS6" s="2" t="n"/>
      <c r="AT6" s="2" t="n"/>
      <c r="AU6" s="2" t="n"/>
      <c r="AV6" s="2">
        <f>IF(F6=1,V6*2,IF(F6=2,V6*F6*2,IF(F6&gt;2,F6*2*V6)))</f>
        <v/>
      </c>
      <c r="AW6" s="2">
        <f>SUM(W6:AU6)</f>
        <v/>
      </c>
    </row>
    <row r="7">
      <c r="A7" s="2" t="inlineStr">
        <is>
          <t>14-C-013</t>
        </is>
      </c>
      <c r="B7" s="3" t="inlineStr">
        <is>
          <t>DROP-CABLE(SC/APC)</t>
        </is>
      </c>
      <c r="C7" s="2" t="inlineStr">
        <is>
          <t>10M</t>
        </is>
      </c>
      <c r="D7" s="2" t="inlineStr">
        <is>
          <t>drop</t>
        </is>
      </c>
      <c r="E7" s="2" t="inlineStr">
        <is>
          <t>3.0mm</t>
        </is>
      </c>
      <c r="F7" s="2" t="n">
        <v>1</v>
      </c>
      <c r="G7" s="2" t="n">
        <v>10</v>
      </c>
      <c r="H7" s="2" t="inlineStr">
        <is>
          <t>SC/APC</t>
        </is>
      </c>
      <c r="I7" s="2" t="inlineStr">
        <is>
          <t>SC/APC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>
        <v>30</v>
      </c>
      <c r="S7" s="2" t="n">
        <v>20</v>
      </c>
      <c r="T7" s="2" t="n"/>
      <c r="U7" s="2" t="n"/>
      <c r="V7" s="2">
        <f>SUM(J7:U7)</f>
        <v/>
      </c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>
        <v>100</v>
      </c>
      <c r="AQ7" s="2" t="n"/>
      <c r="AR7" s="2" t="n"/>
      <c r="AS7" s="2" t="n"/>
      <c r="AT7" s="2" t="n"/>
      <c r="AU7" s="2" t="n"/>
      <c r="AV7" s="2">
        <f>IF(F7=1,V7*2,IF(F7=2,V7*F7*2,IF(F7&gt;2,F7*2*V7)))</f>
        <v/>
      </c>
      <c r="AW7" s="2">
        <f>SUM(W7:AU7)</f>
        <v/>
      </c>
    </row>
    <row r="8">
      <c r="A8" s="2" t="inlineStr">
        <is>
          <t>14-C-015</t>
        </is>
      </c>
      <c r="B8" s="3" t="inlineStr">
        <is>
          <t>DROP-CABLE(SC/APC)</t>
        </is>
      </c>
      <c r="C8" s="2" t="inlineStr">
        <is>
          <t>15M</t>
        </is>
      </c>
      <c r="D8" s="2" t="inlineStr">
        <is>
          <t>drop</t>
        </is>
      </c>
      <c r="E8" s="2" t="inlineStr">
        <is>
          <t>3.0mm</t>
        </is>
      </c>
      <c r="F8" s="2" t="n">
        <v>1</v>
      </c>
      <c r="G8" s="2" t="n">
        <v>15</v>
      </c>
      <c r="H8" s="2" t="inlineStr">
        <is>
          <t>SC/APC</t>
        </is>
      </c>
      <c r="I8" s="2" t="inlineStr">
        <is>
          <t>SC/APC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>
        <v>44</v>
      </c>
      <c r="S8" s="2" t="n"/>
      <c r="T8" s="2" t="n"/>
      <c r="U8" s="2" t="n"/>
      <c r="V8" s="2">
        <f>SUM(J8:U8)</f>
        <v/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>
        <v>88</v>
      </c>
      <c r="AQ8" s="2" t="n"/>
      <c r="AR8" s="2" t="n"/>
      <c r="AS8" s="2" t="n"/>
      <c r="AT8" s="2" t="n"/>
      <c r="AU8" s="2" t="n"/>
      <c r="AV8" s="2">
        <f>IF(F8=1,V8*2,IF(F8=2,V8*F8*2,IF(F8&gt;2,F8*2*V8)))</f>
        <v/>
      </c>
      <c r="AW8" s="2">
        <f>SUM(W8:AU8)</f>
        <v/>
      </c>
    </row>
    <row r="9">
      <c r="A9" s="2" t="inlineStr">
        <is>
          <t>14-C-017</t>
        </is>
      </c>
      <c r="B9" s="3" t="inlineStr">
        <is>
          <t>DROP-CABLE(SC/APC)</t>
        </is>
      </c>
      <c r="C9" s="2" t="inlineStr">
        <is>
          <t>20M</t>
        </is>
      </c>
      <c r="D9" s="2" t="inlineStr">
        <is>
          <t>drop</t>
        </is>
      </c>
      <c r="E9" s="2" t="inlineStr">
        <is>
          <t>3.0mm</t>
        </is>
      </c>
      <c r="F9" s="2" t="n">
        <v>1</v>
      </c>
      <c r="G9" s="2" t="n">
        <v>20</v>
      </c>
      <c r="H9" s="2" t="inlineStr">
        <is>
          <t>SC/APC</t>
        </is>
      </c>
      <c r="I9" s="2" t="inlineStr">
        <is>
          <t>SC/APC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>
        <v>30</v>
      </c>
      <c r="S9" s="2" t="n"/>
      <c r="T9" s="2" t="n"/>
      <c r="U9" s="2" t="n"/>
      <c r="V9" s="2">
        <f>SUM(J9:U9)</f>
        <v/>
      </c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>
        <v>60</v>
      </c>
      <c r="AQ9" s="2" t="n"/>
      <c r="AR9" s="2" t="n"/>
      <c r="AS9" s="2" t="n"/>
      <c r="AT9" s="2" t="n"/>
      <c r="AU9" s="2" t="n"/>
      <c r="AV9" s="2">
        <f>IF(F9=1,V9*2,IF(F9=2,V9*F9*2,IF(F9&gt;2,F9*2*V9)))</f>
        <v/>
      </c>
      <c r="AW9" s="2">
        <f>SUM(W9:AU9)</f>
        <v/>
      </c>
    </row>
    <row r="10">
      <c r="A10" s="2" t="inlineStr">
        <is>
          <t>14-C-026</t>
        </is>
      </c>
      <c r="B10" s="3" t="inlineStr">
        <is>
          <t>DROP-CABLE(SC/APC)</t>
        </is>
      </c>
      <c r="C10" s="2" t="inlineStr">
        <is>
          <t>5M</t>
        </is>
      </c>
      <c r="D10" s="2" t="inlineStr">
        <is>
          <t>drop</t>
        </is>
      </c>
      <c r="E10" s="2" t="inlineStr">
        <is>
          <t>3.0mm</t>
        </is>
      </c>
      <c r="F10" s="2" t="n">
        <v>1</v>
      </c>
      <c r="G10" s="2" t="n">
        <v>5</v>
      </c>
      <c r="H10" s="2" t="inlineStr">
        <is>
          <t>SC/APC</t>
        </is>
      </c>
      <c r="I10" s="2" t="inlineStr">
        <is>
          <t>SC/APC</t>
        </is>
      </c>
      <c r="J10" s="2" t="n"/>
      <c r="K10" s="2" t="n"/>
      <c r="L10" s="2" t="n"/>
      <c r="M10" s="2" t="n"/>
      <c r="N10" s="2" t="n"/>
      <c r="O10" s="2" t="n"/>
      <c r="P10" s="2" t="n">
        <v>50</v>
      </c>
      <c r="Q10" s="2" t="n"/>
      <c r="R10" s="2" t="n">
        <v>60</v>
      </c>
      <c r="S10" s="2" t="n">
        <v>30</v>
      </c>
      <c r="T10" s="2" t="n"/>
      <c r="U10" s="2" t="n"/>
      <c r="V10" s="2">
        <f>SUM(J10:U10)</f>
        <v/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>
        <v>280</v>
      </c>
      <c r="AQ10" s="2" t="n"/>
      <c r="AR10" s="2" t="n"/>
      <c r="AS10" s="2" t="n"/>
      <c r="AT10" s="2" t="n"/>
      <c r="AU10" s="2" t="n"/>
      <c r="AV10" s="2">
        <f>IF(F10=1,V10*2,IF(F10=2,V10*F10*2,IF(F10&gt;2,F10*2*V10)))</f>
        <v/>
      </c>
      <c r="AW10" s="2">
        <f>SUM(W10:AU10)</f>
        <v/>
      </c>
    </row>
    <row r="11">
      <c r="A11" s="2" t="inlineStr">
        <is>
          <t>14-C-048</t>
        </is>
      </c>
      <c r="B11" s="3" t="inlineStr">
        <is>
          <t>DROP-CABLE(SC/PC)</t>
        </is>
      </c>
      <c r="C11" s="2" t="inlineStr">
        <is>
          <t>1M</t>
        </is>
      </c>
      <c r="D11" s="2" t="inlineStr">
        <is>
          <t>drop</t>
        </is>
      </c>
      <c r="E11" s="2" t="inlineStr">
        <is>
          <t>3.0mm</t>
        </is>
      </c>
      <c r="F11" s="2" t="n">
        <v>1</v>
      </c>
      <c r="G11" s="2" t="n">
        <v>1</v>
      </c>
      <c r="H11" s="2" t="inlineStr">
        <is>
          <t>SC/PC</t>
        </is>
      </c>
      <c r="I11" s="2" t="inlineStr">
        <is>
          <t>SC/PC</t>
        </is>
      </c>
      <c r="J11" s="2" t="n">
        <v>30</v>
      </c>
      <c r="K11" s="2" t="n"/>
      <c r="L11" s="2" t="n"/>
      <c r="M11" s="2" t="n"/>
      <c r="N11" s="2" t="n">
        <v>30</v>
      </c>
      <c r="O11" s="2" t="n"/>
      <c r="P11" s="2" t="n"/>
      <c r="Q11" s="2" t="n"/>
      <c r="R11" s="2" t="n">
        <v>50</v>
      </c>
      <c r="S11" s="2" t="n"/>
      <c r="T11" s="2" t="n"/>
      <c r="U11" s="2" t="n"/>
      <c r="V11" s="2">
        <f>SUM(J11:U11)</f>
        <v/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>
        <v>220</v>
      </c>
      <c r="AO11" s="2" t="n"/>
      <c r="AP11" s="2" t="n"/>
      <c r="AQ11" s="2" t="n"/>
      <c r="AR11" s="2" t="n"/>
      <c r="AS11" s="2" t="n"/>
      <c r="AT11" s="2" t="n"/>
      <c r="AU11" s="2" t="n"/>
      <c r="AV11" s="2">
        <f>IF(F11=1,V11*2,IF(F11=2,V11*F11*2,IF(F11&gt;2,F11*2*V11)))</f>
        <v/>
      </c>
      <c r="AW11" s="2">
        <f>SUM(W11:AU11)</f>
        <v/>
      </c>
    </row>
    <row r="12">
      <c r="A12" s="2" t="inlineStr">
        <is>
          <t>14-C-052</t>
        </is>
      </c>
      <c r="B12" s="3" t="inlineStr">
        <is>
          <t>DROP-CABLE(SC/PC)</t>
        </is>
      </c>
      <c r="C12" s="2" t="inlineStr">
        <is>
          <t>2M</t>
        </is>
      </c>
      <c r="D12" s="2" t="inlineStr">
        <is>
          <t>drop</t>
        </is>
      </c>
      <c r="E12" s="2" t="inlineStr">
        <is>
          <t>3.0mm</t>
        </is>
      </c>
      <c r="F12" s="2" t="n">
        <v>1</v>
      </c>
      <c r="G12" s="2" t="n">
        <v>2</v>
      </c>
      <c r="H12" s="2" t="inlineStr">
        <is>
          <t>SC/PC</t>
        </is>
      </c>
      <c r="I12" s="2" t="inlineStr">
        <is>
          <t>SC/PC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>
        <v>80</v>
      </c>
      <c r="S12" s="2" t="n"/>
      <c r="T12" s="2" t="n"/>
      <c r="U12" s="2" t="n"/>
      <c r="V12" s="2">
        <f>SUM(J12:U12)</f>
        <v/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>
        <v>160</v>
      </c>
      <c r="AO12" s="2" t="n"/>
      <c r="AP12" s="2" t="n"/>
      <c r="AQ12" s="2" t="n"/>
      <c r="AR12" s="2" t="n"/>
      <c r="AS12" s="2" t="n"/>
      <c r="AT12" s="2" t="n"/>
      <c r="AU12" s="2" t="n"/>
      <c r="AV12" s="2">
        <f>IF(F12=1,V12*2,IF(F12=2,V12*F12*2,IF(F12&gt;2,F12*2*V12)))</f>
        <v/>
      </c>
      <c r="AW12" s="2">
        <f>SUM(W12:AU12)</f>
        <v/>
      </c>
    </row>
    <row r="13">
      <c r="A13" s="2" t="inlineStr">
        <is>
          <t>14-C-055</t>
        </is>
      </c>
      <c r="B13" s="3" t="inlineStr">
        <is>
          <t>DROP-CABLE(SC/PC)</t>
        </is>
      </c>
      <c r="C13" s="2" t="inlineStr">
        <is>
          <t>3M</t>
        </is>
      </c>
      <c r="D13" s="2" t="inlineStr">
        <is>
          <t>drop</t>
        </is>
      </c>
      <c r="E13" s="2" t="inlineStr">
        <is>
          <t>3.0mm</t>
        </is>
      </c>
      <c r="F13" s="2" t="n">
        <v>1</v>
      </c>
      <c r="G13" s="2" t="n">
        <v>3</v>
      </c>
      <c r="H13" s="2" t="inlineStr">
        <is>
          <t>SC/PC</t>
        </is>
      </c>
      <c r="I13" s="2" t="inlineStr">
        <is>
          <t>SC/PC</t>
        </is>
      </c>
      <c r="J13" s="2" t="n"/>
      <c r="K13" s="2" t="n"/>
      <c r="L13" s="2" t="n"/>
      <c r="M13" s="2" t="n"/>
      <c r="N13" s="2" t="n">
        <v>10</v>
      </c>
      <c r="O13" s="2" t="n"/>
      <c r="P13" s="2" t="n"/>
      <c r="Q13" s="2" t="n"/>
      <c r="R13" s="2" t="n"/>
      <c r="S13" s="2" t="n"/>
      <c r="T13" s="2" t="n"/>
      <c r="U13" s="2" t="n"/>
      <c r="V13" s="2">
        <f>SUM(J13:U13)</f>
        <v/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>
        <v>20</v>
      </c>
      <c r="AO13" s="2" t="n"/>
      <c r="AP13" s="2" t="n"/>
      <c r="AQ13" s="2" t="n"/>
      <c r="AR13" s="2" t="n"/>
      <c r="AS13" s="2" t="n"/>
      <c r="AT13" s="2" t="n"/>
      <c r="AU13" s="2" t="n"/>
      <c r="AV13" s="2">
        <f>IF(F13=1,V13*2,IF(F13=2,V13*F13*2,IF(F13&gt;2,F13*2*V13)))</f>
        <v/>
      </c>
      <c r="AW13" s="2">
        <f>SUM(W13:AU13)</f>
        <v/>
      </c>
    </row>
    <row r="14">
      <c r="A14" s="2" t="inlineStr">
        <is>
          <t>14-C-061</t>
        </is>
      </c>
      <c r="B14" s="3" t="inlineStr">
        <is>
          <t>DROP-CABLE(SC/PC)</t>
        </is>
      </c>
      <c r="C14" s="2" t="inlineStr">
        <is>
          <t>5M</t>
        </is>
      </c>
      <c r="D14" s="2" t="inlineStr">
        <is>
          <t>drop</t>
        </is>
      </c>
      <c r="E14" s="2" t="inlineStr">
        <is>
          <t>3.0mm</t>
        </is>
      </c>
      <c r="F14" s="2" t="n">
        <v>1</v>
      </c>
      <c r="G14" s="2" t="n">
        <v>5</v>
      </c>
      <c r="H14" s="2" t="inlineStr">
        <is>
          <t>SC/PC</t>
        </is>
      </c>
      <c r="I14" s="2" t="inlineStr">
        <is>
          <t>SC/PC</t>
        </is>
      </c>
      <c r="J14" s="2" t="n"/>
      <c r="K14" s="2" t="n"/>
      <c r="L14" s="2" t="n"/>
      <c r="M14" s="2" t="n"/>
      <c r="N14" s="2" t="n">
        <v>5</v>
      </c>
      <c r="O14" s="2" t="n"/>
      <c r="P14" s="2" t="n"/>
      <c r="Q14" s="2" t="n"/>
      <c r="R14" s="2" t="n"/>
      <c r="S14" s="2" t="n"/>
      <c r="T14" s="2" t="n"/>
      <c r="U14" s="2" t="n"/>
      <c r="V14" s="2">
        <f>SUM(J14:U14)</f>
        <v/>
      </c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>
        <v>10</v>
      </c>
      <c r="AO14" s="2" t="n"/>
      <c r="AP14" s="2" t="n"/>
      <c r="AQ14" s="2" t="n"/>
      <c r="AR14" s="2" t="n"/>
      <c r="AS14" s="2" t="n"/>
      <c r="AT14" s="2" t="n"/>
      <c r="AU14" s="2" t="n"/>
      <c r="AV14" s="2">
        <f>IF(F14=1,V14*2,IF(F14=2,V14*F14*2,IF(F14&gt;2,F14*2*V14)))</f>
        <v/>
      </c>
      <c r="AW14" s="2">
        <f>SUM(W14:AU14)</f>
        <v/>
      </c>
    </row>
    <row r="15">
      <c r="A15" s="2" t="inlineStr">
        <is>
          <t>14-C-067</t>
        </is>
      </c>
      <c r="B15" s="3" t="inlineStr">
        <is>
          <t>DROP-CABLE(SC/PC)</t>
        </is>
      </c>
      <c r="C15" s="2" t="inlineStr">
        <is>
          <t>7M</t>
        </is>
      </c>
      <c r="D15" s="2" t="inlineStr">
        <is>
          <t>drop</t>
        </is>
      </c>
      <c r="E15" s="2" t="inlineStr">
        <is>
          <t>3.0mm</t>
        </is>
      </c>
      <c r="F15" s="2" t="n">
        <v>1</v>
      </c>
      <c r="G15" s="2" t="n">
        <v>7</v>
      </c>
      <c r="H15" s="2" t="inlineStr">
        <is>
          <t>SC/PC</t>
        </is>
      </c>
      <c r="I15" s="2" t="inlineStr">
        <is>
          <t>SC/PC</t>
        </is>
      </c>
      <c r="J15" s="2" t="n">
        <v>50</v>
      </c>
      <c r="K15" s="2" t="n"/>
      <c r="L15" s="2" t="n"/>
      <c r="M15" s="2" t="n"/>
      <c r="N15" s="2" t="n"/>
      <c r="O15" s="2" t="n"/>
      <c r="P15" s="2" t="n"/>
      <c r="Q15" s="2" t="n"/>
      <c r="R15" s="2" t="n">
        <v>60</v>
      </c>
      <c r="S15" s="2" t="n"/>
      <c r="T15" s="2" t="n">
        <v>30</v>
      </c>
      <c r="U15" s="2" t="n">
        <v>100</v>
      </c>
      <c r="V15" s="2">
        <f>SUM(J15:U15)</f>
        <v/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>
        <v>480</v>
      </c>
      <c r="AO15" s="2" t="n"/>
      <c r="AP15" s="2" t="n"/>
      <c r="AQ15" s="2" t="n"/>
      <c r="AR15" s="2" t="n"/>
      <c r="AS15" s="2" t="n"/>
      <c r="AT15" s="2" t="n"/>
      <c r="AU15" s="2" t="n"/>
      <c r="AV15" s="2">
        <f>IF(F15=1,V15*2,IF(F15=2,V15*F15*2,IF(F15&gt;2,F15*2*V15)))</f>
        <v/>
      </c>
      <c r="AW15" s="2">
        <f>SUM(W15:AU15)</f>
        <v/>
      </c>
    </row>
    <row r="16">
      <c r="A16" s="2" t="inlineStr">
        <is>
          <t>14-C-076</t>
        </is>
      </c>
      <c r="B16" s="3" t="inlineStr">
        <is>
          <t>DROP-CABLE(SC/PC-SC/APC)</t>
        </is>
      </c>
      <c r="C16" s="2" t="inlineStr">
        <is>
          <t>25M</t>
        </is>
      </c>
      <c r="D16" s="2" t="inlineStr">
        <is>
          <t>drop</t>
        </is>
      </c>
      <c r="E16" s="2" t="inlineStr">
        <is>
          <t>3.0mm</t>
        </is>
      </c>
      <c r="F16" s="2" t="n">
        <v>1</v>
      </c>
      <c r="G16" s="2" t="n">
        <v>25</v>
      </c>
      <c r="H16" s="2" t="inlineStr">
        <is>
          <t>SC/PC</t>
        </is>
      </c>
      <c r="I16" s="2" t="inlineStr">
        <is>
          <t>SC/APC</t>
        </is>
      </c>
      <c r="J16" s="2" t="n"/>
      <c r="K16" s="2" t="n"/>
      <c r="L16" s="2" t="n"/>
      <c r="M16" s="2" t="n"/>
      <c r="N16" s="2" t="n"/>
      <c r="O16" s="2" t="n">
        <v>30</v>
      </c>
      <c r="P16" s="2" t="n"/>
      <c r="Q16" s="2" t="n"/>
      <c r="R16" s="2" t="n"/>
      <c r="S16" s="2" t="n"/>
      <c r="T16" s="2" t="n"/>
      <c r="U16" s="2" t="n"/>
      <c r="V16" s="2">
        <f>SUM(J16:U16)</f>
        <v/>
      </c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>
        <v>30</v>
      </c>
      <c r="AO16" s="2" t="n"/>
      <c r="AP16" s="2" t="n">
        <v>30</v>
      </c>
      <c r="AQ16" s="2" t="n"/>
      <c r="AR16" s="2" t="n"/>
      <c r="AS16" s="2" t="n"/>
      <c r="AT16" s="2" t="n"/>
      <c r="AU16" s="2" t="n"/>
      <c r="AV16" s="2">
        <f>IF(F16=1,V16*2,IF(F16=2,V16*F16*2,IF(F16&gt;2,F16*2*V16)))</f>
        <v/>
      </c>
      <c r="AW16" s="2">
        <f>SUM(W16:AU16)</f>
        <v/>
      </c>
    </row>
    <row r="17">
      <c r="A17" s="2" t="inlineStr">
        <is>
          <t>14-C-077</t>
        </is>
      </c>
      <c r="B17" s="3" t="inlineStr">
        <is>
          <t>DROP-CABLE(SC/PC-SC/APC)</t>
        </is>
      </c>
      <c r="C17" s="2" t="inlineStr">
        <is>
          <t>30M</t>
        </is>
      </c>
      <c r="D17" s="2" t="inlineStr">
        <is>
          <t>drop</t>
        </is>
      </c>
      <c r="E17" s="2" t="inlineStr">
        <is>
          <t>3.0mm</t>
        </is>
      </c>
      <c r="F17" s="2" t="n">
        <v>1</v>
      </c>
      <c r="G17" s="2" t="n">
        <v>30</v>
      </c>
      <c r="H17" s="2" t="inlineStr">
        <is>
          <t>SC/PC</t>
        </is>
      </c>
      <c r="I17" s="2" t="inlineStr">
        <is>
          <t>SC/APC</t>
        </is>
      </c>
      <c r="J17" s="2" t="n"/>
      <c r="K17" s="2" t="n"/>
      <c r="L17" s="2" t="n"/>
      <c r="M17" s="2" t="n"/>
      <c r="N17" s="2" t="n"/>
      <c r="O17" s="2" t="n">
        <v>20</v>
      </c>
      <c r="P17" s="2" t="n"/>
      <c r="Q17" s="2" t="n"/>
      <c r="R17" s="2" t="n"/>
      <c r="S17" s="2" t="n"/>
      <c r="T17" s="2" t="n"/>
      <c r="U17" s="2" t="n"/>
      <c r="V17" s="2">
        <f>SUM(J17:U17)</f>
        <v/>
      </c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>
        <v>20</v>
      </c>
      <c r="AO17" s="2" t="n"/>
      <c r="AP17" s="2" t="n">
        <v>20</v>
      </c>
      <c r="AQ17" s="2" t="n"/>
      <c r="AR17" s="2" t="n"/>
      <c r="AS17" s="2" t="n"/>
      <c r="AT17" s="2" t="n"/>
      <c r="AU17" s="2" t="n"/>
      <c r="AV17" s="2">
        <f>IF(F17=1,V17*2,IF(F17=2,V17*F17*2,IF(F17&gt;2,F17*2*V17)))</f>
        <v/>
      </c>
      <c r="AW17" s="2">
        <f>SUM(W17:AU17)</f>
        <v/>
      </c>
    </row>
    <row r="18">
      <c r="A18" s="2" t="inlineStr">
        <is>
          <t>14-C-089</t>
        </is>
      </c>
      <c r="B18" s="3" t="inlineStr">
        <is>
          <t>DROP-CABLE(SC/APC)</t>
        </is>
      </c>
      <c r="C18" s="2" t="inlineStr">
        <is>
          <t>7M</t>
        </is>
      </c>
      <c r="D18" s="2" t="inlineStr">
        <is>
          <t>drop</t>
        </is>
      </c>
      <c r="E18" s="2" t="inlineStr">
        <is>
          <t>3.0mm</t>
        </is>
      </c>
      <c r="F18" s="2" t="n">
        <v>1</v>
      </c>
      <c r="G18" s="2" t="n">
        <v>7</v>
      </c>
      <c r="H18" s="2" t="inlineStr">
        <is>
          <t>SC/APC</t>
        </is>
      </c>
      <c r="I18" s="2" t="inlineStr">
        <is>
          <t>SC/APC</t>
        </is>
      </c>
      <c r="J18" s="2" t="n"/>
      <c r="K18" s="2" t="n"/>
      <c r="L18" s="2" t="n"/>
      <c r="M18" s="2" t="n"/>
      <c r="N18" s="2" t="n"/>
      <c r="O18" s="2" t="n"/>
      <c r="P18" s="2" t="n">
        <v>70</v>
      </c>
      <c r="Q18" s="2" t="n"/>
      <c r="R18" s="2" t="n"/>
      <c r="S18" s="2" t="n">
        <v>30</v>
      </c>
      <c r="T18" s="2" t="n"/>
      <c r="U18" s="2" t="n"/>
      <c r="V18" s="2">
        <f>SUM(J18:U18)</f>
        <v/>
      </c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>
        <v>200</v>
      </c>
      <c r="AQ18" s="2" t="n"/>
      <c r="AR18" s="2" t="n"/>
      <c r="AS18" s="2" t="n"/>
      <c r="AT18" s="2" t="n"/>
      <c r="AU18" s="2" t="n"/>
      <c r="AV18" s="2">
        <f>IF(F18=1,V18*2,IF(F18=2,V18*F18*2,IF(F18&gt;2,F18*2*V18)))</f>
        <v/>
      </c>
      <c r="AW18" s="2">
        <f>SUM(W18:AU18)</f>
        <v/>
      </c>
    </row>
    <row r="19">
      <c r="A19" s="2" t="inlineStr">
        <is>
          <t>14-C-099</t>
        </is>
      </c>
      <c r="B19" s="3" t="inlineStr">
        <is>
          <t>DROP-CABLE(SC/PC-SC/APC)</t>
        </is>
      </c>
      <c r="C19" s="2" t="inlineStr">
        <is>
          <t>10M</t>
        </is>
      </c>
      <c r="D19" s="2" t="inlineStr">
        <is>
          <t>drop</t>
        </is>
      </c>
      <c r="E19" s="2" t="inlineStr">
        <is>
          <t>3.0mm</t>
        </is>
      </c>
      <c r="F19" s="2" t="n">
        <v>1</v>
      </c>
      <c r="G19" s="2" t="n">
        <v>10</v>
      </c>
      <c r="H19" s="2" t="inlineStr">
        <is>
          <t>SC/PC</t>
        </is>
      </c>
      <c r="I19" s="2" t="inlineStr">
        <is>
          <t>SC/APC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>
        <v>20</v>
      </c>
      <c r="S19" s="2" t="n"/>
      <c r="T19" s="2" t="n"/>
      <c r="U19" s="2" t="n"/>
      <c r="V19" s="2">
        <f>SUM(J19:U19)</f>
        <v/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>
        <v>20</v>
      </c>
      <c r="AO19" s="2" t="n"/>
      <c r="AP19" s="2" t="n">
        <v>20</v>
      </c>
      <c r="AQ19" s="2" t="n"/>
      <c r="AR19" s="2" t="n"/>
      <c r="AS19" s="2" t="n"/>
      <c r="AT19" s="2" t="n"/>
      <c r="AU19" s="2" t="n"/>
      <c r="AV19" s="2">
        <f>IF(F19=1,V19*2,IF(F19=2,V19*F19*2,IF(F19&gt;2,F19*2*V19)))</f>
        <v/>
      </c>
      <c r="AW19" s="2">
        <f>SUM(W19:AU19)</f>
        <v/>
      </c>
    </row>
    <row r="20">
      <c r="A20" s="2" t="inlineStr">
        <is>
          <t>14-C-105</t>
        </is>
      </c>
      <c r="B20" s="3" t="inlineStr">
        <is>
          <t>DROP-CABLE(SC/PC-SC/APC)</t>
        </is>
      </c>
      <c r="C20" s="2" t="inlineStr">
        <is>
          <t>15M</t>
        </is>
      </c>
      <c r="D20" s="2" t="inlineStr">
        <is>
          <t>drop</t>
        </is>
      </c>
      <c r="E20" s="2" t="inlineStr">
        <is>
          <t>3.0mm</t>
        </is>
      </c>
      <c r="F20" s="2" t="n">
        <v>1</v>
      </c>
      <c r="G20" s="2" t="n">
        <v>15</v>
      </c>
      <c r="H20" s="2" t="inlineStr">
        <is>
          <t>SC/PC</t>
        </is>
      </c>
      <c r="I20" s="2" t="inlineStr">
        <is>
          <t>SC/APC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>
        <v>20</v>
      </c>
      <c r="S20" s="2" t="n"/>
      <c r="T20" s="2" t="n"/>
      <c r="U20" s="2" t="n"/>
      <c r="V20" s="2">
        <f>SUM(J20:U20)</f>
        <v/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>
        <v>20</v>
      </c>
      <c r="AO20" s="2" t="n"/>
      <c r="AP20" s="2" t="n">
        <v>20</v>
      </c>
      <c r="AQ20" s="2" t="n"/>
      <c r="AR20" s="2" t="n"/>
      <c r="AS20" s="2" t="n"/>
      <c r="AT20" s="2" t="n"/>
      <c r="AU20" s="2" t="n"/>
      <c r="AV20" s="2">
        <f>IF(F20=1,V20*2,IF(F20=2,V20*F20*2,IF(F20&gt;2,F20*2*V20)))</f>
        <v/>
      </c>
      <c r="AW20" s="2">
        <f>SUM(W20:AU20)</f>
        <v/>
      </c>
    </row>
    <row r="21">
      <c r="A21" s="2" t="inlineStr">
        <is>
          <t>14-C-123</t>
        </is>
      </c>
      <c r="B21" s="3" t="inlineStr">
        <is>
          <t>DROP-CABLE(LC/PC)-2C</t>
        </is>
      </c>
      <c r="C21" s="2" t="inlineStr">
        <is>
          <t>1M</t>
        </is>
      </c>
      <c r="D21" s="2" t="inlineStr">
        <is>
          <t>drop</t>
        </is>
      </c>
      <c r="E21" s="2" t="inlineStr">
        <is>
          <t>3.0mm</t>
        </is>
      </c>
      <c r="F21" s="2" t="n">
        <v>2</v>
      </c>
      <c r="G21" s="2" t="n">
        <v>1</v>
      </c>
      <c r="H21" s="2" t="inlineStr">
        <is>
          <t>LC/PC</t>
        </is>
      </c>
      <c r="I21" s="2" t="inlineStr">
        <is>
          <t>LC/PC</t>
        </is>
      </c>
      <c r="J21" s="2" t="n">
        <v>10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>
        <f>SUM(J21:U21)</f>
        <v/>
      </c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>
        <v>20</v>
      </c>
      <c r="AK21" s="2" t="n">
        <v>20</v>
      </c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>
        <f>IF(F21=1,V21*2,IF(F21=2,V21*F21*2,IF(F21&gt;2,F21*2*V21)))</f>
        <v/>
      </c>
      <c r="AW21" s="2">
        <f>SUM(W21:AU21)</f>
        <v/>
      </c>
    </row>
    <row r="22">
      <c r="A22" s="2" t="inlineStr">
        <is>
          <t>14-C-125</t>
        </is>
      </c>
      <c r="B22" s="3" t="inlineStr">
        <is>
          <t>DROP-CABLE(LC/PC)-2C</t>
        </is>
      </c>
      <c r="C22" s="2" t="inlineStr">
        <is>
          <t>2M</t>
        </is>
      </c>
      <c r="D22" s="2" t="inlineStr">
        <is>
          <t>drop</t>
        </is>
      </c>
      <c r="E22" s="2" t="inlineStr">
        <is>
          <t>3.0mm</t>
        </is>
      </c>
      <c r="F22" s="2" t="n">
        <v>2</v>
      </c>
      <c r="G22" s="2" t="n">
        <v>2</v>
      </c>
      <c r="H22" s="2" t="inlineStr">
        <is>
          <t>LC/PC</t>
        </is>
      </c>
      <c r="I22" s="2" t="inlineStr">
        <is>
          <t>LC/PC</t>
        </is>
      </c>
      <c r="J22" s="2" t="n">
        <v>10</v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>
        <f>SUM(J22:U22)</f>
        <v/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>
        <v>20</v>
      </c>
      <c r="AK22" s="2" t="n">
        <v>20</v>
      </c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>
        <f>IF(F22=1,V22*2,IF(F22=2,V22*F22*2,IF(F22&gt;2,F22*2*V22)))</f>
        <v/>
      </c>
      <c r="AW22" s="2">
        <f>SUM(W22:AU22)</f>
        <v/>
      </c>
    </row>
    <row r="23">
      <c r="A23" s="2" t="inlineStr">
        <is>
          <t>14-C-130</t>
        </is>
      </c>
      <c r="B23" s="3" t="inlineStr">
        <is>
          <t>DROP-CABLE(LC/PC-SC/APC)</t>
        </is>
      </c>
      <c r="C23" s="2" t="inlineStr">
        <is>
          <t>15M</t>
        </is>
      </c>
      <c r="D23" s="2" t="inlineStr">
        <is>
          <t>drop</t>
        </is>
      </c>
      <c r="E23" s="2" t="inlineStr">
        <is>
          <t>3.0mm</t>
        </is>
      </c>
      <c r="F23" s="2" t="n">
        <v>1</v>
      </c>
      <c r="G23" s="2" t="n">
        <v>15</v>
      </c>
      <c r="H23" s="2" t="inlineStr">
        <is>
          <t>LC/PC</t>
        </is>
      </c>
      <c r="I23" s="2" t="inlineStr">
        <is>
          <t>SC/APC</t>
        </is>
      </c>
      <c r="J23" s="2" t="n"/>
      <c r="K23" s="2" t="n">
        <v>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>
        <f>SUM(J23:U23)</f>
        <v/>
      </c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>
        <v>5</v>
      </c>
      <c r="AK23" s="2" t="n"/>
      <c r="AL23" s="2" t="n"/>
      <c r="AM23" s="2" t="n"/>
      <c r="AN23" s="2" t="n"/>
      <c r="AO23" s="2" t="n"/>
      <c r="AP23" s="2" t="n">
        <v>5</v>
      </c>
      <c r="AQ23" s="2" t="n"/>
      <c r="AR23" s="2" t="n"/>
      <c r="AS23" s="2" t="n"/>
      <c r="AT23" s="2" t="n"/>
      <c r="AU23" s="2" t="n"/>
      <c r="AV23" s="2">
        <f>IF(F23=1,V23*2,IF(F23=2,V23*F23*2,IF(F23&gt;2,F23*2*V23)))</f>
        <v/>
      </c>
      <c r="AW23" s="2">
        <f>SUM(W23:AU23)</f>
        <v/>
      </c>
    </row>
    <row r="24">
      <c r="A24" s="2" t="inlineStr">
        <is>
          <t>14-C-134</t>
        </is>
      </c>
      <c r="B24" s="3" t="inlineStr">
        <is>
          <t>DROP-CABLE(LC/PC)</t>
        </is>
      </c>
      <c r="C24" s="2" t="inlineStr">
        <is>
          <t>15M</t>
        </is>
      </c>
      <c r="D24" s="2" t="inlineStr">
        <is>
          <t>drop</t>
        </is>
      </c>
      <c r="E24" s="2" t="inlineStr">
        <is>
          <t>3.0mm</t>
        </is>
      </c>
      <c r="F24" s="2" t="n">
        <v>1</v>
      </c>
      <c r="G24" s="2" t="n">
        <v>15</v>
      </c>
      <c r="H24" s="2" t="inlineStr">
        <is>
          <t>LC/PC</t>
        </is>
      </c>
      <c r="I24" s="2" t="inlineStr">
        <is>
          <t>LC/PC</t>
        </is>
      </c>
      <c r="J24" s="2" t="n"/>
      <c r="K24" s="2" t="n"/>
      <c r="L24" s="2" t="n">
        <v>100</v>
      </c>
      <c r="M24" s="2" t="n"/>
      <c r="N24" s="2" t="n"/>
      <c r="O24" s="2" t="n"/>
      <c r="P24" s="2" t="n"/>
      <c r="Q24" s="2" t="n"/>
      <c r="R24" s="2" t="n">
        <v>10</v>
      </c>
      <c r="S24" s="2" t="n"/>
      <c r="T24" s="2" t="n"/>
      <c r="U24" s="2" t="n"/>
      <c r="V24" s="2">
        <f>SUM(J24:U24)</f>
        <v/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>
        <v>220</v>
      </c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>
        <f>IF(F24=1,V24*2,IF(F24=2,V24*F24*2,IF(F24&gt;2,F24*2*V24)))</f>
        <v/>
      </c>
      <c r="AW24" s="2">
        <f>SUM(W24:AU24)</f>
        <v/>
      </c>
    </row>
    <row r="25">
      <c r="A25" s="2" t="inlineStr">
        <is>
          <t>14-C-135</t>
        </is>
      </c>
      <c r="B25" s="3" t="inlineStr">
        <is>
          <t>DROP-CABLE(LC/PC-SC/PC)</t>
        </is>
      </c>
      <c r="C25" s="2" t="inlineStr">
        <is>
          <t>5M</t>
        </is>
      </c>
      <c r="D25" s="2" t="inlineStr">
        <is>
          <t>drop</t>
        </is>
      </c>
      <c r="E25" s="2" t="inlineStr">
        <is>
          <t>3.0mm</t>
        </is>
      </c>
      <c r="F25" s="2" t="n">
        <v>1</v>
      </c>
      <c r="G25" s="2" t="n">
        <v>5</v>
      </c>
      <c r="H25" s="2" t="inlineStr">
        <is>
          <t>LC/PC</t>
        </is>
      </c>
      <c r="I25" s="2" t="inlineStr">
        <is>
          <t>SC/PC</t>
        </is>
      </c>
      <c r="J25" s="2" t="n"/>
      <c r="K25" s="2" t="n"/>
      <c r="L25" s="2" t="n"/>
      <c r="M25" s="2" t="n"/>
      <c r="N25" s="2" t="n">
        <v>5</v>
      </c>
      <c r="O25" s="2" t="n"/>
      <c r="P25" s="2" t="n"/>
      <c r="Q25" s="2" t="n"/>
      <c r="R25" s="2" t="n"/>
      <c r="S25" s="2" t="n"/>
      <c r="T25" s="2" t="n"/>
      <c r="U25" s="2" t="n"/>
      <c r="V25" s="2">
        <f>SUM(J25:U25)</f>
        <v/>
      </c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>
        <v>5</v>
      </c>
      <c r="AK25" s="2" t="n"/>
      <c r="AL25" s="2" t="n"/>
      <c r="AM25" s="2" t="n"/>
      <c r="AN25" s="2" t="n">
        <v>5</v>
      </c>
      <c r="AO25" s="2" t="n"/>
      <c r="AP25" s="2" t="n"/>
      <c r="AQ25" s="2" t="n"/>
      <c r="AR25" s="2" t="n"/>
      <c r="AS25" s="2" t="n"/>
      <c r="AT25" s="2" t="n"/>
      <c r="AU25" s="2" t="n"/>
      <c r="AV25" s="2">
        <f>IF(F25=1,V25*2,IF(F25=2,V25*F25*2,IF(F25&gt;2,F25*2*V25)))</f>
        <v/>
      </c>
      <c r="AW25" s="2">
        <f>SUM(W25:AU25)</f>
        <v/>
      </c>
    </row>
    <row r="26">
      <c r="A26" s="2" t="inlineStr">
        <is>
          <t>14-C-361</t>
        </is>
      </c>
      <c r="B26" s="3" t="inlineStr">
        <is>
          <t>DROP-CABLE(LC/PC-SC/APC)</t>
        </is>
      </c>
      <c r="C26" s="2" t="inlineStr">
        <is>
          <t>5M</t>
        </is>
      </c>
      <c r="D26" s="2" t="inlineStr">
        <is>
          <t>drop</t>
        </is>
      </c>
      <c r="E26" s="2" t="inlineStr">
        <is>
          <t>3.0mm</t>
        </is>
      </c>
      <c r="F26" s="2" t="n">
        <v>1</v>
      </c>
      <c r="G26" s="2" t="n">
        <v>5</v>
      </c>
      <c r="H26" s="2" t="inlineStr">
        <is>
          <t>LC/PC</t>
        </is>
      </c>
      <c r="I26" s="2" t="inlineStr">
        <is>
          <t>SC/APC</t>
        </is>
      </c>
      <c r="J26" s="2" t="n"/>
      <c r="K26" s="2" t="n">
        <v>10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>
        <f>SUM(J26:U26)</f>
        <v/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>
        <v>10</v>
      </c>
      <c r="AK26" s="2" t="n"/>
      <c r="AL26" s="2" t="n"/>
      <c r="AM26" s="2" t="n"/>
      <c r="AN26" s="2" t="n"/>
      <c r="AO26" s="2" t="n"/>
      <c r="AP26" s="2" t="n">
        <v>10</v>
      </c>
      <c r="AQ26" s="2" t="n"/>
      <c r="AR26" s="2" t="n"/>
      <c r="AS26" s="2" t="n"/>
      <c r="AT26" s="2" t="n"/>
      <c r="AU26" s="2" t="n"/>
      <c r="AV26" s="2">
        <f>IF(F26=1,V26*2,IF(F26=2,V26*F26*2,IF(F26&gt;2,F26*2*V26)))</f>
        <v/>
      </c>
      <c r="AW26" s="2">
        <f>SUM(W26:AU26)</f>
        <v/>
      </c>
    </row>
    <row r="27">
      <c r="A27" s="2" t="inlineStr">
        <is>
          <t>14-C-366</t>
        </is>
      </c>
      <c r="B27" s="3" t="inlineStr">
        <is>
          <t>DROP-CABLE(LC/PC-SC/APC)-2C</t>
        </is>
      </c>
      <c r="C27" s="2" t="inlineStr">
        <is>
          <t>20M</t>
        </is>
      </c>
      <c r="D27" s="2" t="inlineStr">
        <is>
          <t>drop</t>
        </is>
      </c>
      <c r="E27" s="2" t="inlineStr">
        <is>
          <t>3.0mm</t>
        </is>
      </c>
      <c r="F27" s="2" t="n">
        <v>2</v>
      </c>
      <c r="G27" s="2" t="n">
        <v>20</v>
      </c>
      <c r="H27" s="2" t="inlineStr">
        <is>
          <t>LC/PC</t>
        </is>
      </c>
      <c r="I27" s="2" t="inlineStr">
        <is>
          <t>SC/APC</t>
        </is>
      </c>
      <c r="J27" s="2" t="n"/>
      <c r="K27" s="2" t="n"/>
      <c r="L27" s="2" t="n"/>
      <c r="M27" s="2" t="n"/>
      <c r="N27" s="2" t="n"/>
      <c r="O27" s="2" t="n"/>
      <c r="P27" s="2" t="n">
        <v>6</v>
      </c>
      <c r="Q27" s="2" t="n"/>
      <c r="R27" s="2" t="n"/>
      <c r="S27" s="2" t="n"/>
      <c r="T27" s="2" t="n"/>
      <c r="U27" s="2" t="n"/>
      <c r="V27" s="2">
        <f>SUM(J27:U27)</f>
        <v/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>
        <v>12</v>
      </c>
      <c r="AK27" s="2" t="n"/>
      <c r="AL27" s="2" t="n"/>
      <c r="AM27" s="2" t="n"/>
      <c r="AN27" s="2" t="n"/>
      <c r="AO27" s="2" t="n"/>
      <c r="AP27" s="2" t="n"/>
      <c r="AQ27" s="2" t="n">
        <v>12</v>
      </c>
      <c r="AR27" s="2" t="n"/>
      <c r="AS27" s="2" t="n"/>
      <c r="AT27" s="2" t="n"/>
      <c r="AU27" s="2" t="n"/>
      <c r="AV27" s="2">
        <f>IF(F27=1,V27*2,IF(F27=2,V27*F27*2,IF(F27&gt;2,F27*2*V27)))</f>
        <v/>
      </c>
      <c r="AW27" s="2">
        <f>SUM(W27:AU27)</f>
        <v/>
      </c>
    </row>
    <row r="28">
      <c r="A28" s="2" t="inlineStr">
        <is>
          <t>14-C-402</t>
        </is>
      </c>
      <c r="B28" s="3" t="inlineStr">
        <is>
          <t>DROP-CABLE(LC/PC)-2C</t>
        </is>
      </c>
      <c r="C28" s="2" t="inlineStr">
        <is>
          <t>30M</t>
        </is>
      </c>
      <c r="D28" s="2" t="inlineStr">
        <is>
          <t>drop</t>
        </is>
      </c>
      <c r="E28" s="2" t="inlineStr">
        <is>
          <t>3.0mm</t>
        </is>
      </c>
      <c r="F28" s="2" t="n">
        <v>2</v>
      </c>
      <c r="G28" s="2" t="n">
        <v>30</v>
      </c>
      <c r="H28" s="2" t="inlineStr">
        <is>
          <t>LC/PC</t>
        </is>
      </c>
      <c r="I28" s="2" t="inlineStr">
        <is>
          <t>LC/PC</t>
        </is>
      </c>
      <c r="J28" s="2" t="n"/>
      <c r="K28" s="2" t="n"/>
      <c r="L28" s="2" t="n"/>
      <c r="M28" s="2" t="n"/>
      <c r="N28" s="2" t="n">
        <v>20</v>
      </c>
      <c r="O28" s="2" t="n"/>
      <c r="P28" s="2" t="n"/>
      <c r="Q28" s="2" t="n"/>
      <c r="R28" s="2" t="n"/>
      <c r="S28" s="2" t="n"/>
      <c r="T28" s="2" t="n">
        <v>30</v>
      </c>
      <c r="U28" s="2" t="n"/>
      <c r="V28" s="2">
        <f>SUM(J28:U28)</f>
        <v/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>
        <v>100</v>
      </c>
      <c r="AK28" s="2" t="n">
        <v>100</v>
      </c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>
        <f>IF(F28=1,V28*2,IF(F28=2,V28*F28*2,IF(F28&gt;2,F28*2*V28)))</f>
        <v/>
      </c>
      <c r="AW28" s="2">
        <f>SUM(W28:AU28)</f>
        <v/>
      </c>
    </row>
    <row r="29">
      <c r="A29" s="2" t="inlineStr">
        <is>
          <t>14-C-403</t>
        </is>
      </c>
      <c r="B29" s="3" t="inlineStr">
        <is>
          <t>DROP-CABLE(LC/PC)-2C</t>
        </is>
      </c>
      <c r="C29" s="2" t="inlineStr">
        <is>
          <t>40M</t>
        </is>
      </c>
      <c r="D29" s="2" t="inlineStr">
        <is>
          <t>drop</t>
        </is>
      </c>
      <c r="E29" s="2" t="inlineStr">
        <is>
          <t>3.0mm</t>
        </is>
      </c>
      <c r="F29" s="2" t="n">
        <v>2</v>
      </c>
      <c r="G29" s="2" t="n">
        <v>40</v>
      </c>
      <c r="H29" s="2" t="inlineStr">
        <is>
          <t>LC/PC</t>
        </is>
      </c>
      <c r="I29" s="2" t="inlineStr">
        <is>
          <t>LC/PC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20</v>
      </c>
      <c r="U29" s="2" t="n"/>
      <c r="V29" s="2">
        <f>SUM(J29:U29)</f>
        <v/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>
        <v>40</v>
      </c>
      <c r="AK29" s="2" t="n">
        <v>40</v>
      </c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>
        <f>IF(F29=1,V29*2,IF(F29=2,V29*F29*2,IF(F29&gt;2,F29*2*V29)))</f>
        <v/>
      </c>
      <c r="AW29" s="2">
        <f>SUM(W29:AU29)</f>
        <v/>
      </c>
    </row>
    <row r="30">
      <c r="A30" s="2" t="inlineStr">
        <is>
          <t>14-C-410</t>
        </is>
      </c>
      <c r="B30" s="3" t="inlineStr">
        <is>
          <t>Optical Cable Parts,LC/PC-LC/PC-Single mode-70m-2Core</t>
        </is>
      </c>
      <c r="C30" s="2" t="inlineStr">
        <is>
          <t>657A2 , LSZH , LC DUPLEX KIT(CLIP), 0MM/ 300MM</t>
        </is>
      </c>
      <c r="D30" s="2" t="inlineStr">
        <is>
          <t>a2</t>
        </is>
      </c>
      <c r="E30" s="2" t="inlineStr">
        <is>
          <t>2.0mm</t>
        </is>
      </c>
      <c r="F30" s="2" t="n">
        <v>2</v>
      </c>
      <c r="G30" s="2" t="n">
        <v>70</v>
      </c>
      <c r="H30" s="2" t="inlineStr">
        <is>
          <t>LC/PC</t>
        </is>
      </c>
      <c r="I30" s="2" t="inlineStr">
        <is>
          <t>LC/PC</t>
        </is>
      </c>
      <c r="J30" s="2" t="n">
        <v>1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>
        <f>SUM(J30:U30)</f>
        <v/>
      </c>
      <c r="W30" s="2" t="n">
        <v>2</v>
      </c>
      <c r="X30" s="2" t="n">
        <v>2</v>
      </c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>
        <f>IF(F30=1,V30*2,IF(F30=2,V30*F30*2,IF(F30&gt;2,F30*2*V30)))</f>
        <v/>
      </c>
      <c r="AW30" s="2">
        <f>SUM(W30:AU30)</f>
        <v/>
      </c>
    </row>
    <row r="31">
      <c r="A31" s="2" t="inlineStr">
        <is>
          <t>14-C-427</t>
        </is>
      </c>
      <c r="B31" s="3" t="inlineStr">
        <is>
          <t>DROP-CABLE(LC/PC)-2C</t>
        </is>
      </c>
      <c r="C31" s="2" t="inlineStr">
        <is>
          <t>60M</t>
        </is>
      </c>
      <c r="D31" s="2" t="inlineStr">
        <is>
          <t>drop</t>
        </is>
      </c>
      <c r="E31" s="2" t="inlineStr">
        <is>
          <t>3.0mm</t>
        </is>
      </c>
      <c r="F31" s="2" t="n">
        <v>2</v>
      </c>
      <c r="G31" s="2" t="n">
        <v>60</v>
      </c>
      <c r="H31" s="2" t="inlineStr">
        <is>
          <t>LC/PC</t>
        </is>
      </c>
      <c r="I31" s="2" t="inlineStr">
        <is>
          <t>LC/PC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15</v>
      </c>
      <c r="U31" s="2" t="n"/>
      <c r="V31" s="2">
        <f>SUM(J31:U31)</f>
        <v/>
      </c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>
        <v>30</v>
      </c>
      <c r="AK31" s="2" t="n">
        <v>30</v>
      </c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>
        <f>IF(F31=1,V31*2,IF(F31=2,V31*F31*2,IF(F31&gt;2,F31*2*V31)))</f>
        <v/>
      </c>
      <c r="AW31" s="2">
        <f>SUM(W31:AU31)</f>
        <v/>
      </c>
    </row>
    <row r="32">
      <c r="A32" s="2" t="inlineStr">
        <is>
          <t>14-C-440</t>
        </is>
      </c>
      <c r="B32" s="3" t="inlineStr">
        <is>
          <t>Optical Cable Parts,LC/PC-LC/PC-Single mode-10m-2Core</t>
        </is>
      </c>
      <c r="C32" s="2" t="inlineStr">
        <is>
          <t>657A2 , LSZH , LC DUPLEX KIT(CLIP), 95MM/ 500MM</t>
        </is>
      </c>
      <c r="D32" s="2" t="inlineStr">
        <is>
          <t>a2</t>
        </is>
      </c>
      <c r="E32" s="2" t="inlineStr">
        <is>
          <t>2.0mm</t>
        </is>
      </c>
      <c r="F32" s="2" t="n">
        <v>2</v>
      </c>
      <c r="G32" s="2" t="n">
        <v>10</v>
      </c>
      <c r="H32" s="2" t="inlineStr">
        <is>
          <t>LC/PC</t>
        </is>
      </c>
      <c r="I32" s="2" t="inlineStr">
        <is>
          <t>LC/PC</t>
        </is>
      </c>
      <c r="J32" s="2" t="n"/>
      <c r="K32" s="2" t="n"/>
      <c r="L32" s="2" t="n"/>
      <c r="M32" s="2" t="n">
        <v>1</v>
      </c>
      <c r="N32" s="2" t="n">
        <v>1</v>
      </c>
      <c r="O32" s="2" t="n"/>
      <c r="P32" s="2" t="n">
        <v>20</v>
      </c>
      <c r="Q32" s="2" t="n"/>
      <c r="R32" s="2" t="n"/>
      <c r="S32" s="2" t="n"/>
      <c r="T32" s="2" t="n"/>
      <c r="U32" s="2" t="n"/>
      <c r="V32" s="2">
        <f>SUM(J32:U32)</f>
        <v/>
      </c>
      <c r="W32" s="2" t="n">
        <v>44</v>
      </c>
      <c r="X32" s="2" t="n">
        <v>44</v>
      </c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>
        <f>IF(F32=1,V32*2,IF(F32=2,V32*F32*2,IF(F32&gt;2,F32*2*V32)))</f>
        <v/>
      </c>
      <c r="AW32" s="2">
        <f>SUM(W32:AU32)</f>
        <v/>
      </c>
    </row>
    <row r="33">
      <c r="A33" s="2" t="inlineStr">
        <is>
          <t>14-C-490</t>
        </is>
      </c>
      <c r="B33" s="3" t="inlineStr">
        <is>
          <t>Optical Cable Parts,LC/PC-LC/PC-Single mode-30m-2Core</t>
        </is>
      </c>
      <c r="C33" s="2" t="inlineStr">
        <is>
          <t>657A2 , LSZH , LC DUPLEX KIT(CLIP),95MM/ 500MM</t>
        </is>
      </c>
      <c r="D33" s="2" t="inlineStr">
        <is>
          <t>a2</t>
        </is>
      </c>
      <c r="E33" s="2" t="inlineStr">
        <is>
          <t>2.0mm</t>
        </is>
      </c>
      <c r="F33" s="2" t="n">
        <v>2</v>
      </c>
      <c r="G33" s="2" t="n">
        <v>30</v>
      </c>
      <c r="H33" s="2" t="inlineStr">
        <is>
          <t>LC/PC</t>
        </is>
      </c>
      <c r="I33" s="2" t="inlineStr">
        <is>
          <t>LC/PC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>
        <v>3</v>
      </c>
      <c r="V33" s="2">
        <f>SUM(J33:U33)</f>
        <v/>
      </c>
      <c r="W33" s="2" t="n">
        <v>6</v>
      </c>
      <c r="X33" s="2" t="n">
        <v>6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>
        <f>IF(F33=1,V33*2,IF(F33=2,V33*F33*2,IF(F33&gt;2,F33*2*V33)))</f>
        <v/>
      </c>
      <c r="AW33" s="2">
        <f>SUM(W33:AU33)</f>
        <v/>
      </c>
    </row>
    <row r="34">
      <c r="A34" s="2" t="inlineStr">
        <is>
          <t>14-C-496</t>
        </is>
      </c>
      <c r="B34" s="3" t="inlineStr">
        <is>
          <t>DROP-CABLE(LC/PC)-2C</t>
        </is>
      </c>
      <c r="C34" s="2" t="inlineStr">
        <is>
          <t>10M</t>
        </is>
      </c>
      <c r="D34" s="2" t="inlineStr">
        <is>
          <t>drop</t>
        </is>
      </c>
      <c r="E34" s="2" t="inlineStr">
        <is>
          <t>3.0mm</t>
        </is>
      </c>
      <c r="F34" s="2" t="n">
        <v>2</v>
      </c>
      <c r="G34" s="2" t="n">
        <v>10</v>
      </c>
      <c r="H34" s="2" t="inlineStr">
        <is>
          <t>LC/PC</t>
        </is>
      </c>
      <c r="I34" s="2" t="inlineStr">
        <is>
          <t>LC/PC</t>
        </is>
      </c>
      <c r="J34" s="2" t="n">
        <v>10</v>
      </c>
      <c r="K34" s="2" t="n"/>
      <c r="L34" s="2" t="n">
        <v>20</v>
      </c>
      <c r="M34" s="2" t="n"/>
      <c r="N34" s="2" t="n"/>
      <c r="O34" s="2" t="n"/>
      <c r="P34" s="2" t="n">
        <v>90</v>
      </c>
      <c r="Q34" s="2" t="n"/>
      <c r="R34" s="2" t="n"/>
      <c r="S34" s="2" t="n"/>
      <c r="T34" s="2" t="n"/>
      <c r="U34" s="2" t="n"/>
      <c r="V34" s="2">
        <f>SUM(J34:U34)</f>
        <v/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>
        <v>240</v>
      </c>
      <c r="AK34" s="2" t="n">
        <v>240</v>
      </c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>
        <f>IF(F34=1,V34*2,IF(F34=2,V34*F34*2,IF(F34&gt;2,F34*2*V34)))</f>
        <v/>
      </c>
      <c r="AW34" s="2">
        <f>SUM(W34:AU34)</f>
        <v/>
      </c>
    </row>
    <row r="35">
      <c r="A35" s="2" t="inlineStr">
        <is>
          <t>14-C-497</t>
        </is>
      </c>
      <c r="B35" s="3" t="inlineStr">
        <is>
          <t>DROP-CABLE(LC/PC)-2C</t>
        </is>
      </c>
      <c r="C35" s="2" t="inlineStr">
        <is>
          <t>4M</t>
        </is>
      </c>
      <c r="D35" s="2" t="inlineStr">
        <is>
          <t>drop</t>
        </is>
      </c>
      <c r="E35" s="2" t="inlineStr">
        <is>
          <t>3.0mm</t>
        </is>
      </c>
      <c r="F35" s="2" t="n">
        <v>2</v>
      </c>
      <c r="G35" s="2" t="n">
        <v>4</v>
      </c>
      <c r="H35" s="2" t="inlineStr">
        <is>
          <t>LC/PC</t>
        </is>
      </c>
      <c r="I35" s="2" t="inlineStr">
        <is>
          <t>LC/PC</t>
        </is>
      </c>
      <c r="J35" s="2" t="n"/>
      <c r="K35" s="2" t="n"/>
      <c r="L35" s="2" t="n"/>
      <c r="M35" s="2" t="n">
        <v>50</v>
      </c>
      <c r="N35" s="2" t="n"/>
      <c r="O35" s="2" t="n"/>
      <c r="P35" s="2" t="n"/>
      <c r="Q35" s="2" t="n"/>
      <c r="R35" s="2" t="n"/>
      <c r="S35" s="2" t="n">
        <v>40</v>
      </c>
      <c r="T35" s="2" t="n"/>
      <c r="U35" s="2" t="n">
        <v>10</v>
      </c>
      <c r="V35" s="2">
        <f>SUM(J35:U35)</f>
        <v/>
      </c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>
        <v>200</v>
      </c>
      <c r="AK35" s="2" t="n">
        <v>200</v>
      </c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>
        <f>IF(F35=1,V35*2,IF(F35=2,V35*F35*2,IF(F35&gt;2,F35*2*V35)))</f>
        <v/>
      </c>
      <c r="AW35" s="2">
        <f>SUM(W35:AU35)</f>
        <v/>
      </c>
    </row>
    <row r="36">
      <c r="A36" s="2" t="inlineStr">
        <is>
          <t>14-C-514</t>
        </is>
      </c>
      <c r="B36" s="3" t="inlineStr">
        <is>
          <t>Optical Cable Parts,LC/PC-LC/PC-Single mode-10m-1Core</t>
        </is>
      </c>
      <c r="C36" s="2" t="inlineStr">
        <is>
          <t>657A2 , LSZH</t>
        </is>
      </c>
      <c r="D36" s="2" t="inlineStr">
        <is>
          <t>a2</t>
        </is>
      </c>
      <c r="E36" s="2" t="inlineStr">
        <is>
          <t>2.0mm</t>
        </is>
      </c>
      <c r="F36" s="2" t="n">
        <v>1</v>
      </c>
      <c r="G36" s="2" t="n">
        <v>10</v>
      </c>
      <c r="H36" s="2" t="inlineStr">
        <is>
          <t>LC/PC</t>
        </is>
      </c>
      <c r="I36" s="2" t="inlineStr">
        <is>
          <t>LC/PC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>
        <v>50</v>
      </c>
      <c r="V36" s="2">
        <f>SUM(J36:U36)</f>
        <v/>
      </c>
      <c r="W36" s="2" t="n">
        <v>100</v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>
        <f>IF(F36=1,V36*2,IF(F36=2,V36*F36*2,IF(F36&gt;2,F36*2*V36)))</f>
        <v/>
      </c>
      <c r="AW36" s="2">
        <f>SUM(W36:AU36)</f>
        <v/>
      </c>
    </row>
    <row r="37">
      <c r="A37" s="2" t="inlineStr">
        <is>
          <t>14-C-520</t>
        </is>
      </c>
      <c r="B37" s="3" t="inlineStr">
        <is>
          <t>Optical Cable Parts,LC/PC-LC/PC-Single mode-70m-1Core</t>
        </is>
      </c>
      <c r="C37" s="2" t="inlineStr">
        <is>
          <t>657A2 , LSZH</t>
        </is>
      </c>
      <c r="D37" s="2" t="inlineStr">
        <is>
          <t>a2</t>
        </is>
      </c>
      <c r="E37" s="2" t="inlineStr">
        <is>
          <t>2.0mm</t>
        </is>
      </c>
      <c r="F37" s="2" t="n">
        <v>1</v>
      </c>
      <c r="G37" s="2" t="n">
        <v>70</v>
      </c>
      <c r="H37" s="2" t="inlineStr">
        <is>
          <t>LC/PC</t>
        </is>
      </c>
      <c r="I37" s="2" t="inlineStr">
        <is>
          <t>LC/PC</t>
        </is>
      </c>
      <c r="J37" s="2" t="n"/>
      <c r="K37" s="2" t="n"/>
      <c r="L37" s="2" t="n"/>
      <c r="M37" s="2" t="n">
        <v>1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>
        <f>SUM(J37:U37)</f>
        <v/>
      </c>
      <c r="W37" s="2" t="n">
        <v>2</v>
      </c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>
        <f>IF(F37=1,V37*2,IF(F37=2,V37*F37*2,IF(F37&gt;2,F37*2*V37)))</f>
        <v/>
      </c>
      <c r="AW37" s="2">
        <f>SUM(W37:AU37)</f>
        <v/>
      </c>
    </row>
    <row r="38">
      <c r="A38" s="2" t="inlineStr">
        <is>
          <t>14-C-535</t>
        </is>
      </c>
      <c r="B38" s="3" t="inlineStr">
        <is>
          <t>Optical Cable Parts,LC/PC-LC/PC-Single mode-15m-2Core</t>
        </is>
      </c>
      <c r="C38" s="2" t="inlineStr">
        <is>
          <t>657A2 , LSZH , LC DUPLEX KIT(CLIP), 300MM/ 300MM</t>
        </is>
      </c>
      <c r="D38" s="2" t="inlineStr">
        <is>
          <t>a2</t>
        </is>
      </c>
      <c r="E38" s="2" t="inlineStr">
        <is>
          <t>2.0mm</t>
        </is>
      </c>
      <c r="F38" s="2" t="n">
        <v>2</v>
      </c>
      <c r="G38" s="2" t="n">
        <v>15</v>
      </c>
      <c r="H38" s="2" t="inlineStr">
        <is>
          <t>LC/PC</t>
        </is>
      </c>
      <c r="I38" s="2" t="inlineStr">
        <is>
          <t>LC/PC</t>
        </is>
      </c>
      <c r="J38" s="2" t="n"/>
      <c r="K38" s="2" t="n"/>
      <c r="L38" s="2" t="n"/>
      <c r="M38" s="2" t="n"/>
      <c r="N38" s="2" t="n"/>
      <c r="O38" s="2" t="n">
        <v>50</v>
      </c>
      <c r="P38" s="2" t="n"/>
      <c r="Q38" s="2" t="n"/>
      <c r="R38" s="2" t="n"/>
      <c r="S38" s="2" t="n"/>
      <c r="T38" s="2" t="n"/>
      <c r="U38" s="2" t="n">
        <v>50</v>
      </c>
      <c r="V38" s="2">
        <f>SUM(J38:U38)</f>
        <v/>
      </c>
      <c r="W38" s="2" t="n">
        <v>200</v>
      </c>
      <c r="X38" s="2" t="n">
        <v>200</v>
      </c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>
        <f>IF(F38=1,V38*2,IF(F38=2,V38*F38*2,IF(F38&gt;2,F38*2*V38)))</f>
        <v/>
      </c>
      <c r="AW38" s="2">
        <f>SUM(W38:AU38)</f>
        <v/>
      </c>
    </row>
    <row r="39">
      <c r="A39" s="2" t="inlineStr">
        <is>
          <t>14-C-552</t>
        </is>
      </c>
      <c r="B39" s="3" t="inlineStr">
        <is>
          <t>Optical Cable Parts,LC/PC-LC/PC-Single mode-10m-2Core</t>
        </is>
      </c>
      <c r="C39" s="2" t="inlineStr">
        <is>
          <t>657A2 , LSZH , LC DUPLEX KIT(CLIP), 0MM/ 300MM</t>
        </is>
      </c>
      <c r="D39" s="2" t="inlineStr">
        <is>
          <t>a2</t>
        </is>
      </c>
      <c r="E39" s="2" t="inlineStr">
        <is>
          <t>2.0mm</t>
        </is>
      </c>
      <c r="F39" s="2" t="n">
        <v>2</v>
      </c>
      <c r="G39" s="2" t="n">
        <v>10</v>
      </c>
      <c r="H39" s="2" t="inlineStr">
        <is>
          <t>LC/PC</t>
        </is>
      </c>
      <c r="I39" s="2" t="inlineStr">
        <is>
          <t>LC/PC</t>
        </is>
      </c>
      <c r="J39" s="2" t="n">
        <v>50</v>
      </c>
      <c r="K39" s="2" t="n"/>
      <c r="L39" s="2" t="n"/>
      <c r="M39" s="2" t="n"/>
      <c r="N39" s="2" t="n"/>
      <c r="O39" s="2" t="n"/>
      <c r="P39" s="2" t="n">
        <v>100</v>
      </c>
      <c r="Q39" s="2" t="n"/>
      <c r="R39" s="2" t="n"/>
      <c r="S39" s="2" t="n"/>
      <c r="T39" s="2" t="n"/>
      <c r="U39" s="2" t="n"/>
      <c r="V39" s="2">
        <f>SUM(J39:U39)</f>
        <v/>
      </c>
      <c r="W39" s="2" t="n">
        <v>300</v>
      </c>
      <c r="X39" s="2" t="n">
        <v>300</v>
      </c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>
        <f>IF(F39=1,V39*2,IF(F39=2,V39*F39*2,IF(F39&gt;2,F39*2*V39)))</f>
        <v/>
      </c>
      <c r="AW39" s="2">
        <f>SUM(W39:AU39)</f>
        <v/>
      </c>
    </row>
    <row r="40">
      <c r="A40" s="2" t="inlineStr">
        <is>
          <t>14-C-553</t>
        </is>
      </c>
      <c r="B40" s="3" t="inlineStr">
        <is>
          <t>Optical Cable Parts,LC/PC-LC/PC-Single mode-15m-2Core</t>
        </is>
      </c>
      <c r="C40" s="2" t="inlineStr">
        <is>
          <t>657A2 , LSZH , LC DUPLEX KIT(CLIP), 0MM/ 300MM</t>
        </is>
      </c>
      <c r="D40" s="2" t="inlineStr">
        <is>
          <t>a2</t>
        </is>
      </c>
      <c r="E40" s="2" t="inlineStr">
        <is>
          <t>2.0mm</t>
        </is>
      </c>
      <c r="F40" s="2" t="n">
        <v>2</v>
      </c>
      <c r="G40" s="2" t="n">
        <v>15</v>
      </c>
      <c r="H40" s="2" t="inlineStr">
        <is>
          <t>LC/PC</t>
        </is>
      </c>
      <c r="I40" s="2" t="inlineStr">
        <is>
          <t>LC/PC</t>
        </is>
      </c>
      <c r="J40" s="2" t="n">
        <v>50</v>
      </c>
      <c r="K40" s="2" t="n"/>
      <c r="L40" s="2" t="n"/>
      <c r="M40" s="2" t="n"/>
      <c r="N40" s="2" t="n"/>
      <c r="O40" s="2" t="n"/>
      <c r="P40" s="2" t="n">
        <v>50</v>
      </c>
      <c r="Q40" s="2" t="n">
        <v>100</v>
      </c>
      <c r="R40" s="2" t="n"/>
      <c r="S40" s="2" t="n"/>
      <c r="T40" s="2" t="n"/>
      <c r="U40" s="2" t="n"/>
      <c r="V40" s="2">
        <f>SUM(J40:U40)</f>
        <v/>
      </c>
      <c r="W40" s="2" t="n">
        <v>400</v>
      </c>
      <c r="X40" s="2" t="n">
        <v>400</v>
      </c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>
        <f>IF(F40=1,V40*2,IF(F40=2,V40*F40*2,IF(F40&gt;2,F40*2*V40)))</f>
        <v/>
      </c>
      <c r="AW40" s="2">
        <f>SUM(W40:AU40)</f>
        <v/>
      </c>
    </row>
    <row r="41">
      <c r="A41" s="2" t="inlineStr">
        <is>
          <t>14-C-554</t>
        </is>
      </c>
      <c r="B41" s="3" t="inlineStr">
        <is>
          <t>Optical Cable Parts,LC/PC-LC/PC-Single mode-20m-2Core</t>
        </is>
      </c>
      <c r="C41" s="2" t="inlineStr">
        <is>
          <t>657A2 , LSZH , LC DUPLEX KIT(CLIP), 0MM/ 300MM</t>
        </is>
      </c>
      <c r="D41" s="2" t="inlineStr">
        <is>
          <t>a2</t>
        </is>
      </c>
      <c r="E41" s="2" t="inlineStr">
        <is>
          <t>2.0mm</t>
        </is>
      </c>
      <c r="F41" s="2" t="n">
        <v>2</v>
      </c>
      <c r="G41" s="2" t="n">
        <v>20</v>
      </c>
      <c r="H41" s="2" t="inlineStr">
        <is>
          <t>LC/PC</t>
        </is>
      </c>
      <c r="I41" s="2" t="inlineStr">
        <is>
          <t>LC/PC</t>
        </is>
      </c>
      <c r="J41" s="2" t="n"/>
      <c r="K41" s="2" t="n"/>
      <c r="L41" s="2" t="n"/>
      <c r="M41" s="2" t="n"/>
      <c r="N41" s="2" t="n">
        <v>30</v>
      </c>
      <c r="O41" s="2" t="n"/>
      <c r="P41" s="2" t="n">
        <v>50</v>
      </c>
      <c r="Q41" s="2" t="n">
        <v>100</v>
      </c>
      <c r="R41" s="2" t="n"/>
      <c r="S41" s="2" t="n"/>
      <c r="T41" s="2" t="n"/>
      <c r="U41" s="2" t="n"/>
      <c r="V41" s="2">
        <f>SUM(J41:U41)</f>
        <v/>
      </c>
      <c r="W41" s="2" t="n">
        <v>360</v>
      </c>
      <c r="X41" s="2" t="n">
        <v>360</v>
      </c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>
        <f>IF(F41=1,V41*2,IF(F41=2,V41*F41*2,IF(F41&gt;2,F41*2*V41)))</f>
        <v/>
      </c>
      <c r="AW41" s="2">
        <f>SUM(W41:AU41)</f>
        <v/>
      </c>
    </row>
    <row r="42">
      <c r="A42" s="2" t="inlineStr">
        <is>
          <t>14-C-555</t>
        </is>
      </c>
      <c r="B42" s="3" t="inlineStr">
        <is>
          <t>Optical Cable Parts,LC/PC-LC/PC-Single mode-25m-2Core</t>
        </is>
      </c>
      <c r="C42" s="2" t="inlineStr">
        <is>
          <t>657A2 , LSZH , LC DUPLEX KIT(CLIP), 0MM/ 300MM</t>
        </is>
      </c>
      <c r="D42" s="2" t="inlineStr">
        <is>
          <t>a2</t>
        </is>
      </c>
      <c r="E42" s="2" t="inlineStr">
        <is>
          <t>2.0mm</t>
        </is>
      </c>
      <c r="F42" s="2" t="n">
        <v>2</v>
      </c>
      <c r="G42" s="2" t="n">
        <v>25</v>
      </c>
      <c r="H42" s="2" t="inlineStr">
        <is>
          <t>LC/PC</t>
        </is>
      </c>
      <c r="I42" s="2" t="inlineStr">
        <is>
          <t>LC/PC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30</v>
      </c>
      <c r="U42" s="2" t="n"/>
      <c r="V42" s="2">
        <f>SUM(J42:U42)</f>
        <v/>
      </c>
      <c r="W42" s="2" t="n">
        <v>60</v>
      </c>
      <c r="X42" s="2" t="n">
        <v>60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>
        <f>IF(F42=1,V42*2,IF(F42=2,V42*F42*2,IF(F42&gt;2,F42*2*V42)))</f>
        <v/>
      </c>
      <c r="AW42" s="2">
        <f>SUM(W42:AU42)</f>
        <v/>
      </c>
    </row>
    <row r="43">
      <c r="A43" s="2" t="inlineStr">
        <is>
          <t>14-C-556</t>
        </is>
      </c>
      <c r="B43" s="3" t="inlineStr">
        <is>
          <t>Optical Cable Parts,LC/PC-LC/PC-Single mode-30m-2Core</t>
        </is>
      </c>
      <c r="C43" s="2" t="inlineStr">
        <is>
          <t>657A2 , LSZH , LC DUPLEX KIT(CLIP), 0MM/ 300MM</t>
        </is>
      </c>
      <c r="D43" s="2" t="inlineStr">
        <is>
          <t>a2</t>
        </is>
      </c>
      <c r="E43" s="2" t="inlineStr">
        <is>
          <t>2.0mm</t>
        </is>
      </c>
      <c r="F43" s="2" t="n">
        <v>2</v>
      </c>
      <c r="G43" s="2" t="n">
        <v>30</v>
      </c>
      <c r="H43" s="2" t="inlineStr">
        <is>
          <t>LC/PC</t>
        </is>
      </c>
      <c r="I43" s="2" t="inlineStr">
        <is>
          <t>LC/PC</t>
        </is>
      </c>
      <c r="J43" s="2" t="n"/>
      <c r="K43" s="2" t="n"/>
      <c r="L43" s="2" t="n"/>
      <c r="M43" s="2" t="n"/>
      <c r="N43" s="2" t="n">
        <v>30</v>
      </c>
      <c r="O43" s="2" t="n"/>
      <c r="P43" s="2" t="n"/>
      <c r="Q43" s="2" t="n"/>
      <c r="R43" s="2" t="n"/>
      <c r="S43" s="2" t="n"/>
      <c r="T43" s="2" t="n">
        <v>30</v>
      </c>
      <c r="U43" s="2" t="n"/>
      <c r="V43" s="2">
        <f>SUM(J43:U43)</f>
        <v/>
      </c>
      <c r="W43" s="2" t="n">
        <v>120</v>
      </c>
      <c r="X43" s="2" t="n">
        <v>120</v>
      </c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>
        <f>IF(F43=1,V43*2,IF(F43=2,V43*F43*2,IF(F43&gt;2,F43*2*V43)))</f>
        <v/>
      </c>
      <c r="AW43" s="2">
        <f>SUM(W43:AU43)</f>
        <v/>
      </c>
    </row>
    <row r="44">
      <c r="A44" s="2" t="inlineStr">
        <is>
          <t>14-C-557</t>
        </is>
      </c>
      <c r="B44" s="3" t="inlineStr">
        <is>
          <t>Optical Cable Parts,LC/PC-LC/PC-Single mode-35m-2Core</t>
        </is>
      </c>
      <c r="C44" s="2" t="inlineStr">
        <is>
          <t>657A2 , LSZH , LC DUPLEX KIT(CLIP), 0MM/ 300MM</t>
        </is>
      </c>
      <c r="D44" s="2" t="inlineStr">
        <is>
          <t>a2</t>
        </is>
      </c>
      <c r="E44" s="2" t="inlineStr">
        <is>
          <t>2.0mm</t>
        </is>
      </c>
      <c r="F44" s="2" t="n">
        <v>2</v>
      </c>
      <c r="G44" s="2" t="n">
        <v>35</v>
      </c>
      <c r="H44" s="2" t="inlineStr">
        <is>
          <t>LC/PC</t>
        </is>
      </c>
      <c r="I44" s="2" t="inlineStr">
        <is>
          <t>LC/PC</t>
        </is>
      </c>
      <c r="J44" s="2" t="n"/>
      <c r="K44" s="2" t="n"/>
      <c r="L44" s="2" t="n"/>
      <c r="M44" s="2" t="n"/>
      <c r="N44" s="2" t="n">
        <v>20</v>
      </c>
      <c r="O44" s="2" t="n"/>
      <c r="P44" s="2" t="n"/>
      <c r="Q44" s="2" t="n"/>
      <c r="R44" s="2" t="n"/>
      <c r="S44" s="2" t="n"/>
      <c r="T44" s="2" t="n">
        <v>20</v>
      </c>
      <c r="U44" s="2" t="n"/>
      <c r="V44" s="2">
        <f>SUM(J44:U44)</f>
        <v/>
      </c>
      <c r="W44" s="2" t="n">
        <v>80</v>
      </c>
      <c r="X44" s="2" t="n">
        <v>80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>
        <f>IF(F44=1,V44*2,IF(F44=2,V44*F44*2,IF(F44&gt;2,F44*2*V44)))</f>
        <v/>
      </c>
      <c r="AW44" s="2">
        <f>SUM(W44:AU44)</f>
        <v/>
      </c>
    </row>
    <row r="45">
      <c r="A45" s="2" t="inlineStr">
        <is>
          <t>14-C-568</t>
        </is>
      </c>
      <c r="B45" s="3" t="inlineStr">
        <is>
          <t>DROP-CABLE(SC/PC)-2C</t>
        </is>
      </c>
      <c r="C45" s="2" t="inlineStr">
        <is>
          <t>20M</t>
        </is>
      </c>
      <c r="D45" s="2" t="inlineStr">
        <is>
          <t>drop</t>
        </is>
      </c>
      <c r="E45" s="2" t="inlineStr">
        <is>
          <t>3.0mm</t>
        </is>
      </c>
      <c r="F45" s="2" t="n">
        <v>2</v>
      </c>
      <c r="G45" s="2" t="n">
        <v>20</v>
      </c>
      <c r="H45" s="2" t="inlineStr">
        <is>
          <t>SC/PC</t>
        </is>
      </c>
      <c r="I45" s="2" t="inlineStr">
        <is>
          <t>SC/PC</t>
        </is>
      </c>
      <c r="J45" s="2" t="n"/>
      <c r="K45" s="2" t="n"/>
      <c r="L45" s="2" t="n"/>
      <c r="M45" s="2" t="n"/>
      <c r="N45" s="2" t="n"/>
      <c r="O45" s="2" t="n"/>
      <c r="P45" s="2" t="n">
        <v>20</v>
      </c>
      <c r="Q45" s="2" t="n"/>
      <c r="R45" s="2" t="n"/>
      <c r="S45" s="2" t="n"/>
      <c r="T45" s="2" t="n"/>
      <c r="U45" s="2" t="n"/>
      <c r="V45" s="2">
        <f>SUM(J45:U45)</f>
        <v/>
      </c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>
        <v>40</v>
      </c>
      <c r="AO45" s="2" t="n">
        <v>40</v>
      </c>
      <c r="AP45" s="2" t="n"/>
      <c r="AQ45" s="2" t="n"/>
      <c r="AR45" s="2" t="n"/>
      <c r="AS45" s="2" t="n"/>
      <c r="AT45" s="2" t="n"/>
      <c r="AU45" s="2" t="n"/>
      <c r="AV45" s="2">
        <f>IF(F45=1,V45*2,IF(F45=2,V45*F45*2,IF(F45&gt;2,F45*2*V45)))</f>
        <v/>
      </c>
      <c r="AW45" s="2">
        <f>SUM(W45:AU45)</f>
        <v/>
      </c>
    </row>
    <row r="46">
      <c r="A46" s="2" t="inlineStr">
        <is>
          <t>14-C-583</t>
        </is>
      </c>
      <c r="B46" s="3" t="inlineStr">
        <is>
          <t>DROP-CABLE(LC/PC)-2C</t>
        </is>
      </c>
      <c r="C46" s="2" t="inlineStr">
        <is>
          <t>15m</t>
        </is>
      </c>
      <c r="D46" s="2" t="inlineStr">
        <is>
          <t>drop</t>
        </is>
      </c>
      <c r="E46" s="2" t="inlineStr">
        <is>
          <t>3.0mm</t>
        </is>
      </c>
      <c r="F46" s="2" t="n">
        <v>2</v>
      </c>
      <c r="G46" s="2" t="n">
        <v>15</v>
      </c>
      <c r="H46" s="2" t="inlineStr">
        <is>
          <t>LC/PC</t>
        </is>
      </c>
      <c r="I46" s="2" t="inlineStr">
        <is>
          <t>LC/PC</t>
        </is>
      </c>
      <c r="J46" s="2" t="n"/>
      <c r="K46" s="2" t="n"/>
      <c r="L46" s="2" t="n"/>
      <c r="M46" s="2" t="n"/>
      <c r="N46" s="2" t="n">
        <v>30</v>
      </c>
      <c r="O46" s="2" t="n"/>
      <c r="P46" s="2" t="n">
        <v>20</v>
      </c>
      <c r="Q46" s="2" t="n"/>
      <c r="R46" s="2" t="n">
        <v>10</v>
      </c>
      <c r="S46" s="2" t="n"/>
      <c r="T46" s="2" t="n"/>
      <c r="U46" s="2" t="n"/>
      <c r="V46" s="2">
        <f>SUM(J46:U46)</f>
        <v/>
      </c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>
        <v>120</v>
      </c>
      <c r="AK46" s="2" t="n">
        <v>120</v>
      </c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>
        <f>IF(F46=1,V46*2,IF(F46=2,V46*F46*2,IF(F46&gt;2,F46*2*V46)))</f>
        <v/>
      </c>
      <c r="AW46" s="2">
        <f>SUM(W46:AU46)</f>
        <v/>
      </c>
    </row>
    <row r="47">
      <c r="A47" s="2" t="inlineStr">
        <is>
          <t>14-C-584</t>
        </is>
      </c>
      <c r="B47" s="3" t="inlineStr">
        <is>
          <t>Optical Cable Parts,LC/PC-LC/PC-Single mode-5m-1Core</t>
        </is>
      </c>
      <c r="C47" s="2" t="inlineStr">
        <is>
          <t>657A2 , LSZH</t>
        </is>
      </c>
      <c r="D47" s="2" t="inlineStr">
        <is>
          <t>a2</t>
        </is>
      </c>
      <c r="E47" s="2" t="inlineStr">
        <is>
          <t>2.0mm</t>
        </is>
      </c>
      <c r="F47" s="2" t="n">
        <v>1</v>
      </c>
      <c r="G47" s="2" t="n">
        <v>5</v>
      </c>
      <c r="H47" s="2" t="inlineStr">
        <is>
          <t>LC/PC</t>
        </is>
      </c>
      <c r="I47" s="2" t="inlineStr">
        <is>
          <t>LC/PC</t>
        </is>
      </c>
      <c r="J47" s="2" t="n"/>
      <c r="K47" s="2" t="n"/>
      <c r="L47" s="2" t="n"/>
      <c r="M47" s="2" t="n"/>
      <c r="N47" s="2" t="n"/>
      <c r="O47" s="2" t="n"/>
      <c r="P47" s="2" t="n"/>
      <c r="Q47" s="2" t="n">
        <v>50</v>
      </c>
      <c r="R47" s="2" t="n"/>
      <c r="S47" s="2" t="n"/>
      <c r="T47" s="2" t="n"/>
      <c r="U47" s="2" t="n"/>
      <c r="V47" s="2">
        <f>SUM(J47:U47)</f>
        <v/>
      </c>
      <c r="W47" s="2" t="n">
        <v>100</v>
      </c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>
        <f>IF(F47=1,V47*2,IF(F47=2,V47*F47*2,IF(F47&gt;2,F47*2*V47)))</f>
        <v/>
      </c>
      <c r="AW47" s="2">
        <f>SUM(W47:AU47)</f>
        <v/>
      </c>
    </row>
    <row r="48">
      <c r="A48" s="2" t="inlineStr">
        <is>
          <t>14-C-600</t>
        </is>
      </c>
      <c r="B48" s="3" t="inlineStr">
        <is>
          <t>DROP-CABLE(LC/PC)-2C</t>
        </is>
      </c>
      <c r="C48" s="2" t="inlineStr">
        <is>
          <t>20M</t>
        </is>
      </c>
      <c r="D48" s="2" t="inlineStr">
        <is>
          <t>drop</t>
        </is>
      </c>
      <c r="E48" s="2" t="inlineStr">
        <is>
          <t>3.0mm</t>
        </is>
      </c>
      <c r="F48" s="2" t="n">
        <v>2</v>
      </c>
      <c r="G48" s="2" t="n">
        <v>20</v>
      </c>
      <c r="H48" s="2" t="inlineStr">
        <is>
          <t>LC/PC</t>
        </is>
      </c>
      <c r="I48" s="2" t="inlineStr">
        <is>
          <t>LC/PC</t>
        </is>
      </c>
      <c r="J48" s="2" t="n">
        <v>20</v>
      </c>
      <c r="K48" s="2" t="n">
        <v>25</v>
      </c>
      <c r="L48" s="2" t="n"/>
      <c r="M48" s="2" t="n"/>
      <c r="N48" s="2" t="n">
        <v>20</v>
      </c>
      <c r="O48" s="2" t="n"/>
      <c r="P48" s="2" t="n">
        <v>22</v>
      </c>
      <c r="Q48" s="2" t="n"/>
      <c r="R48" s="2" t="n">
        <v>20</v>
      </c>
      <c r="S48" s="2" t="n"/>
      <c r="T48" s="2" t="n"/>
      <c r="U48" s="2" t="n"/>
      <c r="V48" s="2">
        <f>SUM(J48:U48)</f>
        <v/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>
        <v>214</v>
      </c>
      <c r="AK48" s="2" t="n">
        <v>214</v>
      </c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>
        <f>IF(F48=1,V48*2,IF(F48=2,V48*F48*2,IF(F48&gt;2,F48*2*V48)))</f>
        <v/>
      </c>
      <c r="AW48" s="2">
        <f>SUM(W48:AU48)</f>
        <v/>
      </c>
    </row>
    <row r="49">
      <c r="A49" s="2" t="inlineStr">
        <is>
          <t>14-C-601</t>
        </is>
      </c>
      <c r="B49" s="3" t="inlineStr">
        <is>
          <t>Optical Cable Parts,LC/PC-LC/PC-Single mode-10m-1Core</t>
        </is>
      </c>
      <c r="C49" s="2" t="inlineStr">
        <is>
          <t>657A2 , LSZH , LC DUPLEX KIT(CLIP), 0MM/ 300MM</t>
        </is>
      </c>
      <c r="D49" s="2" t="inlineStr">
        <is>
          <t>a2</t>
        </is>
      </c>
      <c r="E49" s="2" t="inlineStr">
        <is>
          <t>2.0mm</t>
        </is>
      </c>
      <c r="F49" s="2" t="n">
        <v>1</v>
      </c>
      <c r="G49" s="2" t="n">
        <v>10</v>
      </c>
      <c r="H49" s="2" t="inlineStr">
        <is>
          <t>LC/PC</t>
        </is>
      </c>
      <c r="I49" s="2" t="inlineStr">
        <is>
          <t>LC/PC</t>
        </is>
      </c>
      <c r="J49" s="2" t="n"/>
      <c r="K49" s="2" t="n"/>
      <c r="L49" s="2" t="n"/>
      <c r="M49" s="2" t="n"/>
      <c r="N49" s="2" t="n"/>
      <c r="O49" s="2" t="n"/>
      <c r="P49" s="2" t="n"/>
      <c r="Q49" s="2" t="n">
        <v>50</v>
      </c>
      <c r="R49" s="2" t="n"/>
      <c r="S49" s="2" t="n"/>
      <c r="T49" s="2" t="n"/>
      <c r="U49" s="2" t="n"/>
      <c r="V49" s="2">
        <f>SUM(J49:U49)</f>
        <v/>
      </c>
      <c r="W49" s="2" t="n">
        <v>100</v>
      </c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>
        <f>IF(F49=1,V49*2,IF(F49=2,V49*F49*2,IF(F49&gt;2,F49*2*V49)))</f>
        <v/>
      </c>
      <c r="AW49" s="2">
        <f>SUM(W49:AU49)</f>
        <v/>
      </c>
    </row>
    <row r="50">
      <c r="A50" s="2" t="inlineStr">
        <is>
          <t>14-C-609</t>
        </is>
      </c>
      <c r="B50" s="3" t="inlineStr">
        <is>
          <t>DROP-CABLE(LC/PC)-2C</t>
        </is>
      </c>
      <c r="C50" s="2" t="inlineStr">
        <is>
          <t>200M</t>
        </is>
      </c>
      <c r="D50" s="2" t="inlineStr">
        <is>
          <t>drop</t>
        </is>
      </c>
      <c r="E50" s="2" t="inlineStr">
        <is>
          <t>3.0mm</t>
        </is>
      </c>
      <c r="F50" s="2" t="n">
        <v>2</v>
      </c>
      <c r="G50" s="2" t="n">
        <v>200</v>
      </c>
      <c r="H50" s="2" t="inlineStr">
        <is>
          <t>LC/PC</t>
        </is>
      </c>
      <c r="I50" s="2" t="inlineStr">
        <is>
          <t>LC/PC</t>
        </is>
      </c>
      <c r="J50" s="2" t="n"/>
      <c r="K50" s="2" t="n"/>
      <c r="L50" s="2" t="n"/>
      <c r="M50" s="2" t="n"/>
      <c r="N50" s="2" t="n"/>
      <c r="O50" s="2" t="n"/>
      <c r="P50" s="2" t="n">
        <v>2</v>
      </c>
      <c r="Q50" s="2" t="n"/>
      <c r="R50" s="2" t="n"/>
      <c r="S50" s="2" t="n"/>
      <c r="T50" s="2" t="n"/>
      <c r="U50" s="2" t="n"/>
      <c r="V50" s="2">
        <f>SUM(J50:U50)</f>
        <v/>
      </c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>
        <v>4</v>
      </c>
      <c r="AK50" s="2" t="n">
        <v>4</v>
      </c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>
        <f>IF(F50=1,V50*2,IF(F50=2,V50*F50*2,IF(F50&gt;2,F50*2*V50)))</f>
        <v/>
      </c>
      <c r="AW50" s="2">
        <f>SUM(W50:AU50)</f>
        <v/>
      </c>
    </row>
    <row r="51">
      <c r="A51" s="2" t="inlineStr">
        <is>
          <t>14-C-627</t>
        </is>
      </c>
      <c r="B51" s="3" t="inlineStr">
        <is>
          <t>DROP-CABLE(LC/PC-SC/PC)-2C</t>
        </is>
      </c>
      <c r="C51" s="2" t="inlineStr">
        <is>
          <t>100M</t>
        </is>
      </c>
      <c r="D51" s="2" t="inlineStr">
        <is>
          <t>drop</t>
        </is>
      </c>
      <c r="E51" s="2" t="inlineStr">
        <is>
          <t>3.0mm</t>
        </is>
      </c>
      <c r="F51" s="2" t="n">
        <v>2</v>
      </c>
      <c r="G51" s="2" t="n">
        <v>100</v>
      </c>
      <c r="H51" s="2" t="inlineStr">
        <is>
          <t>LC/PC</t>
        </is>
      </c>
      <c r="I51" s="2" t="inlineStr">
        <is>
          <t>SC/PC</t>
        </is>
      </c>
      <c r="J51" s="2" t="n"/>
      <c r="K51" s="2" t="n">
        <v>1</v>
      </c>
      <c r="L51" s="2" t="n"/>
      <c r="M51" s="2" t="n"/>
      <c r="N51" s="2" t="n"/>
      <c r="O51" s="2" t="n"/>
      <c r="P51" s="2" t="n"/>
      <c r="Q51" s="2" t="n"/>
      <c r="R51" s="2" t="n">
        <v>1</v>
      </c>
      <c r="S51" s="2" t="n"/>
      <c r="T51" s="2" t="n"/>
      <c r="U51" s="2" t="n"/>
      <c r="V51" s="2">
        <f>SUM(J51:U51)</f>
        <v/>
      </c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>
        <v>4</v>
      </c>
      <c r="AK51" s="2" t="n"/>
      <c r="AL51" s="2" t="n"/>
      <c r="AM51" s="2" t="n"/>
      <c r="AN51" s="2" t="n"/>
      <c r="AO51" s="2" t="n">
        <v>4</v>
      </c>
      <c r="AP51" s="2" t="n"/>
      <c r="AQ51" s="2" t="n"/>
      <c r="AR51" s="2" t="n"/>
      <c r="AS51" s="2" t="n"/>
      <c r="AT51" s="2" t="n"/>
      <c r="AU51" s="2" t="n"/>
      <c r="AV51" s="2">
        <f>IF(F51=1,V51*2,IF(F51=2,V51*F51*2,IF(F51&gt;2,F51*2*V51)))</f>
        <v/>
      </c>
      <c r="AW51" s="2">
        <f>SUM(W51:AU51)</f>
        <v/>
      </c>
    </row>
    <row r="52">
      <c r="A52" s="2" t="inlineStr">
        <is>
          <t>14-C-631</t>
        </is>
      </c>
      <c r="B52" s="3" t="inlineStr">
        <is>
          <t>Optical Cable Parts,LC/PC-LC/PC-Single mode-5m-2Core</t>
        </is>
      </c>
      <c r="C52" s="2" t="inlineStr">
        <is>
          <t>657A2 , LSZH , LC DUPLEX KIT(CLIP), 300MM/ 300MM</t>
        </is>
      </c>
      <c r="D52" s="2" t="inlineStr">
        <is>
          <t>a2</t>
        </is>
      </c>
      <c r="E52" s="2" t="inlineStr">
        <is>
          <t>2.0mm</t>
        </is>
      </c>
      <c r="F52" s="2" t="n">
        <v>2</v>
      </c>
      <c r="G52" s="2" t="n">
        <v>5</v>
      </c>
      <c r="H52" s="2" t="inlineStr">
        <is>
          <t>LC/PC</t>
        </is>
      </c>
      <c r="I52" s="2" t="inlineStr">
        <is>
          <t>LC/PC</t>
        </is>
      </c>
      <c r="J52" s="2" t="n"/>
      <c r="K52" s="2" t="n"/>
      <c r="L52" s="2" t="n"/>
      <c r="M52" s="2" t="n"/>
      <c r="N52" s="2" t="n"/>
      <c r="O52" s="2" t="n">
        <v>50</v>
      </c>
      <c r="P52" s="2" t="n"/>
      <c r="Q52" s="2" t="n"/>
      <c r="R52" s="2" t="n"/>
      <c r="S52" s="2" t="n"/>
      <c r="T52" s="2" t="n"/>
      <c r="U52" s="2" t="n">
        <v>100</v>
      </c>
      <c r="V52" s="2">
        <f>SUM(J52:U52)</f>
        <v/>
      </c>
      <c r="W52" s="2" t="n">
        <v>300</v>
      </c>
      <c r="X52" s="2" t="n">
        <v>300</v>
      </c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>
        <f>IF(F52=1,V52*2,IF(F52=2,V52*F52*2,IF(F52&gt;2,F52*2*V52)))</f>
        <v/>
      </c>
      <c r="AW52" s="2">
        <f>SUM(W52:AU52)</f>
        <v/>
      </c>
    </row>
    <row r="53">
      <c r="A53" s="2" t="inlineStr">
        <is>
          <t>14-C-658</t>
        </is>
      </c>
      <c r="B53" s="3" t="inlineStr">
        <is>
          <t>Optical Cable Parts,LC/PC-LC/PC-Single mode-5m-2Core</t>
        </is>
      </c>
      <c r="C53" s="2" t="inlineStr">
        <is>
          <t>657A2 , LSZH , LC DUPLEX KIT(CLIP), 0MM/ 300MM</t>
        </is>
      </c>
      <c r="D53" s="2" t="inlineStr">
        <is>
          <t>a2</t>
        </is>
      </c>
      <c r="E53" s="2" t="inlineStr">
        <is>
          <t>2.0mm</t>
        </is>
      </c>
      <c r="F53" s="2" t="n">
        <v>2</v>
      </c>
      <c r="G53" s="2" t="n">
        <v>5</v>
      </c>
      <c r="H53" s="2" t="inlineStr">
        <is>
          <t>LC/PC</t>
        </is>
      </c>
      <c r="I53" s="2" t="inlineStr">
        <is>
          <t>LC/PC</t>
        </is>
      </c>
      <c r="J53" s="2" t="n">
        <v>50</v>
      </c>
      <c r="K53" s="2" t="n"/>
      <c r="L53" s="2" t="n"/>
      <c r="M53" s="2" t="n"/>
      <c r="N53" s="2" t="n"/>
      <c r="O53" s="2" t="n"/>
      <c r="P53" s="2" t="n">
        <v>50</v>
      </c>
      <c r="Q53" s="2" t="n"/>
      <c r="R53" s="2" t="n"/>
      <c r="S53" s="2" t="n"/>
      <c r="T53" s="2" t="n"/>
      <c r="U53" s="2" t="n"/>
      <c r="V53" s="2">
        <f>SUM(J53:U53)</f>
        <v/>
      </c>
      <c r="W53" s="2" t="n">
        <v>200</v>
      </c>
      <c r="X53" s="2" t="n">
        <v>200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>
        <f>IF(F53=1,V53*2,IF(F53=2,V53*F53*2,IF(F53&gt;2,F53*2*V53)))</f>
        <v/>
      </c>
      <c r="AW53" s="2">
        <f>SUM(W53:AU53)</f>
        <v/>
      </c>
    </row>
    <row r="54">
      <c r="A54" s="2" t="inlineStr">
        <is>
          <t>14-C-660</t>
        </is>
      </c>
      <c r="B54" s="3" t="inlineStr">
        <is>
          <t>DROP-CABLE(LC/PC)-2C</t>
        </is>
      </c>
      <c r="C54" s="2" t="inlineStr">
        <is>
          <t>50M</t>
        </is>
      </c>
      <c r="D54" s="2" t="inlineStr">
        <is>
          <t>drop</t>
        </is>
      </c>
      <c r="E54" s="2" t="inlineStr">
        <is>
          <t>3.0mm</t>
        </is>
      </c>
      <c r="F54" s="2" t="n">
        <v>2</v>
      </c>
      <c r="G54" s="2" t="n">
        <v>50</v>
      </c>
      <c r="H54" s="2" t="inlineStr">
        <is>
          <t>LC/PC</t>
        </is>
      </c>
      <c r="I54" s="2" t="inlineStr">
        <is>
          <t>LC/PC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>
        <v>10</v>
      </c>
      <c r="T54" s="2" t="n">
        <v>10</v>
      </c>
      <c r="U54" s="2" t="n"/>
      <c r="V54" s="2">
        <f>SUM(J54:U54)</f>
        <v/>
      </c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>
        <v>40</v>
      </c>
      <c r="AK54" s="2" t="n">
        <v>40</v>
      </c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>
        <f>IF(F54=1,V54*2,IF(F54=2,V54*F54*2,IF(F54&gt;2,F54*2*V54)))</f>
        <v/>
      </c>
      <c r="AW54" s="2">
        <f>SUM(W54:AU54)</f>
        <v/>
      </c>
    </row>
    <row r="55">
      <c r="A55" s="2" t="inlineStr">
        <is>
          <t>14-C-675</t>
        </is>
      </c>
      <c r="B55" s="3" t="inlineStr">
        <is>
          <t>DROP-CABLE(SC/PC)-2C</t>
        </is>
      </c>
      <c r="C55" s="2" t="inlineStr">
        <is>
          <t>30M</t>
        </is>
      </c>
      <c r="D55" s="2" t="inlineStr">
        <is>
          <t>drop</t>
        </is>
      </c>
      <c r="E55" s="2" t="inlineStr">
        <is>
          <t>3.0mm</t>
        </is>
      </c>
      <c r="F55" s="2" t="n">
        <v>2</v>
      </c>
      <c r="G55" s="2" t="n">
        <v>30</v>
      </c>
      <c r="H55" s="2" t="inlineStr">
        <is>
          <t>SC/PC</t>
        </is>
      </c>
      <c r="I55" s="2" t="inlineStr">
        <is>
          <t>SC/PC</t>
        </is>
      </c>
      <c r="J55" s="2" t="n"/>
      <c r="K55" s="2" t="n"/>
      <c r="L55" s="2" t="n"/>
      <c r="M55" s="2" t="n"/>
      <c r="N55" s="2" t="n"/>
      <c r="O55" s="2" t="n"/>
      <c r="P55" s="2" t="n">
        <v>10</v>
      </c>
      <c r="Q55" s="2" t="n">
        <v>20</v>
      </c>
      <c r="R55" s="2" t="n"/>
      <c r="S55" s="2" t="n"/>
      <c r="T55" s="2" t="n"/>
      <c r="U55" s="2" t="n"/>
      <c r="V55" s="2">
        <f>SUM(J55:U55)</f>
        <v/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>
        <v>60</v>
      </c>
      <c r="AO55" s="2" t="n">
        <v>60</v>
      </c>
      <c r="AP55" s="2" t="n"/>
      <c r="AQ55" s="2" t="n"/>
      <c r="AR55" s="2" t="n"/>
      <c r="AS55" s="2" t="n"/>
      <c r="AT55" s="2" t="n"/>
      <c r="AU55" s="2" t="n"/>
      <c r="AV55" s="2">
        <f>IF(F55=1,V55*2,IF(F55=2,V55*F55*2,IF(F55&gt;2,F55*2*V55)))</f>
        <v/>
      </c>
      <c r="AW55" s="2">
        <f>SUM(W55:AU55)</f>
        <v/>
      </c>
    </row>
    <row r="56">
      <c r="A56" s="2" t="inlineStr">
        <is>
          <t>14-C-676</t>
        </is>
      </c>
      <c r="B56" s="3" t="inlineStr">
        <is>
          <t>Optical Cable Parts,LC/PC-LC/PC-Single mode-10m-2Core</t>
        </is>
      </c>
      <c r="C56" s="2" t="inlineStr">
        <is>
          <t>657A2 , LSZH , LC DUPLEX KIT(CLIP), 300MM/ 300MM</t>
        </is>
      </c>
      <c r="D56" s="2" t="inlineStr">
        <is>
          <t>a2</t>
        </is>
      </c>
      <c r="E56" s="2" t="inlineStr">
        <is>
          <t>2.0mm</t>
        </is>
      </c>
      <c r="F56" s="2" t="n">
        <v>2</v>
      </c>
      <c r="G56" s="2" t="n">
        <v>10</v>
      </c>
      <c r="H56" s="2" t="inlineStr">
        <is>
          <t>LC/PC</t>
        </is>
      </c>
      <c r="I56" s="2" t="inlineStr">
        <is>
          <t>LC/PC</t>
        </is>
      </c>
      <c r="J56" s="2" t="n"/>
      <c r="K56" s="2" t="n"/>
      <c r="L56" s="2" t="n"/>
      <c r="M56" s="2" t="n"/>
      <c r="N56" s="2" t="n"/>
      <c r="O56" s="2" t="n">
        <v>100</v>
      </c>
      <c r="P56" s="2" t="n"/>
      <c r="Q56" s="2" t="n"/>
      <c r="R56" s="2" t="n"/>
      <c r="S56" s="2" t="n"/>
      <c r="T56" s="2" t="n"/>
      <c r="U56" s="2" t="n">
        <v>100</v>
      </c>
      <c r="V56" s="2">
        <f>SUM(J56:U56)</f>
        <v/>
      </c>
      <c r="W56" s="2" t="n">
        <v>400</v>
      </c>
      <c r="X56" s="2" t="n">
        <v>400</v>
      </c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>
        <f>IF(F56=1,V56*2,IF(F56=2,V56*F56*2,IF(F56&gt;2,F56*2*V56)))</f>
        <v/>
      </c>
      <c r="AW56" s="2">
        <f>SUM(W56:AU56)</f>
        <v/>
      </c>
    </row>
    <row r="57">
      <c r="A57" s="2" t="inlineStr">
        <is>
          <t>14-C-678</t>
        </is>
      </c>
      <c r="B57" s="3" t="inlineStr">
        <is>
          <t>Optical Cable Parts,SC/PC-LC/PC-Single mode-3m-1Core</t>
        </is>
      </c>
      <c r="C57" s="2" t="inlineStr">
        <is>
          <t>657A2 , LSZH, 95MM/ 500MM</t>
        </is>
      </c>
      <c r="D57" s="2" t="inlineStr">
        <is>
          <t>a2</t>
        </is>
      </c>
      <c r="E57" s="2" t="inlineStr">
        <is>
          <t>2.0mm</t>
        </is>
      </c>
      <c r="F57" s="2" t="n">
        <v>1</v>
      </c>
      <c r="G57" s="2" t="n">
        <v>3</v>
      </c>
      <c r="H57" s="2" t="inlineStr">
        <is>
          <t>SC/PC</t>
        </is>
      </c>
      <c r="I57" s="2" t="inlineStr">
        <is>
          <t>LC/PC</t>
        </is>
      </c>
      <c r="J57" s="2" t="n">
        <v>10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>
        <f>SUM(J57:U57)</f>
        <v/>
      </c>
      <c r="W57" s="2" t="n">
        <v>10</v>
      </c>
      <c r="X57" s="2" t="n"/>
      <c r="Y57" s="2" t="n"/>
      <c r="Z57" s="2" t="n"/>
      <c r="AA57" s="2" t="n">
        <v>10</v>
      </c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>
        <f>IF(F57=1,V57*2,IF(F57=2,V57*F57*2,IF(F57&gt;2,F57*2*V57)))</f>
        <v/>
      </c>
      <c r="AW57" s="2">
        <f>SUM(W57:AU57)</f>
        <v/>
      </c>
    </row>
    <row r="58">
      <c r="A58" s="2" t="inlineStr">
        <is>
          <t>14-C-687</t>
        </is>
      </c>
      <c r="B58" s="3" t="inlineStr">
        <is>
          <t>DROP-CABLE(LC/PC)-2C</t>
        </is>
      </c>
      <c r="C58" s="2" t="inlineStr">
        <is>
          <t>80M</t>
        </is>
      </c>
      <c r="D58" s="2" t="inlineStr">
        <is>
          <t>drop</t>
        </is>
      </c>
      <c r="E58" s="2" t="inlineStr">
        <is>
          <t>3.0mm</t>
        </is>
      </c>
      <c r="F58" s="2" t="n">
        <v>2</v>
      </c>
      <c r="G58" s="2" t="n">
        <v>80</v>
      </c>
      <c r="H58" s="2" t="inlineStr">
        <is>
          <t>LC/PC</t>
        </is>
      </c>
      <c r="I58" s="2" t="inlineStr">
        <is>
          <t>LC/PC</t>
        </is>
      </c>
      <c r="J58" s="2" t="n"/>
      <c r="K58" s="2" t="n"/>
      <c r="L58" s="2" t="n">
        <v>2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>
        <f>SUM(J58:U58)</f>
        <v/>
      </c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>
        <v>4</v>
      </c>
      <c r="AK58" s="2" t="n">
        <v>4</v>
      </c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>
        <f>IF(F58=1,V58*2,IF(F58=2,V58*F58*2,IF(F58&gt;2,F58*2*V58)))</f>
        <v/>
      </c>
      <c r="AW58" s="2">
        <f>SUM(W58:AU58)</f>
        <v/>
      </c>
    </row>
    <row r="59">
      <c r="A59" s="2" t="inlineStr">
        <is>
          <t>14-C-688</t>
        </is>
      </c>
      <c r="B59" s="3" t="inlineStr">
        <is>
          <t>DROP-CABLE(LC/PC)-2C</t>
        </is>
      </c>
      <c r="C59" s="2" t="inlineStr">
        <is>
          <t>120M</t>
        </is>
      </c>
      <c r="D59" s="2" t="inlineStr">
        <is>
          <t>drop</t>
        </is>
      </c>
      <c r="E59" s="2" t="inlineStr">
        <is>
          <t>3.0mm</t>
        </is>
      </c>
      <c r="F59" s="2" t="n">
        <v>2</v>
      </c>
      <c r="G59" s="2" t="n">
        <v>120</v>
      </c>
      <c r="H59" s="2" t="inlineStr">
        <is>
          <t>LC/PC</t>
        </is>
      </c>
      <c r="I59" s="2" t="inlineStr">
        <is>
          <t>LC/PC</t>
        </is>
      </c>
      <c r="J59" s="2" t="n"/>
      <c r="K59" s="2" t="n"/>
      <c r="L59" s="2" t="n"/>
      <c r="M59" s="2" t="n"/>
      <c r="N59" s="2" t="n">
        <v>2</v>
      </c>
      <c r="O59" s="2" t="n"/>
      <c r="P59" s="2" t="n"/>
      <c r="Q59" s="2" t="n"/>
      <c r="R59" s="2" t="n"/>
      <c r="S59" s="2" t="n"/>
      <c r="T59" s="2" t="n"/>
      <c r="U59" s="2" t="n"/>
      <c r="V59" s="2">
        <f>SUM(J59:U59)</f>
        <v/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>
        <v>4</v>
      </c>
      <c r="AK59" s="2" t="n">
        <v>4</v>
      </c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>
        <f>IF(F59=1,V59*2,IF(F59=2,V59*F59*2,IF(F59&gt;2,F59*2*V59)))</f>
        <v/>
      </c>
      <c r="AW59" s="2">
        <f>SUM(W59:AU59)</f>
        <v/>
      </c>
    </row>
    <row r="60">
      <c r="A60" s="2" t="inlineStr">
        <is>
          <t>14-C-690</t>
        </is>
      </c>
      <c r="B60" s="3" t="inlineStr">
        <is>
          <t>DROP-CABLE(SC/APC-SC/APC)</t>
        </is>
      </c>
      <c r="C60" s="2" t="inlineStr">
        <is>
          <t>25M</t>
        </is>
      </c>
      <c r="D60" s="2" t="inlineStr">
        <is>
          <t>drop</t>
        </is>
      </c>
      <c r="E60" s="2" t="inlineStr">
        <is>
          <t>3.0mm</t>
        </is>
      </c>
      <c r="F60" s="2" t="n">
        <v>1</v>
      </c>
      <c r="G60" s="2" t="n">
        <v>25</v>
      </c>
      <c r="H60" s="2" t="inlineStr">
        <is>
          <t>SC/APC</t>
        </is>
      </c>
      <c r="I60" s="2" t="inlineStr">
        <is>
          <t>SC/APC</t>
        </is>
      </c>
      <c r="J60" s="2" t="n"/>
      <c r="K60" s="2" t="n"/>
      <c r="L60" s="2" t="n"/>
      <c r="M60" s="2" t="n"/>
      <c r="N60" s="2" t="n"/>
      <c r="O60" s="2" t="n">
        <v>30</v>
      </c>
      <c r="P60" s="2" t="n"/>
      <c r="Q60" s="2" t="n"/>
      <c r="R60" s="2" t="n"/>
      <c r="S60" s="2" t="n"/>
      <c r="T60" s="2" t="n"/>
      <c r="U60" s="2" t="n"/>
      <c r="V60" s="2">
        <f>SUM(J60:U60)</f>
        <v/>
      </c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>
        <v>60</v>
      </c>
      <c r="AQ60" s="2" t="n"/>
      <c r="AR60" s="2" t="n"/>
      <c r="AS60" s="2" t="n"/>
      <c r="AT60" s="2" t="n"/>
      <c r="AU60" s="2" t="n"/>
      <c r="AV60" s="2">
        <f>IF(F60=1,V60*2,IF(F60=2,V60*F60*2,IF(F60&gt;2,F60*2*V60)))</f>
        <v/>
      </c>
      <c r="AW60" s="2">
        <f>SUM(W60:AU60)</f>
        <v/>
      </c>
    </row>
    <row r="61">
      <c r="A61" s="2" t="inlineStr">
        <is>
          <t>14-C-691</t>
        </is>
      </c>
      <c r="B61" s="3" t="inlineStr">
        <is>
          <t>DROP-CABLE(SC/APC-SC/APC)</t>
        </is>
      </c>
      <c r="C61" s="2" t="inlineStr">
        <is>
          <t>30M</t>
        </is>
      </c>
      <c r="D61" s="2" t="inlineStr">
        <is>
          <t>drop</t>
        </is>
      </c>
      <c r="E61" s="2" t="inlineStr">
        <is>
          <t>3.0mm</t>
        </is>
      </c>
      <c r="F61" s="2" t="n">
        <v>1</v>
      </c>
      <c r="G61" s="2" t="n">
        <v>30</v>
      </c>
      <c r="H61" s="2" t="inlineStr">
        <is>
          <t>SC/APC</t>
        </is>
      </c>
      <c r="I61" s="2" t="inlineStr">
        <is>
          <t>SC/APC</t>
        </is>
      </c>
      <c r="J61" s="2" t="n"/>
      <c r="K61" s="2" t="n"/>
      <c r="L61" s="2" t="n"/>
      <c r="M61" s="2" t="n"/>
      <c r="N61" s="2" t="n"/>
      <c r="O61" s="2" t="n">
        <v>20</v>
      </c>
      <c r="P61" s="2" t="n"/>
      <c r="Q61" s="2" t="n"/>
      <c r="R61" s="2" t="n"/>
      <c r="S61" s="2" t="n"/>
      <c r="T61" s="2" t="n"/>
      <c r="U61" s="2" t="n"/>
      <c r="V61" s="2">
        <f>SUM(J61:U61)</f>
        <v/>
      </c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>
        <v>40</v>
      </c>
      <c r="AQ61" s="2" t="n"/>
      <c r="AR61" s="2" t="n"/>
      <c r="AS61" s="2" t="n"/>
      <c r="AT61" s="2" t="n"/>
      <c r="AU61" s="2" t="n"/>
      <c r="AV61" s="2">
        <f>IF(F61=1,V61*2,IF(F61=2,V61*F61*2,IF(F61&gt;2,F61*2*V61)))</f>
        <v/>
      </c>
      <c r="AW61" s="2">
        <f>SUM(W61:AU61)</f>
        <v/>
      </c>
    </row>
    <row r="62">
      <c r="A62" s="2" t="inlineStr">
        <is>
          <t>14-C-693</t>
        </is>
      </c>
      <c r="B62" s="3" t="inlineStr">
        <is>
          <t>DROP-CABLE(LC/PC-SC/PC)-2C</t>
        </is>
      </c>
      <c r="C62" s="2" t="inlineStr">
        <is>
          <t>20M</t>
        </is>
      </c>
      <c r="D62" s="2" t="inlineStr">
        <is>
          <t>drop</t>
        </is>
      </c>
      <c r="E62" s="2" t="inlineStr">
        <is>
          <t>3.0mm</t>
        </is>
      </c>
      <c r="F62" s="2" t="n">
        <v>2</v>
      </c>
      <c r="G62" s="2" t="n">
        <v>20</v>
      </c>
      <c r="H62" s="2" t="inlineStr">
        <is>
          <t>LC/PC</t>
        </is>
      </c>
      <c r="I62" s="2" t="inlineStr">
        <is>
          <t>SC/PC</t>
        </is>
      </c>
      <c r="J62" s="2" t="n"/>
      <c r="K62" s="2" t="n"/>
      <c r="L62" s="2" t="n"/>
      <c r="M62" s="2" t="n"/>
      <c r="N62" s="2" t="n"/>
      <c r="O62" s="2" t="n"/>
      <c r="P62" s="2" t="n">
        <v>12</v>
      </c>
      <c r="Q62" s="2" t="n"/>
      <c r="R62" s="2" t="n"/>
      <c r="S62" s="2" t="n"/>
      <c r="T62" s="2" t="n"/>
      <c r="U62" s="2" t="n"/>
      <c r="V62" s="2">
        <f>SUM(J62:U62)</f>
        <v/>
      </c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>
        <v>24</v>
      </c>
      <c r="AK62" s="2" t="n"/>
      <c r="AL62" s="2" t="n"/>
      <c r="AM62" s="2" t="n"/>
      <c r="AN62" s="2" t="n"/>
      <c r="AO62" s="2" t="n">
        <v>24</v>
      </c>
      <c r="AP62" s="2" t="n"/>
      <c r="AQ62" s="2" t="n"/>
      <c r="AR62" s="2" t="n"/>
      <c r="AS62" s="2" t="n"/>
      <c r="AT62" s="2" t="n"/>
      <c r="AU62" s="2" t="n"/>
      <c r="AV62" s="2">
        <f>IF(F62=1,V62*2,IF(F62=2,V62*F62*2,IF(F62&gt;2,F62*2*V62)))</f>
        <v/>
      </c>
      <c r="AW62" s="2">
        <f>SUM(W62:AU62)</f>
        <v/>
      </c>
    </row>
    <row r="63">
      <c r="A63" s="2" t="inlineStr">
        <is>
          <t>14-C-696</t>
        </is>
      </c>
      <c r="B63" s="3" t="inlineStr">
        <is>
          <t>Optical Cable Parts,LC/PC-LC/PC-Single mode-15m-1Core</t>
        </is>
      </c>
      <c r="C63" s="2" t="inlineStr">
        <is>
          <t>657A2 , LSZH , 300MM/ 300MM</t>
        </is>
      </c>
      <c r="D63" s="2" t="inlineStr">
        <is>
          <t>a2</t>
        </is>
      </c>
      <c r="E63" s="2" t="inlineStr">
        <is>
          <t>2.0mm</t>
        </is>
      </c>
      <c r="F63" s="2" t="n">
        <v>1</v>
      </c>
      <c r="G63" s="2" t="n">
        <v>15</v>
      </c>
      <c r="H63" s="2" t="inlineStr">
        <is>
          <t>LC/PC</t>
        </is>
      </c>
      <c r="I63" s="2" t="inlineStr">
        <is>
          <t>LC/PC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>
        <v>50</v>
      </c>
      <c r="V63" s="2">
        <f>SUM(J63:U63)</f>
        <v/>
      </c>
      <c r="W63" s="2" t="n">
        <v>100</v>
      </c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>
        <f>IF(F63=1,V63*2,IF(F63=2,V63*F63*2,IF(F63&gt;2,F63*2*V63)))</f>
        <v/>
      </c>
      <c r="AW63" s="2">
        <f>SUM(W63:AU63)</f>
        <v/>
      </c>
    </row>
    <row r="64">
      <c r="A64" s="2" t="inlineStr">
        <is>
          <t>14-C-697</t>
        </is>
      </c>
      <c r="B64" s="3" t="inlineStr">
        <is>
          <t>Optical Cable Parts,LC/PC-LC/PC-Single mode-20m-2Core</t>
        </is>
      </c>
      <c r="C64" s="2" t="inlineStr">
        <is>
          <t>657A2 , LSZH , 300MM/ 300MM</t>
        </is>
      </c>
      <c r="D64" s="2" t="inlineStr">
        <is>
          <t>a2</t>
        </is>
      </c>
      <c r="E64" s="2" t="inlineStr">
        <is>
          <t>2.0mm</t>
        </is>
      </c>
      <c r="F64" s="2" t="n">
        <v>2</v>
      </c>
      <c r="G64" s="2" t="n">
        <v>20</v>
      </c>
      <c r="H64" s="2" t="inlineStr">
        <is>
          <t>LC/PC</t>
        </is>
      </c>
      <c r="I64" s="2" t="inlineStr">
        <is>
          <t>LC/PC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>
        <v>30</v>
      </c>
      <c r="V64" s="2">
        <f>SUM(J64:U64)</f>
        <v/>
      </c>
      <c r="W64" s="2" t="n">
        <v>60</v>
      </c>
      <c r="X64" s="2" t="n">
        <v>60</v>
      </c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>
        <f>IF(F64=1,V64*2,IF(F64=2,V64*F64*2,IF(F64&gt;2,F64*2*V64)))</f>
        <v/>
      </c>
      <c r="AW64" s="2">
        <f>SUM(W64:AU64)</f>
        <v/>
      </c>
    </row>
    <row r="65">
      <c r="A65" s="2" t="inlineStr">
        <is>
          <t>14-C-701</t>
        </is>
      </c>
      <c r="B65" s="3" t="inlineStr">
        <is>
          <t>DROP-CABLE(LC/APC-SC/APC)</t>
        </is>
      </c>
      <c r="C65" s="2" t="inlineStr">
        <is>
          <t>15M</t>
        </is>
      </c>
      <c r="D65" s="2" t="inlineStr">
        <is>
          <t>drop</t>
        </is>
      </c>
      <c r="E65" s="2" t="inlineStr">
        <is>
          <t>3.0mm</t>
        </is>
      </c>
      <c r="F65" s="2" t="n">
        <v>1</v>
      </c>
      <c r="G65" s="2" t="n">
        <v>15</v>
      </c>
      <c r="H65" s="2" t="inlineStr">
        <is>
          <t>LC/APC</t>
        </is>
      </c>
      <c r="I65" s="2" t="inlineStr">
        <is>
          <t>SC/APC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>
        <v>110</v>
      </c>
      <c r="V65" s="2">
        <f>SUM(J65:U65)</f>
        <v/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>
        <v>110</v>
      </c>
      <c r="AM65" s="2" t="n"/>
      <c r="AN65" s="2" t="n"/>
      <c r="AO65" s="2" t="n"/>
      <c r="AP65" s="2" t="n">
        <v>110</v>
      </c>
      <c r="AQ65" s="2" t="n"/>
      <c r="AR65" s="2" t="n"/>
      <c r="AS65" s="2" t="n"/>
      <c r="AT65" s="2" t="n"/>
      <c r="AU65" s="2" t="n"/>
      <c r="AV65" s="2">
        <f>IF(F65=1,V65*2,IF(F65=2,V65*F65*2,IF(F65&gt;2,F65*2*V65)))</f>
        <v/>
      </c>
      <c r="AW65" s="2">
        <f>SUM(W65:AU65)</f>
        <v/>
      </c>
    </row>
    <row r="66">
      <c r="A66" s="2" t="inlineStr">
        <is>
          <t>14-C-703</t>
        </is>
      </c>
      <c r="B66" s="3" t="inlineStr">
        <is>
          <t>DROP-CABLE(LC/APC-SC/APC)</t>
        </is>
      </c>
      <c r="C66" s="2" t="inlineStr">
        <is>
          <t>10M</t>
        </is>
      </c>
      <c r="D66" s="2" t="inlineStr">
        <is>
          <t>drop</t>
        </is>
      </c>
      <c r="E66" s="2" t="inlineStr">
        <is>
          <t>3.0mm</t>
        </is>
      </c>
      <c r="F66" s="2" t="n">
        <v>1</v>
      </c>
      <c r="G66" s="2" t="n">
        <v>10</v>
      </c>
      <c r="H66" s="2" t="inlineStr">
        <is>
          <t>LC/APC</t>
        </is>
      </c>
      <c r="I66" s="2" t="inlineStr">
        <is>
          <t>SC/APC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>
        <v>110</v>
      </c>
      <c r="V66" s="2">
        <f>SUM(J66:U66)</f>
        <v/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>
        <v>110</v>
      </c>
      <c r="AM66" s="2" t="n"/>
      <c r="AN66" s="2" t="n"/>
      <c r="AO66" s="2" t="n"/>
      <c r="AP66" s="2" t="n">
        <v>110</v>
      </c>
      <c r="AQ66" s="2" t="n"/>
      <c r="AR66" s="2" t="n"/>
      <c r="AS66" s="2" t="n"/>
      <c r="AT66" s="2" t="n"/>
      <c r="AU66" s="2" t="n"/>
      <c r="AV66" s="2">
        <f>IF(F66=1,V66*2,IF(F66=2,V66*F66*2,IF(F66&gt;2,F66*2*V66)))</f>
        <v/>
      </c>
      <c r="AW66" s="2">
        <f>SUM(W66:AU66)</f>
        <v/>
      </c>
    </row>
    <row r="67">
      <c r="A67" s="2" t="inlineStr">
        <is>
          <t>14-C-705</t>
        </is>
      </c>
      <c r="B67" s="3" t="inlineStr">
        <is>
          <t>DROP-CABLE(SC/APC-SC/APC)</t>
        </is>
      </c>
      <c r="C67" s="2" t="inlineStr">
        <is>
          <t>20M</t>
        </is>
      </c>
      <c r="D67" s="2" t="inlineStr">
        <is>
          <t>drop</t>
        </is>
      </c>
      <c r="E67" s="2" t="inlineStr">
        <is>
          <t>3.0mm</t>
        </is>
      </c>
      <c r="F67" s="2" t="n">
        <v>1</v>
      </c>
      <c r="G67" s="2" t="n">
        <v>20</v>
      </c>
      <c r="H67" s="2" t="inlineStr">
        <is>
          <t>SC/APC</t>
        </is>
      </c>
      <c r="I67" s="2" t="inlineStr">
        <is>
          <t>SC/APC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>
        <v>70</v>
      </c>
      <c r="V67" s="2">
        <f>SUM(J67:U67)</f>
        <v/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>
        <v>140</v>
      </c>
      <c r="AQ67" s="2" t="n"/>
      <c r="AR67" s="2" t="n"/>
      <c r="AS67" s="2" t="n"/>
      <c r="AT67" s="2" t="n"/>
      <c r="AU67" s="2" t="n"/>
      <c r="AV67" s="2">
        <f>IF(F67=1,V67*2,IF(F67=2,V67*F67*2,IF(F67&gt;2,F67*2*V67)))</f>
        <v/>
      </c>
      <c r="AW67" s="2">
        <f>SUM(W67:AU67)</f>
        <v/>
      </c>
    </row>
    <row r="68">
      <c r="A68" s="2" t="inlineStr">
        <is>
          <t>14-C-707</t>
        </is>
      </c>
      <c r="B68" s="3" t="inlineStr">
        <is>
          <t>DROP-CABLE(SC/APC-SC/APC)</t>
        </is>
      </c>
      <c r="C68" s="2" t="inlineStr">
        <is>
          <t>10M</t>
        </is>
      </c>
      <c r="D68" s="2" t="inlineStr">
        <is>
          <t>drop</t>
        </is>
      </c>
      <c r="E68" s="2" t="inlineStr">
        <is>
          <t>3.0mm</t>
        </is>
      </c>
      <c r="F68" s="2" t="n">
        <v>1</v>
      </c>
      <c r="G68" s="2" t="n">
        <v>10</v>
      </c>
      <c r="H68" s="2" t="inlineStr">
        <is>
          <t>SC/APC</t>
        </is>
      </c>
      <c r="I68" s="2" t="inlineStr">
        <is>
          <t>SC/APC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>
        <v>70</v>
      </c>
      <c r="V68" s="2">
        <f>SUM(J68:U68)</f>
        <v/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>
        <v>140</v>
      </c>
      <c r="AQ68" s="2" t="n"/>
      <c r="AR68" s="2" t="n"/>
      <c r="AS68" s="2" t="n"/>
      <c r="AT68" s="2" t="n"/>
      <c r="AU68" s="2" t="n"/>
      <c r="AV68" s="2">
        <f>IF(F68=1,V68*2,IF(F68=2,V68*F68*2,IF(F68&gt;2,F68*2*V68)))</f>
        <v/>
      </c>
      <c r="AW68" s="2">
        <f>SUM(W68:AU68)</f>
        <v/>
      </c>
    </row>
    <row r="69">
      <c r="A69" s="2" t="inlineStr">
        <is>
          <t>14-D-019</t>
        </is>
      </c>
      <c r="B69" s="3" t="inlineStr">
        <is>
          <t>DOJC-MM(OM3)-LC/PC-LC/PC</t>
        </is>
      </c>
      <c r="C69" s="2" t="inlineStr">
        <is>
          <t>30M</t>
        </is>
      </c>
      <c r="D69" s="2" t="inlineStr">
        <is>
          <t>om3</t>
        </is>
      </c>
      <c r="E69" s="2" t="inlineStr">
        <is>
          <t>2.0mm</t>
        </is>
      </c>
      <c r="F69" s="2" t="n">
        <v>2</v>
      </c>
      <c r="G69" s="2" t="n">
        <v>30</v>
      </c>
      <c r="H69" s="2" t="inlineStr">
        <is>
          <t>LC/PC</t>
        </is>
      </c>
      <c r="I69" s="2" t="inlineStr">
        <is>
          <t>LC/PC</t>
        </is>
      </c>
      <c r="J69" s="2" t="n"/>
      <c r="K69" s="2" t="n"/>
      <c r="L69" s="2" t="n"/>
      <c r="M69" s="2" t="n">
        <v>3</v>
      </c>
      <c r="N69" s="2" t="n"/>
      <c r="O69" s="2" t="n">
        <v>2</v>
      </c>
      <c r="P69" s="2" t="n"/>
      <c r="Q69" s="2" t="n"/>
      <c r="R69" s="2" t="n"/>
      <c r="S69" s="2" t="n"/>
      <c r="T69" s="2" t="n">
        <v>5</v>
      </c>
      <c r="U69" s="2" t="n"/>
      <c r="V69" s="2">
        <f>SUM(J69:U69)</f>
        <v/>
      </c>
      <c r="W69" s="2" t="n"/>
      <c r="X69" s="2" t="n">
        <v>20</v>
      </c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>
        <v>20</v>
      </c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>
        <f>IF(F69=1,V69*2,IF(F69=2,V69*F69*2,IF(F69&gt;2,F69*2*V69)))</f>
        <v/>
      </c>
      <c r="AW69" s="2">
        <f>SUM(W69:AU69)</f>
        <v/>
      </c>
    </row>
    <row r="70">
      <c r="A70" s="2" t="inlineStr">
        <is>
          <t>14-D-020</t>
        </is>
      </c>
      <c r="B70" s="3" t="inlineStr">
        <is>
          <t>DOJC-MM(OM3)-LC/PC-LC/PC</t>
        </is>
      </c>
      <c r="C70" s="2" t="inlineStr">
        <is>
          <t>35M</t>
        </is>
      </c>
      <c r="D70" s="2" t="inlineStr">
        <is>
          <t>om3</t>
        </is>
      </c>
      <c r="E70" s="2" t="inlineStr">
        <is>
          <t>2.0mm</t>
        </is>
      </c>
      <c r="F70" s="2" t="n">
        <v>2</v>
      </c>
      <c r="G70" s="2" t="n">
        <v>35</v>
      </c>
      <c r="H70" s="2" t="inlineStr">
        <is>
          <t>LC/PC</t>
        </is>
      </c>
      <c r="I70" s="2" t="inlineStr">
        <is>
          <t>LC/PC</t>
        </is>
      </c>
      <c r="J70" s="2" t="n"/>
      <c r="K70" s="2" t="n"/>
      <c r="L70" s="2" t="n"/>
      <c r="M70" s="2" t="n">
        <v>3</v>
      </c>
      <c r="N70" s="2" t="n"/>
      <c r="O70" s="2" t="n"/>
      <c r="P70" s="2" t="n"/>
      <c r="Q70" s="2" t="n"/>
      <c r="R70" s="2" t="n"/>
      <c r="S70" s="2" t="n"/>
      <c r="T70" s="2" t="n">
        <v>15</v>
      </c>
      <c r="U70" s="2" t="n">
        <v>5</v>
      </c>
      <c r="V70" s="2">
        <f>SUM(J70:U70)</f>
        <v/>
      </c>
      <c r="W70" s="2" t="n"/>
      <c r="X70" s="2" t="n">
        <v>46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>
        <v>46</v>
      </c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>
        <f>IF(F70=1,V70*2,IF(F70=2,V70*F70*2,IF(F70&gt;2,F70*2*V70)))</f>
        <v/>
      </c>
      <c r="AW70" s="2">
        <f>SUM(W70:AU70)</f>
        <v/>
      </c>
    </row>
    <row r="71">
      <c r="A71" s="2" t="inlineStr">
        <is>
          <t>14-D-021</t>
        </is>
      </c>
      <c r="B71" s="3" t="inlineStr">
        <is>
          <t>DOJC-MM(OM3)-LC/PC-LC/PC</t>
        </is>
      </c>
      <c r="C71" s="2" t="inlineStr">
        <is>
          <t>3M</t>
        </is>
      </c>
      <c r="D71" s="2" t="inlineStr">
        <is>
          <t>om3</t>
        </is>
      </c>
      <c r="E71" s="2" t="inlineStr">
        <is>
          <t>2.0mm</t>
        </is>
      </c>
      <c r="F71" s="2" t="n">
        <v>2</v>
      </c>
      <c r="G71" s="2" t="n">
        <v>3</v>
      </c>
      <c r="H71" s="2" t="inlineStr">
        <is>
          <t>LC/PC</t>
        </is>
      </c>
      <c r="I71" s="2" t="inlineStr">
        <is>
          <t>LC/PC</t>
        </is>
      </c>
      <c r="J71" s="2" t="n"/>
      <c r="K71" s="2" t="n"/>
      <c r="L71" s="2" t="n"/>
      <c r="M71" s="2" t="n">
        <v>1</v>
      </c>
      <c r="N71" s="2" t="n"/>
      <c r="O71" s="2" t="n"/>
      <c r="P71" s="2" t="n"/>
      <c r="Q71" s="2" t="n">
        <v>30</v>
      </c>
      <c r="R71" s="2" t="n"/>
      <c r="S71" s="2" t="n"/>
      <c r="T71" s="2" t="n"/>
      <c r="U71" s="2" t="n">
        <v>20</v>
      </c>
      <c r="V71" s="2">
        <f>SUM(J71:U71)</f>
        <v/>
      </c>
      <c r="W71" s="2" t="n"/>
      <c r="X71" s="2" t="n">
        <v>102</v>
      </c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>
        <v>102</v>
      </c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>
        <f>IF(F71=1,V71*2,IF(F71=2,V71*F71*2,IF(F71&gt;2,F71*2*V71)))</f>
        <v/>
      </c>
      <c r="AW71" s="2">
        <f>SUM(W71:AU71)</f>
        <v/>
      </c>
    </row>
    <row r="72">
      <c r="A72" s="2" t="inlineStr">
        <is>
          <t>14-D-022</t>
        </is>
      </c>
      <c r="B72" s="3" t="inlineStr">
        <is>
          <t>DOJC-MM(OM3)-LC/PC-LC/PC</t>
        </is>
      </c>
      <c r="C72" s="2" t="inlineStr">
        <is>
          <t>40M</t>
        </is>
      </c>
      <c r="D72" s="2" t="inlineStr">
        <is>
          <t>om3</t>
        </is>
      </c>
      <c r="E72" s="2" t="inlineStr">
        <is>
          <t>2.0mm</t>
        </is>
      </c>
      <c r="F72" s="2" t="n">
        <v>2</v>
      </c>
      <c r="G72" s="2" t="n">
        <v>40</v>
      </c>
      <c r="H72" s="2" t="inlineStr">
        <is>
          <t>LC/PC</t>
        </is>
      </c>
      <c r="I72" s="2" t="inlineStr">
        <is>
          <t>LC/PC</t>
        </is>
      </c>
      <c r="J72" s="2" t="n"/>
      <c r="K72" s="2" t="n"/>
      <c r="L72" s="2" t="n"/>
      <c r="M72" s="2" t="n">
        <v>3</v>
      </c>
      <c r="N72" s="2" t="n"/>
      <c r="O72" s="2" t="n"/>
      <c r="P72" s="2" t="n"/>
      <c r="Q72" s="2" t="n"/>
      <c r="R72" s="2" t="n"/>
      <c r="S72" s="2" t="n"/>
      <c r="T72" s="2" t="n">
        <v>5</v>
      </c>
      <c r="U72" s="2" t="n"/>
      <c r="V72" s="2">
        <f>SUM(J72:U72)</f>
        <v/>
      </c>
      <c r="W72" s="2" t="n"/>
      <c r="X72" s="2" t="n">
        <v>16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>
        <v>16</v>
      </c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>
        <f>IF(F72=1,V72*2,IF(F72=2,V72*F72*2,IF(F72&gt;2,F72*2*V72)))</f>
        <v/>
      </c>
      <c r="AW72" s="2">
        <f>SUM(W72:AU72)</f>
        <v/>
      </c>
    </row>
    <row r="73">
      <c r="A73" s="2" t="inlineStr">
        <is>
          <t>14-D-026</t>
        </is>
      </c>
      <c r="B73" s="3" t="inlineStr">
        <is>
          <t>DOJC-MM(OM3)-LC/PC-LC/PC</t>
        </is>
      </c>
      <c r="C73" s="2" t="inlineStr">
        <is>
          <t>70M</t>
        </is>
      </c>
      <c r="D73" s="2" t="inlineStr">
        <is>
          <t>om3</t>
        </is>
      </c>
      <c r="E73" s="2" t="inlineStr">
        <is>
          <t>2.0mm</t>
        </is>
      </c>
      <c r="F73" s="2" t="n">
        <v>2</v>
      </c>
      <c r="G73" s="2" t="n">
        <v>70</v>
      </c>
      <c r="H73" s="2" t="inlineStr">
        <is>
          <t>LC/PC</t>
        </is>
      </c>
      <c r="I73" s="2" t="inlineStr">
        <is>
          <t>LC/PC</t>
        </is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>
        <v>1</v>
      </c>
      <c r="U73" s="2" t="n"/>
      <c r="V73" s="2">
        <f>SUM(J73:U73)</f>
        <v/>
      </c>
      <c r="W73" s="2" t="n"/>
      <c r="X73" s="2" t="n">
        <v>2</v>
      </c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>
        <v>2</v>
      </c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>
        <f>IF(F73=1,V73*2,IF(F73=2,V73*F73*2,IF(F73&gt;2,F73*2*V73)))</f>
        <v/>
      </c>
      <c r="AW73" s="2">
        <f>SUM(W73:AU73)</f>
        <v/>
      </c>
    </row>
    <row r="74">
      <c r="A74" s="2" t="inlineStr">
        <is>
          <t>14-D-027</t>
        </is>
      </c>
      <c r="B74" s="3" t="inlineStr">
        <is>
          <t>DOJC-MM(OM3)-LC/PC-LC/PC</t>
        </is>
      </c>
      <c r="C74" s="2" t="inlineStr">
        <is>
          <t>7M</t>
        </is>
      </c>
      <c r="D74" s="2" t="inlineStr">
        <is>
          <t>om3</t>
        </is>
      </c>
      <c r="E74" s="2" t="inlineStr">
        <is>
          <t>2.0mm</t>
        </is>
      </c>
      <c r="F74" s="2" t="n">
        <v>2</v>
      </c>
      <c r="G74" s="2" t="n">
        <v>7</v>
      </c>
      <c r="H74" s="2" t="inlineStr">
        <is>
          <t>LC/PC</t>
        </is>
      </c>
      <c r="I74" s="2" t="inlineStr">
        <is>
          <t>LC/PC</t>
        </is>
      </c>
      <c r="J74" s="2" t="n"/>
      <c r="K74" s="2" t="n"/>
      <c r="L74" s="2" t="n"/>
      <c r="M74" s="2" t="n"/>
      <c r="N74" s="2" t="n"/>
      <c r="O74" s="2" t="n"/>
      <c r="P74" s="2" t="n"/>
      <c r="Q74" s="2" t="n">
        <v>30</v>
      </c>
      <c r="R74" s="2" t="n"/>
      <c r="S74" s="2" t="n"/>
      <c r="T74" s="2" t="n"/>
      <c r="U74" s="2" t="n"/>
      <c r="V74" s="2">
        <f>SUM(J74:U74)</f>
        <v/>
      </c>
      <c r="W74" s="2" t="n"/>
      <c r="X74" s="2" t="n">
        <v>60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>
        <v>60</v>
      </c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>
        <f>IF(F74=1,V74*2,IF(F74=2,V74*F74*2,IF(F74&gt;2,F74*2*V74)))</f>
        <v/>
      </c>
      <c r="AW74" s="2">
        <f>SUM(W74:AU74)</f>
        <v/>
      </c>
    </row>
    <row r="75">
      <c r="A75" s="2" t="inlineStr">
        <is>
          <t>14-D-028</t>
        </is>
      </c>
      <c r="B75" s="3" t="inlineStr">
        <is>
          <t>DOJC-MM(OM3)-LC/PC-LC/PC</t>
        </is>
      </c>
      <c r="C75" s="2" t="inlineStr">
        <is>
          <t>80M</t>
        </is>
      </c>
      <c r="D75" s="2" t="inlineStr">
        <is>
          <t>om3</t>
        </is>
      </c>
      <c r="E75" s="2" t="inlineStr">
        <is>
          <t>2.0mm</t>
        </is>
      </c>
      <c r="F75" s="2" t="n">
        <v>2</v>
      </c>
      <c r="G75" s="2" t="n">
        <v>80</v>
      </c>
      <c r="H75" s="2" t="inlineStr">
        <is>
          <t>LC/PC</t>
        </is>
      </c>
      <c r="I75" s="2" t="inlineStr">
        <is>
          <t>LC/PC</t>
        </is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>
        <v>4</v>
      </c>
      <c r="U75" s="2" t="n"/>
      <c r="V75" s="2">
        <f>SUM(J75:U75)</f>
        <v/>
      </c>
      <c r="W75" s="2" t="n"/>
      <c r="X75" s="2" t="n">
        <v>8</v>
      </c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>
        <v>8</v>
      </c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>
        <f>IF(F75=1,V75*2,IF(F75=2,V75*F75*2,IF(F75&gt;2,F75*2*V75)))</f>
        <v/>
      </c>
      <c r="AW75" s="2">
        <f>SUM(W75:AU75)</f>
        <v/>
      </c>
    </row>
    <row r="76">
      <c r="A76" s="2" t="inlineStr">
        <is>
          <t>14-D-051</t>
        </is>
      </c>
      <c r="B76" s="3" t="inlineStr">
        <is>
          <t>DOJC-MM-LC/PC-LC/PC</t>
        </is>
      </c>
      <c r="C76" s="2" t="inlineStr">
        <is>
          <t>35M</t>
        </is>
      </c>
      <c r="D76" s="2" t="inlineStr">
        <is>
          <t>om1</t>
        </is>
      </c>
      <c r="E76" s="2" t="inlineStr">
        <is>
          <t>2.0mm</t>
        </is>
      </c>
      <c r="F76" s="2" t="n">
        <v>2</v>
      </c>
      <c r="G76" s="2" t="n">
        <v>35</v>
      </c>
      <c r="H76" s="2" t="inlineStr">
        <is>
          <t>LC/PC</t>
        </is>
      </c>
      <c r="I76" s="2" t="inlineStr">
        <is>
          <t>LC/PC</t>
        </is>
      </c>
      <c r="J76" s="2" t="n"/>
      <c r="K76" s="2" t="n">
        <v>5</v>
      </c>
      <c r="L76" s="2" t="n"/>
      <c r="M76" s="2" t="n"/>
      <c r="N76" s="2" t="n"/>
      <c r="O76" s="2" t="n">
        <v>10</v>
      </c>
      <c r="P76" s="2" t="n"/>
      <c r="Q76" s="2" t="n">
        <v>30</v>
      </c>
      <c r="R76" s="2" t="n"/>
      <c r="S76" s="2" t="n"/>
      <c r="T76" s="2" t="n">
        <v>2</v>
      </c>
      <c r="U76" s="2" t="n">
        <v>4</v>
      </c>
      <c r="V76" s="2">
        <f>SUM(J76:U76)</f>
        <v/>
      </c>
      <c r="W76" s="2" t="n"/>
      <c r="X76" s="2" t="n">
        <v>102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>
        <v>102</v>
      </c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>
        <f>IF(F76=1,V76*2,IF(F76=2,V76*F76*2,IF(F76&gt;2,F76*2*V76)))</f>
        <v/>
      </c>
      <c r="AW76" s="2">
        <f>SUM(W76:AU76)</f>
        <v/>
      </c>
    </row>
    <row r="77">
      <c r="A77" s="2" t="inlineStr">
        <is>
          <t>14-D-053</t>
        </is>
      </c>
      <c r="B77" s="3" t="inlineStr">
        <is>
          <t>DOJC-MM-LC/PC-LC/PC</t>
        </is>
      </c>
      <c r="C77" s="2" t="inlineStr">
        <is>
          <t>40M</t>
        </is>
      </c>
      <c r="D77" s="2" t="inlineStr">
        <is>
          <t>om1</t>
        </is>
      </c>
      <c r="E77" s="2" t="inlineStr">
        <is>
          <t>2.0mm</t>
        </is>
      </c>
      <c r="F77" s="2" t="n">
        <v>2</v>
      </c>
      <c r="G77" s="2" t="n">
        <v>40</v>
      </c>
      <c r="H77" s="2" t="inlineStr">
        <is>
          <t>LC/PC</t>
        </is>
      </c>
      <c r="I77" s="2" t="inlineStr">
        <is>
          <t>LC/PC</t>
        </is>
      </c>
      <c r="J77" s="2" t="n"/>
      <c r="K77" s="2" t="n"/>
      <c r="L77" s="2" t="n"/>
      <c r="M77" s="2" t="n">
        <v>5</v>
      </c>
      <c r="N77" s="2" t="n"/>
      <c r="O77" s="2" t="n"/>
      <c r="P77" s="2" t="n"/>
      <c r="Q77" s="2" t="n"/>
      <c r="R77" s="2" t="n"/>
      <c r="S77" s="2" t="n">
        <v>2</v>
      </c>
      <c r="T77" s="2" t="n">
        <v>7</v>
      </c>
      <c r="U77" s="2" t="n"/>
      <c r="V77" s="2">
        <f>SUM(J77:U77)</f>
        <v/>
      </c>
      <c r="W77" s="2" t="n"/>
      <c r="X77" s="2" t="n">
        <v>28</v>
      </c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>
        <v>28</v>
      </c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>
        <f>IF(F77=1,V77*2,IF(F77=2,V77*F77*2,IF(F77&gt;2,F77*2*V77)))</f>
        <v/>
      </c>
      <c r="AW77" s="2">
        <f>SUM(W77:AU77)</f>
        <v/>
      </c>
    </row>
    <row r="78">
      <c r="A78" s="2" t="inlineStr">
        <is>
          <t>14-D-055</t>
        </is>
      </c>
      <c r="B78" s="3" t="inlineStr">
        <is>
          <t>DOJC-MM-LC/PC-LC/PC</t>
        </is>
      </c>
      <c r="C78" s="2" t="inlineStr">
        <is>
          <t>50M</t>
        </is>
      </c>
      <c r="D78" s="2" t="inlineStr">
        <is>
          <t>om1</t>
        </is>
      </c>
      <c r="E78" s="2" t="inlineStr">
        <is>
          <t>2.0mm</t>
        </is>
      </c>
      <c r="F78" s="2" t="n">
        <v>2</v>
      </c>
      <c r="G78" s="2" t="n">
        <v>50</v>
      </c>
      <c r="H78" s="2" t="inlineStr">
        <is>
          <t>LC/PC</t>
        </is>
      </c>
      <c r="I78" s="2" t="inlineStr">
        <is>
          <t>LC/PC</t>
        </is>
      </c>
      <c r="J78" s="2" t="n"/>
      <c r="K78" s="2" t="n"/>
      <c r="L78" s="2" t="n">
        <v>3</v>
      </c>
      <c r="M78" s="2" t="n"/>
      <c r="N78" s="2" t="n">
        <v>2</v>
      </c>
      <c r="O78" s="2" t="n"/>
      <c r="P78" s="2" t="n"/>
      <c r="Q78" s="2" t="n"/>
      <c r="R78" s="2" t="n"/>
      <c r="S78" s="2" t="n"/>
      <c r="T78" s="2" t="n"/>
      <c r="U78" s="2" t="n"/>
      <c r="V78" s="2">
        <f>SUM(J78:U78)</f>
        <v/>
      </c>
      <c r="W78" s="2" t="n"/>
      <c r="X78" s="2" t="n">
        <v>10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>
        <v>10</v>
      </c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>
        <f>IF(F78=1,V78*2,IF(F78=2,V78*F78*2,IF(F78&gt;2,F78*2*V78)))</f>
        <v/>
      </c>
      <c r="AW78" s="2">
        <f>SUM(W78:AU78)</f>
        <v/>
      </c>
    </row>
    <row r="79">
      <c r="A79" s="2" t="inlineStr">
        <is>
          <t>14-D-056</t>
        </is>
      </c>
      <c r="B79" s="3" t="inlineStr">
        <is>
          <t>DOJC-MM-LC/PC-LC/PC</t>
        </is>
      </c>
      <c r="C79" s="2" t="inlineStr">
        <is>
          <t>55M</t>
        </is>
      </c>
      <c r="D79" s="2" t="inlineStr">
        <is>
          <t>om1</t>
        </is>
      </c>
      <c r="E79" s="2" t="inlineStr">
        <is>
          <t>2.0mm</t>
        </is>
      </c>
      <c r="F79" s="2" t="n">
        <v>2</v>
      </c>
      <c r="G79" s="2" t="n">
        <v>55</v>
      </c>
      <c r="H79" s="2" t="inlineStr">
        <is>
          <t>LC/PC</t>
        </is>
      </c>
      <c r="I79" s="2" t="inlineStr">
        <is>
          <t>LC/PC</t>
        </is>
      </c>
      <c r="J79" s="2" t="n"/>
      <c r="K79" s="2" t="n"/>
      <c r="L79" s="2" t="n">
        <v>8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>
        <f>SUM(J79:U79)</f>
        <v/>
      </c>
      <c r="W79" s="2" t="n"/>
      <c r="X79" s="2" t="n">
        <v>16</v>
      </c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>
        <v>16</v>
      </c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>
        <f>IF(F79=1,V79*2,IF(F79=2,V79*F79*2,IF(F79&gt;2,F79*2*V79)))</f>
        <v/>
      </c>
      <c r="AW79" s="2">
        <f>SUM(W79:AU79)</f>
        <v/>
      </c>
    </row>
    <row r="80">
      <c r="A80" s="2" t="inlineStr">
        <is>
          <t>14-D-060</t>
        </is>
      </c>
      <c r="B80" s="3" t="inlineStr">
        <is>
          <t>DOJC-MM-LC/PC-LC/PC</t>
        </is>
      </c>
      <c r="C80" s="2" t="inlineStr">
        <is>
          <t>70M</t>
        </is>
      </c>
      <c r="D80" s="2" t="inlineStr">
        <is>
          <t>om1</t>
        </is>
      </c>
      <c r="E80" s="2" t="inlineStr">
        <is>
          <t>2.0mm</t>
        </is>
      </c>
      <c r="F80" s="2" t="n">
        <v>2</v>
      </c>
      <c r="G80" s="2" t="n">
        <v>70</v>
      </c>
      <c r="H80" s="2" t="inlineStr">
        <is>
          <t>LC/PC</t>
        </is>
      </c>
      <c r="I80" s="2" t="inlineStr">
        <is>
          <t>LC/PC</t>
        </is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>
        <v>4</v>
      </c>
      <c r="S80" s="2" t="n"/>
      <c r="T80" s="2" t="n"/>
      <c r="U80" s="2" t="n"/>
      <c r="V80" s="2">
        <f>SUM(J80:U80)</f>
        <v/>
      </c>
      <c r="W80" s="2" t="n"/>
      <c r="X80" s="2" t="n">
        <v>8</v>
      </c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>
        <v>8</v>
      </c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>
        <f>IF(F80=1,V80*2,IF(F80=2,V80*F80*2,IF(F80&gt;2,F80*2*V80)))</f>
        <v/>
      </c>
      <c r="AW80" s="2">
        <f>SUM(W80:AU80)</f>
        <v/>
      </c>
    </row>
    <row r="81">
      <c r="A81" s="2" t="inlineStr">
        <is>
          <t>14-D-094</t>
        </is>
      </c>
      <c r="B81" s="3" t="inlineStr">
        <is>
          <t>DOJC-MM-SC/PC-SC/PC</t>
        </is>
      </c>
      <c r="C81" s="2" t="inlineStr">
        <is>
          <t>1M</t>
        </is>
      </c>
      <c r="D81" s="2" t="inlineStr">
        <is>
          <t>om1</t>
        </is>
      </c>
      <c r="E81" s="2" t="inlineStr">
        <is>
          <t>2.0mm</t>
        </is>
      </c>
      <c r="F81" s="2" t="n">
        <v>2</v>
      </c>
      <c r="G81" s="2" t="n">
        <v>1</v>
      </c>
      <c r="H81" s="2" t="inlineStr">
        <is>
          <t>SC/PC</t>
        </is>
      </c>
      <c r="I81" s="2" t="inlineStr">
        <is>
          <t>SC/PC</t>
        </is>
      </c>
      <c r="J81" s="2" t="n"/>
      <c r="K81" s="2" t="n"/>
      <c r="L81" s="2" t="n"/>
      <c r="M81" s="2" t="n"/>
      <c r="N81" s="2" t="n"/>
      <c r="O81" s="2" t="n">
        <v>30</v>
      </c>
      <c r="P81" s="2" t="n"/>
      <c r="Q81" s="2" t="n">
        <v>5</v>
      </c>
      <c r="R81" s="2" t="n"/>
      <c r="S81" s="2" t="n"/>
      <c r="T81" s="2" t="n"/>
      <c r="U81" s="2" t="n"/>
      <c r="V81" s="2">
        <f>SUM(J81:U81)</f>
        <v/>
      </c>
      <c r="W81" s="2" t="n"/>
      <c r="X81" s="2" t="n"/>
      <c r="Y81" s="2" t="n"/>
      <c r="Z81" s="2" t="n"/>
      <c r="AA81" s="2" t="n">
        <v>70</v>
      </c>
      <c r="AB81" s="2" t="n">
        <v>70</v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>
        <f>IF(F81=1,V81*2,IF(F81=2,V81*F81*2,IF(F81&gt;2,F81*2*V81)))</f>
        <v/>
      </c>
      <c r="AW81" s="2">
        <f>SUM(W81:AU81)</f>
        <v/>
      </c>
    </row>
    <row r="82">
      <c r="A82" s="2" t="inlineStr">
        <is>
          <t>14-D-196</t>
        </is>
      </c>
      <c r="B82" s="3" t="inlineStr">
        <is>
          <t>DOJC-SM-LC/PC-FC/PC</t>
        </is>
      </c>
      <c r="C82" s="2" t="inlineStr">
        <is>
          <t>15M</t>
        </is>
      </c>
      <c r="D82" s="2" t="inlineStr">
        <is>
          <t>a1</t>
        </is>
      </c>
      <c r="E82" s="2" t="inlineStr">
        <is>
          <t>2.0mm</t>
        </is>
      </c>
      <c r="F82" s="2" t="n">
        <v>2</v>
      </c>
      <c r="G82" s="2" t="n">
        <v>15</v>
      </c>
      <c r="H82" s="2" t="inlineStr">
        <is>
          <t>LC/PC</t>
        </is>
      </c>
      <c r="I82" s="2" t="inlineStr">
        <is>
          <t>FC/PC</t>
        </is>
      </c>
      <c r="J82" s="2" t="n"/>
      <c r="K82" s="2" t="n"/>
      <c r="L82" s="2" t="n"/>
      <c r="M82" s="2" t="n"/>
      <c r="N82" s="2" t="n">
        <v>10</v>
      </c>
      <c r="O82" s="2" t="n"/>
      <c r="P82" s="2" t="n"/>
      <c r="Q82" s="2" t="n"/>
      <c r="R82" s="2" t="n"/>
      <c r="S82" s="2" t="n"/>
      <c r="T82" s="2" t="n"/>
      <c r="U82" s="2" t="n"/>
      <c r="V82" s="2">
        <f>SUM(J82:U82)</f>
        <v/>
      </c>
      <c r="W82" s="2" t="n">
        <v>20</v>
      </c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>
        <v>20</v>
      </c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>
        <f>IF(F82=1,V82*2,IF(F82=2,V82*F82*2,IF(F82&gt;2,F82*2*V82)))</f>
        <v/>
      </c>
      <c r="AW82" s="2">
        <f>SUM(W82:AU82)</f>
        <v/>
      </c>
    </row>
    <row r="83">
      <c r="A83" s="2" t="inlineStr">
        <is>
          <t>14-D-223</t>
        </is>
      </c>
      <c r="B83" s="3" t="inlineStr">
        <is>
          <t>DOJC-SM-LC/PC-LC/PC</t>
        </is>
      </c>
      <c r="C83" s="2" t="inlineStr">
        <is>
          <t>10M</t>
        </is>
      </c>
      <c r="D83" s="2" t="inlineStr">
        <is>
          <t>a1</t>
        </is>
      </c>
      <c r="E83" s="2" t="inlineStr">
        <is>
          <t>2.0mm</t>
        </is>
      </c>
      <c r="F83" s="2" t="n">
        <v>2</v>
      </c>
      <c r="G83" s="2" t="n">
        <v>10</v>
      </c>
      <c r="H83" s="2" t="inlineStr">
        <is>
          <t>LC/PC</t>
        </is>
      </c>
      <c r="I83" s="2" t="inlineStr">
        <is>
          <t>LC/PC</t>
        </is>
      </c>
      <c r="J83" s="2" t="n"/>
      <c r="K83" s="2" t="n"/>
      <c r="L83" s="2" t="n"/>
      <c r="M83" s="2" t="n"/>
      <c r="N83" s="2" t="n"/>
      <c r="O83" s="2" t="n">
        <v>20</v>
      </c>
      <c r="P83" s="2" t="n"/>
      <c r="Q83" s="2" t="n">
        <v>30</v>
      </c>
      <c r="R83" s="2" t="n">
        <v>50</v>
      </c>
      <c r="S83" s="2" t="n">
        <v>80</v>
      </c>
      <c r="T83" s="2" t="n">
        <v>20</v>
      </c>
      <c r="U83" s="2" t="n"/>
      <c r="V83" s="2">
        <f>SUM(J83:U83)</f>
        <v/>
      </c>
      <c r="W83" s="2" t="n">
        <v>400</v>
      </c>
      <c r="X83" s="2" t="n">
        <v>400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>
        <f>IF(F83=1,V83*2,IF(F83=2,V83*F83*2,IF(F83&gt;2,F83*2*V83)))</f>
        <v/>
      </c>
      <c r="AW83" s="2">
        <f>SUM(W83:AU83)</f>
        <v/>
      </c>
    </row>
    <row r="84">
      <c r="A84" s="2" t="inlineStr">
        <is>
          <t>14-D-228</t>
        </is>
      </c>
      <c r="B84" s="3" t="inlineStr">
        <is>
          <t>DOJC-SM-LC/PC-LC/PC</t>
        </is>
      </c>
      <c r="C84" s="2" t="inlineStr">
        <is>
          <t>15M</t>
        </is>
      </c>
      <c r="D84" s="2" t="inlineStr">
        <is>
          <t>a1</t>
        </is>
      </c>
      <c r="E84" s="2" t="inlineStr">
        <is>
          <t>2.0mm</t>
        </is>
      </c>
      <c r="F84" s="2" t="n">
        <v>2</v>
      </c>
      <c r="G84" s="2" t="n">
        <v>15</v>
      </c>
      <c r="H84" s="2" t="inlineStr">
        <is>
          <t>LC/PC</t>
        </is>
      </c>
      <c r="I84" s="2" t="inlineStr">
        <is>
          <t>LC/PC</t>
        </is>
      </c>
      <c r="J84" s="2" t="n"/>
      <c r="K84" s="2" t="n"/>
      <c r="L84" s="2" t="n"/>
      <c r="M84" s="2" t="n"/>
      <c r="N84" s="2" t="n"/>
      <c r="O84" s="2" t="n">
        <v>10</v>
      </c>
      <c r="P84" s="2" t="n"/>
      <c r="Q84" s="2" t="n">
        <v>140</v>
      </c>
      <c r="R84" s="2" t="n">
        <v>50</v>
      </c>
      <c r="S84" s="2" t="n"/>
      <c r="T84" s="2" t="n"/>
      <c r="U84" s="2" t="n"/>
      <c r="V84" s="2">
        <f>SUM(J84:U84)</f>
        <v/>
      </c>
      <c r="W84" s="2" t="n">
        <v>400</v>
      </c>
      <c r="X84" s="2" t="n">
        <v>400</v>
      </c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>
        <f>IF(F84=1,V84*2,IF(F84=2,V84*F84*2,IF(F84&gt;2,F84*2*V84)))</f>
        <v/>
      </c>
      <c r="AW84" s="2">
        <f>SUM(W84:AU84)</f>
        <v/>
      </c>
    </row>
    <row r="85">
      <c r="A85" s="2" t="inlineStr">
        <is>
          <t>14-D-228R</t>
        </is>
      </c>
      <c r="B85" s="3" t="inlineStr">
        <is>
          <t>DOJC-SM-LC/PC-LC/PC</t>
        </is>
      </c>
      <c r="C85" s="2" t="inlineStr">
        <is>
          <t>15M_적색케이블</t>
        </is>
      </c>
      <c r="D85" s="2" t="inlineStr">
        <is>
          <t>a1-적</t>
        </is>
      </c>
      <c r="E85" s="2" t="inlineStr">
        <is>
          <t>2.0mm</t>
        </is>
      </c>
      <c r="F85" s="2" t="n">
        <v>2</v>
      </c>
      <c r="G85" s="2" t="n">
        <v>15</v>
      </c>
      <c r="H85" s="2" t="inlineStr">
        <is>
          <t>LC/PC</t>
        </is>
      </c>
      <c r="I85" s="2" t="inlineStr">
        <is>
          <t>LC/PC</t>
        </is>
      </c>
      <c r="J85" s="2" t="n"/>
      <c r="K85" s="2" t="n"/>
      <c r="L85" s="2" t="n"/>
      <c r="M85" s="2" t="n">
        <v>20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>
        <f>SUM(J85:U85)</f>
        <v/>
      </c>
      <c r="W85" s="2" t="n">
        <v>40</v>
      </c>
      <c r="X85" s="2" t="n">
        <v>40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>
        <f>IF(F85=1,V85*2,IF(F85=2,V85*F85*2,IF(F85&gt;2,F85*2*V85)))</f>
        <v/>
      </c>
      <c r="AW85" s="2">
        <f>SUM(W85:AU85)</f>
        <v/>
      </c>
    </row>
    <row r="86">
      <c r="A86" s="2" t="inlineStr">
        <is>
          <t>14-D-234</t>
        </is>
      </c>
      <c r="B86" s="3" t="inlineStr">
        <is>
          <t>DOJC-SM-LC/PC-LC/PC</t>
        </is>
      </c>
      <c r="C86" s="2" t="inlineStr">
        <is>
          <t>20M</t>
        </is>
      </c>
      <c r="D86" s="2" t="inlineStr">
        <is>
          <t>a1</t>
        </is>
      </c>
      <c r="E86" s="2" t="inlineStr">
        <is>
          <t>2.0mm</t>
        </is>
      </c>
      <c r="F86" s="2" t="n">
        <v>2</v>
      </c>
      <c r="G86" s="2" t="n">
        <v>20</v>
      </c>
      <c r="H86" s="2" t="inlineStr">
        <is>
          <t>LC/PC</t>
        </is>
      </c>
      <c r="I86" s="2" t="inlineStr">
        <is>
          <t>LC/PC</t>
        </is>
      </c>
      <c r="J86" s="2" t="n"/>
      <c r="K86" s="2" t="n"/>
      <c r="L86" s="2" t="n"/>
      <c r="M86" s="2" t="n"/>
      <c r="N86" s="2" t="n"/>
      <c r="O86" s="2" t="n">
        <v>10</v>
      </c>
      <c r="P86" s="2" t="n"/>
      <c r="Q86" s="2" t="n">
        <v>100</v>
      </c>
      <c r="R86" s="2" t="n"/>
      <c r="S86" s="2" t="n">
        <v>80</v>
      </c>
      <c r="T86" s="2" t="n"/>
      <c r="U86" s="2" t="n"/>
      <c r="V86" s="2">
        <f>SUM(J86:U86)</f>
        <v/>
      </c>
      <c r="W86" s="2" t="n">
        <v>380</v>
      </c>
      <c r="X86" s="2" t="n">
        <v>380</v>
      </c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>
        <f>IF(F86=1,V86*2,IF(F86=2,V86*F86*2,IF(F86&gt;2,F86*2*V86)))</f>
        <v/>
      </c>
      <c r="AW86" s="2">
        <f>SUM(W86:AU86)</f>
        <v/>
      </c>
    </row>
    <row r="87">
      <c r="A87" s="2" t="inlineStr">
        <is>
          <t>14-D-234R</t>
        </is>
      </c>
      <c r="B87" s="3" t="inlineStr">
        <is>
          <t>DOJC-SM-LC/PC-LC/PC</t>
        </is>
      </c>
      <c r="C87" s="2" t="inlineStr">
        <is>
          <t>20M_적색케이블</t>
        </is>
      </c>
      <c r="D87" s="2" t="inlineStr">
        <is>
          <t>a1-적</t>
        </is>
      </c>
      <c r="E87" s="2" t="inlineStr">
        <is>
          <t>2.0mm</t>
        </is>
      </c>
      <c r="F87" s="2" t="n">
        <v>2</v>
      </c>
      <c r="G87" s="2" t="n">
        <v>20</v>
      </c>
      <c r="H87" s="2" t="inlineStr">
        <is>
          <t>LC/PC</t>
        </is>
      </c>
      <c r="I87" s="2" t="inlineStr">
        <is>
          <t>LC/PC</t>
        </is>
      </c>
      <c r="J87" s="2" t="n"/>
      <c r="K87" s="2" t="n"/>
      <c r="L87" s="2" t="n"/>
      <c r="M87" s="2" t="n">
        <v>20</v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>
        <f>SUM(J87:U87)</f>
        <v/>
      </c>
      <c r="W87" s="2" t="n">
        <v>40</v>
      </c>
      <c r="X87" s="2" t="n">
        <v>40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>
        <f>IF(F87=1,V87*2,IF(F87=2,V87*F87*2,IF(F87&gt;2,F87*2*V87)))</f>
        <v/>
      </c>
      <c r="AW87" s="2">
        <f>SUM(W87:AU87)</f>
        <v/>
      </c>
    </row>
    <row r="88">
      <c r="A88" s="2" t="inlineStr">
        <is>
          <t>14-D-237</t>
        </is>
      </c>
      <c r="B88" s="3" t="inlineStr">
        <is>
          <t>DOJC-SM-LC/PC-LC/PC</t>
        </is>
      </c>
      <c r="C88" s="2" t="inlineStr">
        <is>
          <t>25M</t>
        </is>
      </c>
      <c r="D88" s="2" t="inlineStr">
        <is>
          <t>a1</t>
        </is>
      </c>
      <c r="E88" s="2" t="inlineStr">
        <is>
          <t>2.0mm</t>
        </is>
      </c>
      <c r="F88" s="2" t="n">
        <v>2</v>
      </c>
      <c r="G88" s="2" t="n">
        <v>25</v>
      </c>
      <c r="H88" s="2" t="inlineStr">
        <is>
          <t>LC/PC</t>
        </is>
      </c>
      <c r="I88" s="2" t="inlineStr">
        <is>
          <t>LC/PC</t>
        </is>
      </c>
      <c r="J88" s="2" t="n"/>
      <c r="K88" s="2" t="n"/>
      <c r="L88" s="2" t="n"/>
      <c r="M88" s="2" t="n"/>
      <c r="N88" s="2" t="n"/>
      <c r="O88" s="2" t="n"/>
      <c r="P88" s="2" t="n"/>
      <c r="Q88" s="2" t="n">
        <v>150</v>
      </c>
      <c r="R88" s="2" t="n">
        <v>100</v>
      </c>
      <c r="S88" s="2" t="n"/>
      <c r="T88" s="2" t="n"/>
      <c r="U88" s="2" t="n"/>
      <c r="V88" s="2">
        <f>SUM(J88:U88)</f>
        <v/>
      </c>
      <c r="W88" s="2" t="n">
        <v>500</v>
      </c>
      <c r="X88" s="2" t="n">
        <v>500</v>
      </c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>
        <f>IF(F88=1,V88*2,IF(F88=2,V88*F88*2,IF(F88&gt;2,F88*2*V88)))</f>
        <v/>
      </c>
      <c r="AW88" s="2">
        <f>SUM(W88:AU88)</f>
        <v/>
      </c>
    </row>
    <row r="89">
      <c r="A89" s="2" t="inlineStr">
        <is>
          <t>14-D-244</t>
        </is>
      </c>
      <c r="B89" s="3" t="inlineStr">
        <is>
          <t>DOJC-SM-LC/PC-LC/PC</t>
        </is>
      </c>
      <c r="C89" s="2" t="inlineStr">
        <is>
          <t>3M</t>
        </is>
      </c>
      <c r="D89" s="2" t="inlineStr">
        <is>
          <t>a1</t>
        </is>
      </c>
      <c r="E89" s="2" t="inlineStr">
        <is>
          <t>2.0mm</t>
        </is>
      </c>
      <c r="F89" s="2" t="n">
        <v>2</v>
      </c>
      <c r="G89" s="2" t="n">
        <v>3</v>
      </c>
      <c r="H89" s="2" t="inlineStr">
        <is>
          <t>LC/PC</t>
        </is>
      </c>
      <c r="I89" s="2" t="inlineStr">
        <is>
          <t>LC/PC</t>
        </is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>
        <v>100</v>
      </c>
      <c r="S89" s="2" t="n"/>
      <c r="T89" s="2" t="n"/>
      <c r="U89" s="2" t="n"/>
      <c r="V89" s="2">
        <f>SUM(J89:U89)</f>
        <v/>
      </c>
      <c r="W89" s="2" t="n">
        <v>200</v>
      </c>
      <c r="X89" s="2" t="n">
        <v>200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>
        <f>IF(F89=1,V89*2,IF(F89=2,V89*F89*2,IF(F89&gt;2,F89*2*V89)))</f>
        <v/>
      </c>
      <c r="AW89" s="2">
        <f>SUM(W89:AU89)</f>
        <v/>
      </c>
    </row>
    <row r="90">
      <c r="A90" s="2" t="inlineStr">
        <is>
          <t>14-D-247</t>
        </is>
      </c>
      <c r="B90" s="3" t="inlineStr">
        <is>
          <t>DOJC-SM-LC/PC-LC/PC</t>
        </is>
      </c>
      <c r="C90" s="2" t="inlineStr">
        <is>
          <t>45M</t>
        </is>
      </c>
      <c r="D90" s="2" t="inlineStr">
        <is>
          <t>a1</t>
        </is>
      </c>
      <c r="E90" s="2" t="inlineStr">
        <is>
          <t>2.0mm</t>
        </is>
      </c>
      <c r="F90" s="2" t="n">
        <v>2</v>
      </c>
      <c r="G90" s="2" t="n">
        <v>45</v>
      </c>
      <c r="H90" s="2" t="inlineStr">
        <is>
          <t>LC/PC</t>
        </is>
      </c>
      <c r="I90" s="2" t="inlineStr">
        <is>
          <t>LC/PC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>
        <v>30</v>
      </c>
      <c r="S90" s="2" t="n"/>
      <c r="T90" s="2" t="n"/>
      <c r="U90" s="2" t="n"/>
      <c r="V90" s="2">
        <f>SUM(J90:U90)</f>
        <v/>
      </c>
      <c r="W90" s="2" t="n">
        <v>60</v>
      </c>
      <c r="X90" s="2" t="n">
        <v>60</v>
      </c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>
        <f>IF(F90=1,V90*2,IF(F90=2,V90*F90*2,IF(F90&gt;2,F90*2*V90)))</f>
        <v/>
      </c>
      <c r="AW90" s="2">
        <f>SUM(W90:AU90)</f>
        <v/>
      </c>
    </row>
    <row r="91">
      <c r="A91" s="2" t="inlineStr">
        <is>
          <t>14-D-249</t>
        </is>
      </c>
      <c r="B91" s="3" t="inlineStr">
        <is>
          <t>DOJC-SM-LC/PC-LC/PC</t>
        </is>
      </c>
      <c r="C91" s="2" t="inlineStr">
        <is>
          <t>50M</t>
        </is>
      </c>
      <c r="D91" s="2" t="inlineStr">
        <is>
          <t>a1</t>
        </is>
      </c>
      <c r="E91" s="2" t="inlineStr">
        <is>
          <t>2.0mm</t>
        </is>
      </c>
      <c r="F91" s="2" t="n">
        <v>2</v>
      </c>
      <c r="G91" s="2" t="n">
        <v>50</v>
      </c>
      <c r="H91" s="2" t="inlineStr">
        <is>
          <t>LC/PC</t>
        </is>
      </c>
      <c r="I91" s="2" t="inlineStr">
        <is>
          <t>LC/PC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>
        <v>30</v>
      </c>
      <c r="S91" s="2" t="n"/>
      <c r="T91" s="2" t="n"/>
      <c r="U91" s="2" t="n"/>
      <c r="V91" s="2">
        <f>SUM(J91:U91)</f>
        <v/>
      </c>
      <c r="W91" s="2" t="n">
        <v>60</v>
      </c>
      <c r="X91" s="2" t="n">
        <v>60</v>
      </c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>
        <f>IF(F91=1,V91*2,IF(F91=2,V91*F91*2,IF(F91&gt;2,F91*2*V91)))</f>
        <v/>
      </c>
      <c r="AW91" s="2">
        <f>SUM(W91:AU91)</f>
        <v/>
      </c>
    </row>
    <row r="92">
      <c r="A92" s="2" t="inlineStr">
        <is>
          <t>14-D-252</t>
        </is>
      </c>
      <c r="B92" s="3" t="inlineStr">
        <is>
          <t>DOJC-SM-LC/PC-LC/PC</t>
        </is>
      </c>
      <c r="C92" s="2" t="inlineStr">
        <is>
          <t>55M</t>
        </is>
      </c>
      <c r="D92" s="2" t="inlineStr">
        <is>
          <t>a1</t>
        </is>
      </c>
      <c r="E92" s="2" t="inlineStr">
        <is>
          <t>2.0mm</t>
        </is>
      </c>
      <c r="F92" s="2" t="n">
        <v>2</v>
      </c>
      <c r="G92" s="2" t="n">
        <v>55</v>
      </c>
      <c r="H92" s="2" t="inlineStr">
        <is>
          <t>LC/PC</t>
        </is>
      </c>
      <c r="I92" s="2" t="inlineStr">
        <is>
          <t>LC/PC</t>
        </is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>
        <v>20</v>
      </c>
      <c r="S92" s="2" t="n"/>
      <c r="T92" s="2" t="n"/>
      <c r="U92" s="2" t="n"/>
      <c r="V92" s="2">
        <f>SUM(J92:U92)</f>
        <v/>
      </c>
      <c r="W92" s="2" t="n">
        <v>40</v>
      </c>
      <c r="X92" s="2" t="n">
        <v>40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>
        <f>IF(F92=1,V92*2,IF(F92=2,V92*F92*2,IF(F92&gt;2,F92*2*V92)))</f>
        <v/>
      </c>
      <c r="AW92" s="2">
        <f>SUM(W92:AU92)</f>
        <v/>
      </c>
    </row>
    <row r="93">
      <c r="A93" s="2" t="inlineStr">
        <is>
          <t>14-D-253</t>
        </is>
      </c>
      <c r="B93" s="3" t="inlineStr">
        <is>
          <t>DOJC-SM-LC/PC-LC/PC</t>
        </is>
      </c>
      <c r="C93" s="2" t="inlineStr">
        <is>
          <t>5M</t>
        </is>
      </c>
      <c r="D93" s="2" t="inlineStr">
        <is>
          <t>a1</t>
        </is>
      </c>
      <c r="E93" s="2" t="inlineStr">
        <is>
          <t>2.0mm</t>
        </is>
      </c>
      <c r="F93" s="2" t="n">
        <v>2</v>
      </c>
      <c r="G93" s="2" t="n">
        <v>5</v>
      </c>
      <c r="H93" s="2" t="inlineStr">
        <is>
          <t>LC/PC</t>
        </is>
      </c>
      <c r="I93" s="2" t="inlineStr">
        <is>
          <t>LC/PC</t>
        </is>
      </c>
      <c r="J93" s="2" t="n"/>
      <c r="K93" s="2" t="n">
        <v>70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>
        <f>SUM(J93:U93)</f>
        <v/>
      </c>
      <c r="W93" s="2" t="n">
        <v>140</v>
      </c>
      <c r="X93" s="2" t="n">
        <v>140</v>
      </c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>
        <f>IF(F93=1,V93*2,IF(F93=2,V93*F93*2,IF(F93&gt;2,F93*2*V93)))</f>
        <v/>
      </c>
      <c r="AW93" s="2">
        <f>SUM(W93:AU93)</f>
        <v/>
      </c>
    </row>
    <row r="94">
      <c r="A94" s="2" t="inlineStr">
        <is>
          <t>14-D-256</t>
        </is>
      </c>
      <c r="B94" s="3" t="inlineStr">
        <is>
          <t>DOJC-SM-LC/PC-LC/PC</t>
        </is>
      </c>
      <c r="C94" s="2" t="inlineStr">
        <is>
          <t>6M</t>
        </is>
      </c>
      <c r="D94" s="2" t="inlineStr">
        <is>
          <t>a1</t>
        </is>
      </c>
      <c r="E94" s="2" t="inlineStr">
        <is>
          <t>2.0mm</t>
        </is>
      </c>
      <c r="F94" s="2" t="n">
        <v>2</v>
      </c>
      <c r="G94" s="2" t="n">
        <v>6</v>
      </c>
      <c r="H94" s="2" t="inlineStr">
        <is>
          <t>LC/PC</t>
        </is>
      </c>
      <c r="I94" s="2" t="inlineStr">
        <is>
          <t>LC/PC</t>
        </is>
      </c>
      <c r="J94" s="2" t="n"/>
      <c r="K94" s="2" t="n"/>
      <c r="L94" s="2" t="n"/>
      <c r="M94" s="2" t="n"/>
      <c r="N94" s="2" t="n"/>
      <c r="O94" s="2" t="n"/>
      <c r="P94" s="2" t="n"/>
      <c r="Q94" s="2" t="n">
        <v>50</v>
      </c>
      <c r="R94" s="2" t="n"/>
      <c r="S94" s="2" t="n">
        <v>200</v>
      </c>
      <c r="T94" s="2" t="n">
        <v>300</v>
      </c>
      <c r="U94" s="2" t="n"/>
      <c r="V94" s="2">
        <f>SUM(J94:U94)</f>
        <v/>
      </c>
      <c r="W94" s="2" t="n">
        <v>1100</v>
      </c>
      <c r="X94" s="2" t="n">
        <v>1100</v>
      </c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>
        <f>IF(F94=1,V94*2,IF(F94=2,V94*F94*2,IF(F94&gt;2,F94*2*V94)))</f>
        <v/>
      </c>
      <c r="AW94" s="2">
        <f>SUM(W94:AU94)</f>
        <v/>
      </c>
    </row>
    <row r="95">
      <c r="A95" s="2" t="inlineStr">
        <is>
          <t>14-D-263</t>
        </is>
      </c>
      <c r="B95" s="3" t="inlineStr">
        <is>
          <t>DOJC-SM-LC/PC-SC/APC</t>
        </is>
      </c>
      <c r="C95" s="2" t="inlineStr">
        <is>
          <t>10M</t>
        </is>
      </c>
      <c r="D95" s="2" t="inlineStr">
        <is>
          <t>a1</t>
        </is>
      </c>
      <c r="E95" s="2" t="inlineStr">
        <is>
          <t>2.0mm</t>
        </is>
      </c>
      <c r="F95" s="2" t="n">
        <v>2</v>
      </c>
      <c r="G95" s="2" t="n">
        <v>10</v>
      </c>
      <c r="H95" s="2" t="inlineStr">
        <is>
          <t>LC/PC</t>
        </is>
      </c>
      <c r="I95" s="2" t="inlineStr">
        <is>
          <t>SC/APC</t>
        </is>
      </c>
      <c r="J95" s="2" t="n"/>
      <c r="K95" s="2" t="n"/>
      <c r="L95" s="2" t="n">
        <v>2</v>
      </c>
      <c r="M95" s="2" t="n"/>
      <c r="N95" s="2" t="n"/>
      <c r="O95" s="2" t="n"/>
      <c r="P95" s="2" t="n">
        <v>2</v>
      </c>
      <c r="Q95" s="2" t="n"/>
      <c r="R95" s="2" t="n"/>
      <c r="S95" s="2" t="n"/>
      <c r="T95" s="2" t="n"/>
      <c r="U95" s="2" t="n"/>
      <c r="V95" s="2">
        <f>SUM(J95:U95)</f>
        <v/>
      </c>
      <c r="W95" s="2" t="n">
        <v>8</v>
      </c>
      <c r="X95" s="2" t="n"/>
      <c r="Y95" s="2" t="n"/>
      <c r="Z95" s="2" t="n"/>
      <c r="AA95" s="2" t="n"/>
      <c r="AB95" s="2" t="n"/>
      <c r="AC95" s="2" t="n"/>
      <c r="AD95" s="2" t="n">
        <v>8</v>
      </c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>
        <f>IF(F95=1,V95*2,IF(F95=2,V95*F95*2,IF(F95&gt;2,F95*2*V95)))</f>
        <v/>
      </c>
      <c r="AW95" s="2">
        <f>SUM(W95:AU95)</f>
        <v/>
      </c>
    </row>
    <row r="96">
      <c r="A96" s="2" t="inlineStr">
        <is>
          <t>14-D-266</t>
        </is>
      </c>
      <c r="B96" s="3" t="inlineStr">
        <is>
          <t>DOJC-SM-LC/PC-SC/APC</t>
        </is>
      </c>
      <c r="C96" s="2" t="inlineStr">
        <is>
          <t>15M</t>
        </is>
      </c>
      <c r="D96" s="2" t="inlineStr">
        <is>
          <t>a1</t>
        </is>
      </c>
      <c r="E96" s="2" t="inlineStr">
        <is>
          <t>2.0mm</t>
        </is>
      </c>
      <c r="F96" s="2" t="n">
        <v>2</v>
      </c>
      <c r="G96" s="2" t="n">
        <v>15</v>
      </c>
      <c r="H96" s="2" t="inlineStr">
        <is>
          <t>LC/PC</t>
        </is>
      </c>
      <c r="I96" s="2" t="inlineStr">
        <is>
          <t>SC/APC</t>
        </is>
      </c>
      <c r="J96" s="2" t="n"/>
      <c r="K96" s="2" t="n"/>
      <c r="L96" s="2" t="n">
        <v>2</v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>
        <f>SUM(J96:U96)</f>
        <v/>
      </c>
      <c r="W96" s="2" t="n">
        <v>4</v>
      </c>
      <c r="X96" s="2" t="n"/>
      <c r="Y96" s="2" t="n"/>
      <c r="Z96" s="2" t="n"/>
      <c r="AA96" s="2" t="n"/>
      <c r="AB96" s="2" t="n"/>
      <c r="AC96" s="2" t="n"/>
      <c r="AD96" s="2" t="n">
        <v>4</v>
      </c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>
        <f>IF(F96=1,V96*2,IF(F96=2,V96*F96*2,IF(F96&gt;2,F96*2*V96)))</f>
        <v/>
      </c>
      <c r="AW96" s="2">
        <f>SUM(W96:AU96)</f>
        <v/>
      </c>
    </row>
    <row r="97">
      <c r="A97" s="2" t="inlineStr">
        <is>
          <t>14-D-274</t>
        </is>
      </c>
      <c r="B97" s="3" t="inlineStr">
        <is>
          <t>DOJC-SM-LC/PC-SC/APC</t>
        </is>
      </c>
      <c r="C97" s="2" t="inlineStr">
        <is>
          <t>3M</t>
        </is>
      </c>
      <c r="D97" s="2" t="inlineStr">
        <is>
          <t>a1</t>
        </is>
      </c>
      <c r="E97" s="2" t="inlineStr">
        <is>
          <t>2.0mm</t>
        </is>
      </c>
      <c r="F97" s="2" t="n">
        <v>2</v>
      </c>
      <c r="G97" s="2" t="n">
        <v>3</v>
      </c>
      <c r="H97" s="2" t="inlineStr">
        <is>
          <t>LC/PC</t>
        </is>
      </c>
      <c r="I97" s="2" t="inlineStr">
        <is>
          <t>SC/APC</t>
        </is>
      </c>
      <c r="J97" s="2" t="n"/>
      <c r="K97" s="2" t="n"/>
      <c r="L97" s="2" t="n">
        <v>50</v>
      </c>
      <c r="M97" s="2" t="n">
        <v>10</v>
      </c>
      <c r="N97" s="2" t="n"/>
      <c r="O97" s="2" t="n"/>
      <c r="P97" s="2" t="n"/>
      <c r="Q97" s="2" t="n">
        <v>30</v>
      </c>
      <c r="R97" s="2" t="n"/>
      <c r="S97" s="2" t="n"/>
      <c r="T97" s="2" t="n"/>
      <c r="U97" s="2" t="n"/>
      <c r="V97" s="2">
        <f>SUM(J97:U97)</f>
        <v/>
      </c>
      <c r="W97" s="2" t="n">
        <v>180</v>
      </c>
      <c r="X97" s="2" t="n"/>
      <c r="Y97" s="2" t="n"/>
      <c r="Z97" s="2" t="n"/>
      <c r="AA97" s="2" t="n"/>
      <c r="AB97" s="2" t="n"/>
      <c r="AC97" s="2" t="n"/>
      <c r="AD97" s="2" t="n">
        <v>180</v>
      </c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>
        <f>IF(F97=1,V97*2,IF(F97=2,V97*F97*2,IF(F97&gt;2,F97*2*V97)))</f>
        <v/>
      </c>
      <c r="AW97" s="2">
        <f>SUM(W97:AU97)</f>
        <v/>
      </c>
    </row>
    <row r="98">
      <c r="A98" s="2" t="inlineStr">
        <is>
          <t>14-D-303</t>
        </is>
      </c>
      <c r="B98" s="3" t="inlineStr">
        <is>
          <t>DOJC-SM-LC/PC-SC/PC</t>
        </is>
      </c>
      <c r="C98" s="2" t="inlineStr">
        <is>
          <t>2M</t>
        </is>
      </c>
      <c r="D98" s="2" t="inlineStr">
        <is>
          <t>a1</t>
        </is>
      </c>
      <c r="E98" s="2" t="inlineStr">
        <is>
          <t>2.0mm</t>
        </is>
      </c>
      <c r="F98" s="2" t="n">
        <v>2</v>
      </c>
      <c r="G98" s="2" t="n">
        <v>2</v>
      </c>
      <c r="H98" s="2" t="inlineStr">
        <is>
          <t>LC/PC</t>
        </is>
      </c>
      <c r="I98" s="2" t="inlineStr">
        <is>
          <t>SC/PC</t>
        </is>
      </c>
      <c r="J98" s="2" t="n"/>
      <c r="K98" s="2" t="n"/>
      <c r="L98" s="2" t="n"/>
      <c r="M98" s="2" t="n"/>
      <c r="N98" s="2" t="n"/>
      <c r="O98" s="2" t="n"/>
      <c r="P98" s="2" t="n">
        <v>1</v>
      </c>
      <c r="Q98" s="2" t="n"/>
      <c r="R98" s="2" t="n"/>
      <c r="S98" s="2" t="n">
        <v>1</v>
      </c>
      <c r="T98" s="2" t="n">
        <v>4</v>
      </c>
      <c r="U98" s="2" t="n"/>
      <c r="V98" s="2">
        <f>SUM(J98:U98)</f>
        <v/>
      </c>
      <c r="W98" s="2" t="n">
        <v>12</v>
      </c>
      <c r="X98" s="2" t="n"/>
      <c r="Y98" s="2" t="n"/>
      <c r="Z98" s="2" t="n"/>
      <c r="AA98" s="2" t="n"/>
      <c r="AB98" s="2" t="n">
        <v>12</v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>
        <f>IF(F98=1,V98*2,IF(F98=2,V98*F98*2,IF(F98&gt;2,F98*2*V98)))</f>
        <v/>
      </c>
      <c r="AW98" s="2">
        <f>SUM(W98:AU98)</f>
        <v/>
      </c>
    </row>
    <row r="99">
      <c r="A99" s="2" t="inlineStr">
        <is>
          <t>14-D-382</t>
        </is>
      </c>
      <c r="B99" s="3" t="inlineStr">
        <is>
          <t>DOJC-SM-SC/APC-SC/APC</t>
        </is>
      </c>
      <c r="C99" s="2" t="inlineStr">
        <is>
          <t>1M</t>
        </is>
      </c>
      <c r="D99" s="2" t="inlineStr">
        <is>
          <t>a1</t>
        </is>
      </c>
      <c r="E99" s="2" t="inlineStr">
        <is>
          <t>2.0mm</t>
        </is>
      </c>
      <c r="F99" s="2" t="n">
        <v>2</v>
      </c>
      <c r="G99" s="2" t="n">
        <v>1</v>
      </c>
      <c r="H99" s="2" t="inlineStr">
        <is>
          <t>SC/APC</t>
        </is>
      </c>
      <c r="I99" s="2" t="inlineStr">
        <is>
          <t>SC/APC</t>
        </is>
      </c>
      <c r="J99" s="2" t="n"/>
      <c r="K99" s="2" t="n">
        <v>10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>
        <f>SUM(J99:U99)</f>
        <v/>
      </c>
      <c r="W99" s="2" t="n"/>
      <c r="X99" s="2" t="n"/>
      <c r="Y99" s="2" t="n"/>
      <c r="Z99" s="2" t="n"/>
      <c r="AA99" s="2" t="n"/>
      <c r="AB99" s="2" t="n"/>
      <c r="AC99" s="2" t="n">
        <v>20</v>
      </c>
      <c r="AD99" s="2" t="n">
        <v>20</v>
      </c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>
        <f>IF(F99=1,V99*2,IF(F99=2,V99*F99*2,IF(F99&gt;2,F99*2*V99)))</f>
        <v/>
      </c>
      <c r="AW99" s="2">
        <f>SUM(W99:AU99)</f>
        <v/>
      </c>
    </row>
    <row r="100">
      <c r="A100" s="2" t="inlineStr">
        <is>
          <t>14-D-388</t>
        </is>
      </c>
      <c r="B100" s="3" t="inlineStr">
        <is>
          <t>DOJC-SM-SC/APC-SC/APC</t>
        </is>
      </c>
      <c r="C100" s="2" t="inlineStr">
        <is>
          <t>3M</t>
        </is>
      </c>
      <c r="D100" s="2" t="inlineStr">
        <is>
          <t>a1</t>
        </is>
      </c>
      <c r="E100" s="2" t="inlineStr">
        <is>
          <t>2.0mm</t>
        </is>
      </c>
      <c r="F100" s="2" t="n">
        <v>2</v>
      </c>
      <c r="G100" s="2" t="n">
        <v>3</v>
      </c>
      <c r="H100" s="2" t="inlineStr">
        <is>
          <t>SC/APC</t>
        </is>
      </c>
      <c r="I100" s="2" t="inlineStr">
        <is>
          <t>SC/APC</t>
        </is>
      </c>
      <c r="J100" s="2" t="n"/>
      <c r="K100" s="2" t="n">
        <v>2</v>
      </c>
      <c r="L100" s="2" t="n">
        <v>30</v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>
        <f>SUM(J100:U100)</f>
        <v/>
      </c>
      <c r="W100" s="2" t="n"/>
      <c r="X100" s="2" t="n"/>
      <c r="Y100" s="2" t="n"/>
      <c r="Z100" s="2" t="n"/>
      <c r="AA100" s="2" t="n"/>
      <c r="AB100" s="2" t="n"/>
      <c r="AC100" s="2" t="n">
        <v>64</v>
      </c>
      <c r="AD100" s="2" t="n">
        <v>64</v>
      </c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>
        <f>IF(F100=1,V100*2,IF(F100=2,V100*F100*2,IF(F100&gt;2,F100*2*V100)))</f>
        <v/>
      </c>
      <c r="AW100" s="2">
        <f>SUM(W100:AU100)</f>
        <v/>
      </c>
    </row>
    <row r="101">
      <c r="A101" s="2" t="inlineStr">
        <is>
          <t>14-D-407</t>
        </is>
      </c>
      <c r="B101" s="3" t="inlineStr">
        <is>
          <t>DOJC-SM-SC/PC-FC/APC</t>
        </is>
      </c>
      <c r="C101" s="2" t="inlineStr">
        <is>
          <t>25M</t>
        </is>
      </c>
      <c r="D101" s="2" t="inlineStr">
        <is>
          <t>a1</t>
        </is>
      </c>
      <c r="E101" s="2" t="inlineStr">
        <is>
          <t>2.0mm</t>
        </is>
      </c>
      <c r="F101" s="2" t="n">
        <v>2</v>
      </c>
      <c r="G101" s="2" t="n">
        <v>25</v>
      </c>
      <c r="H101" s="2" t="inlineStr">
        <is>
          <t>SC/PC</t>
        </is>
      </c>
      <c r="I101" s="2" t="inlineStr">
        <is>
          <t>FC/APC</t>
        </is>
      </c>
      <c r="J101" s="2" t="n">
        <v>1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>
        <f>SUM(J101:U101)</f>
        <v/>
      </c>
      <c r="W101" s="2" t="n"/>
      <c r="X101" s="2" t="n"/>
      <c r="Y101" s="2" t="n"/>
      <c r="Z101" s="2" t="n"/>
      <c r="AA101" s="2" t="n">
        <v>2</v>
      </c>
      <c r="AB101" s="2" t="n"/>
      <c r="AC101" s="2" t="n"/>
      <c r="AD101" s="2" t="n"/>
      <c r="AE101" s="2" t="n"/>
      <c r="AF101" s="2" t="n"/>
      <c r="AG101" s="2" t="n"/>
      <c r="AH101" s="2" t="n">
        <v>2</v>
      </c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>
        <f>IF(F101=1,V101*2,IF(F101=2,V101*F101*2,IF(F101&gt;2,F101*2*V101)))</f>
        <v/>
      </c>
      <c r="AW101" s="2">
        <f>SUM(W101:AU101)</f>
        <v/>
      </c>
    </row>
    <row r="102">
      <c r="A102" s="2" t="inlineStr">
        <is>
          <t>14-D-412</t>
        </is>
      </c>
      <c r="B102" s="3" t="inlineStr">
        <is>
          <t>DOJC-SM-SC/PC-FC/APC</t>
        </is>
      </c>
      <c r="C102" s="2" t="inlineStr">
        <is>
          <t>3M</t>
        </is>
      </c>
      <c r="D102" s="2" t="inlineStr">
        <is>
          <t>a1</t>
        </is>
      </c>
      <c r="E102" s="2" t="inlineStr">
        <is>
          <t>2.0mm</t>
        </is>
      </c>
      <c r="F102" s="2" t="n">
        <v>2</v>
      </c>
      <c r="G102" s="2" t="n">
        <v>3</v>
      </c>
      <c r="H102" s="2" t="inlineStr">
        <is>
          <t>SC/PC</t>
        </is>
      </c>
      <c r="I102" s="2" t="inlineStr">
        <is>
          <t>FC/APC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>
        <v>3</v>
      </c>
      <c r="U102" s="2" t="n"/>
      <c r="V102" s="2">
        <f>SUM(J102:U102)</f>
        <v/>
      </c>
      <c r="W102" s="2" t="n"/>
      <c r="X102" s="2" t="n"/>
      <c r="Y102" s="2" t="n"/>
      <c r="Z102" s="2" t="n"/>
      <c r="AA102" s="2" t="n">
        <v>6</v>
      </c>
      <c r="AB102" s="2" t="n"/>
      <c r="AC102" s="2" t="n"/>
      <c r="AD102" s="2" t="n"/>
      <c r="AE102" s="2" t="n"/>
      <c r="AF102" s="2" t="n"/>
      <c r="AG102" s="2" t="n"/>
      <c r="AH102" s="2" t="n">
        <v>6</v>
      </c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>
        <f>IF(F102=1,V102*2,IF(F102=2,V102*F102*2,IF(F102&gt;2,F102*2*V102)))</f>
        <v/>
      </c>
      <c r="AW102" s="2">
        <f>SUM(W102:AU102)</f>
        <v/>
      </c>
    </row>
    <row r="103">
      <c r="A103" s="2" t="inlineStr">
        <is>
          <t>14-D-447</t>
        </is>
      </c>
      <c r="B103" s="3" t="inlineStr">
        <is>
          <t>DOJC-SM-SC/PC-SC/APC</t>
        </is>
      </c>
      <c r="C103" s="2" t="inlineStr">
        <is>
          <t>15M</t>
        </is>
      </c>
      <c r="D103" s="2" t="inlineStr">
        <is>
          <t>a1</t>
        </is>
      </c>
      <c r="E103" s="2" t="inlineStr">
        <is>
          <t>2.0mm</t>
        </is>
      </c>
      <c r="F103" s="2" t="n">
        <v>2</v>
      </c>
      <c r="G103" s="2" t="n">
        <v>15</v>
      </c>
      <c r="H103" s="2" t="inlineStr">
        <is>
          <t>SC/PC</t>
        </is>
      </c>
      <c r="I103" s="2" t="inlineStr">
        <is>
          <t>SC/APC</t>
        </is>
      </c>
      <c r="J103" s="2" t="n"/>
      <c r="K103" s="2" t="n">
        <v>2</v>
      </c>
      <c r="L103" s="2" t="n"/>
      <c r="M103" s="2" t="n"/>
      <c r="N103" s="2" t="n"/>
      <c r="O103" s="2" t="n">
        <v>19</v>
      </c>
      <c r="P103" s="2" t="n"/>
      <c r="Q103" s="2" t="n"/>
      <c r="R103" s="2" t="n"/>
      <c r="S103" s="2" t="n">
        <v>2</v>
      </c>
      <c r="T103" s="2" t="n"/>
      <c r="U103" s="2" t="n"/>
      <c r="V103" s="2">
        <f>SUM(J103:U103)</f>
        <v/>
      </c>
      <c r="W103" s="2" t="n"/>
      <c r="X103" s="2" t="n"/>
      <c r="Y103" s="2" t="n"/>
      <c r="Z103" s="2" t="n"/>
      <c r="AA103" s="2" t="n">
        <v>46</v>
      </c>
      <c r="AB103" s="2" t="n"/>
      <c r="AC103" s="2" t="n"/>
      <c r="AD103" s="2" t="n">
        <v>46</v>
      </c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>
        <f>IF(F103=1,V103*2,IF(F103=2,V103*F103*2,IF(F103&gt;2,F103*2*V103)))</f>
        <v/>
      </c>
      <c r="AW103" s="2">
        <f>SUM(W103:AU103)</f>
        <v/>
      </c>
    </row>
    <row r="104">
      <c r="A104" s="2" t="inlineStr">
        <is>
          <t>14-D-455</t>
        </is>
      </c>
      <c r="B104" s="3" t="inlineStr">
        <is>
          <t>DOJC-SM-SC/PC-SC/APC</t>
        </is>
      </c>
      <c r="C104" s="2" t="inlineStr">
        <is>
          <t>3M</t>
        </is>
      </c>
      <c r="D104" s="2" t="inlineStr">
        <is>
          <t>a1</t>
        </is>
      </c>
      <c r="E104" s="2" t="inlineStr">
        <is>
          <t>2.0mm</t>
        </is>
      </c>
      <c r="F104" s="2" t="n">
        <v>2</v>
      </c>
      <c r="G104" s="2" t="n">
        <v>3</v>
      </c>
      <c r="H104" s="2" t="inlineStr">
        <is>
          <t>SC/PC</t>
        </is>
      </c>
      <c r="I104" s="2" t="inlineStr">
        <is>
          <t>SC/APC</t>
        </is>
      </c>
      <c r="J104" s="2" t="n"/>
      <c r="K104" s="2" t="n">
        <v>2</v>
      </c>
      <c r="L104" s="2" t="n"/>
      <c r="M104" s="2" t="n">
        <v>13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>
        <f>SUM(J104:U104)</f>
        <v/>
      </c>
      <c r="W104" s="2" t="n"/>
      <c r="X104" s="2" t="n"/>
      <c r="Y104" s="2" t="n"/>
      <c r="Z104" s="2" t="n"/>
      <c r="AA104" s="2" t="n">
        <v>30</v>
      </c>
      <c r="AB104" s="2" t="n"/>
      <c r="AC104" s="2" t="n"/>
      <c r="AD104" s="2" t="n">
        <v>30</v>
      </c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>
        <f>IF(F104=1,V104*2,IF(F104=2,V104*F104*2,IF(F104&gt;2,F104*2*V104)))</f>
        <v/>
      </c>
      <c r="AW104" s="2">
        <f>SUM(W104:AU104)</f>
        <v/>
      </c>
    </row>
    <row r="105">
      <c r="A105" s="2" t="inlineStr">
        <is>
          <t>14-D-459</t>
        </is>
      </c>
      <c r="B105" s="3" t="inlineStr">
        <is>
          <t>DOJC-SM-SC/PC-SC/APC</t>
        </is>
      </c>
      <c r="C105" s="2" t="inlineStr">
        <is>
          <t>5M</t>
        </is>
      </c>
      <c r="D105" s="2" t="inlineStr">
        <is>
          <t>a1</t>
        </is>
      </c>
      <c r="E105" s="2" t="inlineStr">
        <is>
          <t>2.0mm</t>
        </is>
      </c>
      <c r="F105" s="2" t="n">
        <v>2</v>
      </c>
      <c r="G105" s="2" t="n">
        <v>5</v>
      </c>
      <c r="H105" s="2" t="inlineStr">
        <is>
          <t>SC/PC</t>
        </is>
      </c>
      <c r="I105" s="2" t="inlineStr">
        <is>
          <t>SC/APC</t>
        </is>
      </c>
      <c r="J105" s="2" t="n"/>
      <c r="K105" s="2" t="n">
        <v>4</v>
      </c>
      <c r="L105" s="2" t="n"/>
      <c r="M105" s="2" t="n"/>
      <c r="N105" s="2" t="n"/>
      <c r="O105" s="2" t="n"/>
      <c r="P105" s="2" t="n"/>
      <c r="Q105" s="2" t="n">
        <v>2</v>
      </c>
      <c r="R105" s="2" t="n"/>
      <c r="S105" s="2" t="n"/>
      <c r="T105" s="2" t="n"/>
      <c r="U105" s="2" t="n"/>
      <c r="V105" s="2">
        <f>SUM(J105:U105)</f>
        <v/>
      </c>
      <c r="W105" s="2" t="n"/>
      <c r="X105" s="2" t="n"/>
      <c r="Y105" s="2" t="n"/>
      <c r="Z105" s="2" t="n"/>
      <c r="AA105" s="2" t="n">
        <v>12</v>
      </c>
      <c r="AB105" s="2" t="n"/>
      <c r="AC105" s="2" t="n"/>
      <c r="AD105" s="2" t="n">
        <v>12</v>
      </c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>
        <f>IF(F105=1,V105*2,IF(F105=2,V105*F105*2,IF(F105&gt;2,F105*2*V105)))</f>
        <v/>
      </c>
      <c r="AW105" s="2">
        <f>SUM(W105:AU105)</f>
        <v/>
      </c>
    </row>
    <row r="106">
      <c r="A106" s="2" t="inlineStr">
        <is>
          <t>14-D-530</t>
        </is>
      </c>
      <c r="B106" s="3" t="inlineStr">
        <is>
          <t>DOJC-MM(OM3)-LC/PC-LC/PC</t>
        </is>
      </c>
      <c r="C106" s="2" t="inlineStr">
        <is>
          <t>4M</t>
        </is>
      </c>
      <c r="D106" s="2" t="inlineStr">
        <is>
          <t>om3</t>
        </is>
      </c>
      <c r="E106" s="2" t="inlineStr">
        <is>
          <t>2.0mm</t>
        </is>
      </c>
      <c r="F106" s="2" t="n">
        <v>2</v>
      </c>
      <c r="G106" s="2" t="n">
        <v>4</v>
      </c>
      <c r="H106" s="2" t="inlineStr">
        <is>
          <t>LC/PC</t>
        </is>
      </c>
      <c r="I106" s="2" t="inlineStr">
        <is>
          <t>LC/PC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>
        <v>50</v>
      </c>
      <c r="V106" s="2">
        <f>SUM(J106:U106)</f>
        <v/>
      </c>
      <c r="W106" s="2" t="n"/>
      <c r="X106" s="2" t="n">
        <v>100</v>
      </c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>
        <v>100</v>
      </c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>
        <f>IF(F106=1,V106*2,IF(F106=2,V106*F106*2,IF(F106&gt;2,F106*2*V106)))</f>
        <v/>
      </c>
      <c r="AW106" s="2">
        <f>SUM(W106:AU106)</f>
        <v/>
      </c>
    </row>
    <row r="107">
      <c r="A107" s="2" t="inlineStr">
        <is>
          <t>14-D-732</t>
        </is>
      </c>
      <c r="B107" s="3" t="inlineStr">
        <is>
          <t>DOJC-SM-LC/PC-LC/PC</t>
        </is>
      </c>
      <c r="C107" s="2" t="inlineStr">
        <is>
          <t>15M_청색케이블</t>
        </is>
      </c>
      <c r="D107" s="2" t="inlineStr">
        <is>
          <t>a1-청</t>
        </is>
      </c>
      <c r="E107" s="2" t="inlineStr">
        <is>
          <t>2.0mm</t>
        </is>
      </c>
      <c r="F107" s="2" t="n">
        <v>2</v>
      </c>
      <c r="G107" s="2" t="n">
        <v>15</v>
      </c>
      <c r="H107" s="2" t="inlineStr">
        <is>
          <t>LC/PC</t>
        </is>
      </c>
      <c r="I107" s="2" t="inlineStr">
        <is>
          <t>LC/PC</t>
        </is>
      </c>
      <c r="J107" s="2" t="n"/>
      <c r="K107" s="2" t="n"/>
      <c r="L107" s="2" t="n"/>
      <c r="M107" s="2" t="n"/>
      <c r="N107" s="2" t="n"/>
      <c r="O107" s="2" t="n">
        <v>30</v>
      </c>
      <c r="P107" s="2" t="n"/>
      <c r="Q107" s="2" t="n"/>
      <c r="R107" s="2" t="n"/>
      <c r="S107" s="2" t="n"/>
      <c r="T107" s="2" t="n"/>
      <c r="U107" s="2" t="n"/>
      <c r="V107" s="2">
        <f>SUM(J107:U107)</f>
        <v/>
      </c>
      <c r="W107" s="2" t="n">
        <v>60</v>
      </c>
      <c r="X107" s="2" t="n">
        <v>60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>
        <f>IF(F107=1,V107*2,IF(F107=2,V107*F107*2,IF(F107&gt;2,F107*2*V107)))</f>
        <v/>
      </c>
      <c r="AW107" s="2">
        <f>SUM(W107:AU107)</f>
        <v/>
      </c>
    </row>
    <row r="108">
      <c r="A108" s="2" t="inlineStr">
        <is>
          <t>14-D-733</t>
        </is>
      </c>
      <c r="B108" s="3" t="inlineStr">
        <is>
          <t>DOJC-SM-LC/PC-LC/PC</t>
        </is>
      </c>
      <c r="C108" s="2" t="inlineStr">
        <is>
          <t>20M_청색케이블</t>
        </is>
      </c>
      <c r="D108" s="2" t="inlineStr">
        <is>
          <t>a1-청</t>
        </is>
      </c>
      <c r="E108" s="2" t="inlineStr">
        <is>
          <t>2.0mm</t>
        </is>
      </c>
      <c r="F108" s="2" t="n">
        <v>2</v>
      </c>
      <c r="G108" s="2" t="n">
        <v>20</v>
      </c>
      <c r="H108" s="2" t="inlineStr">
        <is>
          <t>LC/PC</t>
        </is>
      </c>
      <c r="I108" s="2" t="inlineStr">
        <is>
          <t>LC/PC</t>
        </is>
      </c>
      <c r="J108" s="2" t="n"/>
      <c r="K108" s="2" t="n"/>
      <c r="L108" s="2" t="n"/>
      <c r="M108" s="2" t="n">
        <v>37</v>
      </c>
      <c r="N108" s="2" t="n"/>
      <c r="O108" s="2" t="n"/>
      <c r="P108" s="2" t="n"/>
      <c r="Q108" s="2" t="n"/>
      <c r="R108" s="2" t="n"/>
      <c r="S108" s="2" t="n"/>
      <c r="T108" s="2" t="n">
        <v>30</v>
      </c>
      <c r="U108" s="2" t="n"/>
      <c r="V108" s="2">
        <f>SUM(J108:U108)</f>
        <v/>
      </c>
      <c r="W108" s="2" t="n">
        <v>134</v>
      </c>
      <c r="X108" s="2" t="n">
        <v>134</v>
      </c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>
        <f>IF(F108=1,V108*2,IF(F108=2,V108*F108*2,IF(F108&gt;2,F108*2*V108)))</f>
        <v/>
      </c>
      <c r="AW108" s="2">
        <f>SUM(W108:AU108)</f>
        <v/>
      </c>
    </row>
    <row r="109">
      <c r="A109" s="2" t="inlineStr">
        <is>
          <t>14-D-746</t>
        </is>
      </c>
      <c r="B109" s="3" t="inlineStr">
        <is>
          <t>DOJC-SM-LC/PC-LC/PC</t>
        </is>
      </c>
      <c r="C109" s="2" t="inlineStr">
        <is>
          <t>50M_청색케이블</t>
        </is>
      </c>
      <c r="D109" s="2" t="inlineStr">
        <is>
          <t>a1-청</t>
        </is>
      </c>
      <c r="E109" s="2" t="inlineStr">
        <is>
          <t>2.0mm</t>
        </is>
      </c>
      <c r="F109" s="2" t="n">
        <v>2</v>
      </c>
      <c r="G109" s="2" t="n">
        <v>50</v>
      </c>
      <c r="H109" s="2" t="inlineStr">
        <is>
          <t>LC/PC</t>
        </is>
      </c>
      <c r="I109" s="2" t="inlineStr">
        <is>
          <t>LC/PC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>
        <v>10</v>
      </c>
      <c r="U109" s="2" t="n"/>
      <c r="V109" s="2">
        <f>SUM(J109:U109)</f>
        <v/>
      </c>
      <c r="W109" s="2" t="n">
        <v>20</v>
      </c>
      <c r="X109" s="2" t="n">
        <v>20</v>
      </c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>
        <f>IF(F109=1,V109*2,IF(F109=2,V109*F109*2,IF(F109&gt;2,F109*2*V109)))</f>
        <v/>
      </c>
      <c r="AW109" s="2">
        <f>SUM(W109:AU109)</f>
        <v/>
      </c>
    </row>
    <row r="110">
      <c r="A110" s="2" t="inlineStr">
        <is>
          <t>14-D-A002</t>
        </is>
      </c>
      <c r="B110" s="3" t="inlineStr">
        <is>
          <t>DOJC-SM-LC/PC-LC/PC</t>
        </is>
      </c>
      <c r="C110" s="2" t="inlineStr">
        <is>
          <t>1M_청색</t>
        </is>
      </c>
      <c r="D110" s="2" t="inlineStr">
        <is>
          <t>a1-청</t>
        </is>
      </c>
      <c r="E110" s="2" t="inlineStr">
        <is>
          <t>2.0mm</t>
        </is>
      </c>
      <c r="F110" s="2" t="n">
        <v>2</v>
      </c>
      <c r="G110" s="2" t="n">
        <v>1</v>
      </c>
      <c r="H110" s="2" t="inlineStr">
        <is>
          <t>LC/PC</t>
        </is>
      </c>
      <c r="I110" s="2" t="inlineStr">
        <is>
          <t>LC/PC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>
        <v>30</v>
      </c>
      <c r="S110" s="2" t="n">
        <v>30</v>
      </c>
      <c r="T110" s="2" t="n">
        <v>60</v>
      </c>
      <c r="U110" s="2" t="n"/>
      <c r="V110" s="2">
        <f>SUM(J110:U110)</f>
        <v/>
      </c>
      <c r="W110" s="2" t="n">
        <v>240</v>
      </c>
      <c r="X110" s="2" t="n">
        <v>240</v>
      </c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>
        <f>IF(F110=1,V110*2,IF(F110=2,V110*F110*2,IF(F110&gt;2,F110*2*V110)))</f>
        <v/>
      </c>
      <c r="AW110" s="2">
        <f>SUM(W110:AU110)</f>
        <v/>
      </c>
    </row>
    <row r="111">
      <c r="A111" s="2" t="inlineStr">
        <is>
          <t>14-D-A09</t>
        </is>
      </c>
      <c r="B111" s="3" t="inlineStr">
        <is>
          <t>DOJC-SM-LC/PC-LC/PC</t>
        </is>
      </c>
      <c r="C111" s="2" t="inlineStr">
        <is>
          <t>5M_청색케이블</t>
        </is>
      </c>
      <c r="D111" s="2" t="inlineStr">
        <is>
          <t>a1-청</t>
        </is>
      </c>
      <c r="E111" s="2" t="inlineStr">
        <is>
          <t>2.0mm</t>
        </is>
      </c>
      <c r="F111" s="2" t="n">
        <v>2</v>
      </c>
      <c r="G111" s="2" t="n">
        <v>5</v>
      </c>
      <c r="H111" s="2" t="inlineStr">
        <is>
          <t>LC/PC</t>
        </is>
      </c>
      <c r="I111" s="2" t="inlineStr">
        <is>
          <t>LC/PC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>
        <v>50</v>
      </c>
      <c r="U111" s="2" t="n"/>
      <c r="V111" s="2">
        <f>SUM(J111:U111)</f>
        <v/>
      </c>
      <c r="W111" s="2" t="n">
        <v>100</v>
      </c>
      <c r="X111" s="2" t="n">
        <v>100</v>
      </c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>
        <f>IF(F111=1,V111*2,IF(F111=2,V111*F111*2,IF(F111&gt;2,F111*2*V111)))</f>
        <v/>
      </c>
      <c r="AW111" s="2">
        <f>SUM(W111:AU111)</f>
        <v/>
      </c>
    </row>
    <row r="112">
      <c r="A112" s="2" t="inlineStr">
        <is>
          <t>14-D-A10</t>
        </is>
      </c>
      <c r="B112" s="3" t="inlineStr">
        <is>
          <t>DOJC-SM-LC/PC-LC/PC</t>
        </is>
      </c>
      <c r="C112" s="2" t="inlineStr">
        <is>
          <t>10M_청색케이블</t>
        </is>
      </c>
      <c r="D112" s="2" t="inlineStr">
        <is>
          <t>a1-청</t>
        </is>
      </c>
      <c r="E112" s="2" t="inlineStr">
        <is>
          <t>2.0mm</t>
        </is>
      </c>
      <c r="F112" s="2" t="n">
        <v>2</v>
      </c>
      <c r="G112" s="2" t="n">
        <v>10</v>
      </c>
      <c r="H112" s="2" t="inlineStr">
        <is>
          <t>LC/PC</t>
        </is>
      </c>
      <c r="I112" s="2" t="inlineStr">
        <is>
          <t>LC/PC</t>
        </is>
      </c>
      <c r="J112" s="2" t="n"/>
      <c r="K112" s="2" t="n"/>
      <c r="L112" s="2" t="n"/>
      <c r="M112" s="2" t="n">
        <v>320</v>
      </c>
      <c r="N112" s="2" t="n">
        <v>650</v>
      </c>
      <c r="O112" s="2" t="n"/>
      <c r="P112" s="2" t="n"/>
      <c r="Q112" s="2" t="n"/>
      <c r="R112" s="2" t="n"/>
      <c r="S112" s="2" t="n"/>
      <c r="T112" s="2" t="n"/>
      <c r="U112" s="2" t="n"/>
      <c r="V112" s="2">
        <f>SUM(J112:U112)</f>
        <v/>
      </c>
      <c r="W112" s="2" t="n">
        <v>1940</v>
      </c>
      <c r="X112" s="2" t="n">
        <v>1940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>
        <f>IF(F112=1,V112*2,IF(F112=2,V112*F112*2,IF(F112&gt;2,F112*2*V112)))</f>
        <v/>
      </c>
      <c r="AW112" s="2">
        <f>SUM(W112:AU112)</f>
        <v/>
      </c>
    </row>
    <row r="113">
      <c r="A113" s="2" t="inlineStr">
        <is>
          <t>14-D-A100</t>
        </is>
      </c>
      <c r="B113" s="3" t="inlineStr">
        <is>
          <t>OJC-A1-SC/LC-SM-20-PC/PC-DP</t>
        </is>
      </c>
      <c r="C113" s="2" t="inlineStr">
        <is>
          <t>K9089164_녹색</t>
        </is>
      </c>
      <c r="D113" s="2" t="inlineStr">
        <is>
          <t>a1-녹</t>
        </is>
      </c>
      <c r="E113" s="2" t="inlineStr">
        <is>
          <t>2.0mm</t>
        </is>
      </c>
      <c r="F113" s="2" t="n">
        <v>2</v>
      </c>
      <c r="G113" s="2" t="n">
        <v>20</v>
      </c>
      <c r="H113" s="2" t="inlineStr">
        <is>
          <t>SC/PC</t>
        </is>
      </c>
      <c r="I113" s="2" t="inlineStr">
        <is>
          <t>LC/PC</t>
        </is>
      </c>
      <c r="J113" s="2" t="n"/>
      <c r="K113" s="2" t="n"/>
      <c r="L113" s="2" t="n">
        <v>2</v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>
        <f>SUM(J113:U113)</f>
        <v/>
      </c>
      <c r="W113" s="2" t="n"/>
      <c r="X113" s="2" t="n">
        <v>4</v>
      </c>
      <c r="Y113" s="2" t="n"/>
      <c r="Z113" s="2" t="n"/>
      <c r="AA113" s="2" t="n">
        <v>4</v>
      </c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>
        <f>IF(F113=1,V113*2,IF(F113=2,V113*F113*2,IF(F113&gt;2,F113*2*V113)))</f>
        <v/>
      </c>
      <c r="AW113" s="2">
        <f>SUM(W113:AU113)</f>
        <v/>
      </c>
    </row>
    <row r="114">
      <c r="A114" s="2" t="inlineStr">
        <is>
          <t>14-D-A102</t>
        </is>
      </c>
      <c r="B114" s="3" t="inlineStr">
        <is>
          <t>OJC-A1-LC/LC-SM-20-PC/PC-DP</t>
        </is>
      </c>
      <c r="C114" s="2" t="inlineStr">
        <is>
          <t>K9089178_녹색</t>
        </is>
      </c>
      <c r="D114" s="2" t="inlineStr">
        <is>
          <t>a1-녹</t>
        </is>
      </c>
      <c r="E114" s="2" t="inlineStr">
        <is>
          <t>2.0mm</t>
        </is>
      </c>
      <c r="F114" s="2" t="n">
        <v>2</v>
      </c>
      <c r="G114" s="2" t="n">
        <v>20</v>
      </c>
      <c r="H114" s="2" t="inlineStr">
        <is>
          <t>LC/PC</t>
        </is>
      </c>
      <c r="I114" s="2" t="inlineStr">
        <is>
          <t>LC/PC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>
        <v>12</v>
      </c>
      <c r="S114" s="2" t="n"/>
      <c r="T114" s="2" t="n"/>
      <c r="U114" s="2" t="n"/>
      <c r="V114" s="2">
        <f>SUM(J114:U114)</f>
        <v/>
      </c>
      <c r="W114" s="2" t="n">
        <v>24</v>
      </c>
      <c r="X114" s="2" t="n">
        <v>24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>
        <f>IF(F114=1,V114*2,IF(F114=2,V114*F114*2,IF(F114&gt;2,F114*2*V114)))</f>
        <v/>
      </c>
      <c r="AW114" s="2">
        <f>SUM(W114:AU114)</f>
        <v/>
      </c>
    </row>
    <row r="115">
      <c r="A115" s="2" t="inlineStr">
        <is>
          <t>14-D-A104</t>
        </is>
      </c>
      <c r="B115" s="3" t="inlineStr">
        <is>
          <t>OJC-A1-SC/LC-SM-25-PC/PC-DP</t>
        </is>
      </c>
      <c r="C115" s="2" t="inlineStr">
        <is>
          <t>K9089165_녹색</t>
        </is>
      </c>
      <c r="D115" s="2" t="inlineStr">
        <is>
          <t>a1-녹</t>
        </is>
      </c>
      <c r="E115" s="2" t="inlineStr">
        <is>
          <t>2.0mm</t>
        </is>
      </c>
      <c r="F115" s="2" t="n">
        <v>2</v>
      </c>
      <c r="G115" s="2" t="n">
        <v>25</v>
      </c>
      <c r="H115" s="2" t="inlineStr">
        <is>
          <t>SC/PC</t>
        </is>
      </c>
      <c r="I115" s="2" t="inlineStr">
        <is>
          <t>LC/PC</t>
        </is>
      </c>
      <c r="J115" s="2" t="n"/>
      <c r="K115" s="2" t="n"/>
      <c r="L115" s="2" t="n"/>
      <c r="M115" s="2" t="n">
        <v>30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>
        <f>SUM(J115:U115)</f>
        <v/>
      </c>
      <c r="W115" s="2" t="n"/>
      <c r="X115" s="2" t="n">
        <v>60</v>
      </c>
      <c r="Y115" s="2" t="n"/>
      <c r="Z115" s="2" t="n"/>
      <c r="AA115" s="2" t="n">
        <v>60</v>
      </c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>
        <f>IF(F115=1,V115*2,IF(F115=2,V115*F115*2,IF(F115&gt;2,F115*2*V115)))</f>
        <v/>
      </c>
      <c r="AW115" s="2">
        <f>SUM(W115:AU115)</f>
        <v/>
      </c>
    </row>
    <row r="116">
      <c r="A116" s="2" t="inlineStr">
        <is>
          <t>14-D-A105</t>
        </is>
      </c>
      <c r="B116" s="3" t="inlineStr">
        <is>
          <t>DOJC-SM-LC/PC-LC/PC</t>
        </is>
      </c>
      <c r="C116" s="2" t="inlineStr">
        <is>
          <t>7M_청색</t>
        </is>
      </c>
      <c r="D116" s="2" t="inlineStr">
        <is>
          <t>a1-청</t>
        </is>
      </c>
      <c r="E116" s="2" t="inlineStr">
        <is>
          <t>2.0mm</t>
        </is>
      </c>
      <c r="F116" s="2" t="n">
        <v>2</v>
      </c>
      <c r="G116" s="2" t="n">
        <v>7</v>
      </c>
      <c r="H116" s="2" t="inlineStr">
        <is>
          <t>LC/PC</t>
        </is>
      </c>
      <c r="I116" s="2" t="inlineStr">
        <is>
          <t>LC/PC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>
        <v>220</v>
      </c>
      <c r="S116" s="2" t="n">
        <v>20</v>
      </c>
      <c r="T116" s="2" t="n">
        <v>20</v>
      </c>
      <c r="U116" s="2" t="n"/>
      <c r="V116" s="2">
        <f>SUM(J116:U116)</f>
        <v/>
      </c>
      <c r="W116" s="2" t="n">
        <v>520</v>
      </c>
      <c r="X116" s="2" t="n">
        <v>520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>
        <f>IF(F116=1,V116*2,IF(F116=2,V116*F116*2,IF(F116&gt;2,F116*2*V116)))</f>
        <v/>
      </c>
      <c r="AW116" s="2">
        <f>SUM(W116:AU116)</f>
        <v/>
      </c>
    </row>
    <row r="117">
      <c r="A117" s="2" t="inlineStr">
        <is>
          <t>14-D-A106</t>
        </is>
      </c>
      <c r="B117" s="3" t="inlineStr">
        <is>
          <t>DOJC-MM-LC/PC-SC/APC</t>
        </is>
      </c>
      <c r="C117" s="2" t="inlineStr">
        <is>
          <t>15M</t>
        </is>
      </c>
      <c r="D117" s="2" t="inlineStr">
        <is>
          <t>om1</t>
        </is>
      </c>
      <c r="E117" s="2" t="inlineStr">
        <is>
          <t>2.0mm</t>
        </is>
      </c>
      <c r="F117" s="2" t="n">
        <v>2</v>
      </c>
      <c r="G117" s="2" t="n">
        <v>15</v>
      </c>
      <c r="H117" s="2" t="inlineStr">
        <is>
          <t>LC/PC</t>
        </is>
      </c>
      <c r="I117" s="2" t="inlineStr">
        <is>
          <t>SC/APC</t>
        </is>
      </c>
      <c r="J117" s="2" t="n"/>
      <c r="K117" s="2" t="n"/>
      <c r="L117" s="2" t="n"/>
      <c r="M117" s="2" t="n"/>
      <c r="N117" s="2" t="n"/>
      <c r="O117" s="2" t="n"/>
      <c r="P117" s="2" t="n">
        <v>5</v>
      </c>
      <c r="Q117" s="2" t="n"/>
      <c r="R117" s="2" t="n"/>
      <c r="S117" s="2" t="n"/>
      <c r="T117" s="2" t="n"/>
      <c r="U117" s="2" t="n"/>
      <c r="V117" s="2">
        <f>SUM(J117:U117)</f>
        <v/>
      </c>
      <c r="W117" s="2" t="n"/>
      <c r="X117" s="2" t="n"/>
      <c r="Y117" s="2" t="n"/>
      <c r="Z117" s="2" t="n"/>
      <c r="AA117" s="2" t="n"/>
      <c r="AB117" s="2" t="n"/>
      <c r="AC117" s="2" t="n"/>
      <c r="AD117" s="2" t="n">
        <v>10</v>
      </c>
      <c r="AE117" s="2" t="n"/>
      <c r="AF117" s="2" t="n"/>
      <c r="AG117" s="2" t="n"/>
      <c r="AH117" s="2" t="n"/>
      <c r="AI117" s="2" t="n">
        <v>10</v>
      </c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>
        <f>IF(F117=1,V117*2,IF(F117=2,V117*F117*2,IF(F117&gt;2,F117*2*V117)))</f>
        <v/>
      </c>
      <c r="AW117" s="2">
        <f>SUM(W117:AU117)</f>
        <v/>
      </c>
    </row>
    <row r="118">
      <c r="A118" s="2" t="inlineStr">
        <is>
          <t>14-D-A108</t>
        </is>
      </c>
      <c r="B118" s="3" t="inlineStr">
        <is>
          <t>DOJC-SM-LC/PC-LC/PC</t>
        </is>
      </c>
      <c r="C118" s="2" t="inlineStr">
        <is>
          <t>6M_청색케이블</t>
        </is>
      </c>
      <c r="D118" s="2" t="inlineStr">
        <is>
          <t>a1-청</t>
        </is>
      </c>
      <c r="E118" s="2" t="inlineStr">
        <is>
          <t>2.0mm</t>
        </is>
      </c>
      <c r="F118" s="2" t="n">
        <v>2</v>
      </c>
      <c r="G118" s="2" t="n">
        <v>6</v>
      </c>
      <c r="H118" s="2" t="inlineStr">
        <is>
          <t>LC/PC</t>
        </is>
      </c>
      <c r="I118" s="2" t="inlineStr">
        <is>
          <t>LC/PC</t>
        </is>
      </c>
      <c r="J118" s="2" t="n">
        <v>20</v>
      </c>
      <c r="K118" s="2" t="n"/>
      <c r="L118" s="2" t="n"/>
      <c r="M118" s="2" t="n"/>
      <c r="N118" s="2" t="n"/>
      <c r="O118" s="2" t="n"/>
      <c r="P118" s="2" t="n"/>
      <c r="Q118" s="2" t="n"/>
      <c r="R118" s="2" t="n">
        <v>20</v>
      </c>
      <c r="S118" s="2" t="n">
        <v>20</v>
      </c>
      <c r="T118" s="2" t="n">
        <v>20</v>
      </c>
      <c r="U118" s="2" t="n"/>
      <c r="V118" s="2">
        <f>SUM(J118:U118)</f>
        <v/>
      </c>
      <c r="W118" s="2" t="n">
        <v>160</v>
      </c>
      <c r="X118" s="2" t="n">
        <v>160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>
        <f>IF(F118=1,V118*2,IF(F118=2,V118*F118*2,IF(F118&gt;2,F118*2*V118)))</f>
        <v/>
      </c>
      <c r="AW118" s="2">
        <f>SUM(W118:AU118)</f>
        <v/>
      </c>
    </row>
    <row r="119">
      <c r="A119" s="2" t="inlineStr">
        <is>
          <t>14-D-A118</t>
        </is>
      </c>
      <c r="B119" s="3" t="inlineStr">
        <is>
          <t>DOJC-MM(OM3)-LC/PC-LC/PC</t>
        </is>
      </c>
      <c r="C119" s="2" t="inlineStr">
        <is>
          <t>60M</t>
        </is>
      </c>
      <c r="D119" s="2" t="inlineStr">
        <is>
          <t>om3</t>
        </is>
      </c>
      <c r="E119" s="2" t="inlineStr">
        <is>
          <t>2.0mm</t>
        </is>
      </c>
      <c r="F119" s="2" t="n">
        <v>2</v>
      </c>
      <c r="G119" s="2" t="n">
        <v>60</v>
      </c>
      <c r="H119" s="2" t="inlineStr">
        <is>
          <t>LC/PC</t>
        </is>
      </c>
      <c r="I119" s="2" t="inlineStr">
        <is>
          <t>LC/PC</t>
        </is>
      </c>
      <c r="J119" s="2" t="n"/>
      <c r="K119" s="2" t="n"/>
      <c r="L119" s="2" t="n"/>
      <c r="M119" s="2" t="n">
        <v>2</v>
      </c>
      <c r="N119" s="2" t="n"/>
      <c r="O119" s="2" t="n"/>
      <c r="P119" s="2" t="n"/>
      <c r="Q119" s="2" t="n"/>
      <c r="R119" s="2" t="n"/>
      <c r="S119" s="2" t="n"/>
      <c r="T119" s="2" t="n">
        <v>1</v>
      </c>
      <c r="U119" s="2" t="n"/>
      <c r="V119" s="2">
        <f>SUM(J119:U119)</f>
        <v/>
      </c>
      <c r="W119" s="2" t="n"/>
      <c r="X119" s="2" t="n">
        <v>6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>
        <v>6</v>
      </c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>
        <f>IF(F119=1,V119*2,IF(F119=2,V119*F119*2,IF(F119&gt;2,F119*2*V119)))</f>
        <v/>
      </c>
      <c r="AW119" s="2">
        <f>SUM(W119:AU119)</f>
        <v/>
      </c>
    </row>
    <row r="120">
      <c r="A120" s="2" t="inlineStr">
        <is>
          <t>14-D-A125</t>
        </is>
      </c>
      <c r="B120" s="3" t="inlineStr">
        <is>
          <t>OJC-A1-SC/LC-SM-5-PC/PC-DP</t>
        </is>
      </c>
      <c r="C120" s="2" t="inlineStr">
        <is>
          <t>K9089161_녹색</t>
        </is>
      </c>
      <c r="D120" s="2" t="inlineStr">
        <is>
          <t>a1-녹</t>
        </is>
      </c>
      <c r="E120" s="2" t="inlineStr">
        <is>
          <t>2.0mm</t>
        </is>
      </c>
      <c r="F120" s="2" t="n">
        <v>2</v>
      </c>
      <c r="G120" s="2" t="n">
        <v>5</v>
      </c>
      <c r="H120" s="2" t="inlineStr">
        <is>
          <t>SC/PC</t>
        </is>
      </c>
      <c r="I120" s="2" t="inlineStr">
        <is>
          <t>LC/PC</t>
        </is>
      </c>
      <c r="J120" s="2" t="n"/>
      <c r="K120" s="2" t="n"/>
      <c r="L120" s="2" t="n">
        <v>2</v>
      </c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>
        <f>SUM(J120:U120)</f>
        <v/>
      </c>
      <c r="W120" s="2" t="n"/>
      <c r="X120" s="2" t="n">
        <v>4</v>
      </c>
      <c r="Y120" s="2" t="n"/>
      <c r="Z120" s="2" t="n"/>
      <c r="AA120" s="2" t="n">
        <v>4</v>
      </c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>
        <f>IF(F120=1,V120*2,IF(F120=2,V120*F120*2,IF(F120&gt;2,F120*2*V120)))</f>
        <v/>
      </c>
      <c r="AW120" s="2">
        <f>SUM(W120:AU120)</f>
        <v/>
      </c>
    </row>
    <row r="121">
      <c r="A121" s="2" t="inlineStr">
        <is>
          <t>14-D-A198</t>
        </is>
      </c>
      <c r="B121" s="3" t="inlineStr">
        <is>
          <t>DOJC-SM-LC/PC-LC/PC</t>
        </is>
      </c>
      <c r="C121" s="2" t="inlineStr">
        <is>
          <t>1.5M_청색케이블</t>
        </is>
      </c>
      <c r="D121" s="2" t="inlineStr">
        <is>
          <t>a1-청</t>
        </is>
      </c>
      <c r="E121" s="2" t="inlineStr">
        <is>
          <t>2.0mm</t>
        </is>
      </c>
      <c r="F121" s="2" t="n">
        <v>2</v>
      </c>
      <c r="G121" s="2" t="n">
        <v>1.5</v>
      </c>
      <c r="H121" s="2" t="inlineStr">
        <is>
          <t>LC/PC</t>
        </is>
      </c>
      <c r="I121" s="2" t="inlineStr">
        <is>
          <t>LC/PC</t>
        </is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>
        <v>30</v>
      </c>
      <c r="U121" s="2" t="n"/>
      <c r="V121" s="2">
        <f>SUM(J121:U121)</f>
        <v/>
      </c>
      <c r="W121" s="2" t="n">
        <v>60</v>
      </c>
      <c r="X121" s="2" t="n">
        <v>60</v>
      </c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>
        <f>IF(F121=1,V121*2,IF(F121=2,V121*F121*2,IF(F121&gt;2,F121*2*V121)))</f>
        <v/>
      </c>
      <c r="AW121" s="2">
        <f>SUM(W121:AU121)</f>
        <v/>
      </c>
    </row>
    <row r="122">
      <c r="A122" s="2" t="inlineStr">
        <is>
          <t>14-D-A199</t>
        </is>
      </c>
      <c r="B122" s="3" t="inlineStr">
        <is>
          <t>DOJC-SM-LC/PC-LC/PC</t>
        </is>
      </c>
      <c r="C122" s="2" t="inlineStr">
        <is>
          <t>3M_청색케이블</t>
        </is>
      </c>
      <c r="D122" s="2" t="inlineStr">
        <is>
          <t>a1-청</t>
        </is>
      </c>
      <c r="E122" s="2" t="inlineStr">
        <is>
          <t>2.0mm</t>
        </is>
      </c>
      <c r="F122" s="2" t="n">
        <v>2</v>
      </c>
      <c r="G122" s="2" t="n">
        <v>3</v>
      </c>
      <c r="H122" s="2" t="inlineStr">
        <is>
          <t>LC/PC</t>
        </is>
      </c>
      <c r="I122" s="2" t="inlineStr">
        <is>
          <t>LC/PC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>
        <v>110</v>
      </c>
      <c r="S122" s="2" t="n">
        <v>20</v>
      </c>
      <c r="T122" s="2" t="n">
        <v>70</v>
      </c>
      <c r="U122" s="2" t="n"/>
      <c r="V122" s="2">
        <f>SUM(J122:U122)</f>
        <v/>
      </c>
      <c r="W122" s="2" t="n">
        <v>400</v>
      </c>
      <c r="X122" s="2" t="n">
        <v>400</v>
      </c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>
        <f>IF(F122=1,V122*2,IF(F122=2,V122*F122*2,IF(F122&gt;2,F122*2*V122)))</f>
        <v/>
      </c>
      <c r="AW122" s="2">
        <f>SUM(W122:AU122)</f>
        <v/>
      </c>
    </row>
    <row r="123">
      <c r="A123" s="2" t="inlineStr">
        <is>
          <t>14-D-A232</t>
        </is>
      </c>
      <c r="B123" s="3" t="inlineStr">
        <is>
          <t>DOJC-MM(OM3)-LC/PC-LC/PC</t>
        </is>
      </c>
      <c r="C123" s="2" t="inlineStr">
        <is>
          <t>6M</t>
        </is>
      </c>
      <c r="D123" s="2" t="inlineStr">
        <is>
          <t>om3</t>
        </is>
      </c>
      <c r="E123" s="2" t="inlineStr">
        <is>
          <t>2.0mm</t>
        </is>
      </c>
      <c r="F123" s="2" t="n">
        <v>2</v>
      </c>
      <c r="G123" s="2" t="n">
        <v>6</v>
      </c>
      <c r="H123" s="2" t="inlineStr">
        <is>
          <t>LC/PC</t>
        </is>
      </c>
      <c r="I123" s="2" t="inlineStr">
        <is>
          <t>LC/PC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>
        <v>10</v>
      </c>
      <c r="U123" s="2" t="n"/>
      <c r="V123" s="2">
        <f>SUM(J123:U123)</f>
        <v/>
      </c>
      <c r="W123" s="2" t="n"/>
      <c r="X123" s="2" t="n">
        <v>20</v>
      </c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>
        <v>20</v>
      </c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>
        <f>IF(F123=1,V123*2,IF(F123=2,V123*F123*2,IF(F123&gt;2,F123*2*V123)))</f>
        <v/>
      </c>
      <c r="AW123" s="2">
        <f>SUM(W123:AU123)</f>
        <v/>
      </c>
    </row>
    <row r="124">
      <c r="A124" s="2" t="inlineStr">
        <is>
          <t>14-D-A376</t>
        </is>
      </c>
      <c r="B124" s="3" t="inlineStr">
        <is>
          <t>DOJC-MM(OM3)-LC/PC-LC/PC</t>
        </is>
      </c>
      <c r="C124" s="2" t="inlineStr">
        <is>
          <t>3M</t>
        </is>
      </c>
      <c r="D124" s="2" t="inlineStr">
        <is>
          <t>om3</t>
        </is>
      </c>
      <c r="E124" s="2" t="inlineStr">
        <is>
          <t>2.0mm</t>
        </is>
      </c>
      <c r="F124" s="2" t="n">
        <v>2</v>
      </c>
      <c r="G124" s="2" t="n">
        <v>3</v>
      </c>
      <c r="H124" s="2" t="inlineStr">
        <is>
          <t>LC/PC</t>
        </is>
      </c>
      <c r="I124" s="2" t="inlineStr">
        <is>
          <t>LC/PC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n">
        <v>28</v>
      </c>
      <c r="R124" s="2" t="n"/>
      <c r="S124" s="2" t="n"/>
      <c r="T124" s="2" t="n"/>
      <c r="U124" s="2" t="n"/>
      <c r="V124" s="2">
        <f>SUM(J124:U124)</f>
        <v/>
      </c>
      <c r="W124" s="2" t="n"/>
      <c r="X124" s="2" t="n">
        <v>56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>
        <v>56</v>
      </c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>
        <f>IF(F124=1,V124*2,IF(F124=2,V124*F124*2,IF(F124&gt;2,F124*2*V124)))</f>
        <v/>
      </c>
      <c r="AW124" s="2">
        <f>SUM(W124:AU124)</f>
        <v/>
      </c>
    </row>
    <row r="125">
      <c r="A125" s="2" t="inlineStr">
        <is>
          <t>14-D-A448</t>
        </is>
      </c>
      <c r="B125" s="3" t="inlineStr">
        <is>
          <t>DOJC-MM-LC/PC-SC/APC</t>
        </is>
      </c>
      <c r="C125" s="2" t="inlineStr">
        <is>
          <t>25M</t>
        </is>
      </c>
      <c r="D125" s="2" t="inlineStr">
        <is>
          <t>om1</t>
        </is>
      </c>
      <c r="E125" s="2" t="inlineStr">
        <is>
          <t>2.0mm</t>
        </is>
      </c>
      <c r="F125" s="2" t="n">
        <v>2</v>
      </c>
      <c r="G125" s="2" t="n">
        <v>25</v>
      </c>
      <c r="H125" s="2" t="inlineStr">
        <is>
          <t>LC/PC</t>
        </is>
      </c>
      <c r="I125" s="2" t="inlineStr">
        <is>
          <t>SC/APC</t>
        </is>
      </c>
      <c r="J125" s="2" t="n"/>
      <c r="K125" s="2" t="n"/>
      <c r="L125" s="2" t="n"/>
      <c r="M125" s="2" t="n"/>
      <c r="N125" s="2" t="n"/>
      <c r="O125" s="2" t="n"/>
      <c r="P125" s="2" t="n">
        <v>5</v>
      </c>
      <c r="Q125" s="2" t="n"/>
      <c r="R125" s="2" t="n"/>
      <c r="S125" s="2" t="n"/>
      <c r="T125" s="2" t="n"/>
      <c r="U125" s="2" t="n"/>
      <c r="V125" s="2">
        <f>SUM(J125:U125)</f>
        <v/>
      </c>
      <c r="W125" s="2" t="n"/>
      <c r="X125" s="2" t="n"/>
      <c r="Y125" s="2" t="n"/>
      <c r="Z125" s="2" t="n"/>
      <c r="AA125" s="2" t="n"/>
      <c r="AB125" s="2" t="n"/>
      <c r="AC125" s="2" t="n"/>
      <c r="AD125" s="2" t="n">
        <v>10</v>
      </c>
      <c r="AE125" s="2" t="n"/>
      <c r="AF125" s="2" t="n"/>
      <c r="AG125" s="2" t="n"/>
      <c r="AH125" s="2" t="n"/>
      <c r="AI125" s="2" t="n">
        <v>10</v>
      </c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>
        <f>IF(F125=1,V125*2,IF(F125=2,V125*F125*2,IF(F125&gt;2,F125*2*V125)))</f>
        <v/>
      </c>
      <c r="AW125" s="2">
        <f>SUM(W125:AU125)</f>
        <v/>
      </c>
    </row>
    <row r="126">
      <c r="A126" s="2" t="inlineStr">
        <is>
          <t>14-D-A87</t>
        </is>
      </c>
      <c r="B126" s="3" t="inlineStr">
        <is>
          <t>DOJC-SM-LC/PC-LC/PC</t>
        </is>
      </c>
      <c r="C126" s="2" t="inlineStr">
        <is>
          <t>8M_청색</t>
        </is>
      </c>
      <c r="D126" s="2" t="inlineStr">
        <is>
          <t>a1-청</t>
        </is>
      </c>
      <c r="E126" s="2" t="inlineStr">
        <is>
          <t>2.0mm</t>
        </is>
      </c>
      <c r="F126" s="2" t="n">
        <v>2</v>
      </c>
      <c r="G126" s="2" t="n">
        <v>8</v>
      </c>
      <c r="H126" s="2" t="inlineStr">
        <is>
          <t>LC/PC</t>
        </is>
      </c>
      <c r="I126" s="2" t="inlineStr">
        <is>
          <t>LC/PC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>
        <v>60</v>
      </c>
      <c r="S126" s="2" t="n"/>
      <c r="T126" s="2" t="n">
        <v>100</v>
      </c>
      <c r="U126" s="2" t="n"/>
      <c r="V126" s="2">
        <f>SUM(J126:U126)</f>
        <v/>
      </c>
      <c r="W126" s="2" t="n">
        <v>320</v>
      </c>
      <c r="X126" s="2" t="n">
        <v>320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>
        <f>IF(F126=1,V126*2,IF(F126=2,V126*F126*2,IF(F126&gt;2,F126*2*V126)))</f>
        <v/>
      </c>
      <c r="AW126" s="2">
        <f>SUM(W126:AU126)</f>
        <v/>
      </c>
    </row>
    <row r="127">
      <c r="A127" s="2" t="inlineStr">
        <is>
          <t>14-K-014</t>
        </is>
      </c>
      <c r="B127" s="3" t="inlineStr">
        <is>
          <t>OJC-A1-FC/LC-SM-25-PC/PC-DP</t>
        </is>
      </c>
      <c r="C127" s="2" t="inlineStr"/>
      <c r="D127" s="2" t="inlineStr">
        <is>
          <t>a1</t>
        </is>
      </c>
      <c r="E127" s="2" t="inlineStr">
        <is>
          <t>2.0mm</t>
        </is>
      </c>
      <c r="F127" s="2" t="n">
        <v>2</v>
      </c>
      <c r="G127" s="2" t="n">
        <v>25</v>
      </c>
      <c r="H127" s="2" t="inlineStr">
        <is>
          <t>FC/PC</t>
        </is>
      </c>
      <c r="I127" s="2" t="inlineStr">
        <is>
          <t>LC/PC</t>
        </is>
      </c>
      <c r="J127" s="2" t="n"/>
      <c r="K127" s="2" t="n"/>
      <c r="L127" s="2" t="n"/>
      <c r="M127" s="2" t="n"/>
      <c r="N127" s="2" t="n">
        <v>28</v>
      </c>
      <c r="O127" s="2" t="n"/>
      <c r="P127" s="2" t="n"/>
      <c r="Q127" s="2" t="n"/>
      <c r="R127" s="2" t="n"/>
      <c r="S127" s="2" t="n"/>
      <c r="T127" s="2" t="n"/>
      <c r="U127" s="2" t="n"/>
      <c r="V127" s="2">
        <f>SUM(J127:U127)</f>
        <v/>
      </c>
      <c r="W127" s="2" t="n"/>
      <c r="X127" s="2" t="n">
        <v>56</v>
      </c>
      <c r="Y127" s="2" t="n"/>
      <c r="Z127" s="2" t="n"/>
      <c r="AA127" s="2" t="n"/>
      <c r="AB127" s="2" t="n"/>
      <c r="AC127" s="2" t="n"/>
      <c r="AD127" s="2" t="n"/>
      <c r="AE127" s="2" t="n">
        <v>56</v>
      </c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>
        <f>IF(F127=1,V127*2,IF(F127=2,V127*F127*2,IF(F127&gt;2,F127*2*V127)))</f>
        <v/>
      </c>
      <c r="AW127" s="2">
        <f>SUM(W127:AU127)</f>
        <v/>
      </c>
    </row>
    <row r="128">
      <c r="A128" s="2" t="inlineStr">
        <is>
          <t>14-K-015</t>
        </is>
      </c>
      <c r="B128" s="3" t="inlineStr">
        <is>
          <t>OJC-A1-FC/LC-SM-30-PC/PC-DP</t>
        </is>
      </c>
      <c r="C128" s="2" t="inlineStr">
        <is>
          <t>K9089221</t>
        </is>
      </c>
      <c r="D128" s="2" t="inlineStr">
        <is>
          <t>a1</t>
        </is>
      </c>
      <c r="E128" s="2" t="inlineStr">
        <is>
          <t>2.0mm</t>
        </is>
      </c>
      <c r="F128" s="2" t="n">
        <v>2</v>
      </c>
      <c r="G128" s="2" t="n">
        <v>30</v>
      </c>
      <c r="H128" s="2" t="inlineStr">
        <is>
          <t>FC/PC</t>
        </is>
      </c>
      <c r="I128" s="2" t="inlineStr">
        <is>
          <t>LC/PC</t>
        </is>
      </c>
      <c r="J128" s="2" t="n"/>
      <c r="K128" s="2" t="n"/>
      <c r="L128" s="2" t="n"/>
      <c r="M128" s="2" t="n"/>
      <c r="N128" s="2" t="n">
        <v>3</v>
      </c>
      <c r="O128" s="2" t="n"/>
      <c r="P128" s="2" t="n"/>
      <c r="Q128" s="2" t="n"/>
      <c r="R128" s="2" t="n"/>
      <c r="S128" s="2" t="n"/>
      <c r="T128" s="2" t="n"/>
      <c r="U128" s="2" t="n"/>
      <c r="V128" s="2">
        <f>SUM(J128:U128)</f>
        <v/>
      </c>
      <c r="W128" s="2" t="n"/>
      <c r="X128" s="2" t="n">
        <v>6</v>
      </c>
      <c r="Y128" s="2" t="n"/>
      <c r="Z128" s="2" t="n"/>
      <c r="AA128" s="2" t="n"/>
      <c r="AB128" s="2" t="n"/>
      <c r="AC128" s="2" t="n"/>
      <c r="AD128" s="2" t="n"/>
      <c r="AE128" s="2" t="n">
        <v>6</v>
      </c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>
        <f>IF(F128=1,V128*2,IF(F128=2,V128*F128*2,IF(F128&gt;2,F128*2*V128)))</f>
        <v/>
      </c>
      <c r="AW128" s="2">
        <f>SUM(W128:AU128)</f>
        <v/>
      </c>
    </row>
    <row r="129">
      <c r="A129" s="2" t="inlineStr">
        <is>
          <t>14-K-016</t>
        </is>
      </c>
      <c r="B129" s="3" t="inlineStr">
        <is>
          <t>OJC-A1-FC/LC-SM-35M-PC/PC-DP</t>
        </is>
      </c>
      <c r="C129" s="2" t="inlineStr"/>
      <c r="D129" s="2" t="inlineStr">
        <is>
          <t>a1</t>
        </is>
      </c>
      <c r="E129" s="2" t="inlineStr">
        <is>
          <t>2.0mm</t>
        </is>
      </c>
      <c r="F129" s="2" t="n">
        <v>2</v>
      </c>
      <c r="G129" s="2" t="n"/>
      <c r="H129" s="2" t="inlineStr">
        <is>
          <t>FC/PC</t>
        </is>
      </c>
      <c r="I129" s="2" t="inlineStr">
        <is>
          <t>LC/PC</t>
        </is>
      </c>
      <c r="J129" s="2" t="n"/>
      <c r="K129" s="2" t="n"/>
      <c r="L129" s="2" t="n"/>
      <c r="M129" s="2" t="n"/>
      <c r="N129" s="2" t="n">
        <v>6</v>
      </c>
      <c r="O129" s="2" t="n"/>
      <c r="P129" s="2" t="n"/>
      <c r="Q129" s="2" t="n"/>
      <c r="R129" s="2" t="n"/>
      <c r="S129" s="2" t="n"/>
      <c r="T129" s="2" t="n"/>
      <c r="U129" s="2" t="n"/>
      <c r="V129" s="2">
        <f>SUM(J129:U129)</f>
        <v/>
      </c>
      <c r="W129" s="2" t="n"/>
      <c r="X129" s="2" t="n">
        <v>12</v>
      </c>
      <c r="Y129" s="2" t="n"/>
      <c r="Z129" s="2" t="n"/>
      <c r="AA129" s="2" t="n"/>
      <c r="AB129" s="2" t="n"/>
      <c r="AC129" s="2" t="n"/>
      <c r="AD129" s="2" t="n"/>
      <c r="AE129" s="2" t="n">
        <v>12</v>
      </c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>
        <f>IF(F129=1,V129*2,IF(F129=2,V129*F129*2,IF(F129&gt;2,F129*2*V129)))</f>
        <v/>
      </c>
      <c r="AW129" s="2">
        <f>SUM(W129:AU129)</f>
        <v/>
      </c>
    </row>
    <row r="130">
      <c r="A130" s="2" t="inlineStr">
        <is>
          <t>14-K-018</t>
        </is>
      </c>
      <c r="B130" s="3" t="inlineStr">
        <is>
          <t>OJC-A1-FC/LC-SM-40-APC/PC-DP</t>
        </is>
      </c>
      <c r="C130" s="2" t="inlineStr">
        <is>
          <t>K9089243</t>
        </is>
      </c>
      <c r="D130" s="2" t="inlineStr">
        <is>
          <t>a1</t>
        </is>
      </c>
      <c r="E130" s="2" t="inlineStr">
        <is>
          <t>2.0mm</t>
        </is>
      </c>
      <c r="F130" s="2" t="n">
        <v>2</v>
      </c>
      <c r="G130" s="2" t="n">
        <v>40</v>
      </c>
      <c r="H130" s="2" t="inlineStr">
        <is>
          <t>FC/APC</t>
        </is>
      </c>
      <c r="I130" s="2" t="inlineStr">
        <is>
          <t>LC/PC</t>
        </is>
      </c>
      <c r="J130" s="2" t="n"/>
      <c r="K130" s="2" t="n"/>
      <c r="L130" s="2" t="n"/>
      <c r="M130" s="2" t="n"/>
      <c r="N130" s="2" t="n"/>
      <c r="O130" s="2" t="n"/>
      <c r="P130" s="2" t="n"/>
      <c r="Q130" s="2" t="n">
        <v>15</v>
      </c>
      <c r="R130" s="2" t="n"/>
      <c r="S130" s="2" t="n"/>
      <c r="T130" s="2" t="n"/>
      <c r="U130" s="2" t="n"/>
      <c r="V130" s="2">
        <f>SUM(J130:U130)</f>
        <v/>
      </c>
      <c r="W130" s="2" t="n"/>
      <c r="X130" s="2" t="n">
        <v>30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>
        <v>30</v>
      </c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>
        <f>IF(F130=1,V130*2,IF(F130=2,V130*F130*2,IF(F130&gt;2,F130*2*V130)))</f>
        <v/>
      </c>
      <c r="AW130" s="2">
        <f>SUM(W130:AU130)</f>
        <v/>
      </c>
    </row>
    <row r="131">
      <c r="A131" s="2" t="inlineStr">
        <is>
          <t>14-K-021</t>
        </is>
      </c>
      <c r="B131" s="3" t="inlineStr">
        <is>
          <t>OJC-A1-LC/LC-MM(OM3)-10-PC/PC-DP</t>
        </is>
      </c>
      <c r="C131" s="2" t="inlineStr"/>
      <c r="D131" s="2" t="inlineStr">
        <is>
          <t>om3</t>
        </is>
      </c>
      <c r="E131" s="2" t="inlineStr">
        <is>
          <t>2.0mm</t>
        </is>
      </c>
      <c r="F131" s="2" t="n">
        <v>2</v>
      </c>
      <c r="G131" s="2" t="n">
        <v>10</v>
      </c>
      <c r="H131" s="2" t="inlineStr">
        <is>
          <t>LC/PC</t>
        </is>
      </c>
      <c r="I131" s="2" t="inlineStr">
        <is>
          <t>LC/PC</t>
        </is>
      </c>
      <c r="J131" s="2" t="n"/>
      <c r="K131" s="2" t="n"/>
      <c r="L131" s="2" t="n"/>
      <c r="M131" s="2" t="n"/>
      <c r="N131" s="2" t="n"/>
      <c r="O131" s="2" t="n"/>
      <c r="P131" s="2" t="n"/>
      <c r="Q131" s="2" t="n">
        <v>37</v>
      </c>
      <c r="R131" s="2" t="n">
        <v>6</v>
      </c>
      <c r="S131" s="2" t="n">
        <v>44</v>
      </c>
      <c r="T131" s="2" t="n"/>
      <c r="U131" s="2" t="n">
        <v>12</v>
      </c>
      <c r="V131" s="2">
        <f>SUM(J131:U131)</f>
        <v/>
      </c>
      <c r="W131" s="2" t="n"/>
      <c r="X131" s="2" t="n">
        <v>198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>
        <v>198</v>
      </c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>
        <f>IF(F131=1,V131*2,IF(F131=2,V131*F131*2,IF(F131&gt;2,F131*2*V131)))</f>
        <v/>
      </c>
      <c r="AW131" s="2">
        <f>SUM(W131:AU131)</f>
        <v/>
      </c>
    </row>
    <row r="132">
      <c r="A132" s="2" t="inlineStr">
        <is>
          <t>14-K-022</t>
        </is>
      </c>
      <c r="B132" s="3" t="inlineStr">
        <is>
          <t>OJC-A1-LC/LC-MM(OM3)-15-PC/PC-DP</t>
        </is>
      </c>
      <c r="C132" s="2" t="inlineStr"/>
      <c r="D132" s="2" t="inlineStr">
        <is>
          <t>om3</t>
        </is>
      </c>
      <c r="E132" s="2" t="inlineStr">
        <is>
          <t>2.0mm</t>
        </is>
      </c>
      <c r="F132" s="2" t="n">
        <v>2</v>
      </c>
      <c r="G132" s="2" t="n">
        <v>15</v>
      </c>
      <c r="H132" s="2" t="inlineStr">
        <is>
          <t>LC/PC</t>
        </is>
      </c>
      <c r="I132" s="2" t="inlineStr">
        <is>
          <t>LC/PC</t>
        </is>
      </c>
      <c r="J132" s="2" t="n"/>
      <c r="K132" s="2" t="n"/>
      <c r="L132" s="2" t="n"/>
      <c r="M132" s="2" t="n">
        <v>19</v>
      </c>
      <c r="N132" s="2" t="n"/>
      <c r="O132" s="2" t="n"/>
      <c r="P132" s="2" t="n"/>
      <c r="Q132" s="2" t="n">
        <v>32</v>
      </c>
      <c r="R132" s="2" t="n">
        <v>66</v>
      </c>
      <c r="S132" s="2" t="n"/>
      <c r="T132" s="2" t="n"/>
      <c r="U132" s="2" t="n"/>
      <c r="V132" s="2">
        <f>SUM(J132:U132)</f>
        <v/>
      </c>
      <c r="W132" s="2" t="n"/>
      <c r="X132" s="2" t="n">
        <v>234</v>
      </c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>
        <v>234</v>
      </c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>
        <f>IF(F132=1,V132*2,IF(F132=2,V132*F132*2,IF(F132&gt;2,F132*2*V132)))</f>
        <v/>
      </c>
      <c r="AW132" s="2">
        <f>SUM(W132:AU132)</f>
        <v/>
      </c>
    </row>
    <row r="133">
      <c r="A133" s="2" t="inlineStr">
        <is>
          <t>14-K-024</t>
        </is>
      </c>
      <c r="B133" s="3" t="inlineStr">
        <is>
          <t>OJC-A1-LC/LC-MM(OM3)-20-PC/PC-DP</t>
        </is>
      </c>
      <c r="C133" s="2" t="inlineStr"/>
      <c r="D133" s="2" t="inlineStr">
        <is>
          <t>om3</t>
        </is>
      </c>
      <c r="E133" s="2" t="inlineStr">
        <is>
          <t>2.0mm</t>
        </is>
      </c>
      <c r="F133" s="2" t="n">
        <v>2</v>
      </c>
      <c r="G133" s="2" t="n">
        <v>20</v>
      </c>
      <c r="H133" s="2" t="inlineStr">
        <is>
          <t>LC/PC</t>
        </is>
      </c>
      <c r="I133" s="2" t="inlineStr">
        <is>
          <t>LC/PC</t>
        </is>
      </c>
      <c r="J133" s="2" t="n"/>
      <c r="K133" s="2" t="n">
        <v>6</v>
      </c>
      <c r="L133" s="2" t="n"/>
      <c r="M133" s="2" t="n"/>
      <c r="N133" s="2" t="n"/>
      <c r="O133" s="2" t="n"/>
      <c r="P133" s="2" t="n"/>
      <c r="Q133" s="2" t="n">
        <v>10</v>
      </c>
      <c r="R133" s="2" t="n"/>
      <c r="S133" s="2" t="n">
        <v>18</v>
      </c>
      <c r="T133" s="2" t="n">
        <v>1</v>
      </c>
      <c r="U133" s="2" t="n"/>
      <c r="V133" s="2">
        <f>SUM(J133:U133)</f>
        <v/>
      </c>
      <c r="W133" s="2" t="n"/>
      <c r="X133" s="2" t="n">
        <v>70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>
        <v>70</v>
      </c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>
        <f>IF(F133=1,V133*2,IF(F133=2,V133*F133*2,IF(F133&gt;2,F133*2*V133)))</f>
        <v/>
      </c>
      <c r="AW133" s="2">
        <f>SUM(W133:AU133)</f>
        <v/>
      </c>
    </row>
    <row r="134">
      <c r="A134" s="2" t="inlineStr">
        <is>
          <t>14-K-025</t>
        </is>
      </c>
      <c r="B134" s="3" t="inlineStr">
        <is>
          <t>OJC-A1-LC/LC-MM(OM3)-25-PC/PC-DP</t>
        </is>
      </c>
      <c r="C134" s="2" t="inlineStr"/>
      <c r="D134" s="2" t="inlineStr">
        <is>
          <t>om3</t>
        </is>
      </c>
      <c r="E134" s="2" t="inlineStr">
        <is>
          <t>2.0mm</t>
        </is>
      </c>
      <c r="F134" s="2" t="n">
        <v>2</v>
      </c>
      <c r="G134" s="2" t="n">
        <v>25</v>
      </c>
      <c r="H134" s="2" t="inlineStr">
        <is>
          <t>LC/PC</t>
        </is>
      </c>
      <c r="I134" s="2" t="inlineStr">
        <is>
          <t>LC/PC</t>
        </is>
      </c>
      <c r="J134" s="2" t="n"/>
      <c r="K134" s="2" t="n"/>
      <c r="L134" s="2" t="n"/>
      <c r="M134" s="2" t="n">
        <v>4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>
        <f>SUM(J134:U134)</f>
        <v/>
      </c>
      <c r="W134" s="2" t="n"/>
      <c r="X134" s="2" t="n">
        <v>8</v>
      </c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>
        <v>8</v>
      </c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>
        <f>IF(F134=1,V134*2,IF(F134=2,V134*F134*2,IF(F134&gt;2,F134*2*V134)))</f>
        <v/>
      </c>
      <c r="AW134" s="2">
        <f>SUM(W134:AU134)</f>
        <v/>
      </c>
    </row>
    <row r="135">
      <c r="A135" s="2" t="inlineStr">
        <is>
          <t>14-K-026</t>
        </is>
      </c>
      <c r="B135" s="3" t="inlineStr">
        <is>
          <t>OJC-A1-LC/LC-MM(OM3)-30-PC/PC-DP</t>
        </is>
      </c>
      <c r="C135" s="2" t="inlineStr"/>
      <c r="D135" s="2" t="inlineStr">
        <is>
          <t>om3</t>
        </is>
      </c>
      <c r="E135" s="2" t="inlineStr">
        <is>
          <t>2.0mm</t>
        </is>
      </c>
      <c r="F135" s="2" t="n">
        <v>2</v>
      </c>
      <c r="G135" s="2" t="n">
        <v>30</v>
      </c>
      <c r="H135" s="2" t="inlineStr">
        <is>
          <t>LC/PC</t>
        </is>
      </c>
      <c r="I135" s="2" t="inlineStr">
        <is>
          <t>LC/PC</t>
        </is>
      </c>
      <c r="J135" s="2" t="n"/>
      <c r="K135" s="2" t="n">
        <v>10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>
        <f>SUM(J135:U135)</f>
        <v/>
      </c>
      <c r="W135" s="2" t="n"/>
      <c r="X135" s="2" t="n">
        <v>20</v>
      </c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>
        <v>20</v>
      </c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>
        <f>IF(F135=1,V135*2,IF(F135=2,V135*F135*2,IF(F135&gt;2,F135*2*V135)))</f>
        <v/>
      </c>
      <c r="AW135" s="2">
        <f>SUM(W135:AU135)</f>
        <v/>
      </c>
    </row>
    <row r="136">
      <c r="A136" s="2" t="inlineStr">
        <is>
          <t>14-K-027</t>
        </is>
      </c>
      <c r="B136" s="3" t="inlineStr">
        <is>
          <t>OJC-A1-LC/LC-MM(OM3)-35-PC/PC-DP</t>
        </is>
      </c>
      <c r="C136" s="2" t="inlineStr"/>
      <c r="D136" s="2" t="inlineStr">
        <is>
          <t>om3</t>
        </is>
      </c>
      <c r="E136" s="2" t="inlineStr">
        <is>
          <t>2.0mm</t>
        </is>
      </c>
      <c r="F136" s="2" t="n">
        <v>2</v>
      </c>
      <c r="G136" s="2" t="n">
        <v>35</v>
      </c>
      <c r="H136" s="2" t="inlineStr">
        <is>
          <t>LC/PC</t>
        </is>
      </c>
      <c r="I136" s="2" t="inlineStr">
        <is>
          <t>LC/PC</t>
        </is>
      </c>
      <c r="J136" s="2" t="n"/>
      <c r="K136" s="2" t="n"/>
      <c r="L136" s="2" t="n"/>
      <c r="M136" s="2" t="n">
        <v>8</v>
      </c>
      <c r="N136" s="2" t="n"/>
      <c r="O136" s="2" t="n"/>
      <c r="P136" s="2" t="n"/>
      <c r="Q136" s="2" t="n">
        <v>10</v>
      </c>
      <c r="R136" s="2" t="n"/>
      <c r="S136" s="2" t="n"/>
      <c r="T136" s="2" t="n"/>
      <c r="U136" s="2" t="n"/>
      <c r="V136" s="2">
        <f>SUM(J136:U136)</f>
        <v/>
      </c>
      <c r="W136" s="2" t="n"/>
      <c r="X136" s="2" t="n">
        <v>36</v>
      </c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>
        <v>36</v>
      </c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>
        <f>IF(F136=1,V136*2,IF(F136=2,V136*F136*2,IF(F136&gt;2,F136*2*V136)))</f>
        <v/>
      </c>
      <c r="AW136" s="2">
        <f>SUM(W136:AU136)</f>
        <v/>
      </c>
    </row>
    <row r="137">
      <c r="A137" s="2" t="inlineStr">
        <is>
          <t>14-K-031</t>
        </is>
      </c>
      <c r="B137" s="3" t="inlineStr">
        <is>
          <t>OJC-A1-LC/LC-MM(OM3)-5-PC/PC-DP</t>
        </is>
      </c>
      <c r="C137" s="2" t="inlineStr"/>
      <c r="D137" s="2" t="inlineStr">
        <is>
          <t>om3</t>
        </is>
      </c>
      <c r="E137" s="2" t="inlineStr">
        <is>
          <t>2.0mm</t>
        </is>
      </c>
      <c r="F137" s="2" t="n">
        <v>2</v>
      </c>
      <c r="G137" s="2" t="n">
        <v>5</v>
      </c>
      <c r="H137" s="2" t="inlineStr">
        <is>
          <t>LC/PC</t>
        </is>
      </c>
      <c r="I137" s="2" t="inlineStr">
        <is>
          <t>LC/PC</t>
        </is>
      </c>
      <c r="J137" s="2" t="n"/>
      <c r="K137" s="2" t="n">
        <v>132</v>
      </c>
      <c r="L137" s="2" t="n"/>
      <c r="M137" s="2" t="n">
        <v>24</v>
      </c>
      <c r="N137" s="2" t="n">
        <v>4</v>
      </c>
      <c r="O137" s="2" t="n">
        <v>50</v>
      </c>
      <c r="P137" s="2" t="n"/>
      <c r="Q137" s="2" t="n">
        <v>5</v>
      </c>
      <c r="R137" s="2" t="n"/>
      <c r="S137" s="2" t="n"/>
      <c r="T137" s="2" t="n">
        <v>50</v>
      </c>
      <c r="U137" s="2" t="n"/>
      <c r="V137" s="2">
        <f>SUM(J137:U137)</f>
        <v/>
      </c>
      <c r="W137" s="2" t="n"/>
      <c r="X137" s="2" t="n">
        <v>530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>
        <v>530</v>
      </c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>
        <f>IF(F137=1,V137*2,IF(F137=2,V137*F137*2,IF(F137&gt;2,F137*2*V137)))</f>
        <v/>
      </c>
      <c r="AW137" s="2">
        <f>SUM(W137:AU137)</f>
        <v/>
      </c>
    </row>
    <row r="138">
      <c r="A138" s="2" t="inlineStr">
        <is>
          <t>14-K-032</t>
        </is>
      </c>
      <c r="B138" s="3" t="inlineStr">
        <is>
          <t>OJC-A1-LC/LC-MM(OM3)-8-PC/PC-DP</t>
        </is>
      </c>
      <c r="C138" s="2" t="inlineStr"/>
      <c r="D138" s="2" t="inlineStr">
        <is>
          <t>om3</t>
        </is>
      </c>
      <c r="E138" s="2" t="inlineStr">
        <is>
          <t>2.0mm</t>
        </is>
      </c>
      <c r="F138" s="2" t="n">
        <v>2</v>
      </c>
      <c r="G138" s="2" t="n">
        <v>8</v>
      </c>
      <c r="H138" s="2" t="inlineStr">
        <is>
          <t>LC/PC</t>
        </is>
      </c>
      <c r="I138" s="2" t="inlineStr">
        <is>
          <t>LC/PC</t>
        </is>
      </c>
      <c r="J138" s="2" t="n"/>
      <c r="K138" s="2" t="n"/>
      <c r="L138" s="2" t="n"/>
      <c r="M138" s="2" t="n"/>
      <c r="N138" s="2" t="n"/>
      <c r="O138" s="2" t="n"/>
      <c r="P138" s="2" t="n">
        <v>10</v>
      </c>
      <c r="Q138" s="2" t="n"/>
      <c r="R138" s="2" t="n"/>
      <c r="S138" s="2" t="n"/>
      <c r="T138" s="2" t="n"/>
      <c r="U138" s="2" t="n"/>
      <c r="V138" s="2">
        <f>SUM(J138:U138)</f>
        <v/>
      </c>
      <c r="W138" s="2" t="n"/>
      <c r="X138" s="2" t="n">
        <v>20</v>
      </c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>
        <v>20</v>
      </c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>
        <f>IF(F138=1,V138*2,IF(F138=2,V138*F138*2,IF(F138&gt;2,F138*2*V138)))</f>
        <v/>
      </c>
      <c r="AW138" s="2">
        <f>SUM(W138:AU138)</f>
        <v/>
      </c>
    </row>
    <row r="139">
      <c r="A139" s="2" t="inlineStr">
        <is>
          <t>14-K-035</t>
        </is>
      </c>
      <c r="B139" s="3" t="inlineStr">
        <is>
          <t>OJC-A1-LC/LC-MM-10-PC/PC-DP</t>
        </is>
      </c>
      <c r="C139" s="2" t="inlineStr">
        <is>
          <t>K9089334</t>
        </is>
      </c>
      <c r="D139" s="2" t="inlineStr">
        <is>
          <t>om1</t>
        </is>
      </c>
      <c r="E139" s="2" t="inlineStr">
        <is>
          <t>2.0mm</t>
        </is>
      </c>
      <c r="F139" s="2" t="n">
        <v>2</v>
      </c>
      <c r="G139" s="2" t="n">
        <v>10</v>
      </c>
      <c r="H139" s="2" t="inlineStr">
        <is>
          <t>LC/PC</t>
        </is>
      </c>
      <c r="I139" s="2" t="inlineStr">
        <is>
          <t>LC/PC</t>
        </is>
      </c>
      <c r="J139" s="2" t="n"/>
      <c r="K139" s="2" t="n"/>
      <c r="L139" s="2" t="n"/>
      <c r="M139" s="2" t="n"/>
      <c r="N139" s="2" t="n">
        <v>30</v>
      </c>
      <c r="O139" s="2" t="n">
        <v>50</v>
      </c>
      <c r="P139" s="2" t="n"/>
      <c r="Q139" s="2" t="n"/>
      <c r="R139" s="2" t="n"/>
      <c r="S139" s="2" t="n"/>
      <c r="T139" s="2" t="n"/>
      <c r="U139" s="2" t="n">
        <v>35</v>
      </c>
      <c r="V139" s="2">
        <f>SUM(J139:U139)</f>
        <v/>
      </c>
      <c r="W139" s="2" t="n"/>
      <c r="X139" s="2" t="n">
        <v>230</v>
      </c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>
        <v>230</v>
      </c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>
        <f>IF(F139=1,V139*2,IF(F139=2,V139*F139*2,IF(F139&gt;2,F139*2*V139)))</f>
        <v/>
      </c>
      <c r="AW139" s="2">
        <f>SUM(W139:AU139)</f>
        <v/>
      </c>
    </row>
    <row r="140">
      <c r="A140" s="2" t="inlineStr">
        <is>
          <t>14-K-042</t>
        </is>
      </c>
      <c r="B140" s="3" t="inlineStr">
        <is>
          <t>OJC-A1-LC/LC-MM-1-PC/PC-DP</t>
        </is>
      </c>
      <c r="C140" s="2" t="inlineStr">
        <is>
          <t>K9089329</t>
        </is>
      </c>
      <c r="D140" s="2" t="inlineStr">
        <is>
          <t>om1</t>
        </is>
      </c>
      <c r="E140" s="2" t="inlineStr">
        <is>
          <t>2.0mm</t>
        </is>
      </c>
      <c r="F140" s="2" t="n">
        <v>2</v>
      </c>
      <c r="G140" s="2" t="n">
        <v>1</v>
      </c>
      <c r="H140" s="2" t="inlineStr">
        <is>
          <t>LC/PC</t>
        </is>
      </c>
      <c r="I140" s="2" t="inlineStr">
        <is>
          <t>LC/PC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>
        <v>10</v>
      </c>
      <c r="V140" s="2">
        <f>SUM(J140:U140)</f>
        <v/>
      </c>
      <c r="W140" s="2" t="n"/>
      <c r="X140" s="2" t="n">
        <v>20</v>
      </c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>
        <v>20</v>
      </c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>
        <f>IF(F140=1,V140*2,IF(F140=2,V140*F140*2,IF(F140&gt;2,F140*2*V140)))</f>
        <v/>
      </c>
      <c r="AW140" s="2">
        <f>SUM(W140:AU140)</f>
        <v/>
      </c>
    </row>
    <row r="141">
      <c r="A141" s="2" t="inlineStr">
        <is>
          <t>14-K-044</t>
        </is>
      </c>
      <c r="B141" s="3" t="inlineStr">
        <is>
          <t>OJC-A1-LC/LC-MM-20-PC/PC-DP</t>
        </is>
      </c>
      <c r="C141" s="2" t="inlineStr">
        <is>
          <t>K9089336</t>
        </is>
      </c>
      <c r="D141" s="2" t="inlineStr">
        <is>
          <t>om1</t>
        </is>
      </c>
      <c r="E141" s="2" t="inlineStr">
        <is>
          <t>2.0mm</t>
        </is>
      </c>
      <c r="F141" s="2" t="n">
        <v>2</v>
      </c>
      <c r="G141" s="2" t="n">
        <v>20</v>
      </c>
      <c r="H141" s="2" t="inlineStr">
        <is>
          <t>LC/PC</t>
        </is>
      </c>
      <c r="I141" s="2" t="inlineStr">
        <is>
          <t>LC/PC</t>
        </is>
      </c>
      <c r="J141" s="2" t="n"/>
      <c r="K141" s="2" t="n"/>
      <c r="L141" s="2" t="n"/>
      <c r="M141" s="2" t="n"/>
      <c r="N141" s="2" t="n">
        <v>100</v>
      </c>
      <c r="O141" s="2" t="n"/>
      <c r="P141" s="2" t="n"/>
      <c r="Q141" s="2" t="n"/>
      <c r="R141" s="2" t="n"/>
      <c r="S141" s="2" t="n"/>
      <c r="T141" s="2" t="n"/>
      <c r="U141" s="2" t="n"/>
      <c r="V141" s="2">
        <f>SUM(J141:U141)</f>
        <v/>
      </c>
      <c r="W141" s="2" t="n"/>
      <c r="X141" s="2" t="n">
        <v>200</v>
      </c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>
        <v>200</v>
      </c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>
        <f>IF(F141=1,V141*2,IF(F141=2,V141*F141*2,IF(F141&gt;2,F141*2*V141)))</f>
        <v/>
      </c>
      <c r="AW141" s="2">
        <f>SUM(W141:AU141)</f>
        <v/>
      </c>
    </row>
    <row r="142">
      <c r="A142" s="2" t="inlineStr">
        <is>
          <t>14-K-047</t>
        </is>
      </c>
      <c r="B142" s="3" t="inlineStr">
        <is>
          <t>OJC-A1-LC/LC-MM-25-PC/PC-DP</t>
        </is>
      </c>
      <c r="C142" s="2" t="inlineStr">
        <is>
          <t>K9089337</t>
        </is>
      </c>
      <c r="D142" s="2" t="inlineStr">
        <is>
          <t>om1</t>
        </is>
      </c>
      <c r="E142" s="2" t="inlineStr">
        <is>
          <t>2.0mm</t>
        </is>
      </c>
      <c r="F142" s="2" t="n">
        <v>2</v>
      </c>
      <c r="G142" s="2" t="n">
        <v>25</v>
      </c>
      <c r="H142" s="2" t="inlineStr">
        <is>
          <t>LC/PC</t>
        </is>
      </c>
      <c r="I142" s="2" t="inlineStr">
        <is>
          <t>LC/PC</t>
        </is>
      </c>
      <c r="J142" s="2" t="n">
        <v>4</v>
      </c>
      <c r="K142" s="2" t="n"/>
      <c r="L142" s="2" t="n"/>
      <c r="M142" s="2" t="n"/>
      <c r="N142" s="2" t="n">
        <v>20</v>
      </c>
      <c r="O142" s="2" t="n"/>
      <c r="P142" s="2" t="n">
        <v>10</v>
      </c>
      <c r="Q142" s="2" t="n">
        <v>10</v>
      </c>
      <c r="R142" s="2" t="n">
        <v>40</v>
      </c>
      <c r="S142" s="2" t="n"/>
      <c r="T142" s="2" t="n"/>
      <c r="U142" s="2" t="n"/>
      <c r="V142" s="2">
        <f>SUM(J142:U142)</f>
        <v/>
      </c>
      <c r="W142" s="2" t="n"/>
      <c r="X142" s="2" t="n">
        <v>168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>
        <v>168</v>
      </c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>
        <f>IF(F142=1,V142*2,IF(F142=2,V142*F142*2,IF(F142&gt;2,F142*2*V142)))</f>
        <v/>
      </c>
      <c r="AW142" s="2">
        <f>SUM(W142:AU142)</f>
        <v/>
      </c>
    </row>
    <row r="143">
      <c r="A143" s="2" t="inlineStr">
        <is>
          <t>14-K-054</t>
        </is>
      </c>
      <c r="B143" s="3" t="inlineStr">
        <is>
          <t>OJC-A1-LC/LC-MM-30-PC/PC-DP</t>
        </is>
      </c>
      <c r="C143" s="2" t="inlineStr">
        <is>
          <t>K9089338</t>
        </is>
      </c>
      <c r="D143" s="2" t="inlineStr">
        <is>
          <t>om1</t>
        </is>
      </c>
      <c r="E143" s="2" t="inlineStr">
        <is>
          <t>2.0mm</t>
        </is>
      </c>
      <c r="F143" s="2" t="n">
        <v>2</v>
      </c>
      <c r="G143" s="2" t="n">
        <v>30</v>
      </c>
      <c r="H143" s="2" t="inlineStr">
        <is>
          <t>LC/PC</t>
        </is>
      </c>
      <c r="I143" s="2" t="inlineStr">
        <is>
          <t>LC/PC</t>
        </is>
      </c>
      <c r="J143" s="2" t="n"/>
      <c r="K143" s="2" t="n"/>
      <c r="L143" s="2" t="n"/>
      <c r="M143" s="2" t="n"/>
      <c r="N143" s="2" t="n">
        <v>10</v>
      </c>
      <c r="O143" s="2" t="n"/>
      <c r="P143" s="2" t="n"/>
      <c r="Q143" s="2" t="n"/>
      <c r="R143" s="2" t="n"/>
      <c r="S143" s="2" t="n">
        <v>20</v>
      </c>
      <c r="T143" s="2" t="n"/>
      <c r="U143" s="2" t="n">
        <v>5</v>
      </c>
      <c r="V143" s="2">
        <f>SUM(J143:U143)</f>
        <v/>
      </c>
      <c r="W143" s="2" t="n"/>
      <c r="X143" s="2" t="n">
        <v>70</v>
      </c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>
        <v>70</v>
      </c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>
        <f>IF(F143=1,V143*2,IF(F143=2,V143*F143*2,IF(F143&gt;2,F143*2*V143)))</f>
        <v/>
      </c>
      <c r="AW143" s="2">
        <f>SUM(W143:AU143)</f>
        <v/>
      </c>
    </row>
    <row r="144">
      <c r="A144" s="2" t="inlineStr">
        <is>
          <t>14-K-057</t>
        </is>
      </c>
      <c r="B144" s="3" t="inlineStr">
        <is>
          <t>OJC-A1-LC/LC-MM-35-PC/PC-DP</t>
        </is>
      </c>
      <c r="C144" s="2" t="inlineStr">
        <is>
          <t>K9089339</t>
        </is>
      </c>
      <c r="D144" s="2" t="inlineStr">
        <is>
          <t>om1</t>
        </is>
      </c>
      <c r="E144" s="2" t="inlineStr">
        <is>
          <t>2.0mm</t>
        </is>
      </c>
      <c r="F144" s="2" t="n">
        <v>2</v>
      </c>
      <c r="G144" s="2" t="n">
        <v>35</v>
      </c>
      <c r="H144" s="2" t="inlineStr">
        <is>
          <t>LC/PC</t>
        </is>
      </c>
      <c r="I144" s="2" t="inlineStr">
        <is>
          <t>LC/PC</t>
        </is>
      </c>
      <c r="J144" s="2" t="n"/>
      <c r="K144" s="2" t="n"/>
      <c r="L144" s="2" t="n"/>
      <c r="M144" s="2" t="n"/>
      <c r="N144" s="2" t="n">
        <v>4</v>
      </c>
      <c r="O144" s="2" t="n"/>
      <c r="P144" s="2" t="n"/>
      <c r="Q144" s="2" t="n"/>
      <c r="R144" s="2" t="n"/>
      <c r="S144" s="2" t="n"/>
      <c r="T144" s="2" t="n"/>
      <c r="U144" s="2" t="n"/>
      <c r="V144" s="2">
        <f>SUM(J144:U144)</f>
        <v/>
      </c>
      <c r="W144" s="2" t="n"/>
      <c r="X144" s="2" t="n">
        <v>8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>
        <v>8</v>
      </c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>
        <f>IF(F144=1,V144*2,IF(F144=2,V144*F144*2,IF(F144&gt;2,F144*2*V144)))</f>
        <v/>
      </c>
      <c r="AW144" s="2">
        <f>SUM(W144:AU144)</f>
        <v/>
      </c>
    </row>
    <row r="145">
      <c r="A145" s="2" t="inlineStr">
        <is>
          <t>14-K-060</t>
        </is>
      </c>
      <c r="B145" s="3" t="inlineStr">
        <is>
          <t>OJC-A1-LC/LC-MM-40-PC/PC-DP</t>
        </is>
      </c>
      <c r="C145" s="2" t="inlineStr">
        <is>
          <t>K9089340</t>
        </is>
      </c>
      <c r="D145" s="2" t="inlineStr">
        <is>
          <t>om1</t>
        </is>
      </c>
      <c r="E145" s="2" t="inlineStr">
        <is>
          <t>2.0mm</t>
        </is>
      </c>
      <c r="F145" s="2" t="n">
        <v>2</v>
      </c>
      <c r="G145" s="2" t="n">
        <v>40</v>
      </c>
      <c r="H145" s="2" t="inlineStr">
        <is>
          <t>LC/PC</t>
        </is>
      </c>
      <c r="I145" s="2" t="inlineStr">
        <is>
          <t>LC/PC</t>
        </is>
      </c>
      <c r="J145" s="2" t="n"/>
      <c r="K145" s="2" t="n">
        <v>50</v>
      </c>
      <c r="L145" s="2" t="n">
        <v>30</v>
      </c>
      <c r="M145" s="2" t="n"/>
      <c r="N145" s="2" t="n"/>
      <c r="O145" s="2" t="n">
        <v>30</v>
      </c>
      <c r="P145" s="2" t="n"/>
      <c r="Q145" s="2" t="n">
        <v>30</v>
      </c>
      <c r="R145" s="2" t="n"/>
      <c r="S145" s="2" t="n"/>
      <c r="T145" s="2" t="n"/>
      <c r="U145" s="2" t="n"/>
      <c r="V145" s="2">
        <f>SUM(J145:U145)</f>
        <v/>
      </c>
      <c r="W145" s="2" t="n"/>
      <c r="X145" s="2" t="n">
        <v>280</v>
      </c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>
        <v>280</v>
      </c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>
        <f>IF(F145=1,V145*2,IF(F145=2,V145*F145*2,IF(F145&gt;2,F145*2*V145)))</f>
        <v/>
      </c>
      <c r="AW145" s="2">
        <f>SUM(W145:AU145)</f>
        <v/>
      </c>
    </row>
    <row r="146">
      <c r="A146" s="2" t="inlineStr">
        <is>
          <t>14-K-062</t>
        </is>
      </c>
      <c r="B146" s="3" t="inlineStr">
        <is>
          <t>OJC-A1-LC/LC-MM-50-PC/PC-DP</t>
        </is>
      </c>
      <c r="C146" s="2" t="inlineStr">
        <is>
          <t>K9089340</t>
        </is>
      </c>
      <c r="D146" s="2" t="inlineStr">
        <is>
          <t>om1</t>
        </is>
      </c>
      <c r="E146" s="2" t="inlineStr">
        <is>
          <t>2.0mm</t>
        </is>
      </c>
      <c r="F146" s="2" t="n">
        <v>2</v>
      </c>
      <c r="G146" s="2" t="n">
        <v>50</v>
      </c>
      <c r="H146" s="2" t="inlineStr">
        <is>
          <t>LC/PC</t>
        </is>
      </c>
      <c r="I146" s="2" t="inlineStr">
        <is>
          <t>LC/PC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>
        <v>30</v>
      </c>
      <c r="V146" s="2">
        <f>SUM(J146:U146)</f>
        <v/>
      </c>
      <c r="W146" s="2" t="n"/>
      <c r="X146" s="2" t="n">
        <v>60</v>
      </c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>
        <v>60</v>
      </c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>
        <f>IF(F146=1,V146*2,IF(F146=2,V146*F146*2,IF(F146&gt;2,F146*2*V146)))</f>
        <v/>
      </c>
      <c r="AW146" s="2">
        <f>SUM(W146:AU146)</f>
        <v/>
      </c>
    </row>
    <row r="147">
      <c r="A147" s="2" t="inlineStr">
        <is>
          <t>14-K-064</t>
        </is>
      </c>
      <c r="B147" s="3" t="inlineStr">
        <is>
          <t>OJC-A1-LC/LC-MM-55-PC/PC-DP</t>
        </is>
      </c>
      <c r="C147" s="2" t="inlineStr"/>
      <c r="D147" s="2" t="inlineStr">
        <is>
          <t>om1</t>
        </is>
      </c>
      <c r="E147" s="2" t="inlineStr">
        <is>
          <t>2.0mm</t>
        </is>
      </c>
      <c r="F147" s="2" t="n">
        <v>2</v>
      </c>
      <c r="G147" s="2" t="n">
        <v>55</v>
      </c>
      <c r="H147" s="2" t="inlineStr">
        <is>
          <t>LC/PC</t>
        </is>
      </c>
      <c r="I147" s="2" t="inlineStr">
        <is>
          <t>LC/PC</t>
        </is>
      </c>
      <c r="J147" s="2" t="n"/>
      <c r="K147" s="2" t="n"/>
      <c r="L147" s="2" t="n"/>
      <c r="M147" s="2" t="n"/>
      <c r="N147" s="2" t="n">
        <v>2</v>
      </c>
      <c r="O147" s="2" t="n"/>
      <c r="P147" s="2" t="n"/>
      <c r="Q147" s="2" t="n"/>
      <c r="R147" s="2" t="n"/>
      <c r="S147" s="2" t="n"/>
      <c r="T147" s="2" t="n"/>
      <c r="U147" s="2" t="n"/>
      <c r="V147" s="2">
        <f>SUM(J147:U147)</f>
        <v/>
      </c>
      <c r="W147" s="2" t="n"/>
      <c r="X147" s="2" t="n">
        <v>4</v>
      </c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>
        <v>4</v>
      </c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>
        <f>IF(F147=1,V147*2,IF(F147=2,V147*F147*2,IF(F147&gt;2,F147*2*V147)))</f>
        <v/>
      </c>
      <c r="AW147" s="2">
        <f>SUM(W147:AU147)</f>
        <v/>
      </c>
    </row>
    <row r="148">
      <c r="A148" s="2" t="inlineStr">
        <is>
          <t>14-K-065</t>
        </is>
      </c>
      <c r="B148" s="3" t="inlineStr">
        <is>
          <t>OJC-A1-LC/LC-MM-5-PC/PC-DP</t>
        </is>
      </c>
      <c r="C148" s="2" t="inlineStr">
        <is>
          <t>K9089333</t>
        </is>
      </c>
      <c r="D148" s="2" t="inlineStr">
        <is>
          <t>om1</t>
        </is>
      </c>
      <c r="E148" s="2" t="inlineStr">
        <is>
          <t>2.0mm</t>
        </is>
      </c>
      <c r="F148" s="2" t="n">
        <v>2</v>
      </c>
      <c r="G148" s="2" t="n">
        <v>5</v>
      </c>
      <c r="H148" s="2" t="inlineStr">
        <is>
          <t>LC/PC</t>
        </is>
      </c>
      <c r="I148" s="2" t="inlineStr">
        <is>
          <t>LC/PC</t>
        </is>
      </c>
      <c r="J148" s="2" t="n"/>
      <c r="K148" s="2" t="n"/>
      <c r="L148" s="2" t="n"/>
      <c r="M148" s="2" t="n"/>
      <c r="N148" s="2" t="n">
        <v>50</v>
      </c>
      <c r="O148" s="2" t="n"/>
      <c r="P148" s="2" t="n"/>
      <c r="Q148" s="2" t="n"/>
      <c r="R148" s="2" t="n">
        <v>56</v>
      </c>
      <c r="S148" s="2" t="n">
        <v>50</v>
      </c>
      <c r="T148" s="2" t="n"/>
      <c r="U148" s="2" t="n">
        <v>71</v>
      </c>
      <c r="V148" s="2">
        <f>SUM(J148:U148)</f>
        <v/>
      </c>
      <c r="W148" s="2" t="n"/>
      <c r="X148" s="2" t="n">
        <v>454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>
        <v>454</v>
      </c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>
        <f>IF(F148=1,V148*2,IF(F148=2,V148*F148*2,IF(F148&gt;2,F148*2*V148)))</f>
        <v/>
      </c>
      <c r="AW148" s="2">
        <f>SUM(W148:AU148)</f>
        <v/>
      </c>
    </row>
    <row r="149">
      <c r="A149" s="2" t="inlineStr">
        <is>
          <t>14-K-067</t>
        </is>
      </c>
      <c r="B149" s="3" t="inlineStr">
        <is>
          <t>OJC-A1-LC/LC-MM-60-PC/PC-DP</t>
        </is>
      </c>
      <c r="C149" s="2" t="inlineStr"/>
      <c r="D149" s="2" t="inlineStr">
        <is>
          <t>om1</t>
        </is>
      </c>
      <c r="E149" s="2" t="inlineStr">
        <is>
          <t>2.0mm</t>
        </is>
      </c>
      <c r="F149" s="2" t="n">
        <v>2</v>
      </c>
      <c r="G149" s="2" t="n">
        <v>60</v>
      </c>
      <c r="H149" s="2" t="inlineStr">
        <is>
          <t>LC/PC</t>
        </is>
      </c>
      <c r="I149" s="2" t="inlineStr">
        <is>
          <t>LC/PC</t>
        </is>
      </c>
      <c r="J149" s="2" t="n"/>
      <c r="K149" s="2" t="n"/>
      <c r="L149" s="2" t="n"/>
      <c r="M149" s="2" t="n"/>
      <c r="N149" s="2" t="n">
        <v>12</v>
      </c>
      <c r="O149" s="2" t="n"/>
      <c r="P149" s="2" t="n"/>
      <c r="Q149" s="2" t="n"/>
      <c r="R149" s="2" t="n"/>
      <c r="S149" s="2" t="n">
        <v>10</v>
      </c>
      <c r="T149" s="2" t="n"/>
      <c r="U149" s="2" t="n"/>
      <c r="V149" s="2">
        <f>SUM(J149:U149)</f>
        <v/>
      </c>
      <c r="W149" s="2" t="n"/>
      <c r="X149" s="2" t="n">
        <v>44</v>
      </c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>
        <v>44</v>
      </c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>
        <f>IF(F149=1,V149*2,IF(F149=2,V149*F149*2,IF(F149&gt;2,F149*2*V149)))</f>
        <v/>
      </c>
      <c r="AW149" s="2">
        <f>SUM(W149:AU149)</f>
        <v/>
      </c>
    </row>
    <row r="150">
      <c r="A150" s="2" t="inlineStr">
        <is>
          <t>14-K-068</t>
        </is>
      </c>
      <c r="B150" s="3" t="inlineStr">
        <is>
          <t>OJC-A1-LC/LC-MM-65-PC/PC-DP</t>
        </is>
      </c>
      <c r="C150" s="2" t="inlineStr"/>
      <c r="D150" s="2" t="inlineStr">
        <is>
          <t>om1</t>
        </is>
      </c>
      <c r="E150" s="2" t="inlineStr">
        <is>
          <t>2.0mm</t>
        </is>
      </c>
      <c r="F150" s="2" t="n">
        <v>2</v>
      </c>
      <c r="G150" s="2" t="n">
        <v>65</v>
      </c>
      <c r="H150" s="2" t="inlineStr">
        <is>
          <t>LC/PC</t>
        </is>
      </c>
      <c r="I150" s="2" t="inlineStr">
        <is>
          <t>LC/PC</t>
        </is>
      </c>
      <c r="J150" s="2" t="n"/>
      <c r="K150" s="2" t="n"/>
      <c r="L150" s="2" t="n"/>
      <c r="M150" s="2" t="n"/>
      <c r="N150" s="2" t="n">
        <v>4</v>
      </c>
      <c r="O150" s="2" t="n"/>
      <c r="P150" s="2" t="n"/>
      <c r="Q150" s="2" t="n"/>
      <c r="R150" s="2" t="n"/>
      <c r="S150" s="2" t="n"/>
      <c r="T150" s="2" t="n"/>
      <c r="U150" s="2" t="n"/>
      <c r="V150" s="2">
        <f>SUM(J150:U150)</f>
        <v/>
      </c>
      <c r="W150" s="2" t="n"/>
      <c r="X150" s="2" t="n">
        <v>8</v>
      </c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>
        <v>8</v>
      </c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>
        <f>IF(F150=1,V150*2,IF(F150=2,V150*F150*2,IF(F150&gt;2,F150*2*V150)))</f>
        <v/>
      </c>
      <c r="AW150" s="2">
        <f>SUM(W150:AU150)</f>
        <v/>
      </c>
    </row>
    <row r="151">
      <c r="A151" s="2" t="inlineStr">
        <is>
          <t>14-K-069</t>
        </is>
      </c>
      <c r="B151" s="3" t="inlineStr">
        <is>
          <t>OJC-A1-LC/LC-MM-70-PC/PC-DP</t>
        </is>
      </c>
      <c r="C151" s="2" t="inlineStr"/>
      <c r="D151" s="2" t="inlineStr">
        <is>
          <t>om1</t>
        </is>
      </c>
      <c r="E151" s="2" t="inlineStr">
        <is>
          <t>2.0mm</t>
        </is>
      </c>
      <c r="F151" s="2" t="n">
        <v>2</v>
      </c>
      <c r="G151" s="2" t="n">
        <v>70</v>
      </c>
      <c r="H151" s="2" t="inlineStr">
        <is>
          <t>LC/PC</t>
        </is>
      </c>
      <c r="I151" s="2" t="inlineStr">
        <is>
          <t>LC/PC</t>
        </is>
      </c>
      <c r="J151" s="2" t="n"/>
      <c r="K151" s="2" t="n"/>
      <c r="L151" s="2" t="n"/>
      <c r="M151" s="2" t="n"/>
      <c r="N151" s="2" t="n">
        <v>2</v>
      </c>
      <c r="O151" s="2" t="n"/>
      <c r="P151" s="2" t="n"/>
      <c r="Q151" s="2" t="n"/>
      <c r="R151" s="2" t="n"/>
      <c r="S151" s="2" t="n"/>
      <c r="T151" s="2" t="n"/>
      <c r="U151" s="2" t="n"/>
      <c r="V151" s="2">
        <f>SUM(J151:U151)</f>
        <v/>
      </c>
      <c r="W151" s="2" t="n"/>
      <c r="X151" s="2" t="n">
        <v>4</v>
      </c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>
        <v>4</v>
      </c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>
        <f>IF(F151=1,V151*2,IF(F151=2,V151*F151*2,IF(F151&gt;2,F151*2*V151)))</f>
        <v/>
      </c>
      <c r="AW151" s="2">
        <f>SUM(W151:AU151)</f>
        <v/>
      </c>
    </row>
    <row r="152">
      <c r="A152" s="2" t="inlineStr">
        <is>
          <t>14-K-078</t>
        </is>
      </c>
      <c r="B152" s="3" t="inlineStr">
        <is>
          <t>OJC-A1-LC/LC-SM-10-PC/PC-DP</t>
        </is>
      </c>
      <c r="C152" s="2" t="inlineStr">
        <is>
          <t>K9089176</t>
        </is>
      </c>
      <c r="D152" s="2" t="inlineStr">
        <is>
          <t>a1</t>
        </is>
      </c>
      <c r="E152" s="2" t="inlineStr">
        <is>
          <t>2.0mm</t>
        </is>
      </c>
      <c r="F152" s="2" t="n">
        <v>2</v>
      </c>
      <c r="G152" s="2" t="n">
        <v>10</v>
      </c>
      <c r="H152" s="2" t="inlineStr">
        <is>
          <t>LC/PC</t>
        </is>
      </c>
      <c r="I152" s="2" t="inlineStr">
        <is>
          <t>LC/PC</t>
        </is>
      </c>
      <c r="J152" s="2" t="n"/>
      <c r="K152" s="2" t="n"/>
      <c r="L152" s="2" t="n"/>
      <c r="M152" s="2" t="n">
        <v>45</v>
      </c>
      <c r="N152" s="2" t="n">
        <v>154</v>
      </c>
      <c r="O152" s="2" t="n"/>
      <c r="P152" s="2" t="n"/>
      <c r="Q152" s="2" t="n"/>
      <c r="R152" s="2" t="n"/>
      <c r="S152" s="2" t="n">
        <v>87</v>
      </c>
      <c r="T152" s="2" t="n">
        <v>110</v>
      </c>
      <c r="U152" s="2" t="n">
        <v>435</v>
      </c>
      <c r="V152" s="2">
        <f>SUM(J152:U152)</f>
        <v/>
      </c>
      <c r="W152" s="2" t="n">
        <v>1662</v>
      </c>
      <c r="X152" s="2" t="n">
        <v>1662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>
        <f>IF(F152=1,V152*2,IF(F152=2,V152*F152*2,IF(F152&gt;2,F152*2*V152)))</f>
        <v/>
      </c>
      <c r="AW152" s="2">
        <f>SUM(W152:AU152)</f>
        <v/>
      </c>
    </row>
    <row r="153">
      <c r="A153" s="2" t="inlineStr">
        <is>
          <t>14-K-080</t>
        </is>
      </c>
      <c r="B153" s="3" t="inlineStr">
        <is>
          <t>OJC-A1-LC/LC-SM-12-PC/PC-DP</t>
        </is>
      </c>
      <c r="C153" s="2" t="inlineStr"/>
      <c r="D153" s="2" t="inlineStr">
        <is>
          <t>a1</t>
        </is>
      </c>
      <c r="E153" s="2" t="inlineStr">
        <is>
          <t>2.0mm</t>
        </is>
      </c>
      <c r="F153" s="2" t="n">
        <v>2</v>
      </c>
      <c r="G153" s="2" t="n">
        <v>12</v>
      </c>
      <c r="H153" s="2" t="inlineStr">
        <is>
          <t>LC/PC</t>
        </is>
      </c>
      <c r="I153" s="2" t="inlineStr">
        <is>
          <t>LC/PC</t>
        </is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>
        <v>50</v>
      </c>
      <c r="S153" s="2" t="n">
        <v>16</v>
      </c>
      <c r="T153" s="2" t="n"/>
      <c r="U153" s="2" t="n"/>
      <c r="V153" s="2">
        <f>SUM(J153:U153)</f>
        <v/>
      </c>
      <c r="W153" s="2" t="n">
        <v>132</v>
      </c>
      <c r="X153" s="2" t="n">
        <v>132</v>
      </c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>
        <f>IF(F153=1,V153*2,IF(F153=2,V153*F153*2,IF(F153&gt;2,F153*2*V153)))</f>
        <v/>
      </c>
      <c r="AW153" s="2">
        <f>SUM(W153:AU153)</f>
        <v/>
      </c>
    </row>
    <row r="154">
      <c r="A154" s="2" t="inlineStr">
        <is>
          <t>14-K-081</t>
        </is>
      </c>
      <c r="B154" s="3" t="inlineStr">
        <is>
          <t>OJC-A1-LC/LC-SM-13-PC/PC-DP</t>
        </is>
      </c>
      <c r="C154" s="2" t="inlineStr"/>
      <c r="D154" s="2" t="inlineStr">
        <is>
          <t>a1</t>
        </is>
      </c>
      <c r="E154" s="2" t="inlineStr">
        <is>
          <t>2.0mm</t>
        </is>
      </c>
      <c r="F154" s="2" t="n">
        <v>2</v>
      </c>
      <c r="G154" s="2" t="n">
        <v>13</v>
      </c>
      <c r="H154" s="2" t="inlineStr">
        <is>
          <t>LC/PC</t>
        </is>
      </c>
      <c r="I154" s="2" t="inlineStr">
        <is>
          <t>LC/PC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>
        <v>50</v>
      </c>
      <c r="S154" s="2" t="n"/>
      <c r="T154" s="2" t="n"/>
      <c r="U154" s="2" t="n"/>
      <c r="V154" s="2">
        <f>SUM(J154:U154)</f>
        <v/>
      </c>
      <c r="W154" s="2" t="n">
        <v>100</v>
      </c>
      <c r="X154" s="2" t="n">
        <v>100</v>
      </c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>
        <f>IF(F154=1,V154*2,IF(F154=2,V154*F154*2,IF(F154&gt;2,F154*2*V154)))</f>
        <v/>
      </c>
      <c r="AW154" s="2">
        <f>SUM(W154:AU154)</f>
        <v/>
      </c>
    </row>
    <row r="155">
      <c r="A155" s="2" t="inlineStr">
        <is>
          <t>14-K-083</t>
        </is>
      </c>
      <c r="B155" s="3" t="inlineStr">
        <is>
          <t>OJC-A1-LC/LC-SM-15-PC/PC-DP</t>
        </is>
      </c>
      <c r="C155" s="2" t="inlineStr">
        <is>
          <t>K9089177</t>
        </is>
      </c>
      <c r="D155" s="2" t="inlineStr">
        <is>
          <t>a1</t>
        </is>
      </c>
      <c r="E155" s="2" t="inlineStr">
        <is>
          <t>2.0mm</t>
        </is>
      </c>
      <c r="F155" s="2" t="n">
        <v>2</v>
      </c>
      <c r="G155" s="2" t="n">
        <v>15</v>
      </c>
      <c r="H155" s="2" t="inlineStr">
        <is>
          <t>LC/PC</t>
        </is>
      </c>
      <c r="I155" s="2" t="inlineStr">
        <is>
          <t>LC/PC</t>
        </is>
      </c>
      <c r="J155" s="2" t="n"/>
      <c r="K155" s="2" t="n"/>
      <c r="L155" s="2" t="n">
        <v>345</v>
      </c>
      <c r="M155" s="2" t="n"/>
      <c r="N155" s="2" t="n"/>
      <c r="O155" s="2" t="n"/>
      <c r="P155" s="2" t="n"/>
      <c r="Q155" s="2" t="n"/>
      <c r="R155" s="2" t="n">
        <v>107</v>
      </c>
      <c r="S155" s="2" t="n">
        <v>480</v>
      </c>
      <c r="T155" s="2" t="n">
        <v>100</v>
      </c>
      <c r="U155" s="2" t="n">
        <v>297</v>
      </c>
      <c r="V155" s="2">
        <f>SUM(J155:U155)</f>
        <v/>
      </c>
      <c r="W155" s="2" t="n">
        <v>2658</v>
      </c>
      <c r="X155" s="2" t="n">
        <v>2658</v>
      </c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>
        <f>IF(F155=1,V155*2,IF(F155=2,V155*F155*2,IF(F155&gt;2,F155*2*V155)))</f>
        <v/>
      </c>
      <c r="AW155" s="2">
        <f>SUM(W155:AU155)</f>
        <v/>
      </c>
    </row>
    <row r="156">
      <c r="A156" s="2" t="inlineStr">
        <is>
          <t>14-K-083R</t>
        </is>
      </c>
      <c r="B156" s="3" t="inlineStr">
        <is>
          <t>OJC-A1-LC/LC-SM-15-PC/PC-DP</t>
        </is>
      </c>
      <c r="C156" s="2" t="inlineStr">
        <is>
          <t>K9089177</t>
        </is>
      </c>
      <c r="D156" s="2" t="inlineStr">
        <is>
          <t>a1</t>
        </is>
      </c>
      <c r="E156" s="2" t="inlineStr">
        <is>
          <t>2.0mm</t>
        </is>
      </c>
      <c r="F156" s="2" t="n">
        <v>2</v>
      </c>
      <c r="G156" s="2" t="n">
        <v>15</v>
      </c>
      <c r="H156" s="2" t="inlineStr">
        <is>
          <t>LC/PC</t>
        </is>
      </c>
      <c r="I156" s="2" t="inlineStr">
        <is>
          <t>LC/PC</t>
        </is>
      </c>
      <c r="J156" s="2" t="n"/>
      <c r="K156" s="2" t="n"/>
      <c r="L156" s="2" t="n">
        <v>30</v>
      </c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>
        <f>SUM(J156:U156)</f>
        <v/>
      </c>
      <c r="W156" s="2" t="n">
        <v>60</v>
      </c>
      <c r="X156" s="2" t="n">
        <v>60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>
        <f>IF(F156=1,V156*2,IF(F156=2,V156*F156*2,IF(F156&gt;2,F156*2*V156)))</f>
        <v/>
      </c>
      <c r="AW156" s="2">
        <f>SUM(W156:AU156)</f>
        <v/>
      </c>
    </row>
    <row r="157">
      <c r="A157" s="2" t="inlineStr">
        <is>
          <t>14-K-084</t>
        </is>
      </c>
      <c r="B157" s="3" t="inlineStr">
        <is>
          <t>OJC-A1-LC/LC-SM-15-PC/PC-SP</t>
        </is>
      </c>
      <c r="C157" s="2" t="inlineStr">
        <is>
          <t>K9089048</t>
        </is>
      </c>
      <c r="D157" s="2" t="inlineStr">
        <is>
          <t>a1</t>
        </is>
      </c>
      <c r="E157" s="2" t="inlineStr">
        <is>
          <t>2.0mm</t>
        </is>
      </c>
      <c r="F157" s="2" t="n">
        <v>1</v>
      </c>
      <c r="G157" s="2" t="n">
        <v>15</v>
      </c>
      <c r="H157" s="2" t="inlineStr">
        <is>
          <t>LC/PC</t>
        </is>
      </c>
      <c r="I157" s="2" t="inlineStr">
        <is>
          <t>LC/PC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>
        <v>31</v>
      </c>
      <c r="U157" s="2" t="n">
        <v>564</v>
      </c>
      <c r="V157" s="2">
        <f>SUM(J157:U157)</f>
        <v/>
      </c>
      <c r="W157" s="2" t="n">
        <v>1190</v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>
        <f>IF(F157=1,V157*2,IF(F157=2,V157*F157*2,IF(F157&gt;2,F157*2*V157)))</f>
        <v/>
      </c>
      <c r="AW157" s="2">
        <f>SUM(W157:AU157)</f>
        <v/>
      </c>
    </row>
    <row r="158">
      <c r="A158" s="2" t="inlineStr">
        <is>
          <t>14-K-085</t>
        </is>
      </c>
      <c r="B158" s="3" t="inlineStr">
        <is>
          <t>OJC-A1-LC/LC-SM-1-PC/PC-DP</t>
        </is>
      </c>
      <c r="C158" s="2" t="inlineStr">
        <is>
          <t>K9089171</t>
        </is>
      </c>
      <c r="D158" s="2" t="inlineStr">
        <is>
          <t>a1</t>
        </is>
      </c>
      <c r="E158" s="2" t="inlineStr">
        <is>
          <t>2.0mm</t>
        </is>
      </c>
      <c r="F158" s="2" t="n">
        <v>2</v>
      </c>
      <c r="G158" s="2" t="n">
        <v>1</v>
      </c>
      <c r="H158" s="2" t="inlineStr">
        <is>
          <t>LC/PC</t>
        </is>
      </c>
      <c r="I158" s="2" t="inlineStr">
        <is>
          <t>LC/PC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>
        <v>4</v>
      </c>
      <c r="V158" s="2">
        <f>SUM(J158:U158)</f>
        <v/>
      </c>
      <c r="W158" s="2" t="n">
        <v>8</v>
      </c>
      <c r="X158" s="2" t="n">
        <v>8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>
        <f>IF(F158=1,V158*2,IF(F158=2,V158*F158*2,IF(F158&gt;2,F158*2*V158)))</f>
        <v/>
      </c>
      <c r="AW158" s="2">
        <f>SUM(W158:AU158)</f>
        <v/>
      </c>
    </row>
    <row r="159">
      <c r="A159" s="2" t="inlineStr">
        <is>
          <t>14-K-087</t>
        </is>
      </c>
      <c r="B159" s="3" t="inlineStr">
        <is>
          <t>OJC-A1-LC/LC-SM-20-PC/PC-DP</t>
        </is>
      </c>
      <c r="C159" s="2" t="inlineStr">
        <is>
          <t>K9089178</t>
        </is>
      </c>
      <c r="D159" s="2" t="inlineStr">
        <is>
          <t>a1</t>
        </is>
      </c>
      <c r="E159" s="2" t="inlineStr">
        <is>
          <t>2.0mm</t>
        </is>
      </c>
      <c r="F159" s="2" t="n">
        <v>2</v>
      </c>
      <c r="G159" s="2" t="n">
        <v>20</v>
      </c>
      <c r="H159" s="2" t="inlineStr">
        <is>
          <t>LC/PC</t>
        </is>
      </c>
      <c r="I159" s="2" t="inlineStr">
        <is>
          <t>LC/PC</t>
        </is>
      </c>
      <c r="J159" s="2" t="n"/>
      <c r="K159" s="2" t="n"/>
      <c r="L159" s="2" t="n"/>
      <c r="M159" s="2" t="n">
        <v>150</v>
      </c>
      <c r="N159" s="2" t="n">
        <v>21</v>
      </c>
      <c r="O159" s="2" t="n">
        <v>130</v>
      </c>
      <c r="P159" s="2" t="n">
        <v>100</v>
      </c>
      <c r="Q159" s="2" t="n">
        <v>50</v>
      </c>
      <c r="R159" s="2" t="n"/>
      <c r="S159" s="2" t="n"/>
      <c r="T159" s="2" t="n"/>
      <c r="U159" s="2" t="n">
        <v>143</v>
      </c>
      <c r="V159" s="2">
        <f>SUM(J159:U159)</f>
        <v/>
      </c>
      <c r="W159" s="2" t="n">
        <v>1188</v>
      </c>
      <c r="X159" s="2" t="n">
        <v>1188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>
        <f>IF(F159=1,V159*2,IF(F159=2,V159*F159*2,IF(F159&gt;2,F159*2*V159)))</f>
        <v/>
      </c>
      <c r="AW159" s="2">
        <f>SUM(W159:AU159)</f>
        <v/>
      </c>
    </row>
    <row r="160">
      <c r="A160" s="2" t="inlineStr">
        <is>
          <t>14-K-088</t>
        </is>
      </c>
      <c r="B160" s="3" t="inlineStr">
        <is>
          <t>OJC-A1-LC/LC-SM-20-PC/PC-SP</t>
        </is>
      </c>
      <c r="C160" s="2" t="inlineStr">
        <is>
          <t>K9089049</t>
        </is>
      </c>
      <c r="D160" s="2" t="inlineStr">
        <is>
          <t>a1</t>
        </is>
      </c>
      <c r="E160" s="2" t="inlineStr">
        <is>
          <t>2.0mm</t>
        </is>
      </c>
      <c r="F160" s="2" t="n">
        <v>1</v>
      </c>
      <c r="G160" s="2" t="n">
        <v>20</v>
      </c>
      <c r="H160" s="2" t="inlineStr">
        <is>
          <t>LC/PC</t>
        </is>
      </c>
      <c r="I160" s="2" t="inlineStr">
        <is>
          <t>LC/PC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>
        <v>14</v>
      </c>
      <c r="U160" s="2" t="n">
        <v>20</v>
      </c>
      <c r="V160" s="2">
        <f>SUM(J160:U160)</f>
        <v/>
      </c>
      <c r="W160" s="2" t="n">
        <v>68</v>
      </c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>
        <f>IF(F160=1,V160*2,IF(F160=2,V160*F160*2,IF(F160&gt;2,F160*2*V160)))</f>
        <v/>
      </c>
      <c r="AW160" s="2">
        <f>SUM(W160:AU160)</f>
        <v/>
      </c>
    </row>
    <row r="161">
      <c r="A161" s="2" t="inlineStr">
        <is>
          <t>14-K-091</t>
        </is>
      </c>
      <c r="B161" s="3" t="inlineStr">
        <is>
          <t>OJC-A1-LC/LC-SM-25-PC/PC-DP</t>
        </is>
      </c>
      <c r="C161" s="2" t="inlineStr">
        <is>
          <t>K9089179</t>
        </is>
      </c>
      <c r="D161" s="2" t="inlineStr">
        <is>
          <t>a1</t>
        </is>
      </c>
      <c r="E161" s="2" t="inlineStr">
        <is>
          <t>2.0mm</t>
        </is>
      </c>
      <c r="F161" s="2" t="n">
        <v>2</v>
      </c>
      <c r="G161" s="2" t="n">
        <v>25</v>
      </c>
      <c r="H161" s="2" t="inlineStr">
        <is>
          <t>LC/PC</t>
        </is>
      </c>
      <c r="I161" s="2" t="inlineStr">
        <is>
          <t>LC/PC</t>
        </is>
      </c>
      <c r="J161" s="2" t="n"/>
      <c r="K161" s="2" t="n"/>
      <c r="L161" s="2" t="n"/>
      <c r="M161" s="2" t="n">
        <v>100</v>
      </c>
      <c r="N161" s="2" t="n"/>
      <c r="O161" s="2" t="n"/>
      <c r="P161" s="2" t="n">
        <v>30</v>
      </c>
      <c r="Q161" s="2" t="n">
        <v>100</v>
      </c>
      <c r="R161" s="2" t="n">
        <v>110</v>
      </c>
      <c r="S161" s="2" t="n"/>
      <c r="T161" s="2" t="n"/>
      <c r="U161" s="2" t="n"/>
      <c r="V161" s="2">
        <f>SUM(J161:U161)</f>
        <v/>
      </c>
      <c r="W161" s="2" t="n">
        <v>680</v>
      </c>
      <c r="X161" s="2" t="n">
        <v>680</v>
      </c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>
        <f>IF(F161=1,V161*2,IF(F161=2,V161*F161*2,IF(F161&gt;2,F161*2*V161)))</f>
        <v/>
      </c>
      <c r="AW161" s="2">
        <f>SUM(W161:AU161)</f>
        <v/>
      </c>
    </row>
    <row r="162">
      <c r="A162" s="2" t="inlineStr">
        <is>
          <t>14-K-092</t>
        </is>
      </c>
      <c r="B162" s="3" t="inlineStr">
        <is>
          <t>OJC-A1-LC/LC-SM-25-PC/PC-SP</t>
        </is>
      </c>
      <c r="C162" s="2" t="inlineStr">
        <is>
          <t>K9089050</t>
        </is>
      </c>
      <c r="D162" s="2" t="inlineStr">
        <is>
          <t>a1</t>
        </is>
      </c>
      <c r="E162" s="2" t="inlineStr">
        <is>
          <t>2.0mm</t>
        </is>
      </c>
      <c r="F162" s="2" t="n">
        <v>1</v>
      </c>
      <c r="G162" s="2" t="n">
        <v>25</v>
      </c>
      <c r="H162" s="2" t="inlineStr">
        <is>
          <t>LC/PC</t>
        </is>
      </c>
      <c r="I162" s="2" t="inlineStr">
        <is>
          <t>LC/PC</t>
        </is>
      </c>
      <c r="J162" s="2" t="n"/>
      <c r="K162" s="2" t="n"/>
      <c r="L162" s="2" t="n"/>
      <c r="M162" s="2" t="n"/>
      <c r="N162" s="2" t="n"/>
      <c r="O162" s="2" t="n"/>
      <c r="P162" s="2" t="n">
        <v>10</v>
      </c>
      <c r="Q162" s="2" t="n">
        <v>2</v>
      </c>
      <c r="R162" s="2" t="n">
        <v>56</v>
      </c>
      <c r="S162" s="2" t="n"/>
      <c r="T162" s="2" t="n">
        <v>77</v>
      </c>
      <c r="U162" s="2" t="n">
        <v>20</v>
      </c>
      <c r="V162" s="2">
        <f>SUM(J162:U162)</f>
        <v/>
      </c>
      <c r="W162" s="2" t="n">
        <v>330</v>
      </c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>
        <f>IF(F162=1,V162*2,IF(F162=2,V162*F162*2,IF(F162&gt;2,F162*2*V162)))</f>
        <v/>
      </c>
      <c r="AW162" s="2">
        <f>SUM(W162:AU162)</f>
        <v/>
      </c>
    </row>
    <row r="163">
      <c r="A163" s="2" t="inlineStr">
        <is>
          <t>14-K-093</t>
        </is>
      </c>
      <c r="B163" s="3" t="inlineStr">
        <is>
          <t>OJC-A1-LC/LC-SM-2-PC/PC-DP</t>
        </is>
      </c>
      <c r="C163" s="2" t="inlineStr">
        <is>
          <t>K9089172</t>
        </is>
      </c>
      <c r="D163" s="2" t="inlineStr">
        <is>
          <t>a1</t>
        </is>
      </c>
      <c r="E163" s="2" t="inlineStr">
        <is>
          <t>2.0mm</t>
        </is>
      </c>
      <c r="F163" s="2" t="n">
        <v>2</v>
      </c>
      <c r="G163" s="2" t="n">
        <v>2</v>
      </c>
      <c r="H163" s="2" t="inlineStr">
        <is>
          <t>LC/PC</t>
        </is>
      </c>
      <c r="I163" s="2" t="inlineStr">
        <is>
          <t>LC/PC</t>
        </is>
      </c>
      <c r="J163" s="2" t="n"/>
      <c r="K163" s="2" t="n"/>
      <c r="L163" s="2" t="n">
        <v>395</v>
      </c>
      <c r="M163" s="2" t="n"/>
      <c r="N163" s="2" t="n">
        <v>12</v>
      </c>
      <c r="O163" s="2" t="n"/>
      <c r="P163" s="2" t="n"/>
      <c r="Q163" s="2" t="n"/>
      <c r="R163" s="2" t="n"/>
      <c r="S163" s="2" t="n"/>
      <c r="T163" s="2" t="n"/>
      <c r="U163" s="2" t="n"/>
      <c r="V163" s="2">
        <f>SUM(J163:U163)</f>
        <v/>
      </c>
      <c r="W163" s="2" t="n">
        <v>814</v>
      </c>
      <c r="X163" s="2" t="n">
        <v>814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>
        <f>IF(F163=1,V163*2,IF(F163=2,V163*F163*2,IF(F163&gt;2,F163*2*V163)))</f>
        <v/>
      </c>
      <c r="AW163" s="2">
        <f>SUM(W163:AU163)</f>
        <v/>
      </c>
    </row>
    <row r="164">
      <c r="A164" s="2" t="inlineStr">
        <is>
          <t>14-K-094</t>
        </is>
      </c>
      <c r="B164" s="3" t="inlineStr">
        <is>
          <t>OJC-A1-LC/LC-SM-30-PC/PC-DP</t>
        </is>
      </c>
      <c r="C164" s="2" t="inlineStr">
        <is>
          <t>K9089180</t>
        </is>
      </c>
      <c r="D164" s="2" t="inlineStr">
        <is>
          <t>a1</t>
        </is>
      </c>
      <c r="E164" s="2" t="inlineStr">
        <is>
          <t>2.0mm</t>
        </is>
      </c>
      <c r="F164" s="2" t="n">
        <v>2</v>
      </c>
      <c r="G164" s="2" t="n">
        <v>30</v>
      </c>
      <c r="H164" s="2" t="inlineStr">
        <is>
          <t>LC/PC</t>
        </is>
      </c>
      <c r="I164" s="2" t="inlineStr">
        <is>
          <t>LC/PC</t>
        </is>
      </c>
      <c r="J164" s="2" t="n"/>
      <c r="K164" s="2" t="n"/>
      <c r="L164" s="2" t="n"/>
      <c r="M164" s="2" t="n">
        <v>49</v>
      </c>
      <c r="N164" s="2" t="n">
        <v>75</v>
      </c>
      <c r="O164" s="2" t="n">
        <v>30</v>
      </c>
      <c r="P164" s="2" t="n">
        <v>265</v>
      </c>
      <c r="Q164" s="2" t="n"/>
      <c r="R164" s="2" t="n">
        <v>12</v>
      </c>
      <c r="S164" s="2" t="n">
        <v>20</v>
      </c>
      <c r="T164" s="2" t="n"/>
      <c r="U164" s="2" t="n"/>
      <c r="V164" s="2">
        <f>SUM(J164:U164)</f>
        <v/>
      </c>
      <c r="W164" s="2" t="n">
        <v>902</v>
      </c>
      <c r="X164" s="2" t="n">
        <v>902</v>
      </c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>
        <f>IF(F164=1,V164*2,IF(F164=2,V164*F164*2,IF(F164&gt;2,F164*2*V164)))</f>
        <v/>
      </c>
      <c r="AW164" s="2">
        <f>SUM(W164:AU164)</f>
        <v/>
      </c>
    </row>
    <row r="165">
      <c r="A165" s="2" t="inlineStr">
        <is>
          <t>14-K-095</t>
        </is>
      </c>
      <c r="B165" s="3" t="inlineStr">
        <is>
          <t>OJC-A1-LC/LC-SM-30-PC/PC-SP</t>
        </is>
      </c>
      <c r="C165" s="2" t="inlineStr">
        <is>
          <t>K9089051</t>
        </is>
      </c>
      <c r="D165" s="2" t="inlineStr">
        <is>
          <t>a1</t>
        </is>
      </c>
      <c r="E165" s="2" t="inlineStr">
        <is>
          <t>2.0mm</t>
        </is>
      </c>
      <c r="F165" s="2" t="n">
        <v>1</v>
      </c>
      <c r="G165" s="2" t="n">
        <v>30</v>
      </c>
      <c r="H165" s="2" t="inlineStr">
        <is>
          <t>LC/PC</t>
        </is>
      </c>
      <c r="I165" s="2" t="inlineStr">
        <is>
          <t>LC/PC</t>
        </is>
      </c>
      <c r="J165" s="2" t="n"/>
      <c r="K165" s="2" t="n"/>
      <c r="L165" s="2" t="n">
        <v>4</v>
      </c>
      <c r="M165" s="2" t="n"/>
      <c r="N165" s="2" t="n"/>
      <c r="O165" s="2" t="n"/>
      <c r="P165" s="2" t="n">
        <v>40</v>
      </c>
      <c r="Q165" s="2" t="n">
        <v>6</v>
      </c>
      <c r="R165" s="2" t="n"/>
      <c r="S165" s="2" t="n">
        <v>10</v>
      </c>
      <c r="T165" s="2" t="n">
        <v>91</v>
      </c>
      <c r="U165" s="2" t="n">
        <v>10</v>
      </c>
      <c r="V165" s="2">
        <f>SUM(J165:U165)</f>
        <v/>
      </c>
      <c r="W165" s="2" t="n">
        <v>322</v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>
        <f>IF(F165=1,V165*2,IF(F165=2,V165*F165*2,IF(F165&gt;2,F165*2*V165)))</f>
        <v/>
      </c>
      <c r="AW165" s="2">
        <f>SUM(W165:AU165)</f>
        <v/>
      </c>
    </row>
    <row r="166">
      <c r="A166" s="2" t="inlineStr">
        <is>
          <t>14-K-096</t>
        </is>
      </c>
      <c r="B166" s="3" t="inlineStr">
        <is>
          <t>OJC-A1-LC/LC-SM-35-PC/PC-DP</t>
        </is>
      </c>
      <c r="C166" s="2" t="inlineStr">
        <is>
          <t>K9089181</t>
        </is>
      </c>
      <c r="D166" s="2" t="inlineStr">
        <is>
          <t>a1</t>
        </is>
      </c>
      <c r="E166" s="2" t="inlineStr">
        <is>
          <t>2.0mm</t>
        </is>
      </c>
      <c r="F166" s="2" t="n">
        <v>2</v>
      </c>
      <c r="G166" s="2" t="n">
        <v>35</v>
      </c>
      <c r="H166" s="2" t="inlineStr">
        <is>
          <t>LC/PC</t>
        </is>
      </c>
      <c r="I166" s="2" t="inlineStr">
        <is>
          <t>LC/PC</t>
        </is>
      </c>
      <c r="J166" s="2" t="n"/>
      <c r="K166" s="2" t="n">
        <v>12</v>
      </c>
      <c r="L166" s="2" t="n">
        <v>20</v>
      </c>
      <c r="M166" s="2" t="n"/>
      <c r="N166" s="2" t="n">
        <v>70</v>
      </c>
      <c r="O166" s="2" t="n"/>
      <c r="P166" s="2" t="n">
        <v>8</v>
      </c>
      <c r="Q166" s="2" t="n">
        <v>42</v>
      </c>
      <c r="R166" s="2" t="n"/>
      <c r="S166" s="2" t="n">
        <v>50</v>
      </c>
      <c r="T166" s="2" t="n"/>
      <c r="U166" s="2" t="n"/>
      <c r="V166" s="2">
        <f>SUM(J166:U166)</f>
        <v/>
      </c>
      <c r="W166" s="2" t="n">
        <v>404</v>
      </c>
      <c r="X166" s="2" t="n">
        <v>404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>
        <f>IF(F166=1,V166*2,IF(F166=2,V166*F166*2,IF(F166&gt;2,F166*2*V166)))</f>
        <v/>
      </c>
      <c r="AW166" s="2">
        <f>SUM(W166:AU166)</f>
        <v/>
      </c>
    </row>
    <row r="167">
      <c r="A167" s="2" t="inlineStr">
        <is>
          <t>14-K-097</t>
        </is>
      </c>
      <c r="B167" s="3" t="inlineStr">
        <is>
          <t>OJC-A1-LC/LC-SM-3-PC/PC-DP</t>
        </is>
      </c>
      <c r="C167" s="2" t="inlineStr">
        <is>
          <t>K9089173</t>
        </is>
      </c>
      <c r="D167" s="2" t="inlineStr">
        <is>
          <t>a1</t>
        </is>
      </c>
      <c r="E167" s="2" t="inlineStr">
        <is>
          <t>2.0mm</t>
        </is>
      </c>
      <c r="F167" s="2" t="n">
        <v>2</v>
      </c>
      <c r="G167" s="2" t="n">
        <v>3</v>
      </c>
      <c r="H167" s="2" t="inlineStr">
        <is>
          <t>LC/PC</t>
        </is>
      </c>
      <c r="I167" s="2" t="inlineStr">
        <is>
          <t>LC/PC</t>
        </is>
      </c>
      <c r="J167" s="2" t="n"/>
      <c r="K167" s="2" t="n"/>
      <c r="L167" s="2" t="n"/>
      <c r="M167" s="2" t="n">
        <v>145</v>
      </c>
      <c r="N167" s="2" t="n"/>
      <c r="O167" s="2" t="n"/>
      <c r="P167" s="2" t="n"/>
      <c r="Q167" s="2" t="n"/>
      <c r="R167" s="2" t="n"/>
      <c r="S167" s="2" t="n">
        <v>3</v>
      </c>
      <c r="T167" s="2" t="n">
        <v>478</v>
      </c>
      <c r="U167" s="2" t="n">
        <v>20</v>
      </c>
      <c r="V167" s="2">
        <f>SUM(J167:U167)</f>
        <v/>
      </c>
      <c r="W167" s="2" t="n">
        <v>1292</v>
      </c>
      <c r="X167" s="2" t="n">
        <v>1292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>
        <f>IF(F167=1,V167*2,IF(F167=2,V167*F167*2,IF(F167&gt;2,F167*2*V167)))</f>
        <v/>
      </c>
      <c r="AW167" s="2">
        <f>SUM(W167:AU167)</f>
        <v/>
      </c>
    </row>
    <row r="168">
      <c r="A168" s="2" t="inlineStr">
        <is>
          <t>14-K-098</t>
        </is>
      </c>
      <c r="B168" s="3" t="inlineStr">
        <is>
          <t>OJC-A1-LC/LC-SM-3-PC/PC-SP</t>
        </is>
      </c>
      <c r="C168" s="2" t="inlineStr">
        <is>
          <t>K9089044</t>
        </is>
      </c>
      <c r="D168" s="2" t="inlineStr">
        <is>
          <t>a1</t>
        </is>
      </c>
      <c r="E168" s="2" t="inlineStr">
        <is>
          <t>2.0mm</t>
        </is>
      </c>
      <c r="F168" s="2" t="n">
        <v>1</v>
      </c>
      <c r="G168" s="2" t="n">
        <v>3</v>
      </c>
      <c r="H168" s="2" t="inlineStr">
        <is>
          <t>LC/PC</t>
        </is>
      </c>
      <c r="I168" s="2" t="inlineStr">
        <is>
          <t>LC/PC</t>
        </is>
      </c>
      <c r="J168" s="2" t="n"/>
      <c r="K168" s="2" t="n"/>
      <c r="L168" s="2" t="n">
        <v>150</v>
      </c>
      <c r="M168" s="2" t="n"/>
      <c r="N168" s="2" t="n">
        <v>50</v>
      </c>
      <c r="O168" s="2" t="n">
        <v>50</v>
      </c>
      <c r="P168" s="2" t="n"/>
      <c r="Q168" s="2" t="n"/>
      <c r="R168" s="2" t="n"/>
      <c r="S168" s="2" t="n"/>
      <c r="T168" s="2" t="n"/>
      <c r="U168" s="2" t="n"/>
      <c r="V168" s="2">
        <f>SUM(J168:U168)</f>
        <v/>
      </c>
      <c r="W168" s="2" t="n">
        <v>500</v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>
        <f>IF(F168=1,V168*2,IF(F168=2,V168*F168*2,IF(F168&gt;2,F168*2*V168)))</f>
        <v/>
      </c>
      <c r="AW168" s="2">
        <f>SUM(W168:AU168)</f>
        <v/>
      </c>
    </row>
    <row r="169">
      <c r="A169" s="2" t="inlineStr">
        <is>
          <t>14-K-099</t>
        </is>
      </c>
      <c r="B169" s="3" t="inlineStr">
        <is>
          <t>OJC-A1-LC/LC-SM-40-PC/PC-DP</t>
        </is>
      </c>
      <c r="C169" s="2" t="inlineStr">
        <is>
          <t>K9089182</t>
        </is>
      </c>
      <c r="D169" s="2" t="inlineStr">
        <is>
          <t>a1</t>
        </is>
      </c>
      <c r="E169" s="2" t="inlineStr">
        <is>
          <t>2.0mm</t>
        </is>
      </c>
      <c r="F169" s="2" t="n">
        <v>2</v>
      </c>
      <c r="G169" s="2" t="n">
        <v>40</v>
      </c>
      <c r="H169" s="2" t="inlineStr">
        <is>
          <t>LC/PC</t>
        </is>
      </c>
      <c r="I169" s="2" t="inlineStr">
        <is>
          <t>LC/PC</t>
        </is>
      </c>
      <c r="J169" s="2" t="n"/>
      <c r="K169" s="2" t="n"/>
      <c r="L169" s="2" t="n"/>
      <c r="M169" s="2" t="n">
        <v>98</v>
      </c>
      <c r="N169" s="2" t="n">
        <v>102</v>
      </c>
      <c r="O169" s="2" t="n"/>
      <c r="P169" s="2" t="n"/>
      <c r="Q169" s="2" t="n">
        <v>55</v>
      </c>
      <c r="R169" s="2" t="n">
        <v>30</v>
      </c>
      <c r="S169" s="2" t="n"/>
      <c r="T169" s="2" t="n">
        <v>20</v>
      </c>
      <c r="U169" s="2" t="n"/>
      <c r="V169" s="2">
        <f>SUM(J169:U169)</f>
        <v/>
      </c>
      <c r="W169" s="2" t="n">
        <v>610</v>
      </c>
      <c r="X169" s="2" t="n">
        <v>610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>
        <f>IF(F169=1,V169*2,IF(F169=2,V169*F169*2,IF(F169&gt;2,F169*2*V169)))</f>
        <v/>
      </c>
      <c r="AW169" s="2">
        <f>SUM(W169:AU169)</f>
        <v/>
      </c>
    </row>
    <row r="170">
      <c r="A170" s="2" t="inlineStr">
        <is>
          <t>14-K-100</t>
        </is>
      </c>
      <c r="B170" s="3" t="inlineStr">
        <is>
          <t>OJC-A1-LC/LC-SM-45-PC/PC-DP</t>
        </is>
      </c>
      <c r="C170" s="2" t="inlineStr">
        <is>
          <t>K9089183</t>
        </is>
      </c>
      <c r="D170" s="2" t="inlineStr">
        <is>
          <t>a1</t>
        </is>
      </c>
      <c r="E170" s="2" t="inlineStr">
        <is>
          <t>2.0mm</t>
        </is>
      </c>
      <c r="F170" s="2" t="n">
        <v>2</v>
      </c>
      <c r="G170" s="2" t="n">
        <v>45</v>
      </c>
      <c r="H170" s="2" t="inlineStr">
        <is>
          <t>LC/PC</t>
        </is>
      </c>
      <c r="I170" s="2" t="inlineStr">
        <is>
          <t>LC/PC</t>
        </is>
      </c>
      <c r="J170" s="2" t="n"/>
      <c r="K170" s="2" t="n"/>
      <c r="L170" s="2" t="n"/>
      <c r="M170" s="2" t="n"/>
      <c r="N170" s="2" t="n">
        <v>20</v>
      </c>
      <c r="O170" s="2" t="n"/>
      <c r="P170" s="2" t="n">
        <v>8</v>
      </c>
      <c r="Q170" s="2" t="n"/>
      <c r="R170" s="2" t="n"/>
      <c r="S170" s="2" t="n"/>
      <c r="T170" s="2" t="n">
        <v>50</v>
      </c>
      <c r="U170" s="2" t="n"/>
      <c r="V170" s="2">
        <f>SUM(J170:U170)</f>
        <v/>
      </c>
      <c r="W170" s="2" t="n">
        <v>156</v>
      </c>
      <c r="X170" s="2" t="n">
        <v>156</v>
      </c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>
        <f>IF(F170=1,V170*2,IF(F170=2,V170*F170*2,IF(F170&gt;2,F170*2*V170)))</f>
        <v/>
      </c>
      <c r="AW170" s="2">
        <f>SUM(W170:AU170)</f>
        <v/>
      </c>
    </row>
    <row r="171">
      <c r="A171" s="2" t="inlineStr">
        <is>
          <t>14-K-103</t>
        </is>
      </c>
      <c r="B171" s="3" t="inlineStr">
        <is>
          <t>OJC-A1-LC/LC-SM-50-PC/PC-DP</t>
        </is>
      </c>
      <c r="C171" s="2" t="inlineStr">
        <is>
          <t>K9089184</t>
        </is>
      </c>
      <c r="D171" s="2" t="inlineStr">
        <is>
          <t>a1</t>
        </is>
      </c>
      <c r="E171" s="2" t="inlineStr">
        <is>
          <t>2.0mm</t>
        </is>
      </c>
      <c r="F171" s="2" t="n">
        <v>2</v>
      </c>
      <c r="G171" s="2" t="n">
        <v>50</v>
      </c>
      <c r="H171" s="2" t="inlineStr">
        <is>
          <t>LC/PC</t>
        </is>
      </c>
      <c r="I171" s="2" t="inlineStr">
        <is>
          <t>LC/PC</t>
        </is>
      </c>
      <c r="J171" s="2" t="n"/>
      <c r="K171" s="2" t="n"/>
      <c r="L171" s="2" t="n">
        <v>30</v>
      </c>
      <c r="M171" s="2" t="n">
        <v>6</v>
      </c>
      <c r="N171" s="2" t="n">
        <v>44</v>
      </c>
      <c r="O171" s="2" t="n"/>
      <c r="P171" s="2" t="n"/>
      <c r="Q171" s="2" t="n">
        <v>55</v>
      </c>
      <c r="R171" s="2" t="n"/>
      <c r="S171" s="2" t="n"/>
      <c r="T171" s="2" t="n">
        <v>30</v>
      </c>
      <c r="U171" s="2" t="n"/>
      <c r="V171" s="2">
        <f>SUM(J171:U171)</f>
        <v/>
      </c>
      <c r="W171" s="2" t="n">
        <v>330</v>
      </c>
      <c r="X171" s="2" t="n">
        <v>330</v>
      </c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>
        <f>IF(F171=1,V171*2,IF(F171=2,V171*F171*2,IF(F171&gt;2,F171*2*V171)))</f>
        <v/>
      </c>
      <c r="AW171" s="2">
        <f>SUM(W171:AU171)</f>
        <v/>
      </c>
    </row>
    <row r="172">
      <c r="A172" s="2" t="inlineStr">
        <is>
          <t>14-K-106</t>
        </is>
      </c>
      <c r="B172" s="3" t="inlineStr">
        <is>
          <t>OJC-A1-LC/LC-SM-55-PC/PC-DP</t>
        </is>
      </c>
      <c r="C172" s="2" t="inlineStr"/>
      <c r="D172" s="2" t="inlineStr">
        <is>
          <t>a1</t>
        </is>
      </c>
      <c r="E172" s="2" t="inlineStr">
        <is>
          <t>2.0mm</t>
        </is>
      </c>
      <c r="F172" s="2" t="n">
        <v>2</v>
      </c>
      <c r="G172" s="2" t="n">
        <v>55</v>
      </c>
      <c r="H172" s="2" t="inlineStr">
        <is>
          <t>LC/PC</t>
        </is>
      </c>
      <c r="I172" s="2" t="inlineStr">
        <is>
          <t>LC/PC</t>
        </is>
      </c>
      <c r="J172" s="2" t="n"/>
      <c r="K172" s="2" t="n"/>
      <c r="L172" s="2" t="n">
        <v>1</v>
      </c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>
        <f>SUM(J172:U172)</f>
        <v/>
      </c>
      <c r="W172" s="2" t="n">
        <v>2</v>
      </c>
      <c r="X172" s="2" t="n">
        <v>2</v>
      </c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>
        <f>IF(F172=1,V172*2,IF(F172=2,V172*F172*2,IF(F172&gt;2,F172*2*V172)))</f>
        <v/>
      </c>
      <c r="AW172" s="2">
        <f>SUM(W172:AU172)</f>
        <v/>
      </c>
    </row>
    <row r="173">
      <c r="A173" s="2" t="inlineStr">
        <is>
          <t>14-K-107</t>
        </is>
      </c>
      <c r="B173" s="3" t="inlineStr">
        <is>
          <t>OJC-A1-LC/LC-SM-5-PC/PC-DP</t>
        </is>
      </c>
      <c r="C173" s="2" t="inlineStr">
        <is>
          <t>K9089175</t>
        </is>
      </c>
      <c r="D173" s="2" t="inlineStr">
        <is>
          <t>a1</t>
        </is>
      </c>
      <c r="E173" s="2" t="inlineStr">
        <is>
          <t>2.0mm</t>
        </is>
      </c>
      <c r="F173" s="2" t="n">
        <v>2</v>
      </c>
      <c r="G173" s="2" t="n">
        <v>5</v>
      </c>
      <c r="H173" s="2" t="inlineStr">
        <is>
          <t>LC/PC</t>
        </is>
      </c>
      <c r="I173" s="2" t="inlineStr">
        <is>
          <t>LC/PC</t>
        </is>
      </c>
      <c r="J173" s="2" t="n"/>
      <c r="K173" s="2" t="n"/>
      <c r="L173" s="2" t="n">
        <v>345</v>
      </c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>
        <f>SUM(J173:U173)</f>
        <v/>
      </c>
      <c r="W173" s="2" t="n">
        <v>690</v>
      </c>
      <c r="X173" s="2" t="n">
        <v>690</v>
      </c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>
        <f>IF(F173=1,V173*2,IF(F173=2,V173*F173*2,IF(F173&gt;2,F173*2*V173)))</f>
        <v/>
      </c>
      <c r="AW173" s="2">
        <f>SUM(W173:AU173)</f>
        <v/>
      </c>
    </row>
    <row r="174">
      <c r="A174" s="2" t="inlineStr">
        <is>
          <t>14-K-108</t>
        </is>
      </c>
      <c r="B174" s="3" t="inlineStr">
        <is>
          <t>OJC-A1-LC/LC-SM-5-PC/PC-SP</t>
        </is>
      </c>
      <c r="C174" s="2" t="inlineStr">
        <is>
          <t>K9089046</t>
        </is>
      </c>
      <c r="D174" s="2" t="inlineStr">
        <is>
          <t>a1</t>
        </is>
      </c>
      <c r="E174" s="2" t="inlineStr">
        <is>
          <t>2.0mm</t>
        </is>
      </c>
      <c r="F174" s="2" t="n">
        <v>1</v>
      </c>
      <c r="G174" s="2" t="n">
        <v>5</v>
      </c>
      <c r="H174" s="2" t="inlineStr">
        <is>
          <t>LC/PC</t>
        </is>
      </c>
      <c r="I174" s="2" t="inlineStr">
        <is>
          <t>LC/PC</t>
        </is>
      </c>
      <c r="J174" s="2" t="n">
        <v>20</v>
      </c>
      <c r="K174" s="2" t="n"/>
      <c r="L174" s="2" t="n"/>
      <c r="M174" s="2" t="n"/>
      <c r="N174" s="2" t="n"/>
      <c r="O174" s="2" t="n">
        <v>105</v>
      </c>
      <c r="P174" s="2" t="n">
        <v>2</v>
      </c>
      <c r="Q174" s="2" t="n"/>
      <c r="R174" s="2" t="n">
        <v>1</v>
      </c>
      <c r="S174" s="2" t="n"/>
      <c r="T174" s="2" t="n">
        <v>50</v>
      </c>
      <c r="U174" s="2" t="n">
        <v>20</v>
      </c>
      <c r="V174" s="2">
        <f>SUM(J174:U174)</f>
        <v/>
      </c>
      <c r="W174" s="2" t="n">
        <v>396</v>
      </c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>
        <f>IF(F174=1,V174*2,IF(F174=2,V174*F174*2,IF(F174&gt;2,F174*2*V174)))</f>
        <v/>
      </c>
      <c r="AW174" s="2">
        <f>SUM(W174:AU174)</f>
        <v/>
      </c>
    </row>
    <row r="175">
      <c r="A175" s="2" t="inlineStr">
        <is>
          <t>14-K-110</t>
        </is>
      </c>
      <c r="B175" s="3" t="inlineStr">
        <is>
          <t>OJC-A1-LC/LC-SM-7-PC/PC-DP</t>
        </is>
      </c>
      <c r="C175" s="2" t="inlineStr"/>
      <c r="D175" s="2" t="inlineStr">
        <is>
          <t>a1</t>
        </is>
      </c>
      <c r="E175" s="2" t="inlineStr">
        <is>
          <t>2.0mm</t>
        </is>
      </c>
      <c r="F175" s="2" t="n">
        <v>2</v>
      </c>
      <c r="G175" s="2" t="n">
        <v>7</v>
      </c>
      <c r="H175" s="2" t="inlineStr">
        <is>
          <t>LC/PC</t>
        </is>
      </c>
      <c r="I175" s="2" t="inlineStr">
        <is>
          <t>LC/PC</t>
        </is>
      </c>
      <c r="J175" s="2" t="n">
        <v>12</v>
      </c>
      <c r="K175" s="2" t="n"/>
      <c r="L175" s="2" t="n"/>
      <c r="M175" s="2" t="n"/>
      <c r="N175" s="2" t="n"/>
      <c r="O175" s="2" t="n">
        <v>48</v>
      </c>
      <c r="P175" s="2" t="n">
        <v>12</v>
      </c>
      <c r="Q175" s="2" t="n">
        <v>5</v>
      </c>
      <c r="R175" s="2" t="n"/>
      <c r="S175" s="2" t="n"/>
      <c r="T175" s="2" t="n"/>
      <c r="U175" s="2" t="n">
        <v>151</v>
      </c>
      <c r="V175" s="2">
        <f>SUM(J175:U175)</f>
        <v/>
      </c>
      <c r="W175" s="2" t="n">
        <v>456</v>
      </c>
      <c r="X175" s="2" t="n">
        <v>456</v>
      </c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>
        <f>IF(F175=1,V175*2,IF(F175=2,V175*F175*2,IF(F175&gt;2,F175*2*V175)))</f>
        <v/>
      </c>
      <c r="AW175" s="2">
        <f>SUM(W175:AU175)</f>
        <v/>
      </c>
    </row>
    <row r="176">
      <c r="A176" s="2" t="inlineStr">
        <is>
          <t>14-K-111</t>
        </is>
      </c>
      <c r="B176" s="3" t="inlineStr">
        <is>
          <t>OJC-A1-LC/LC-SM-8-PC/PC-DP</t>
        </is>
      </c>
      <c r="C176" s="2" t="inlineStr"/>
      <c r="D176" s="2" t="inlineStr">
        <is>
          <t>a1</t>
        </is>
      </c>
      <c r="E176" s="2" t="inlineStr">
        <is>
          <t>2.0mm</t>
        </is>
      </c>
      <c r="F176" s="2" t="n">
        <v>2</v>
      </c>
      <c r="G176" s="2" t="n">
        <v>8</v>
      </c>
      <c r="H176" s="2" t="inlineStr">
        <is>
          <t>LC/PC</t>
        </is>
      </c>
      <c r="I176" s="2" t="inlineStr">
        <is>
          <t>LC/PC</t>
        </is>
      </c>
      <c r="J176" s="2" t="n"/>
      <c r="K176" s="2" t="n">
        <v>1</v>
      </c>
      <c r="L176" s="2" t="n"/>
      <c r="M176" s="2" t="n"/>
      <c r="N176" s="2" t="n"/>
      <c r="O176" s="2" t="n"/>
      <c r="P176" s="2" t="n"/>
      <c r="Q176" s="2" t="n"/>
      <c r="R176" s="2" t="n">
        <v>100</v>
      </c>
      <c r="S176" s="2" t="n"/>
      <c r="T176" s="2" t="n"/>
      <c r="U176" s="2" t="n">
        <v>146</v>
      </c>
      <c r="V176" s="2">
        <f>SUM(J176:U176)</f>
        <v/>
      </c>
      <c r="W176" s="2" t="n">
        <v>494</v>
      </c>
      <c r="X176" s="2" t="n">
        <v>494</v>
      </c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>
        <f>IF(F176=1,V176*2,IF(F176=2,V176*F176*2,IF(F176&gt;2,F176*2*V176)))</f>
        <v/>
      </c>
      <c r="AW176" s="2">
        <f>SUM(W176:AU176)</f>
        <v/>
      </c>
    </row>
    <row r="177">
      <c r="A177" s="2" t="inlineStr">
        <is>
          <t>14-K-148</t>
        </is>
      </c>
      <c r="B177" s="3" t="inlineStr">
        <is>
          <t>OJC-A1-SC/LC-MM-10-PC/PC-DP</t>
        </is>
      </c>
      <c r="C177" s="2" t="inlineStr">
        <is>
          <t>K9089322</t>
        </is>
      </c>
      <c r="D177" s="2" t="inlineStr">
        <is>
          <t>om1</t>
        </is>
      </c>
      <c r="E177" s="2" t="inlineStr">
        <is>
          <t>2.0mm</t>
        </is>
      </c>
      <c r="F177" s="2" t="n">
        <v>2</v>
      </c>
      <c r="G177" s="2" t="n">
        <v>10</v>
      </c>
      <c r="H177" s="2" t="inlineStr">
        <is>
          <t>SC/PC</t>
        </is>
      </c>
      <c r="I177" s="2" t="inlineStr">
        <is>
          <t>LC/PC</t>
        </is>
      </c>
      <c r="J177" s="2" t="n"/>
      <c r="K177" s="2" t="n"/>
      <c r="L177" s="2" t="n">
        <v>100</v>
      </c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>
        <f>SUM(J177:U177)</f>
        <v/>
      </c>
      <c r="W177" s="2" t="n"/>
      <c r="X177" s="2" t="n">
        <v>200</v>
      </c>
      <c r="Y177" s="2" t="n"/>
      <c r="Z177" s="2" t="n"/>
      <c r="AA177" s="2" t="n">
        <v>200</v>
      </c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>
        <f>IF(F177=1,V177*2,IF(F177=2,V177*F177*2,IF(F177&gt;2,F177*2*V177)))</f>
        <v/>
      </c>
      <c r="AW177" s="2">
        <f>SUM(W177:AU177)</f>
        <v/>
      </c>
    </row>
    <row r="178">
      <c r="A178" s="2" t="inlineStr">
        <is>
          <t>14-K-150</t>
        </is>
      </c>
      <c r="B178" s="3" t="inlineStr">
        <is>
          <t>OJC-A1-SC/LC-MM-15-PC/PC-DP</t>
        </is>
      </c>
      <c r="C178" s="2" t="inlineStr">
        <is>
          <t>K9089323</t>
        </is>
      </c>
      <c r="D178" s="2" t="inlineStr">
        <is>
          <t>om1</t>
        </is>
      </c>
      <c r="E178" s="2" t="inlineStr">
        <is>
          <t>2.0mm</t>
        </is>
      </c>
      <c r="F178" s="2" t="n">
        <v>2</v>
      </c>
      <c r="G178" s="2" t="n">
        <v>15</v>
      </c>
      <c r="H178" s="2" t="inlineStr">
        <is>
          <t>SC/PC</t>
        </is>
      </c>
      <c r="I178" s="2" t="inlineStr">
        <is>
          <t>LC/PC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n">
        <v>80</v>
      </c>
      <c r="R178" s="2" t="n"/>
      <c r="S178" s="2" t="n"/>
      <c r="T178" s="2" t="n"/>
      <c r="U178" s="2" t="n"/>
      <c r="V178" s="2">
        <f>SUM(J178:U178)</f>
        <v/>
      </c>
      <c r="W178" s="2" t="n"/>
      <c r="X178" s="2" t="n">
        <v>160</v>
      </c>
      <c r="Y178" s="2" t="n"/>
      <c r="Z178" s="2" t="n"/>
      <c r="AA178" s="2" t="n">
        <v>160</v>
      </c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>
        <f>IF(F178=1,V178*2,IF(F178=2,V178*F178*2,IF(F178&gt;2,F178*2*V178)))</f>
        <v/>
      </c>
      <c r="AW178" s="2">
        <f>SUM(W178:AU178)</f>
        <v/>
      </c>
    </row>
    <row r="179">
      <c r="A179" s="2" t="inlineStr">
        <is>
          <t>14-K-157</t>
        </is>
      </c>
      <c r="B179" s="3" t="inlineStr">
        <is>
          <t>OJC-A1-SC/LC-MM-2-PC/PC-DP</t>
        </is>
      </c>
      <c r="C179" s="2" t="inlineStr">
        <is>
          <t>K9089318</t>
        </is>
      </c>
      <c r="D179" s="2" t="inlineStr">
        <is>
          <t>om1</t>
        </is>
      </c>
      <c r="E179" s="2" t="inlineStr">
        <is>
          <t>2.0mm</t>
        </is>
      </c>
      <c r="F179" s="2" t="n">
        <v>2</v>
      </c>
      <c r="G179" s="2" t="n">
        <v>2</v>
      </c>
      <c r="H179" s="2" t="inlineStr">
        <is>
          <t>SC/PC</t>
        </is>
      </c>
      <c r="I179" s="2" t="inlineStr">
        <is>
          <t>LC/PC</t>
        </is>
      </c>
      <c r="J179" s="2" t="n"/>
      <c r="K179" s="2" t="n"/>
      <c r="L179" s="2" t="n">
        <v>50</v>
      </c>
      <c r="M179" s="2" t="n"/>
      <c r="N179" s="2" t="n">
        <v>50</v>
      </c>
      <c r="O179" s="2" t="n"/>
      <c r="P179" s="2" t="n"/>
      <c r="Q179" s="2" t="n"/>
      <c r="R179" s="2" t="n"/>
      <c r="S179" s="2" t="n"/>
      <c r="T179" s="2" t="n"/>
      <c r="U179" s="2" t="n"/>
      <c r="V179" s="2">
        <f>SUM(J179:U179)</f>
        <v/>
      </c>
      <c r="W179" s="2" t="n"/>
      <c r="X179" s="2" t="n">
        <v>200</v>
      </c>
      <c r="Y179" s="2" t="n"/>
      <c r="Z179" s="2" t="n"/>
      <c r="AA179" s="2" t="n">
        <v>200</v>
      </c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>
        <f>IF(F179=1,V179*2,IF(F179=2,V179*F179*2,IF(F179&gt;2,F179*2*V179)))</f>
        <v/>
      </c>
      <c r="AW179" s="2">
        <f>SUM(W179:AU179)</f>
        <v/>
      </c>
    </row>
    <row r="180">
      <c r="A180" s="2" t="inlineStr">
        <is>
          <t>14-K-160</t>
        </is>
      </c>
      <c r="B180" s="3" t="inlineStr">
        <is>
          <t>OJC-A1-SC/LC-MM-35-PC/PC-DP</t>
        </is>
      </c>
      <c r="C180" s="2" t="inlineStr">
        <is>
          <t>K9089327</t>
        </is>
      </c>
      <c r="D180" s="2" t="inlineStr">
        <is>
          <t>om1</t>
        </is>
      </c>
      <c r="E180" s="2" t="inlineStr">
        <is>
          <t>2.0mm</t>
        </is>
      </c>
      <c r="F180" s="2" t="n">
        <v>2</v>
      </c>
      <c r="G180" s="2" t="n">
        <v>35</v>
      </c>
      <c r="H180" s="2" t="inlineStr">
        <is>
          <t>SC/PC</t>
        </is>
      </c>
      <c r="I180" s="2" t="inlineStr">
        <is>
          <t>LC/PC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>
        <v>20</v>
      </c>
      <c r="T180" s="2" t="n"/>
      <c r="U180" s="2" t="n"/>
      <c r="V180" s="2">
        <f>SUM(J180:U180)</f>
        <v/>
      </c>
      <c r="W180" s="2" t="n"/>
      <c r="X180" s="2" t="n">
        <v>40</v>
      </c>
      <c r="Y180" s="2" t="n"/>
      <c r="Z180" s="2" t="n"/>
      <c r="AA180" s="2" t="n">
        <v>40</v>
      </c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>
        <f>IF(F180=1,V180*2,IF(F180=2,V180*F180*2,IF(F180&gt;2,F180*2*V180)))</f>
        <v/>
      </c>
      <c r="AW180" s="2">
        <f>SUM(W180:AU180)</f>
        <v/>
      </c>
    </row>
    <row r="181">
      <c r="A181" s="2" t="inlineStr">
        <is>
          <t>14-K-161</t>
        </is>
      </c>
      <c r="B181" s="3" t="inlineStr">
        <is>
          <t>OJC-A1-SC/LC-MM-3-PC/PC-DP</t>
        </is>
      </c>
      <c r="C181" s="2" t="inlineStr">
        <is>
          <t>K9089319</t>
        </is>
      </c>
      <c r="D181" s="2" t="inlineStr">
        <is>
          <t>om1</t>
        </is>
      </c>
      <c r="E181" s="2" t="inlineStr">
        <is>
          <t>2.0mm</t>
        </is>
      </c>
      <c r="F181" s="2" t="n">
        <v>2</v>
      </c>
      <c r="G181" s="2" t="n">
        <v>3</v>
      </c>
      <c r="H181" s="2" t="inlineStr">
        <is>
          <t>SC/PC</t>
        </is>
      </c>
      <c r="I181" s="2" t="inlineStr">
        <is>
          <t>LC/PC</t>
        </is>
      </c>
      <c r="J181" s="2" t="n"/>
      <c r="K181" s="2" t="n">
        <v>4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>
        <f>SUM(J181:U181)</f>
        <v/>
      </c>
      <c r="W181" s="2" t="n"/>
      <c r="X181" s="2" t="n">
        <v>8</v>
      </c>
      <c r="Y181" s="2" t="n"/>
      <c r="Z181" s="2" t="n"/>
      <c r="AA181" s="2" t="n">
        <v>8</v>
      </c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>
        <f>IF(F181=1,V181*2,IF(F181=2,V181*F181*2,IF(F181&gt;2,F181*2*V181)))</f>
        <v/>
      </c>
      <c r="AW181" s="2">
        <f>SUM(W181:AU181)</f>
        <v/>
      </c>
    </row>
    <row r="182">
      <c r="A182" s="2" t="inlineStr">
        <is>
          <t>14-K-168</t>
        </is>
      </c>
      <c r="B182" s="3" t="inlineStr">
        <is>
          <t>OJC-A1-SC/LC-MM-7-PC/PC-DP</t>
        </is>
      </c>
      <c r="C182" s="2" t="inlineStr"/>
      <c r="D182" s="2" t="inlineStr">
        <is>
          <t>om1</t>
        </is>
      </c>
      <c r="E182" s="2" t="inlineStr">
        <is>
          <t>2.0mm</t>
        </is>
      </c>
      <c r="F182" s="2" t="n">
        <v>2</v>
      </c>
      <c r="G182" s="2" t="n">
        <v>7</v>
      </c>
      <c r="H182" s="2" t="inlineStr">
        <is>
          <t>SC/PC</t>
        </is>
      </c>
      <c r="I182" s="2" t="inlineStr">
        <is>
          <t>LC/PC</t>
        </is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>
        <v>4</v>
      </c>
      <c r="T182" s="2" t="n"/>
      <c r="U182" s="2" t="n"/>
      <c r="V182" s="2">
        <f>SUM(J182:U182)</f>
        <v/>
      </c>
      <c r="W182" s="2" t="n"/>
      <c r="X182" s="2" t="n">
        <v>8</v>
      </c>
      <c r="Y182" s="2" t="n"/>
      <c r="Z182" s="2" t="n"/>
      <c r="AA182" s="2" t="n">
        <v>8</v>
      </c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>
        <f>IF(F182=1,V182*2,IF(F182=2,V182*F182*2,IF(F182&gt;2,F182*2*V182)))</f>
        <v/>
      </c>
      <c r="AW182" s="2">
        <f>SUM(W182:AU182)</f>
        <v/>
      </c>
    </row>
    <row r="183">
      <c r="A183" s="2" t="inlineStr">
        <is>
          <t>14-K-173</t>
        </is>
      </c>
      <c r="B183" s="3" t="inlineStr">
        <is>
          <t>OJC-A1-SC/LC-SM-10-APC/PC-SP</t>
        </is>
      </c>
      <c r="C183" s="2" t="inlineStr"/>
      <c r="D183" s="2" t="inlineStr">
        <is>
          <t>a1</t>
        </is>
      </c>
      <c r="E183" s="2" t="inlineStr">
        <is>
          <t>2.0mm</t>
        </is>
      </c>
      <c r="F183" s="2" t="n">
        <v>1</v>
      </c>
      <c r="G183" s="2" t="n">
        <v>10</v>
      </c>
      <c r="H183" s="2" t="inlineStr">
        <is>
          <t>SC/APC</t>
        </is>
      </c>
      <c r="I183" s="2" t="inlineStr">
        <is>
          <t>LC/PC</t>
        </is>
      </c>
      <c r="J183" s="2" t="n"/>
      <c r="K183" s="2" t="n"/>
      <c r="L183" s="2" t="n"/>
      <c r="M183" s="2" t="n"/>
      <c r="N183" s="2" t="n">
        <v>6</v>
      </c>
      <c r="O183" s="2" t="n"/>
      <c r="P183" s="2" t="n"/>
      <c r="Q183" s="2" t="n"/>
      <c r="R183" s="2" t="n"/>
      <c r="S183" s="2" t="n"/>
      <c r="T183" s="2" t="n"/>
      <c r="U183" s="2" t="n"/>
      <c r="V183" s="2">
        <f>SUM(J183:U183)</f>
        <v/>
      </c>
      <c r="W183" s="2" t="n">
        <v>6</v>
      </c>
      <c r="X183" s="2" t="n"/>
      <c r="Y183" s="2" t="n"/>
      <c r="Z183" s="2" t="n"/>
      <c r="AA183" s="2" t="n"/>
      <c r="AB183" s="2" t="n"/>
      <c r="AC183" s="2" t="n">
        <v>6</v>
      </c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>
        <f>IF(F183=1,V183*2,IF(F183=2,V183*F183*2,IF(F183&gt;2,F183*2*V183)))</f>
        <v/>
      </c>
      <c r="AW183" s="2">
        <f>SUM(W183:AU183)</f>
        <v/>
      </c>
    </row>
    <row r="184">
      <c r="A184" s="2" t="inlineStr">
        <is>
          <t>14-K-176</t>
        </is>
      </c>
      <c r="B184" s="3" t="inlineStr">
        <is>
          <t>OJC-A1-SC/LC-SM-10-PC/PC-DP</t>
        </is>
      </c>
      <c r="C184" s="2" t="inlineStr">
        <is>
          <t>K9089162</t>
        </is>
      </c>
      <c r="D184" s="2" t="inlineStr">
        <is>
          <t>a1</t>
        </is>
      </c>
      <c r="E184" s="2" t="inlineStr">
        <is>
          <t>2.0mm</t>
        </is>
      </c>
      <c r="F184" s="2" t="n">
        <v>2</v>
      </c>
      <c r="G184" s="2" t="n">
        <v>10</v>
      </c>
      <c r="H184" s="2" t="inlineStr">
        <is>
          <t>SC/PC</t>
        </is>
      </c>
      <c r="I184" s="2" t="inlineStr">
        <is>
          <t>LC/PC</t>
        </is>
      </c>
      <c r="J184" s="2" t="n">
        <v>300</v>
      </c>
      <c r="K184" s="2" t="n"/>
      <c r="L184" s="2" t="n">
        <v>300</v>
      </c>
      <c r="M184" s="2" t="n"/>
      <c r="N184" s="2" t="n">
        <v>200</v>
      </c>
      <c r="O184" s="2" t="n"/>
      <c r="P184" s="2" t="n"/>
      <c r="Q184" s="2" t="n"/>
      <c r="R184" s="2" t="n"/>
      <c r="S184" s="2" t="n"/>
      <c r="T184" s="2" t="n"/>
      <c r="U184" s="2" t="n"/>
      <c r="V184" s="2">
        <f>SUM(J184:U184)</f>
        <v/>
      </c>
      <c r="W184" s="2" t="n"/>
      <c r="X184" s="2" t="n">
        <v>1600</v>
      </c>
      <c r="Y184" s="2" t="n"/>
      <c r="Z184" s="2" t="n"/>
      <c r="AA184" s="2" t="n">
        <v>1600</v>
      </c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>
        <f>IF(F184=1,V184*2,IF(F184=2,V184*F184*2,IF(F184&gt;2,F184*2*V184)))</f>
        <v/>
      </c>
      <c r="AW184" s="2">
        <f>SUM(W184:AU184)</f>
        <v/>
      </c>
    </row>
    <row r="185">
      <c r="A185" s="2" t="inlineStr">
        <is>
          <t>14-K-177</t>
        </is>
      </c>
      <c r="B185" s="3" t="inlineStr">
        <is>
          <t>OJC-A1-SC/LC-SM-10-PC/PC-SP</t>
        </is>
      </c>
      <c r="C185" s="2" t="inlineStr">
        <is>
          <t>K9089033</t>
        </is>
      </c>
      <c r="D185" s="2" t="inlineStr">
        <is>
          <t>a1</t>
        </is>
      </c>
      <c r="E185" s="2" t="inlineStr">
        <is>
          <t>2.0mm</t>
        </is>
      </c>
      <c r="F185" s="2" t="n">
        <v>1</v>
      </c>
      <c r="G185" s="2" t="n">
        <v>10</v>
      </c>
      <c r="H185" s="2" t="inlineStr">
        <is>
          <t>SC/PC</t>
        </is>
      </c>
      <c r="I185" s="2" t="inlineStr">
        <is>
          <t>LC/PC</t>
        </is>
      </c>
      <c r="J185" s="2" t="n"/>
      <c r="K185" s="2" t="n"/>
      <c r="L185" s="2" t="n"/>
      <c r="M185" s="2" t="n"/>
      <c r="N185" s="2" t="n"/>
      <c r="O185" s="2" t="n">
        <v>150</v>
      </c>
      <c r="P185" s="2" t="n">
        <v>84</v>
      </c>
      <c r="Q185" s="2" t="n">
        <v>190</v>
      </c>
      <c r="R185" s="2" t="n">
        <v>128</v>
      </c>
      <c r="S185" s="2" t="n"/>
      <c r="T185" s="2" t="n"/>
      <c r="U185" s="2" t="n"/>
      <c r="V185" s="2">
        <f>SUM(J185:U185)</f>
        <v/>
      </c>
      <c r="W185" s="2" t="n">
        <v>552</v>
      </c>
      <c r="X185" s="2" t="n"/>
      <c r="Y185" s="2" t="n"/>
      <c r="Z185" s="2" t="n"/>
      <c r="AA185" s="2" t="n">
        <v>552</v>
      </c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>
        <f>IF(F185=1,V185*2,IF(F185=2,V185*F185*2,IF(F185&gt;2,F185*2*V185)))</f>
        <v/>
      </c>
      <c r="AW185" s="2">
        <f>SUM(W185:AU185)</f>
        <v/>
      </c>
    </row>
    <row r="186">
      <c r="A186" s="2" t="inlineStr">
        <is>
          <t>14-K-179</t>
        </is>
      </c>
      <c r="B186" s="3" t="inlineStr">
        <is>
          <t>OJC-A1-SC/LC-SM-12-PC/PC-DP</t>
        </is>
      </c>
      <c r="C186" s="2" t="inlineStr"/>
      <c r="D186" s="2" t="inlineStr">
        <is>
          <t>a1</t>
        </is>
      </c>
      <c r="E186" s="2" t="inlineStr">
        <is>
          <t>2.0mm</t>
        </is>
      </c>
      <c r="F186" s="2" t="n">
        <v>2</v>
      </c>
      <c r="G186" s="2" t="n">
        <v>12</v>
      </c>
      <c r="H186" s="2" t="inlineStr">
        <is>
          <t>SC/PC</t>
        </is>
      </c>
      <c r="I186" s="2" t="inlineStr">
        <is>
          <t>LC/PC</t>
        </is>
      </c>
      <c r="J186" s="2" t="n"/>
      <c r="K186" s="2" t="n"/>
      <c r="L186" s="2" t="n"/>
      <c r="M186" s="2" t="n"/>
      <c r="N186" s="2" t="n">
        <v>6</v>
      </c>
      <c r="O186" s="2" t="n"/>
      <c r="P186" s="2" t="n"/>
      <c r="Q186" s="2" t="n"/>
      <c r="R186" s="2" t="n"/>
      <c r="S186" s="2" t="n"/>
      <c r="T186" s="2" t="n"/>
      <c r="U186" s="2" t="n"/>
      <c r="V186" s="2">
        <f>SUM(J186:U186)</f>
        <v/>
      </c>
      <c r="W186" s="2" t="n"/>
      <c r="X186" s="2" t="n">
        <v>12</v>
      </c>
      <c r="Y186" s="2" t="n"/>
      <c r="Z186" s="2" t="n"/>
      <c r="AA186" s="2" t="n">
        <v>12</v>
      </c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>
        <f>IF(F186=1,V186*2,IF(F186=2,V186*F186*2,IF(F186&gt;2,F186*2*V186)))</f>
        <v/>
      </c>
      <c r="AW186" s="2">
        <f>SUM(W186:AU186)</f>
        <v/>
      </c>
    </row>
    <row r="187">
      <c r="A187" s="2" t="inlineStr">
        <is>
          <t>14-K-180</t>
        </is>
      </c>
      <c r="B187" s="3" t="inlineStr">
        <is>
          <t>OJC-A1-SC/LC-SM-12-PC/PC-SP</t>
        </is>
      </c>
      <c r="C187" s="2" t="inlineStr"/>
      <c r="D187" s="2" t="inlineStr">
        <is>
          <t>a1</t>
        </is>
      </c>
      <c r="E187" s="2" t="inlineStr">
        <is>
          <t>2.0mm</t>
        </is>
      </c>
      <c r="F187" s="2" t="n">
        <v>1</v>
      </c>
      <c r="G187" s="2" t="n">
        <v>12</v>
      </c>
      <c r="H187" s="2" t="inlineStr">
        <is>
          <t>SC/PC</t>
        </is>
      </c>
      <c r="I187" s="2" t="inlineStr">
        <is>
          <t>LC/PC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>
        <v>25</v>
      </c>
      <c r="T187" s="2" t="n"/>
      <c r="U187" s="2" t="n"/>
      <c r="V187" s="2">
        <f>SUM(J187:U187)</f>
        <v/>
      </c>
      <c r="W187" s="2" t="n">
        <v>25</v>
      </c>
      <c r="X187" s="2" t="n"/>
      <c r="Y187" s="2" t="n"/>
      <c r="Z187" s="2" t="n"/>
      <c r="AA187" s="2" t="n">
        <v>25</v>
      </c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>
        <f>IF(F187=1,V187*2,IF(F187=2,V187*F187*2,IF(F187&gt;2,F187*2*V187)))</f>
        <v/>
      </c>
      <c r="AW187" s="2">
        <f>SUM(W187:AU187)</f>
        <v/>
      </c>
    </row>
    <row r="188">
      <c r="A188" s="2" t="inlineStr">
        <is>
          <t>14-K-186</t>
        </is>
      </c>
      <c r="B188" s="3" t="inlineStr">
        <is>
          <t>OJC-A1-SC/LC-SM-15-APC/PC-DP</t>
        </is>
      </c>
      <c r="C188" s="2" t="inlineStr"/>
      <c r="D188" s="2" t="inlineStr">
        <is>
          <t>a1</t>
        </is>
      </c>
      <c r="E188" s="2" t="inlineStr">
        <is>
          <t>2.0mm</t>
        </is>
      </c>
      <c r="F188" s="2" t="n">
        <v>2</v>
      </c>
      <c r="G188" s="2" t="n">
        <v>15</v>
      </c>
      <c r="H188" s="2" t="inlineStr">
        <is>
          <t>SC/APC</t>
        </is>
      </c>
      <c r="I188" s="2" t="inlineStr">
        <is>
          <t>LC/PC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>
        <v>100</v>
      </c>
      <c r="T188" s="2" t="n"/>
      <c r="U188" s="2" t="n"/>
      <c r="V188" s="2">
        <f>SUM(J188:U188)</f>
        <v/>
      </c>
      <c r="W188" s="2" t="n"/>
      <c r="X188" s="2" t="n">
        <v>200</v>
      </c>
      <c r="Y188" s="2" t="n"/>
      <c r="Z188" s="2" t="n"/>
      <c r="AA188" s="2" t="n"/>
      <c r="AB188" s="2" t="n"/>
      <c r="AC188" s="2" t="n">
        <v>200</v>
      </c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>
        <f>IF(F188=1,V188*2,IF(F188=2,V188*F188*2,IF(F188&gt;2,F188*2*V188)))</f>
        <v/>
      </c>
      <c r="AW188" s="2">
        <f>SUM(W188:AU188)</f>
        <v/>
      </c>
    </row>
    <row r="189">
      <c r="A189" s="2" t="inlineStr">
        <is>
          <t>14-K-188</t>
        </is>
      </c>
      <c r="B189" s="3" t="inlineStr">
        <is>
          <t>OJC-A1-SC/LC-SM-15-PC/PC-DP</t>
        </is>
      </c>
      <c r="C189" s="2" t="inlineStr">
        <is>
          <t>K9089163</t>
        </is>
      </c>
      <c r="D189" s="2" t="inlineStr">
        <is>
          <t>a1</t>
        </is>
      </c>
      <c r="E189" s="2" t="inlineStr">
        <is>
          <t>2.0mm</t>
        </is>
      </c>
      <c r="F189" s="2" t="n">
        <v>2</v>
      </c>
      <c r="G189" s="2" t="n">
        <v>15</v>
      </c>
      <c r="H189" s="2" t="inlineStr">
        <is>
          <t>SC/PC</t>
        </is>
      </c>
      <c r="I189" s="2" t="inlineStr">
        <is>
          <t>LC/PC</t>
        </is>
      </c>
      <c r="J189" s="2" t="n"/>
      <c r="K189" s="2" t="n">
        <v>300</v>
      </c>
      <c r="L189" s="2" t="n"/>
      <c r="M189" s="2" t="n"/>
      <c r="N189" s="2" t="n"/>
      <c r="O189" s="2" t="n">
        <v>100</v>
      </c>
      <c r="P189" s="2" t="n"/>
      <c r="Q189" s="2" t="n"/>
      <c r="R189" s="2" t="n"/>
      <c r="S189" s="2" t="n"/>
      <c r="T189" s="2" t="n"/>
      <c r="U189" s="2" t="n"/>
      <c r="V189" s="2">
        <f>SUM(J189:U189)</f>
        <v/>
      </c>
      <c r="W189" s="2" t="n"/>
      <c r="X189" s="2" t="n">
        <v>800</v>
      </c>
      <c r="Y189" s="2" t="n"/>
      <c r="Z189" s="2" t="n"/>
      <c r="AA189" s="2" t="n">
        <v>800</v>
      </c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>
        <f>IF(F189=1,V189*2,IF(F189=2,V189*F189*2,IF(F189&gt;2,F189*2*V189)))</f>
        <v/>
      </c>
      <c r="AW189" s="2">
        <f>SUM(W189:AU189)</f>
        <v/>
      </c>
    </row>
    <row r="190">
      <c r="A190" s="2" t="inlineStr">
        <is>
          <t>14-K-189</t>
        </is>
      </c>
      <c r="B190" s="3" t="inlineStr">
        <is>
          <t>OJC-A1-SC/LC-SM-15-PC/PC-SP</t>
        </is>
      </c>
      <c r="C190" s="2" t="inlineStr">
        <is>
          <t>K9089034</t>
        </is>
      </c>
      <c r="D190" s="2" t="inlineStr">
        <is>
          <t>a1</t>
        </is>
      </c>
      <c r="E190" s="2" t="inlineStr">
        <is>
          <t>2.0mm</t>
        </is>
      </c>
      <c r="F190" s="2" t="n">
        <v>1</v>
      </c>
      <c r="G190" s="2" t="n">
        <v>15</v>
      </c>
      <c r="H190" s="2" t="inlineStr">
        <is>
          <t>SC/PC</t>
        </is>
      </c>
      <c r="I190" s="2" t="inlineStr">
        <is>
          <t>LC/PC</t>
        </is>
      </c>
      <c r="J190" s="2" t="n"/>
      <c r="K190" s="2" t="n"/>
      <c r="L190" s="2" t="n"/>
      <c r="M190" s="2" t="n"/>
      <c r="N190" s="2" t="n">
        <v>310</v>
      </c>
      <c r="O190" s="2" t="n">
        <v>100</v>
      </c>
      <c r="P190" s="2" t="n">
        <v>275</v>
      </c>
      <c r="Q190" s="2" t="n"/>
      <c r="R190" s="2" t="n">
        <v>376</v>
      </c>
      <c r="S190" s="2" t="n">
        <v>70</v>
      </c>
      <c r="T190" s="2" t="n">
        <v>53</v>
      </c>
      <c r="U190" s="2" t="n">
        <v>83</v>
      </c>
      <c r="V190" s="2">
        <f>SUM(J190:U190)</f>
        <v/>
      </c>
      <c r="W190" s="2" t="n">
        <v>1267</v>
      </c>
      <c r="X190" s="2" t="n"/>
      <c r="Y190" s="2" t="n"/>
      <c r="Z190" s="2" t="n"/>
      <c r="AA190" s="2" t="n">
        <v>1267</v>
      </c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>
        <f>IF(F190=1,V190*2,IF(F190=2,V190*F190*2,IF(F190&gt;2,F190*2*V190)))</f>
        <v/>
      </c>
      <c r="AW190" s="2">
        <f>SUM(W190:AU190)</f>
        <v/>
      </c>
    </row>
    <row r="191">
      <c r="A191" s="2" t="inlineStr">
        <is>
          <t>14-K-198</t>
        </is>
      </c>
      <c r="B191" s="3" t="inlineStr">
        <is>
          <t>OJC-A1-SC/LC-SM-1-PC/PC-DP</t>
        </is>
      </c>
      <c r="C191" s="2" t="inlineStr">
        <is>
          <t>K9089157</t>
        </is>
      </c>
      <c r="D191" s="2" t="inlineStr">
        <is>
          <t>a1</t>
        </is>
      </c>
      <c r="E191" s="2" t="inlineStr">
        <is>
          <t>2.0mm</t>
        </is>
      </c>
      <c r="F191" s="2" t="n">
        <v>2</v>
      </c>
      <c r="G191" s="2" t="n">
        <v>1</v>
      </c>
      <c r="H191" s="2" t="inlineStr">
        <is>
          <t>SC/PC</t>
        </is>
      </c>
      <c r="I191" s="2" t="inlineStr">
        <is>
          <t>LC/PC</t>
        </is>
      </c>
      <c r="J191" s="2" t="n"/>
      <c r="K191" s="2" t="n"/>
      <c r="L191" s="2" t="n"/>
      <c r="M191" s="2" t="n"/>
      <c r="N191" s="2" t="n"/>
      <c r="O191" s="2" t="n"/>
      <c r="P191" s="2" t="n">
        <v>200</v>
      </c>
      <c r="Q191" s="2" t="n"/>
      <c r="R191" s="2" t="n"/>
      <c r="S191" s="2" t="n">
        <v>23</v>
      </c>
      <c r="T191" s="2" t="n">
        <v>36</v>
      </c>
      <c r="U191" s="2" t="n">
        <v>100</v>
      </c>
      <c r="V191" s="2">
        <f>SUM(J191:U191)</f>
        <v/>
      </c>
      <c r="W191" s="2" t="n"/>
      <c r="X191" s="2" t="n">
        <v>718</v>
      </c>
      <c r="Y191" s="2" t="n"/>
      <c r="Z191" s="2" t="n"/>
      <c r="AA191" s="2" t="n">
        <v>718</v>
      </c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>
        <f>IF(F191=1,V191*2,IF(F191=2,V191*F191*2,IF(F191&gt;2,F191*2*V191)))</f>
        <v/>
      </c>
      <c r="AW191" s="2">
        <f>SUM(W191:AU191)</f>
        <v/>
      </c>
    </row>
    <row r="192">
      <c r="A192" s="2" t="inlineStr">
        <is>
          <t>14-K-199</t>
        </is>
      </c>
      <c r="B192" s="3" t="inlineStr">
        <is>
          <t>OJC-A1-SC/LC-SM-1-PC/PC-SP</t>
        </is>
      </c>
      <c r="C192" s="2" t="inlineStr">
        <is>
          <t>K9089028</t>
        </is>
      </c>
      <c r="D192" s="2" t="inlineStr">
        <is>
          <t>a1</t>
        </is>
      </c>
      <c r="E192" s="2" t="inlineStr">
        <is>
          <t>2.0mm</t>
        </is>
      </c>
      <c r="F192" s="2" t="n">
        <v>1</v>
      </c>
      <c r="G192" s="2" t="n">
        <v>1</v>
      </c>
      <c r="H192" s="2" t="inlineStr">
        <is>
          <t>SC/PC</t>
        </is>
      </c>
      <c r="I192" s="2" t="inlineStr">
        <is>
          <t>LC/PC</t>
        </is>
      </c>
      <c r="J192" s="2" t="n">
        <v>700</v>
      </c>
      <c r="K192" s="2" t="n"/>
      <c r="L192" s="2" t="n"/>
      <c r="M192" s="2" t="n">
        <v>695</v>
      </c>
      <c r="N192" s="2" t="n">
        <v>50</v>
      </c>
      <c r="O192" s="2" t="n"/>
      <c r="P192" s="2" t="n"/>
      <c r="Q192" s="2" t="n"/>
      <c r="R192" s="2" t="n">
        <v>764</v>
      </c>
      <c r="S192" s="2" t="n">
        <v>19</v>
      </c>
      <c r="T192" s="2" t="n">
        <v>430</v>
      </c>
      <c r="U192" s="2" t="n">
        <v>805</v>
      </c>
      <c r="V192" s="2">
        <f>SUM(J192:U192)</f>
        <v/>
      </c>
      <c r="W192" s="2" t="n">
        <v>3463</v>
      </c>
      <c r="X192" s="2" t="n"/>
      <c r="Y192" s="2" t="n"/>
      <c r="Z192" s="2" t="n"/>
      <c r="AA192" s="2" t="n">
        <v>3463</v>
      </c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>
        <f>IF(F192=1,V192*2,IF(F192=2,V192*F192*2,IF(F192&gt;2,F192*2*V192)))</f>
        <v/>
      </c>
      <c r="AW192" s="2">
        <f>SUM(W192:AU192)</f>
        <v/>
      </c>
    </row>
    <row r="193">
      <c r="A193" s="2" t="inlineStr">
        <is>
          <t>14-K-204</t>
        </is>
      </c>
      <c r="B193" s="3" t="inlineStr">
        <is>
          <t>OJC-A1-SC/LC-SM-20-PC/PC-DP</t>
        </is>
      </c>
      <c r="C193" s="2" t="inlineStr">
        <is>
          <t>K9089164</t>
        </is>
      </c>
      <c r="D193" s="2" t="inlineStr">
        <is>
          <t>a1</t>
        </is>
      </c>
      <c r="E193" s="2" t="inlineStr">
        <is>
          <t>2.0mm</t>
        </is>
      </c>
      <c r="F193" s="2" t="n">
        <v>2</v>
      </c>
      <c r="G193" s="2" t="n">
        <v>20</v>
      </c>
      <c r="H193" s="2" t="inlineStr">
        <is>
          <t>SC/PC</t>
        </is>
      </c>
      <c r="I193" s="2" t="inlineStr">
        <is>
          <t>LC/PC</t>
        </is>
      </c>
      <c r="J193" s="2" t="n"/>
      <c r="K193" s="2" t="n"/>
      <c r="L193" s="2" t="n">
        <v>200</v>
      </c>
      <c r="M193" s="2" t="n"/>
      <c r="N193" s="2" t="n">
        <v>144</v>
      </c>
      <c r="O193" s="2" t="n">
        <v>100</v>
      </c>
      <c r="P193" s="2" t="n"/>
      <c r="Q193" s="2" t="n"/>
      <c r="R193" s="2" t="n">
        <v>80</v>
      </c>
      <c r="S193" s="2" t="n">
        <v>60</v>
      </c>
      <c r="T193" s="2" t="n">
        <v>6</v>
      </c>
      <c r="U193" s="2" t="n">
        <v>362</v>
      </c>
      <c r="V193" s="2">
        <f>SUM(J193:U193)</f>
        <v/>
      </c>
      <c r="W193" s="2" t="n"/>
      <c r="X193" s="2" t="n">
        <v>1904</v>
      </c>
      <c r="Y193" s="2" t="n"/>
      <c r="Z193" s="2" t="n"/>
      <c r="AA193" s="2" t="n">
        <v>1904</v>
      </c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>
        <f>IF(F193=1,V193*2,IF(F193=2,V193*F193*2,IF(F193&gt;2,F193*2*V193)))</f>
        <v/>
      </c>
      <c r="AW193" s="2">
        <f>SUM(W193:AU193)</f>
        <v/>
      </c>
    </row>
    <row r="194">
      <c r="A194" s="2" t="inlineStr">
        <is>
          <t>14-K-205</t>
        </is>
      </c>
      <c r="B194" s="3" t="inlineStr">
        <is>
          <t>OJC-A1-SC/LC-SM-20-PC/PC-SP</t>
        </is>
      </c>
      <c r="C194" s="2" t="inlineStr">
        <is>
          <t>K9089035</t>
        </is>
      </c>
      <c r="D194" s="2" t="inlineStr">
        <is>
          <t>a1</t>
        </is>
      </c>
      <c r="E194" s="2" t="inlineStr">
        <is>
          <t>2.0mm</t>
        </is>
      </c>
      <c r="F194" s="2" t="n">
        <v>1</v>
      </c>
      <c r="G194" s="2" t="n">
        <v>20</v>
      </c>
      <c r="H194" s="2" t="inlineStr">
        <is>
          <t>SC/PC</t>
        </is>
      </c>
      <c r="I194" s="2" t="inlineStr">
        <is>
          <t>LC/PC</t>
        </is>
      </c>
      <c r="J194" s="2" t="n"/>
      <c r="K194" s="2" t="n"/>
      <c r="L194" s="2" t="n">
        <v>200</v>
      </c>
      <c r="M194" s="2" t="n"/>
      <c r="N194" s="2" t="n">
        <v>230</v>
      </c>
      <c r="O194" s="2" t="n"/>
      <c r="P194" s="2" t="n">
        <v>24</v>
      </c>
      <c r="Q194" s="2" t="n"/>
      <c r="R194" s="2" t="n">
        <v>81</v>
      </c>
      <c r="S194" s="2" t="n">
        <v>80</v>
      </c>
      <c r="T194" s="2" t="n">
        <v>50</v>
      </c>
      <c r="U194" s="2" t="n"/>
      <c r="V194" s="2">
        <f>SUM(J194:U194)</f>
        <v/>
      </c>
      <c r="W194" s="2" t="n">
        <v>665</v>
      </c>
      <c r="X194" s="2" t="n"/>
      <c r="Y194" s="2" t="n"/>
      <c r="Z194" s="2" t="n"/>
      <c r="AA194" s="2" t="n">
        <v>665</v>
      </c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>
        <f>IF(F194=1,V194*2,IF(F194=2,V194*F194*2,IF(F194&gt;2,F194*2*V194)))</f>
        <v/>
      </c>
      <c r="AW194" s="2">
        <f>SUM(W194:AU194)</f>
        <v/>
      </c>
    </row>
    <row r="195">
      <c r="A195" s="2" t="inlineStr">
        <is>
          <t>14-K-209</t>
        </is>
      </c>
      <c r="B195" s="3" t="inlineStr">
        <is>
          <t>OJC-A1-SC/LC-SM-25-PC/PC-DP</t>
        </is>
      </c>
      <c r="C195" s="2" t="inlineStr">
        <is>
          <t>K9089165</t>
        </is>
      </c>
      <c r="D195" s="2" t="inlineStr">
        <is>
          <t>a1</t>
        </is>
      </c>
      <c r="E195" s="2" t="inlineStr">
        <is>
          <t>2.0mm</t>
        </is>
      </c>
      <c r="F195" s="2" t="n">
        <v>2</v>
      </c>
      <c r="G195" s="2" t="n">
        <v>25</v>
      </c>
      <c r="H195" s="2" t="inlineStr">
        <is>
          <t>SC/PC</t>
        </is>
      </c>
      <c r="I195" s="2" t="inlineStr">
        <is>
          <t>LC/PC</t>
        </is>
      </c>
      <c r="J195" s="2" t="n">
        <v>12</v>
      </c>
      <c r="K195" s="2" t="n">
        <v>13</v>
      </c>
      <c r="L195" s="2" t="n">
        <v>250</v>
      </c>
      <c r="M195" s="2" t="n"/>
      <c r="N195" s="2" t="n">
        <v>160</v>
      </c>
      <c r="O195" s="2" t="n">
        <v>100</v>
      </c>
      <c r="P195" s="2" t="n"/>
      <c r="Q195" s="2" t="n"/>
      <c r="R195" s="2" t="n">
        <v>219</v>
      </c>
      <c r="S195" s="2" t="n">
        <v>22</v>
      </c>
      <c r="T195" s="2" t="n"/>
      <c r="U195" s="2" t="n"/>
      <c r="V195" s="2">
        <f>SUM(J195:U195)</f>
        <v/>
      </c>
      <c r="W195" s="2" t="n"/>
      <c r="X195" s="2" t="n">
        <v>1552</v>
      </c>
      <c r="Y195" s="2" t="n"/>
      <c r="Z195" s="2" t="n"/>
      <c r="AA195" s="2" t="n">
        <v>1552</v>
      </c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>
        <f>IF(F195=1,V195*2,IF(F195=2,V195*F195*2,IF(F195&gt;2,F195*2*V195)))</f>
        <v/>
      </c>
      <c r="AW195" s="2">
        <f>SUM(W195:AU195)</f>
        <v/>
      </c>
    </row>
    <row r="196">
      <c r="A196" s="2" t="inlineStr">
        <is>
          <t>14-K-210</t>
        </is>
      </c>
      <c r="B196" s="3" t="inlineStr">
        <is>
          <t>OJC-A1-SC/LC-SM-25-PC/PC-SP</t>
        </is>
      </c>
      <c r="C196" s="2" t="inlineStr">
        <is>
          <t>K9089036</t>
        </is>
      </c>
      <c r="D196" s="2" t="inlineStr">
        <is>
          <t>a1</t>
        </is>
      </c>
      <c r="E196" s="2" t="inlineStr">
        <is>
          <t>2.0mm</t>
        </is>
      </c>
      <c r="F196" s="2" t="n">
        <v>1</v>
      </c>
      <c r="G196" s="2" t="n">
        <v>25</v>
      </c>
      <c r="H196" s="2" t="inlineStr">
        <is>
          <t>SC/PC</t>
        </is>
      </c>
      <c r="I196" s="2" t="inlineStr">
        <is>
          <t>LC/PC</t>
        </is>
      </c>
      <c r="J196" s="2" t="n"/>
      <c r="K196" s="2" t="n"/>
      <c r="L196" s="2" t="n"/>
      <c r="M196" s="2" t="n"/>
      <c r="N196" s="2" t="n">
        <v>20</v>
      </c>
      <c r="O196" s="2" t="n"/>
      <c r="P196" s="2" t="n"/>
      <c r="Q196" s="2" t="n"/>
      <c r="R196" s="2" t="n"/>
      <c r="S196" s="2" t="n"/>
      <c r="T196" s="2" t="n"/>
      <c r="U196" s="2" t="n"/>
      <c r="V196" s="2">
        <f>SUM(J196:U196)</f>
        <v/>
      </c>
      <c r="W196" s="2" t="n">
        <v>20</v>
      </c>
      <c r="X196" s="2" t="n"/>
      <c r="Y196" s="2" t="n"/>
      <c r="Z196" s="2" t="n"/>
      <c r="AA196" s="2" t="n">
        <v>20</v>
      </c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>
        <f>IF(F196=1,V196*2,IF(F196=2,V196*F196*2,IF(F196&gt;2,F196*2*V196)))</f>
        <v/>
      </c>
      <c r="AW196" s="2">
        <f>SUM(W196:AU196)</f>
        <v/>
      </c>
    </row>
    <row r="197">
      <c r="A197" s="2" t="inlineStr">
        <is>
          <t>14-K-211</t>
        </is>
      </c>
      <c r="B197" s="3" t="inlineStr">
        <is>
          <t>OJC-A1-SC/LC-SM-28-PC/PC-DP</t>
        </is>
      </c>
      <c r="C197" s="2" t="inlineStr"/>
      <c r="D197" s="2" t="inlineStr">
        <is>
          <t>a1</t>
        </is>
      </c>
      <c r="E197" s="2" t="inlineStr">
        <is>
          <t>2.0mm</t>
        </is>
      </c>
      <c r="F197" s="2" t="n">
        <v>2</v>
      </c>
      <c r="G197" s="2" t="n">
        <v>28</v>
      </c>
      <c r="H197" s="2" t="inlineStr">
        <is>
          <t>SC/PC</t>
        </is>
      </c>
      <c r="I197" s="2" t="inlineStr">
        <is>
          <t>LC/PC</t>
        </is>
      </c>
      <c r="J197" s="2" t="n"/>
      <c r="K197" s="2" t="n"/>
      <c r="L197" s="2" t="n"/>
      <c r="M197" s="2" t="n"/>
      <c r="N197" s="2" t="n">
        <v>12</v>
      </c>
      <c r="O197" s="2" t="n"/>
      <c r="P197" s="2" t="n"/>
      <c r="Q197" s="2" t="n"/>
      <c r="R197" s="2" t="n"/>
      <c r="S197" s="2" t="n"/>
      <c r="T197" s="2" t="n"/>
      <c r="U197" s="2" t="n"/>
      <c r="V197" s="2">
        <f>SUM(J197:U197)</f>
        <v/>
      </c>
      <c r="W197" s="2" t="n"/>
      <c r="X197" s="2" t="n">
        <v>24</v>
      </c>
      <c r="Y197" s="2" t="n"/>
      <c r="Z197" s="2" t="n"/>
      <c r="AA197" s="2" t="n">
        <v>24</v>
      </c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>
        <f>IF(F197=1,V197*2,IF(F197=2,V197*F197*2,IF(F197&gt;2,F197*2*V197)))</f>
        <v/>
      </c>
      <c r="AW197" s="2">
        <f>SUM(W197:AU197)</f>
        <v/>
      </c>
    </row>
    <row r="198">
      <c r="A198" s="2" t="inlineStr">
        <is>
          <t>14-K-213</t>
        </is>
      </c>
      <c r="B198" s="3" t="inlineStr">
        <is>
          <t>OJC-A1-SC/LC-SM-2-APC/PC-DP</t>
        </is>
      </c>
      <c r="C198" s="2" t="inlineStr"/>
      <c r="D198" s="2" t="inlineStr">
        <is>
          <t>a1</t>
        </is>
      </c>
      <c r="E198" s="2" t="inlineStr">
        <is>
          <t>2.0mm</t>
        </is>
      </c>
      <c r="F198" s="2" t="n">
        <v>2</v>
      </c>
      <c r="G198" s="2" t="n">
        <v>2</v>
      </c>
      <c r="H198" s="2" t="inlineStr">
        <is>
          <t>SC/APC</t>
        </is>
      </c>
      <c r="I198" s="2" t="inlineStr">
        <is>
          <t>LC/PC</t>
        </is>
      </c>
      <c r="J198" s="2" t="n"/>
      <c r="K198" s="2" t="n"/>
      <c r="L198" s="2" t="n"/>
      <c r="M198" s="2" t="n"/>
      <c r="N198" s="2" t="n">
        <v>10</v>
      </c>
      <c r="O198" s="2" t="n"/>
      <c r="P198" s="2" t="n"/>
      <c r="Q198" s="2" t="n"/>
      <c r="R198" s="2" t="n"/>
      <c r="S198" s="2" t="n"/>
      <c r="T198" s="2" t="n"/>
      <c r="U198" s="2" t="n"/>
      <c r="V198" s="2">
        <f>SUM(J198:U198)</f>
        <v/>
      </c>
      <c r="W198" s="2" t="n"/>
      <c r="X198" s="2" t="n">
        <v>20</v>
      </c>
      <c r="Y198" s="2" t="n"/>
      <c r="Z198" s="2" t="n"/>
      <c r="AA198" s="2" t="n"/>
      <c r="AB198" s="2" t="n"/>
      <c r="AC198" s="2" t="n">
        <v>20</v>
      </c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>
        <f>IF(F198=1,V198*2,IF(F198=2,V198*F198*2,IF(F198&gt;2,F198*2*V198)))</f>
        <v/>
      </c>
      <c r="AW198" s="2">
        <f>SUM(W198:AU198)</f>
        <v/>
      </c>
    </row>
    <row r="199">
      <c r="A199" s="2" t="inlineStr">
        <is>
          <t>14-K-214</t>
        </is>
      </c>
      <c r="B199" s="3" t="inlineStr">
        <is>
          <t>OJC-A1-SC/LC-SM-2-PC/PC-DP</t>
        </is>
      </c>
      <c r="C199" s="2" t="inlineStr">
        <is>
          <t>K9089158</t>
        </is>
      </c>
      <c r="D199" s="2" t="inlineStr">
        <is>
          <t>a1</t>
        </is>
      </c>
      <c r="E199" s="2" t="inlineStr">
        <is>
          <t>2.0mm</t>
        </is>
      </c>
      <c r="F199" s="2" t="n">
        <v>2</v>
      </c>
      <c r="G199" s="2" t="n">
        <v>2</v>
      </c>
      <c r="H199" s="2" t="inlineStr">
        <is>
          <t>SC/PC</t>
        </is>
      </c>
      <c r="I199" s="2" t="inlineStr">
        <is>
          <t>LC/PC</t>
        </is>
      </c>
      <c r="J199" s="2" t="n"/>
      <c r="K199" s="2" t="n"/>
      <c r="L199" s="2" t="n">
        <v>500</v>
      </c>
      <c r="M199" s="2" t="n"/>
      <c r="N199" s="2" t="n">
        <v>200</v>
      </c>
      <c r="O199" s="2" t="n"/>
      <c r="P199" s="2" t="n"/>
      <c r="Q199" s="2" t="n"/>
      <c r="R199" s="2" t="n"/>
      <c r="S199" s="2" t="n"/>
      <c r="T199" s="2" t="n"/>
      <c r="U199" s="2" t="n"/>
      <c r="V199" s="2">
        <f>SUM(J199:U199)</f>
        <v/>
      </c>
      <c r="W199" s="2" t="n"/>
      <c r="X199" s="2" t="n">
        <v>1400</v>
      </c>
      <c r="Y199" s="2" t="n"/>
      <c r="Z199" s="2" t="n"/>
      <c r="AA199" s="2" t="n">
        <v>1400</v>
      </c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>
        <f>IF(F199=1,V199*2,IF(F199=2,V199*F199*2,IF(F199&gt;2,F199*2*V199)))</f>
        <v/>
      </c>
      <c r="AW199" s="2">
        <f>SUM(W199:AU199)</f>
        <v/>
      </c>
    </row>
    <row r="200">
      <c r="A200" s="2" t="inlineStr">
        <is>
          <t>14-K-215</t>
        </is>
      </c>
      <c r="B200" s="3" t="inlineStr">
        <is>
          <t>OJC-A1-SC/LC-SM-2-PC/PC-SP</t>
        </is>
      </c>
      <c r="C200" s="2" t="inlineStr">
        <is>
          <t>K9089029</t>
        </is>
      </c>
      <c r="D200" s="2" t="inlineStr">
        <is>
          <t>a1</t>
        </is>
      </c>
      <c r="E200" s="2" t="inlineStr">
        <is>
          <t>2.0mm</t>
        </is>
      </c>
      <c r="F200" s="2" t="n">
        <v>1</v>
      </c>
      <c r="G200" s="2" t="n">
        <v>2</v>
      </c>
      <c r="H200" s="2" t="inlineStr">
        <is>
          <t>SC/PC</t>
        </is>
      </c>
      <c r="I200" s="2" t="inlineStr">
        <is>
          <t>LC/PC</t>
        </is>
      </c>
      <c r="J200" s="2" t="n"/>
      <c r="K200" s="2" t="n"/>
      <c r="L200" s="2" t="n"/>
      <c r="M200" s="2" t="n"/>
      <c r="N200" s="2" t="n">
        <v>210</v>
      </c>
      <c r="O200" s="2" t="n">
        <v>250</v>
      </c>
      <c r="P200" s="2" t="n"/>
      <c r="Q200" s="2" t="n"/>
      <c r="R200" s="2" t="n"/>
      <c r="S200" s="2" t="n"/>
      <c r="T200" s="2" t="n"/>
      <c r="U200" s="2" t="n"/>
      <c r="V200" s="2">
        <f>SUM(J200:U200)</f>
        <v/>
      </c>
      <c r="W200" s="2" t="n">
        <v>460</v>
      </c>
      <c r="X200" s="2" t="n"/>
      <c r="Y200" s="2" t="n"/>
      <c r="Z200" s="2" t="n"/>
      <c r="AA200" s="2" t="n">
        <v>460</v>
      </c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>
        <f>IF(F200=1,V200*2,IF(F200=2,V200*F200*2,IF(F200&gt;2,F200*2*V200)))</f>
        <v/>
      </c>
      <c r="AW200" s="2">
        <f>SUM(W200:AU200)</f>
        <v/>
      </c>
    </row>
    <row r="201">
      <c r="A201" s="2" t="inlineStr">
        <is>
          <t>14-K-217</t>
        </is>
      </c>
      <c r="B201" s="3" t="inlineStr">
        <is>
          <t>OJC-A1-SC/LC-SM-30-PC/PC-DP</t>
        </is>
      </c>
      <c r="C201" s="2" t="inlineStr">
        <is>
          <t>K9089166</t>
        </is>
      </c>
      <c r="D201" s="2" t="inlineStr">
        <is>
          <t>a1</t>
        </is>
      </c>
      <c r="E201" s="2" t="inlineStr">
        <is>
          <t>2.0mm</t>
        </is>
      </c>
      <c r="F201" s="2" t="n">
        <v>2</v>
      </c>
      <c r="G201" s="2" t="n">
        <v>30</v>
      </c>
      <c r="H201" s="2" t="inlineStr">
        <is>
          <t>SC/PC</t>
        </is>
      </c>
      <c r="I201" s="2" t="inlineStr">
        <is>
          <t>LC/PC</t>
        </is>
      </c>
      <c r="J201" s="2" t="n"/>
      <c r="K201" s="2" t="n"/>
      <c r="L201" s="2" t="n"/>
      <c r="M201" s="2" t="n"/>
      <c r="N201" s="2" t="n">
        <v>110</v>
      </c>
      <c r="O201" s="2" t="n"/>
      <c r="P201" s="2" t="n"/>
      <c r="Q201" s="2" t="n"/>
      <c r="R201" s="2" t="n"/>
      <c r="S201" s="2" t="n"/>
      <c r="T201" s="2" t="n"/>
      <c r="U201" s="2" t="n"/>
      <c r="V201" s="2">
        <f>SUM(J201:U201)</f>
        <v/>
      </c>
      <c r="W201" s="2" t="n"/>
      <c r="X201" s="2" t="n">
        <v>220</v>
      </c>
      <c r="Y201" s="2" t="n"/>
      <c r="Z201" s="2" t="n"/>
      <c r="AA201" s="2" t="n">
        <v>220</v>
      </c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>
        <f>IF(F201=1,V201*2,IF(F201=2,V201*F201*2,IF(F201&gt;2,F201*2*V201)))</f>
        <v/>
      </c>
      <c r="AW201" s="2">
        <f>SUM(W201:AU201)</f>
        <v/>
      </c>
    </row>
    <row r="202">
      <c r="A202" s="2" t="inlineStr">
        <is>
          <t>14-K-218</t>
        </is>
      </c>
      <c r="B202" s="3" t="inlineStr">
        <is>
          <t>OJC-A1-SC/LC-SM-30-PC/PC-SP</t>
        </is>
      </c>
      <c r="C202" s="2" t="inlineStr">
        <is>
          <t>K9089037</t>
        </is>
      </c>
      <c r="D202" s="2" t="inlineStr">
        <is>
          <t>a1</t>
        </is>
      </c>
      <c r="E202" s="2" t="inlineStr">
        <is>
          <t>2.0mm</t>
        </is>
      </c>
      <c r="F202" s="2" t="n">
        <v>1</v>
      </c>
      <c r="G202" s="2" t="n">
        <v>30</v>
      </c>
      <c r="H202" s="2" t="inlineStr">
        <is>
          <t>SC/PC</t>
        </is>
      </c>
      <c r="I202" s="2" t="inlineStr">
        <is>
          <t>LC/PC</t>
        </is>
      </c>
      <c r="J202" s="2" t="n"/>
      <c r="K202" s="2" t="n"/>
      <c r="L202" s="2" t="n"/>
      <c r="M202" s="2" t="n">
        <v>50</v>
      </c>
      <c r="N202" s="2" t="n">
        <v>5</v>
      </c>
      <c r="O202" s="2" t="n"/>
      <c r="P202" s="2" t="n"/>
      <c r="Q202" s="2" t="n">
        <v>28</v>
      </c>
      <c r="R202" s="2" t="n">
        <v>50</v>
      </c>
      <c r="S202" s="2" t="n">
        <v>10</v>
      </c>
      <c r="T202" s="2" t="n"/>
      <c r="U202" s="2" t="n">
        <v>74</v>
      </c>
      <c r="V202" s="2">
        <f>SUM(J202:U202)</f>
        <v/>
      </c>
      <c r="W202" s="2" t="n">
        <v>217</v>
      </c>
      <c r="X202" s="2" t="n"/>
      <c r="Y202" s="2" t="n"/>
      <c r="Z202" s="2" t="n"/>
      <c r="AA202" s="2" t="n">
        <v>217</v>
      </c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>
        <f>IF(F202=1,V202*2,IF(F202=2,V202*F202*2,IF(F202&gt;2,F202*2*V202)))</f>
        <v/>
      </c>
      <c r="AW202" s="2">
        <f>SUM(W202:AU202)</f>
        <v/>
      </c>
    </row>
    <row r="203">
      <c r="A203" s="2" t="inlineStr">
        <is>
          <t>14-K-219</t>
        </is>
      </c>
      <c r="B203" s="3" t="inlineStr">
        <is>
          <t>OJC-A1-SC/LC-SM-32-PC/PC-SP</t>
        </is>
      </c>
      <c r="C203" s="2" t="inlineStr"/>
      <c r="D203" s="2" t="inlineStr">
        <is>
          <t>a1</t>
        </is>
      </c>
      <c r="E203" s="2" t="inlineStr">
        <is>
          <t>2.0mm</t>
        </is>
      </c>
      <c r="F203" s="2" t="n">
        <v>1</v>
      </c>
      <c r="G203" s="2" t="n">
        <v>32</v>
      </c>
      <c r="H203" s="2" t="inlineStr">
        <is>
          <t>SC/PC</t>
        </is>
      </c>
      <c r="I203" s="2" t="inlineStr">
        <is>
          <t>LC/PC</t>
        </is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>
        <v>5</v>
      </c>
      <c r="V203" s="2">
        <f>SUM(J203:U203)</f>
        <v/>
      </c>
      <c r="W203" s="2" t="n">
        <v>5</v>
      </c>
      <c r="X203" s="2" t="n"/>
      <c r="Y203" s="2" t="n"/>
      <c r="Z203" s="2" t="n"/>
      <c r="AA203" s="2" t="n">
        <v>5</v>
      </c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>
        <f>IF(F203=1,V203*2,IF(F203=2,V203*F203*2,IF(F203&gt;2,F203*2*V203)))</f>
        <v/>
      </c>
      <c r="AW203" s="2">
        <f>SUM(W203:AU203)</f>
        <v/>
      </c>
    </row>
    <row r="204">
      <c r="A204" s="2" t="inlineStr">
        <is>
          <t>14-K-220</t>
        </is>
      </c>
      <c r="B204" s="3" t="inlineStr">
        <is>
          <t>OJC-A1-SC/LC-SM-35-PC/PC-DP</t>
        </is>
      </c>
      <c r="C204" s="2" t="inlineStr">
        <is>
          <t>K9089167</t>
        </is>
      </c>
      <c r="D204" s="2" t="inlineStr">
        <is>
          <t>a1</t>
        </is>
      </c>
      <c r="E204" s="2" t="inlineStr">
        <is>
          <t>2.0mm</t>
        </is>
      </c>
      <c r="F204" s="2" t="n">
        <v>2</v>
      </c>
      <c r="G204" s="2" t="n">
        <v>35</v>
      </c>
      <c r="H204" s="2" t="inlineStr">
        <is>
          <t>SC/PC</t>
        </is>
      </c>
      <c r="I204" s="2" t="inlineStr">
        <is>
          <t>LC/PC</t>
        </is>
      </c>
      <c r="J204" s="2" t="n"/>
      <c r="K204" s="2" t="n"/>
      <c r="L204" s="2" t="n"/>
      <c r="M204" s="2" t="n"/>
      <c r="N204" s="2" t="n">
        <v>100</v>
      </c>
      <c r="O204" s="2" t="n"/>
      <c r="P204" s="2" t="n"/>
      <c r="Q204" s="2" t="n">
        <v>9</v>
      </c>
      <c r="R204" s="2" t="n">
        <v>95</v>
      </c>
      <c r="S204" s="2" t="n">
        <v>10</v>
      </c>
      <c r="T204" s="2" t="n"/>
      <c r="U204" s="2" t="n"/>
      <c r="V204" s="2">
        <f>SUM(J204:U204)</f>
        <v/>
      </c>
      <c r="W204" s="2" t="n"/>
      <c r="X204" s="2" t="n">
        <v>428</v>
      </c>
      <c r="Y204" s="2" t="n"/>
      <c r="Z204" s="2" t="n"/>
      <c r="AA204" s="2" t="n">
        <v>428</v>
      </c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>
        <f>IF(F204=1,V204*2,IF(F204=2,V204*F204*2,IF(F204&gt;2,F204*2*V204)))</f>
        <v/>
      </c>
      <c r="AW204" s="2">
        <f>SUM(W204:AU204)</f>
        <v/>
      </c>
    </row>
    <row r="205">
      <c r="A205" s="2" t="inlineStr">
        <is>
          <t>14-K-221</t>
        </is>
      </c>
      <c r="B205" s="3" t="inlineStr">
        <is>
          <t>OJC-A1-SC/LC-SM-35-PC/PC-SP</t>
        </is>
      </c>
      <c r="C205" s="2" t="inlineStr">
        <is>
          <t>K9089038</t>
        </is>
      </c>
      <c r="D205" s="2" t="inlineStr">
        <is>
          <t>a1</t>
        </is>
      </c>
      <c r="E205" s="2" t="inlineStr">
        <is>
          <t>2.0mm</t>
        </is>
      </c>
      <c r="F205" s="2" t="n">
        <v>1</v>
      </c>
      <c r="G205" s="2" t="n">
        <v>35</v>
      </c>
      <c r="H205" s="2" t="inlineStr">
        <is>
          <t>SC/PC</t>
        </is>
      </c>
      <c r="I205" s="2" t="inlineStr">
        <is>
          <t>LC/PC</t>
        </is>
      </c>
      <c r="J205" s="2" t="n"/>
      <c r="K205" s="2" t="n"/>
      <c r="L205" s="2" t="n"/>
      <c r="M205" s="2" t="n"/>
      <c r="N205" s="2" t="n"/>
      <c r="O205" s="2" t="n"/>
      <c r="P205" s="2" t="n"/>
      <c r="Q205" s="2" t="n">
        <v>5</v>
      </c>
      <c r="R205" s="2" t="n"/>
      <c r="S205" s="2" t="n">
        <v>10</v>
      </c>
      <c r="T205" s="2" t="n">
        <v>7</v>
      </c>
      <c r="U205" s="2" t="n">
        <v>55</v>
      </c>
      <c r="V205" s="2">
        <f>SUM(J205:U205)</f>
        <v/>
      </c>
      <c r="W205" s="2" t="n">
        <v>77</v>
      </c>
      <c r="X205" s="2" t="n"/>
      <c r="Y205" s="2" t="n"/>
      <c r="Z205" s="2" t="n"/>
      <c r="AA205" s="2" t="n">
        <v>77</v>
      </c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>
        <f>IF(F205=1,V205*2,IF(F205=2,V205*F205*2,IF(F205&gt;2,F205*2*V205)))</f>
        <v/>
      </c>
      <c r="AW205" s="2">
        <f>SUM(W205:AU205)</f>
        <v/>
      </c>
    </row>
    <row r="206">
      <c r="A206" s="2" t="inlineStr">
        <is>
          <t>14-K-222</t>
        </is>
      </c>
      <c r="B206" s="3" t="inlineStr">
        <is>
          <t>OJC-A1-SC/LC-SM-3-APC/PC-DP</t>
        </is>
      </c>
      <c r="C206" s="2" t="inlineStr"/>
      <c r="D206" s="2" t="inlineStr">
        <is>
          <t>a1</t>
        </is>
      </c>
      <c r="E206" s="2" t="inlineStr">
        <is>
          <t>2.0mm</t>
        </is>
      </c>
      <c r="F206" s="2" t="n">
        <v>2</v>
      </c>
      <c r="G206" s="2" t="n">
        <v>3</v>
      </c>
      <c r="H206" s="2" t="inlineStr">
        <is>
          <t>SC/APC</t>
        </is>
      </c>
      <c r="I206" s="2" t="inlineStr">
        <is>
          <t>LC/PC</t>
        </is>
      </c>
      <c r="J206" s="2" t="n"/>
      <c r="K206" s="2" t="n">
        <v>80</v>
      </c>
      <c r="L206" s="2" t="n"/>
      <c r="M206" s="2" t="n"/>
      <c r="N206" s="2" t="n">
        <v>40</v>
      </c>
      <c r="O206" s="2" t="n"/>
      <c r="P206" s="2" t="n"/>
      <c r="Q206" s="2" t="n"/>
      <c r="R206" s="2" t="n"/>
      <c r="S206" s="2" t="n"/>
      <c r="T206" s="2" t="n"/>
      <c r="U206" s="2" t="n"/>
      <c r="V206" s="2">
        <f>SUM(J206:U206)</f>
        <v/>
      </c>
      <c r="W206" s="2" t="n"/>
      <c r="X206" s="2" t="n">
        <v>240</v>
      </c>
      <c r="Y206" s="2" t="n"/>
      <c r="Z206" s="2" t="n"/>
      <c r="AA206" s="2" t="n"/>
      <c r="AB206" s="2" t="n"/>
      <c r="AC206" s="2" t="n">
        <v>240</v>
      </c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>
        <f>IF(F206=1,V206*2,IF(F206=2,V206*F206*2,IF(F206&gt;2,F206*2*V206)))</f>
        <v/>
      </c>
      <c r="AW206" s="2">
        <f>SUM(W206:AU206)</f>
        <v/>
      </c>
    </row>
    <row r="207">
      <c r="A207" s="2" t="inlineStr">
        <is>
          <t>14-K-225</t>
        </is>
      </c>
      <c r="B207" s="3" t="inlineStr">
        <is>
          <t>OJC-A1-SC/LC-SM-3-PC/PC-DP</t>
        </is>
      </c>
      <c r="C207" s="2" t="inlineStr">
        <is>
          <t>K9089159</t>
        </is>
      </c>
      <c r="D207" s="2" t="inlineStr">
        <is>
          <t>a1</t>
        </is>
      </c>
      <c r="E207" s="2" t="inlineStr">
        <is>
          <t>2.0mm</t>
        </is>
      </c>
      <c r="F207" s="2" t="n">
        <v>2</v>
      </c>
      <c r="G207" s="2" t="n">
        <v>3</v>
      </c>
      <c r="H207" s="2" t="inlineStr">
        <is>
          <t>SC/PC</t>
        </is>
      </c>
      <c r="I207" s="2" t="inlineStr">
        <is>
          <t>LC/PC</t>
        </is>
      </c>
      <c r="J207" s="2" t="n"/>
      <c r="K207" s="2" t="n"/>
      <c r="L207" s="2" t="n"/>
      <c r="M207" s="2" t="n"/>
      <c r="N207" s="2" t="n"/>
      <c r="O207" s="2" t="n"/>
      <c r="P207" s="2" t="n">
        <v>200</v>
      </c>
      <c r="Q207" s="2" t="n"/>
      <c r="R207" s="2" t="n"/>
      <c r="S207" s="2" t="n"/>
      <c r="T207" s="2" t="n"/>
      <c r="U207" s="2" t="n"/>
      <c r="V207" s="2">
        <f>SUM(J207:U207)</f>
        <v/>
      </c>
      <c r="W207" s="2" t="n"/>
      <c r="X207" s="2" t="n">
        <v>400</v>
      </c>
      <c r="Y207" s="2" t="n"/>
      <c r="Z207" s="2" t="n"/>
      <c r="AA207" s="2" t="n">
        <v>400</v>
      </c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>
        <f>IF(F207=1,V207*2,IF(F207=2,V207*F207*2,IF(F207&gt;2,F207*2*V207)))</f>
        <v/>
      </c>
      <c r="AW207" s="2">
        <f>SUM(W207:AU207)</f>
        <v/>
      </c>
    </row>
    <row r="208">
      <c r="A208" s="2" t="inlineStr">
        <is>
          <t>14-K-226</t>
        </is>
      </c>
      <c r="B208" s="3" t="inlineStr">
        <is>
          <t>OJC-A1-SC/LC-SM-3-PC/PC-SP</t>
        </is>
      </c>
      <c r="C208" s="2" t="inlineStr">
        <is>
          <t>K9089030</t>
        </is>
      </c>
      <c r="D208" s="2" t="inlineStr">
        <is>
          <t>a1</t>
        </is>
      </c>
      <c r="E208" s="2" t="inlineStr">
        <is>
          <t>2.0mm</t>
        </is>
      </c>
      <c r="F208" s="2" t="n">
        <v>1</v>
      </c>
      <c r="G208" s="2" t="n">
        <v>3</v>
      </c>
      <c r="H208" s="2" t="inlineStr">
        <is>
          <t>SC/PC</t>
        </is>
      </c>
      <c r="I208" s="2" t="inlineStr">
        <is>
          <t>LC/PC</t>
        </is>
      </c>
      <c r="J208" s="2" t="n"/>
      <c r="K208" s="2" t="n"/>
      <c r="L208" s="2" t="n">
        <v>444</v>
      </c>
      <c r="M208" s="2" t="n"/>
      <c r="N208" s="2" t="n"/>
      <c r="O208" s="2" t="n">
        <v>200</v>
      </c>
      <c r="P208" s="2" t="n"/>
      <c r="Q208" s="2" t="n"/>
      <c r="R208" s="2" t="n"/>
      <c r="S208" s="2" t="n"/>
      <c r="T208" s="2" t="n"/>
      <c r="U208" s="2" t="n">
        <v>15</v>
      </c>
      <c r="V208" s="2">
        <f>SUM(J208:U208)</f>
        <v/>
      </c>
      <c r="W208" s="2" t="n">
        <v>659</v>
      </c>
      <c r="X208" s="2" t="n"/>
      <c r="Y208" s="2" t="n"/>
      <c r="Z208" s="2" t="n"/>
      <c r="AA208" s="2" t="n">
        <v>659</v>
      </c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>
        <f>IF(F208=1,V208*2,IF(F208=2,V208*F208*2,IF(F208&gt;2,F208*2*V208)))</f>
        <v/>
      </c>
      <c r="AW208" s="2">
        <f>SUM(W208:AU208)</f>
        <v/>
      </c>
    </row>
    <row r="209">
      <c r="A209" s="2" t="inlineStr">
        <is>
          <t>14-K-227</t>
        </is>
      </c>
      <c r="B209" s="3" t="inlineStr">
        <is>
          <t>OJC-A1-SC/LC-SM-40-PC/PC-DP</t>
        </is>
      </c>
      <c r="C209" s="2" t="inlineStr">
        <is>
          <t>K9089168</t>
        </is>
      </c>
      <c r="D209" s="2" t="inlineStr">
        <is>
          <t>a1</t>
        </is>
      </c>
      <c r="E209" s="2" t="inlineStr">
        <is>
          <t>2.0mm</t>
        </is>
      </c>
      <c r="F209" s="2" t="n">
        <v>2</v>
      </c>
      <c r="G209" s="2" t="n">
        <v>40</v>
      </c>
      <c r="H209" s="2" t="inlineStr">
        <is>
          <t>SC/PC</t>
        </is>
      </c>
      <c r="I209" s="2" t="inlineStr">
        <is>
          <t>LC/PC</t>
        </is>
      </c>
      <c r="J209" s="2" t="n"/>
      <c r="K209" s="2" t="n"/>
      <c r="L209" s="2" t="n"/>
      <c r="M209" s="2" t="n"/>
      <c r="N209" s="2" t="n"/>
      <c r="O209" s="2" t="n"/>
      <c r="P209" s="2" t="n">
        <v>35</v>
      </c>
      <c r="Q209" s="2" t="n"/>
      <c r="R209" s="2" t="n">
        <v>74</v>
      </c>
      <c r="S209" s="2" t="n">
        <v>40</v>
      </c>
      <c r="T209" s="2" t="n"/>
      <c r="U209" s="2" t="n"/>
      <c r="V209" s="2">
        <f>SUM(J209:U209)</f>
        <v/>
      </c>
      <c r="W209" s="2" t="n"/>
      <c r="X209" s="2" t="n">
        <v>298</v>
      </c>
      <c r="Y209" s="2" t="n"/>
      <c r="Z209" s="2" t="n"/>
      <c r="AA209" s="2" t="n">
        <v>298</v>
      </c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>
        <f>IF(F209=1,V209*2,IF(F209=2,V209*F209*2,IF(F209&gt;2,F209*2*V209)))</f>
        <v/>
      </c>
      <c r="AW209" s="2">
        <f>SUM(W209:AU209)</f>
        <v/>
      </c>
    </row>
    <row r="210">
      <c r="A210" s="2" t="inlineStr">
        <is>
          <t>14-K-228</t>
        </is>
      </c>
      <c r="B210" s="3" t="inlineStr">
        <is>
          <t>OJC-A1-SC/LC-SM-40-PC/PC-SP</t>
        </is>
      </c>
      <c r="C210" s="2" t="inlineStr">
        <is>
          <t>K9089039</t>
        </is>
      </c>
      <c r="D210" s="2" t="inlineStr">
        <is>
          <t>a1</t>
        </is>
      </c>
      <c r="E210" s="2" t="inlineStr">
        <is>
          <t>2.0mm</t>
        </is>
      </c>
      <c r="F210" s="2" t="n">
        <v>1</v>
      </c>
      <c r="G210" s="2" t="n">
        <v>40</v>
      </c>
      <c r="H210" s="2" t="inlineStr">
        <is>
          <t>SC/PC</t>
        </is>
      </c>
      <c r="I210" s="2" t="inlineStr">
        <is>
          <t>LC/PC</t>
        </is>
      </c>
      <c r="J210" s="2" t="n"/>
      <c r="K210" s="2" t="n"/>
      <c r="L210" s="2" t="n">
        <v>34</v>
      </c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>
        <f>SUM(J210:U210)</f>
        <v/>
      </c>
      <c r="W210" s="2" t="n">
        <v>34</v>
      </c>
      <c r="X210" s="2" t="n"/>
      <c r="Y210" s="2" t="n"/>
      <c r="Z210" s="2" t="n"/>
      <c r="AA210" s="2" t="n">
        <v>34</v>
      </c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>
        <f>IF(F210=1,V210*2,IF(F210=2,V210*F210*2,IF(F210&gt;2,F210*2*V210)))</f>
        <v/>
      </c>
      <c r="AW210" s="2">
        <f>SUM(W210:AU210)</f>
        <v/>
      </c>
    </row>
    <row r="211">
      <c r="A211" s="2" t="inlineStr">
        <is>
          <t>14-K-229</t>
        </is>
      </c>
      <c r="B211" s="3" t="inlineStr">
        <is>
          <t>OJC-A1-SC/LC-SM-45-PC/PC-DP</t>
        </is>
      </c>
      <c r="C211" s="2" t="inlineStr">
        <is>
          <t>K9089169</t>
        </is>
      </c>
      <c r="D211" s="2" t="inlineStr">
        <is>
          <t>a1</t>
        </is>
      </c>
      <c r="E211" s="2" t="inlineStr">
        <is>
          <t>2.0mm</t>
        </is>
      </c>
      <c r="F211" s="2" t="n">
        <v>2</v>
      </c>
      <c r="G211" s="2" t="n">
        <v>45</v>
      </c>
      <c r="H211" s="2" t="inlineStr">
        <is>
          <t>SC/PC</t>
        </is>
      </c>
      <c r="I211" s="2" t="inlineStr">
        <is>
          <t>LC/PC</t>
        </is>
      </c>
      <c r="J211" s="2" t="n"/>
      <c r="K211" s="2" t="n"/>
      <c r="L211" s="2" t="n"/>
      <c r="M211" s="2" t="n"/>
      <c r="N211" s="2" t="n"/>
      <c r="O211" s="2" t="n"/>
      <c r="P211" s="2" t="n"/>
      <c r="Q211" s="2" t="n">
        <v>10</v>
      </c>
      <c r="R211" s="2" t="n">
        <v>30</v>
      </c>
      <c r="S211" s="2" t="n">
        <v>20</v>
      </c>
      <c r="T211" s="2" t="n"/>
      <c r="U211" s="2" t="n">
        <v>20</v>
      </c>
      <c r="V211" s="2">
        <f>SUM(J211:U211)</f>
        <v/>
      </c>
      <c r="W211" s="2" t="n"/>
      <c r="X211" s="2" t="n">
        <v>160</v>
      </c>
      <c r="Y211" s="2" t="n"/>
      <c r="Z211" s="2" t="n"/>
      <c r="AA211" s="2" t="n">
        <v>160</v>
      </c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>
        <f>IF(F211=1,V211*2,IF(F211=2,V211*F211*2,IF(F211&gt;2,F211*2*V211)))</f>
        <v/>
      </c>
      <c r="AW211" s="2">
        <f>SUM(W211:AU211)</f>
        <v/>
      </c>
    </row>
    <row r="212">
      <c r="A212" s="2" t="inlineStr">
        <is>
          <t>14-K-230</t>
        </is>
      </c>
      <c r="B212" s="3" t="inlineStr">
        <is>
          <t>OJC-A1-SC/LC-SM-45-PC/PC-SP</t>
        </is>
      </c>
      <c r="C212" s="2" t="inlineStr">
        <is>
          <t>K9089040</t>
        </is>
      </c>
      <c r="D212" s="2" t="inlineStr">
        <is>
          <t>a1</t>
        </is>
      </c>
      <c r="E212" s="2" t="inlineStr">
        <is>
          <t>2.0mm</t>
        </is>
      </c>
      <c r="F212" s="2" t="n">
        <v>1</v>
      </c>
      <c r="G212" s="2" t="n">
        <v>45</v>
      </c>
      <c r="H212" s="2" t="inlineStr">
        <is>
          <t>SC/PC</t>
        </is>
      </c>
      <c r="I212" s="2" t="inlineStr">
        <is>
          <t>LC/PC</t>
        </is>
      </c>
      <c r="J212" s="2" t="n"/>
      <c r="K212" s="2" t="n"/>
      <c r="L212" s="2" t="n"/>
      <c r="M212" s="2" t="n"/>
      <c r="N212" s="2" t="n">
        <v>10</v>
      </c>
      <c r="O212" s="2" t="n"/>
      <c r="P212" s="2" t="n">
        <v>3</v>
      </c>
      <c r="Q212" s="2" t="n">
        <v>54</v>
      </c>
      <c r="R212" s="2" t="n"/>
      <c r="S212" s="2" t="n"/>
      <c r="T212" s="2" t="n"/>
      <c r="U212" s="2" t="n"/>
      <c r="V212" s="2">
        <f>SUM(J212:U212)</f>
        <v/>
      </c>
      <c r="W212" s="2" t="n">
        <v>67</v>
      </c>
      <c r="X212" s="2" t="n"/>
      <c r="Y212" s="2" t="n"/>
      <c r="Z212" s="2" t="n"/>
      <c r="AA212" s="2" t="n">
        <v>67</v>
      </c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>
        <f>IF(F212=1,V212*2,IF(F212=2,V212*F212*2,IF(F212&gt;2,F212*2*V212)))</f>
        <v/>
      </c>
      <c r="AW212" s="2">
        <f>SUM(W212:AU212)</f>
        <v/>
      </c>
    </row>
    <row r="213">
      <c r="A213" s="2" t="inlineStr">
        <is>
          <t>14-K-232</t>
        </is>
      </c>
      <c r="B213" s="3" t="inlineStr">
        <is>
          <t>OJC-A1-SC/LC-SM-50-PC/PC-DP</t>
        </is>
      </c>
      <c r="C213" s="2" t="inlineStr">
        <is>
          <t>K9089170</t>
        </is>
      </c>
      <c r="D213" s="2" t="inlineStr">
        <is>
          <t>a1</t>
        </is>
      </c>
      <c r="E213" s="2" t="inlineStr">
        <is>
          <t>2.0mm</t>
        </is>
      </c>
      <c r="F213" s="2" t="n">
        <v>2</v>
      </c>
      <c r="G213" s="2" t="n">
        <v>50</v>
      </c>
      <c r="H213" s="2" t="inlineStr">
        <is>
          <t>SC/PC</t>
        </is>
      </c>
      <c r="I213" s="2" t="inlineStr">
        <is>
          <t>LC/PC</t>
        </is>
      </c>
      <c r="J213" s="2" t="n"/>
      <c r="K213" s="2" t="n"/>
      <c r="L213" s="2" t="n">
        <v>18</v>
      </c>
      <c r="M213" s="2" t="n"/>
      <c r="N213" s="2" t="n">
        <v>10</v>
      </c>
      <c r="O213" s="2" t="n">
        <v>10</v>
      </c>
      <c r="P213" s="2" t="n"/>
      <c r="Q213" s="2" t="n"/>
      <c r="R213" s="2" t="n">
        <v>130</v>
      </c>
      <c r="S213" s="2" t="n"/>
      <c r="T213" s="2" t="n"/>
      <c r="U213" s="2" t="n">
        <v>50</v>
      </c>
      <c r="V213" s="2">
        <f>SUM(J213:U213)</f>
        <v/>
      </c>
      <c r="W213" s="2" t="n"/>
      <c r="X213" s="2" t="n">
        <v>436</v>
      </c>
      <c r="Y213" s="2" t="n"/>
      <c r="Z213" s="2" t="n"/>
      <c r="AA213" s="2" t="n">
        <v>436</v>
      </c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>
        <f>IF(F213=1,V213*2,IF(F213=2,V213*F213*2,IF(F213&gt;2,F213*2*V213)))</f>
        <v/>
      </c>
      <c r="AW213" s="2">
        <f>SUM(W213:AU213)</f>
        <v/>
      </c>
    </row>
    <row r="214">
      <c r="A214" s="2" t="inlineStr">
        <is>
          <t>14-K-233</t>
        </is>
      </c>
      <c r="B214" s="3" t="inlineStr">
        <is>
          <t>OJC-A1-SC/LC-SM-50-PC/PC-SP</t>
        </is>
      </c>
      <c r="C214" s="2" t="inlineStr">
        <is>
          <t>K9089041</t>
        </is>
      </c>
      <c r="D214" s="2" t="inlineStr">
        <is>
          <t>a1</t>
        </is>
      </c>
      <c r="E214" s="2" t="inlineStr">
        <is>
          <t>2.0mm</t>
        </is>
      </c>
      <c r="F214" s="2" t="n">
        <v>1</v>
      </c>
      <c r="G214" s="2" t="n">
        <v>50</v>
      </c>
      <c r="H214" s="2" t="inlineStr">
        <is>
          <t>SC/PC</t>
        </is>
      </c>
      <c r="I214" s="2" t="inlineStr">
        <is>
          <t>LC/PC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>
        <v>10</v>
      </c>
      <c r="V214" s="2">
        <f>SUM(J214:U214)</f>
        <v/>
      </c>
      <c r="W214" s="2" t="n">
        <v>10</v>
      </c>
      <c r="X214" s="2" t="n"/>
      <c r="Y214" s="2" t="n"/>
      <c r="Z214" s="2" t="n"/>
      <c r="AA214" s="2" t="n">
        <v>10</v>
      </c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>
        <f>IF(F214=1,V214*2,IF(F214=2,V214*F214*2,IF(F214&gt;2,F214*2*V214)))</f>
        <v/>
      </c>
      <c r="AW214" s="2">
        <f>SUM(W214:AU214)</f>
        <v/>
      </c>
    </row>
    <row r="215">
      <c r="A215" s="2" t="inlineStr">
        <is>
          <t>14-K-234</t>
        </is>
      </c>
      <c r="B215" s="3" t="inlineStr">
        <is>
          <t>OJC-A1-SC/LC-SM-5-APC/PC-DP</t>
        </is>
      </c>
      <c r="C215" s="2" t="inlineStr"/>
      <c r="D215" s="2" t="inlineStr">
        <is>
          <t>a1</t>
        </is>
      </c>
      <c r="E215" s="2" t="inlineStr">
        <is>
          <t>2.0mm</t>
        </is>
      </c>
      <c r="F215" s="2" t="n">
        <v>2</v>
      </c>
      <c r="G215" s="2" t="n">
        <v>5</v>
      </c>
      <c r="H215" s="2" t="inlineStr">
        <is>
          <t>SC/APC</t>
        </is>
      </c>
      <c r="I215" s="2" t="inlineStr">
        <is>
          <t>LC/PC</t>
        </is>
      </c>
      <c r="J215" s="2" t="n"/>
      <c r="K215" s="2" t="n"/>
      <c r="L215" s="2" t="n"/>
      <c r="M215" s="2" t="n"/>
      <c r="N215" s="2" t="n">
        <v>10</v>
      </c>
      <c r="O215" s="2" t="n"/>
      <c r="P215" s="2" t="n"/>
      <c r="Q215" s="2" t="n"/>
      <c r="R215" s="2" t="n"/>
      <c r="S215" s="2" t="n"/>
      <c r="T215" s="2" t="n"/>
      <c r="U215" s="2" t="n"/>
      <c r="V215" s="2">
        <f>SUM(J215:U215)</f>
        <v/>
      </c>
      <c r="W215" s="2" t="n"/>
      <c r="X215" s="2" t="n">
        <v>20</v>
      </c>
      <c r="Y215" s="2" t="n"/>
      <c r="Z215" s="2" t="n"/>
      <c r="AA215" s="2" t="n"/>
      <c r="AB215" s="2" t="n"/>
      <c r="AC215" s="2" t="n">
        <v>20</v>
      </c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>
        <f>IF(F215=1,V215*2,IF(F215=2,V215*F215*2,IF(F215&gt;2,F215*2*V215)))</f>
        <v/>
      </c>
      <c r="AW215" s="2">
        <f>SUM(W215:AU215)</f>
        <v/>
      </c>
    </row>
    <row r="216">
      <c r="A216" s="2" t="inlineStr">
        <is>
          <t>14-K-236</t>
        </is>
      </c>
      <c r="B216" s="3" t="inlineStr">
        <is>
          <t>OJC-A1-SC/LC-SM-5-PC/PC-DP</t>
        </is>
      </c>
      <c r="C216" s="2" t="inlineStr">
        <is>
          <t>K9089161</t>
        </is>
      </c>
      <c r="D216" s="2" t="inlineStr">
        <is>
          <t>a1</t>
        </is>
      </c>
      <c r="E216" s="2" t="inlineStr">
        <is>
          <t>2.0mm</t>
        </is>
      </c>
      <c r="F216" s="2" t="n">
        <v>2</v>
      </c>
      <c r="G216" s="2" t="n">
        <v>5</v>
      </c>
      <c r="H216" s="2" t="inlineStr">
        <is>
          <t>SC/PC</t>
        </is>
      </c>
      <c r="I216" s="2" t="inlineStr">
        <is>
          <t>LC/PC</t>
        </is>
      </c>
      <c r="J216" s="2" t="n"/>
      <c r="K216" s="2" t="n"/>
      <c r="L216" s="2" t="n">
        <v>50</v>
      </c>
      <c r="M216" s="2" t="n">
        <v>3</v>
      </c>
      <c r="N216" s="2" t="n"/>
      <c r="O216" s="2" t="n">
        <v>1172</v>
      </c>
      <c r="P216" s="2" t="n">
        <v>200</v>
      </c>
      <c r="Q216" s="2" t="n"/>
      <c r="R216" s="2" t="n">
        <v>100</v>
      </c>
      <c r="S216" s="2" t="n">
        <v>50</v>
      </c>
      <c r="T216" s="2" t="n">
        <v>112</v>
      </c>
      <c r="U216" s="2" t="n">
        <v>86</v>
      </c>
      <c r="V216" s="2">
        <f>SUM(J216:U216)</f>
        <v/>
      </c>
      <c r="W216" s="2" t="n"/>
      <c r="X216" s="2" t="n">
        <v>3546</v>
      </c>
      <c r="Y216" s="2" t="n"/>
      <c r="Z216" s="2" t="n"/>
      <c r="AA216" s="2" t="n">
        <v>3546</v>
      </c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>
        <f>IF(F216=1,V216*2,IF(F216=2,V216*F216*2,IF(F216&gt;2,F216*2*V216)))</f>
        <v/>
      </c>
      <c r="AW216" s="2">
        <f>SUM(W216:AU216)</f>
        <v/>
      </c>
    </row>
    <row r="217">
      <c r="A217" s="2" t="inlineStr">
        <is>
          <t>14-K-237</t>
        </is>
      </c>
      <c r="B217" s="3" t="inlineStr">
        <is>
          <t>OJC-A1-SC/LC-SM-5-PC/PC-SP</t>
        </is>
      </c>
      <c r="C217" s="2" t="inlineStr">
        <is>
          <t>K9089032</t>
        </is>
      </c>
      <c r="D217" s="2" t="inlineStr">
        <is>
          <t>a1</t>
        </is>
      </c>
      <c r="E217" s="2" t="inlineStr">
        <is>
          <t>2.0mm</t>
        </is>
      </c>
      <c r="F217" s="2" t="n">
        <v>1</v>
      </c>
      <c r="G217" s="2" t="n">
        <v>5</v>
      </c>
      <c r="H217" s="2" t="inlineStr">
        <is>
          <t>SC/PC</t>
        </is>
      </c>
      <c r="I217" s="2" t="inlineStr">
        <is>
          <t>LC/PC</t>
        </is>
      </c>
      <c r="J217" s="2" t="n"/>
      <c r="K217" s="2" t="n"/>
      <c r="L217" s="2" t="n"/>
      <c r="M217" s="2" t="n"/>
      <c r="N217" s="2" t="n"/>
      <c r="O217" s="2" t="n"/>
      <c r="P217" s="2" t="n">
        <v>62</v>
      </c>
      <c r="Q217" s="2" t="n"/>
      <c r="R217" s="2" t="n">
        <v>63</v>
      </c>
      <c r="S217" s="2" t="n"/>
      <c r="T217" s="2" t="n">
        <v>150</v>
      </c>
      <c r="U217" s="2" t="n">
        <v>100</v>
      </c>
      <c r="V217" s="2">
        <f>SUM(J217:U217)</f>
        <v/>
      </c>
      <c r="W217" s="2" t="n">
        <v>375</v>
      </c>
      <c r="X217" s="2" t="n"/>
      <c r="Y217" s="2" t="n"/>
      <c r="Z217" s="2" t="n"/>
      <c r="AA217" s="2" t="n">
        <v>375</v>
      </c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>
        <f>IF(F217=1,V217*2,IF(F217=2,V217*F217*2,IF(F217&gt;2,F217*2*V217)))</f>
        <v/>
      </c>
      <c r="AW217" s="2">
        <f>SUM(W217:AU217)</f>
        <v/>
      </c>
    </row>
    <row r="218">
      <c r="A218" s="2" t="inlineStr">
        <is>
          <t>14-K-239</t>
        </is>
      </c>
      <c r="B218" s="3" t="inlineStr">
        <is>
          <t>OJC-A1-SC/LC-SM-60-PC/PC-DP</t>
        </is>
      </c>
      <c r="C218" s="2" t="inlineStr"/>
      <c r="D218" s="2" t="inlineStr">
        <is>
          <t>a1</t>
        </is>
      </c>
      <c r="E218" s="2" t="inlineStr">
        <is>
          <t>2.0mm</t>
        </is>
      </c>
      <c r="F218" s="2" t="n">
        <v>2</v>
      </c>
      <c r="G218" s="2" t="n">
        <v>60</v>
      </c>
      <c r="H218" s="2" t="inlineStr">
        <is>
          <t>SC/PC</t>
        </is>
      </c>
      <c r="I218" s="2" t="inlineStr">
        <is>
          <t>LC/PC</t>
        </is>
      </c>
      <c r="J218" s="2" t="n"/>
      <c r="K218" s="2" t="n"/>
      <c r="L218" s="2" t="n"/>
      <c r="M218" s="2" t="n"/>
      <c r="N218" s="2" t="n">
        <v>15</v>
      </c>
      <c r="O218" s="2" t="n">
        <v>10</v>
      </c>
      <c r="P218" s="2" t="n"/>
      <c r="Q218" s="2" t="n"/>
      <c r="R218" s="2" t="n"/>
      <c r="S218" s="2" t="n"/>
      <c r="T218" s="2" t="n"/>
      <c r="U218" s="2" t="n">
        <v>15</v>
      </c>
      <c r="V218" s="2">
        <f>SUM(J218:U218)</f>
        <v/>
      </c>
      <c r="W218" s="2" t="n"/>
      <c r="X218" s="2" t="n">
        <v>80</v>
      </c>
      <c r="Y218" s="2" t="n"/>
      <c r="Z218" s="2" t="n"/>
      <c r="AA218" s="2" t="n">
        <v>80</v>
      </c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>
        <f>IF(F218=1,V218*2,IF(F218=2,V218*F218*2,IF(F218&gt;2,F218*2*V218)))</f>
        <v/>
      </c>
      <c r="AW218" s="2">
        <f>SUM(W218:AU218)</f>
        <v/>
      </c>
    </row>
    <row r="219">
      <c r="A219" s="2" t="inlineStr">
        <is>
          <t>14-K-244</t>
        </is>
      </c>
      <c r="B219" s="3" t="inlineStr">
        <is>
          <t>OJC-A1-SC/LC-SM-6-PC/PC-SP</t>
        </is>
      </c>
      <c r="C219" s="2" t="inlineStr"/>
      <c r="D219" s="2" t="inlineStr">
        <is>
          <t>a1</t>
        </is>
      </c>
      <c r="E219" s="2" t="inlineStr">
        <is>
          <t>2.0mm</t>
        </is>
      </c>
      <c r="F219" s="2" t="n">
        <v>1</v>
      </c>
      <c r="G219" s="2" t="n">
        <v>6</v>
      </c>
      <c r="H219" s="2" t="inlineStr">
        <is>
          <t>SC/PC</t>
        </is>
      </c>
      <c r="I219" s="2" t="inlineStr">
        <is>
          <t>LC/PC</t>
        </is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>
        <v>10</v>
      </c>
      <c r="V219" s="2">
        <f>SUM(J219:U219)</f>
        <v/>
      </c>
      <c r="W219" s="2" t="n">
        <v>10</v>
      </c>
      <c r="X219" s="2" t="n"/>
      <c r="Y219" s="2" t="n"/>
      <c r="Z219" s="2" t="n"/>
      <c r="AA219" s="2" t="n">
        <v>10</v>
      </c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>
        <f>IF(F219=1,V219*2,IF(F219=2,V219*F219*2,IF(F219&gt;2,F219*2*V219)))</f>
        <v/>
      </c>
      <c r="AW219" s="2">
        <f>SUM(W219:AU219)</f>
        <v/>
      </c>
    </row>
    <row r="220">
      <c r="A220" s="2" t="inlineStr">
        <is>
          <t>14-K-245</t>
        </is>
      </c>
      <c r="B220" s="3" t="inlineStr">
        <is>
          <t>OJC-A1-SC/LC-SM-70-PC/PC-DP</t>
        </is>
      </c>
      <c r="C220" s="2" t="inlineStr"/>
      <c r="D220" s="2" t="inlineStr">
        <is>
          <t>a1</t>
        </is>
      </c>
      <c r="E220" s="2" t="inlineStr">
        <is>
          <t>2.0mm</t>
        </is>
      </c>
      <c r="F220" s="2" t="n">
        <v>2</v>
      </c>
      <c r="G220" s="2" t="n">
        <v>70</v>
      </c>
      <c r="H220" s="2" t="inlineStr">
        <is>
          <t>SC/PC</t>
        </is>
      </c>
      <c r="I220" s="2" t="inlineStr">
        <is>
          <t>LC/PC</t>
        </is>
      </c>
      <c r="J220" s="2" t="n"/>
      <c r="K220" s="2" t="n"/>
      <c r="L220" s="2" t="n"/>
      <c r="M220" s="2" t="n"/>
      <c r="N220" s="2" t="n">
        <v>28</v>
      </c>
      <c r="O220" s="2" t="n"/>
      <c r="P220" s="2" t="n"/>
      <c r="Q220" s="2" t="n"/>
      <c r="R220" s="2" t="n"/>
      <c r="S220" s="2" t="n"/>
      <c r="T220" s="2" t="n"/>
      <c r="U220" s="2" t="n"/>
      <c r="V220" s="2">
        <f>SUM(J220:U220)</f>
        <v/>
      </c>
      <c r="W220" s="2" t="n"/>
      <c r="X220" s="2" t="n">
        <v>56</v>
      </c>
      <c r="Y220" s="2" t="n"/>
      <c r="Z220" s="2" t="n"/>
      <c r="AA220" s="2" t="n">
        <v>56</v>
      </c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>
        <f>IF(F220=1,V220*2,IF(F220=2,V220*F220*2,IF(F220&gt;2,F220*2*V220)))</f>
        <v/>
      </c>
      <c r="AW220" s="2">
        <f>SUM(W220:AU220)</f>
        <v/>
      </c>
    </row>
    <row r="221">
      <c r="A221" s="2" t="inlineStr">
        <is>
          <t>14-K-247</t>
        </is>
      </c>
      <c r="B221" s="3" t="inlineStr">
        <is>
          <t>OJC-A1-SC/LC-SM-7-PC/PC-DP</t>
        </is>
      </c>
      <c r="C221" s="2" t="inlineStr"/>
      <c r="D221" s="2" t="inlineStr">
        <is>
          <t>a1</t>
        </is>
      </c>
      <c r="E221" s="2" t="inlineStr">
        <is>
          <t>2.0mm</t>
        </is>
      </c>
      <c r="F221" s="2" t="n">
        <v>2</v>
      </c>
      <c r="G221" s="2" t="n">
        <v>7</v>
      </c>
      <c r="H221" s="2" t="inlineStr">
        <is>
          <t>SC/PC</t>
        </is>
      </c>
      <c r="I221" s="2" t="inlineStr">
        <is>
          <t>LC/PC</t>
        </is>
      </c>
      <c r="J221" s="2" t="n"/>
      <c r="K221" s="2" t="n"/>
      <c r="L221" s="2" t="n"/>
      <c r="M221" s="2" t="n"/>
      <c r="N221" s="2" t="n">
        <v>20</v>
      </c>
      <c r="O221" s="2" t="n"/>
      <c r="P221" s="2" t="n">
        <v>12</v>
      </c>
      <c r="Q221" s="2" t="n"/>
      <c r="R221" s="2" t="n">
        <v>46</v>
      </c>
      <c r="S221" s="2" t="n"/>
      <c r="T221" s="2" t="n"/>
      <c r="U221" s="2" t="n"/>
      <c r="V221" s="2">
        <f>SUM(J221:U221)</f>
        <v/>
      </c>
      <c r="W221" s="2" t="n"/>
      <c r="X221" s="2" t="n">
        <v>156</v>
      </c>
      <c r="Y221" s="2" t="n"/>
      <c r="Z221" s="2" t="n"/>
      <c r="AA221" s="2" t="n">
        <v>156</v>
      </c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>
        <f>IF(F221=1,V221*2,IF(F221=2,V221*F221*2,IF(F221&gt;2,F221*2*V221)))</f>
        <v/>
      </c>
      <c r="AW221" s="2">
        <f>SUM(W221:AU221)</f>
        <v/>
      </c>
    </row>
    <row r="222">
      <c r="A222" s="2" t="inlineStr">
        <is>
          <t>14-K-248</t>
        </is>
      </c>
      <c r="B222" s="3" t="inlineStr">
        <is>
          <t>OJC-A1-SC/LC-SM-8-PC/PC-SP</t>
        </is>
      </c>
      <c r="C222" s="2" t="inlineStr"/>
      <c r="D222" s="2" t="inlineStr">
        <is>
          <t>a1</t>
        </is>
      </c>
      <c r="E222" s="2" t="inlineStr">
        <is>
          <t>2.0mm</t>
        </is>
      </c>
      <c r="F222" s="2" t="n">
        <v>1</v>
      </c>
      <c r="G222" s="2" t="n">
        <v>8</v>
      </c>
      <c r="H222" s="2" t="inlineStr">
        <is>
          <t>SC/PC</t>
        </is>
      </c>
      <c r="I222" s="2" t="inlineStr">
        <is>
          <t>LC/PC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>
        <v>10</v>
      </c>
      <c r="V222" s="2">
        <f>SUM(J222:U222)</f>
        <v/>
      </c>
      <c r="W222" s="2" t="n">
        <v>10</v>
      </c>
      <c r="X222" s="2" t="n"/>
      <c r="Y222" s="2" t="n"/>
      <c r="Z222" s="2" t="n"/>
      <c r="AA222" s="2" t="n">
        <v>10</v>
      </c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>
        <f>IF(F222=1,V222*2,IF(F222=2,V222*F222*2,IF(F222&gt;2,F222*2*V222)))</f>
        <v/>
      </c>
      <c r="AW222" s="2">
        <f>SUM(W222:AU222)</f>
        <v/>
      </c>
    </row>
    <row r="223">
      <c r="A223" s="2" t="inlineStr">
        <is>
          <t>14-K-250</t>
        </is>
      </c>
      <c r="B223" s="3" t="inlineStr">
        <is>
          <t>OJC-A1-SC/LC-SM-9-PC/PC-SP</t>
        </is>
      </c>
      <c r="C223" s="2" t="inlineStr"/>
      <c r="D223" s="2" t="inlineStr">
        <is>
          <t>a1</t>
        </is>
      </c>
      <c r="E223" s="2" t="inlineStr">
        <is>
          <t>2.0mm</t>
        </is>
      </c>
      <c r="F223" s="2" t="n">
        <v>1</v>
      </c>
      <c r="G223" s="2" t="n">
        <v>9</v>
      </c>
      <c r="H223" s="2" t="inlineStr">
        <is>
          <t>SC/PC</t>
        </is>
      </c>
      <c r="I223" s="2" t="inlineStr">
        <is>
          <t>LC/PC</t>
        </is>
      </c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>
        <v>10</v>
      </c>
      <c r="V223" s="2">
        <f>SUM(J223:U223)</f>
        <v/>
      </c>
      <c r="W223" s="2" t="n">
        <v>10</v>
      </c>
      <c r="X223" s="2" t="n"/>
      <c r="Y223" s="2" t="n"/>
      <c r="Z223" s="2" t="n"/>
      <c r="AA223" s="2" t="n">
        <v>10</v>
      </c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>
        <f>IF(F223=1,V223*2,IF(F223=2,V223*F223*2,IF(F223&gt;2,F223*2*V223)))</f>
        <v/>
      </c>
      <c r="AW223" s="2">
        <f>SUM(W223:AU223)</f>
        <v/>
      </c>
    </row>
    <row r="224">
      <c r="A224" s="2" t="inlineStr">
        <is>
          <t>14-K-269</t>
        </is>
      </c>
      <c r="B224" s="3" t="inlineStr">
        <is>
          <t>OJC-A1-SC/SC-MM-25-PC/PC-DP</t>
        </is>
      </c>
      <c r="C224" s="2" t="inlineStr"/>
      <c r="D224" s="2" t="inlineStr">
        <is>
          <t>om1</t>
        </is>
      </c>
      <c r="E224" s="2" t="inlineStr">
        <is>
          <t>2.0mm</t>
        </is>
      </c>
      <c r="F224" s="2" t="n">
        <v>2</v>
      </c>
      <c r="G224" s="2" t="n">
        <v>25</v>
      </c>
      <c r="H224" s="2" t="inlineStr">
        <is>
          <t>SC/PC</t>
        </is>
      </c>
      <c r="I224" s="2" t="inlineStr">
        <is>
          <t>SC/PC</t>
        </is>
      </c>
      <c r="J224" s="2" t="n"/>
      <c r="K224" s="2" t="n"/>
      <c r="L224" s="2" t="n">
        <v>4</v>
      </c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>
        <f>SUM(J224:U224)</f>
        <v/>
      </c>
      <c r="W224" s="2" t="n"/>
      <c r="X224" s="2" t="n"/>
      <c r="Y224" s="2" t="n"/>
      <c r="Z224" s="2" t="n"/>
      <c r="AA224" s="2" t="n">
        <v>8</v>
      </c>
      <c r="AB224" s="2" t="n">
        <v>8</v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>
        <f>IF(F224=1,V224*2,IF(F224=2,V224*F224*2,IF(F224&gt;2,F224*2*V224)))</f>
        <v/>
      </c>
      <c r="AW224" s="2">
        <f>SUM(W224:AU224)</f>
        <v/>
      </c>
    </row>
    <row r="225">
      <c r="A225" s="2" t="inlineStr">
        <is>
          <t>14-K-280</t>
        </is>
      </c>
      <c r="B225" s="3" t="inlineStr">
        <is>
          <t>OJC-A1-SC/SC-SM-0.5-PC/APC-SP</t>
        </is>
      </c>
      <c r="C225" s="2" t="inlineStr"/>
      <c r="D225" s="2" t="inlineStr">
        <is>
          <t>a1</t>
        </is>
      </c>
      <c r="E225" s="2" t="inlineStr">
        <is>
          <t>2.0mm</t>
        </is>
      </c>
      <c r="F225" s="2" t="n">
        <v>1</v>
      </c>
      <c r="G225" s="2" t="n">
        <v>0.5</v>
      </c>
      <c r="H225" s="2" t="inlineStr">
        <is>
          <t>SC/PC</t>
        </is>
      </c>
      <c r="I225" s="2" t="inlineStr">
        <is>
          <t>SC/APC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>
        <v>1004</v>
      </c>
      <c r="T225" s="2" t="n"/>
      <c r="U225" s="2" t="n"/>
      <c r="V225" s="2">
        <f>SUM(J225:U225)</f>
        <v/>
      </c>
      <c r="W225" s="2" t="n"/>
      <c r="X225" s="2" t="n"/>
      <c r="Y225" s="2" t="n"/>
      <c r="Z225" s="2" t="n"/>
      <c r="AA225" s="2" t="n">
        <v>1004</v>
      </c>
      <c r="AB225" s="2" t="n"/>
      <c r="AC225" s="2" t="n">
        <v>1004</v>
      </c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>
        <f>IF(F225=1,V225*2,IF(F225=2,V225*F225*2,IF(F225&gt;2,F225*2*V225)))</f>
        <v/>
      </c>
      <c r="AW225" s="2">
        <f>SUM(W225:AU225)</f>
        <v/>
      </c>
    </row>
    <row r="226">
      <c r="A226" s="2" t="inlineStr">
        <is>
          <t>14-K-281</t>
        </is>
      </c>
      <c r="B226" s="3" t="inlineStr">
        <is>
          <t>OJC-A1-SC/SC-SM-0.5-PC/PC-DP</t>
        </is>
      </c>
      <c r="C226" s="2" t="inlineStr"/>
      <c r="D226" s="2" t="inlineStr">
        <is>
          <t>a1</t>
        </is>
      </c>
      <c r="E226" s="2" t="inlineStr">
        <is>
          <t>2.0mm</t>
        </is>
      </c>
      <c r="F226" s="2" t="n">
        <v>2</v>
      </c>
      <c r="G226" s="2" t="n">
        <v>0.5</v>
      </c>
      <c r="H226" s="2" t="inlineStr">
        <is>
          <t>SC/PC</t>
        </is>
      </c>
      <c r="I226" s="2" t="inlineStr">
        <is>
          <t>SC/PC</t>
        </is>
      </c>
      <c r="J226" s="2" t="n"/>
      <c r="K226" s="2" t="n">
        <v>200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>
        <f>SUM(J226:U226)</f>
        <v/>
      </c>
      <c r="W226" s="2" t="n"/>
      <c r="X226" s="2" t="n"/>
      <c r="Y226" s="2" t="n"/>
      <c r="Z226" s="2" t="n"/>
      <c r="AA226" s="2" t="n">
        <v>400</v>
      </c>
      <c r="AB226" s="2" t="n">
        <v>400</v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>
        <f>IF(F226=1,V226*2,IF(F226=2,V226*F226*2,IF(F226&gt;2,F226*2*V226)))</f>
        <v/>
      </c>
      <c r="AW226" s="2">
        <f>SUM(W226:AU226)</f>
        <v/>
      </c>
    </row>
    <row r="227">
      <c r="A227" s="2" t="inlineStr">
        <is>
          <t>14-K-282</t>
        </is>
      </c>
      <c r="B227" s="3" t="inlineStr">
        <is>
          <t>OJC-A1-SC/SC-SM-0.5-PC/PC-SP</t>
        </is>
      </c>
      <c r="C227" s="2" t="inlineStr"/>
      <c r="D227" s="2" t="inlineStr">
        <is>
          <t>a1</t>
        </is>
      </c>
      <c r="E227" s="2" t="inlineStr">
        <is>
          <t>2.0mm</t>
        </is>
      </c>
      <c r="F227" s="2" t="n">
        <v>1</v>
      </c>
      <c r="G227" s="2" t="n">
        <v>0.5</v>
      </c>
      <c r="H227" s="2" t="inlineStr">
        <is>
          <t>SC/PC</t>
        </is>
      </c>
      <c r="I227" s="2" t="inlineStr">
        <is>
          <t>SC/PC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>
        <v>200</v>
      </c>
      <c r="V227" s="2">
        <f>SUM(J227:U227)</f>
        <v/>
      </c>
      <c r="W227" s="2" t="n"/>
      <c r="X227" s="2" t="n"/>
      <c r="Y227" s="2" t="n"/>
      <c r="Z227" s="2" t="n"/>
      <c r="AA227" s="2" t="n">
        <v>400</v>
      </c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>
        <f>IF(F227=1,V227*2,IF(F227=2,V227*F227*2,IF(F227&gt;2,F227*2*V227)))</f>
        <v/>
      </c>
      <c r="AW227" s="2">
        <f>SUM(W227:AU227)</f>
        <v/>
      </c>
    </row>
    <row r="228">
      <c r="A228" s="2" t="inlineStr">
        <is>
          <t>14-K-284</t>
        </is>
      </c>
      <c r="B228" s="3" t="inlineStr">
        <is>
          <t>OJC-A1-SC/SC-SM-1.5-APC/APC-SP</t>
        </is>
      </c>
      <c r="C228" s="2" t="inlineStr"/>
      <c r="D228" s="2" t="inlineStr">
        <is>
          <t>a1</t>
        </is>
      </c>
      <c r="E228" s="2" t="inlineStr">
        <is>
          <t>2.0mm</t>
        </is>
      </c>
      <c r="F228" s="2" t="n">
        <v>1</v>
      </c>
      <c r="G228" s="2" t="n">
        <v>1.5</v>
      </c>
      <c r="H228" s="2" t="inlineStr">
        <is>
          <t>SC/APC</t>
        </is>
      </c>
      <c r="I228" s="2" t="inlineStr">
        <is>
          <t>SC/APC</t>
        </is>
      </c>
      <c r="J228" s="2" t="n"/>
      <c r="K228" s="2" t="n"/>
      <c r="L228" s="2" t="n"/>
      <c r="M228" s="2" t="n">
        <v>200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>
        <f>SUM(J228:U228)</f>
        <v/>
      </c>
      <c r="W228" s="2" t="n"/>
      <c r="X228" s="2" t="n"/>
      <c r="Y228" s="2" t="n"/>
      <c r="Z228" s="2" t="n"/>
      <c r="AA228" s="2" t="n"/>
      <c r="AB228" s="2" t="n"/>
      <c r="AC228" s="2" t="n">
        <v>400</v>
      </c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>
        <f>IF(F228=1,V228*2,IF(F228=2,V228*F228*2,IF(F228&gt;2,F228*2*V228)))</f>
        <v/>
      </c>
      <c r="AW228" s="2">
        <f>SUM(W228:AU228)</f>
        <v/>
      </c>
    </row>
    <row r="229">
      <c r="A229" s="2" t="inlineStr">
        <is>
          <t>14-K-286</t>
        </is>
      </c>
      <c r="B229" s="3" t="inlineStr">
        <is>
          <t>OJC-A1-SC/SC-SM-10-APC/APC-DP</t>
        </is>
      </c>
      <c r="C229" s="2" t="inlineStr"/>
      <c r="D229" s="2" t="inlineStr">
        <is>
          <t>a1</t>
        </is>
      </c>
      <c r="E229" s="2" t="inlineStr">
        <is>
          <t>2.0mm</t>
        </is>
      </c>
      <c r="F229" s="2" t="n">
        <v>2</v>
      </c>
      <c r="G229" s="2" t="n">
        <v>10</v>
      </c>
      <c r="H229" s="2" t="inlineStr">
        <is>
          <t>SC/APC</t>
        </is>
      </c>
      <c r="I229" s="2" t="inlineStr">
        <is>
          <t>SC/APC</t>
        </is>
      </c>
      <c r="J229" s="2" t="n"/>
      <c r="K229" s="2" t="n"/>
      <c r="L229" s="2" t="n"/>
      <c r="M229" s="2" t="n"/>
      <c r="N229" s="2" t="n">
        <v>1</v>
      </c>
      <c r="O229" s="2" t="n"/>
      <c r="P229" s="2" t="n"/>
      <c r="Q229" s="2" t="n"/>
      <c r="R229" s="2" t="n"/>
      <c r="S229" s="2" t="n"/>
      <c r="T229" s="2" t="n">
        <v>4</v>
      </c>
      <c r="U229" s="2" t="n"/>
      <c r="V229" s="2">
        <f>SUM(J229:U229)</f>
        <v/>
      </c>
      <c r="W229" s="2" t="n"/>
      <c r="X229" s="2" t="n"/>
      <c r="Y229" s="2" t="n"/>
      <c r="Z229" s="2" t="n"/>
      <c r="AA229" s="2" t="n"/>
      <c r="AB229" s="2" t="n"/>
      <c r="AC229" s="2" t="n">
        <v>10</v>
      </c>
      <c r="AD229" s="2" t="n">
        <v>10</v>
      </c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>
        <f>IF(F229=1,V229*2,IF(F229=2,V229*F229*2,IF(F229&gt;2,F229*2*V229)))</f>
        <v/>
      </c>
      <c r="AW229" s="2">
        <f>SUM(W229:AU229)</f>
        <v/>
      </c>
    </row>
    <row r="230">
      <c r="A230" s="2" t="inlineStr">
        <is>
          <t>14-K-287</t>
        </is>
      </c>
      <c r="B230" s="3" t="inlineStr">
        <is>
          <t>OJC-A1-SC/SC-SM-10-APC/APC-SP</t>
        </is>
      </c>
      <c r="C230" s="2" t="inlineStr"/>
      <c r="D230" s="2" t="inlineStr">
        <is>
          <t>a1</t>
        </is>
      </c>
      <c r="E230" s="2" t="inlineStr">
        <is>
          <t>2.0mm</t>
        </is>
      </c>
      <c r="F230" s="2" t="n">
        <v>1</v>
      </c>
      <c r="G230" s="2" t="n">
        <v>10</v>
      </c>
      <c r="H230" s="2" t="inlineStr">
        <is>
          <t>SC/APC</t>
        </is>
      </c>
      <c r="I230" s="2" t="inlineStr">
        <is>
          <t>SC/APC</t>
        </is>
      </c>
      <c r="J230" s="2" t="n"/>
      <c r="K230" s="2" t="n"/>
      <c r="L230" s="2" t="n"/>
      <c r="M230" s="2" t="n"/>
      <c r="N230" s="2" t="n"/>
      <c r="O230" s="2" t="n">
        <v>50</v>
      </c>
      <c r="P230" s="2" t="n"/>
      <c r="Q230" s="2" t="n"/>
      <c r="R230" s="2" t="n"/>
      <c r="S230" s="2" t="n"/>
      <c r="T230" s="2" t="n"/>
      <c r="U230" s="2" t="n"/>
      <c r="V230" s="2">
        <f>SUM(J230:U230)</f>
        <v/>
      </c>
      <c r="W230" s="2" t="n"/>
      <c r="X230" s="2" t="n"/>
      <c r="Y230" s="2" t="n"/>
      <c r="Z230" s="2" t="n"/>
      <c r="AA230" s="2" t="n"/>
      <c r="AB230" s="2" t="n"/>
      <c r="AC230" s="2" t="n">
        <v>100</v>
      </c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>
        <f>IF(F230=1,V230*2,IF(F230=2,V230*F230*2,IF(F230&gt;2,F230*2*V230)))</f>
        <v/>
      </c>
      <c r="AW230" s="2">
        <f>SUM(W230:AU230)</f>
        <v/>
      </c>
    </row>
    <row r="231">
      <c r="A231" s="2" t="inlineStr">
        <is>
          <t>14-K-288</t>
        </is>
      </c>
      <c r="B231" s="3" t="inlineStr">
        <is>
          <t>OJC-A1-SC/SC-SM-10-PC/APC-DP</t>
        </is>
      </c>
      <c r="C231" s="2" t="inlineStr">
        <is>
          <t>K9089188</t>
        </is>
      </c>
      <c r="D231" s="2" t="inlineStr">
        <is>
          <t>a1</t>
        </is>
      </c>
      <c r="E231" s="2" t="inlineStr">
        <is>
          <t>2.0mm</t>
        </is>
      </c>
      <c r="F231" s="2" t="n">
        <v>2</v>
      </c>
      <c r="G231" s="2" t="n">
        <v>10</v>
      </c>
      <c r="H231" s="2" t="inlineStr">
        <is>
          <t>SC/PC</t>
        </is>
      </c>
      <c r="I231" s="2" t="inlineStr">
        <is>
          <t>SC/APC</t>
        </is>
      </c>
      <c r="J231" s="2" t="n">
        <v>5</v>
      </c>
      <c r="K231" s="2" t="n">
        <v>2</v>
      </c>
      <c r="L231" s="2" t="n">
        <v>2</v>
      </c>
      <c r="M231" s="2" t="n"/>
      <c r="N231" s="2" t="n"/>
      <c r="O231" s="2" t="n"/>
      <c r="P231" s="2" t="n"/>
      <c r="Q231" s="2" t="n"/>
      <c r="R231" s="2" t="n">
        <v>10</v>
      </c>
      <c r="S231" s="2" t="n"/>
      <c r="T231" s="2" t="n">
        <v>20</v>
      </c>
      <c r="U231" s="2" t="n"/>
      <c r="V231" s="2">
        <f>SUM(J231:U231)</f>
        <v/>
      </c>
      <c r="W231" s="2" t="n"/>
      <c r="X231" s="2" t="n"/>
      <c r="Y231" s="2" t="n"/>
      <c r="Z231" s="2" t="n"/>
      <c r="AA231" s="2" t="n">
        <v>78</v>
      </c>
      <c r="AB231" s="2" t="n"/>
      <c r="AC231" s="2" t="n"/>
      <c r="AD231" s="2" t="n">
        <v>78</v>
      </c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>
        <f>IF(F231=1,V231*2,IF(F231=2,V231*F231*2,IF(F231&gt;2,F231*2*V231)))</f>
        <v/>
      </c>
      <c r="AW231" s="2">
        <f>SUM(W231:AU231)</f>
        <v/>
      </c>
    </row>
    <row r="232">
      <c r="A232" s="2" t="inlineStr">
        <is>
          <t>14-K-289</t>
        </is>
      </c>
      <c r="B232" s="3" t="inlineStr">
        <is>
          <t>OJC-A1-SC/SC-SM-10-PC/APC-SP</t>
        </is>
      </c>
      <c r="C232" s="2" t="inlineStr">
        <is>
          <t>K9089059</t>
        </is>
      </c>
      <c r="D232" s="2" t="inlineStr">
        <is>
          <t>a1</t>
        </is>
      </c>
      <c r="E232" s="2" t="inlineStr">
        <is>
          <t>2.0mm</t>
        </is>
      </c>
      <c r="F232" s="2" t="n">
        <v>1</v>
      </c>
      <c r="G232" s="2" t="n">
        <v>10</v>
      </c>
      <c r="H232" s="2" t="inlineStr">
        <is>
          <t>SC/PC</t>
        </is>
      </c>
      <c r="I232" s="2" t="inlineStr">
        <is>
          <t>SC/APC</t>
        </is>
      </c>
      <c r="J232" s="2" t="n"/>
      <c r="K232" s="2" t="n"/>
      <c r="L232" s="2" t="n"/>
      <c r="M232" s="2" t="n"/>
      <c r="N232" s="2" t="n"/>
      <c r="O232" s="2" t="n">
        <v>50</v>
      </c>
      <c r="P232" s="2" t="n"/>
      <c r="Q232" s="2" t="n"/>
      <c r="R232" s="2" t="n"/>
      <c r="S232" s="2" t="n"/>
      <c r="T232" s="2" t="n"/>
      <c r="U232" s="2" t="n"/>
      <c r="V232" s="2">
        <f>SUM(J232:U232)</f>
        <v/>
      </c>
      <c r="W232" s="2" t="n"/>
      <c r="X232" s="2" t="n"/>
      <c r="Y232" s="2" t="n"/>
      <c r="Z232" s="2" t="n"/>
      <c r="AA232" s="2" t="n">
        <v>50</v>
      </c>
      <c r="AB232" s="2" t="n"/>
      <c r="AC232" s="2" t="n">
        <v>50</v>
      </c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>
        <f>IF(F232=1,V232*2,IF(F232=2,V232*F232*2,IF(F232&gt;2,F232*2*V232)))</f>
        <v/>
      </c>
      <c r="AW232" s="2">
        <f>SUM(W232:AU232)</f>
        <v/>
      </c>
    </row>
    <row r="233">
      <c r="A233" s="2" t="inlineStr">
        <is>
          <t>14-K-290</t>
        </is>
      </c>
      <c r="B233" s="3" t="inlineStr">
        <is>
          <t>OJC-A1-SC/SC-SM-10-PC/PC-DP</t>
        </is>
      </c>
      <c r="C233" s="2" t="inlineStr">
        <is>
          <t>K9089132</t>
        </is>
      </c>
      <c r="D233" s="2" t="inlineStr">
        <is>
          <t>a1</t>
        </is>
      </c>
      <c r="E233" s="2" t="inlineStr">
        <is>
          <t>2.0mm</t>
        </is>
      </c>
      <c r="F233" s="2" t="n">
        <v>2</v>
      </c>
      <c r="G233" s="2" t="n">
        <v>10</v>
      </c>
      <c r="H233" s="2" t="inlineStr">
        <is>
          <t>SC/PC</t>
        </is>
      </c>
      <c r="I233" s="2" t="inlineStr">
        <is>
          <t>SC/PC</t>
        </is>
      </c>
      <c r="J233" s="2" t="n">
        <v>300</v>
      </c>
      <c r="K233" s="2" t="n"/>
      <c r="L233" s="2" t="n"/>
      <c r="M233" s="2" t="n"/>
      <c r="N233" s="2" t="n">
        <v>100</v>
      </c>
      <c r="O233" s="2" t="n">
        <v>200</v>
      </c>
      <c r="P233" s="2" t="n"/>
      <c r="Q233" s="2" t="n"/>
      <c r="R233" s="2" t="n"/>
      <c r="S233" s="2" t="n"/>
      <c r="T233" s="2" t="n"/>
      <c r="U233" s="2" t="n"/>
      <c r="V233" s="2">
        <f>SUM(J233:U233)</f>
        <v/>
      </c>
      <c r="W233" s="2" t="n"/>
      <c r="X233" s="2" t="n"/>
      <c r="Y233" s="2" t="n"/>
      <c r="Z233" s="2" t="n"/>
      <c r="AA233" s="2" t="n">
        <v>1200</v>
      </c>
      <c r="AB233" s="2" t="n">
        <v>1200</v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>
        <f>IF(F233=1,V233*2,IF(F233=2,V233*F233*2,IF(F233&gt;2,F233*2*V233)))</f>
        <v/>
      </c>
      <c r="AW233" s="2">
        <f>SUM(W233:AU233)</f>
        <v/>
      </c>
    </row>
    <row r="234">
      <c r="A234" s="2" t="inlineStr">
        <is>
          <t>14-K-291</t>
        </is>
      </c>
      <c r="B234" s="3" t="inlineStr">
        <is>
          <t>OJC-A1-SC/SC-SM-10-PC/PC-SP</t>
        </is>
      </c>
      <c r="C234" s="2" t="inlineStr">
        <is>
          <t>K9089003</t>
        </is>
      </c>
      <c r="D234" s="2" t="inlineStr">
        <is>
          <t>a1</t>
        </is>
      </c>
      <c r="E234" s="2" t="inlineStr">
        <is>
          <t>2.0mm</t>
        </is>
      </c>
      <c r="F234" s="2" t="n">
        <v>1</v>
      </c>
      <c r="G234" s="2" t="n">
        <v>10</v>
      </c>
      <c r="H234" s="2" t="inlineStr">
        <is>
          <t>SC/PC</t>
        </is>
      </c>
      <c r="I234" s="2" t="inlineStr">
        <is>
          <t>SC/PC</t>
        </is>
      </c>
      <c r="J234" s="2" t="n"/>
      <c r="K234" s="2" t="n"/>
      <c r="L234" s="2" t="n"/>
      <c r="M234" s="2" t="n"/>
      <c r="N234" s="2" t="n">
        <v>200</v>
      </c>
      <c r="O234" s="2" t="n">
        <v>200</v>
      </c>
      <c r="P234" s="2" t="n">
        <v>500</v>
      </c>
      <c r="Q234" s="2" t="n"/>
      <c r="R234" s="2" t="n"/>
      <c r="S234" s="2" t="n">
        <v>711</v>
      </c>
      <c r="T234" s="2" t="n">
        <v>1007</v>
      </c>
      <c r="U234" s="2" t="n">
        <v>406</v>
      </c>
      <c r="V234" s="2">
        <f>SUM(J234:U234)</f>
        <v/>
      </c>
      <c r="W234" s="2" t="n"/>
      <c r="X234" s="2" t="n"/>
      <c r="Y234" s="2" t="n"/>
      <c r="Z234" s="2" t="n"/>
      <c r="AA234" s="2" t="n">
        <v>6048</v>
      </c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>
        <f>IF(F234=1,V234*2,IF(F234=2,V234*F234*2,IF(F234&gt;2,F234*2*V234)))</f>
        <v/>
      </c>
      <c r="AW234" s="2">
        <f>SUM(W234:AU234)</f>
        <v/>
      </c>
    </row>
    <row r="235">
      <c r="A235" s="2" t="inlineStr">
        <is>
          <t>14-K-293</t>
        </is>
      </c>
      <c r="B235" s="3" t="inlineStr">
        <is>
          <t>OJC-A1-SC/SC-SM-12-PC/PC-DP</t>
        </is>
      </c>
      <c r="C235" s="2" t="inlineStr">
        <is>
          <t>K9089134</t>
        </is>
      </c>
      <c r="D235" s="2" t="inlineStr">
        <is>
          <t>a1</t>
        </is>
      </c>
      <c r="E235" s="2" t="inlineStr">
        <is>
          <t>2.0mm</t>
        </is>
      </c>
      <c r="F235" s="2" t="n">
        <v>2</v>
      </c>
      <c r="G235" s="2" t="n">
        <v>12</v>
      </c>
      <c r="H235" s="2" t="inlineStr">
        <is>
          <t>SC/PC</t>
        </is>
      </c>
      <c r="I235" s="2" t="inlineStr">
        <is>
          <t>SC/PC</t>
        </is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>
        <v>30</v>
      </c>
      <c r="V235" s="2">
        <f>SUM(J235:U235)</f>
        <v/>
      </c>
      <c r="W235" s="2" t="n"/>
      <c r="X235" s="2" t="n"/>
      <c r="Y235" s="2" t="n"/>
      <c r="Z235" s="2" t="n"/>
      <c r="AA235" s="2" t="n">
        <v>60</v>
      </c>
      <c r="AB235" s="2" t="n">
        <v>60</v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>
        <f>IF(F235=1,V235*2,IF(F235=2,V235*F235*2,IF(F235&gt;2,F235*2*V235)))</f>
        <v/>
      </c>
      <c r="AW235" s="2">
        <f>SUM(W235:AU235)</f>
        <v/>
      </c>
    </row>
    <row r="236">
      <c r="A236" s="2" t="inlineStr">
        <is>
          <t>14-K-294</t>
        </is>
      </c>
      <c r="B236" s="3" t="inlineStr">
        <is>
          <t>OJC-A1-SC/SC-SM-12-PC/PC-SP</t>
        </is>
      </c>
      <c r="C236" s="2" t="inlineStr">
        <is>
          <t>K9089005</t>
        </is>
      </c>
      <c r="D236" s="2" t="inlineStr">
        <is>
          <t>a1</t>
        </is>
      </c>
      <c r="E236" s="2" t="inlineStr">
        <is>
          <t>2.0mm</t>
        </is>
      </c>
      <c r="F236" s="2" t="n">
        <v>1</v>
      </c>
      <c r="G236" s="2" t="n">
        <v>12</v>
      </c>
      <c r="H236" s="2" t="inlineStr">
        <is>
          <t>SC/PC</t>
        </is>
      </c>
      <c r="I236" s="2" t="inlineStr">
        <is>
          <t>SC/PC</t>
        </is>
      </c>
      <c r="J236" s="2" t="n"/>
      <c r="K236" s="2" t="n"/>
      <c r="L236" s="2" t="n"/>
      <c r="M236" s="2" t="n"/>
      <c r="N236" s="2" t="n"/>
      <c r="O236" s="2" t="n"/>
      <c r="P236" s="2" t="n"/>
      <c r="Q236" s="2" t="n">
        <v>100</v>
      </c>
      <c r="R236" s="2" t="n"/>
      <c r="S236" s="2" t="n"/>
      <c r="T236" s="2" t="n"/>
      <c r="U236" s="2" t="n">
        <v>20</v>
      </c>
      <c r="V236" s="2">
        <f>SUM(J236:U236)</f>
        <v/>
      </c>
      <c r="W236" s="2" t="n"/>
      <c r="X236" s="2" t="n"/>
      <c r="Y236" s="2" t="n"/>
      <c r="Z236" s="2" t="n"/>
      <c r="AA236" s="2" t="n">
        <v>240</v>
      </c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>
        <f>IF(F236=1,V236*2,IF(F236=2,V236*F236*2,IF(F236&gt;2,F236*2*V236)))</f>
        <v/>
      </c>
      <c r="AW236" s="2">
        <f>SUM(W236:AU236)</f>
        <v/>
      </c>
    </row>
    <row r="237">
      <c r="A237" s="2" t="inlineStr">
        <is>
          <t>14-K-297</t>
        </is>
      </c>
      <c r="B237" s="3" t="inlineStr">
        <is>
          <t>OJC-A1-SC/SC-SM-14-PC/PC-DP</t>
        </is>
      </c>
      <c r="C237" s="2" t="inlineStr">
        <is>
          <t>K9089136</t>
        </is>
      </c>
      <c r="D237" s="2" t="inlineStr">
        <is>
          <t>a1</t>
        </is>
      </c>
      <c r="E237" s="2" t="inlineStr">
        <is>
          <t>2.0mm</t>
        </is>
      </c>
      <c r="F237" s="2" t="n">
        <v>2</v>
      </c>
      <c r="G237" s="2" t="n">
        <v>14</v>
      </c>
      <c r="H237" s="2" t="inlineStr">
        <is>
          <t>SC/PC</t>
        </is>
      </c>
      <c r="I237" s="2" t="inlineStr">
        <is>
          <t>SC/PC</t>
        </is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>
        <v>20</v>
      </c>
      <c r="T237" s="2" t="n"/>
      <c r="U237" s="2" t="n">
        <v>30</v>
      </c>
      <c r="V237" s="2">
        <f>SUM(J237:U237)</f>
        <v/>
      </c>
      <c r="W237" s="2" t="n"/>
      <c r="X237" s="2" t="n"/>
      <c r="Y237" s="2" t="n"/>
      <c r="Z237" s="2" t="n"/>
      <c r="AA237" s="2" t="n">
        <v>100</v>
      </c>
      <c r="AB237" s="2" t="n">
        <v>100</v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>
        <f>IF(F237=1,V237*2,IF(F237=2,V237*F237*2,IF(F237&gt;2,F237*2*V237)))</f>
        <v/>
      </c>
      <c r="AW237" s="2">
        <f>SUM(W237:AU237)</f>
        <v/>
      </c>
    </row>
    <row r="238">
      <c r="A238" s="2" t="inlineStr">
        <is>
          <t>14-K-299</t>
        </is>
      </c>
      <c r="B238" s="3" t="inlineStr">
        <is>
          <t>OJC-A1-SC/SC-SM-15-APC/APC-SP</t>
        </is>
      </c>
      <c r="C238" s="2" t="inlineStr"/>
      <c r="D238" s="2" t="inlineStr">
        <is>
          <t>a1</t>
        </is>
      </c>
      <c r="E238" s="2" t="inlineStr">
        <is>
          <t>2.0mm</t>
        </is>
      </c>
      <c r="F238" s="2" t="n">
        <v>1</v>
      </c>
      <c r="G238" s="2" t="n">
        <v>15</v>
      </c>
      <c r="H238" s="2" t="inlineStr">
        <is>
          <t>SC/APC</t>
        </is>
      </c>
      <c r="I238" s="2" t="inlineStr">
        <is>
          <t>SC/APC</t>
        </is>
      </c>
      <c r="J238" s="2" t="n"/>
      <c r="K238" s="2" t="n">
        <v>48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>
        <f>SUM(J238:U238)</f>
        <v/>
      </c>
      <c r="W238" s="2" t="n"/>
      <c r="X238" s="2" t="n"/>
      <c r="Y238" s="2" t="n"/>
      <c r="Z238" s="2" t="n"/>
      <c r="AA238" s="2" t="n"/>
      <c r="AB238" s="2" t="n"/>
      <c r="AC238" s="2" t="n">
        <v>96</v>
      </c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>
        <f>IF(F238=1,V238*2,IF(F238=2,V238*F238*2,IF(F238&gt;2,F238*2*V238)))</f>
        <v/>
      </c>
      <c r="AW238" s="2">
        <f>SUM(W238:AU238)</f>
        <v/>
      </c>
    </row>
    <row r="239">
      <c r="A239" s="2" t="inlineStr">
        <is>
          <t>14-K-300</t>
        </is>
      </c>
      <c r="B239" s="3" t="inlineStr">
        <is>
          <t>OJC-A1-SC/SC-SM-15-PC/APC-DP</t>
        </is>
      </c>
      <c r="C239" s="2" t="inlineStr">
        <is>
          <t>K9089189</t>
        </is>
      </c>
      <c r="D239" s="2" t="inlineStr">
        <is>
          <t>a1</t>
        </is>
      </c>
      <c r="E239" s="2" t="inlineStr">
        <is>
          <t>2.0mm</t>
        </is>
      </c>
      <c r="F239" s="2" t="n">
        <v>2</v>
      </c>
      <c r="G239" s="2" t="n">
        <v>15</v>
      </c>
      <c r="H239" s="2" t="inlineStr">
        <is>
          <t>SC/PC</t>
        </is>
      </c>
      <c r="I239" s="2" t="inlineStr">
        <is>
          <t>SC/APC</t>
        </is>
      </c>
      <c r="J239" s="2" t="n"/>
      <c r="K239" s="2" t="n"/>
      <c r="L239" s="2" t="n">
        <v>2</v>
      </c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>
        <f>SUM(J239:U239)</f>
        <v/>
      </c>
      <c r="W239" s="2" t="n"/>
      <c r="X239" s="2" t="n"/>
      <c r="Y239" s="2" t="n"/>
      <c r="Z239" s="2" t="n"/>
      <c r="AA239" s="2" t="n">
        <v>4</v>
      </c>
      <c r="AB239" s="2" t="n"/>
      <c r="AC239" s="2" t="n"/>
      <c r="AD239" s="2" t="n">
        <v>4</v>
      </c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>
        <f>IF(F239=1,V239*2,IF(F239=2,V239*F239*2,IF(F239&gt;2,F239*2*V239)))</f>
        <v/>
      </c>
      <c r="AW239" s="2">
        <f>SUM(W239:AU239)</f>
        <v/>
      </c>
    </row>
    <row r="240">
      <c r="A240" s="2" t="inlineStr">
        <is>
          <t>14-K-301</t>
        </is>
      </c>
      <c r="B240" s="3" t="inlineStr">
        <is>
          <t>OJC-A1-SC/SC-SM-15-PC/APC-SP</t>
        </is>
      </c>
      <c r="C240" s="2" t="inlineStr">
        <is>
          <t>K9089060</t>
        </is>
      </c>
      <c r="D240" s="2" t="inlineStr">
        <is>
          <t>a1</t>
        </is>
      </c>
      <c r="E240" s="2" t="inlineStr">
        <is>
          <t>2.0mm</t>
        </is>
      </c>
      <c r="F240" s="2" t="n">
        <v>1</v>
      </c>
      <c r="G240" s="2" t="n">
        <v>15</v>
      </c>
      <c r="H240" s="2" t="inlineStr">
        <is>
          <t>SC/PC</t>
        </is>
      </c>
      <c r="I240" s="2" t="inlineStr">
        <is>
          <t>SC/APC</t>
        </is>
      </c>
      <c r="J240" s="2" t="n"/>
      <c r="K240" s="2" t="n"/>
      <c r="L240" s="2" t="n"/>
      <c r="M240" s="2" t="n"/>
      <c r="N240" s="2" t="n">
        <v>300</v>
      </c>
      <c r="O240" s="2" t="n"/>
      <c r="P240" s="2" t="n"/>
      <c r="Q240" s="2" t="n"/>
      <c r="R240" s="2" t="n"/>
      <c r="S240" s="2" t="n"/>
      <c r="T240" s="2" t="n"/>
      <c r="U240" s="2" t="n"/>
      <c r="V240" s="2">
        <f>SUM(J240:U240)</f>
        <v/>
      </c>
      <c r="W240" s="2" t="n"/>
      <c r="X240" s="2" t="n"/>
      <c r="Y240" s="2" t="n"/>
      <c r="Z240" s="2" t="n"/>
      <c r="AA240" s="2" t="n">
        <v>300</v>
      </c>
      <c r="AB240" s="2" t="n"/>
      <c r="AC240" s="2" t="n">
        <v>300</v>
      </c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>
        <f>IF(F240=1,V240*2,IF(F240=2,V240*F240*2,IF(F240&gt;2,F240*2*V240)))</f>
        <v/>
      </c>
      <c r="AW240" s="2">
        <f>SUM(W240:AU240)</f>
        <v/>
      </c>
    </row>
    <row r="241">
      <c r="A241" s="2" t="inlineStr">
        <is>
          <t>14-K-303</t>
        </is>
      </c>
      <c r="B241" s="3" t="inlineStr">
        <is>
          <t>OJC-A1-SC/SC-SM-15-PC/PC-SP</t>
        </is>
      </c>
      <c r="C241" s="2" t="inlineStr">
        <is>
          <t>K9089008</t>
        </is>
      </c>
      <c r="D241" s="2" t="inlineStr">
        <is>
          <t>a1</t>
        </is>
      </c>
      <c r="E241" s="2" t="inlineStr">
        <is>
          <t>2.0mm</t>
        </is>
      </c>
      <c r="F241" s="2" t="n">
        <v>1</v>
      </c>
      <c r="G241" s="2" t="n">
        <v>15</v>
      </c>
      <c r="H241" s="2" t="inlineStr">
        <is>
          <t>SC/PC</t>
        </is>
      </c>
      <c r="I241" s="2" t="inlineStr">
        <is>
          <t>SC/PC</t>
        </is>
      </c>
      <c r="J241" s="2" t="n"/>
      <c r="K241" s="2" t="n"/>
      <c r="L241" s="2" t="n">
        <v>200</v>
      </c>
      <c r="M241" s="2" t="n"/>
      <c r="N241" s="2" t="n">
        <v>200</v>
      </c>
      <c r="O241" s="2" t="n">
        <v>200</v>
      </c>
      <c r="P241" s="2" t="n">
        <v>100</v>
      </c>
      <c r="Q241" s="2" t="n"/>
      <c r="R241" s="2" t="n"/>
      <c r="S241" s="2" t="n">
        <v>426</v>
      </c>
      <c r="T241" s="2" t="n"/>
      <c r="U241" s="2" t="n"/>
      <c r="V241" s="2">
        <f>SUM(J241:U241)</f>
        <v/>
      </c>
      <c r="W241" s="2" t="n"/>
      <c r="X241" s="2" t="n"/>
      <c r="Y241" s="2" t="n"/>
      <c r="Z241" s="2" t="n"/>
      <c r="AA241" s="2" t="n">
        <v>2252</v>
      </c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>
        <f>IF(F241=1,V241*2,IF(F241=2,V241*F241*2,IF(F241&gt;2,F241*2*V241)))</f>
        <v/>
      </c>
      <c r="AW241" s="2">
        <f>SUM(W241:AU241)</f>
        <v/>
      </c>
    </row>
    <row r="242">
      <c r="A242" s="2" t="inlineStr">
        <is>
          <t>14-K-304</t>
        </is>
      </c>
      <c r="B242" s="3" t="inlineStr">
        <is>
          <t>OJC-A1-SC/SC-SM-16-PC/PC-DP</t>
        </is>
      </c>
      <c r="C242" s="2" t="inlineStr">
        <is>
          <t>K9089138</t>
        </is>
      </c>
      <c r="D242" s="2" t="inlineStr">
        <is>
          <t>a1</t>
        </is>
      </c>
      <c r="E242" s="2" t="inlineStr">
        <is>
          <t>2.0mm</t>
        </is>
      </c>
      <c r="F242" s="2" t="n">
        <v>2</v>
      </c>
      <c r="G242" s="2" t="n">
        <v>16</v>
      </c>
      <c r="H242" s="2" t="inlineStr">
        <is>
          <t>SC/PC</t>
        </is>
      </c>
      <c r="I242" s="2" t="inlineStr">
        <is>
          <t>SC/PC</t>
        </is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>
        <v>30</v>
      </c>
      <c r="V242" s="2">
        <f>SUM(J242:U242)</f>
        <v/>
      </c>
      <c r="W242" s="2" t="n"/>
      <c r="X242" s="2" t="n"/>
      <c r="Y242" s="2" t="n"/>
      <c r="Z242" s="2" t="n"/>
      <c r="AA242" s="2" t="n">
        <v>60</v>
      </c>
      <c r="AB242" s="2" t="n">
        <v>60</v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>
        <f>IF(F242=1,V242*2,IF(F242=2,V242*F242*2,IF(F242&gt;2,F242*2*V242)))</f>
        <v/>
      </c>
      <c r="AW242" s="2">
        <f>SUM(W242:AU242)</f>
        <v/>
      </c>
    </row>
    <row r="243">
      <c r="A243" s="2" t="inlineStr">
        <is>
          <t>14-K-305</t>
        </is>
      </c>
      <c r="B243" s="3" t="inlineStr">
        <is>
          <t>OJC-A1-SC/SC-SM-16-PC/PC-SP</t>
        </is>
      </c>
      <c r="C243" s="2" t="inlineStr">
        <is>
          <t>K9089009</t>
        </is>
      </c>
      <c r="D243" s="2" t="inlineStr">
        <is>
          <t>a1</t>
        </is>
      </c>
      <c r="E243" s="2" t="inlineStr">
        <is>
          <t>2.0mm</t>
        </is>
      </c>
      <c r="F243" s="2" t="n">
        <v>1</v>
      </c>
      <c r="G243" s="2" t="n">
        <v>16</v>
      </c>
      <c r="H243" s="2" t="inlineStr">
        <is>
          <t>SC/PC</t>
        </is>
      </c>
      <c r="I243" s="2" t="inlineStr">
        <is>
          <t>SC/PC</t>
        </is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>
        <v>20</v>
      </c>
      <c r="V243" s="2">
        <f>SUM(J243:U243)</f>
        <v/>
      </c>
      <c r="W243" s="2" t="n"/>
      <c r="X243" s="2" t="n"/>
      <c r="Y243" s="2" t="n"/>
      <c r="Z243" s="2" t="n"/>
      <c r="AA243" s="2" t="n">
        <v>40</v>
      </c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>
        <f>IF(F243=1,V243*2,IF(F243=2,V243*F243*2,IF(F243&gt;2,F243*2*V243)))</f>
        <v/>
      </c>
      <c r="AW243" s="2">
        <f>SUM(W243:AU243)</f>
        <v/>
      </c>
    </row>
    <row r="244">
      <c r="A244" s="2" t="inlineStr">
        <is>
          <t>14-K-308</t>
        </is>
      </c>
      <c r="B244" s="3" t="inlineStr">
        <is>
          <t>OJC-A1-SC/SC-SM-18-PC/PC-DP</t>
        </is>
      </c>
      <c r="C244" s="2" t="inlineStr">
        <is>
          <t>K9089140</t>
        </is>
      </c>
      <c r="D244" s="2" t="inlineStr">
        <is>
          <t>a1</t>
        </is>
      </c>
      <c r="E244" s="2" t="inlineStr">
        <is>
          <t>2.0mm</t>
        </is>
      </c>
      <c r="F244" s="2" t="n">
        <v>2</v>
      </c>
      <c r="G244" s="2" t="n">
        <v>18</v>
      </c>
      <c r="H244" s="2" t="inlineStr">
        <is>
          <t>SC/PC</t>
        </is>
      </c>
      <c r="I244" s="2" t="inlineStr">
        <is>
          <t>SC/PC</t>
        </is>
      </c>
      <c r="J244" s="2" t="n"/>
      <c r="K244" s="2" t="n"/>
      <c r="L244" s="2" t="n"/>
      <c r="M244" s="2" t="n"/>
      <c r="N244" s="2" t="n">
        <v>50</v>
      </c>
      <c r="O244" s="2" t="n"/>
      <c r="P244" s="2" t="n"/>
      <c r="Q244" s="2" t="n"/>
      <c r="R244" s="2" t="n"/>
      <c r="S244" s="2" t="n"/>
      <c r="T244" s="2" t="n"/>
      <c r="U244" s="2" t="n">
        <v>30</v>
      </c>
      <c r="V244" s="2">
        <f>SUM(J244:U244)</f>
        <v/>
      </c>
      <c r="W244" s="2" t="n"/>
      <c r="X244" s="2" t="n"/>
      <c r="Y244" s="2" t="n"/>
      <c r="Z244" s="2" t="n"/>
      <c r="AA244" s="2" t="n">
        <v>160</v>
      </c>
      <c r="AB244" s="2" t="n">
        <v>160</v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>
        <f>IF(F244=1,V244*2,IF(F244=2,V244*F244*2,IF(F244&gt;2,F244*2*V244)))</f>
        <v/>
      </c>
      <c r="AW244" s="2">
        <f>SUM(W244:AU244)</f>
        <v/>
      </c>
    </row>
    <row r="245">
      <c r="A245" s="2" t="inlineStr">
        <is>
          <t>14-K-309</t>
        </is>
      </c>
      <c r="B245" s="3" t="inlineStr">
        <is>
          <t>OJC-A1-SC/SC-SM-18-PC/PC-SP</t>
        </is>
      </c>
      <c r="C245" s="2" t="inlineStr">
        <is>
          <t>K9089011</t>
        </is>
      </c>
      <c r="D245" s="2" t="inlineStr">
        <is>
          <t>a1</t>
        </is>
      </c>
      <c r="E245" s="2" t="inlineStr">
        <is>
          <t>2.0mm</t>
        </is>
      </c>
      <c r="F245" s="2" t="n">
        <v>1</v>
      </c>
      <c r="G245" s="2" t="n">
        <v>18</v>
      </c>
      <c r="H245" s="2" t="inlineStr">
        <is>
          <t>SC/PC</t>
        </is>
      </c>
      <c r="I245" s="2" t="inlineStr">
        <is>
          <t>SC/PC</t>
        </is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>
        <v>20</v>
      </c>
      <c r="V245" s="2">
        <f>SUM(J245:U245)</f>
        <v/>
      </c>
      <c r="W245" s="2" t="n"/>
      <c r="X245" s="2" t="n"/>
      <c r="Y245" s="2" t="n"/>
      <c r="Z245" s="2" t="n"/>
      <c r="AA245" s="2" t="n">
        <v>40</v>
      </c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>
        <f>IF(F245=1,V245*2,IF(F245=2,V245*F245*2,IF(F245&gt;2,F245*2*V245)))</f>
        <v/>
      </c>
      <c r="AW245" s="2">
        <f>SUM(W245:AU245)</f>
        <v/>
      </c>
    </row>
    <row r="246">
      <c r="A246" s="2" t="inlineStr">
        <is>
          <t>14-K-314</t>
        </is>
      </c>
      <c r="B246" s="3" t="inlineStr">
        <is>
          <t>OJC-A1-SC/SC-SM-1-PC/APC-SP</t>
        </is>
      </c>
      <c r="C246" s="2" t="inlineStr">
        <is>
          <t>K9089056</t>
        </is>
      </c>
      <c r="D246" s="2" t="inlineStr">
        <is>
          <t>a1</t>
        </is>
      </c>
      <c r="E246" s="2" t="inlineStr">
        <is>
          <t>2.0mm</t>
        </is>
      </c>
      <c r="F246" s="2" t="n">
        <v>1</v>
      </c>
      <c r="G246" s="2" t="n">
        <v>1</v>
      </c>
      <c r="H246" s="2" t="inlineStr">
        <is>
          <t>SC/PC</t>
        </is>
      </c>
      <c r="I246" s="2" t="inlineStr">
        <is>
          <t>SC/APC</t>
        </is>
      </c>
      <c r="J246" s="2" t="n"/>
      <c r="K246" s="2" t="n"/>
      <c r="L246" s="2" t="n"/>
      <c r="M246" s="2" t="n"/>
      <c r="N246" s="2" t="n"/>
      <c r="O246" s="2" t="n"/>
      <c r="P246" s="2" t="n">
        <v>50</v>
      </c>
      <c r="Q246" s="2" t="n"/>
      <c r="R246" s="2" t="n"/>
      <c r="S246" s="2" t="n"/>
      <c r="T246" s="2" t="n"/>
      <c r="U246" s="2" t="n"/>
      <c r="V246" s="2">
        <f>SUM(J246:U246)</f>
        <v/>
      </c>
      <c r="W246" s="2" t="n"/>
      <c r="X246" s="2" t="n"/>
      <c r="Y246" s="2" t="n"/>
      <c r="Z246" s="2" t="n"/>
      <c r="AA246" s="2" t="n">
        <v>50</v>
      </c>
      <c r="AB246" s="2" t="n"/>
      <c r="AC246" s="2" t="n">
        <v>50</v>
      </c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>
        <f>IF(F246=1,V246*2,IF(F246=2,V246*F246*2,IF(F246&gt;2,F246*2*V246)))</f>
        <v/>
      </c>
      <c r="AW246" s="2">
        <f>SUM(W246:AU246)</f>
        <v/>
      </c>
    </row>
    <row r="247">
      <c r="A247" s="2" t="inlineStr">
        <is>
          <t>14-K-317</t>
        </is>
      </c>
      <c r="B247" s="3" t="inlineStr">
        <is>
          <t>OJC-A1-SC/SC-SM-20-APC/APC-DP</t>
        </is>
      </c>
      <c r="C247" s="2" t="inlineStr"/>
      <c r="D247" s="2" t="inlineStr">
        <is>
          <t>a1</t>
        </is>
      </c>
      <c r="E247" s="2" t="inlineStr">
        <is>
          <t>2.0mm</t>
        </is>
      </c>
      <c r="F247" s="2" t="n">
        <v>2</v>
      </c>
      <c r="G247" s="2" t="n">
        <v>20</v>
      </c>
      <c r="H247" s="2" t="inlineStr">
        <is>
          <t>SC/APC</t>
        </is>
      </c>
      <c r="I247" s="2" t="inlineStr">
        <is>
          <t>SC/APC</t>
        </is>
      </c>
      <c r="J247" s="2" t="n"/>
      <c r="K247" s="2" t="n"/>
      <c r="L247" s="2" t="n"/>
      <c r="M247" s="2" t="n"/>
      <c r="N247" s="2" t="n">
        <v>1</v>
      </c>
      <c r="O247" s="2" t="n"/>
      <c r="P247" s="2" t="n"/>
      <c r="Q247" s="2" t="n"/>
      <c r="R247" s="2" t="n"/>
      <c r="S247" s="2" t="n"/>
      <c r="T247" s="2" t="n"/>
      <c r="U247" s="2" t="n"/>
      <c r="V247" s="2">
        <f>SUM(J247:U247)</f>
        <v/>
      </c>
      <c r="W247" s="2" t="n"/>
      <c r="X247" s="2" t="n"/>
      <c r="Y247" s="2" t="n"/>
      <c r="Z247" s="2" t="n"/>
      <c r="AA247" s="2" t="n"/>
      <c r="AB247" s="2" t="n"/>
      <c r="AC247" s="2" t="n">
        <v>2</v>
      </c>
      <c r="AD247" s="2" t="n">
        <v>2</v>
      </c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>
        <f>IF(F247=1,V247*2,IF(F247=2,V247*F247*2,IF(F247&gt;2,F247*2*V247)))</f>
        <v/>
      </c>
      <c r="AW247" s="2">
        <f>SUM(W247:AU247)</f>
        <v/>
      </c>
    </row>
    <row r="248">
      <c r="A248" s="2" t="inlineStr">
        <is>
          <t>14-K-320</t>
        </is>
      </c>
      <c r="B248" s="3" t="inlineStr">
        <is>
          <t>OJC-A1-SC/SC-SM-20-PC/APC-SP</t>
        </is>
      </c>
      <c r="C248" s="2" t="inlineStr">
        <is>
          <t>K9089061</t>
        </is>
      </c>
      <c r="D248" s="2" t="inlineStr">
        <is>
          <t>a1</t>
        </is>
      </c>
      <c r="E248" s="2" t="inlineStr">
        <is>
          <t>2.0mm</t>
        </is>
      </c>
      <c r="F248" s="2" t="n">
        <v>1</v>
      </c>
      <c r="G248" s="2" t="n">
        <v>20</v>
      </c>
      <c r="H248" s="2" t="inlineStr">
        <is>
          <t>SC/PC</t>
        </is>
      </c>
      <c r="I248" s="2" t="inlineStr">
        <is>
          <t>SC/APC</t>
        </is>
      </c>
      <c r="J248" s="2" t="n">
        <v>50</v>
      </c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>
        <v>10</v>
      </c>
      <c r="T248" s="2" t="n"/>
      <c r="U248" s="2" t="n"/>
      <c r="V248" s="2">
        <f>SUM(J248:U248)</f>
        <v/>
      </c>
      <c r="W248" s="2" t="n"/>
      <c r="X248" s="2" t="n"/>
      <c r="Y248" s="2" t="n"/>
      <c r="Z248" s="2" t="n"/>
      <c r="AA248" s="2" t="n">
        <v>60</v>
      </c>
      <c r="AB248" s="2" t="n"/>
      <c r="AC248" s="2" t="n">
        <v>60</v>
      </c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>
        <f>IF(F248=1,V248*2,IF(F248=2,V248*F248*2,IF(F248&gt;2,F248*2*V248)))</f>
        <v/>
      </c>
      <c r="AW248" s="2">
        <f>SUM(W248:AU248)</f>
        <v/>
      </c>
    </row>
    <row r="249">
      <c r="A249" s="2" t="inlineStr">
        <is>
          <t>14-K-321</t>
        </is>
      </c>
      <c r="B249" s="3" t="inlineStr">
        <is>
          <t>OJC-A1-SC/SC-SM-20-PC/PC-DP</t>
        </is>
      </c>
      <c r="C249" s="2" t="inlineStr">
        <is>
          <t>K9089142</t>
        </is>
      </c>
      <c r="D249" s="2" t="inlineStr">
        <is>
          <t>a1</t>
        </is>
      </c>
      <c r="E249" s="2" t="inlineStr">
        <is>
          <t>2.0mm</t>
        </is>
      </c>
      <c r="F249" s="2" t="n">
        <v>2</v>
      </c>
      <c r="G249" s="2" t="n">
        <v>20</v>
      </c>
      <c r="H249" s="2" t="inlineStr">
        <is>
          <t>SC/PC</t>
        </is>
      </c>
      <c r="I249" s="2" t="inlineStr">
        <is>
          <t>SC/PC</t>
        </is>
      </c>
      <c r="J249" s="2" t="n"/>
      <c r="K249" s="2" t="n"/>
      <c r="L249" s="2" t="n"/>
      <c r="M249" s="2" t="n"/>
      <c r="N249" s="2" t="n"/>
      <c r="O249" s="2" t="n">
        <v>100</v>
      </c>
      <c r="P249" s="2" t="n"/>
      <c r="Q249" s="2" t="n"/>
      <c r="R249" s="2" t="n"/>
      <c r="S249" s="2" t="n"/>
      <c r="T249" s="2" t="n"/>
      <c r="U249" s="2" t="n"/>
      <c r="V249" s="2">
        <f>SUM(J249:U249)</f>
        <v/>
      </c>
      <c r="W249" s="2" t="n"/>
      <c r="X249" s="2" t="n"/>
      <c r="Y249" s="2" t="n"/>
      <c r="Z249" s="2" t="n"/>
      <c r="AA249" s="2" t="n">
        <v>200</v>
      </c>
      <c r="AB249" s="2" t="n">
        <v>200</v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>
        <f>IF(F249=1,V249*2,IF(F249=2,V249*F249*2,IF(F249&gt;2,F249*2*V249)))</f>
        <v/>
      </c>
      <c r="AW249" s="2">
        <f>SUM(W249:AU249)</f>
        <v/>
      </c>
    </row>
    <row r="250">
      <c r="A250" s="2" t="inlineStr">
        <is>
          <t>14-K-322</t>
        </is>
      </c>
      <c r="B250" s="3" t="inlineStr">
        <is>
          <t>OJC-A1-SC/SC-SM-20-PC/PC-SP</t>
        </is>
      </c>
      <c r="C250" s="2" t="inlineStr">
        <is>
          <t>K9089013</t>
        </is>
      </c>
      <c r="D250" s="2" t="inlineStr">
        <is>
          <t>a1</t>
        </is>
      </c>
      <c r="E250" s="2" t="inlineStr">
        <is>
          <t>2.0mm</t>
        </is>
      </c>
      <c r="F250" s="2" t="n">
        <v>1</v>
      </c>
      <c r="G250" s="2" t="n">
        <v>20</v>
      </c>
      <c r="H250" s="2" t="inlineStr">
        <is>
          <t>SC/PC</t>
        </is>
      </c>
      <c r="I250" s="2" t="inlineStr">
        <is>
          <t>SC/PC</t>
        </is>
      </c>
      <c r="J250" s="2" t="n">
        <v>300</v>
      </c>
      <c r="K250" s="2" t="n"/>
      <c r="L250" s="2" t="n"/>
      <c r="M250" s="2" t="n"/>
      <c r="N250" s="2" t="n">
        <v>200</v>
      </c>
      <c r="O250" s="2" t="n">
        <v>200</v>
      </c>
      <c r="P250" s="2" t="n"/>
      <c r="Q250" s="2" t="n"/>
      <c r="R250" s="2" t="n">
        <v>9</v>
      </c>
      <c r="S250" s="2" t="n">
        <v>161</v>
      </c>
      <c r="T250" s="2" t="n"/>
      <c r="U250" s="2" t="n">
        <v>10</v>
      </c>
      <c r="V250" s="2">
        <f>SUM(J250:U250)</f>
        <v/>
      </c>
      <c r="W250" s="2" t="n"/>
      <c r="X250" s="2" t="n"/>
      <c r="Y250" s="2" t="n"/>
      <c r="Z250" s="2" t="n"/>
      <c r="AA250" s="2" t="n">
        <v>1760</v>
      </c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>
        <f>IF(F250=1,V250*2,IF(F250=2,V250*F250*2,IF(F250&gt;2,F250*2*V250)))</f>
        <v/>
      </c>
      <c r="AW250" s="2">
        <f>SUM(W250:AU250)</f>
        <v/>
      </c>
    </row>
    <row r="251">
      <c r="A251" s="2" t="inlineStr">
        <is>
          <t>14-K-325</t>
        </is>
      </c>
      <c r="B251" s="3" t="inlineStr">
        <is>
          <t>OJC-A1-SC/SC-SM-22-PC/PC-DP</t>
        </is>
      </c>
      <c r="C251" s="2" t="inlineStr">
        <is>
          <t>K9089144</t>
        </is>
      </c>
      <c r="D251" s="2" t="inlineStr">
        <is>
          <t>a1</t>
        </is>
      </c>
      <c r="E251" s="2" t="inlineStr">
        <is>
          <t>2.0mm</t>
        </is>
      </c>
      <c r="F251" s="2" t="n">
        <v>2</v>
      </c>
      <c r="G251" s="2" t="n">
        <v>22</v>
      </c>
      <c r="H251" s="2" t="inlineStr">
        <is>
          <t>SC/PC</t>
        </is>
      </c>
      <c r="I251" s="2" t="inlineStr">
        <is>
          <t>SC/PC</t>
        </is>
      </c>
      <c r="J251" s="2" t="n"/>
      <c r="K251" s="2" t="n"/>
      <c r="L251" s="2" t="n"/>
      <c r="M251" s="2" t="n"/>
      <c r="N251" s="2" t="n">
        <v>50</v>
      </c>
      <c r="O251" s="2" t="n"/>
      <c r="P251" s="2" t="n"/>
      <c r="Q251" s="2" t="n"/>
      <c r="R251" s="2" t="n"/>
      <c r="S251" s="2" t="n"/>
      <c r="T251" s="2" t="n"/>
      <c r="U251" s="2" t="n">
        <v>30</v>
      </c>
      <c r="V251" s="2">
        <f>SUM(J251:U251)</f>
        <v/>
      </c>
      <c r="W251" s="2" t="n"/>
      <c r="X251" s="2" t="n"/>
      <c r="Y251" s="2" t="n"/>
      <c r="Z251" s="2" t="n"/>
      <c r="AA251" s="2" t="n">
        <v>160</v>
      </c>
      <c r="AB251" s="2" t="n">
        <v>160</v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>
        <f>IF(F251=1,V251*2,IF(F251=2,V251*F251*2,IF(F251&gt;2,F251*2*V251)))</f>
        <v/>
      </c>
      <c r="AW251" s="2">
        <f>SUM(W251:AU251)</f>
        <v/>
      </c>
    </row>
    <row r="252">
      <c r="A252" s="2" t="inlineStr">
        <is>
          <t>14-K-329</t>
        </is>
      </c>
      <c r="B252" s="3" t="inlineStr">
        <is>
          <t>OJC-A1-SC/SC-SM-24-PC/PC-DP</t>
        </is>
      </c>
      <c r="C252" s="2" t="inlineStr">
        <is>
          <t>K9089146</t>
        </is>
      </c>
      <c r="D252" s="2" t="inlineStr">
        <is>
          <t>a1</t>
        </is>
      </c>
      <c r="E252" s="2" t="inlineStr">
        <is>
          <t>2.0mm</t>
        </is>
      </c>
      <c r="F252" s="2" t="n">
        <v>2</v>
      </c>
      <c r="G252" s="2" t="n">
        <v>24</v>
      </c>
      <c r="H252" s="2" t="inlineStr">
        <is>
          <t>SC/PC</t>
        </is>
      </c>
      <c r="I252" s="2" t="inlineStr">
        <is>
          <t>SC/PC</t>
        </is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>
        <v>30</v>
      </c>
      <c r="V252" s="2">
        <f>SUM(J252:U252)</f>
        <v/>
      </c>
      <c r="W252" s="2" t="n"/>
      <c r="X252" s="2" t="n"/>
      <c r="Y252" s="2" t="n"/>
      <c r="Z252" s="2" t="n"/>
      <c r="AA252" s="2" t="n">
        <v>60</v>
      </c>
      <c r="AB252" s="2" t="n">
        <v>60</v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>
        <f>IF(F252=1,V252*2,IF(F252=2,V252*F252*2,IF(F252&gt;2,F252*2*V252)))</f>
        <v/>
      </c>
      <c r="AW252" s="2">
        <f>SUM(W252:AU252)</f>
        <v/>
      </c>
    </row>
    <row r="253">
      <c r="A253" s="2" t="inlineStr">
        <is>
          <t>14-K-335</t>
        </is>
      </c>
      <c r="B253" s="3" t="inlineStr">
        <is>
          <t>OJC-A1-SC/SC-SM-25-PC/APC-SP</t>
        </is>
      </c>
      <c r="C253" s="2" t="inlineStr">
        <is>
          <t>K9089062</t>
        </is>
      </c>
      <c r="D253" s="2" t="inlineStr">
        <is>
          <t>a1</t>
        </is>
      </c>
      <c r="E253" s="2" t="inlineStr">
        <is>
          <t>2.0mm</t>
        </is>
      </c>
      <c r="F253" s="2" t="n">
        <v>1</v>
      </c>
      <c r="G253" s="2" t="n">
        <v>25</v>
      </c>
      <c r="H253" s="2" t="inlineStr">
        <is>
          <t>SC/PC</t>
        </is>
      </c>
      <c r="I253" s="2" t="inlineStr">
        <is>
          <t>SC/APC</t>
        </is>
      </c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>
        <v>10</v>
      </c>
      <c r="T253" s="2" t="n"/>
      <c r="U253" s="2" t="n"/>
      <c r="V253" s="2">
        <f>SUM(J253:U253)</f>
        <v/>
      </c>
      <c r="W253" s="2" t="n"/>
      <c r="X253" s="2" t="n"/>
      <c r="Y253" s="2" t="n"/>
      <c r="Z253" s="2" t="n"/>
      <c r="AA253" s="2" t="n">
        <v>10</v>
      </c>
      <c r="AB253" s="2" t="n"/>
      <c r="AC253" s="2" t="n">
        <v>10</v>
      </c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>
        <f>IF(F253=1,V253*2,IF(F253=2,V253*F253*2,IF(F253&gt;2,F253*2*V253)))</f>
        <v/>
      </c>
      <c r="AW253" s="2">
        <f>SUM(W253:AU253)</f>
        <v/>
      </c>
    </row>
    <row r="254">
      <c r="A254" s="2" t="inlineStr">
        <is>
          <t>14-K-336</t>
        </is>
      </c>
      <c r="B254" s="3" t="inlineStr">
        <is>
          <t>OJC-A1-SC/SC-SM-25-PC/PC-DP</t>
        </is>
      </c>
      <c r="C254" s="2" t="inlineStr">
        <is>
          <t>K9089147</t>
        </is>
      </c>
      <c r="D254" s="2" t="inlineStr">
        <is>
          <t>a1</t>
        </is>
      </c>
      <c r="E254" s="2" t="inlineStr">
        <is>
          <t>2.0mm</t>
        </is>
      </c>
      <c r="F254" s="2" t="n">
        <v>2</v>
      </c>
      <c r="G254" s="2" t="n">
        <v>25</v>
      </c>
      <c r="H254" s="2" t="inlineStr">
        <is>
          <t>SC/PC</t>
        </is>
      </c>
      <c r="I254" s="2" t="inlineStr">
        <is>
          <t>SC/PC</t>
        </is>
      </c>
      <c r="J254" s="2" t="n"/>
      <c r="K254" s="2" t="n"/>
      <c r="L254" s="2" t="n"/>
      <c r="M254" s="2" t="n"/>
      <c r="N254" s="2" t="n"/>
      <c r="O254" s="2" t="n"/>
      <c r="P254" s="2" t="n"/>
      <c r="Q254" s="2" t="n">
        <v>130</v>
      </c>
      <c r="R254" s="2" t="n"/>
      <c r="S254" s="2" t="n"/>
      <c r="T254" s="2" t="n"/>
      <c r="U254" s="2" t="n"/>
      <c r="V254" s="2">
        <f>SUM(J254:U254)</f>
        <v/>
      </c>
      <c r="W254" s="2" t="n"/>
      <c r="X254" s="2" t="n"/>
      <c r="Y254" s="2" t="n"/>
      <c r="Z254" s="2" t="n"/>
      <c r="AA254" s="2" t="n">
        <v>260</v>
      </c>
      <c r="AB254" s="2" t="n">
        <v>260</v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>
        <f>IF(F254=1,V254*2,IF(F254=2,V254*F254*2,IF(F254&gt;2,F254*2*V254)))</f>
        <v/>
      </c>
      <c r="AW254" s="2">
        <f>SUM(W254:AU254)</f>
        <v/>
      </c>
    </row>
    <row r="255">
      <c r="A255" s="2" t="inlineStr">
        <is>
          <t>14-K-337</t>
        </is>
      </c>
      <c r="B255" s="3" t="inlineStr">
        <is>
          <t>OJC-A1-SC/SC-SM-25-PC/PC-SP</t>
        </is>
      </c>
      <c r="C255" s="2" t="inlineStr">
        <is>
          <t>K9089018</t>
        </is>
      </c>
      <c r="D255" s="2" t="inlineStr">
        <is>
          <t>a1</t>
        </is>
      </c>
      <c r="E255" s="2" t="inlineStr">
        <is>
          <t>2.0mm</t>
        </is>
      </c>
      <c r="F255" s="2" t="n">
        <v>1</v>
      </c>
      <c r="G255" s="2" t="n">
        <v>25</v>
      </c>
      <c r="H255" s="2" t="inlineStr">
        <is>
          <t>SC/PC</t>
        </is>
      </c>
      <c r="I255" s="2" t="inlineStr">
        <is>
          <t>SC/PC</t>
        </is>
      </c>
      <c r="J255" s="2" t="n"/>
      <c r="K255" s="2" t="n"/>
      <c r="L255" s="2" t="n"/>
      <c r="M255" s="2" t="n"/>
      <c r="N255" s="2" t="n"/>
      <c r="O255" s="2" t="n"/>
      <c r="P255" s="2" t="n"/>
      <c r="Q255" s="2" t="n">
        <v>145</v>
      </c>
      <c r="R255" s="2" t="n">
        <v>80</v>
      </c>
      <c r="S255" s="2" t="n">
        <v>100</v>
      </c>
      <c r="T255" s="2" t="n"/>
      <c r="U255" s="2" t="n">
        <v>1</v>
      </c>
      <c r="V255" s="2">
        <f>SUM(J255:U255)</f>
        <v/>
      </c>
      <c r="W255" s="2" t="n"/>
      <c r="X255" s="2" t="n"/>
      <c r="Y255" s="2" t="n"/>
      <c r="Z255" s="2" t="n"/>
      <c r="AA255" s="2" t="n">
        <v>652</v>
      </c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>
        <f>IF(F255=1,V255*2,IF(F255=2,V255*F255*2,IF(F255&gt;2,F255*2*V255)))</f>
        <v/>
      </c>
      <c r="AW255" s="2">
        <f>SUM(W255:AU255)</f>
        <v/>
      </c>
    </row>
    <row r="256">
      <c r="A256" s="2" t="inlineStr">
        <is>
          <t>14-K-340</t>
        </is>
      </c>
      <c r="B256" s="3" t="inlineStr">
        <is>
          <t>OJC-A1-SC/SC-SM-27-PC/PC-SP</t>
        </is>
      </c>
      <c r="C256" s="2" t="inlineStr">
        <is>
          <t>K9089020</t>
        </is>
      </c>
      <c r="D256" s="2" t="inlineStr">
        <is>
          <t>a1</t>
        </is>
      </c>
      <c r="E256" s="2" t="inlineStr">
        <is>
          <t>2.0mm</t>
        </is>
      </c>
      <c r="F256" s="2" t="n">
        <v>1</v>
      </c>
      <c r="G256" s="2" t="n">
        <v>27</v>
      </c>
      <c r="H256" s="2" t="inlineStr">
        <is>
          <t>SC/PC</t>
        </is>
      </c>
      <c r="I256" s="2" t="inlineStr">
        <is>
          <t>SC/PC</t>
        </is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>
        <v>10</v>
      </c>
      <c r="V256" s="2">
        <f>SUM(J256:U256)</f>
        <v/>
      </c>
      <c r="W256" s="2" t="n"/>
      <c r="X256" s="2" t="n"/>
      <c r="Y256" s="2" t="n"/>
      <c r="Z256" s="2" t="n"/>
      <c r="AA256" s="2" t="n">
        <v>20</v>
      </c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>
        <f>IF(F256=1,V256*2,IF(F256=2,V256*F256*2,IF(F256&gt;2,F256*2*V256)))</f>
        <v/>
      </c>
      <c r="AW256" s="2">
        <f>SUM(W256:AU256)</f>
        <v/>
      </c>
    </row>
    <row r="257">
      <c r="A257" s="2" t="inlineStr">
        <is>
          <t>14-K-341</t>
        </is>
      </c>
      <c r="B257" s="3" t="inlineStr">
        <is>
          <t>OJC-A1-SC/SC-SM-28-PC/PC-DP</t>
        </is>
      </c>
      <c r="C257" s="2" t="inlineStr">
        <is>
          <t>K9089150</t>
        </is>
      </c>
      <c r="D257" s="2" t="inlineStr">
        <is>
          <t>a1</t>
        </is>
      </c>
      <c r="E257" s="2" t="inlineStr">
        <is>
          <t>2.0mm</t>
        </is>
      </c>
      <c r="F257" s="2" t="n">
        <v>2</v>
      </c>
      <c r="G257" s="2" t="n">
        <v>28</v>
      </c>
      <c r="H257" s="2" t="inlineStr">
        <is>
          <t>SC/PC</t>
        </is>
      </c>
      <c r="I257" s="2" t="inlineStr">
        <is>
          <t>SC/PC</t>
        </is>
      </c>
      <c r="J257" s="2" t="n"/>
      <c r="K257" s="2" t="n"/>
      <c r="L257" s="2" t="n"/>
      <c r="M257" s="2" t="n"/>
      <c r="N257" s="2" t="n">
        <v>50</v>
      </c>
      <c r="O257" s="2" t="n"/>
      <c r="P257" s="2" t="n"/>
      <c r="Q257" s="2" t="n"/>
      <c r="R257" s="2" t="n"/>
      <c r="S257" s="2" t="n"/>
      <c r="T257" s="2" t="n"/>
      <c r="U257" s="2" t="n"/>
      <c r="V257" s="2">
        <f>SUM(J257:U257)</f>
        <v/>
      </c>
      <c r="W257" s="2" t="n"/>
      <c r="X257" s="2" t="n"/>
      <c r="Y257" s="2" t="n"/>
      <c r="Z257" s="2" t="n"/>
      <c r="AA257" s="2" t="n">
        <v>100</v>
      </c>
      <c r="AB257" s="2" t="n">
        <v>100</v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>
        <f>IF(F257=1,V257*2,IF(F257=2,V257*F257*2,IF(F257&gt;2,F257*2*V257)))</f>
        <v/>
      </c>
      <c r="AW257" s="2">
        <f>SUM(W257:AU257)</f>
        <v/>
      </c>
    </row>
    <row r="258">
      <c r="A258" s="2" t="inlineStr">
        <is>
          <t>14-K-342</t>
        </is>
      </c>
      <c r="B258" s="3" t="inlineStr">
        <is>
          <t>OJC-A1-SC/SC-SM-29-PC/PC-SP</t>
        </is>
      </c>
      <c r="C258" s="2" t="inlineStr">
        <is>
          <t>K9089022</t>
        </is>
      </c>
      <c r="D258" s="2" t="inlineStr">
        <is>
          <t>a1</t>
        </is>
      </c>
      <c r="E258" s="2" t="inlineStr">
        <is>
          <t>2.0mm</t>
        </is>
      </c>
      <c r="F258" s="2" t="n">
        <v>1</v>
      </c>
      <c r="G258" s="2" t="n">
        <v>29</v>
      </c>
      <c r="H258" s="2" t="inlineStr">
        <is>
          <t>SC/PC</t>
        </is>
      </c>
      <c r="I258" s="2" t="inlineStr">
        <is>
          <t>SC/PC</t>
        </is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>
        <v>10</v>
      </c>
      <c r="V258" s="2">
        <f>SUM(J258:U258)</f>
        <v/>
      </c>
      <c r="W258" s="2" t="n"/>
      <c r="X258" s="2" t="n"/>
      <c r="Y258" s="2" t="n"/>
      <c r="Z258" s="2" t="n"/>
      <c r="AA258" s="2" t="n">
        <v>20</v>
      </c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>
        <f>IF(F258=1,V258*2,IF(F258=2,V258*F258*2,IF(F258&gt;2,F258*2*V258)))</f>
        <v/>
      </c>
      <c r="AW258" s="2">
        <f>SUM(W258:AU258)</f>
        <v/>
      </c>
    </row>
    <row r="259">
      <c r="A259" s="2" t="inlineStr">
        <is>
          <t>14-K-351</t>
        </is>
      </c>
      <c r="B259" s="3" t="inlineStr">
        <is>
          <t>OJC-A1-SC/SC-SM-30-PC/APC-SP</t>
        </is>
      </c>
      <c r="C259" s="2" t="inlineStr">
        <is>
          <t>K9089063</t>
        </is>
      </c>
      <c r="D259" s="2" t="inlineStr">
        <is>
          <t>a1</t>
        </is>
      </c>
      <c r="E259" s="2" t="inlineStr">
        <is>
          <t>2.0mm</t>
        </is>
      </c>
      <c r="F259" s="2" t="n">
        <v>1</v>
      </c>
      <c r="G259" s="2" t="n">
        <v>30</v>
      </c>
      <c r="H259" s="2" t="inlineStr">
        <is>
          <t>SC/PC</t>
        </is>
      </c>
      <c r="I259" s="2" t="inlineStr">
        <is>
          <t>SC/APC</t>
        </is>
      </c>
      <c r="J259" s="2" t="n">
        <v>50</v>
      </c>
      <c r="K259" s="2" t="n">
        <v>1</v>
      </c>
      <c r="L259" s="2" t="n"/>
      <c r="M259" s="2" t="n"/>
      <c r="N259" s="2" t="n"/>
      <c r="O259" s="2" t="n"/>
      <c r="P259" s="2" t="n"/>
      <c r="Q259" s="2" t="n">
        <v>4</v>
      </c>
      <c r="R259" s="2" t="n"/>
      <c r="S259" s="2" t="n"/>
      <c r="T259" s="2" t="n"/>
      <c r="U259" s="2" t="n"/>
      <c r="V259" s="2">
        <f>SUM(J259:U259)</f>
        <v/>
      </c>
      <c r="W259" s="2" t="n"/>
      <c r="X259" s="2" t="n"/>
      <c r="Y259" s="2" t="n"/>
      <c r="Z259" s="2" t="n"/>
      <c r="AA259" s="2" t="n">
        <v>55</v>
      </c>
      <c r="AB259" s="2" t="n"/>
      <c r="AC259" s="2" t="n">
        <v>55</v>
      </c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>
        <f>IF(F259=1,V259*2,IF(F259=2,V259*F259*2,IF(F259&gt;2,F259*2*V259)))</f>
        <v/>
      </c>
      <c r="AW259" s="2">
        <f>SUM(W259:AU259)</f>
        <v/>
      </c>
    </row>
    <row r="260">
      <c r="A260" s="2" t="inlineStr">
        <is>
          <t>14-K-352</t>
        </is>
      </c>
      <c r="B260" s="3" t="inlineStr">
        <is>
          <t>OJC-A1-SC/SC-SM-30-PC/PC-DP</t>
        </is>
      </c>
      <c r="C260" s="2" t="inlineStr">
        <is>
          <t>K9089152</t>
        </is>
      </c>
      <c r="D260" s="2" t="inlineStr">
        <is>
          <t>a1</t>
        </is>
      </c>
      <c r="E260" s="2" t="inlineStr">
        <is>
          <t>2.0mm</t>
        </is>
      </c>
      <c r="F260" s="2" t="n">
        <v>2</v>
      </c>
      <c r="G260" s="2" t="n">
        <v>30</v>
      </c>
      <c r="H260" s="2" t="inlineStr">
        <is>
          <t>SC/PC</t>
        </is>
      </c>
      <c r="I260" s="2" t="inlineStr">
        <is>
          <t>SC/PC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>
        <v>440</v>
      </c>
      <c r="R260" s="2" t="n">
        <v>19</v>
      </c>
      <c r="S260" s="2" t="n">
        <v>150</v>
      </c>
      <c r="T260" s="2" t="n"/>
      <c r="U260" s="2" t="n"/>
      <c r="V260" s="2">
        <f>SUM(J260:U260)</f>
        <v/>
      </c>
      <c r="W260" s="2" t="n"/>
      <c r="X260" s="2" t="n"/>
      <c r="Y260" s="2" t="n"/>
      <c r="Z260" s="2" t="n"/>
      <c r="AA260" s="2" t="n">
        <v>1218</v>
      </c>
      <c r="AB260" s="2" t="n">
        <v>1218</v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>
        <f>IF(F260=1,V260*2,IF(F260=2,V260*F260*2,IF(F260&gt;2,F260*2*V260)))</f>
        <v/>
      </c>
      <c r="AW260" s="2">
        <f>SUM(W260:AU260)</f>
        <v/>
      </c>
    </row>
    <row r="261">
      <c r="A261" s="2" t="inlineStr">
        <is>
          <t>14-K-353</t>
        </is>
      </c>
      <c r="B261" s="3" t="inlineStr">
        <is>
          <t>OJC-A1-SC/SC-SM-30-PC/PC-SP</t>
        </is>
      </c>
      <c r="C261" s="2" t="inlineStr">
        <is>
          <t>K9089023</t>
        </is>
      </c>
      <c r="D261" s="2" t="inlineStr">
        <is>
          <t>a1</t>
        </is>
      </c>
      <c r="E261" s="2" t="inlineStr">
        <is>
          <t>2.0mm</t>
        </is>
      </c>
      <c r="F261" s="2" t="n">
        <v>1</v>
      </c>
      <c r="G261" s="2" t="n">
        <v>30</v>
      </c>
      <c r="H261" s="2" t="inlineStr">
        <is>
          <t>SC/PC</t>
        </is>
      </c>
      <c r="I261" s="2" t="inlineStr">
        <is>
          <t>SC/PC</t>
        </is>
      </c>
      <c r="J261" s="2" t="n"/>
      <c r="K261" s="2" t="n"/>
      <c r="L261" s="2" t="n"/>
      <c r="M261" s="2" t="n">
        <v>191</v>
      </c>
      <c r="N261" s="2" t="n">
        <v>180</v>
      </c>
      <c r="O261" s="2" t="n">
        <v>100</v>
      </c>
      <c r="P261" s="2" t="n"/>
      <c r="Q261" s="2" t="n"/>
      <c r="R261" s="2" t="n"/>
      <c r="S261" s="2" t="n"/>
      <c r="T261" s="2" t="n"/>
      <c r="U261" s="2" t="n"/>
      <c r="V261" s="2">
        <f>SUM(J261:U261)</f>
        <v/>
      </c>
      <c r="W261" s="2" t="n"/>
      <c r="X261" s="2" t="n"/>
      <c r="Y261" s="2" t="n"/>
      <c r="Z261" s="2" t="n"/>
      <c r="AA261" s="2" t="n">
        <v>942</v>
      </c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>
        <f>IF(F261=1,V261*2,IF(F261=2,V261*F261*2,IF(F261&gt;2,F261*2*V261)))</f>
        <v/>
      </c>
      <c r="AW261" s="2">
        <f>SUM(W261:AU261)</f>
        <v/>
      </c>
    </row>
    <row r="262">
      <c r="A262" s="2" t="inlineStr">
        <is>
          <t>14-K-354</t>
        </is>
      </c>
      <c r="B262" s="3" t="inlineStr">
        <is>
          <t>OJC-A1-SC/SC-SM-35-PC/PC-DP</t>
        </is>
      </c>
      <c r="C262" s="2" t="inlineStr">
        <is>
          <t>K9089153</t>
        </is>
      </c>
      <c r="D262" s="2" t="inlineStr">
        <is>
          <t>a1</t>
        </is>
      </c>
      <c r="E262" s="2" t="inlineStr">
        <is>
          <t>2.0mm</t>
        </is>
      </c>
      <c r="F262" s="2" t="n">
        <v>2</v>
      </c>
      <c r="G262" s="2" t="n">
        <v>35</v>
      </c>
      <c r="H262" s="2" t="inlineStr">
        <is>
          <t>SC/PC</t>
        </is>
      </c>
      <c r="I262" s="2" t="inlineStr">
        <is>
          <t>SC/PC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>
        <v>9</v>
      </c>
      <c r="R262" s="2" t="n"/>
      <c r="S262" s="2" t="n">
        <v>50</v>
      </c>
      <c r="T262" s="2" t="n"/>
      <c r="U262" s="2" t="n"/>
      <c r="V262" s="2">
        <f>SUM(J262:U262)</f>
        <v/>
      </c>
      <c r="W262" s="2" t="n"/>
      <c r="X262" s="2" t="n"/>
      <c r="Y262" s="2" t="n"/>
      <c r="Z262" s="2" t="n"/>
      <c r="AA262" s="2" t="n">
        <v>118</v>
      </c>
      <c r="AB262" s="2" t="n">
        <v>118</v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>
        <f>IF(F262=1,V262*2,IF(F262=2,V262*F262*2,IF(F262&gt;2,F262*2*V262)))</f>
        <v/>
      </c>
      <c r="AW262" s="2">
        <f>SUM(W262:AU262)</f>
        <v/>
      </c>
    </row>
    <row r="263">
      <c r="A263" s="2" t="inlineStr">
        <is>
          <t>14-K-355</t>
        </is>
      </c>
      <c r="B263" s="3" t="inlineStr">
        <is>
          <t>OJC-A1-SC/SC-SM-35-PC/PC-SP</t>
        </is>
      </c>
      <c r="C263" s="2" t="inlineStr">
        <is>
          <t>K9089024</t>
        </is>
      </c>
      <c r="D263" s="2" t="inlineStr">
        <is>
          <t>a1</t>
        </is>
      </c>
      <c r="E263" s="2" t="inlineStr">
        <is>
          <t>2.0mm</t>
        </is>
      </c>
      <c r="F263" s="2" t="n">
        <v>1</v>
      </c>
      <c r="G263" s="2" t="n">
        <v>35</v>
      </c>
      <c r="H263" s="2" t="inlineStr">
        <is>
          <t>SC/PC</t>
        </is>
      </c>
      <c r="I263" s="2" t="inlineStr">
        <is>
          <t>SC/PC</t>
        </is>
      </c>
      <c r="J263" s="2" t="n"/>
      <c r="K263" s="2" t="n"/>
      <c r="L263" s="2" t="n"/>
      <c r="M263" s="2" t="n">
        <v>160</v>
      </c>
      <c r="N263" s="2" t="n"/>
      <c r="O263" s="2" t="n">
        <v>1</v>
      </c>
      <c r="P263" s="2" t="n"/>
      <c r="Q263" s="2" t="n">
        <v>4</v>
      </c>
      <c r="R263" s="2" t="n"/>
      <c r="S263" s="2" t="n"/>
      <c r="T263" s="2" t="n"/>
      <c r="U263" s="2" t="n"/>
      <c r="V263" s="2">
        <f>SUM(J263:U263)</f>
        <v/>
      </c>
      <c r="W263" s="2" t="n"/>
      <c r="X263" s="2" t="n"/>
      <c r="Y263" s="2" t="n"/>
      <c r="Z263" s="2" t="n"/>
      <c r="AA263" s="2" t="n">
        <v>330</v>
      </c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>
        <f>IF(F263=1,V263*2,IF(F263=2,V263*F263*2,IF(F263&gt;2,F263*2*V263)))</f>
        <v/>
      </c>
      <c r="AW263" s="2">
        <f>SUM(W263:AU263)</f>
        <v/>
      </c>
    </row>
    <row r="264">
      <c r="A264" s="2" t="inlineStr">
        <is>
          <t>14-K-356</t>
        </is>
      </c>
      <c r="B264" s="3" t="inlineStr">
        <is>
          <t>OJC-A1-SC/SC-SM-3-APC/APC-DP</t>
        </is>
      </c>
      <c r="C264" s="2" t="inlineStr"/>
      <c r="D264" s="2" t="inlineStr">
        <is>
          <t>a1</t>
        </is>
      </c>
      <c r="E264" s="2" t="inlineStr">
        <is>
          <t>2.0mm</t>
        </is>
      </c>
      <c r="F264" s="2" t="n">
        <v>2</v>
      </c>
      <c r="G264" s="2" t="n">
        <v>3</v>
      </c>
      <c r="H264" s="2" t="inlineStr">
        <is>
          <t>SC/APC</t>
        </is>
      </c>
      <c r="I264" s="2" t="inlineStr">
        <is>
          <t>SC/APC</t>
        </is>
      </c>
      <c r="J264" s="2" t="n"/>
      <c r="K264" s="2" t="n"/>
      <c r="L264" s="2" t="n">
        <v>91</v>
      </c>
      <c r="M264" s="2" t="n"/>
      <c r="N264" s="2" t="n"/>
      <c r="O264" s="2" t="n"/>
      <c r="P264" s="2" t="n"/>
      <c r="Q264" s="2" t="n">
        <v>50</v>
      </c>
      <c r="R264" s="2" t="n"/>
      <c r="S264" s="2" t="n"/>
      <c r="T264" s="2" t="n"/>
      <c r="U264" s="2" t="n"/>
      <c r="V264" s="2">
        <f>SUM(J264:U264)</f>
        <v/>
      </c>
      <c r="W264" s="2" t="n"/>
      <c r="X264" s="2" t="n"/>
      <c r="Y264" s="2" t="n"/>
      <c r="Z264" s="2" t="n"/>
      <c r="AA264" s="2" t="n"/>
      <c r="AB264" s="2" t="n"/>
      <c r="AC264" s="2" t="n">
        <v>282</v>
      </c>
      <c r="AD264" s="2" t="n">
        <v>282</v>
      </c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>
        <f>IF(F264=1,V264*2,IF(F264=2,V264*F264*2,IF(F264&gt;2,F264*2*V264)))</f>
        <v/>
      </c>
      <c r="AW264" s="2">
        <f>SUM(W264:AU264)</f>
        <v/>
      </c>
    </row>
    <row r="265">
      <c r="A265" s="2" t="inlineStr">
        <is>
          <t>14-K-357</t>
        </is>
      </c>
      <c r="B265" s="3" t="inlineStr">
        <is>
          <t>OJC-A1-SC/SC-SM-3-APC/APC-SP</t>
        </is>
      </c>
      <c r="C265" s="2" t="inlineStr">
        <is>
          <t>K9089111</t>
        </is>
      </c>
      <c r="D265" s="2" t="inlineStr">
        <is>
          <t>a1</t>
        </is>
      </c>
      <c r="E265" s="2" t="inlineStr">
        <is>
          <t>2.0mm</t>
        </is>
      </c>
      <c r="F265" s="2" t="n">
        <v>1</v>
      </c>
      <c r="G265" s="2" t="n">
        <v>3</v>
      </c>
      <c r="H265" s="2" t="inlineStr">
        <is>
          <t>SC/APC</t>
        </is>
      </c>
      <c r="I265" s="2" t="inlineStr">
        <is>
          <t>SC/APC</t>
        </is>
      </c>
      <c r="J265" s="2" t="n">
        <v>10</v>
      </c>
      <c r="K265" s="2" t="n"/>
      <c r="L265" s="2" t="n"/>
      <c r="M265" s="2" t="n"/>
      <c r="N265" s="2" t="n">
        <v>100</v>
      </c>
      <c r="O265" s="2" t="n">
        <v>500</v>
      </c>
      <c r="P265" s="2" t="n"/>
      <c r="Q265" s="2" t="n"/>
      <c r="R265" s="2" t="n"/>
      <c r="S265" s="2" t="n"/>
      <c r="T265" s="2" t="n">
        <v>40</v>
      </c>
      <c r="U265" s="2" t="n">
        <v>792</v>
      </c>
      <c r="V265" s="2">
        <f>SUM(J265:U265)</f>
        <v/>
      </c>
      <c r="W265" s="2" t="n"/>
      <c r="X265" s="2" t="n"/>
      <c r="Y265" s="2" t="n"/>
      <c r="Z265" s="2" t="n"/>
      <c r="AA265" s="2" t="n"/>
      <c r="AB265" s="2" t="n"/>
      <c r="AC265" s="2" t="n">
        <v>2884</v>
      </c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>
        <f>IF(F265=1,V265*2,IF(F265=2,V265*F265*2,IF(F265&gt;2,F265*2*V265)))</f>
        <v/>
      </c>
      <c r="AW265" s="2">
        <f>SUM(W265:AU265)</f>
        <v/>
      </c>
    </row>
    <row r="266">
      <c r="A266" s="2" t="inlineStr">
        <is>
          <t>14-K-359</t>
        </is>
      </c>
      <c r="B266" s="3" t="inlineStr">
        <is>
          <t>OJC-A1-SC/SC-SM-3-PC/APC-DP</t>
        </is>
      </c>
      <c r="C266" s="2" t="inlineStr">
        <is>
          <t>K9089186</t>
        </is>
      </c>
      <c r="D266" s="2" t="inlineStr">
        <is>
          <t>a1</t>
        </is>
      </c>
      <c r="E266" s="2" t="inlineStr">
        <is>
          <t>2.0mm</t>
        </is>
      </c>
      <c r="F266" s="2" t="n">
        <v>2</v>
      </c>
      <c r="G266" s="2" t="n">
        <v>3</v>
      </c>
      <c r="H266" s="2" t="inlineStr">
        <is>
          <t>SC/PC</t>
        </is>
      </c>
      <c r="I266" s="2" t="inlineStr">
        <is>
          <t>SC/APC</t>
        </is>
      </c>
      <c r="J266" s="2" t="n"/>
      <c r="K266" s="2" t="n"/>
      <c r="L266" s="2" t="n"/>
      <c r="M266" s="2" t="n">
        <v>59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>
        <f>SUM(J266:U266)</f>
        <v/>
      </c>
      <c r="W266" s="2" t="n"/>
      <c r="X266" s="2" t="n"/>
      <c r="Y266" s="2" t="n"/>
      <c r="Z266" s="2" t="n"/>
      <c r="AA266" s="2" t="n">
        <v>118</v>
      </c>
      <c r="AB266" s="2" t="n"/>
      <c r="AC266" s="2" t="n"/>
      <c r="AD266" s="2" t="n">
        <v>118</v>
      </c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>
        <f>IF(F266=1,V266*2,IF(F266=2,V266*F266*2,IF(F266&gt;2,F266*2*V266)))</f>
        <v/>
      </c>
      <c r="AW266" s="2">
        <f>SUM(W266:AU266)</f>
        <v/>
      </c>
    </row>
    <row r="267">
      <c r="A267" s="2" t="inlineStr">
        <is>
          <t>14-K-360</t>
        </is>
      </c>
      <c r="B267" s="3" t="inlineStr">
        <is>
          <t>OJC-A1-SC/SC-SM-3-PC/APC-SP</t>
        </is>
      </c>
      <c r="C267" s="2" t="inlineStr">
        <is>
          <t>K9089057</t>
        </is>
      </c>
      <c r="D267" s="2" t="inlineStr">
        <is>
          <t>a1</t>
        </is>
      </c>
      <c r="E267" s="2" t="inlineStr">
        <is>
          <t>2.0mm</t>
        </is>
      </c>
      <c r="F267" s="2" t="n">
        <v>1</v>
      </c>
      <c r="G267" s="2" t="n">
        <v>3</v>
      </c>
      <c r="H267" s="2" t="inlineStr">
        <is>
          <t>SC/PC</t>
        </is>
      </c>
      <c r="I267" s="2" t="inlineStr">
        <is>
          <t>SC/APC</t>
        </is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>
        <v>150</v>
      </c>
      <c r="V267" s="2">
        <f>SUM(J267:U267)</f>
        <v/>
      </c>
      <c r="W267" s="2" t="n"/>
      <c r="X267" s="2" t="n"/>
      <c r="Y267" s="2" t="n"/>
      <c r="Z267" s="2" t="n"/>
      <c r="AA267" s="2" t="n">
        <v>150</v>
      </c>
      <c r="AB267" s="2" t="n"/>
      <c r="AC267" s="2" t="n">
        <v>150</v>
      </c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>
        <f>IF(F267=1,V267*2,IF(F267=2,V267*F267*2,IF(F267&gt;2,F267*2*V267)))</f>
        <v/>
      </c>
      <c r="AW267" s="2">
        <f>SUM(W267:AU267)</f>
        <v/>
      </c>
    </row>
    <row r="268">
      <c r="A268" s="2" t="inlineStr">
        <is>
          <t>14-K-361</t>
        </is>
      </c>
      <c r="B268" s="3" t="inlineStr">
        <is>
          <t>OJC-A1-SC/SC-SM-3-PC/PC-DP</t>
        </is>
      </c>
      <c r="C268" s="2" t="inlineStr">
        <is>
          <t>K9089125</t>
        </is>
      </c>
      <c r="D268" s="2" t="inlineStr">
        <is>
          <t>a1</t>
        </is>
      </c>
      <c r="E268" s="2" t="inlineStr">
        <is>
          <t>2.0mm</t>
        </is>
      </c>
      <c r="F268" s="2" t="n">
        <v>2</v>
      </c>
      <c r="G268" s="2" t="n">
        <v>3</v>
      </c>
      <c r="H268" s="2" t="inlineStr">
        <is>
          <t>SC/PC</t>
        </is>
      </c>
      <c r="I268" s="2" t="inlineStr">
        <is>
          <t>SC/PC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>
        <v>63</v>
      </c>
      <c r="R268" s="2" t="n"/>
      <c r="S268" s="2" t="n"/>
      <c r="T268" s="2" t="n"/>
      <c r="U268" s="2" t="n"/>
      <c r="V268" s="2">
        <f>SUM(J268:U268)</f>
        <v/>
      </c>
      <c r="W268" s="2" t="n"/>
      <c r="X268" s="2" t="n"/>
      <c r="Y268" s="2" t="n"/>
      <c r="Z268" s="2" t="n"/>
      <c r="AA268" s="2" t="n">
        <v>126</v>
      </c>
      <c r="AB268" s="2" t="n">
        <v>126</v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>
        <f>IF(F268=1,V268*2,IF(F268=2,V268*F268*2,IF(F268&gt;2,F268*2*V268)))</f>
        <v/>
      </c>
      <c r="AW268" s="2">
        <f>SUM(W268:AU268)</f>
        <v/>
      </c>
    </row>
    <row r="269">
      <c r="A269" s="2" t="inlineStr">
        <is>
          <t>14-K-362</t>
        </is>
      </c>
      <c r="B269" s="3" t="inlineStr">
        <is>
          <t>OJC-A1-SC/SC-SM-3-PC/PC-SP</t>
        </is>
      </c>
      <c r="C269" s="2" t="inlineStr">
        <is>
          <t>K9088996</t>
        </is>
      </c>
      <c r="D269" s="2" t="inlineStr">
        <is>
          <t>a1</t>
        </is>
      </c>
      <c r="E269" s="2" t="inlineStr">
        <is>
          <t>2.0mm</t>
        </is>
      </c>
      <c r="F269" s="2" t="n">
        <v>1</v>
      </c>
      <c r="G269" s="2" t="n">
        <v>3</v>
      </c>
      <c r="H269" s="2" t="inlineStr">
        <is>
          <t>SC/PC</t>
        </is>
      </c>
      <c r="I269" s="2" t="inlineStr">
        <is>
          <t>SC/PC</t>
        </is>
      </c>
      <c r="J269" s="2" t="n"/>
      <c r="K269" s="2" t="n">
        <v>2000</v>
      </c>
      <c r="L269" s="2" t="n"/>
      <c r="M269" s="2" t="n"/>
      <c r="N269" s="2" t="n"/>
      <c r="O269" s="2" t="n">
        <v>300</v>
      </c>
      <c r="P269" s="2" t="n"/>
      <c r="Q269" s="2" t="n"/>
      <c r="R269" s="2" t="n"/>
      <c r="S269" s="2" t="n"/>
      <c r="T269" s="2" t="n"/>
      <c r="U269" s="2" t="n">
        <v>600</v>
      </c>
      <c r="V269" s="2">
        <f>SUM(J269:U269)</f>
        <v/>
      </c>
      <c r="W269" s="2" t="n"/>
      <c r="X269" s="2" t="n"/>
      <c r="Y269" s="2" t="n"/>
      <c r="Z269" s="2" t="n"/>
      <c r="AA269" s="2" t="n">
        <v>5800</v>
      </c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>
        <f>IF(F269=1,V269*2,IF(F269=2,V269*F269*2,IF(F269&gt;2,F269*2*V269)))</f>
        <v/>
      </c>
      <c r="AW269" s="2">
        <f>SUM(W269:AU269)</f>
        <v/>
      </c>
    </row>
    <row r="270">
      <c r="A270" s="2" t="inlineStr">
        <is>
          <t>14-K-364</t>
        </is>
      </c>
      <c r="B270" s="3" t="inlineStr">
        <is>
          <t>OJC-A1-SC/SC-SM-40-PC/PC-DP</t>
        </is>
      </c>
      <c r="C270" s="2" t="inlineStr">
        <is>
          <t>K9089154</t>
        </is>
      </c>
      <c r="D270" s="2" t="inlineStr">
        <is>
          <t>a1</t>
        </is>
      </c>
      <c r="E270" s="2" t="inlineStr">
        <is>
          <t>2.0mm</t>
        </is>
      </c>
      <c r="F270" s="2" t="n">
        <v>2</v>
      </c>
      <c r="G270" s="2" t="n">
        <v>40</v>
      </c>
      <c r="H270" s="2" t="inlineStr">
        <is>
          <t>SC/PC</t>
        </is>
      </c>
      <c r="I270" s="2" t="inlineStr">
        <is>
          <t>SC/PC</t>
        </is>
      </c>
      <c r="J270" s="2" t="n"/>
      <c r="K270" s="2" t="n"/>
      <c r="L270" s="2" t="n"/>
      <c r="M270" s="2" t="n"/>
      <c r="N270" s="2" t="n"/>
      <c r="O270" s="2" t="n"/>
      <c r="P270" s="2" t="n"/>
      <c r="Q270" s="2" t="n">
        <v>181</v>
      </c>
      <c r="R270" s="2" t="n"/>
      <c r="S270" s="2" t="n">
        <v>59</v>
      </c>
      <c r="T270" s="2" t="n"/>
      <c r="U270" s="2" t="n">
        <v>10</v>
      </c>
      <c r="V270" s="2">
        <f>SUM(J270:U270)</f>
        <v/>
      </c>
      <c r="W270" s="2" t="n"/>
      <c r="X270" s="2" t="n"/>
      <c r="Y270" s="2" t="n"/>
      <c r="Z270" s="2" t="n"/>
      <c r="AA270" s="2" t="n">
        <v>500</v>
      </c>
      <c r="AB270" s="2" t="n">
        <v>500</v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>
        <f>IF(F270=1,V270*2,IF(F270=2,V270*F270*2,IF(F270&gt;2,F270*2*V270)))</f>
        <v/>
      </c>
      <c r="AW270" s="2">
        <f>SUM(W270:AU270)</f>
        <v/>
      </c>
    </row>
    <row r="271">
      <c r="A271" s="2" t="inlineStr">
        <is>
          <t>14-K-365</t>
        </is>
      </c>
      <c r="B271" s="3" t="inlineStr">
        <is>
          <t>OJC-A1-SC/SC-SM-40-PC/PC-SP</t>
        </is>
      </c>
      <c r="C271" s="2" t="inlineStr">
        <is>
          <t>K9089025</t>
        </is>
      </c>
      <c r="D271" s="2" t="inlineStr">
        <is>
          <t>a1</t>
        </is>
      </c>
      <c r="E271" s="2" t="inlineStr">
        <is>
          <t>2.0mm</t>
        </is>
      </c>
      <c r="F271" s="2" t="n">
        <v>1</v>
      </c>
      <c r="G271" s="2" t="n">
        <v>40</v>
      </c>
      <c r="H271" s="2" t="inlineStr">
        <is>
          <t>SC/PC</t>
        </is>
      </c>
      <c r="I271" s="2" t="inlineStr">
        <is>
          <t>SC/PC</t>
        </is>
      </c>
      <c r="J271" s="2" t="n"/>
      <c r="K271" s="2" t="n">
        <v>1</v>
      </c>
      <c r="L271" s="2" t="n"/>
      <c r="M271" s="2" t="n"/>
      <c r="N271" s="2" t="n">
        <v>40</v>
      </c>
      <c r="O271" s="2" t="n"/>
      <c r="P271" s="2" t="n"/>
      <c r="Q271" s="2" t="n"/>
      <c r="R271" s="2" t="n"/>
      <c r="S271" s="2" t="n">
        <v>1</v>
      </c>
      <c r="T271" s="2" t="n"/>
      <c r="U271" s="2" t="n">
        <v>10</v>
      </c>
      <c r="V271" s="2">
        <f>SUM(J271:U271)</f>
        <v/>
      </c>
      <c r="W271" s="2" t="n"/>
      <c r="X271" s="2" t="n"/>
      <c r="Y271" s="2" t="n"/>
      <c r="Z271" s="2" t="n"/>
      <c r="AA271" s="2" t="n">
        <v>104</v>
      </c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>
        <f>IF(F271=1,V271*2,IF(F271=2,V271*F271*2,IF(F271&gt;2,F271*2*V271)))</f>
        <v/>
      </c>
      <c r="AW271" s="2">
        <f>SUM(W271:AU271)</f>
        <v/>
      </c>
    </row>
    <row r="272">
      <c r="A272" s="2" t="inlineStr">
        <is>
          <t>14-K-366</t>
        </is>
      </c>
      <c r="B272" s="3" t="inlineStr">
        <is>
          <t>OJC-A1-SC/SC-SM-45-PC/PC-DP</t>
        </is>
      </c>
      <c r="C272" s="2" t="inlineStr">
        <is>
          <t>K9089155</t>
        </is>
      </c>
      <c r="D272" s="2" t="inlineStr">
        <is>
          <t>a1</t>
        </is>
      </c>
      <c r="E272" s="2" t="inlineStr">
        <is>
          <t>2.0mm</t>
        </is>
      </c>
      <c r="F272" s="2" t="n">
        <v>2</v>
      </c>
      <c r="G272" s="2" t="n">
        <v>45</v>
      </c>
      <c r="H272" s="2" t="inlineStr">
        <is>
          <t>SC/PC</t>
        </is>
      </c>
      <c r="I272" s="2" t="inlineStr">
        <is>
          <t>SC/PC</t>
        </is>
      </c>
      <c r="J272" s="2" t="n"/>
      <c r="K272" s="2" t="n"/>
      <c r="L272" s="2" t="n"/>
      <c r="M272" s="2" t="n"/>
      <c r="N272" s="2" t="n"/>
      <c r="O272" s="2" t="n">
        <v>2</v>
      </c>
      <c r="P272" s="2" t="n"/>
      <c r="Q272" s="2" t="n"/>
      <c r="R272" s="2" t="n"/>
      <c r="S272" s="2" t="n"/>
      <c r="T272" s="2" t="n"/>
      <c r="U272" s="2" t="n"/>
      <c r="V272" s="2">
        <f>SUM(J272:U272)</f>
        <v/>
      </c>
      <c r="W272" s="2" t="n"/>
      <c r="X272" s="2" t="n"/>
      <c r="Y272" s="2" t="n"/>
      <c r="Z272" s="2" t="n"/>
      <c r="AA272" s="2" t="n">
        <v>4</v>
      </c>
      <c r="AB272" s="2" t="n">
        <v>4</v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>
        <f>IF(F272=1,V272*2,IF(F272=2,V272*F272*2,IF(F272&gt;2,F272*2*V272)))</f>
        <v/>
      </c>
      <c r="AW272" s="2">
        <f>SUM(W272:AU272)</f>
        <v/>
      </c>
    </row>
    <row r="273">
      <c r="A273" s="2" t="inlineStr">
        <is>
          <t>14-K-367</t>
        </is>
      </c>
      <c r="B273" s="3" t="inlineStr">
        <is>
          <t>OJC-A1-SC/SC-SM-45-PC/PC-SP</t>
        </is>
      </c>
      <c r="C273" s="2" t="inlineStr">
        <is>
          <t>K9089026</t>
        </is>
      </c>
      <c r="D273" s="2" t="inlineStr">
        <is>
          <t>a1</t>
        </is>
      </c>
      <c r="E273" s="2" t="inlineStr">
        <is>
          <t>2.0mm</t>
        </is>
      </c>
      <c r="F273" s="2" t="n">
        <v>1</v>
      </c>
      <c r="G273" s="2" t="n">
        <v>45</v>
      </c>
      <c r="H273" s="2" t="inlineStr">
        <is>
          <t>SC/PC</t>
        </is>
      </c>
      <c r="I273" s="2" t="inlineStr">
        <is>
          <t>SC/PC</t>
        </is>
      </c>
      <c r="J273" s="2" t="n"/>
      <c r="K273" s="2" t="n"/>
      <c r="L273" s="2" t="n"/>
      <c r="M273" s="2" t="n"/>
      <c r="N273" s="2" t="n"/>
      <c r="O273" s="2" t="n"/>
      <c r="P273" s="2" t="n"/>
      <c r="Q273" s="2" t="n">
        <v>10</v>
      </c>
      <c r="R273" s="2" t="n"/>
      <c r="S273" s="2" t="n"/>
      <c r="T273" s="2" t="n"/>
      <c r="U273" s="2" t="n"/>
      <c r="V273" s="2">
        <f>SUM(J273:U273)</f>
        <v/>
      </c>
      <c r="W273" s="2" t="n"/>
      <c r="X273" s="2" t="n"/>
      <c r="Y273" s="2" t="n"/>
      <c r="Z273" s="2" t="n"/>
      <c r="AA273" s="2" t="n">
        <v>20</v>
      </c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>
        <f>IF(F273=1,V273*2,IF(F273=2,V273*F273*2,IF(F273&gt;2,F273*2*V273)))</f>
        <v/>
      </c>
      <c r="AW273" s="2">
        <f>SUM(W273:AU273)</f>
        <v/>
      </c>
    </row>
    <row r="274">
      <c r="A274" s="2" t="inlineStr">
        <is>
          <t>14-K-368</t>
        </is>
      </c>
      <c r="B274" s="3" t="inlineStr">
        <is>
          <t>OJC-A1-SC/SC-SM-4-PC/PC-DP</t>
        </is>
      </c>
      <c r="C274" s="2" t="inlineStr">
        <is>
          <t>K9089126</t>
        </is>
      </c>
      <c r="D274" s="2" t="inlineStr">
        <is>
          <t>a1</t>
        </is>
      </c>
      <c r="E274" s="2" t="inlineStr">
        <is>
          <t>2.0mm</t>
        </is>
      </c>
      <c r="F274" s="2" t="n">
        <v>2</v>
      </c>
      <c r="G274" s="2" t="n">
        <v>4</v>
      </c>
      <c r="H274" s="2" t="inlineStr">
        <is>
          <t>SC/PC</t>
        </is>
      </c>
      <c r="I274" s="2" t="inlineStr">
        <is>
          <t>SC/PC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>
        <v>50</v>
      </c>
      <c r="V274" s="2">
        <f>SUM(J274:U274)</f>
        <v/>
      </c>
      <c r="W274" s="2" t="n"/>
      <c r="X274" s="2" t="n"/>
      <c r="Y274" s="2" t="n"/>
      <c r="Z274" s="2" t="n"/>
      <c r="AA274" s="2" t="n">
        <v>100</v>
      </c>
      <c r="AB274" s="2" t="n">
        <v>100</v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>
        <f>IF(F274=1,V274*2,IF(F274=2,V274*F274*2,IF(F274&gt;2,F274*2*V274)))</f>
        <v/>
      </c>
      <c r="AW274" s="2">
        <f>SUM(W274:AU274)</f>
        <v/>
      </c>
    </row>
    <row r="275">
      <c r="A275" s="2" t="inlineStr">
        <is>
          <t>14-K-371</t>
        </is>
      </c>
      <c r="B275" s="3" t="inlineStr">
        <is>
          <t>OJC-A1-SC/SC-SM-50-PC/PC-DP</t>
        </is>
      </c>
      <c r="C275" s="2" t="inlineStr">
        <is>
          <t>K9089156</t>
        </is>
      </c>
      <c r="D275" s="2" t="inlineStr">
        <is>
          <t>a1</t>
        </is>
      </c>
      <c r="E275" s="2" t="inlineStr">
        <is>
          <t>2.0mm</t>
        </is>
      </c>
      <c r="F275" s="2" t="n">
        <v>2</v>
      </c>
      <c r="G275" s="2" t="n">
        <v>50</v>
      </c>
      <c r="H275" s="2" t="inlineStr">
        <is>
          <t>SC/PC</t>
        </is>
      </c>
      <c r="I275" s="2" t="inlineStr">
        <is>
          <t>SC/PC</t>
        </is>
      </c>
      <c r="J275" s="2" t="n"/>
      <c r="K275" s="2" t="n"/>
      <c r="L275" s="2" t="n">
        <v>3</v>
      </c>
      <c r="M275" s="2" t="n"/>
      <c r="N275" s="2" t="n"/>
      <c r="O275" s="2" t="n"/>
      <c r="P275" s="2" t="n"/>
      <c r="Q275" s="2" t="n"/>
      <c r="R275" s="2" t="n">
        <v>9</v>
      </c>
      <c r="S275" s="2" t="n"/>
      <c r="T275" s="2" t="n"/>
      <c r="U275" s="2" t="n">
        <v>45</v>
      </c>
      <c r="V275" s="2">
        <f>SUM(J275:U275)</f>
        <v/>
      </c>
      <c r="W275" s="2" t="n"/>
      <c r="X275" s="2" t="n"/>
      <c r="Y275" s="2" t="n"/>
      <c r="Z275" s="2" t="n"/>
      <c r="AA275" s="2" t="n">
        <v>114</v>
      </c>
      <c r="AB275" s="2" t="n">
        <v>114</v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>
        <f>IF(F275=1,V275*2,IF(F275=2,V275*F275*2,IF(F275&gt;2,F275*2*V275)))</f>
        <v/>
      </c>
      <c r="AW275" s="2">
        <f>SUM(W275:AU275)</f>
        <v/>
      </c>
    </row>
    <row r="276">
      <c r="A276" s="2" t="inlineStr">
        <is>
          <t>14-K-375</t>
        </is>
      </c>
      <c r="B276" s="3" t="inlineStr">
        <is>
          <t>OJC-A1-SC/SC-SM-5-APC/APC-SP</t>
        </is>
      </c>
      <c r="C276" s="2" t="inlineStr"/>
      <c r="D276" s="2" t="inlineStr">
        <is>
          <t>a1</t>
        </is>
      </c>
      <c r="E276" s="2" t="inlineStr">
        <is>
          <t>2.0mm</t>
        </is>
      </c>
      <c r="F276" s="2" t="n">
        <v>1</v>
      </c>
      <c r="G276" s="2" t="n">
        <v>5</v>
      </c>
      <c r="H276" s="2" t="inlineStr">
        <is>
          <t>SC/APC</t>
        </is>
      </c>
      <c r="I276" s="2" t="inlineStr">
        <is>
          <t>SC/APC</t>
        </is>
      </c>
      <c r="J276" s="2" t="n"/>
      <c r="K276" s="2" t="n"/>
      <c r="L276" s="2" t="n">
        <v>2</v>
      </c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>
        <f>SUM(J276:U276)</f>
        <v/>
      </c>
      <c r="W276" s="2" t="n"/>
      <c r="X276" s="2" t="n"/>
      <c r="Y276" s="2" t="n"/>
      <c r="Z276" s="2" t="n"/>
      <c r="AA276" s="2" t="n"/>
      <c r="AB276" s="2" t="n"/>
      <c r="AC276" s="2" t="n">
        <v>4</v>
      </c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>
        <f>IF(F276=1,V276*2,IF(F276=2,V276*F276*2,IF(F276&gt;2,F276*2*V276)))</f>
        <v/>
      </c>
      <c r="AW276" s="2">
        <f>SUM(W276:AU276)</f>
        <v/>
      </c>
    </row>
    <row r="277">
      <c r="A277" s="2" t="inlineStr">
        <is>
          <t>14-K-376</t>
        </is>
      </c>
      <c r="B277" s="3" t="inlineStr">
        <is>
          <t>OJC-A1-SC/SC-SM-5-PC/APC-DP</t>
        </is>
      </c>
      <c r="C277" s="2" t="inlineStr">
        <is>
          <t>K9089187</t>
        </is>
      </c>
      <c r="D277" s="2" t="inlineStr">
        <is>
          <t>a1</t>
        </is>
      </c>
      <c r="E277" s="2" t="inlineStr">
        <is>
          <t>2.0mm</t>
        </is>
      </c>
      <c r="F277" s="2" t="n">
        <v>2</v>
      </c>
      <c r="G277" s="2" t="n">
        <v>5</v>
      </c>
      <c r="H277" s="2" t="inlineStr">
        <is>
          <t>SC/PC</t>
        </is>
      </c>
      <c r="I277" s="2" t="inlineStr">
        <is>
          <t>SC/APC</t>
        </is>
      </c>
      <c r="J277" s="2" t="n"/>
      <c r="K277" s="2" t="n"/>
      <c r="L277" s="2" t="n"/>
      <c r="M277" s="2" t="n"/>
      <c r="N277" s="2" t="n"/>
      <c r="O277" s="2" t="n"/>
      <c r="P277" s="2" t="n">
        <v>8</v>
      </c>
      <c r="Q277" s="2" t="n"/>
      <c r="R277" s="2" t="n"/>
      <c r="S277" s="2" t="n"/>
      <c r="T277" s="2" t="n"/>
      <c r="U277" s="2" t="n"/>
      <c r="V277" s="2">
        <f>SUM(J277:U277)</f>
        <v/>
      </c>
      <c r="W277" s="2" t="n"/>
      <c r="X277" s="2" t="n"/>
      <c r="Y277" s="2" t="n"/>
      <c r="Z277" s="2" t="n"/>
      <c r="AA277" s="2" t="n">
        <v>16</v>
      </c>
      <c r="AB277" s="2" t="n"/>
      <c r="AC277" s="2" t="n"/>
      <c r="AD277" s="2" t="n">
        <v>16</v>
      </c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>
        <f>IF(F277=1,V277*2,IF(F277=2,V277*F277*2,IF(F277&gt;2,F277*2*V277)))</f>
        <v/>
      </c>
      <c r="AW277" s="2">
        <f>SUM(W277:AU277)</f>
        <v/>
      </c>
    </row>
    <row r="278">
      <c r="A278" s="2" t="inlineStr">
        <is>
          <t>14-K-377</t>
        </is>
      </c>
      <c r="B278" s="3" t="inlineStr">
        <is>
          <t>OJC-A1-SC/SC-SM-5-PC/APC-SP</t>
        </is>
      </c>
      <c r="C278" s="2" t="inlineStr">
        <is>
          <t>K9089058</t>
        </is>
      </c>
      <c r="D278" s="2" t="inlineStr">
        <is>
          <t>a1</t>
        </is>
      </c>
      <c r="E278" s="2" t="inlineStr">
        <is>
          <t>2.0mm</t>
        </is>
      </c>
      <c r="F278" s="2" t="n">
        <v>1</v>
      </c>
      <c r="G278" s="2" t="n">
        <v>5</v>
      </c>
      <c r="H278" s="2" t="inlineStr">
        <is>
          <t>SC/PC</t>
        </is>
      </c>
      <c r="I278" s="2" t="inlineStr">
        <is>
          <t>SC/APC</t>
        </is>
      </c>
      <c r="J278" s="2" t="n"/>
      <c r="K278" s="2" t="n">
        <v>14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>
        <f>SUM(J278:U278)</f>
        <v/>
      </c>
      <c r="W278" s="2" t="n"/>
      <c r="X278" s="2" t="n"/>
      <c r="Y278" s="2" t="n"/>
      <c r="Z278" s="2" t="n"/>
      <c r="AA278" s="2" t="n">
        <v>14</v>
      </c>
      <c r="AB278" s="2" t="n"/>
      <c r="AC278" s="2" t="n">
        <v>14</v>
      </c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>
        <f>IF(F278=1,V278*2,IF(F278=2,V278*F278*2,IF(F278&gt;2,F278*2*V278)))</f>
        <v/>
      </c>
      <c r="AW278" s="2">
        <f>SUM(W278:AU278)</f>
        <v/>
      </c>
    </row>
    <row r="279">
      <c r="A279" s="2" t="inlineStr">
        <is>
          <t>14-K-380</t>
        </is>
      </c>
      <c r="B279" s="3" t="inlineStr">
        <is>
          <t>OJC-A1-SC/SC-SM-60-PC/PC-DP</t>
        </is>
      </c>
      <c r="C279" s="2" t="inlineStr">
        <is>
          <t>K9089123</t>
        </is>
      </c>
      <c r="D279" s="2" t="inlineStr">
        <is>
          <t>a1</t>
        </is>
      </c>
      <c r="E279" s="2" t="inlineStr">
        <is>
          <t>2.0mm</t>
        </is>
      </c>
      <c r="F279" s="2" t="n">
        <v>2</v>
      </c>
      <c r="G279" s="2" t="n">
        <v>60</v>
      </c>
      <c r="H279" s="2" t="inlineStr">
        <is>
          <t>SC/PC</t>
        </is>
      </c>
      <c r="I279" s="2" t="inlineStr">
        <is>
          <t>SC/PC</t>
        </is>
      </c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>
        <v>6</v>
      </c>
      <c r="S279" s="2" t="n">
        <v>2</v>
      </c>
      <c r="T279" s="2" t="n"/>
      <c r="U279" s="2" t="n"/>
      <c r="V279" s="2">
        <f>SUM(J279:U279)</f>
        <v/>
      </c>
      <c r="W279" s="2" t="n"/>
      <c r="X279" s="2" t="n"/>
      <c r="Y279" s="2" t="n"/>
      <c r="Z279" s="2" t="n"/>
      <c r="AA279" s="2" t="n">
        <v>16</v>
      </c>
      <c r="AB279" s="2" t="n">
        <v>16</v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>
        <f>IF(F279=1,V279*2,IF(F279=2,V279*F279*2,IF(F279&gt;2,F279*2*V279)))</f>
        <v/>
      </c>
      <c r="AW279" s="2">
        <f>SUM(W279:AU279)</f>
        <v/>
      </c>
    </row>
    <row r="280">
      <c r="A280" s="2" t="inlineStr">
        <is>
          <t>14-K-390</t>
        </is>
      </c>
      <c r="B280" s="3" t="inlineStr">
        <is>
          <t>OJC-A1-SC/SC-SM-8-APC/APC-SP</t>
        </is>
      </c>
      <c r="C280" s="2" t="inlineStr"/>
      <c r="D280" s="2" t="inlineStr">
        <is>
          <t>a1</t>
        </is>
      </c>
      <c r="E280" s="2" t="inlineStr">
        <is>
          <t>2.0mm</t>
        </is>
      </c>
      <c r="F280" s="2" t="n">
        <v>1</v>
      </c>
      <c r="G280" s="2" t="n">
        <v>8</v>
      </c>
      <c r="H280" s="2" t="inlineStr">
        <is>
          <t>SC/APC</t>
        </is>
      </c>
      <c r="I280" s="2" t="inlineStr">
        <is>
          <t>SC/APC</t>
        </is>
      </c>
      <c r="J280" s="2" t="n"/>
      <c r="K280" s="2" t="n">
        <v>40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>
        <f>SUM(J280:U280)</f>
        <v/>
      </c>
      <c r="W280" s="2" t="n"/>
      <c r="X280" s="2" t="n"/>
      <c r="Y280" s="2" t="n"/>
      <c r="Z280" s="2" t="n"/>
      <c r="AA280" s="2" t="n"/>
      <c r="AB280" s="2" t="n"/>
      <c r="AC280" s="2" t="n">
        <v>80</v>
      </c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>
        <f>IF(F280=1,V280*2,IF(F280=2,V280*F280*2,IF(F280&gt;2,F280*2*V280)))</f>
        <v/>
      </c>
      <c r="AW280" s="2">
        <f>SUM(W280:AU280)</f>
        <v/>
      </c>
    </row>
    <row r="281">
      <c r="A281" s="2" t="inlineStr">
        <is>
          <t>14-K-393</t>
        </is>
      </c>
      <c r="B281" s="3" t="inlineStr">
        <is>
          <t>OJC-A1-SC/SC-SM-8-PC/PC-SP</t>
        </is>
      </c>
      <c r="C281" s="2" t="inlineStr">
        <is>
          <t>K9089001</t>
        </is>
      </c>
      <c r="D281" s="2" t="inlineStr">
        <is>
          <t>a1</t>
        </is>
      </c>
      <c r="E281" s="2" t="inlineStr">
        <is>
          <t>2.0mm</t>
        </is>
      </c>
      <c r="F281" s="2" t="n">
        <v>1</v>
      </c>
      <c r="G281" s="2" t="n">
        <v>8</v>
      </c>
      <c r="H281" s="2" t="inlineStr">
        <is>
          <t>SC/PC</t>
        </is>
      </c>
      <c r="I281" s="2" t="inlineStr">
        <is>
          <t>SC/PC</t>
        </is>
      </c>
      <c r="J281" s="2" t="n"/>
      <c r="K281" s="2" t="n"/>
      <c r="L281" s="2" t="n"/>
      <c r="M281" s="2" t="n"/>
      <c r="N281" s="2" t="n"/>
      <c r="O281" s="2" t="n"/>
      <c r="P281" s="2" t="n">
        <v>10</v>
      </c>
      <c r="Q281" s="2" t="n"/>
      <c r="R281" s="2" t="n"/>
      <c r="S281" s="2" t="n"/>
      <c r="T281" s="2" t="n"/>
      <c r="U281" s="2" t="n">
        <v>20</v>
      </c>
      <c r="V281" s="2">
        <f>SUM(J281:U281)</f>
        <v/>
      </c>
      <c r="W281" s="2" t="n"/>
      <c r="X281" s="2" t="n"/>
      <c r="Y281" s="2" t="n"/>
      <c r="Z281" s="2" t="n"/>
      <c r="AA281" s="2" t="n">
        <v>60</v>
      </c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>
        <f>IF(F281=1,V281*2,IF(F281=2,V281*F281*2,IF(F281&gt;2,F281*2*V281)))</f>
        <v/>
      </c>
      <c r="AW281" s="2">
        <f>SUM(W281:AU281)</f>
        <v/>
      </c>
    </row>
    <row r="282">
      <c r="A282" s="2" t="inlineStr">
        <is>
          <t>14-K-425</t>
        </is>
      </c>
      <c r="B282" s="3" t="inlineStr">
        <is>
          <t>OJC-C2-SC/LC-SM-10-PC/PC-12C</t>
        </is>
      </c>
      <c r="C282" s="2" t="inlineStr">
        <is>
          <t>K9089468</t>
        </is>
      </c>
      <c r="D282" s="2" t="inlineStr">
        <is>
          <t>a1-12c</t>
        </is>
      </c>
      <c r="E282" s="2" t="inlineStr">
        <is>
          <t>2.0mm</t>
        </is>
      </c>
      <c r="F282" s="2" t="n">
        <v>12</v>
      </c>
      <c r="G282" s="2" t="n">
        <v>10</v>
      </c>
      <c r="H282" s="2" t="inlineStr">
        <is>
          <t>SC/PC</t>
        </is>
      </c>
      <c r="I282" s="2" t="inlineStr">
        <is>
          <t>LC/PC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>
        <v>6</v>
      </c>
      <c r="S282" s="2" t="n"/>
      <c r="T282" s="2" t="n"/>
      <c r="U282" s="2" t="n"/>
      <c r="V282" s="2">
        <f>SUM(J282:U282)</f>
        <v/>
      </c>
      <c r="W282" s="2" t="n">
        <v>72</v>
      </c>
      <c r="X282" s="2" t="n"/>
      <c r="Y282" s="2" t="n"/>
      <c r="Z282" s="2" t="n"/>
      <c r="AA282" s="2" t="n">
        <v>72</v>
      </c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>
        <f>IF(F282=1,V282*2,IF(F282=2,V282*F282*2,IF(F282&gt;2,F282*2*V282)))</f>
        <v/>
      </c>
      <c r="AW282" s="2">
        <f>SUM(W282:AU282)</f>
        <v/>
      </c>
    </row>
    <row r="283">
      <c r="A283" s="2" t="inlineStr">
        <is>
          <t>14-K-429</t>
        </is>
      </c>
      <c r="B283" s="3" t="inlineStr">
        <is>
          <t>OJC-C2-SC/LC-SM-15-PC/PC-20C</t>
        </is>
      </c>
      <c r="C283" s="2" t="inlineStr">
        <is>
          <t>K9094344</t>
        </is>
      </c>
      <c r="D283" s="2" t="inlineStr">
        <is>
          <t>a1-20c</t>
        </is>
      </c>
      <c r="E283" s="2" t="inlineStr">
        <is>
          <t>2.0mm</t>
        </is>
      </c>
      <c r="F283" s="2" t="n">
        <v>20</v>
      </c>
      <c r="G283" s="2" t="n">
        <v>15</v>
      </c>
      <c r="H283" s="2" t="inlineStr">
        <is>
          <t>SC/PC</t>
        </is>
      </c>
      <c r="I283" s="2" t="inlineStr">
        <is>
          <t>LC/PC</t>
        </is>
      </c>
      <c r="J283" s="2" t="n"/>
      <c r="K283" s="2" t="n">
        <v>1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>
        <f>SUM(J283:U283)</f>
        <v/>
      </c>
      <c r="W283" s="2" t="n">
        <v>20</v>
      </c>
      <c r="X283" s="2" t="n"/>
      <c r="Y283" s="2" t="n"/>
      <c r="Z283" s="2" t="n"/>
      <c r="AA283" s="2" t="n">
        <v>20</v>
      </c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>
        <f>IF(F283=1,V283*2,IF(F283=2,V283*F283*2,IF(F283&gt;2,F283*2*V283)))</f>
        <v/>
      </c>
      <c r="AW283" s="2">
        <f>SUM(W283:AU283)</f>
        <v/>
      </c>
    </row>
    <row r="284">
      <c r="A284" s="2" t="inlineStr">
        <is>
          <t>14-K-453</t>
        </is>
      </c>
      <c r="B284" s="3" t="inlineStr">
        <is>
          <t>OJC-C2-SC/LC-SM-40-PC/PC-12C</t>
        </is>
      </c>
      <c r="C284" s="2" t="inlineStr">
        <is>
          <t>K9089468</t>
        </is>
      </c>
      <c r="D284" s="2" t="inlineStr">
        <is>
          <t>a1-12c</t>
        </is>
      </c>
      <c r="E284" s="2" t="inlineStr">
        <is>
          <t>2.0mm</t>
        </is>
      </c>
      <c r="F284" s="2" t="n">
        <v>12</v>
      </c>
      <c r="G284" s="2" t="n">
        <v>40</v>
      </c>
      <c r="H284" s="2" t="inlineStr">
        <is>
          <t>SC/PC</t>
        </is>
      </c>
      <c r="I284" s="2" t="inlineStr">
        <is>
          <t>LC/PC</t>
        </is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>
        <v>8</v>
      </c>
      <c r="S284" s="2" t="n"/>
      <c r="T284" s="2" t="n"/>
      <c r="U284" s="2" t="n"/>
      <c r="V284" s="2">
        <f>SUM(J284:U284)</f>
        <v/>
      </c>
      <c r="W284" s="2" t="n">
        <v>96</v>
      </c>
      <c r="X284" s="2" t="n"/>
      <c r="Y284" s="2" t="n"/>
      <c r="Z284" s="2" t="n"/>
      <c r="AA284" s="2" t="n">
        <v>96</v>
      </c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>
        <f>IF(F284=1,V284*2,IF(F284=2,V284*F284*2,IF(F284&gt;2,F284*2*V284)))</f>
        <v/>
      </c>
      <c r="AW284" s="2">
        <f>SUM(W284:AU284)</f>
        <v/>
      </c>
    </row>
    <row r="285">
      <c r="A285" s="2" t="inlineStr">
        <is>
          <t>14-K-456</t>
        </is>
      </c>
      <c r="B285" s="3" t="inlineStr">
        <is>
          <t>OJC-C2-SC/SC-SM-10-PC/PC-12C</t>
        </is>
      </c>
      <c r="C285" s="2" t="inlineStr">
        <is>
          <t>K9089453</t>
        </is>
      </c>
      <c r="D285" s="2" t="inlineStr">
        <is>
          <t>a1-12c</t>
        </is>
      </c>
      <c r="E285" s="2" t="inlineStr">
        <is>
          <t>2.0mm</t>
        </is>
      </c>
      <c r="F285" s="2" t="n">
        <v>12</v>
      </c>
      <c r="G285" s="2" t="n">
        <v>10</v>
      </c>
      <c r="H285" s="2" t="inlineStr">
        <is>
          <t>SC/PC</t>
        </is>
      </c>
      <c r="I285" s="2" t="inlineStr">
        <is>
          <t>SC/PC</t>
        </is>
      </c>
      <c r="J285" s="2" t="n">
        <v>10</v>
      </c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>
        <f>SUM(J285:U285)</f>
        <v/>
      </c>
      <c r="W285" s="2" t="n"/>
      <c r="X285" s="2" t="n"/>
      <c r="Y285" s="2" t="n"/>
      <c r="Z285" s="2" t="n"/>
      <c r="AA285" s="2" t="n">
        <v>240</v>
      </c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>
        <f>IF(F285=1,V285*2,IF(F285=2,V285*F285*2,IF(F285&gt;2,F285*2*V285)))</f>
        <v/>
      </c>
      <c r="AW285" s="2">
        <f>SUM(W285:AU285)</f>
        <v/>
      </c>
    </row>
    <row r="286">
      <c r="A286" s="2" t="inlineStr">
        <is>
          <t>14-K-457</t>
        </is>
      </c>
      <c r="B286" s="3" t="inlineStr">
        <is>
          <t>OJC-C2-SC/SC-SM-10-PC/PC-16C</t>
        </is>
      </c>
      <c r="C286" s="2" t="inlineStr">
        <is>
          <t>K9094339</t>
        </is>
      </c>
      <c r="D286" s="2" t="inlineStr">
        <is>
          <t>a1-16c</t>
        </is>
      </c>
      <c r="E286" s="2" t="inlineStr">
        <is>
          <t>2.0mm</t>
        </is>
      </c>
      <c r="F286" s="2" t="n">
        <v>16</v>
      </c>
      <c r="G286" s="2" t="n">
        <v>10</v>
      </c>
      <c r="H286" s="2" t="inlineStr">
        <is>
          <t>SC/PC</t>
        </is>
      </c>
      <c r="I286" s="2" t="inlineStr">
        <is>
          <t>SC/PC</t>
        </is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>
        <v>20</v>
      </c>
      <c r="V286" s="2">
        <f>SUM(J286:U286)</f>
        <v/>
      </c>
      <c r="W286" s="2" t="n"/>
      <c r="X286" s="2" t="n"/>
      <c r="Y286" s="2" t="n"/>
      <c r="Z286" s="2" t="n"/>
      <c r="AA286" s="2" t="n">
        <v>640</v>
      </c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>
        <f>IF(F286=1,V286*2,IF(F286=2,V286*F286*2,IF(F286&gt;2,F286*2*V286)))</f>
        <v/>
      </c>
      <c r="AW286" s="2">
        <f>SUM(W286:AU286)</f>
        <v/>
      </c>
    </row>
    <row r="287">
      <c r="A287" s="2" t="inlineStr">
        <is>
          <t>14-K-459</t>
        </is>
      </c>
      <c r="B287" s="3" t="inlineStr">
        <is>
          <t>OJC-C2-SC/SC-SM-10-PC/PC-8C</t>
        </is>
      </c>
      <c r="C287" s="2" t="inlineStr">
        <is>
          <t>K9089452</t>
        </is>
      </c>
      <c r="D287" s="2" t="inlineStr">
        <is>
          <t>a1-8c</t>
        </is>
      </c>
      <c r="E287" s="2" t="inlineStr">
        <is>
          <t>2.0mm</t>
        </is>
      </c>
      <c r="F287" s="2" t="n">
        <v>8</v>
      </c>
      <c r="G287" s="2" t="n">
        <v>10</v>
      </c>
      <c r="H287" s="2" t="inlineStr">
        <is>
          <t>SC/PC</t>
        </is>
      </c>
      <c r="I287" s="2" t="inlineStr">
        <is>
          <t>SC/PC</t>
        </is>
      </c>
      <c r="J287" s="2" t="n">
        <v>30</v>
      </c>
      <c r="K287" s="2" t="n">
        <v>19</v>
      </c>
      <c r="L287" s="2" t="n"/>
      <c r="M287" s="2" t="n">
        <v>19</v>
      </c>
      <c r="N287" s="2" t="n">
        <v>10</v>
      </c>
      <c r="O287" s="2" t="n"/>
      <c r="P287" s="2" t="n"/>
      <c r="Q287" s="2" t="n">
        <v>50</v>
      </c>
      <c r="R287" s="2" t="n"/>
      <c r="S287" s="2" t="n"/>
      <c r="T287" s="2" t="n"/>
      <c r="U287" s="2" t="n"/>
      <c r="V287" s="2">
        <f>SUM(J287:U287)</f>
        <v/>
      </c>
      <c r="W287" s="2" t="n"/>
      <c r="X287" s="2" t="n"/>
      <c r="Y287" s="2" t="n"/>
      <c r="Z287" s="2" t="n"/>
      <c r="AA287" s="2" t="n">
        <v>2048</v>
      </c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>
        <f>IF(F287=1,V287*2,IF(F287=2,V287*F287*2,IF(F287&gt;2,F287*2*V287)))</f>
        <v/>
      </c>
      <c r="AW287" s="2">
        <f>SUM(W287:AU287)</f>
        <v/>
      </c>
    </row>
    <row r="288">
      <c r="A288" s="2" t="inlineStr">
        <is>
          <t>14-K-474</t>
        </is>
      </c>
      <c r="B288" s="3" t="inlineStr">
        <is>
          <t>OJC-C2-SC/SC-SM-15-PC/PC-12C</t>
        </is>
      </c>
      <c r="C288" s="2" t="inlineStr">
        <is>
          <t>K9089453</t>
        </is>
      </c>
      <c r="D288" s="2" t="inlineStr">
        <is>
          <t>a1-12c</t>
        </is>
      </c>
      <c r="E288" s="2" t="inlineStr">
        <is>
          <t>2.0mm</t>
        </is>
      </c>
      <c r="F288" s="2" t="n">
        <v>12</v>
      </c>
      <c r="G288" s="2" t="n">
        <v>15</v>
      </c>
      <c r="H288" s="2" t="inlineStr">
        <is>
          <t>SC/PC</t>
        </is>
      </c>
      <c r="I288" s="2" t="inlineStr">
        <is>
          <t>SC/PC</t>
        </is>
      </c>
      <c r="J288" s="2" t="n">
        <v>10</v>
      </c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>
        <f>SUM(J288:U288)</f>
        <v/>
      </c>
      <c r="W288" s="2" t="n"/>
      <c r="X288" s="2" t="n"/>
      <c r="Y288" s="2" t="n"/>
      <c r="Z288" s="2" t="n"/>
      <c r="AA288" s="2" t="n">
        <v>240</v>
      </c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>
        <f>IF(F288=1,V288*2,IF(F288=2,V288*F288*2,IF(F288&gt;2,F288*2*V288)))</f>
        <v/>
      </c>
      <c r="AW288" s="2">
        <f>SUM(W288:AU288)</f>
        <v/>
      </c>
    </row>
    <row r="289">
      <c r="A289" s="2" t="inlineStr">
        <is>
          <t>14-K-478</t>
        </is>
      </c>
      <c r="B289" s="3" t="inlineStr">
        <is>
          <t>OJC-C2-SC/SC-SM-15-PC/PC-4C</t>
        </is>
      </c>
      <c r="C289" s="2" t="inlineStr">
        <is>
          <t>K9089451</t>
        </is>
      </c>
      <c r="D289" s="2" t="inlineStr">
        <is>
          <t>b3-4c</t>
        </is>
      </c>
      <c r="E289" s="2" t="inlineStr">
        <is>
          <t>2.0mm</t>
        </is>
      </c>
      <c r="F289" s="2" t="n">
        <v>4</v>
      </c>
      <c r="G289" s="2" t="n">
        <v>15</v>
      </c>
      <c r="H289" s="2" t="inlineStr">
        <is>
          <t>SC/PC</t>
        </is>
      </c>
      <c r="I289" s="2" t="inlineStr">
        <is>
          <t>SC/PC</t>
        </is>
      </c>
      <c r="J289" s="2" t="n">
        <v>10</v>
      </c>
      <c r="K289" s="2" t="n"/>
      <c r="L289" s="2" t="n"/>
      <c r="M289" s="2" t="n"/>
      <c r="N289" s="2" t="n">
        <v>20</v>
      </c>
      <c r="O289" s="2" t="n"/>
      <c r="P289" s="2" t="n">
        <v>5</v>
      </c>
      <c r="Q289" s="2" t="n">
        <v>20</v>
      </c>
      <c r="R289" s="2" t="n"/>
      <c r="S289" s="2" t="n"/>
      <c r="T289" s="2" t="n"/>
      <c r="U289" s="2" t="n"/>
      <c r="V289" s="2">
        <f>SUM(J289:U289)</f>
        <v/>
      </c>
      <c r="W289" s="2" t="n"/>
      <c r="X289" s="2" t="n"/>
      <c r="Y289" s="2" t="n"/>
      <c r="Z289" s="2" t="n"/>
      <c r="AA289" s="2" t="n">
        <v>440</v>
      </c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>
        <f>IF(F289=1,V289*2,IF(F289=2,V289*F289*2,IF(F289&gt;2,F289*2*V289)))</f>
        <v/>
      </c>
      <c r="AW289" s="2">
        <f>SUM(W289:AU289)</f>
        <v/>
      </c>
    </row>
    <row r="290">
      <c r="A290" s="2" t="inlineStr">
        <is>
          <t>14-K-479</t>
        </is>
      </c>
      <c r="B290" s="3" t="inlineStr">
        <is>
          <t>OJC-C2-SC/SC-SM-15-PC/PC-8C</t>
        </is>
      </c>
      <c r="C290" s="2" t="inlineStr">
        <is>
          <t>K9089452</t>
        </is>
      </c>
      <c r="D290" s="2" t="inlineStr">
        <is>
          <t>a1-8c</t>
        </is>
      </c>
      <c r="E290" s="2" t="inlineStr">
        <is>
          <t>2.0mm</t>
        </is>
      </c>
      <c r="F290" s="2" t="n">
        <v>8</v>
      </c>
      <c r="G290" s="2" t="n">
        <v>15</v>
      </c>
      <c r="H290" s="2" t="inlineStr">
        <is>
          <t>SC/PC</t>
        </is>
      </c>
      <c r="I290" s="2" t="inlineStr">
        <is>
          <t>SC/PC</t>
        </is>
      </c>
      <c r="J290" s="2" t="n">
        <v>10</v>
      </c>
      <c r="K290" s="2" t="n">
        <v>14</v>
      </c>
      <c r="L290" s="2" t="n"/>
      <c r="M290" s="2" t="n"/>
      <c r="N290" s="2" t="n"/>
      <c r="O290" s="2" t="n"/>
      <c r="P290" s="2" t="n">
        <v>40</v>
      </c>
      <c r="Q290" s="2" t="n">
        <v>20</v>
      </c>
      <c r="R290" s="2" t="n"/>
      <c r="S290" s="2" t="n"/>
      <c r="T290" s="2" t="n"/>
      <c r="U290" s="2" t="n"/>
      <c r="V290" s="2">
        <f>SUM(J290:U290)</f>
        <v/>
      </c>
      <c r="W290" s="2" t="n"/>
      <c r="X290" s="2" t="n"/>
      <c r="Y290" s="2" t="n"/>
      <c r="Z290" s="2" t="n"/>
      <c r="AA290" s="2" t="n">
        <v>1344</v>
      </c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>
        <f>IF(F290=1,V290*2,IF(F290=2,V290*F290*2,IF(F290&gt;2,F290*2*V290)))</f>
        <v/>
      </c>
      <c r="AW290" s="2">
        <f>SUM(W290:AU290)</f>
        <v/>
      </c>
    </row>
    <row r="291">
      <c r="A291" s="2" t="inlineStr">
        <is>
          <t>14-K-505</t>
        </is>
      </c>
      <c r="B291" s="3" t="inlineStr">
        <is>
          <t>OJC-C2-SC/SC-SM-20-PC/PC-4C</t>
        </is>
      </c>
      <c r="C291" s="2" t="inlineStr">
        <is>
          <t>K9089451</t>
        </is>
      </c>
      <c r="D291" s="2" t="inlineStr">
        <is>
          <t>b3-4c</t>
        </is>
      </c>
      <c r="E291" s="2" t="inlineStr">
        <is>
          <t>2.0mm</t>
        </is>
      </c>
      <c r="F291" s="2" t="n">
        <v>4</v>
      </c>
      <c r="G291" s="2" t="n">
        <v>20</v>
      </c>
      <c r="H291" s="2" t="inlineStr">
        <is>
          <t>SC/PC</t>
        </is>
      </c>
      <c r="I291" s="2" t="inlineStr">
        <is>
          <t>SC/PC</t>
        </is>
      </c>
      <c r="J291" s="2" t="n"/>
      <c r="K291" s="2" t="n"/>
      <c r="L291" s="2" t="n"/>
      <c r="M291" s="2" t="n"/>
      <c r="N291" s="2" t="n">
        <v>20</v>
      </c>
      <c r="O291" s="2" t="n"/>
      <c r="P291" s="2" t="n">
        <v>5</v>
      </c>
      <c r="Q291" s="2" t="n"/>
      <c r="R291" s="2" t="n"/>
      <c r="S291" s="2" t="n"/>
      <c r="T291" s="2" t="n"/>
      <c r="U291" s="2" t="n"/>
      <c r="V291" s="2">
        <f>SUM(J291:U291)</f>
        <v/>
      </c>
      <c r="W291" s="2" t="n"/>
      <c r="X291" s="2" t="n"/>
      <c r="Y291" s="2" t="n"/>
      <c r="Z291" s="2" t="n"/>
      <c r="AA291" s="2" t="n">
        <v>200</v>
      </c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>
        <f>IF(F291=1,V291*2,IF(F291=2,V291*F291*2,IF(F291&gt;2,F291*2*V291)))</f>
        <v/>
      </c>
      <c r="AW291" s="2">
        <f>SUM(W291:AU291)</f>
        <v/>
      </c>
    </row>
    <row r="292">
      <c r="A292" s="2" t="inlineStr">
        <is>
          <t>14-K-506</t>
        </is>
      </c>
      <c r="B292" s="3" t="inlineStr">
        <is>
          <t>OJC-C2-SC/SC-SM-20-PC/PC-8C</t>
        </is>
      </c>
      <c r="C292" s="2" t="inlineStr">
        <is>
          <t>K9089452</t>
        </is>
      </c>
      <c r="D292" s="2" t="inlineStr">
        <is>
          <t>a1-8c</t>
        </is>
      </c>
      <c r="E292" s="2" t="inlineStr">
        <is>
          <t>2.0mm</t>
        </is>
      </c>
      <c r="F292" s="2" t="n">
        <v>8</v>
      </c>
      <c r="G292" s="2" t="n">
        <v>20</v>
      </c>
      <c r="H292" s="2" t="inlineStr">
        <is>
          <t>SC/PC</t>
        </is>
      </c>
      <c r="I292" s="2" t="inlineStr">
        <is>
          <t>SC/PC</t>
        </is>
      </c>
      <c r="J292" s="2" t="n"/>
      <c r="K292" s="2" t="n"/>
      <c r="L292" s="2" t="n"/>
      <c r="M292" s="2" t="n"/>
      <c r="N292" s="2" t="n"/>
      <c r="O292" s="2" t="n"/>
      <c r="P292" s="2" t="n">
        <v>30</v>
      </c>
      <c r="Q292" s="2" t="n">
        <v>20</v>
      </c>
      <c r="R292" s="2" t="n"/>
      <c r="S292" s="2" t="n"/>
      <c r="T292" s="2" t="n"/>
      <c r="U292" s="2" t="n"/>
      <c r="V292" s="2">
        <f>SUM(J292:U292)</f>
        <v/>
      </c>
      <c r="W292" s="2" t="n"/>
      <c r="X292" s="2" t="n"/>
      <c r="Y292" s="2" t="n"/>
      <c r="Z292" s="2" t="n"/>
      <c r="AA292" s="2" t="n">
        <v>800</v>
      </c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>
        <f>IF(F292=1,V292*2,IF(F292=2,V292*F292*2,IF(F292&gt;2,F292*2*V292)))</f>
        <v/>
      </c>
      <c r="AW292" s="2">
        <f>SUM(W292:AU292)</f>
        <v/>
      </c>
    </row>
    <row r="293">
      <c r="A293" s="2" t="inlineStr">
        <is>
          <t>14-K-512</t>
        </is>
      </c>
      <c r="B293" s="3" t="inlineStr">
        <is>
          <t>OJC-C2-SC/SC-SM-25-PC/PC-12C</t>
        </is>
      </c>
      <c r="C293" s="2" t="inlineStr">
        <is>
          <t>K9089453</t>
        </is>
      </c>
      <c r="D293" s="2" t="inlineStr">
        <is>
          <t>a1-12c</t>
        </is>
      </c>
      <c r="E293" s="2" t="inlineStr">
        <is>
          <t>2.0mm</t>
        </is>
      </c>
      <c r="F293" s="2" t="n">
        <v>12</v>
      </c>
      <c r="G293" s="2" t="n">
        <v>25</v>
      </c>
      <c r="H293" s="2" t="inlineStr">
        <is>
          <t>SC/PC</t>
        </is>
      </c>
      <c r="I293" s="2" t="inlineStr">
        <is>
          <t>SC/PC</t>
        </is>
      </c>
      <c r="J293" s="2" t="n"/>
      <c r="K293" s="2" t="n">
        <v>5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>
        <f>SUM(J293:U293)</f>
        <v/>
      </c>
      <c r="W293" s="2" t="n"/>
      <c r="X293" s="2" t="n"/>
      <c r="Y293" s="2" t="n"/>
      <c r="Z293" s="2" t="n"/>
      <c r="AA293" s="2" t="n">
        <v>120</v>
      </c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>
        <f>IF(F293=1,V293*2,IF(F293=2,V293*F293*2,IF(F293&gt;2,F293*2*V293)))</f>
        <v/>
      </c>
      <c r="AW293" s="2">
        <f>SUM(W293:AU293)</f>
        <v/>
      </c>
    </row>
    <row r="294">
      <c r="A294" s="2" t="inlineStr">
        <is>
          <t>14-K-513</t>
        </is>
      </c>
      <c r="B294" s="3" t="inlineStr">
        <is>
          <t>OJC-C2-SC/SC-SM-25-PC/PC-16C</t>
        </is>
      </c>
      <c r="C294" s="2" t="inlineStr">
        <is>
          <t>K9094339</t>
        </is>
      </c>
      <c r="D294" s="2" t="inlineStr">
        <is>
          <t>a1-16c</t>
        </is>
      </c>
      <c r="E294" s="2" t="inlineStr">
        <is>
          <t>2.0mm</t>
        </is>
      </c>
      <c r="F294" s="2" t="n">
        <v>16</v>
      </c>
      <c r="G294" s="2" t="n">
        <v>25</v>
      </c>
      <c r="H294" s="2" t="inlineStr">
        <is>
          <t>SC/PC</t>
        </is>
      </c>
      <c r="I294" s="2" t="inlineStr">
        <is>
          <t>SC/PC</t>
        </is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>
        <v>2</v>
      </c>
      <c r="T294" s="2" t="n"/>
      <c r="U294" s="2" t="n"/>
      <c r="V294" s="2">
        <f>SUM(J294:U294)</f>
        <v/>
      </c>
      <c r="W294" s="2" t="n"/>
      <c r="X294" s="2" t="n"/>
      <c r="Y294" s="2" t="n"/>
      <c r="Z294" s="2" t="n"/>
      <c r="AA294" s="2" t="n">
        <v>64</v>
      </c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>
        <f>IF(F294=1,V294*2,IF(F294=2,V294*F294*2,IF(F294&gt;2,F294*2*V294)))</f>
        <v/>
      </c>
      <c r="AW294" s="2">
        <f>SUM(W294:AU294)</f>
        <v/>
      </c>
    </row>
    <row r="295">
      <c r="A295" s="2" t="inlineStr">
        <is>
          <t>14-K-515</t>
        </is>
      </c>
      <c r="B295" s="3" t="inlineStr">
        <is>
          <t>OJC-C2-SC/SC-SM-25-PC/PC-8C</t>
        </is>
      </c>
      <c r="C295" s="2" t="inlineStr">
        <is>
          <t>K9089452</t>
        </is>
      </c>
      <c r="D295" s="2" t="inlineStr">
        <is>
          <t>a1-8c</t>
        </is>
      </c>
      <c r="E295" s="2" t="inlineStr">
        <is>
          <t>2.0mm</t>
        </is>
      </c>
      <c r="F295" s="2" t="n">
        <v>8</v>
      </c>
      <c r="G295" s="2" t="n">
        <v>25</v>
      </c>
      <c r="H295" s="2" t="inlineStr">
        <is>
          <t>SC/PC</t>
        </is>
      </c>
      <c r="I295" s="2" t="inlineStr">
        <is>
          <t>SC/PC</t>
        </is>
      </c>
      <c r="J295" s="2" t="n"/>
      <c r="K295" s="2" t="n"/>
      <c r="L295" s="2" t="n"/>
      <c r="M295" s="2" t="n"/>
      <c r="N295" s="2" t="n"/>
      <c r="O295" s="2" t="n"/>
      <c r="P295" s="2" t="n"/>
      <c r="Q295" s="2" t="n">
        <v>20</v>
      </c>
      <c r="R295" s="2" t="n"/>
      <c r="S295" s="2" t="n">
        <v>1</v>
      </c>
      <c r="T295" s="2" t="n"/>
      <c r="U295" s="2" t="n"/>
      <c r="V295" s="2">
        <f>SUM(J295:U295)</f>
        <v/>
      </c>
      <c r="W295" s="2" t="n"/>
      <c r="X295" s="2" t="n"/>
      <c r="Y295" s="2" t="n"/>
      <c r="Z295" s="2" t="n"/>
      <c r="AA295" s="2" t="n">
        <v>336</v>
      </c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>
        <f>IF(F295=1,V295*2,IF(F295=2,V295*F295*2,IF(F295&gt;2,F295*2*V295)))</f>
        <v/>
      </c>
      <c r="AW295" s="2">
        <f>SUM(W295:AU295)</f>
        <v/>
      </c>
    </row>
    <row r="296">
      <c r="A296" s="2" t="inlineStr">
        <is>
          <t>14-K-525</t>
        </is>
      </c>
      <c r="B296" s="3" t="inlineStr">
        <is>
          <t>OJC-C2-SC/SC-SM-30-PC/PC-12C</t>
        </is>
      </c>
      <c r="C296" s="2" t="inlineStr">
        <is>
          <t>K9089453</t>
        </is>
      </c>
      <c r="D296" s="2" t="inlineStr">
        <is>
          <t>a1-12c</t>
        </is>
      </c>
      <c r="E296" s="2" t="inlineStr">
        <is>
          <t>2.0mm</t>
        </is>
      </c>
      <c r="F296" s="2" t="n">
        <v>12</v>
      </c>
      <c r="G296" s="2" t="n">
        <v>30</v>
      </c>
      <c r="H296" s="2" t="inlineStr">
        <is>
          <t>SC/PC</t>
        </is>
      </c>
      <c r="I296" s="2" t="inlineStr">
        <is>
          <t>SC/PC</t>
        </is>
      </c>
      <c r="J296" s="2" t="n"/>
      <c r="K296" s="2" t="n">
        <v>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>
        <f>SUM(J296:U296)</f>
        <v/>
      </c>
      <c r="W296" s="2" t="n"/>
      <c r="X296" s="2" t="n"/>
      <c r="Y296" s="2" t="n"/>
      <c r="Z296" s="2" t="n"/>
      <c r="AA296" s="2" t="n">
        <v>120</v>
      </c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>
        <f>IF(F296=1,V296*2,IF(F296=2,V296*F296*2,IF(F296&gt;2,F296*2*V296)))</f>
        <v/>
      </c>
      <c r="AW296" s="2">
        <f>SUM(W296:AU296)</f>
        <v/>
      </c>
    </row>
    <row r="297">
      <c r="A297" s="2" t="inlineStr">
        <is>
          <t>14-K-527</t>
        </is>
      </c>
      <c r="B297" s="3" t="inlineStr">
        <is>
          <t>OJC-C2-SC/SC-SM-30-PC/PC-4C</t>
        </is>
      </c>
      <c r="C297" s="2" t="inlineStr">
        <is>
          <t>K9089451</t>
        </is>
      </c>
      <c r="D297" s="2" t="inlineStr">
        <is>
          <t>b3-4c</t>
        </is>
      </c>
      <c r="E297" s="2" t="inlineStr">
        <is>
          <t>2.0mm</t>
        </is>
      </c>
      <c r="F297" s="2" t="n">
        <v>4</v>
      </c>
      <c r="G297" s="2" t="n">
        <v>30</v>
      </c>
      <c r="H297" s="2" t="inlineStr">
        <is>
          <t>SC/PC</t>
        </is>
      </c>
      <c r="I297" s="2" t="inlineStr">
        <is>
          <t>SC/PC</t>
        </is>
      </c>
      <c r="J297" s="2" t="n"/>
      <c r="K297" s="2" t="n">
        <v>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>
        <f>SUM(J297:U297)</f>
        <v/>
      </c>
      <c r="W297" s="2" t="n"/>
      <c r="X297" s="2" t="n"/>
      <c r="Y297" s="2" t="n"/>
      <c r="Z297" s="2" t="n"/>
      <c r="AA297" s="2" t="n">
        <v>40</v>
      </c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>
        <f>IF(F297=1,V297*2,IF(F297=2,V297*F297*2,IF(F297&gt;2,F297*2*V297)))</f>
        <v/>
      </c>
      <c r="AW297" s="2">
        <f>SUM(W297:AU297)</f>
        <v/>
      </c>
    </row>
    <row r="298">
      <c r="A298" s="2" t="inlineStr">
        <is>
          <t>14-K-529</t>
        </is>
      </c>
      <c r="B298" s="3" t="inlineStr">
        <is>
          <t>OJC-C2-SC/SC-SM-30-PC/PC-8C</t>
        </is>
      </c>
      <c r="C298" s="2" t="inlineStr">
        <is>
          <t>K9089452</t>
        </is>
      </c>
      <c r="D298" s="2" t="inlineStr">
        <is>
          <t>a1-8c</t>
        </is>
      </c>
      <c r="E298" s="2" t="inlineStr">
        <is>
          <t>2.0mm</t>
        </is>
      </c>
      <c r="F298" s="2" t="n">
        <v>8</v>
      </c>
      <c r="G298" s="2" t="n">
        <v>30</v>
      </c>
      <c r="H298" s="2" t="inlineStr">
        <is>
          <t>SC/PC</t>
        </is>
      </c>
      <c r="I298" s="2" t="inlineStr">
        <is>
          <t>SC/PC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>
        <v>20</v>
      </c>
      <c r="R298" s="2" t="n"/>
      <c r="S298" s="2" t="n"/>
      <c r="T298" s="2" t="n"/>
      <c r="U298" s="2" t="n"/>
      <c r="V298" s="2">
        <f>SUM(J298:U298)</f>
        <v/>
      </c>
      <c r="W298" s="2" t="n"/>
      <c r="X298" s="2" t="n"/>
      <c r="Y298" s="2" t="n"/>
      <c r="Z298" s="2" t="n"/>
      <c r="AA298" s="2" t="n">
        <v>320</v>
      </c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>
        <f>IF(F298=1,V298*2,IF(F298=2,V298*F298*2,IF(F298&gt;2,F298*2*V298)))</f>
        <v/>
      </c>
      <c r="AW298" s="2">
        <f>SUM(W298:AU298)</f>
        <v/>
      </c>
    </row>
    <row r="299">
      <c r="A299" s="2" t="inlineStr">
        <is>
          <t>14-K-530</t>
        </is>
      </c>
      <c r="B299" s="3" t="inlineStr">
        <is>
          <t>OJC-C2-SC/SC-SM-35-PC/PC-20C</t>
        </is>
      </c>
      <c r="C299" s="2" t="inlineStr">
        <is>
          <t>K9094342</t>
        </is>
      </c>
      <c r="D299" s="2" t="inlineStr">
        <is>
          <t>a1-20c</t>
        </is>
      </c>
      <c r="E299" s="2" t="inlineStr">
        <is>
          <t>2.0mm</t>
        </is>
      </c>
      <c r="F299" s="2" t="n">
        <v>20</v>
      </c>
      <c r="G299" s="2" t="n">
        <v>35</v>
      </c>
      <c r="H299" s="2" t="inlineStr">
        <is>
          <t>SC/PC</t>
        </is>
      </c>
      <c r="I299" s="2" t="inlineStr">
        <is>
          <t>SC/PC</t>
        </is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>
        <v>2</v>
      </c>
      <c r="S299" s="2" t="n"/>
      <c r="T299" s="2" t="n"/>
      <c r="U299" s="2" t="n"/>
      <c r="V299" s="2">
        <f>SUM(J299:U299)</f>
        <v/>
      </c>
      <c r="W299" s="2" t="n"/>
      <c r="X299" s="2" t="n"/>
      <c r="Y299" s="2" t="n"/>
      <c r="Z299" s="2" t="n"/>
      <c r="AA299" s="2" t="n">
        <v>80</v>
      </c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>
        <f>IF(F299=1,V299*2,IF(F299=2,V299*F299*2,IF(F299&gt;2,F299*2*V299)))</f>
        <v/>
      </c>
      <c r="AW299" s="2">
        <f>SUM(W299:AU299)</f>
        <v/>
      </c>
    </row>
    <row r="300">
      <c r="A300" s="2" t="inlineStr">
        <is>
          <t>14-K-532</t>
        </is>
      </c>
      <c r="B300" s="3" t="inlineStr">
        <is>
          <t>OJC-C2-SC/SC-SM-3-PC/PC-12C</t>
        </is>
      </c>
      <c r="C300" s="2" t="inlineStr">
        <is>
          <t>K9089453</t>
        </is>
      </c>
      <c r="D300" s="2" t="inlineStr">
        <is>
          <t>a1-12c</t>
        </is>
      </c>
      <c r="E300" s="2" t="inlineStr">
        <is>
          <t>2.0mm</t>
        </is>
      </c>
      <c r="F300" s="2" t="n">
        <v>12</v>
      </c>
      <c r="G300" s="2" t="n">
        <v>3</v>
      </c>
      <c r="H300" s="2" t="inlineStr">
        <is>
          <t>SC/PC</t>
        </is>
      </c>
      <c r="I300" s="2" t="inlineStr">
        <is>
          <t>SC/PC</t>
        </is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>
        <v>1</v>
      </c>
      <c r="V300" s="2">
        <f>SUM(J300:U300)</f>
        <v/>
      </c>
      <c r="W300" s="2" t="n"/>
      <c r="X300" s="2" t="n"/>
      <c r="Y300" s="2" t="n"/>
      <c r="Z300" s="2" t="n"/>
      <c r="AA300" s="2" t="n">
        <v>24</v>
      </c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>
        <f>IF(F300=1,V300*2,IF(F300=2,V300*F300*2,IF(F300&gt;2,F300*2*V300)))</f>
        <v/>
      </c>
      <c r="AW300" s="2">
        <f>SUM(W300:AU300)</f>
        <v/>
      </c>
    </row>
    <row r="301">
      <c r="A301" s="2" t="inlineStr">
        <is>
          <t>14-K-544</t>
        </is>
      </c>
      <c r="B301" s="3" t="inlineStr">
        <is>
          <t>OJC-C2-SC/SC-SM-4-PC/PC-16C</t>
        </is>
      </c>
      <c r="C301" s="2" t="inlineStr">
        <is>
          <t>K9094339</t>
        </is>
      </c>
      <c r="D301" s="2" t="inlineStr">
        <is>
          <t>a1-16c</t>
        </is>
      </c>
      <c r="E301" s="2" t="inlineStr">
        <is>
          <t>2.0mm</t>
        </is>
      </c>
      <c r="F301" s="2" t="n">
        <v>16</v>
      </c>
      <c r="G301" s="2" t="n">
        <v>4</v>
      </c>
      <c r="H301" s="2" t="inlineStr">
        <is>
          <t>SC/PC</t>
        </is>
      </c>
      <c r="I301" s="2" t="inlineStr">
        <is>
          <t>SC/PC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>
        <v>30</v>
      </c>
      <c r="V301" s="2">
        <f>SUM(J301:U301)</f>
        <v/>
      </c>
      <c r="W301" s="2" t="n"/>
      <c r="X301" s="2" t="n"/>
      <c r="Y301" s="2" t="n"/>
      <c r="Z301" s="2" t="n"/>
      <c r="AA301" s="2" t="n">
        <v>960</v>
      </c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>
        <f>IF(F301=1,V301*2,IF(F301=2,V301*F301*2,IF(F301&gt;2,F301*2*V301)))</f>
        <v/>
      </c>
      <c r="AW301" s="2">
        <f>SUM(W301:AU301)</f>
        <v/>
      </c>
    </row>
    <row r="302">
      <c r="A302" s="2" t="inlineStr">
        <is>
          <t>14-K-550</t>
        </is>
      </c>
      <c r="B302" s="3" t="inlineStr">
        <is>
          <t>OJC-C2-SC/SC-SM-5-PC/PC-16C</t>
        </is>
      </c>
      <c r="C302" s="2" t="inlineStr">
        <is>
          <t>K9094339</t>
        </is>
      </c>
      <c r="D302" s="2" t="inlineStr">
        <is>
          <t>a1-16c</t>
        </is>
      </c>
      <c r="E302" s="2" t="inlineStr">
        <is>
          <t>2.0mm</t>
        </is>
      </c>
      <c r="F302" s="2" t="n">
        <v>16</v>
      </c>
      <c r="G302" s="2" t="n">
        <v>5</v>
      </c>
      <c r="H302" s="2" t="inlineStr">
        <is>
          <t>SC/PC</t>
        </is>
      </c>
      <c r="I302" s="2" t="inlineStr">
        <is>
          <t>SC/PC</t>
        </is>
      </c>
      <c r="J302" s="2" t="n"/>
      <c r="K302" s="2" t="n"/>
      <c r="L302" s="2" t="n"/>
      <c r="M302" s="2" t="n"/>
      <c r="N302" s="2" t="n"/>
      <c r="O302" s="2" t="n"/>
      <c r="P302" s="2" t="n">
        <v>5</v>
      </c>
      <c r="Q302" s="2" t="n"/>
      <c r="R302" s="2" t="n">
        <v>10</v>
      </c>
      <c r="S302" s="2" t="n"/>
      <c r="T302" s="2" t="n"/>
      <c r="U302" s="2" t="n"/>
      <c r="V302" s="2">
        <f>SUM(J302:U302)</f>
        <v/>
      </c>
      <c r="W302" s="2" t="n"/>
      <c r="X302" s="2" t="n"/>
      <c r="Y302" s="2" t="n"/>
      <c r="Z302" s="2" t="n"/>
      <c r="AA302" s="2" t="n">
        <v>480</v>
      </c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>
        <f>IF(F302=1,V302*2,IF(F302=2,V302*F302*2,IF(F302&gt;2,F302*2*V302)))</f>
        <v/>
      </c>
      <c r="AW302" s="2">
        <f>SUM(W302:AU302)</f>
        <v/>
      </c>
    </row>
    <row r="303">
      <c r="A303" s="2" t="inlineStr">
        <is>
          <t>14-K-553</t>
        </is>
      </c>
      <c r="B303" s="3" t="inlineStr">
        <is>
          <t>OJC-C2-SC/SC-SM-5-PC/PC-8C</t>
        </is>
      </c>
      <c r="C303" s="2" t="inlineStr">
        <is>
          <t>K9089452</t>
        </is>
      </c>
      <c r="D303" s="2" t="inlineStr">
        <is>
          <t>a1-8c</t>
        </is>
      </c>
      <c r="E303" s="2" t="inlineStr">
        <is>
          <t>2.0mm</t>
        </is>
      </c>
      <c r="F303" s="2" t="n">
        <v>8</v>
      </c>
      <c r="G303" s="2" t="n">
        <v>5</v>
      </c>
      <c r="H303" s="2" t="inlineStr">
        <is>
          <t>SC/PC</t>
        </is>
      </c>
      <c r="I303" s="2" t="inlineStr">
        <is>
          <t>SC/PC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>
        <v>15</v>
      </c>
      <c r="S303" s="2" t="n"/>
      <c r="T303" s="2" t="n">
        <v>92</v>
      </c>
      <c r="U303" s="2" t="n">
        <v>30</v>
      </c>
      <c r="V303" s="2">
        <f>SUM(J303:U303)</f>
        <v/>
      </c>
      <c r="W303" s="2" t="n"/>
      <c r="X303" s="2" t="n"/>
      <c r="Y303" s="2" t="n"/>
      <c r="Z303" s="2" t="n"/>
      <c r="AA303" s="2" t="n">
        <v>2192</v>
      </c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>
        <f>IF(F303=1,V303*2,IF(F303=2,V303*F303*2,IF(F303&gt;2,F303*2*V303)))</f>
        <v/>
      </c>
      <c r="AW303" s="2">
        <f>SUM(W303:AU303)</f>
        <v/>
      </c>
    </row>
    <row r="304">
      <c r="A304" s="2" t="inlineStr">
        <is>
          <t>14-K-558</t>
        </is>
      </c>
      <c r="B304" s="3" t="inlineStr">
        <is>
          <t>OJC-C2-SC/SC-SM-6-PC/PC-8C</t>
        </is>
      </c>
      <c r="C304" s="2" t="inlineStr">
        <is>
          <t>K9089452</t>
        </is>
      </c>
      <c r="D304" s="2" t="inlineStr">
        <is>
          <t>a1-8c</t>
        </is>
      </c>
      <c r="E304" s="2" t="inlineStr">
        <is>
          <t>2.0mm</t>
        </is>
      </c>
      <c r="F304" s="2" t="n">
        <v>8</v>
      </c>
      <c r="G304" s="2" t="n">
        <v>6</v>
      </c>
      <c r="H304" s="2" t="inlineStr">
        <is>
          <t>SC/PC</t>
        </is>
      </c>
      <c r="I304" s="2" t="inlineStr">
        <is>
          <t>SC/PC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>
        <v>34</v>
      </c>
      <c r="S304" s="2" t="n"/>
      <c r="T304" s="2" t="n"/>
      <c r="U304" s="2" t="n"/>
      <c r="V304" s="2">
        <f>SUM(J304:U304)</f>
        <v/>
      </c>
      <c r="W304" s="2" t="n"/>
      <c r="X304" s="2" t="n"/>
      <c r="Y304" s="2" t="n"/>
      <c r="Z304" s="2" t="n"/>
      <c r="AA304" s="2" t="n">
        <v>544</v>
      </c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>
        <f>IF(F304=1,V304*2,IF(F304=2,V304*F304*2,IF(F304&gt;2,F304*2*V304)))</f>
        <v/>
      </c>
      <c r="AW304" s="2">
        <f>SUM(W304:AU304)</f>
        <v/>
      </c>
    </row>
    <row r="305">
      <c r="A305" s="2" t="inlineStr">
        <is>
          <t>14-K-562</t>
        </is>
      </c>
      <c r="B305" s="3" t="inlineStr">
        <is>
          <t>OJC-C2-SC/SC-SM-7-PC/PC-8C</t>
        </is>
      </c>
      <c r="C305" s="2" t="inlineStr">
        <is>
          <t>K9089452</t>
        </is>
      </c>
      <c r="D305" s="2" t="inlineStr">
        <is>
          <t>a1-8c</t>
        </is>
      </c>
      <c r="E305" s="2" t="inlineStr">
        <is>
          <t>2.0mm</t>
        </is>
      </c>
      <c r="F305" s="2" t="n">
        <v>8</v>
      </c>
      <c r="G305" s="2" t="n">
        <v>7</v>
      </c>
      <c r="H305" s="2" t="inlineStr">
        <is>
          <t>SC/PC</t>
        </is>
      </c>
      <c r="I305" s="2" t="inlineStr">
        <is>
          <t>SC/PC</t>
        </is>
      </c>
      <c r="J305" s="2" t="n"/>
      <c r="K305" s="2" t="n"/>
      <c r="L305" s="2" t="n"/>
      <c r="M305" s="2" t="n"/>
      <c r="N305" s="2" t="n"/>
      <c r="O305" s="2" t="n"/>
      <c r="P305" s="2" t="n">
        <v>10</v>
      </c>
      <c r="Q305" s="2" t="n"/>
      <c r="R305" s="2" t="n"/>
      <c r="S305" s="2" t="n"/>
      <c r="T305" s="2" t="n"/>
      <c r="U305" s="2" t="n"/>
      <c r="V305" s="2">
        <f>SUM(J305:U305)</f>
        <v/>
      </c>
      <c r="W305" s="2" t="n"/>
      <c r="X305" s="2" t="n"/>
      <c r="Y305" s="2" t="n"/>
      <c r="Z305" s="2" t="n"/>
      <c r="AA305" s="2" t="n">
        <v>160</v>
      </c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>
        <f>IF(F305=1,V305*2,IF(F305=2,V305*F305*2,IF(F305&gt;2,F305*2*V305)))</f>
        <v/>
      </c>
      <c r="AW305" s="2">
        <f>SUM(W305:AU305)</f>
        <v/>
      </c>
    </row>
    <row r="306">
      <c r="A306" s="2" t="inlineStr">
        <is>
          <t>14-K-585</t>
        </is>
      </c>
      <c r="B306" s="3" t="inlineStr">
        <is>
          <t>OJC-A1-LC/LC-SM-2-PC/PC-SP</t>
        </is>
      </c>
      <c r="C306" s="2" t="inlineStr">
        <is>
          <t>K9089043</t>
        </is>
      </c>
      <c r="D306" s="2" t="inlineStr">
        <is>
          <t>a1</t>
        </is>
      </c>
      <c r="E306" s="2" t="inlineStr">
        <is>
          <t>2.0mm</t>
        </is>
      </c>
      <c r="F306" s="2" t="n">
        <v>1</v>
      </c>
      <c r="G306" s="2" t="n">
        <v>2</v>
      </c>
      <c r="H306" s="2" t="inlineStr">
        <is>
          <t>LC/PC</t>
        </is>
      </c>
      <c r="I306" s="2" t="inlineStr">
        <is>
          <t>LC/PC</t>
        </is>
      </c>
      <c r="J306" s="2" t="n"/>
      <c r="K306" s="2" t="n"/>
      <c r="L306" s="2" t="n"/>
      <c r="M306" s="2" t="n"/>
      <c r="N306" s="2" t="n"/>
      <c r="O306" s="2" t="n"/>
      <c r="P306" s="2" t="n">
        <v>2</v>
      </c>
      <c r="Q306" s="2" t="n"/>
      <c r="R306" s="2" t="n"/>
      <c r="S306" s="2" t="n"/>
      <c r="T306" s="2" t="n">
        <v>50</v>
      </c>
      <c r="U306" s="2" t="n"/>
      <c r="V306" s="2">
        <f>SUM(J306:U306)</f>
        <v/>
      </c>
      <c r="W306" s="2" t="n">
        <v>104</v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>
        <f>IF(F306=1,V306*2,IF(F306=2,V306*F306*2,IF(F306&gt;2,F306*2*V306)))</f>
        <v/>
      </c>
      <c r="AW306" s="2">
        <f>SUM(W306:AU306)</f>
        <v/>
      </c>
    </row>
    <row r="307">
      <c r="A307" s="2" t="inlineStr">
        <is>
          <t>14-K-587</t>
        </is>
      </c>
      <c r="B307" s="3" t="inlineStr">
        <is>
          <t>OJC-A1-LC/LC-SM-60-PC/PC-DP</t>
        </is>
      </c>
      <c r="C307" s="2" t="inlineStr"/>
      <c r="D307" s="2" t="inlineStr">
        <is>
          <t>a1</t>
        </is>
      </c>
      <c r="E307" s="2" t="inlineStr">
        <is>
          <t>2.0mm</t>
        </is>
      </c>
      <c r="F307" s="2" t="n">
        <v>2</v>
      </c>
      <c r="G307" s="2" t="n">
        <v>60</v>
      </c>
      <c r="H307" s="2" t="inlineStr">
        <is>
          <t>LC/PC</t>
        </is>
      </c>
      <c r="I307" s="2" t="inlineStr">
        <is>
          <t>LC/PC</t>
        </is>
      </c>
      <c r="J307" s="2" t="n"/>
      <c r="K307" s="2" t="n">
        <v>2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>
        <v>59</v>
      </c>
      <c r="V307" s="2">
        <f>SUM(J307:U307)</f>
        <v/>
      </c>
      <c r="W307" s="2" t="n">
        <v>122</v>
      </c>
      <c r="X307" s="2" t="n">
        <v>122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>
        <f>IF(F307=1,V307*2,IF(F307=2,V307*F307*2,IF(F307&gt;2,F307*2*V307)))</f>
        <v/>
      </c>
      <c r="AW307" s="2">
        <f>SUM(W307:AU307)</f>
        <v/>
      </c>
    </row>
    <row r="308">
      <c r="A308" s="2" t="inlineStr">
        <is>
          <t>14-K-590</t>
        </is>
      </c>
      <c r="B308" s="3" t="inlineStr">
        <is>
          <t>OJC-A1-SC/SC-SM-14-PC/PC-SP</t>
        </is>
      </c>
      <c r="C308" s="2" t="inlineStr">
        <is>
          <t>K9089007</t>
        </is>
      </c>
      <c r="D308" s="2" t="inlineStr">
        <is>
          <t>a1</t>
        </is>
      </c>
      <c r="E308" s="2" t="inlineStr">
        <is>
          <t>2.0mm</t>
        </is>
      </c>
      <c r="F308" s="2" t="n">
        <v>1</v>
      </c>
      <c r="G308" s="2" t="n">
        <v>14</v>
      </c>
      <c r="H308" s="2" t="inlineStr">
        <is>
          <t>SC/PC</t>
        </is>
      </c>
      <c r="I308" s="2" t="inlineStr">
        <is>
          <t>SC/PC</t>
        </is>
      </c>
      <c r="J308" s="2" t="n"/>
      <c r="K308" s="2" t="n"/>
      <c r="L308" s="2" t="n"/>
      <c r="M308" s="2" t="n"/>
      <c r="N308" s="2" t="n"/>
      <c r="O308" s="2" t="n"/>
      <c r="P308" s="2" t="n"/>
      <c r="Q308" s="2" t="n">
        <v>100</v>
      </c>
      <c r="R308" s="2" t="n"/>
      <c r="S308" s="2" t="n"/>
      <c r="T308" s="2" t="n"/>
      <c r="U308" s="2" t="n">
        <v>20</v>
      </c>
      <c r="V308" s="2">
        <f>SUM(J308:U308)</f>
        <v/>
      </c>
      <c r="W308" s="2" t="n"/>
      <c r="X308" s="2" t="n"/>
      <c r="Y308" s="2" t="n"/>
      <c r="Z308" s="2" t="n"/>
      <c r="AA308" s="2" t="n">
        <v>240</v>
      </c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>
        <f>IF(F308=1,V308*2,IF(F308=2,V308*F308*2,IF(F308&gt;2,F308*2*V308)))</f>
        <v/>
      </c>
      <c r="AW308" s="2">
        <f>SUM(W308:AU308)</f>
        <v/>
      </c>
    </row>
    <row r="309">
      <c r="A309" s="2" t="inlineStr">
        <is>
          <t>14-K-594</t>
        </is>
      </c>
      <c r="B309" s="3" t="inlineStr">
        <is>
          <t>OJC-A1-SC/LC-SM-18-PC/PC-DP</t>
        </is>
      </c>
      <c r="C309" s="2" t="inlineStr"/>
      <c r="D309" s="2" t="inlineStr">
        <is>
          <t>a1</t>
        </is>
      </c>
      <c r="E309" s="2" t="inlineStr">
        <is>
          <t>2.0mm</t>
        </is>
      </c>
      <c r="F309" s="2" t="n">
        <v>2</v>
      </c>
      <c r="G309" s="2" t="n">
        <v>18</v>
      </c>
      <c r="H309" s="2" t="inlineStr">
        <is>
          <t>SC/PC</t>
        </is>
      </c>
      <c r="I309" s="2" t="inlineStr">
        <is>
          <t>LC/PC</t>
        </is>
      </c>
      <c r="J309" s="2" t="n"/>
      <c r="K309" s="2" t="n"/>
      <c r="L309" s="2" t="n"/>
      <c r="M309" s="2" t="n"/>
      <c r="N309" s="2" t="n">
        <v>6</v>
      </c>
      <c r="O309" s="2" t="n"/>
      <c r="P309" s="2" t="n"/>
      <c r="Q309" s="2" t="n"/>
      <c r="R309" s="2" t="n"/>
      <c r="S309" s="2" t="n"/>
      <c r="T309" s="2" t="n"/>
      <c r="U309" s="2" t="n"/>
      <c r="V309" s="2">
        <f>SUM(J309:U309)</f>
        <v/>
      </c>
      <c r="W309" s="2" t="n"/>
      <c r="X309" s="2" t="n">
        <v>12</v>
      </c>
      <c r="Y309" s="2" t="n"/>
      <c r="Z309" s="2" t="n"/>
      <c r="AA309" s="2" t="n">
        <v>12</v>
      </c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>
        <f>IF(F309=1,V309*2,IF(F309=2,V309*F309*2,IF(F309&gt;2,F309*2*V309)))</f>
        <v/>
      </c>
      <c r="AW309" s="2">
        <f>SUM(W309:AU309)</f>
        <v/>
      </c>
    </row>
    <row r="310">
      <c r="A310" s="2" t="inlineStr">
        <is>
          <t>14-K-603</t>
        </is>
      </c>
      <c r="B310" s="3" t="inlineStr">
        <is>
          <t>OJC-C2-SC/SC-SM-4-PC/PC-8C-1.0</t>
        </is>
      </c>
      <c r="C310" s="2" t="inlineStr">
        <is>
          <t>K9089452</t>
        </is>
      </c>
      <c r="D310" s="2" t="inlineStr">
        <is>
          <t>a1-8c</t>
        </is>
      </c>
      <c r="E310" s="2" t="inlineStr">
        <is>
          <t>2.0mm</t>
        </is>
      </c>
      <c r="F310" s="2" t="n">
        <v>8</v>
      </c>
      <c r="G310" s="2" t="n">
        <v>4</v>
      </c>
      <c r="H310" s="2" t="inlineStr">
        <is>
          <t>SC/PC</t>
        </is>
      </c>
      <c r="I310" s="2" t="inlineStr">
        <is>
          <t>SC/PC</t>
        </is>
      </c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>
        <v>85</v>
      </c>
      <c r="V310" s="2">
        <f>SUM(J310:U310)</f>
        <v/>
      </c>
      <c r="W310" s="2" t="n"/>
      <c r="X310" s="2" t="n"/>
      <c r="Y310" s="2" t="n"/>
      <c r="Z310" s="2" t="n"/>
      <c r="AA310" s="2" t="n">
        <v>1360</v>
      </c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>
        <f>IF(F310=1,V310*2,IF(F310=2,V310*F310*2,IF(F310&gt;2,F310*2*V310)))</f>
        <v/>
      </c>
      <c r="AW310" s="2">
        <f>SUM(W310:AU310)</f>
        <v/>
      </c>
    </row>
    <row r="311">
      <c r="A311" s="2" t="inlineStr">
        <is>
          <t>14-K-607</t>
        </is>
      </c>
      <c r="B311" s="3" t="inlineStr">
        <is>
          <t>OJC-C2-SC/SC-SM-25-PC/PC-4C</t>
        </is>
      </c>
      <c r="C311" s="2" t="inlineStr">
        <is>
          <t>K9089451</t>
        </is>
      </c>
      <c r="D311" s="2" t="inlineStr">
        <is>
          <t>b3-4c</t>
        </is>
      </c>
      <c r="E311" s="2" t="inlineStr">
        <is>
          <t>2.0mm</t>
        </is>
      </c>
      <c r="F311" s="2" t="n">
        <v>4</v>
      </c>
      <c r="G311" s="2" t="n">
        <v>25</v>
      </c>
      <c r="H311" s="2" t="inlineStr">
        <is>
          <t>SC/PC</t>
        </is>
      </c>
      <c r="I311" s="2" t="inlineStr">
        <is>
          <t>SC/PC</t>
        </is>
      </c>
      <c r="J311" s="2" t="n"/>
      <c r="K311" s="2" t="n">
        <v>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>
        <f>SUM(J311:U311)</f>
        <v/>
      </c>
      <c r="W311" s="2" t="n"/>
      <c r="X311" s="2" t="n"/>
      <c r="Y311" s="2" t="n"/>
      <c r="Z311" s="2" t="n"/>
      <c r="AA311" s="2" t="n">
        <v>40</v>
      </c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>
        <f>IF(F311=1,V311*2,IF(F311=2,V311*F311*2,IF(F311&gt;2,F311*2*V311)))</f>
        <v/>
      </c>
      <c r="AW311" s="2">
        <f>SUM(W311:AU311)</f>
        <v/>
      </c>
    </row>
    <row r="312">
      <c r="A312" s="2" t="inlineStr">
        <is>
          <t>14-K-616</t>
        </is>
      </c>
      <c r="B312" s="3" t="inlineStr">
        <is>
          <t>OJC-A1-LC/LC-SM-6-PC/PC-DP</t>
        </is>
      </c>
      <c r="C312" s="2" t="inlineStr"/>
      <c r="D312" s="2" t="inlineStr">
        <is>
          <t>a1</t>
        </is>
      </c>
      <c r="E312" s="2" t="inlineStr">
        <is>
          <t>2.0mm</t>
        </is>
      </c>
      <c r="F312" s="2" t="n">
        <v>2</v>
      </c>
      <c r="G312" s="2" t="n">
        <v>6</v>
      </c>
      <c r="H312" s="2" t="inlineStr">
        <is>
          <t>LC/PC</t>
        </is>
      </c>
      <c r="I312" s="2" t="inlineStr">
        <is>
          <t>LC/PC</t>
        </is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>
        <v>10</v>
      </c>
      <c r="V312" s="2">
        <f>SUM(J312:U312)</f>
        <v/>
      </c>
      <c r="W312" s="2" t="n">
        <v>20</v>
      </c>
      <c r="X312" s="2" t="n">
        <v>20</v>
      </c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>
        <f>IF(F312=1,V312*2,IF(F312=2,V312*F312*2,IF(F312&gt;2,F312*2*V312)))</f>
        <v/>
      </c>
      <c r="AW312" s="2">
        <f>SUM(W312:AU312)</f>
        <v/>
      </c>
    </row>
    <row r="313">
      <c r="A313" s="2" t="inlineStr">
        <is>
          <t>14-K-617</t>
        </is>
      </c>
      <c r="B313" s="3" t="inlineStr">
        <is>
          <t>OJC-A1-LC/LC-SM-14-PC/PC-DP</t>
        </is>
      </c>
      <c r="C313" s="2" t="inlineStr"/>
      <c r="D313" s="2" t="inlineStr">
        <is>
          <t>a1</t>
        </is>
      </c>
      <c r="E313" s="2" t="inlineStr">
        <is>
          <t>2.0mm</t>
        </is>
      </c>
      <c r="F313" s="2" t="n">
        <v>2</v>
      </c>
      <c r="G313" s="2" t="n">
        <v>14</v>
      </c>
      <c r="H313" s="2" t="inlineStr">
        <is>
          <t>LC/PC</t>
        </is>
      </c>
      <c r="I313" s="2" t="inlineStr">
        <is>
          <t>LC/PC</t>
        </is>
      </c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>
        <v>50</v>
      </c>
      <c r="S313" s="2" t="n"/>
      <c r="T313" s="2" t="n"/>
      <c r="U313" s="2" t="n"/>
      <c r="V313" s="2">
        <f>SUM(J313:U313)</f>
        <v/>
      </c>
      <c r="W313" s="2" t="n">
        <v>100</v>
      </c>
      <c r="X313" s="2" t="n">
        <v>100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>
        <f>IF(F313=1,V313*2,IF(F313=2,V313*F313*2,IF(F313&gt;2,F313*2*V313)))</f>
        <v/>
      </c>
      <c r="AW313" s="2">
        <f>SUM(W313:AU313)</f>
        <v/>
      </c>
    </row>
    <row r="314">
      <c r="A314" s="2" t="inlineStr">
        <is>
          <t>14-K-618</t>
        </is>
      </c>
      <c r="B314" s="3" t="inlineStr">
        <is>
          <t>OJC-A1-LC/LC-SM-16-PC/PC-DP</t>
        </is>
      </c>
      <c r="C314" s="2" t="inlineStr"/>
      <c r="D314" s="2" t="inlineStr">
        <is>
          <t>a1</t>
        </is>
      </c>
      <c r="E314" s="2" t="inlineStr">
        <is>
          <t>2.0mm</t>
        </is>
      </c>
      <c r="F314" s="2" t="n">
        <v>2</v>
      </c>
      <c r="G314" s="2" t="n">
        <v>16</v>
      </c>
      <c r="H314" s="2" t="inlineStr">
        <is>
          <t>LC/PC</t>
        </is>
      </c>
      <c r="I314" s="2" t="inlineStr">
        <is>
          <t>LC/PC</t>
        </is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>
        <v>5</v>
      </c>
      <c r="V314" s="2">
        <f>SUM(J314:U314)</f>
        <v/>
      </c>
      <c r="W314" s="2" t="n">
        <v>10</v>
      </c>
      <c r="X314" s="2" t="n">
        <v>10</v>
      </c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>
        <f>IF(F314=1,V314*2,IF(F314=2,V314*F314*2,IF(F314&gt;2,F314*2*V314)))</f>
        <v/>
      </c>
      <c r="AW314" s="2">
        <f>SUM(W314:AU314)</f>
        <v/>
      </c>
    </row>
    <row r="315">
      <c r="A315" s="2" t="inlineStr">
        <is>
          <t>14-K-619</t>
        </is>
      </c>
      <c r="B315" s="3" t="inlineStr">
        <is>
          <t>OJC-A1-LC/LC-SM-17-PC/PC-DP</t>
        </is>
      </c>
      <c r="C315" s="2" t="inlineStr"/>
      <c r="D315" s="2" t="inlineStr">
        <is>
          <t>a1</t>
        </is>
      </c>
      <c r="E315" s="2" t="inlineStr">
        <is>
          <t>2.0mm</t>
        </is>
      </c>
      <c r="F315" s="2" t="n">
        <v>2</v>
      </c>
      <c r="G315" s="2" t="n">
        <v>17</v>
      </c>
      <c r="H315" s="2" t="inlineStr">
        <is>
          <t>LC/PC</t>
        </is>
      </c>
      <c r="I315" s="2" t="inlineStr">
        <is>
          <t>LC/PC</t>
        </is>
      </c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>
        <v>5</v>
      </c>
      <c r="V315" s="2">
        <f>SUM(J315:U315)</f>
        <v/>
      </c>
      <c r="W315" s="2" t="n">
        <v>10</v>
      </c>
      <c r="X315" s="2" t="n">
        <v>10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>
        <f>IF(F315=1,V315*2,IF(F315=2,V315*F315*2,IF(F315&gt;2,F315*2*V315)))</f>
        <v/>
      </c>
      <c r="AW315" s="2">
        <f>SUM(W315:AU315)</f>
        <v/>
      </c>
    </row>
    <row r="316">
      <c r="A316" s="2" t="inlineStr">
        <is>
          <t>14-K-639</t>
        </is>
      </c>
      <c r="B316" s="3" t="inlineStr">
        <is>
          <t>OJC-A1-SC/SC-SM-11-PC/PC-SP</t>
        </is>
      </c>
      <c r="C316" s="2" t="inlineStr">
        <is>
          <t>K9089004</t>
        </is>
      </c>
      <c r="D316" s="2" t="inlineStr">
        <is>
          <t>a1</t>
        </is>
      </c>
      <c r="E316" s="2" t="inlineStr">
        <is>
          <t>2.0mm</t>
        </is>
      </c>
      <c r="F316" s="2" t="n">
        <v>1</v>
      </c>
      <c r="G316" s="2" t="n">
        <v>11</v>
      </c>
      <c r="H316" s="2" t="inlineStr">
        <is>
          <t>SC/PC</t>
        </is>
      </c>
      <c r="I316" s="2" t="inlineStr">
        <is>
          <t>SC/PC</t>
        </is>
      </c>
      <c r="J316" s="2" t="n"/>
      <c r="K316" s="2" t="n"/>
      <c r="L316" s="2" t="n"/>
      <c r="M316" s="2" t="n"/>
      <c r="N316" s="2" t="n"/>
      <c r="O316" s="2" t="n"/>
      <c r="P316" s="2" t="n"/>
      <c r="Q316" s="2" t="n">
        <v>100</v>
      </c>
      <c r="R316" s="2" t="n"/>
      <c r="S316" s="2" t="n"/>
      <c r="T316" s="2" t="n"/>
      <c r="U316" s="2" t="n"/>
      <c r="V316" s="2">
        <f>SUM(J316:U316)</f>
        <v/>
      </c>
      <c r="W316" s="2" t="n"/>
      <c r="X316" s="2" t="n"/>
      <c r="Y316" s="2" t="n"/>
      <c r="Z316" s="2" t="n"/>
      <c r="AA316" s="2" t="n">
        <v>200</v>
      </c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>
        <f>IF(F316=1,V316*2,IF(F316=2,V316*F316*2,IF(F316&gt;2,F316*2*V316)))</f>
        <v/>
      </c>
      <c r="AW316" s="2">
        <f>SUM(W316:AU316)</f>
        <v/>
      </c>
    </row>
    <row r="317">
      <c r="A317" s="2" t="inlineStr">
        <is>
          <t>14-K-640</t>
        </is>
      </c>
      <c r="B317" s="3" t="inlineStr">
        <is>
          <t>OJC-A1-LC/LC-MM-7-PC/PC-DP</t>
        </is>
      </c>
      <c r="C317" s="2" t="inlineStr"/>
      <c r="D317" s="2" t="inlineStr">
        <is>
          <t>om1</t>
        </is>
      </c>
      <c r="E317" s="2" t="inlineStr">
        <is>
          <t>2.0mm</t>
        </is>
      </c>
      <c r="F317" s="2" t="n">
        <v>2</v>
      </c>
      <c r="G317" s="2" t="n">
        <v>7</v>
      </c>
      <c r="H317" s="2" t="inlineStr">
        <is>
          <t>LC/PC</t>
        </is>
      </c>
      <c r="I317" s="2" t="inlineStr">
        <is>
          <t>LC/PC</t>
        </is>
      </c>
      <c r="J317" s="2" t="n"/>
      <c r="K317" s="2" t="n"/>
      <c r="L317" s="2" t="n">
        <v>2</v>
      </c>
      <c r="M317" s="2" t="n"/>
      <c r="N317" s="2" t="n"/>
      <c r="O317" s="2" t="n"/>
      <c r="P317" s="2" t="n"/>
      <c r="Q317" s="2" t="n"/>
      <c r="R317" s="2" t="n"/>
      <c r="S317" s="2" t="n">
        <v>4</v>
      </c>
      <c r="T317" s="2" t="n"/>
      <c r="U317" s="2" t="n"/>
      <c r="V317" s="2">
        <f>SUM(J317:U317)</f>
        <v/>
      </c>
      <c r="W317" s="2" t="n"/>
      <c r="X317" s="2" t="n">
        <v>12</v>
      </c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>
        <v>12</v>
      </c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>
        <f>IF(F317=1,V317*2,IF(F317=2,V317*F317*2,IF(F317&gt;2,F317*2*V317)))</f>
        <v/>
      </c>
      <c r="AW317" s="2">
        <f>SUM(W317:AU317)</f>
        <v/>
      </c>
    </row>
    <row r="318">
      <c r="A318" s="2" t="inlineStr">
        <is>
          <t>14-K-650</t>
        </is>
      </c>
      <c r="B318" s="3" t="inlineStr">
        <is>
          <t>OJC-A1-SC/LC-MM-13-PC/PC-DP</t>
        </is>
      </c>
      <c r="C318" s="2" t="inlineStr"/>
      <c r="D318" s="2" t="inlineStr">
        <is>
          <t>om1</t>
        </is>
      </c>
      <c r="E318" s="2" t="inlineStr">
        <is>
          <t>2.0mm</t>
        </is>
      </c>
      <c r="F318" s="2" t="n">
        <v>2</v>
      </c>
      <c r="G318" s="2" t="n">
        <v>13</v>
      </c>
      <c r="H318" s="2" t="inlineStr">
        <is>
          <t>SC/PC</t>
        </is>
      </c>
      <c r="I318" s="2" t="inlineStr">
        <is>
          <t>LC/PC</t>
        </is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>
        <v>2</v>
      </c>
      <c r="T318" s="2" t="n"/>
      <c r="U318" s="2" t="n"/>
      <c r="V318" s="2">
        <f>SUM(J318:U318)</f>
        <v/>
      </c>
      <c r="W318" s="2" t="n"/>
      <c r="X318" s="2" t="n">
        <v>4</v>
      </c>
      <c r="Y318" s="2" t="n"/>
      <c r="Z318" s="2" t="n"/>
      <c r="AA318" s="2" t="n">
        <v>4</v>
      </c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>
        <f>IF(F318=1,V318*2,IF(F318=2,V318*F318*2,IF(F318&gt;2,F318*2*V318)))</f>
        <v/>
      </c>
      <c r="AW318" s="2">
        <f>SUM(W318:AU318)</f>
        <v/>
      </c>
    </row>
    <row r="319">
      <c r="A319" s="2" t="inlineStr">
        <is>
          <t>14-K-652</t>
        </is>
      </c>
      <c r="B319" s="3" t="inlineStr">
        <is>
          <t>OJC-A1-SC/LC-SM-15-PC/PC-DP</t>
        </is>
      </c>
      <c r="C319" s="2" t="inlineStr">
        <is>
          <t>K9089163_청색</t>
        </is>
      </c>
      <c r="D319" s="2" t="inlineStr">
        <is>
          <t>a1-청</t>
        </is>
      </c>
      <c r="E319" s="2" t="inlineStr">
        <is>
          <t>2.0mm</t>
        </is>
      </c>
      <c r="F319" s="2" t="n">
        <v>2</v>
      </c>
      <c r="G319" s="2" t="n">
        <v>15</v>
      </c>
      <c r="H319" s="2" t="inlineStr">
        <is>
          <t>SC/PC</t>
        </is>
      </c>
      <c r="I319" s="2" t="inlineStr">
        <is>
          <t>LC/PC</t>
        </is>
      </c>
      <c r="J319" s="2" t="n"/>
      <c r="K319" s="2" t="n"/>
      <c r="L319" s="2" t="n"/>
      <c r="M319" s="2" t="n"/>
      <c r="N319" s="2" t="n">
        <v>50</v>
      </c>
      <c r="O319" s="2" t="n"/>
      <c r="P319" s="2" t="n"/>
      <c r="Q319" s="2" t="n"/>
      <c r="R319" s="2" t="n"/>
      <c r="S319" s="2" t="n"/>
      <c r="T319" s="2" t="n"/>
      <c r="U319" s="2" t="n"/>
      <c r="V319" s="2">
        <f>SUM(J319:U319)</f>
        <v/>
      </c>
      <c r="W319" s="2" t="n"/>
      <c r="X319" s="2" t="n">
        <v>100</v>
      </c>
      <c r="Y319" s="2" t="n"/>
      <c r="Z319" s="2" t="n"/>
      <c r="AA319" s="2" t="n">
        <v>100</v>
      </c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>
        <f>IF(F319=1,V319*2,IF(F319=2,V319*F319*2,IF(F319&gt;2,F319*2*V319)))</f>
        <v/>
      </c>
      <c r="AW319" s="2">
        <f>SUM(W319:AU319)</f>
        <v/>
      </c>
    </row>
    <row r="320">
      <c r="A320" s="2" t="inlineStr">
        <is>
          <t>14-K-653</t>
        </is>
      </c>
      <c r="B320" s="3" t="inlineStr">
        <is>
          <t>OJC-A1-SC/LC-SM-20-PC/PC-DP</t>
        </is>
      </c>
      <c r="C320" s="2" t="inlineStr">
        <is>
          <t>K9089164_청색</t>
        </is>
      </c>
      <c r="D320" s="2" t="inlineStr">
        <is>
          <t>a1-청</t>
        </is>
      </c>
      <c r="E320" s="2" t="inlineStr">
        <is>
          <t>2.0mm</t>
        </is>
      </c>
      <c r="F320" s="2" t="n">
        <v>2</v>
      </c>
      <c r="G320" s="2" t="n">
        <v>20</v>
      </c>
      <c r="H320" s="2" t="inlineStr">
        <is>
          <t>SC/PC</t>
        </is>
      </c>
      <c r="I320" s="2" t="inlineStr">
        <is>
          <t>LC/PC</t>
        </is>
      </c>
      <c r="J320" s="2" t="n"/>
      <c r="K320" s="2" t="n"/>
      <c r="L320" s="2" t="n"/>
      <c r="M320" s="2" t="n"/>
      <c r="N320" s="2" t="n">
        <v>60</v>
      </c>
      <c r="O320" s="2" t="n"/>
      <c r="P320" s="2" t="n"/>
      <c r="Q320" s="2" t="n"/>
      <c r="R320" s="2" t="n"/>
      <c r="S320" s="2" t="n"/>
      <c r="T320" s="2" t="n"/>
      <c r="U320" s="2" t="n"/>
      <c r="V320" s="2">
        <f>SUM(J320:U320)</f>
        <v/>
      </c>
      <c r="W320" s="2" t="n"/>
      <c r="X320" s="2" t="n">
        <v>120</v>
      </c>
      <c r="Y320" s="2" t="n"/>
      <c r="Z320" s="2" t="n"/>
      <c r="AA320" s="2" t="n">
        <v>120</v>
      </c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>
        <f>IF(F320=1,V320*2,IF(F320=2,V320*F320*2,IF(F320&gt;2,F320*2*V320)))</f>
        <v/>
      </c>
      <c r="AW320" s="2">
        <f>SUM(W320:AU320)</f>
        <v/>
      </c>
    </row>
    <row r="321">
      <c r="A321" s="2" t="inlineStr">
        <is>
          <t>14-K-654</t>
        </is>
      </c>
      <c r="B321" s="3" t="inlineStr">
        <is>
          <t>OJC-A1-SC/LC-SM-25-PC/PC-DP</t>
        </is>
      </c>
      <c r="C321" s="2" t="inlineStr">
        <is>
          <t>K9089165_청색</t>
        </is>
      </c>
      <c r="D321" s="2" t="inlineStr">
        <is>
          <t>a1-청</t>
        </is>
      </c>
      <c r="E321" s="2" t="inlineStr">
        <is>
          <t>2.0mm</t>
        </is>
      </c>
      <c r="F321" s="2" t="n">
        <v>2</v>
      </c>
      <c r="G321" s="2" t="n">
        <v>25</v>
      </c>
      <c r="H321" s="2" t="inlineStr">
        <is>
          <t>SC/PC</t>
        </is>
      </c>
      <c r="I321" s="2" t="inlineStr">
        <is>
          <t>LC/PC</t>
        </is>
      </c>
      <c r="J321" s="2" t="n"/>
      <c r="K321" s="2" t="n"/>
      <c r="L321" s="2" t="n"/>
      <c r="M321" s="2" t="n"/>
      <c r="N321" s="2" t="n">
        <v>74</v>
      </c>
      <c r="O321" s="2" t="n"/>
      <c r="P321" s="2" t="n"/>
      <c r="Q321" s="2" t="n"/>
      <c r="R321" s="2" t="n"/>
      <c r="S321" s="2" t="n"/>
      <c r="T321" s="2" t="n"/>
      <c r="U321" s="2" t="n"/>
      <c r="V321" s="2">
        <f>SUM(J321:U321)</f>
        <v/>
      </c>
      <c r="W321" s="2" t="n"/>
      <c r="X321" s="2" t="n">
        <v>148</v>
      </c>
      <c r="Y321" s="2" t="n"/>
      <c r="Z321" s="2" t="n"/>
      <c r="AA321" s="2" t="n">
        <v>148</v>
      </c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>
        <f>IF(F321=1,V321*2,IF(F321=2,V321*F321*2,IF(F321&gt;2,F321*2*V321)))</f>
        <v/>
      </c>
      <c r="AW321" s="2">
        <f>SUM(W321:AU321)</f>
        <v/>
      </c>
    </row>
    <row r="322">
      <c r="A322" s="2" t="inlineStr">
        <is>
          <t>14-K-655</t>
        </is>
      </c>
      <c r="B322" s="3" t="inlineStr">
        <is>
          <t>OJC-A1-SC/LC-SM-30-PC/PC-DP</t>
        </is>
      </c>
      <c r="C322" s="2" t="inlineStr">
        <is>
          <t>K9089166_청색</t>
        </is>
      </c>
      <c r="D322" s="2" t="inlineStr">
        <is>
          <t>a1-청</t>
        </is>
      </c>
      <c r="E322" s="2" t="inlineStr">
        <is>
          <t>2.0mm</t>
        </is>
      </c>
      <c r="F322" s="2" t="n">
        <v>2</v>
      </c>
      <c r="G322" s="2" t="n">
        <v>30</v>
      </c>
      <c r="H322" s="2" t="inlineStr">
        <is>
          <t>SC/PC</t>
        </is>
      </c>
      <c r="I322" s="2" t="inlineStr">
        <is>
          <t>LC/PC</t>
        </is>
      </c>
      <c r="J322" s="2" t="n"/>
      <c r="K322" s="2" t="n"/>
      <c r="L322" s="2" t="n"/>
      <c r="M322" s="2" t="n"/>
      <c r="N322" s="2" t="n">
        <v>50</v>
      </c>
      <c r="O322" s="2" t="n"/>
      <c r="P322" s="2" t="n"/>
      <c r="Q322" s="2" t="n"/>
      <c r="R322" s="2" t="n"/>
      <c r="S322" s="2" t="n"/>
      <c r="T322" s="2" t="n"/>
      <c r="U322" s="2" t="n"/>
      <c r="V322" s="2">
        <f>SUM(J322:U322)</f>
        <v/>
      </c>
      <c r="W322" s="2" t="n"/>
      <c r="X322" s="2" t="n">
        <v>100</v>
      </c>
      <c r="Y322" s="2" t="n"/>
      <c r="Z322" s="2" t="n"/>
      <c r="AA322" s="2" t="n">
        <v>100</v>
      </c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>
        <f>IF(F322=1,V322*2,IF(F322=2,V322*F322*2,IF(F322&gt;2,F322*2*V322)))</f>
        <v/>
      </c>
      <c r="AW322" s="2">
        <f>SUM(W322:AU322)</f>
        <v/>
      </c>
    </row>
    <row r="323">
      <c r="A323" s="2" t="inlineStr">
        <is>
          <t>14-K-656</t>
        </is>
      </c>
      <c r="B323" s="3" t="inlineStr">
        <is>
          <t>OJC-A1-SC/LC-SM-40-PC/PC-DP</t>
        </is>
      </c>
      <c r="C323" s="2" t="inlineStr">
        <is>
          <t>K9089168_청색</t>
        </is>
      </c>
      <c r="D323" s="2" t="inlineStr">
        <is>
          <t>a1-청</t>
        </is>
      </c>
      <c r="E323" s="2" t="inlineStr">
        <is>
          <t>2.0mm</t>
        </is>
      </c>
      <c r="F323" s="2" t="n">
        <v>2</v>
      </c>
      <c r="G323" s="2" t="n">
        <v>40</v>
      </c>
      <c r="H323" s="2" t="inlineStr">
        <is>
          <t>SC/PC</t>
        </is>
      </c>
      <c r="I323" s="2" t="inlineStr">
        <is>
          <t>LC/PC</t>
        </is>
      </c>
      <c r="J323" s="2" t="n"/>
      <c r="K323" s="2" t="n"/>
      <c r="L323" s="2" t="n"/>
      <c r="M323" s="2" t="n"/>
      <c r="N323" s="2" t="n">
        <v>50</v>
      </c>
      <c r="O323" s="2" t="n"/>
      <c r="P323" s="2" t="n"/>
      <c r="Q323" s="2" t="n"/>
      <c r="R323" s="2" t="n"/>
      <c r="S323" s="2" t="n"/>
      <c r="T323" s="2" t="n"/>
      <c r="U323" s="2" t="n"/>
      <c r="V323" s="2">
        <f>SUM(J323:U323)</f>
        <v/>
      </c>
      <c r="W323" s="2" t="n"/>
      <c r="X323" s="2" t="n">
        <v>100</v>
      </c>
      <c r="Y323" s="2" t="n"/>
      <c r="Z323" s="2" t="n"/>
      <c r="AA323" s="2" t="n">
        <v>100</v>
      </c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>
        <f>IF(F323=1,V323*2,IF(F323=2,V323*F323*2,IF(F323&gt;2,F323*2*V323)))</f>
        <v/>
      </c>
      <c r="AW323" s="2">
        <f>SUM(W323:AU323)</f>
        <v/>
      </c>
    </row>
    <row r="324">
      <c r="A324" s="2" t="inlineStr">
        <is>
          <t>14-K-657</t>
        </is>
      </c>
      <c r="B324" s="3" t="inlineStr">
        <is>
          <t>OJC-A1-SC/LC-SM-35-PC/PC-DP</t>
        </is>
      </c>
      <c r="C324" s="2" t="inlineStr">
        <is>
          <t>K9089167_청색</t>
        </is>
      </c>
      <c r="D324" s="2" t="inlineStr">
        <is>
          <t>a1-청</t>
        </is>
      </c>
      <c r="E324" s="2" t="inlineStr">
        <is>
          <t>2.0mm</t>
        </is>
      </c>
      <c r="F324" s="2" t="n">
        <v>2</v>
      </c>
      <c r="G324" s="2" t="n">
        <v>35</v>
      </c>
      <c r="H324" s="2" t="inlineStr">
        <is>
          <t>SC/PC</t>
        </is>
      </c>
      <c r="I324" s="2" t="inlineStr">
        <is>
          <t>LC/PC</t>
        </is>
      </c>
      <c r="J324" s="2" t="n"/>
      <c r="K324" s="2" t="n"/>
      <c r="L324" s="2" t="n"/>
      <c r="M324" s="2" t="n"/>
      <c r="N324" s="2" t="n">
        <v>50</v>
      </c>
      <c r="O324" s="2" t="n"/>
      <c r="P324" s="2" t="n"/>
      <c r="Q324" s="2" t="n"/>
      <c r="R324" s="2" t="n"/>
      <c r="S324" s="2" t="n"/>
      <c r="T324" s="2" t="n"/>
      <c r="U324" s="2" t="n"/>
      <c r="V324" s="2">
        <f>SUM(J324:U324)</f>
        <v/>
      </c>
      <c r="W324" s="2" t="n"/>
      <c r="X324" s="2" t="n">
        <v>100</v>
      </c>
      <c r="Y324" s="2" t="n"/>
      <c r="Z324" s="2" t="n"/>
      <c r="AA324" s="2" t="n">
        <v>100</v>
      </c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>
        <f>IF(F324=1,V324*2,IF(F324=2,V324*F324*2,IF(F324&gt;2,F324*2*V324)))</f>
        <v/>
      </c>
      <c r="AW324" s="2">
        <f>SUM(W324:AU324)</f>
        <v/>
      </c>
    </row>
    <row r="325">
      <c r="A325" s="2" t="inlineStr">
        <is>
          <t>14-K-658</t>
        </is>
      </c>
      <c r="B325" s="3" t="inlineStr">
        <is>
          <t>OJC-A1-LC/LC-MM-12-PC/PC-DP</t>
        </is>
      </c>
      <c r="C325" s="2" t="inlineStr"/>
      <c r="D325" s="2" t="inlineStr">
        <is>
          <t>om1</t>
        </is>
      </c>
      <c r="E325" s="2" t="inlineStr">
        <is>
          <t>2.0mm</t>
        </is>
      </c>
      <c r="F325" s="2" t="n">
        <v>2</v>
      </c>
      <c r="G325" s="2" t="n">
        <v>12</v>
      </c>
      <c r="H325" s="2" t="inlineStr">
        <is>
          <t>LC/PC</t>
        </is>
      </c>
      <c r="I325" s="2" t="inlineStr">
        <is>
          <t>LC/PC</t>
        </is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>
        <v>1</v>
      </c>
      <c r="T325" s="2" t="n"/>
      <c r="U325" s="2" t="n"/>
      <c r="V325" s="2">
        <f>SUM(J325:U325)</f>
        <v/>
      </c>
      <c r="W325" s="2" t="n"/>
      <c r="X325" s="2" t="n">
        <v>2</v>
      </c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>
        <v>2</v>
      </c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>
        <f>IF(F325=1,V325*2,IF(F325=2,V325*F325*2,IF(F325&gt;2,F325*2*V325)))</f>
        <v/>
      </c>
      <c r="AW325" s="2">
        <f>SUM(W325:AU325)</f>
        <v/>
      </c>
    </row>
    <row r="326">
      <c r="A326" s="2" t="inlineStr">
        <is>
          <t>14-K-663</t>
        </is>
      </c>
      <c r="B326" s="3" t="inlineStr">
        <is>
          <t>OJC-A1-LC/LC-MM(OM3)-40-PC/PC-DP</t>
        </is>
      </c>
      <c r="C326" s="2" t="inlineStr"/>
      <c r="D326" s="2" t="inlineStr">
        <is>
          <t>om3</t>
        </is>
      </c>
      <c r="E326" s="2" t="inlineStr">
        <is>
          <t>2.0mm</t>
        </is>
      </c>
      <c r="F326" s="2" t="n">
        <v>2</v>
      </c>
      <c r="G326" s="2" t="n">
        <v>40</v>
      </c>
      <c r="H326" s="2" t="inlineStr">
        <is>
          <t>LC/PC</t>
        </is>
      </c>
      <c r="I326" s="2" t="inlineStr">
        <is>
          <t>LC/PC</t>
        </is>
      </c>
      <c r="J326" s="2" t="n"/>
      <c r="K326" s="2" t="n"/>
      <c r="L326" s="2" t="n"/>
      <c r="M326" s="2" t="n">
        <v>4</v>
      </c>
      <c r="N326" s="2" t="n"/>
      <c r="O326" s="2" t="n"/>
      <c r="P326" s="2" t="n"/>
      <c r="Q326" s="2" t="n">
        <v>8</v>
      </c>
      <c r="R326" s="2" t="n"/>
      <c r="S326" s="2" t="n"/>
      <c r="T326" s="2" t="n"/>
      <c r="U326" s="2" t="n"/>
      <c r="V326" s="2">
        <f>SUM(J326:U326)</f>
        <v/>
      </c>
      <c r="W326" s="2" t="n"/>
      <c r="X326" s="2" t="n">
        <v>24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>
        <v>24</v>
      </c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>
        <f>IF(F326=1,V326*2,IF(F326=2,V326*F326*2,IF(F326&gt;2,F326*2*V326)))</f>
        <v/>
      </c>
      <c r="AW326" s="2">
        <f>SUM(W326:AU326)</f>
        <v/>
      </c>
    </row>
    <row r="327">
      <c r="A327" s="2" t="inlineStr">
        <is>
          <t>14-K-667</t>
        </is>
      </c>
      <c r="B327" s="3" t="inlineStr">
        <is>
          <t>OJC-A1-SC/SC-SM-20-PC/PC-DP</t>
        </is>
      </c>
      <c r="C327" s="2" t="inlineStr">
        <is>
          <t>K9089142_녹색</t>
        </is>
      </c>
      <c r="D327" s="2" t="inlineStr">
        <is>
          <t>a1-녹</t>
        </is>
      </c>
      <c r="E327" s="2" t="inlineStr">
        <is>
          <t>2.0mm</t>
        </is>
      </c>
      <c r="F327" s="2" t="n">
        <v>2</v>
      </c>
      <c r="G327" s="2" t="n">
        <v>20</v>
      </c>
      <c r="H327" s="2" t="inlineStr">
        <is>
          <t>SC/PC</t>
        </is>
      </c>
      <c r="I327" s="2" t="inlineStr">
        <is>
          <t>SC/PC</t>
        </is>
      </c>
      <c r="J327" s="2" t="n"/>
      <c r="K327" s="2" t="n"/>
      <c r="L327" s="2" t="n"/>
      <c r="M327" s="2" t="n">
        <v>80</v>
      </c>
      <c r="N327" s="2" t="n"/>
      <c r="O327" s="2" t="n"/>
      <c r="P327" s="2" t="n"/>
      <c r="Q327" s="2" t="n">
        <v>50</v>
      </c>
      <c r="R327" s="2" t="n"/>
      <c r="S327" s="2" t="n"/>
      <c r="T327" s="2" t="n"/>
      <c r="U327" s="2" t="n"/>
      <c r="V327" s="2">
        <f>SUM(J327:U327)</f>
        <v/>
      </c>
      <c r="W327" s="2" t="n"/>
      <c r="X327" s="2" t="n"/>
      <c r="Y327" s="2" t="n"/>
      <c r="Z327" s="2" t="n"/>
      <c r="AA327" s="2" t="n">
        <v>260</v>
      </c>
      <c r="AB327" s="2" t="n">
        <v>260</v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>
        <f>IF(F327=1,V327*2,IF(F327=2,V327*F327*2,IF(F327&gt;2,F327*2*V327)))</f>
        <v/>
      </c>
      <c r="AW327" s="2">
        <f>SUM(W327:AU327)</f>
        <v/>
      </c>
    </row>
    <row r="328">
      <c r="A328" s="2" t="inlineStr">
        <is>
          <t>14-K-668</t>
        </is>
      </c>
      <c r="B328" s="3" t="inlineStr">
        <is>
          <t>OJC-A1-SC/SC-SM-25-PC/PC-DP</t>
        </is>
      </c>
      <c r="C328" s="2" t="inlineStr">
        <is>
          <t>K9089147_녹색</t>
        </is>
      </c>
      <c r="D328" s="2" t="inlineStr">
        <is>
          <t>a1-녹</t>
        </is>
      </c>
      <c r="E328" s="2" t="inlineStr">
        <is>
          <t>2.0mm</t>
        </is>
      </c>
      <c r="F328" s="2" t="n">
        <v>2</v>
      </c>
      <c r="G328" s="2" t="n">
        <v>25</v>
      </c>
      <c r="H328" s="2" t="inlineStr">
        <is>
          <t>SC/PC</t>
        </is>
      </c>
      <c r="I328" s="2" t="inlineStr">
        <is>
          <t>SC/PC</t>
        </is>
      </c>
      <c r="J328" s="2" t="n"/>
      <c r="K328" s="2" t="n"/>
      <c r="L328" s="2" t="n"/>
      <c r="M328" s="2" t="n">
        <v>100</v>
      </c>
      <c r="N328" s="2" t="n"/>
      <c r="O328" s="2" t="n"/>
      <c r="P328" s="2" t="n"/>
      <c r="Q328" s="2" t="n">
        <v>50</v>
      </c>
      <c r="R328" s="2" t="n"/>
      <c r="S328" s="2" t="n"/>
      <c r="T328" s="2" t="n">
        <v>100</v>
      </c>
      <c r="U328" s="2" t="n"/>
      <c r="V328" s="2">
        <f>SUM(J328:U328)</f>
        <v/>
      </c>
      <c r="W328" s="2" t="n"/>
      <c r="X328" s="2" t="n"/>
      <c r="Y328" s="2" t="n"/>
      <c r="Z328" s="2" t="n"/>
      <c r="AA328" s="2" t="n">
        <v>500</v>
      </c>
      <c r="AB328" s="2" t="n">
        <v>500</v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>
        <f>IF(F328=1,V328*2,IF(F328=2,V328*F328*2,IF(F328&gt;2,F328*2*V328)))</f>
        <v/>
      </c>
      <c r="AW328" s="2">
        <f>SUM(W328:AU328)</f>
        <v/>
      </c>
    </row>
    <row r="329">
      <c r="A329" s="2" t="inlineStr">
        <is>
          <t>14-K-669</t>
        </is>
      </c>
      <c r="B329" s="3" t="inlineStr">
        <is>
          <t>OJC-A1-SC/SC-SM-10-PC/PC-DP</t>
        </is>
      </c>
      <c r="C329" s="2" t="inlineStr">
        <is>
          <t>K9089132_녹색</t>
        </is>
      </c>
      <c r="D329" s="2" t="inlineStr">
        <is>
          <t>a1-녹</t>
        </is>
      </c>
      <c r="E329" s="2" t="inlineStr">
        <is>
          <t>2.0mm</t>
        </is>
      </c>
      <c r="F329" s="2" t="n">
        <v>2</v>
      </c>
      <c r="G329" s="2" t="n">
        <v>10</v>
      </c>
      <c r="H329" s="2" t="inlineStr">
        <is>
          <t>SC/PC</t>
        </is>
      </c>
      <c r="I329" s="2" t="inlineStr">
        <is>
          <t>SC/PC</t>
        </is>
      </c>
      <c r="J329" s="2" t="n"/>
      <c r="K329" s="2" t="n"/>
      <c r="L329" s="2" t="n"/>
      <c r="M329" s="2" t="n">
        <v>30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>
        <f>SUM(J329:U329)</f>
        <v/>
      </c>
      <c r="W329" s="2" t="n"/>
      <c r="X329" s="2" t="n"/>
      <c r="Y329" s="2" t="n"/>
      <c r="Z329" s="2" t="n"/>
      <c r="AA329" s="2" t="n">
        <v>60</v>
      </c>
      <c r="AB329" s="2" t="n">
        <v>60</v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>
        <f>IF(F329=1,V329*2,IF(F329=2,V329*F329*2,IF(F329&gt;2,F329*2*V329)))</f>
        <v/>
      </c>
      <c r="AW329" s="2">
        <f>SUM(W329:AU329)</f>
        <v/>
      </c>
    </row>
    <row r="330">
      <c r="A330" s="2" t="inlineStr">
        <is>
          <t>14-K-670</t>
        </is>
      </c>
      <c r="B330" s="3" t="inlineStr">
        <is>
          <t>OJC-A1-SC/SC-SM-15-PC/PC-DP</t>
        </is>
      </c>
      <c r="C330" s="2" t="inlineStr">
        <is>
          <t>K9089137_녹색</t>
        </is>
      </c>
      <c r="D330" s="2" t="inlineStr">
        <is>
          <t>a1-녹</t>
        </is>
      </c>
      <c r="E330" s="2" t="inlineStr">
        <is>
          <t>2.0mm</t>
        </is>
      </c>
      <c r="F330" s="2" t="n">
        <v>2</v>
      </c>
      <c r="G330" s="2" t="n">
        <v>15</v>
      </c>
      <c r="H330" s="2" t="inlineStr">
        <is>
          <t>SC/PC</t>
        </is>
      </c>
      <c r="I330" s="2" t="inlineStr">
        <is>
          <t>SC/PC</t>
        </is>
      </c>
      <c r="J330" s="2" t="n"/>
      <c r="K330" s="2" t="n"/>
      <c r="L330" s="2" t="n"/>
      <c r="M330" s="2" t="n">
        <v>32</v>
      </c>
      <c r="N330" s="2" t="n"/>
      <c r="O330" s="2" t="n"/>
      <c r="P330" s="2" t="n"/>
      <c r="Q330" s="2" t="n">
        <v>50</v>
      </c>
      <c r="R330" s="2" t="n"/>
      <c r="S330" s="2" t="n"/>
      <c r="T330" s="2" t="n"/>
      <c r="U330" s="2" t="n"/>
      <c r="V330" s="2">
        <f>SUM(J330:U330)</f>
        <v/>
      </c>
      <c r="W330" s="2" t="n"/>
      <c r="X330" s="2" t="n"/>
      <c r="Y330" s="2" t="n"/>
      <c r="Z330" s="2" t="n"/>
      <c r="AA330" s="2" t="n">
        <v>164</v>
      </c>
      <c r="AB330" s="2" t="n">
        <v>164</v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>
        <f>IF(F330=1,V330*2,IF(F330=2,V330*F330*2,IF(F330&gt;2,F330*2*V330)))</f>
        <v/>
      </c>
      <c r="AW330" s="2">
        <f>SUM(W330:AU330)</f>
        <v/>
      </c>
    </row>
    <row r="331">
      <c r="A331" s="2" t="inlineStr">
        <is>
          <t>14-K-673</t>
        </is>
      </c>
      <c r="B331" s="3" t="inlineStr">
        <is>
          <t>OJC-A1-SC/SC-SM-30-PC/PC-DP</t>
        </is>
      </c>
      <c r="C331" s="2" t="inlineStr">
        <is>
          <t>K9089152_녹색</t>
        </is>
      </c>
      <c r="D331" s="2" t="inlineStr">
        <is>
          <t>a1-녹</t>
        </is>
      </c>
      <c r="E331" s="2" t="inlineStr">
        <is>
          <t>2.0mm</t>
        </is>
      </c>
      <c r="F331" s="2" t="n">
        <v>2</v>
      </c>
      <c r="G331" s="2" t="n">
        <v>30</v>
      </c>
      <c r="H331" s="2" t="inlineStr">
        <is>
          <t>SC/PC</t>
        </is>
      </c>
      <c r="I331" s="2" t="inlineStr">
        <is>
          <t>SC/PC</t>
        </is>
      </c>
      <c r="J331" s="2" t="n"/>
      <c r="K331" s="2" t="n"/>
      <c r="L331" s="2" t="n"/>
      <c r="M331" s="2" t="n">
        <v>30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>
        <f>SUM(J331:U331)</f>
        <v/>
      </c>
      <c r="W331" s="2" t="n"/>
      <c r="X331" s="2" t="n"/>
      <c r="Y331" s="2" t="n"/>
      <c r="Z331" s="2" t="n"/>
      <c r="AA331" s="2" t="n">
        <v>60</v>
      </c>
      <c r="AB331" s="2" t="n">
        <v>60</v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>
        <f>IF(F331=1,V331*2,IF(F331=2,V331*F331*2,IF(F331&gt;2,F331*2*V331)))</f>
        <v/>
      </c>
      <c r="AW331" s="2">
        <f>SUM(W331:AU331)</f>
        <v/>
      </c>
    </row>
    <row r="332">
      <c r="A332" s="2" t="inlineStr">
        <is>
          <t>14-K-676</t>
        </is>
      </c>
      <c r="B332" s="3" t="inlineStr">
        <is>
          <t>OJC-A1-SC/ST-SM-10-PC/PC-SP</t>
        </is>
      </c>
      <c r="C332" s="2" t="inlineStr"/>
      <c r="D332" s="2" t="inlineStr">
        <is>
          <t>a1</t>
        </is>
      </c>
      <c r="E332" s="2" t="inlineStr">
        <is>
          <t>2.0mm</t>
        </is>
      </c>
      <c r="F332" s="2" t="n">
        <v>1</v>
      </c>
      <c r="G332" s="2" t="n">
        <v>10</v>
      </c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>
        <v>2</v>
      </c>
      <c r="V332" s="2">
        <f>SUM(J332:U332)</f>
        <v/>
      </c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>
        <f>IF(F332=1,V332*2,IF(F332=2,V332*F332*2,IF(F332&gt;2,F332*2*V332)))</f>
        <v/>
      </c>
      <c r="AW332" s="2">
        <f>SUM(W332:AU332)</f>
        <v/>
      </c>
    </row>
    <row r="333">
      <c r="A333" s="2" t="inlineStr">
        <is>
          <t>14-K-680</t>
        </is>
      </c>
      <c r="B333" s="3" t="inlineStr">
        <is>
          <t>OJC-A1-SC/SC-SM-26-PC/PC-SP</t>
        </is>
      </c>
      <c r="C333" s="2" t="inlineStr">
        <is>
          <t>K9089019</t>
        </is>
      </c>
      <c r="D333" s="2" t="inlineStr">
        <is>
          <t>a1</t>
        </is>
      </c>
      <c r="E333" s="2" t="inlineStr">
        <is>
          <t>2.0mm</t>
        </is>
      </c>
      <c r="F333" s="2" t="n">
        <v>1</v>
      </c>
      <c r="G333" s="2" t="n">
        <v>26</v>
      </c>
      <c r="H333" s="2" t="inlineStr">
        <is>
          <t>SC/PC</t>
        </is>
      </c>
      <c r="I333" s="2" t="inlineStr">
        <is>
          <t>SC/PC</t>
        </is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>
        <v>10</v>
      </c>
      <c r="V333" s="2">
        <f>SUM(J333:U333)</f>
        <v/>
      </c>
      <c r="W333" s="2" t="n"/>
      <c r="X333" s="2" t="n"/>
      <c r="Y333" s="2" t="n"/>
      <c r="Z333" s="2" t="n"/>
      <c r="AA333" s="2" t="n">
        <v>20</v>
      </c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>
        <f>IF(F333=1,V333*2,IF(F333=2,V333*F333*2,IF(F333&gt;2,F333*2*V333)))</f>
        <v/>
      </c>
      <c r="AW333" s="2">
        <f>SUM(W333:AU333)</f>
        <v/>
      </c>
    </row>
    <row r="334">
      <c r="A334" s="2" t="inlineStr">
        <is>
          <t>14-K-682</t>
        </is>
      </c>
      <c r="B334" s="3" t="inlineStr">
        <is>
          <t>OJC-A1-SC/SC-SM-25-PC/PC-DP</t>
        </is>
      </c>
      <c r="C334" s="2" t="inlineStr">
        <is>
          <t>K9089147_적색</t>
        </is>
      </c>
      <c r="D334" s="2" t="inlineStr">
        <is>
          <t>a1-적</t>
        </is>
      </c>
      <c r="E334" s="2" t="inlineStr">
        <is>
          <t>2.0mm</t>
        </is>
      </c>
      <c r="F334" s="2" t="n">
        <v>2</v>
      </c>
      <c r="G334" s="2" t="n">
        <v>25</v>
      </c>
      <c r="H334" s="2" t="inlineStr">
        <is>
          <t>SC/PC</t>
        </is>
      </c>
      <c r="I334" s="2" t="inlineStr">
        <is>
          <t>SC/PC</t>
        </is>
      </c>
      <c r="J334" s="2" t="n"/>
      <c r="K334" s="2" t="n"/>
      <c r="L334" s="2" t="n"/>
      <c r="M334" s="2" t="n">
        <v>30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>
        <f>SUM(J334:U334)</f>
        <v/>
      </c>
      <c r="W334" s="2" t="n"/>
      <c r="X334" s="2" t="n"/>
      <c r="Y334" s="2" t="n"/>
      <c r="Z334" s="2" t="n"/>
      <c r="AA334" s="2" t="n">
        <v>60</v>
      </c>
      <c r="AB334" s="2" t="n">
        <v>60</v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>
        <f>IF(F334=1,V334*2,IF(F334=2,V334*F334*2,IF(F334&gt;2,F334*2*V334)))</f>
        <v/>
      </c>
      <c r="AW334" s="2">
        <f>SUM(W334:AU334)</f>
        <v/>
      </c>
    </row>
    <row r="335">
      <c r="A335" s="2" t="inlineStr">
        <is>
          <t>14-K-683</t>
        </is>
      </c>
      <c r="B335" s="3" t="inlineStr">
        <is>
          <t>OJC-A1-SC/SC-SM-15-PC/PC-DP</t>
        </is>
      </c>
      <c r="C335" s="2" t="inlineStr">
        <is>
          <t>K9089137_적색</t>
        </is>
      </c>
      <c r="D335" s="2" t="inlineStr">
        <is>
          <t>a1-적</t>
        </is>
      </c>
      <c r="E335" s="2" t="inlineStr">
        <is>
          <t>2.0mm</t>
        </is>
      </c>
      <c r="F335" s="2" t="n">
        <v>2</v>
      </c>
      <c r="G335" s="2" t="n">
        <v>15</v>
      </c>
      <c r="H335" s="2" t="inlineStr">
        <is>
          <t>SC/PC</t>
        </is>
      </c>
      <c r="I335" s="2" t="inlineStr">
        <is>
          <t>SC/PC</t>
        </is>
      </c>
      <c r="J335" s="2" t="n"/>
      <c r="K335" s="2" t="n"/>
      <c r="L335" s="2" t="n"/>
      <c r="M335" s="2" t="n">
        <v>30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>
        <f>SUM(J335:U335)</f>
        <v/>
      </c>
      <c r="W335" s="2" t="n"/>
      <c r="X335" s="2" t="n"/>
      <c r="Y335" s="2" t="n"/>
      <c r="Z335" s="2" t="n"/>
      <c r="AA335" s="2" t="n">
        <v>60</v>
      </c>
      <c r="AB335" s="2" t="n">
        <v>60</v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>
        <f>IF(F335=1,V335*2,IF(F335=2,V335*F335*2,IF(F335&gt;2,F335*2*V335)))</f>
        <v/>
      </c>
      <c r="AW335" s="2">
        <f>SUM(W335:AU335)</f>
        <v/>
      </c>
    </row>
    <row r="336">
      <c r="A336" s="2" t="inlineStr">
        <is>
          <t>14-K-684</t>
        </is>
      </c>
      <c r="B336" s="3" t="inlineStr">
        <is>
          <t>OJC-A1-SC/SC-SM-10-PC/PC-DP</t>
        </is>
      </c>
      <c r="C336" s="2" t="inlineStr">
        <is>
          <t>K9089132_적색</t>
        </is>
      </c>
      <c r="D336" s="2" t="inlineStr">
        <is>
          <t>a1-적</t>
        </is>
      </c>
      <c r="E336" s="2" t="inlineStr">
        <is>
          <t>2.0mm</t>
        </is>
      </c>
      <c r="F336" s="2" t="n">
        <v>2</v>
      </c>
      <c r="G336" s="2" t="n">
        <v>10</v>
      </c>
      <c r="H336" s="2" t="inlineStr">
        <is>
          <t>SC/PC</t>
        </is>
      </c>
      <c r="I336" s="2" t="inlineStr">
        <is>
          <t>SC/PC</t>
        </is>
      </c>
      <c r="J336" s="2" t="n"/>
      <c r="K336" s="2" t="n"/>
      <c r="L336" s="2" t="n"/>
      <c r="M336" s="2" t="n">
        <v>30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>
        <f>SUM(J336:U336)</f>
        <v/>
      </c>
      <c r="W336" s="2" t="n"/>
      <c r="X336" s="2" t="n"/>
      <c r="Y336" s="2" t="n"/>
      <c r="Z336" s="2" t="n"/>
      <c r="AA336" s="2" t="n">
        <v>60</v>
      </c>
      <c r="AB336" s="2" t="n">
        <v>60</v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>
        <f>IF(F336=1,V336*2,IF(F336=2,V336*F336*2,IF(F336&gt;2,F336*2*V336)))</f>
        <v/>
      </c>
      <c r="AW336" s="2">
        <f>SUM(W336:AU336)</f>
        <v/>
      </c>
    </row>
    <row r="337">
      <c r="A337" s="2" t="inlineStr">
        <is>
          <t>14-K-699</t>
        </is>
      </c>
      <c r="B337" s="3" t="inlineStr">
        <is>
          <t>OJC-A1-SC/LC-MM(OM3)-10-PC/PC-DP</t>
        </is>
      </c>
      <c r="C337" s="2" t="inlineStr"/>
      <c r="D337" s="2" t="inlineStr">
        <is>
          <t>om3</t>
        </is>
      </c>
      <c r="E337" s="2" t="inlineStr">
        <is>
          <t>2.0mm</t>
        </is>
      </c>
      <c r="F337" s="2" t="n">
        <v>2</v>
      </c>
      <c r="G337" s="2" t="n">
        <v>10</v>
      </c>
      <c r="H337" s="2" t="inlineStr">
        <is>
          <t>SC/PC</t>
        </is>
      </c>
      <c r="I337" s="2" t="inlineStr">
        <is>
          <t>LC/PC</t>
        </is>
      </c>
      <c r="J337" s="2" t="n"/>
      <c r="K337" s="2" t="n"/>
      <c r="L337" s="2" t="n"/>
      <c r="M337" s="2" t="n"/>
      <c r="N337" s="2" t="n"/>
      <c r="O337" s="2" t="n"/>
      <c r="P337" s="2" t="n">
        <v>2</v>
      </c>
      <c r="Q337" s="2" t="n"/>
      <c r="R337" s="2" t="n"/>
      <c r="S337" s="2" t="n"/>
      <c r="T337" s="2" t="n"/>
      <c r="U337" s="2" t="n"/>
      <c r="V337" s="2">
        <f>SUM(J337:U337)</f>
        <v/>
      </c>
      <c r="W337" s="2" t="n"/>
      <c r="X337" s="2" t="n">
        <v>4</v>
      </c>
      <c r="Y337" s="2" t="n"/>
      <c r="Z337" s="2" t="n"/>
      <c r="AA337" s="2" t="n">
        <v>4</v>
      </c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>
        <f>IF(F337=1,V337*2,IF(F337=2,V337*F337*2,IF(F337&gt;2,F337*2*V337)))</f>
        <v/>
      </c>
      <c r="AW337" s="2">
        <f>SUM(W337:AU337)</f>
        <v/>
      </c>
    </row>
    <row r="338">
      <c r="A338" s="2" t="inlineStr">
        <is>
          <t>14-K-700</t>
        </is>
      </c>
      <c r="B338" s="3" t="inlineStr">
        <is>
          <t>OJC-A1-SC/SC-SM-15-PC/PC-SP</t>
        </is>
      </c>
      <c r="C338" s="2" t="inlineStr">
        <is>
          <t>K9089008_청색</t>
        </is>
      </c>
      <c r="D338" s="2" t="inlineStr">
        <is>
          <t>a1-청</t>
        </is>
      </c>
      <c r="E338" s="2" t="inlineStr">
        <is>
          <t>2.0mm</t>
        </is>
      </c>
      <c r="F338" s="2" t="n">
        <v>1</v>
      </c>
      <c r="G338" s="2" t="n">
        <v>15</v>
      </c>
      <c r="H338" s="2" t="inlineStr">
        <is>
          <t>SC/PC</t>
        </is>
      </c>
      <c r="I338" s="2" t="inlineStr">
        <is>
          <t>SC/PC</t>
        </is>
      </c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>
        <v>10</v>
      </c>
      <c r="U338" s="2" t="n"/>
      <c r="V338" s="2">
        <f>SUM(J338:U338)</f>
        <v/>
      </c>
      <c r="W338" s="2" t="n"/>
      <c r="X338" s="2" t="n"/>
      <c r="Y338" s="2" t="n"/>
      <c r="Z338" s="2" t="n"/>
      <c r="AA338" s="2" t="n">
        <v>20</v>
      </c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>
        <f>IF(F338=1,V338*2,IF(F338=2,V338*F338*2,IF(F338&gt;2,F338*2*V338)))</f>
        <v/>
      </c>
      <c r="AW338" s="2">
        <f>SUM(W338:AU338)</f>
        <v/>
      </c>
    </row>
    <row r="339">
      <c r="A339" s="2" t="inlineStr">
        <is>
          <t>14-K-705</t>
        </is>
      </c>
      <c r="B339" s="3" t="inlineStr">
        <is>
          <t>OJC-A1-SC/SC-SM-15-PC/PC-SP</t>
        </is>
      </c>
      <c r="C339" s="2" t="inlineStr">
        <is>
          <t>K9089008_녹색</t>
        </is>
      </c>
      <c r="D339" s="2" t="inlineStr">
        <is>
          <t>a1-녹</t>
        </is>
      </c>
      <c r="E339" s="2" t="inlineStr">
        <is>
          <t>2.0mm</t>
        </is>
      </c>
      <c r="F339" s="2" t="n">
        <v>1</v>
      </c>
      <c r="G339" s="2" t="n">
        <v>15</v>
      </c>
      <c r="H339" s="2" t="inlineStr">
        <is>
          <t>SC/PC</t>
        </is>
      </c>
      <c r="I339" s="2" t="inlineStr">
        <is>
          <t>SC/PC</t>
        </is>
      </c>
      <c r="J339" s="2" t="n"/>
      <c r="K339" s="2" t="n"/>
      <c r="L339" s="2" t="n">
        <v>2</v>
      </c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>
        <f>SUM(J339:U339)</f>
        <v/>
      </c>
      <c r="W339" s="2" t="n"/>
      <c r="X339" s="2" t="n"/>
      <c r="Y339" s="2" t="n"/>
      <c r="Z339" s="2" t="n"/>
      <c r="AA339" s="2" t="n">
        <v>4</v>
      </c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>
        <f>IF(F339=1,V339*2,IF(F339=2,V339*F339*2,IF(F339&gt;2,F339*2*V339)))</f>
        <v/>
      </c>
      <c r="AW339" s="2">
        <f>SUM(W339:AU339)</f>
        <v/>
      </c>
    </row>
    <row r="340">
      <c r="A340" s="2" t="inlineStr">
        <is>
          <t>14-K-708</t>
        </is>
      </c>
      <c r="B340" s="3" t="inlineStr">
        <is>
          <t>OJC-A1-SC/SC-SM-10-PC/PC-DP</t>
        </is>
      </c>
      <c r="C340" s="2" t="inlineStr">
        <is>
          <t>K9089132_청색</t>
        </is>
      </c>
      <c r="D340" s="2" t="inlineStr">
        <is>
          <t>a1-청</t>
        </is>
      </c>
      <c r="E340" s="2" t="inlineStr">
        <is>
          <t>2.0mm</t>
        </is>
      </c>
      <c r="F340" s="2" t="n">
        <v>2</v>
      </c>
      <c r="G340" s="2" t="n">
        <v>10</v>
      </c>
      <c r="H340" s="2" t="inlineStr">
        <is>
          <t>SC/PC</t>
        </is>
      </c>
      <c r="I340" s="2" t="inlineStr">
        <is>
          <t>SC/PC</t>
        </is>
      </c>
      <c r="J340" s="2" t="n"/>
      <c r="K340" s="2" t="n"/>
      <c r="L340" s="2" t="n"/>
      <c r="M340" s="2" t="n"/>
      <c r="N340" s="2" t="n">
        <v>50</v>
      </c>
      <c r="O340" s="2" t="n"/>
      <c r="P340" s="2" t="n"/>
      <c r="Q340" s="2" t="n"/>
      <c r="R340" s="2" t="n"/>
      <c r="S340" s="2" t="n"/>
      <c r="T340" s="2" t="n"/>
      <c r="U340" s="2" t="n"/>
      <c r="V340" s="2">
        <f>SUM(J340:U340)</f>
        <v/>
      </c>
      <c r="W340" s="2" t="n"/>
      <c r="X340" s="2" t="n"/>
      <c r="Y340" s="2" t="n"/>
      <c r="Z340" s="2" t="n"/>
      <c r="AA340" s="2" t="n">
        <v>100</v>
      </c>
      <c r="AB340" s="2" t="n">
        <v>100</v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>
        <f>IF(F340=1,V340*2,IF(F340=2,V340*F340*2,IF(F340&gt;2,F340*2*V340)))</f>
        <v/>
      </c>
      <c r="AW340" s="2">
        <f>SUM(W340:AU340)</f>
        <v/>
      </c>
    </row>
    <row r="341">
      <c r="A341" s="2" t="inlineStr">
        <is>
          <t>14-K-709</t>
        </is>
      </c>
      <c r="B341" s="3" t="inlineStr">
        <is>
          <t>OJC-A1-SC/SC-SM-15-PC/PC-DP</t>
        </is>
      </c>
      <c r="C341" s="2" t="inlineStr">
        <is>
          <t>K9089137_청색</t>
        </is>
      </c>
      <c r="D341" s="2" t="inlineStr">
        <is>
          <t>a1-청</t>
        </is>
      </c>
      <c r="E341" s="2" t="inlineStr">
        <is>
          <t>2.0mm</t>
        </is>
      </c>
      <c r="F341" s="2" t="n">
        <v>2</v>
      </c>
      <c r="G341" s="2" t="n">
        <v>15</v>
      </c>
      <c r="H341" s="2" t="inlineStr">
        <is>
          <t>SC/PC</t>
        </is>
      </c>
      <c r="I341" s="2" t="inlineStr">
        <is>
          <t>SC/PC</t>
        </is>
      </c>
      <c r="J341" s="2" t="n"/>
      <c r="K341" s="2" t="n"/>
      <c r="L341" s="2" t="n"/>
      <c r="M341" s="2" t="n"/>
      <c r="N341" s="2" t="n">
        <v>50</v>
      </c>
      <c r="O341" s="2" t="n"/>
      <c r="P341" s="2" t="n"/>
      <c r="Q341" s="2" t="n"/>
      <c r="R341" s="2" t="n"/>
      <c r="S341" s="2" t="n"/>
      <c r="T341" s="2" t="n"/>
      <c r="U341" s="2" t="n"/>
      <c r="V341" s="2">
        <f>SUM(J341:U341)</f>
        <v/>
      </c>
      <c r="W341" s="2" t="n"/>
      <c r="X341" s="2" t="n"/>
      <c r="Y341" s="2" t="n"/>
      <c r="Z341" s="2" t="n"/>
      <c r="AA341" s="2" t="n">
        <v>100</v>
      </c>
      <c r="AB341" s="2" t="n">
        <v>100</v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>
        <f>IF(F341=1,V341*2,IF(F341=2,V341*F341*2,IF(F341&gt;2,F341*2*V341)))</f>
        <v/>
      </c>
      <c r="AW341" s="2">
        <f>SUM(W341:AU341)</f>
        <v/>
      </c>
    </row>
    <row r="342">
      <c r="A342" s="2" t="inlineStr">
        <is>
          <t>14-K-710</t>
        </is>
      </c>
      <c r="B342" s="3" t="inlineStr">
        <is>
          <t>OJC-A1-SC/SC-SM-20-PC/PC-DP</t>
        </is>
      </c>
      <c r="C342" s="2" t="inlineStr">
        <is>
          <t>K9089142_청색</t>
        </is>
      </c>
      <c r="D342" s="2" t="inlineStr">
        <is>
          <t>a1-청</t>
        </is>
      </c>
      <c r="E342" s="2" t="inlineStr">
        <is>
          <t>2.0mm</t>
        </is>
      </c>
      <c r="F342" s="2" t="n">
        <v>2</v>
      </c>
      <c r="G342" s="2" t="n">
        <v>20</v>
      </c>
      <c r="H342" s="2" t="inlineStr">
        <is>
          <t>SC/PC</t>
        </is>
      </c>
      <c r="I342" s="2" t="inlineStr">
        <is>
          <t>SC/PC</t>
        </is>
      </c>
      <c r="J342" s="2" t="n"/>
      <c r="K342" s="2" t="n"/>
      <c r="L342" s="2" t="n"/>
      <c r="M342" s="2" t="n"/>
      <c r="N342" s="2" t="n">
        <v>50</v>
      </c>
      <c r="O342" s="2" t="n"/>
      <c r="P342" s="2" t="n"/>
      <c r="Q342" s="2" t="n"/>
      <c r="R342" s="2" t="n"/>
      <c r="S342" s="2" t="n"/>
      <c r="T342" s="2" t="n"/>
      <c r="U342" s="2" t="n"/>
      <c r="V342" s="2">
        <f>SUM(J342:U342)</f>
        <v/>
      </c>
      <c r="W342" s="2" t="n"/>
      <c r="X342" s="2" t="n"/>
      <c r="Y342" s="2" t="n"/>
      <c r="Z342" s="2" t="n"/>
      <c r="AA342" s="2" t="n">
        <v>100</v>
      </c>
      <c r="AB342" s="2" t="n">
        <v>100</v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>
        <f>IF(F342=1,V342*2,IF(F342=2,V342*F342*2,IF(F342&gt;2,F342*2*V342)))</f>
        <v/>
      </c>
      <c r="AW342" s="2">
        <f>SUM(W342:AU342)</f>
        <v/>
      </c>
    </row>
    <row r="343">
      <c r="A343" s="2" t="inlineStr">
        <is>
          <t>14-K-711</t>
        </is>
      </c>
      <c r="B343" s="3" t="inlineStr">
        <is>
          <t>OJC-A1-SC/SC-SM-25-PC/PC-DP</t>
        </is>
      </c>
      <c r="C343" s="2" t="inlineStr">
        <is>
          <t>K9089147_청색</t>
        </is>
      </c>
      <c r="D343" s="2" t="inlineStr">
        <is>
          <t>a1-청</t>
        </is>
      </c>
      <c r="E343" s="2" t="inlineStr">
        <is>
          <t>2.0mm</t>
        </is>
      </c>
      <c r="F343" s="2" t="n">
        <v>2</v>
      </c>
      <c r="G343" s="2" t="n">
        <v>25</v>
      </c>
      <c r="H343" s="2" t="inlineStr">
        <is>
          <t>SC/PC</t>
        </is>
      </c>
      <c r="I343" s="2" t="inlineStr">
        <is>
          <t>SC/PC</t>
        </is>
      </c>
      <c r="J343" s="2" t="n"/>
      <c r="K343" s="2" t="n"/>
      <c r="L343" s="2" t="n"/>
      <c r="M343" s="2" t="n"/>
      <c r="N343" s="2" t="n">
        <v>50</v>
      </c>
      <c r="O343" s="2" t="n"/>
      <c r="P343" s="2" t="n"/>
      <c r="Q343" s="2" t="n"/>
      <c r="R343" s="2" t="n"/>
      <c r="S343" s="2" t="n"/>
      <c r="T343" s="2" t="n"/>
      <c r="U343" s="2" t="n"/>
      <c r="V343" s="2">
        <f>SUM(J343:U343)</f>
        <v/>
      </c>
      <c r="W343" s="2" t="n"/>
      <c r="X343" s="2" t="n"/>
      <c r="Y343" s="2" t="n"/>
      <c r="Z343" s="2" t="n"/>
      <c r="AA343" s="2" t="n">
        <v>100</v>
      </c>
      <c r="AB343" s="2" t="n">
        <v>100</v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>
        <f>IF(F343=1,V343*2,IF(F343=2,V343*F343*2,IF(F343&gt;2,F343*2*V343)))</f>
        <v/>
      </c>
      <c r="AW343" s="2">
        <f>SUM(W343:AU343)</f>
        <v/>
      </c>
    </row>
    <row r="344">
      <c r="A344" s="2" t="inlineStr">
        <is>
          <t>14-K-712</t>
        </is>
      </c>
      <c r="B344" s="3" t="inlineStr">
        <is>
          <t>OJC-A1-SC/SC-SM-30-PC/PC-DP</t>
        </is>
      </c>
      <c r="C344" s="2" t="inlineStr">
        <is>
          <t>K9089152_청색</t>
        </is>
      </c>
      <c r="D344" s="2" t="inlineStr">
        <is>
          <t>a1-청</t>
        </is>
      </c>
      <c r="E344" s="2" t="inlineStr">
        <is>
          <t>2.0mm</t>
        </is>
      </c>
      <c r="F344" s="2" t="n">
        <v>2</v>
      </c>
      <c r="G344" s="2" t="n">
        <v>30</v>
      </c>
      <c r="H344" s="2" t="inlineStr">
        <is>
          <t>SC/PC</t>
        </is>
      </c>
      <c r="I344" s="2" t="inlineStr">
        <is>
          <t>SC/PC</t>
        </is>
      </c>
      <c r="J344" s="2" t="n"/>
      <c r="K344" s="2" t="n"/>
      <c r="L344" s="2" t="n"/>
      <c r="M344" s="2" t="n"/>
      <c r="N344" s="2" t="n">
        <v>50</v>
      </c>
      <c r="O344" s="2" t="n"/>
      <c r="P344" s="2" t="n"/>
      <c r="Q344" s="2" t="n"/>
      <c r="R344" s="2" t="n"/>
      <c r="S344" s="2" t="n"/>
      <c r="T344" s="2" t="n"/>
      <c r="U344" s="2" t="n"/>
      <c r="V344" s="2">
        <f>SUM(J344:U344)</f>
        <v/>
      </c>
      <c r="W344" s="2" t="n"/>
      <c r="X344" s="2" t="n"/>
      <c r="Y344" s="2" t="n"/>
      <c r="Z344" s="2" t="n"/>
      <c r="AA344" s="2" t="n">
        <v>100</v>
      </c>
      <c r="AB344" s="2" t="n">
        <v>100</v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>
        <f>IF(F344=1,V344*2,IF(F344=2,V344*F344*2,IF(F344&gt;2,F344*2*V344)))</f>
        <v/>
      </c>
      <c r="AW344" s="2">
        <f>SUM(W344:AU344)</f>
        <v/>
      </c>
    </row>
    <row r="345">
      <c r="A345" s="2" t="inlineStr">
        <is>
          <t>14-K-713</t>
        </is>
      </c>
      <c r="B345" s="3" t="inlineStr">
        <is>
          <t>OJC-A1-SC/SC-SM-30-PC/PC-DP</t>
        </is>
      </c>
      <c r="C345" s="2" t="inlineStr">
        <is>
          <t>K9089152_적색</t>
        </is>
      </c>
      <c r="D345" s="2" t="inlineStr">
        <is>
          <t>a1-적</t>
        </is>
      </c>
      <c r="E345" s="2" t="inlineStr">
        <is>
          <t>2.0mm</t>
        </is>
      </c>
      <c r="F345" s="2" t="n">
        <v>2</v>
      </c>
      <c r="G345" s="2" t="n">
        <v>30</v>
      </c>
      <c r="H345" s="2" t="inlineStr">
        <is>
          <t>SC/PC</t>
        </is>
      </c>
      <c r="I345" s="2" t="inlineStr">
        <is>
          <t>SC/PC</t>
        </is>
      </c>
      <c r="J345" s="2" t="n"/>
      <c r="K345" s="2" t="n"/>
      <c r="L345" s="2" t="n"/>
      <c r="M345" s="2" t="n">
        <v>30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>
        <f>SUM(J345:U345)</f>
        <v/>
      </c>
      <c r="W345" s="2" t="n"/>
      <c r="X345" s="2" t="n"/>
      <c r="Y345" s="2" t="n"/>
      <c r="Z345" s="2" t="n"/>
      <c r="AA345" s="2" t="n">
        <v>60</v>
      </c>
      <c r="AB345" s="2" t="n">
        <v>60</v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>
        <f>IF(F345=1,V345*2,IF(F345=2,V345*F345*2,IF(F345&gt;2,F345*2*V345)))</f>
        <v/>
      </c>
      <c r="AW345" s="2">
        <f>SUM(W345:AU345)</f>
        <v/>
      </c>
    </row>
    <row r="346">
      <c r="A346" s="2" t="inlineStr">
        <is>
          <t>14-K-716</t>
        </is>
      </c>
      <c r="B346" s="3" t="inlineStr">
        <is>
          <t>OJC-A1-LC/LC-SM-35-PC/PC-DP</t>
        </is>
      </c>
      <c r="C346" s="2" t="inlineStr">
        <is>
          <t>K9089181_청색</t>
        </is>
      </c>
      <c r="D346" s="2" t="inlineStr">
        <is>
          <t>a1-청</t>
        </is>
      </c>
      <c r="E346" s="2" t="inlineStr">
        <is>
          <t>2.0mm</t>
        </is>
      </c>
      <c r="F346" s="2" t="n">
        <v>2</v>
      </c>
      <c r="G346" s="2" t="n">
        <v>35</v>
      </c>
      <c r="H346" s="2" t="inlineStr">
        <is>
          <t>LC/PC</t>
        </is>
      </c>
      <c r="I346" s="2" t="inlineStr">
        <is>
          <t>LC/PC</t>
        </is>
      </c>
      <c r="J346" s="2" t="n"/>
      <c r="K346" s="2" t="n"/>
      <c r="L346" s="2" t="n"/>
      <c r="M346" s="2" t="n"/>
      <c r="N346" s="2" t="n">
        <v>50</v>
      </c>
      <c r="O346" s="2" t="n"/>
      <c r="P346" s="2" t="n"/>
      <c r="Q346" s="2" t="n"/>
      <c r="R346" s="2" t="n"/>
      <c r="S346" s="2" t="n"/>
      <c r="T346" s="2" t="n"/>
      <c r="U346" s="2" t="n"/>
      <c r="V346" s="2">
        <f>SUM(J346:U346)</f>
        <v/>
      </c>
      <c r="W346" s="2" t="n">
        <v>100</v>
      </c>
      <c r="X346" s="2" t="n">
        <v>100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>
        <f>IF(F346=1,V346*2,IF(F346=2,V346*F346*2,IF(F346&gt;2,F346*2*V346)))</f>
        <v/>
      </c>
      <c r="AW346" s="2">
        <f>SUM(W346:AU346)</f>
        <v/>
      </c>
    </row>
    <row r="347">
      <c r="A347" s="2" t="inlineStr">
        <is>
          <t>14-K-717</t>
        </is>
      </c>
      <c r="B347" s="3" t="inlineStr">
        <is>
          <t>OJC-A1-LC/LC-SM-30-PC/PC-DP</t>
        </is>
      </c>
      <c r="C347" s="2" t="inlineStr">
        <is>
          <t>K9089180_청색</t>
        </is>
      </c>
      <c r="D347" s="2" t="inlineStr">
        <is>
          <t>a1-청</t>
        </is>
      </c>
      <c r="E347" s="2" t="inlineStr">
        <is>
          <t>2.0mm</t>
        </is>
      </c>
      <c r="F347" s="2" t="n">
        <v>2</v>
      </c>
      <c r="G347" s="2" t="n">
        <v>30</v>
      </c>
      <c r="H347" s="2" t="inlineStr">
        <is>
          <t>LC/PC</t>
        </is>
      </c>
      <c r="I347" s="2" t="inlineStr">
        <is>
          <t>LC/PC</t>
        </is>
      </c>
      <c r="J347" s="2" t="n"/>
      <c r="K347" s="2" t="n"/>
      <c r="L347" s="2" t="n">
        <v>10</v>
      </c>
      <c r="M347" s="2" t="n"/>
      <c r="N347" s="2" t="n">
        <v>50</v>
      </c>
      <c r="O347" s="2" t="n"/>
      <c r="P347" s="2" t="n"/>
      <c r="Q347" s="2" t="n"/>
      <c r="R347" s="2" t="n"/>
      <c r="S347" s="2" t="n"/>
      <c r="T347" s="2" t="n"/>
      <c r="U347" s="2" t="n"/>
      <c r="V347" s="2">
        <f>SUM(J347:U347)</f>
        <v/>
      </c>
      <c r="W347" s="2" t="n">
        <v>120</v>
      </c>
      <c r="X347" s="2" t="n">
        <v>120</v>
      </c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>
        <f>IF(F347=1,V347*2,IF(F347=2,V347*F347*2,IF(F347&gt;2,F347*2*V347)))</f>
        <v/>
      </c>
      <c r="AW347" s="2">
        <f>SUM(W347:AU347)</f>
        <v/>
      </c>
    </row>
    <row r="348">
      <c r="A348" s="2" t="inlineStr">
        <is>
          <t>14-K-719</t>
        </is>
      </c>
      <c r="B348" s="3" t="inlineStr">
        <is>
          <t>OJC-A1-LC/LC-SM-20-PC/PC-DP</t>
        </is>
      </c>
      <c r="C348" s="2" t="inlineStr">
        <is>
          <t>K9089178_청색</t>
        </is>
      </c>
      <c r="D348" s="2" t="inlineStr">
        <is>
          <t>a1-청</t>
        </is>
      </c>
      <c r="E348" s="2" t="inlineStr">
        <is>
          <t>2.0mm</t>
        </is>
      </c>
      <c r="F348" s="2" t="n">
        <v>2</v>
      </c>
      <c r="G348" s="2" t="n">
        <v>20</v>
      </c>
      <c r="H348" s="2" t="inlineStr">
        <is>
          <t>LC/PC</t>
        </is>
      </c>
      <c r="I348" s="2" t="inlineStr">
        <is>
          <t>LC/PC</t>
        </is>
      </c>
      <c r="J348" s="2" t="n"/>
      <c r="K348" s="2" t="n">
        <v>30</v>
      </c>
      <c r="L348" s="2" t="n">
        <v>20</v>
      </c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>
        <f>SUM(J348:U348)</f>
        <v/>
      </c>
      <c r="W348" s="2" t="n">
        <v>100</v>
      </c>
      <c r="X348" s="2" t="n">
        <v>100</v>
      </c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>
        <f>IF(F348=1,V348*2,IF(F348=2,V348*F348*2,IF(F348&gt;2,F348*2*V348)))</f>
        <v/>
      </c>
      <c r="AW348" s="2">
        <f>SUM(W348:AU348)</f>
        <v/>
      </c>
    </row>
    <row r="349">
      <c r="A349" s="2" t="inlineStr">
        <is>
          <t>14-K-720</t>
        </is>
      </c>
      <c r="B349" s="3" t="inlineStr">
        <is>
          <t>OJC-A1-LC/LC-SM-15-PC/PC-DP</t>
        </is>
      </c>
      <c r="C349" s="2" t="inlineStr">
        <is>
          <t>K9089177_청색</t>
        </is>
      </c>
      <c r="D349" s="2" t="inlineStr">
        <is>
          <t>a1-청</t>
        </is>
      </c>
      <c r="E349" s="2" t="inlineStr">
        <is>
          <t>2.0mm</t>
        </is>
      </c>
      <c r="F349" s="2" t="n">
        <v>2</v>
      </c>
      <c r="G349" s="2" t="n">
        <v>15</v>
      </c>
      <c r="H349" s="2" t="inlineStr">
        <is>
          <t>LC/PC</t>
        </is>
      </c>
      <c r="I349" s="2" t="inlineStr">
        <is>
          <t>LC/PC</t>
        </is>
      </c>
      <c r="J349" s="2" t="n"/>
      <c r="K349" s="2" t="n">
        <v>30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>
        <f>SUM(J349:U349)</f>
        <v/>
      </c>
      <c r="W349" s="2" t="n">
        <v>60</v>
      </c>
      <c r="X349" s="2" t="n">
        <v>60</v>
      </c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>
        <f>IF(F349=1,V349*2,IF(F349=2,V349*F349*2,IF(F349&gt;2,F349*2*V349)))</f>
        <v/>
      </c>
      <c r="AW349" s="2">
        <f>SUM(W349:AU349)</f>
        <v/>
      </c>
    </row>
    <row r="350">
      <c r="A350" s="2" t="inlineStr">
        <is>
          <t>14-K-721</t>
        </is>
      </c>
      <c r="B350" s="3" t="inlineStr">
        <is>
          <t>OJC-A1-LC/LC-SM-10-PC/PC-DP</t>
        </is>
      </c>
      <c r="C350" s="2" t="inlineStr">
        <is>
          <t>K9089176_청색</t>
        </is>
      </c>
      <c r="D350" s="2" t="inlineStr">
        <is>
          <t>a1-청</t>
        </is>
      </c>
      <c r="E350" s="2" t="inlineStr">
        <is>
          <t>2.0mm</t>
        </is>
      </c>
      <c r="F350" s="2" t="n">
        <v>2</v>
      </c>
      <c r="G350" s="2" t="n">
        <v>10</v>
      </c>
      <c r="H350" s="2" t="inlineStr">
        <is>
          <t>LC/PC</t>
        </is>
      </c>
      <c r="I350" s="2" t="inlineStr">
        <is>
          <t>LC/PC</t>
        </is>
      </c>
      <c r="J350" s="2" t="n"/>
      <c r="K350" s="2" t="n">
        <v>10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>
        <f>SUM(J350:U350)</f>
        <v/>
      </c>
      <c r="W350" s="2" t="n">
        <v>20</v>
      </c>
      <c r="X350" s="2" t="n">
        <v>20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>
        <f>IF(F350=1,V350*2,IF(F350=2,V350*F350*2,IF(F350&gt;2,F350*2*V350)))</f>
        <v/>
      </c>
      <c r="AW350" s="2">
        <f>SUM(W350:AU350)</f>
        <v/>
      </c>
    </row>
    <row r="351">
      <c r="A351" s="2" t="inlineStr">
        <is>
          <t>14-K-744</t>
        </is>
      </c>
      <c r="B351" s="3" t="inlineStr">
        <is>
          <t>OJC-A1-LC/LC-MM(OM3)-2-PC/PC-DP</t>
        </is>
      </c>
      <c r="C351" s="2" t="inlineStr"/>
      <c r="D351" s="2" t="inlineStr">
        <is>
          <t>om3</t>
        </is>
      </c>
      <c r="E351" s="2" t="inlineStr">
        <is>
          <t>2.0mm</t>
        </is>
      </c>
      <c r="F351" s="2" t="n">
        <v>2</v>
      </c>
      <c r="G351" s="2" t="n">
        <v>2</v>
      </c>
      <c r="H351" s="2" t="inlineStr">
        <is>
          <t>LC/PC</t>
        </is>
      </c>
      <c r="I351" s="2" t="inlineStr">
        <is>
          <t>LC/PC</t>
        </is>
      </c>
      <c r="J351" s="2" t="n">
        <v>5</v>
      </c>
      <c r="K351" s="2" t="n">
        <v>4</v>
      </c>
      <c r="L351" s="2" t="n"/>
      <c r="M351" s="2" t="n"/>
      <c r="N351" s="2" t="n"/>
      <c r="O351" s="2" t="n"/>
      <c r="P351" s="2" t="n">
        <v>50</v>
      </c>
      <c r="Q351" s="2" t="n"/>
      <c r="R351" s="2" t="n"/>
      <c r="S351" s="2" t="n"/>
      <c r="T351" s="2" t="n"/>
      <c r="U351" s="2" t="n"/>
      <c r="V351" s="2">
        <f>SUM(J351:U351)</f>
        <v/>
      </c>
      <c r="W351" s="2" t="n"/>
      <c r="X351" s="2" t="n">
        <v>118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>
        <v>118</v>
      </c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>
        <f>IF(F351=1,V351*2,IF(F351=2,V351*F351*2,IF(F351&gt;2,F351*2*V351)))</f>
        <v/>
      </c>
      <c r="AW351" s="2">
        <f>SUM(W351:AU351)</f>
        <v/>
      </c>
    </row>
    <row r="352">
      <c r="A352" s="2" t="inlineStr">
        <is>
          <t>14-K-754</t>
        </is>
      </c>
      <c r="B352" s="3" t="inlineStr">
        <is>
          <t>OJC-A1-LC/LC-SM-40-PC/PC-DP</t>
        </is>
      </c>
      <c r="C352" s="2" t="inlineStr">
        <is>
          <t>K9089182_청색</t>
        </is>
      </c>
      <c r="D352" s="2" t="inlineStr">
        <is>
          <t>a1-청</t>
        </is>
      </c>
      <c r="E352" s="2" t="inlineStr">
        <is>
          <t>2.0mm</t>
        </is>
      </c>
      <c r="F352" s="2" t="n">
        <v>2</v>
      </c>
      <c r="G352" s="2" t="n">
        <v>40</v>
      </c>
      <c r="H352" s="2" t="inlineStr">
        <is>
          <t>LC/PC</t>
        </is>
      </c>
      <c r="I352" s="2" t="inlineStr">
        <is>
          <t>LC/PC</t>
        </is>
      </c>
      <c r="J352" s="2" t="n"/>
      <c r="K352" s="2" t="n"/>
      <c r="L352" s="2" t="n"/>
      <c r="M352" s="2" t="n"/>
      <c r="N352" s="2" t="n">
        <v>50</v>
      </c>
      <c r="O352" s="2" t="n"/>
      <c r="P352" s="2" t="n"/>
      <c r="Q352" s="2" t="n"/>
      <c r="R352" s="2" t="n"/>
      <c r="S352" s="2" t="n"/>
      <c r="T352" s="2" t="n"/>
      <c r="U352" s="2" t="n"/>
      <c r="V352" s="2">
        <f>SUM(J352:U352)</f>
        <v/>
      </c>
      <c r="W352" s="2" t="n">
        <v>100</v>
      </c>
      <c r="X352" s="2" t="n">
        <v>100</v>
      </c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>
        <f>IF(F352=1,V352*2,IF(F352=2,V352*F352*2,IF(F352&gt;2,F352*2*V352)))</f>
        <v/>
      </c>
      <c r="AW352" s="2">
        <f>SUM(W352:AU352)</f>
        <v/>
      </c>
    </row>
    <row r="353">
      <c r="A353" s="2" t="inlineStr">
        <is>
          <t>14-K-755</t>
        </is>
      </c>
      <c r="B353" s="3" t="inlineStr">
        <is>
          <t>OJC-A1-LC/LC-SM-45-PC/PC-DP</t>
        </is>
      </c>
      <c r="C353" s="2" t="inlineStr">
        <is>
          <t>K9089183_청색</t>
        </is>
      </c>
      <c r="D353" s="2" t="inlineStr">
        <is>
          <t>a1-청</t>
        </is>
      </c>
      <c r="E353" s="2" t="inlineStr">
        <is>
          <t>2.0mm</t>
        </is>
      </c>
      <c r="F353" s="2" t="n">
        <v>2</v>
      </c>
      <c r="G353" s="2" t="n">
        <v>45</v>
      </c>
      <c r="H353" s="2" t="inlineStr">
        <is>
          <t>LC/PC</t>
        </is>
      </c>
      <c r="I353" s="2" t="inlineStr">
        <is>
          <t>LC/PC</t>
        </is>
      </c>
      <c r="J353" s="2" t="n"/>
      <c r="K353" s="2" t="n"/>
      <c r="L353" s="2" t="n"/>
      <c r="M353" s="2" t="n"/>
      <c r="N353" s="2" t="n">
        <v>80</v>
      </c>
      <c r="O353" s="2" t="n"/>
      <c r="P353" s="2" t="n"/>
      <c r="Q353" s="2" t="n"/>
      <c r="R353" s="2" t="n"/>
      <c r="S353" s="2" t="n"/>
      <c r="T353" s="2" t="n"/>
      <c r="U353" s="2" t="n"/>
      <c r="V353" s="2">
        <f>SUM(J353:U353)</f>
        <v/>
      </c>
      <c r="W353" s="2" t="n">
        <v>160</v>
      </c>
      <c r="X353" s="2" t="n">
        <v>160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>
        <f>IF(F353=1,V353*2,IF(F353=2,V353*F353*2,IF(F353&gt;2,F353*2*V353)))</f>
        <v/>
      </c>
      <c r="AW353" s="2">
        <f>SUM(W353:AU353)</f>
        <v/>
      </c>
    </row>
    <row r="354">
      <c r="A354" s="2" t="inlineStr">
        <is>
          <t>14-K-758</t>
        </is>
      </c>
      <c r="B354" s="3" t="inlineStr">
        <is>
          <t>OJC-A1-SC/SC-SM-13-PC/PC-DP</t>
        </is>
      </c>
      <c r="C354" s="2" t="inlineStr">
        <is>
          <t>K9089135_청색</t>
        </is>
      </c>
      <c r="D354" s="2" t="inlineStr">
        <is>
          <t>a1-청</t>
        </is>
      </c>
      <c r="E354" s="2" t="inlineStr">
        <is>
          <t>2.0mm</t>
        </is>
      </c>
      <c r="F354" s="2" t="n">
        <v>2</v>
      </c>
      <c r="G354" s="2" t="n">
        <v>13</v>
      </c>
      <c r="H354" s="2" t="inlineStr">
        <is>
          <t>SC/PC</t>
        </is>
      </c>
      <c r="I354" s="2" t="inlineStr">
        <is>
          <t>SC/PC</t>
        </is>
      </c>
      <c r="J354" s="2" t="n"/>
      <c r="K354" s="2" t="n"/>
      <c r="L354" s="2" t="n"/>
      <c r="M354" s="2" t="n"/>
      <c r="N354" s="2" t="n">
        <v>50</v>
      </c>
      <c r="O354" s="2" t="n"/>
      <c r="P354" s="2" t="n"/>
      <c r="Q354" s="2" t="n"/>
      <c r="R354" s="2" t="n"/>
      <c r="S354" s="2" t="n"/>
      <c r="T354" s="2" t="n"/>
      <c r="U354" s="2" t="n"/>
      <c r="V354" s="2">
        <f>SUM(J354:U354)</f>
        <v/>
      </c>
      <c r="W354" s="2" t="n"/>
      <c r="X354" s="2" t="n"/>
      <c r="Y354" s="2" t="n"/>
      <c r="Z354" s="2" t="n"/>
      <c r="AA354" s="2" t="n">
        <v>100</v>
      </c>
      <c r="AB354" s="2" t="n">
        <v>100</v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>
        <f>IF(F354=1,V354*2,IF(F354=2,V354*F354*2,IF(F354&gt;2,F354*2*V354)))</f>
        <v/>
      </c>
      <c r="AW354" s="2">
        <f>SUM(W354:AU354)</f>
        <v/>
      </c>
    </row>
    <row r="355">
      <c r="A355" s="2" t="inlineStr">
        <is>
          <t>14-K-762</t>
        </is>
      </c>
      <c r="B355" s="3" t="inlineStr">
        <is>
          <t>OJC-C2-SC/SC-SM-10-PC/PC-4C</t>
        </is>
      </c>
      <c r="C355" s="2" t="inlineStr">
        <is>
          <t>K9089451</t>
        </is>
      </c>
      <c r="D355" s="2" t="inlineStr">
        <is>
          <t>b3-4c</t>
        </is>
      </c>
      <c r="E355" s="2" t="inlineStr">
        <is>
          <t>2.0mm</t>
        </is>
      </c>
      <c r="F355" s="2" t="n">
        <v>4</v>
      </c>
      <c r="G355" s="2" t="n">
        <v>10</v>
      </c>
      <c r="H355" s="2" t="inlineStr">
        <is>
          <t>SC/PC</t>
        </is>
      </c>
      <c r="I355" s="2" t="inlineStr">
        <is>
          <t>SC/PC</t>
        </is>
      </c>
      <c r="J355" s="2" t="n">
        <v>10</v>
      </c>
      <c r="K355" s="2" t="n"/>
      <c r="L355" s="2" t="n"/>
      <c r="M355" s="2" t="n"/>
      <c r="N355" s="2" t="n">
        <v>20</v>
      </c>
      <c r="O355" s="2" t="n"/>
      <c r="P355" s="2" t="n"/>
      <c r="Q355" s="2" t="n">
        <v>10</v>
      </c>
      <c r="R355" s="2" t="n"/>
      <c r="S355" s="2" t="n"/>
      <c r="T355" s="2" t="n"/>
      <c r="U355" s="2" t="n"/>
      <c r="V355" s="2">
        <f>SUM(J355:U355)</f>
        <v/>
      </c>
      <c r="W355" s="2" t="n"/>
      <c r="X355" s="2" t="n"/>
      <c r="Y355" s="2" t="n"/>
      <c r="Z355" s="2" t="n"/>
      <c r="AA355" s="2" t="n">
        <v>320</v>
      </c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>
        <f>IF(F355=1,V355*2,IF(F355=2,V355*F355*2,IF(F355&gt;2,F355*2*V355)))</f>
        <v/>
      </c>
      <c r="AW355" s="2">
        <f>SUM(W355:AU355)</f>
        <v/>
      </c>
    </row>
    <row r="356">
      <c r="A356" s="2" t="inlineStr">
        <is>
          <t>14-K-763</t>
        </is>
      </c>
      <c r="B356" s="3" t="inlineStr">
        <is>
          <t>OJC-A1-SC/SC-SM-0.3-PC/PC-DP</t>
        </is>
      </c>
      <c r="C356" s="2" t="inlineStr"/>
      <c r="D356" s="2" t="inlineStr">
        <is>
          <t>a1</t>
        </is>
      </c>
      <c r="E356" s="2" t="inlineStr">
        <is>
          <t>2.0mm</t>
        </is>
      </c>
      <c r="F356" s="2" t="n">
        <v>2</v>
      </c>
      <c r="G356" s="2" t="n">
        <v>0.3</v>
      </c>
      <c r="H356" s="2" t="inlineStr">
        <is>
          <t>SC/PC</t>
        </is>
      </c>
      <c r="I356" s="2" t="inlineStr">
        <is>
          <t>SC/PC</t>
        </is>
      </c>
      <c r="J356" s="2" t="n"/>
      <c r="K356" s="2" t="n">
        <v>170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>
        <f>SUM(J356:U356)</f>
        <v/>
      </c>
      <c r="W356" s="2" t="n"/>
      <c r="X356" s="2" t="n"/>
      <c r="Y356" s="2" t="n"/>
      <c r="Z356" s="2" t="n"/>
      <c r="AA356" s="2" t="n">
        <v>340</v>
      </c>
      <c r="AB356" s="2" t="n">
        <v>340</v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>
        <f>IF(F356=1,V356*2,IF(F356=2,V356*F356*2,IF(F356&gt;2,F356*2*V356)))</f>
        <v/>
      </c>
      <c r="AW356" s="2">
        <f>SUM(W356:AU356)</f>
        <v/>
      </c>
    </row>
    <row r="357">
      <c r="A357" s="2" t="inlineStr">
        <is>
          <t>14-K-771</t>
        </is>
      </c>
      <c r="B357" s="3" t="inlineStr">
        <is>
          <t>OJC-A1-LC/LC-SM-0.3-PC/PC-DP</t>
        </is>
      </c>
      <c r="C357" s="2" t="inlineStr"/>
      <c r="D357" s="2" t="inlineStr">
        <is>
          <t>a1</t>
        </is>
      </c>
      <c r="E357" s="2" t="inlineStr">
        <is>
          <t>2.0mm</t>
        </is>
      </c>
      <c r="F357" s="2" t="n">
        <v>2</v>
      </c>
      <c r="G357" s="2" t="n">
        <v>0.3</v>
      </c>
      <c r="H357" s="2" t="inlineStr">
        <is>
          <t>LC/PC</t>
        </is>
      </c>
      <c r="I357" s="2" t="inlineStr">
        <is>
          <t>LC/PC</t>
        </is>
      </c>
      <c r="J357" s="2" t="n"/>
      <c r="K357" s="2" t="n"/>
      <c r="L357" s="2" t="n"/>
      <c r="M357" s="2" t="n"/>
      <c r="N357" s="2" t="n"/>
      <c r="O357" s="2" t="n">
        <v>60</v>
      </c>
      <c r="P357" s="2" t="n"/>
      <c r="Q357" s="2" t="n">
        <v>85</v>
      </c>
      <c r="R357" s="2" t="n"/>
      <c r="S357" s="2" t="n"/>
      <c r="T357" s="2" t="n"/>
      <c r="U357" s="2" t="n"/>
      <c r="V357" s="2">
        <f>SUM(J357:U357)</f>
        <v/>
      </c>
      <c r="W357" s="2" t="n">
        <v>290</v>
      </c>
      <c r="X357" s="2" t="n">
        <v>290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>
        <f>IF(F357=1,V357*2,IF(F357=2,V357*F357*2,IF(F357&gt;2,F357*2*V357)))</f>
        <v/>
      </c>
      <c r="AW357" s="2">
        <f>SUM(W357:AU357)</f>
        <v/>
      </c>
    </row>
    <row r="358">
      <c r="A358" s="2" t="inlineStr">
        <is>
          <t>14-K-773</t>
        </is>
      </c>
      <c r="B358" s="3" t="inlineStr">
        <is>
          <t>OJC-A1-SC/LC-SM-1.5-PC/PC-SP</t>
        </is>
      </c>
      <c r="C358" s="2" t="inlineStr"/>
      <c r="D358" s="2" t="inlineStr">
        <is>
          <t>a1</t>
        </is>
      </c>
      <c r="E358" s="2" t="inlineStr">
        <is>
          <t>2.0mm</t>
        </is>
      </c>
      <c r="F358" s="2" t="n">
        <v>1</v>
      </c>
      <c r="G358" s="2" t="n">
        <v>1.5</v>
      </c>
      <c r="H358" s="2" t="inlineStr">
        <is>
          <t>SC/PC</t>
        </is>
      </c>
      <c r="I358" s="2" t="inlineStr">
        <is>
          <t>LC/PC</t>
        </is>
      </c>
      <c r="J358" s="2" t="n">
        <v>20</v>
      </c>
      <c r="K358" s="2" t="n"/>
      <c r="L358" s="2" t="n"/>
      <c r="M358" s="2" t="n">
        <v>2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>
        <f>SUM(J358:U358)</f>
        <v/>
      </c>
      <c r="W358" s="2" t="n">
        <v>22</v>
      </c>
      <c r="X358" s="2" t="n"/>
      <c r="Y358" s="2" t="n"/>
      <c r="Z358" s="2" t="n"/>
      <c r="AA358" s="2" t="n">
        <v>22</v>
      </c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>
        <f>IF(F358=1,V358*2,IF(F358=2,V358*F358*2,IF(F358&gt;2,F358*2*V358)))</f>
        <v/>
      </c>
      <c r="AW358" s="2">
        <f>SUM(W358:AU358)</f>
        <v/>
      </c>
    </row>
    <row r="359">
      <c r="A359" s="2" t="inlineStr">
        <is>
          <t>14-K-775</t>
        </is>
      </c>
      <c r="B359" s="3" t="inlineStr">
        <is>
          <t>OJC-A1-SC/SC-SM-20-PC/PC-DP</t>
        </is>
      </c>
      <c r="C359" s="2" t="inlineStr">
        <is>
          <t>K9089142_적색</t>
        </is>
      </c>
      <c r="D359" s="2" t="inlineStr">
        <is>
          <t>a1-적</t>
        </is>
      </c>
      <c r="E359" s="2" t="inlineStr">
        <is>
          <t>2.0mm</t>
        </is>
      </c>
      <c r="F359" s="2" t="n">
        <v>2</v>
      </c>
      <c r="G359" s="2" t="n">
        <v>20</v>
      </c>
      <c r="H359" s="2" t="inlineStr">
        <is>
          <t>SC/PC</t>
        </is>
      </c>
      <c r="I359" s="2" t="inlineStr">
        <is>
          <t>SC/PC</t>
        </is>
      </c>
      <c r="J359" s="2" t="n"/>
      <c r="K359" s="2" t="n"/>
      <c r="L359" s="2" t="n"/>
      <c r="M359" s="2" t="n">
        <v>30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>
        <f>SUM(J359:U359)</f>
        <v/>
      </c>
      <c r="W359" s="2" t="n"/>
      <c r="X359" s="2" t="n"/>
      <c r="Y359" s="2" t="n"/>
      <c r="Z359" s="2" t="n"/>
      <c r="AA359" s="2" t="n">
        <v>60</v>
      </c>
      <c r="AB359" s="2" t="n">
        <v>60</v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>
        <f>IF(F359=1,V359*2,IF(F359=2,V359*F359*2,IF(F359&gt;2,F359*2*V359)))</f>
        <v/>
      </c>
      <c r="AW359" s="2">
        <f>SUM(W359:AU359)</f>
        <v/>
      </c>
    </row>
    <row r="360">
      <c r="A360" s="2" t="inlineStr">
        <is>
          <t>14-K-781</t>
        </is>
      </c>
      <c r="B360" s="3" t="inlineStr">
        <is>
          <t>OJC-A1-SC/LC-SM-20-PC/PC-DP</t>
        </is>
      </c>
      <c r="C360" s="2" t="inlineStr">
        <is>
          <t>K9089164_적색</t>
        </is>
      </c>
      <c r="D360" s="2" t="inlineStr">
        <is>
          <t>a1-적</t>
        </is>
      </c>
      <c r="E360" s="2" t="inlineStr">
        <is>
          <t>2.0mm</t>
        </is>
      </c>
      <c r="F360" s="2" t="n">
        <v>2</v>
      </c>
      <c r="G360" s="2" t="n">
        <v>20</v>
      </c>
      <c r="H360" s="2" t="inlineStr">
        <is>
          <t>SC/PC</t>
        </is>
      </c>
      <c r="I360" s="2" t="inlineStr">
        <is>
          <t>LC/PC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>
        <v>30</v>
      </c>
      <c r="R360" s="2" t="n"/>
      <c r="S360" s="2" t="n"/>
      <c r="T360" s="2" t="n"/>
      <c r="U360" s="2" t="n"/>
      <c r="V360" s="2">
        <f>SUM(J360:U360)</f>
        <v/>
      </c>
      <c r="W360" s="2" t="n"/>
      <c r="X360" s="2" t="n">
        <v>60</v>
      </c>
      <c r="Y360" s="2" t="n"/>
      <c r="Z360" s="2" t="n"/>
      <c r="AA360" s="2" t="n">
        <v>60</v>
      </c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>
        <f>IF(F360=1,V360*2,IF(F360=2,V360*F360*2,IF(F360&gt;2,F360*2*V360)))</f>
        <v/>
      </c>
      <c r="AW360" s="2">
        <f>SUM(W360:AU360)</f>
        <v/>
      </c>
    </row>
    <row r="361">
      <c r="A361" s="2" t="inlineStr">
        <is>
          <t>14-K-783</t>
        </is>
      </c>
      <c r="B361" s="3" t="inlineStr">
        <is>
          <t>OJC-A1-LC/LC-SM-20-PC/PC-DP</t>
        </is>
      </c>
      <c r="C361" s="2" t="inlineStr">
        <is>
          <t>K9089178_적색</t>
        </is>
      </c>
      <c r="D361" s="2" t="inlineStr">
        <is>
          <t>a1-적</t>
        </is>
      </c>
      <c r="E361" s="2" t="inlineStr">
        <is>
          <t>2.0mm</t>
        </is>
      </c>
      <c r="F361" s="2" t="n">
        <v>2</v>
      </c>
      <c r="G361" s="2" t="n">
        <v>20</v>
      </c>
      <c r="H361" s="2" t="inlineStr">
        <is>
          <t>LC/PC</t>
        </is>
      </c>
      <c r="I361" s="2" t="inlineStr">
        <is>
          <t>LC/PC</t>
        </is>
      </c>
      <c r="J361" s="2" t="n"/>
      <c r="K361" s="2" t="n"/>
      <c r="L361" s="2" t="n">
        <v>100</v>
      </c>
      <c r="M361" s="2" t="n"/>
      <c r="N361" s="2" t="n"/>
      <c r="O361" s="2" t="n"/>
      <c r="P361" s="2" t="n"/>
      <c r="Q361" s="2" t="n">
        <v>30</v>
      </c>
      <c r="R361" s="2" t="n"/>
      <c r="S361" s="2" t="n"/>
      <c r="T361" s="2" t="n"/>
      <c r="U361" s="2" t="n"/>
      <c r="V361" s="2">
        <f>SUM(J361:U361)</f>
        <v/>
      </c>
      <c r="W361" s="2" t="n">
        <v>260</v>
      </c>
      <c r="X361" s="2" t="n">
        <v>260</v>
      </c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>
        <f>IF(F361=1,V361*2,IF(F361=2,V361*F361*2,IF(F361&gt;2,F361*2*V361)))</f>
        <v/>
      </c>
      <c r="AW361" s="2">
        <f>SUM(W361:AU361)</f>
        <v/>
      </c>
    </row>
    <row r="362">
      <c r="A362" s="2" t="inlineStr">
        <is>
          <t>14-K-784</t>
        </is>
      </c>
      <c r="B362" s="3" t="inlineStr">
        <is>
          <t>OJC-A1-LC/LC-SM-25-PC/PC-DP</t>
        </is>
      </c>
      <c r="C362" s="2" t="inlineStr">
        <is>
          <t>K9089179_적색</t>
        </is>
      </c>
      <c r="D362" s="2" t="inlineStr">
        <is>
          <t>a1-적</t>
        </is>
      </c>
      <c r="E362" s="2" t="inlineStr">
        <is>
          <t>2.0mm</t>
        </is>
      </c>
      <c r="F362" s="2" t="n">
        <v>2</v>
      </c>
      <c r="G362" s="2" t="n">
        <v>25</v>
      </c>
      <c r="H362" s="2" t="inlineStr">
        <is>
          <t>LC/PC</t>
        </is>
      </c>
      <c r="I362" s="2" t="inlineStr">
        <is>
          <t>LC/PC</t>
        </is>
      </c>
      <c r="J362" s="2" t="n"/>
      <c r="K362" s="2" t="n"/>
      <c r="L362" s="2" t="n">
        <v>60</v>
      </c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>
        <f>SUM(J362:U362)</f>
        <v/>
      </c>
      <c r="W362" s="2" t="n">
        <v>120</v>
      </c>
      <c r="X362" s="2" t="n">
        <v>120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>
        <f>IF(F362=1,V362*2,IF(F362=2,V362*F362*2,IF(F362&gt;2,F362*2*V362)))</f>
        <v/>
      </c>
      <c r="AW362" s="2">
        <f>SUM(W362:AU362)</f>
        <v/>
      </c>
    </row>
    <row r="363">
      <c r="A363" s="2" t="inlineStr">
        <is>
          <t>14-K-785</t>
        </is>
      </c>
      <c r="B363" s="3" t="inlineStr">
        <is>
          <t>OJC-A1-SC/SC-SM-28-PC/PC-SP</t>
        </is>
      </c>
      <c r="C363" s="2" t="inlineStr">
        <is>
          <t>K9089021</t>
        </is>
      </c>
      <c r="D363" s="2" t="inlineStr">
        <is>
          <t>a1</t>
        </is>
      </c>
      <c r="E363" s="2" t="inlineStr">
        <is>
          <t>2.0mm</t>
        </is>
      </c>
      <c r="F363" s="2" t="n">
        <v>1</v>
      </c>
      <c r="G363" s="2" t="n">
        <v>28</v>
      </c>
      <c r="H363" s="2" t="inlineStr">
        <is>
          <t>SC/PC</t>
        </is>
      </c>
      <c r="I363" s="2" t="inlineStr">
        <is>
          <t>SC/PC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>
        <v>10</v>
      </c>
      <c r="V363" s="2">
        <f>SUM(J363:U363)</f>
        <v/>
      </c>
      <c r="W363" s="2" t="n"/>
      <c r="X363" s="2" t="n"/>
      <c r="Y363" s="2" t="n"/>
      <c r="Z363" s="2" t="n"/>
      <c r="AA363" s="2" t="n">
        <v>20</v>
      </c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>
        <f>IF(F363=1,V363*2,IF(F363=2,V363*F363*2,IF(F363&gt;2,F363*2*V363)))</f>
        <v/>
      </c>
      <c r="AW363" s="2">
        <f>SUM(W363:AU363)</f>
        <v/>
      </c>
    </row>
    <row r="364">
      <c r="A364" s="2" t="inlineStr">
        <is>
          <t>14-K-786</t>
        </is>
      </c>
      <c r="B364" s="3" t="inlineStr">
        <is>
          <t>OJC-A1-LC/LC-SM-30-PC/PC-DP</t>
        </is>
      </c>
      <c r="C364" s="2" t="inlineStr">
        <is>
          <t>K9089180_적색</t>
        </is>
      </c>
      <c r="D364" s="2" t="inlineStr">
        <is>
          <t>a1-적</t>
        </is>
      </c>
      <c r="E364" s="2" t="inlineStr">
        <is>
          <t>2.0mm</t>
        </is>
      </c>
      <c r="F364" s="2" t="n">
        <v>2</v>
      </c>
      <c r="G364" s="2" t="n">
        <v>30</v>
      </c>
      <c r="H364" s="2" t="inlineStr">
        <is>
          <t>LC/PC</t>
        </is>
      </c>
      <c r="I364" s="2" t="inlineStr">
        <is>
          <t>LC/PC</t>
        </is>
      </c>
      <c r="J364" s="2" t="n"/>
      <c r="K364" s="2" t="n"/>
      <c r="L364" s="2" t="n">
        <v>30</v>
      </c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>
        <f>SUM(J364:U364)</f>
        <v/>
      </c>
      <c r="W364" s="2" t="n">
        <v>60</v>
      </c>
      <c r="X364" s="2" t="n">
        <v>60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>
        <f>IF(F364=1,V364*2,IF(F364=2,V364*F364*2,IF(F364&gt;2,F364*2*V364)))</f>
        <v/>
      </c>
      <c r="AW364" s="2">
        <f>SUM(W364:AU364)</f>
        <v/>
      </c>
    </row>
    <row r="365">
      <c r="A365" s="2" t="inlineStr">
        <is>
          <t>14-K-787</t>
        </is>
      </c>
      <c r="B365" s="3" t="inlineStr">
        <is>
          <t>OJC-A1-SC/LC-SM-30-PC/PC-DP</t>
        </is>
      </c>
      <c r="C365" s="2" t="inlineStr">
        <is>
          <t>K9089166_적색</t>
        </is>
      </c>
      <c r="D365" s="2" t="inlineStr">
        <is>
          <t>a1-적</t>
        </is>
      </c>
      <c r="E365" s="2" t="inlineStr">
        <is>
          <t>2.0mm</t>
        </is>
      </c>
      <c r="F365" s="2" t="n">
        <v>2</v>
      </c>
      <c r="G365" s="2" t="n">
        <v>30</v>
      </c>
      <c r="H365" s="2" t="inlineStr">
        <is>
          <t>SC/PC</t>
        </is>
      </c>
      <c r="I365" s="2" t="inlineStr">
        <is>
          <t>LC/PC</t>
        </is>
      </c>
      <c r="J365" s="2" t="n"/>
      <c r="K365" s="2" t="n"/>
      <c r="L365" s="2" t="n">
        <v>20</v>
      </c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>
        <f>SUM(J365:U365)</f>
        <v/>
      </c>
      <c r="W365" s="2" t="n"/>
      <c r="X365" s="2" t="n">
        <v>40</v>
      </c>
      <c r="Y365" s="2" t="n"/>
      <c r="Z365" s="2" t="n"/>
      <c r="AA365" s="2" t="n">
        <v>40</v>
      </c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>
        <f>IF(F365=1,V365*2,IF(F365=2,V365*F365*2,IF(F365&gt;2,F365*2*V365)))</f>
        <v/>
      </c>
      <c r="AW365" s="2">
        <f>SUM(W365:AU365)</f>
        <v/>
      </c>
    </row>
    <row r="366">
      <c r="A366" s="2" t="inlineStr">
        <is>
          <t>14-K-789</t>
        </is>
      </c>
      <c r="B366" s="3" t="inlineStr">
        <is>
          <t>OJC-A1-LC/LC-MM(OM3)-7-PC/PC-DP</t>
        </is>
      </c>
      <c r="C366" s="2" t="inlineStr"/>
      <c r="D366" s="2" t="inlineStr">
        <is>
          <t>om3</t>
        </is>
      </c>
      <c r="E366" s="2" t="inlineStr">
        <is>
          <t>2.0mm</t>
        </is>
      </c>
      <c r="F366" s="2" t="n">
        <v>2</v>
      </c>
      <c r="G366" s="2" t="n">
        <v>7</v>
      </c>
      <c r="H366" s="2" t="inlineStr">
        <is>
          <t>LC/PC</t>
        </is>
      </c>
      <c r="I366" s="2" t="inlineStr">
        <is>
          <t>LC/PC</t>
        </is>
      </c>
      <c r="J366" s="2" t="n"/>
      <c r="K366" s="2" t="n">
        <v>6</v>
      </c>
      <c r="L366" s="2" t="n"/>
      <c r="M366" s="2" t="n"/>
      <c r="N366" s="2" t="n"/>
      <c r="O366" s="2" t="n"/>
      <c r="P366" s="2" t="n"/>
      <c r="Q366" s="2" t="n"/>
      <c r="R366" s="2" t="n"/>
      <c r="S366" s="2" t="n">
        <v>34</v>
      </c>
      <c r="T366" s="2" t="n"/>
      <c r="U366" s="2" t="n"/>
      <c r="V366" s="2">
        <f>SUM(J366:U366)</f>
        <v/>
      </c>
      <c r="W366" s="2" t="n"/>
      <c r="X366" s="2" t="n">
        <v>80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>
        <v>80</v>
      </c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>
        <f>IF(F366=1,V366*2,IF(F366=2,V366*F366*2,IF(F366&gt;2,F366*2*V366)))</f>
        <v/>
      </c>
      <c r="AW366" s="2">
        <f>SUM(W366:AU366)</f>
        <v/>
      </c>
    </row>
    <row r="367">
      <c r="A367" s="2" t="inlineStr">
        <is>
          <t>14-K-790</t>
        </is>
      </c>
      <c r="B367" s="3" t="inlineStr">
        <is>
          <t>OJC-A1-LC/LC-SM-9-PC/PC-DP</t>
        </is>
      </c>
      <c r="C367" s="2" t="inlineStr"/>
      <c r="D367" s="2" t="inlineStr">
        <is>
          <t>a1</t>
        </is>
      </c>
      <c r="E367" s="2" t="inlineStr">
        <is>
          <t>2.0mm</t>
        </is>
      </c>
      <c r="F367" s="2" t="n">
        <v>2</v>
      </c>
      <c r="G367" s="2" t="n">
        <v>9</v>
      </c>
      <c r="H367" s="2" t="inlineStr">
        <is>
          <t>LC/PC</t>
        </is>
      </c>
      <c r="I367" s="2" t="inlineStr">
        <is>
          <t>LC/PC</t>
        </is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>
        <v>50</v>
      </c>
      <c r="S367" s="2" t="n"/>
      <c r="T367" s="2" t="n"/>
      <c r="U367" s="2" t="n">
        <v>18</v>
      </c>
      <c r="V367" s="2">
        <f>SUM(J367:U367)</f>
        <v/>
      </c>
      <c r="W367" s="2" t="n">
        <v>136</v>
      </c>
      <c r="X367" s="2" t="n">
        <v>136</v>
      </c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>
        <f>IF(F367=1,V367*2,IF(F367=2,V367*F367*2,IF(F367&gt;2,F367*2*V367)))</f>
        <v/>
      </c>
      <c r="AW367" s="2">
        <f>SUM(W367:AU367)</f>
        <v/>
      </c>
    </row>
    <row r="368">
      <c r="A368" s="2" t="inlineStr">
        <is>
          <t>14-K-801</t>
        </is>
      </c>
      <c r="B368" s="3" t="inlineStr">
        <is>
          <t>OJC-C2-SC/SC-SM-12-PC/PC-16C</t>
        </is>
      </c>
      <c r="C368" s="2" t="inlineStr">
        <is>
          <t>K9094339</t>
        </is>
      </c>
      <c r="D368" s="2" t="inlineStr">
        <is>
          <t>a1-16c</t>
        </is>
      </c>
      <c r="E368" s="2" t="inlineStr">
        <is>
          <t>2.0mm</t>
        </is>
      </c>
      <c r="F368" s="2" t="n">
        <v>16</v>
      </c>
      <c r="G368" s="2" t="n">
        <v>12</v>
      </c>
      <c r="H368" s="2" t="inlineStr">
        <is>
          <t>SC/PC</t>
        </is>
      </c>
      <c r="I368" s="2" t="inlineStr">
        <is>
          <t>SC/PC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>
        <v>6</v>
      </c>
      <c r="S368" s="2" t="n"/>
      <c r="T368" s="2" t="n"/>
      <c r="U368" s="2" t="n"/>
      <c r="V368" s="2">
        <f>SUM(J368:U368)</f>
        <v/>
      </c>
      <c r="W368" s="2" t="n"/>
      <c r="X368" s="2" t="n"/>
      <c r="Y368" s="2" t="n"/>
      <c r="Z368" s="2" t="n"/>
      <c r="AA368" s="2" t="n">
        <v>192</v>
      </c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>
        <f>IF(F368=1,V368*2,IF(F368=2,V368*F368*2,IF(F368&gt;2,F368*2*V368)))</f>
        <v/>
      </c>
      <c r="AW368" s="2">
        <f>SUM(W368:AU368)</f>
        <v/>
      </c>
    </row>
    <row r="369">
      <c r="A369" s="2" t="inlineStr">
        <is>
          <t>14-K-802</t>
        </is>
      </c>
      <c r="B369" s="3" t="inlineStr">
        <is>
          <t>OJC-A1-LC/LC-MM(OM3)-60-PC/PC-DP</t>
        </is>
      </c>
      <c r="C369" s="2" t="inlineStr"/>
      <c r="D369" s="2" t="inlineStr">
        <is>
          <t>om3</t>
        </is>
      </c>
      <c r="E369" s="2" t="inlineStr">
        <is>
          <t>2.0mm</t>
        </is>
      </c>
      <c r="F369" s="2" t="n">
        <v>2</v>
      </c>
      <c r="G369" s="2" t="n">
        <v>60</v>
      </c>
      <c r="H369" s="2" t="inlineStr">
        <is>
          <t>LC/PC</t>
        </is>
      </c>
      <c r="I369" s="2" t="inlineStr">
        <is>
          <t>LC/PC</t>
        </is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>
        <v>4</v>
      </c>
      <c r="T369" s="2" t="n"/>
      <c r="U369" s="2" t="n"/>
      <c r="V369" s="2">
        <f>SUM(J369:U369)</f>
        <v/>
      </c>
      <c r="W369" s="2" t="n"/>
      <c r="X369" s="2" t="n">
        <v>8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>
        <v>8</v>
      </c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>
        <f>IF(F369=1,V369*2,IF(F369=2,V369*F369*2,IF(F369&gt;2,F369*2*V369)))</f>
        <v/>
      </c>
      <c r="AW369" s="2">
        <f>SUM(W369:AU369)</f>
        <v/>
      </c>
    </row>
    <row r="370">
      <c r="A370" s="2" t="inlineStr">
        <is>
          <t>14-K-808</t>
        </is>
      </c>
      <c r="B370" s="3" t="inlineStr">
        <is>
          <t>OJC-A1-LC/LC-SM-70-PC/PC-DP</t>
        </is>
      </c>
      <c r="C370" s="2" t="inlineStr"/>
      <c r="D370" s="2" t="inlineStr">
        <is>
          <t>a1</t>
        </is>
      </c>
      <c r="E370" s="2" t="inlineStr">
        <is>
          <t>2.0mm</t>
        </is>
      </c>
      <c r="F370" s="2" t="n">
        <v>2</v>
      </c>
      <c r="G370" s="2" t="n">
        <v>70</v>
      </c>
      <c r="H370" s="2" t="inlineStr">
        <is>
          <t>LC/PC</t>
        </is>
      </c>
      <c r="I370" s="2" t="inlineStr">
        <is>
          <t>LC/PC</t>
        </is>
      </c>
      <c r="J370" s="2" t="n"/>
      <c r="K370" s="2" t="n">
        <v>1</v>
      </c>
      <c r="L370" s="2" t="n"/>
      <c r="M370" s="2" t="n"/>
      <c r="N370" s="2" t="n">
        <v>20</v>
      </c>
      <c r="O370" s="2" t="n"/>
      <c r="P370" s="2" t="n"/>
      <c r="Q370" s="2" t="n"/>
      <c r="R370" s="2" t="n"/>
      <c r="S370" s="2" t="n"/>
      <c r="T370" s="2" t="n"/>
      <c r="U370" s="2" t="n"/>
      <c r="V370" s="2">
        <f>SUM(J370:U370)</f>
        <v/>
      </c>
      <c r="W370" s="2" t="n">
        <v>42</v>
      </c>
      <c r="X370" s="2" t="n">
        <v>42</v>
      </c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>
        <f>IF(F370=1,V370*2,IF(F370=2,V370*F370*2,IF(F370&gt;2,F370*2*V370)))</f>
        <v/>
      </c>
      <c r="AW370" s="2">
        <f>SUM(W370:AU370)</f>
        <v/>
      </c>
    </row>
    <row r="371">
      <c r="A371" s="2" t="inlineStr">
        <is>
          <t>14-K-818</t>
        </is>
      </c>
      <c r="B371" s="3" t="inlineStr">
        <is>
          <t>OJC-A1-SC/SC-SM-10-PC/PC-SP</t>
        </is>
      </c>
      <c r="C371" s="2" t="inlineStr">
        <is>
          <t>K9089003_적색</t>
        </is>
      </c>
      <c r="D371" s="2" t="inlineStr">
        <is>
          <t>a1-적</t>
        </is>
      </c>
      <c r="E371" s="2" t="inlineStr">
        <is>
          <t>2.0mm</t>
        </is>
      </c>
      <c r="F371" s="2" t="n">
        <v>1</v>
      </c>
      <c r="G371" s="2" t="n">
        <v>10</v>
      </c>
      <c r="H371" s="2" t="inlineStr">
        <is>
          <t>SC/PC</t>
        </is>
      </c>
      <c r="I371" s="2" t="inlineStr">
        <is>
          <t>SC/PC</t>
        </is>
      </c>
      <c r="J371" s="2" t="n"/>
      <c r="K371" s="2" t="n"/>
      <c r="L371" s="2" t="n">
        <v>10</v>
      </c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>
        <f>SUM(J371:U371)</f>
        <v/>
      </c>
      <c r="W371" s="2" t="n"/>
      <c r="X371" s="2" t="n"/>
      <c r="Y371" s="2" t="n"/>
      <c r="Z371" s="2" t="n"/>
      <c r="AA371" s="2" t="n">
        <v>20</v>
      </c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>
        <f>IF(F371=1,V371*2,IF(F371=2,V371*F371*2,IF(F371&gt;2,F371*2*V371)))</f>
        <v/>
      </c>
      <c r="AW371" s="2">
        <f>SUM(W371:AU371)</f>
        <v/>
      </c>
    </row>
    <row r="372">
      <c r="A372" s="2" t="inlineStr">
        <is>
          <t>14-K-819</t>
        </is>
      </c>
      <c r="B372" s="3" t="inlineStr">
        <is>
          <t>OJC-A1-LC/LC-MM(OM3)-1-PC/PC-DP</t>
        </is>
      </c>
      <c r="C372" s="2" t="inlineStr"/>
      <c r="D372" s="2" t="inlineStr">
        <is>
          <t>om3</t>
        </is>
      </c>
      <c r="E372" s="2" t="inlineStr">
        <is>
          <t>2.0mm</t>
        </is>
      </c>
      <c r="F372" s="2" t="n">
        <v>2</v>
      </c>
      <c r="G372" s="2" t="n">
        <v>1</v>
      </c>
      <c r="H372" s="2" t="inlineStr">
        <is>
          <t>LC/PC</t>
        </is>
      </c>
      <c r="I372" s="2" t="inlineStr">
        <is>
          <t>LC/PC</t>
        </is>
      </c>
      <c r="J372" s="2" t="n">
        <v>5</v>
      </c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>
        <f>SUM(J372:U372)</f>
        <v/>
      </c>
      <c r="W372" s="2" t="n"/>
      <c r="X372" s="2" t="n">
        <v>10</v>
      </c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>
        <v>10</v>
      </c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>
        <f>IF(F372=1,V372*2,IF(F372=2,V372*F372*2,IF(F372&gt;2,F372*2*V372)))</f>
        <v/>
      </c>
      <c r="AW372" s="2">
        <f>SUM(W372:AU372)</f>
        <v/>
      </c>
    </row>
    <row r="373">
      <c r="A373" s="2" t="inlineStr">
        <is>
          <t>14-K-830</t>
        </is>
      </c>
      <c r="B373" s="3" t="inlineStr">
        <is>
          <t>OJC-A1-SC/LC-SM-55-PC/PC-DP</t>
        </is>
      </c>
      <c r="C373" s="2" t="inlineStr"/>
      <c r="D373" s="2" t="inlineStr">
        <is>
          <t>a1</t>
        </is>
      </c>
      <c r="E373" s="2" t="inlineStr">
        <is>
          <t>2.0mm</t>
        </is>
      </c>
      <c r="F373" s="2" t="n">
        <v>2</v>
      </c>
      <c r="G373" s="2" t="n">
        <v>55</v>
      </c>
      <c r="H373" s="2" t="inlineStr">
        <is>
          <t>SC/PC</t>
        </is>
      </c>
      <c r="I373" s="2" t="inlineStr">
        <is>
          <t>LC/PC</t>
        </is>
      </c>
      <c r="J373" s="2" t="n"/>
      <c r="K373" s="2" t="n"/>
      <c r="L373" s="2" t="n">
        <v>4</v>
      </c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>
        <f>SUM(J373:U373)</f>
        <v/>
      </c>
      <c r="W373" s="2" t="n"/>
      <c r="X373" s="2" t="n">
        <v>8</v>
      </c>
      <c r="Y373" s="2" t="n"/>
      <c r="Z373" s="2" t="n"/>
      <c r="AA373" s="2" t="n">
        <v>8</v>
      </c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>
        <f>IF(F373=1,V373*2,IF(F373=2,V373*F373*2,IF(F373&gt;2,F373*2*V373)))</f>
        <v/>
      </c>
      <c r="AW373" s="2">
        <f>SUM(W373:AU373)</f>
        <v/>
      </c>
    </row>
    <row r="374">
      <c r="A374" s="2" t="inlineStr">
        <is>
          <t>14-K-837</t>
        </is>
      </c>
      <c r="B374" s="3" t="inlineStr">
        <is>
          <t>OJC-A1-LC/LC-MM(OM3)-70-PC/PC-DP</t>
        </is>
      </c>
      <c r="C374" s="2" t="inlineStr"/>
      <c r="D374" s="2" t="inlineStr">
        <is>
          <t>om3</t>
        </is>
      </c>
      <c r="E374" s="2" t="inlineStr">
        <is>
          <t>2.0mm</t>
        </is>
      </c>
      <c r="F374" s="2" t="n">
        <v>2</v>
      </c>
      <c r="G374" s="2" t="n">
        <v>70</v>
      </c>
      <c r="H374" s="2" t="inlineStr">
        <is>
          <t>LC/PC</t>
        </is>
      </c>
      <c r="I374" s="2" t="inlineStr">
        <is>
          <t>LC/PC</t>
        </is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>
        <v>10</v>
      </c>
      <c r="T374" s="2" t="n"/>
      <c r="U374" s="2" t="n"/>
      <c r="V374" s="2">
        <f>SUM(J374:U374)</f>
        <v/>
      </c>
      <c r="W374" s="2" t="n"/>
      <c r="X374" s="2" t="n">
        <v>20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>
        <v>20</v>
      </c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>
        <f>IF(F374=1,V374*2,IF(F374=2,V374*F374*2,IF(F374&gt;2,F374*2*V374)))</f>
        <v/>
      </c>
      <c r="AW374" s="2">
        <f>SUM(W374:AU374)</f>
        <v/>
      </c>
    </row>
    <row r="375">
      <c r="A375" s="2" t="inlineStr">
        <is>
          <t>14-K-849</t>
        </is>
      </c>
      <c r="B375" s="3" t="inlineStr">
        <is>
          <t>OJC-A1-SC/SC-SM-1-PC/PC-SP</t>
        </is>
      </c>
      <c r="C375" s="2" t="inlineStr">
        <is>
          <t>K9088994_포앤티</t>
        </is>
      </c>
      <c r="D375" s="2" t="inlineStr">
        <is>
          <t>a1</t>
        </is>
      </c>
      <c r="E375" s="2" t="inlineStr">
        <is>
          <t>2.0mm</t>
        </is>
      </c>
      <c r="F375" s="2" t="n">
        <v>1</v>
      </c>
      <c r="G375" s="2" t="n">
        <v>1</v>
      </c>
      <c r="H375" s="2" t="inlineStr">
        <is>
          <t>SC/PC</t>
        </is>
      </c>
      <c r="I375" s="2" t="inlineStr">
        <is>
          <t>SC/PC</t>
        </is>
      </c>
      <c r="J375" s="2" t="n"/>
      <c r="K375" s="2" t="n">
        <v>700</v>
      </c>
      <c r="L375" s="2" t="n">
        <v>200</v>
      </c>
      <c r="M375" s="2" t="n"/>
      <c r="N375" s="2" t="n">
        <v>100</v>
      </c>
      <c r="O375" s="2" t="n"/>
      <c r="P375" s="2" t="n"/>
      <c r="Q375" s="2" t="n"/>
      <c r="R375" s="2" t="n"/>
      <c r="S375" s="2" t="n"/>
      <c r="T375" s="2" t="n"/>
      <c r="U375" s="2" t="n"/>
      <c r="V375" s="2">
        <f>SUM(J375:U375)</f>
        <v/>
      </c>
      <c r="W375" s="2" t="n"/>
      <c r="X375" s="2" t="n"/>
      <c r="Y375" s="2" t="n"/>
      <c r="Z375" s="2" t="n"/>
      <c r="AA375" s="2" t="n">
        <v>2000</v>
      </c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>
        <f>IF(F375=1,V375*2,IF(F375=2,V375*F375*2,IF(F375&gt;2,F375*2*V375)))</f>
        <v/>
      </c>
      <c r="AW375" s="2">
        <f>SUM(W375:AU375)</f>
        <v/>
      </c>
    </row>
    <row r="376">
      <c r="A376" s="2" t="inlineStr">
        <is>
          <t>14-K-851</t>
        </is>
      </c>
      <c r="B376" s="3" t="inlineStr">
        <is>
          <t>OJC-A1-SC/SC-SM-3-PC/PC-SP</t>
        </is>
      </c>
      <c r="C376" s="2" t="inlineStr">
        <is>
          <t>K9088996_포앤티</t>
        </is>
      </c>
      <c r="D376" s="2" t="inlineStr">
        <is>
          <t>a1</t>
        </is>
      </c>
      <c r="E376" s="2" t="inlineStr">
        <is>
          <t>2.0mm</t>
        </is>
      </c>
      <c r="F376" s="2" t="n">
        <v>1</v>
      </c>
      <c r="G376" s="2" t="n">
        <v>3</v>
      </c>
      <c r="H376" s="2" t="inlineStr">
        <is>
          <t>SC/PC</t>
        </is>
      </c>
      <c r="I376" s="2" t="inlineStr">
        <is>
          <t>SC/PC</t>
        </is>
      </c>
      <c r="J376" s="2" t="n"/>
      <c r="K376" s="2" t="n">
        <v>1000</v>
      </c>
      <c r="L376" s="2" t="n">
        <v>200</v>
      </c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>
        <f>SUM(J376:U376)</f>
        <v/>
      </c>
      <c r="W376" s="2" t="n"/>
      <c r="X376" s="2" t="n"/>
      <c r="Y376" s="2" t="n"/>
      <c r="Z376" s="2" t="n"/>
      <c r="AA376" s="2" t="n">
        <v>2400</v>
      </c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>
        <f>IF(F376=1,V376*2,IF(F376=2,V376*F376*2,IF(F376&gt;2,F376*2*V376)))</f>
        <v/>
      </c>
      <c r="AW376" s="2">
        <f>SUM(W376:AU376)</f>
        <v/>
      </c>
    </row>
    <row r="377">
      <c r="A377" s="2" t="inlineStr">
        <is>
          <t>14-K-858</t>
        </is>
      </c>
      <c r="B377" s="3" t="inlineStr">
        <is>
          <t>OJC-A1-LC/LC-MM(OM3)-100-PC/PC-DP</t>
        </is>
      </c>
      <c r="C377" s="2" t="inlineStr"/>
      <c r="D377" s="2" t="inlineStr">
        <is>
          <t>om3</t>
        </is>
      </c>
      <c r="E377" s="2" t="inlineStr">
        <is>
          <t>2.0mm</t>
        </is>
      </c>
      <c r="F377" s="2" t="n">
        <v>2</v>
      </c>
      <c r="G377" s="2" t="n">
        <v>100</v>
      </c>
      <c r="H377" s="2" t="inlineStr">
        <is>
          <t>LC/PC</t>
        </is>
      </c>
      <c r="I377" s="2" t="inlineStr">
        <is>
          <t>LC/PC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>
        <v>4</v>
      </c>
      <c r="S377" s="2" t="n"/>
      <c r="T377" s="2" t="n"/>
      <c r="U377" s="2" t="n"/>
      <c r="V377" s="2">
        <f>SUM(J377:U377)</f>
        <v/>
      </c>
      <c r="W377" s="2" t="n"/>
      <c r="X377" s="2" t="n">
        <v>8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>
        <v>8</v>
      </c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>
        <f>IF(F377=1,V377*2,IF(F377=2,V377*F377*2,IF(F377&gt;2,F377*2*V377)))</f>
        <v/>
      </c>
      <c r="AW377" s="2">
        <f>SUM(W377:AU377)</f>
        <v/>
      </c>
    </row>
    <row r="378">
      <c r="A378" s="2" t="inlineStr">
        <is>
          <t>14-K-869</t>
        </is>
      </c>
      <c r="B378" s="3" t="inlineStr">
        <is>
          <t>OJC-A1-LC/LC-SM-35-PC/PC-SP</t>
        </is>
      </c>
      <c r="C378" s="2" t="inlineStr">
        <is>
          <t>K9089052</t>
        </is>
      </c>
      <c r="D378" s="2" t="inlineStr">
        <is>
          <t>a1</t>
        </is>
      </c>
      <c r="E378" s="2" t="inlineStr">
        <is>
          <t>2.0mm</t>
        </is>
      </c>
      <c r="F378" s="2" t="n">
        <v>1</v>
      </c>
      <c r="G378" s="2" t="n">
        <v>35</v>
      </c>
      <c r="H378" s="2" t="inlineStr">
        <is>
          <t>LC/PC</t>
        </is>
      </c>
      <c r="I378" s="2" t="inlineStr">
        <is>
          <t>LC/PC</t>
        </is>
      </c>
      <c r="J378" s="2" t="n"/>
      <c r="K378" s="2" t="n"/>
      <c r="L378" s="2" t="n"/>
      <c r="M378" s="2" t="n"/>
      <c r="N378" s="2" t="n"/>
      <c r="O378" s="2" t="n"/>
      <c r="P378" s="2" t="n"/>
      <c r="Q378" s="2" t="n">
        <v>10</v>
      </c>
      <c r="R378" s="2" t="n"/>
      <c r="S378" s="2" t="n"/>
      <c r="T378" s="2" t="n"/>
      <c r="U378" s="2" t="n"/>
      <c r="V378" s="2">
        <f>SUM(J378:U378)</f>
        <v/>
      </c>
      <c r="W378" s="2" t="n">
        <v>20</v>
      </c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>
        <f>IF(F378=1,V378*2,IF(F378=2,V378*F378*2,IF(F378&gt;2,F378*2*V378)))</f>
        <v/>
      </c>
      <c r="AW378" s="2">
        <f>SUM(W378:AU378)</f>
        <v/>
      </c>
    </row>
    <row r="379">
      <c r="A379" s="2" t="inlineStr">
        <is>
          <t>14-K-872</t>
        </is>
      </c>
      <c r="B379" s="3" t="inlineStr">
        <is>
          <t>OJC-A1-SC/LC-MM(OM3)-20-PC/PC-DP</t>
        </is>
      </c>
      <c r="C379" s="2" t="inlineStr"/>
      <c r="D379" s="2" t="inlineStr">
        <is>
          <t>om3</t>
        </is>
      </c>
      <c r="E379" s="2" t="inlineStr">
        <is>
          <t>2.0mm</t>
        </is>
      </c>
      <c r="F379" s="2" t="n">
        <v>2</v>
      </c>
      <c r="G379" s="2" t="n">
        <v>20</v>
      </c>
      <c r="H379" s="2" t="inlineStr">
        <is>
          <t>SC/PC</t>
        </is>
      </c>
      <c r="I379" s="2" t="inlineStr">
        <is>
          <t>LC/PC</t>
        </is>
      </c>
      <c r="J379" s="2" t="n"/>
      <c r="K379" s="2" t="n"/>
      <c r="L379" s="2" t="n"/>
      <c r="M379" s="2" t="n"/>
      <c r="N379" s="2" t="n"/>
      <c r="O379" s="2" t="n">
        <v>1</v>
      </c>
      <c r="P379" s="2" t="n"/>
      <c r="Q379" s="2" t="n"/>
      <c r="R379" s="2" t="n"/>
      <c r="S379" s="2" t="n"/>
      <c r="T379" s="2" t="n"/>
      <c r="U379" s="2" t="n"/>
      <c r="V379" s="2">
        <f>SUM(J379:U379)</f>
        <v/>
      </c>
      <c r="W379" s="2" t="n"/>
      <c r="X379" s="2" t="n">
        <v>2</v>
      </c>
      <c r="Y379" s="2" t="n"/>
      <c r="Z379" s="2" t="n"/>
      <c r="AA379" s="2" t="n">
        <v>2</v>
      </c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>
        <f>IF(F379=1,V379*2,IF(F379=2,V379*F379*2,IF(F379&gt;2,F379*2*V379)))</f>
        <v/>
      </c>
      <c r="AW379" s="2">
        <f>SUM(W379:AU379)</f>
        <v/>
      </c>
    </row>
    <row r="380">
      <c r="A380" s="2" t="inlineStr">
        <is>
          <t>14-K-873</t>
        </is>
      </c>
      <c r="B380" s="3" t="inlineStr">
        <is>
          <t>OJC-A1-LC/LC-SM-50-PC/PC-DP</t>
        </is>
      </c>
      <c r="C380" s="2" t="inlineStr">
        <is>
          <t>K9089184_청색</t>
        </is>
      </c>
      <c r="D380" s="2" t="inlineStr">
        <is>
          <t>a1-청</t>
        </is>
      </c>
      <c r="E380" s="2" t="inlineStr">
        <is>
          <t>2.0mm</t>
        </is>
      </c>
      <c r="F380" s="2" t="n">
        <v>2</v>
      </c>
      <c r="G380" s="2" t="n">
        <v>50</v>
      </c>
      <c r="H380" s="2" t="inlineStr">
        <is>
          <t>LC/PC</t>
        </is>
      </c>
      <c r="I380" s="2" t="inlineStr">
        <is>
          <t>LC/PC</t>
        </is>
      </c>
      <c r="J380" s="2" t="n"/>
      <c r="K380" s="2" t="n"/>
      <c r="L380" s="2" t="n">
        <v>20</v>
      </c>
      <c r="M380" s="2" t="n"/>
      <c r="N380" s="2" t="n">
        <v>80</v>
      </c>
      <c r="O380" s="2" t="n"/>
      <c r="P380" s="2" t="n"/>
      <c r="Q380" s="2" t="n"/>
      <c r="R380" s="2" t="n"/>
      <c r="S380" s="2" t="n"/>
      <c r="T380" s="2" t="n"/>
      <c r="U380" s="2" t="n"/>
      <c r="V380" s="2">
        <f>SUM(J380:U380)</f>
        <v/>
      </c>
      <c r="W380" s="2" t="n">
        <v>200</v>
      </c>
      <c r="X380" s="2" t="n">
        <v>200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>
        <f>IF(F380=1,V380*2,IF(F380=2,V380*F380*2,IF(F380&gt;2,F380*2*V380)))</f>
        <v/>
      </c>
      <c r="AW380" s="2">
        <f>SUM(W380:AU380)</f>
        <v/>
      </c>
    </row>
    <row r="381">
      <c r="A381" s="2" t="inlineStr">
        <is>
          <t>14-K-933</t>
        </is>
      </c>
      <c r="B381" s="3" t="inlineStr">
        <is>
          <t>OJC-A1-SC/LC-SM-27-PC/PC-DP</t>
        </is>
      </c>
      <c r="C381" s="2" t="inlineStr"/>
      <c r="D381" s="2" t="inlineStr">
        <is>
          <t>a1</t>
        </is>
      </c>
      <c r="E381" s="2" t="inlineStr">
        <is>
          <t>2.0mm</t>
        </is>
      </c>
      <c r="F381" s="2" t="n">
        <v>2</v>
      </c>
      <c r="G381" s="2" t="n">
        <v>27</v>
      </c>
      <c r="H381" s="2" t="inlineStr">
        <is>
          <t>SC/PC</t>
        </is>
      </c>
      <c r="I381" s="2" t="inlineStr">
        <is>
          <t>LC/PC</t>
        </is>
      </c>
      <c r="J381" s="2" t="n"/>
      <c r="K381" s="2" t="n"/>
      <c r="L381" s="2" t="n">
        <v>38</v>
      </c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>
        <f>SUM(J381:U381)</f>
        <v/>
      </c>
      <c r="W381" s="2" t="n"/>
      <c r="X381" s="2" t="n">
        <v>76</v>
      </c>
      <c r="Y381" s="2" t="n"/>
      <c r="Z381" s="2" t="n"/>
      <c r="AA381" s="2" t="n">
        <v>76</v>
      </c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>
        <f>IF(F381=1,V381*2,IF(F381=2,V381*F381*2,IF(F381&gt;2,F381*2*V381)))</f>
        <v/>
      </c>
      <c r="AW381" s="2">
        <f>SUM(W381:AU381)</f>
        <v/>
      </c>
    </row>
    <row r="382">
      <c r="A382" s="2" t="inlineStr">
        <is>
          <t>14-K-937</t>
        </is>
      </c>
      <c r="B382" s="3" t="inlineStr">
        <is>
          <t>OJC-A1-LC/LC-SM-40-PC/PC-SP</t>
        </is>
      </c>
      <c r="C382" s="2" t="inlineStr">
        <is>
          <t>K9089053</t>
        </is>
      </c>
      <c r="D382" s="2" t="inlineStr">
        <is>
          <t>a1</t>
        </is>
      </c>
      <c r="E382" s="2" t="inlineStr">
        <is>
          <t>2.0mm</t>
        </is>
      </c>
      <c r="F382" s="2" t="n">
        <v>1</v>
      </c>
      <c r="G382" s="2" t="n">
        <v>40</v>
      </c>
      <c r="H382" s="2" t="inlineStr">
        <is>
          <t>LC/PC</t>
        </is>
      </c>
      <c r="I382" s="2" t="inlineStr">
        <is>
          <t>LC/PC</t>
        </is>
      </c>
      <c r="J382" s="2" t="n"/>
      <c r="K382" s="2" t="n"/>
      <c r="L382" s="2" t="n">
        <v>23</v>
      </c>
      <c r="M382" s="2" t="n"/>
      <c r="N382" s="2" t="n"/>
      <c r="O382" s="2" t="n"/>
      <c r="P382" s="2" t="n"/>
      <c r="Q382" s="2" t="n">
        <v>10</v>
      </c>
      <c r="R382" s="2" t="n"/>
      <c r="S382" s="2" t="n"/>
      <c r="T382" s="2" t="n"/>
      <c r="U382" s="2" t="n"/>
      <c r="V382" s="2">
        <f>SUM(J382:U382)</f>
        <v/>
      </c>
      <c r="W382" s="2" t="n">
        <v>66</v>
      </c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>
        <f>IF(F382=1,V382*2,IF(F382=2,V382*F382*2,IF(F382&gt;2,F382*2*V382)))</f>
        <v/>
      </c>
      <c r="AW382" s="2">
        <f>SUM(W382:AU382)</f>
        <v/>
      </c>
    </row>
    <row r="383">
      <c r="A383" s="2" t="inlineStr">
        <is>
          <t>14-K-988</t>
        </is>
      </c>
      <c r="B383" s="3" t="inlineStr">
        <is>
          <t>OJC-A1-SC/SC-SM-20-PC/PC-SP</t>
        </is>
      </c>
      <c r="C383" s="2" t="inlineStr">
        <is>
          <t>K9089013_청색</t>
        </is>
      </c>
      <c r="D383" s="2" t="inlineStr">
        <is>
          <t>a1-청</t>
        </is>
      </c>
      <c r="E383" s="2" t="inlineStr">
        <is>
          <t>2.0mm</t>
        </is>
      </c>
      <c r="F383" s="2" t="n">
        <v>1</v>
      </c>
      <c r="G383" s="2" t="n">
        <v>20</v>
      </c>
      <c r="H383" s="2" t="inlineStr">
        <is>
          <t>SC/PC</t>
        </is>
      </c>
      <c r="I383" s="2" t="inlineStr">
        <is>
          <t>SC/PC</t>
        </is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>
        <v>10</v>
      </c>
      <c r="U383" s="2" t="n"/>
      <c r="V383" s="2">
        <f>SUM(J383:U383)</f>
        <v/>
      </c>
      <c r="W383" s="2" t="n"/>
      <c r="X383" s="2" t="n"/>
      <c r="Y383" s="2" t="n"/>
      <c r="Z383" s="2" t="n"/>
      <c r="AA383" s="2" t="n">
        <v>20</v>
      </c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>
        <f>IF(F383=1,V383*2,IF(F383=2,V383*F383*2,IF(F383&gt;2,F383*2*V383)))</f>
        <v/>
      </c>
      <c r="AW383" s="2">
        <f>SUM(W383:AU383)</f>
        <v/>
      </c>
    </row>
    <row r="384">
      <c r="A384" s="2" t="inlineStr">
        <is>
          <t>14-K-989</t>
        </is>
      </c>
      <c r="B384" s="3" t="inlineStr">
        <is>
          <t>OJC-A1-SC/SC-SM-25-PC/PC-SP</t>
        </is>
      </c>
      <c r="C384" s="2" t="inlineStr">
        <is>
          <t>K9089018_청색</t>
        </is>
      </c>
      <c r="D384" s="2" t="inlineStr">
        <is>
          <t>a1-청</t>
        </is>
      </c>
      <c r="E384" s="2" t="inlineStr">
        <is>
          <t>2.0mm</t>
        </is>
      </c>
      <c r="F384" s="2" t="n">
        <v>1</v>
      </c>
      <c r="G384" s="2" t="n">
        <v>25</v>
      </c>
      <c r="H384" s="2" t="inlineStr">
        <is>
          <t>SC/PC</t>
        </is>
      </c>
      <c r="I384" s="2" t="inlineStr">
        <is>
          <t>SC/PC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>
        <v>10</v>
      </c>
      <c r="U384" s="2" t="n"/>
      <c r="V384" s="2">
        <f>SUM(J384:U384)</f>
        <v/>
      </c>
      <c r="W384" s="2" t="n"/>
      <c r="X384" s="2" t="n"/>
      <c r="Y384" s="2" t="n"/>
      <c r="Z384" s="2" t="n"/>
      <c r="AA384" s="2" t="n">
        <v>20</v>
      </c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>
        <f>IF(F384=1,V384*2,IF(F384=2,V384*F384*2,IF(F384&gt;2,F384*2*V384)))</f>
        <v/>
      </c>
      <c r="AW384" s="2">
        <f>SUM(W384:AU384)</f>
        <v/>
      </c>
    </row>
    <row r="385">
      <c r="A385" s="2" t="inlineStr">
        <is>
          <t>14-K-A100</t>
        </is>
      </c>
      <c r="B385" s="3" t="inlineStr">
        <is>
          <t>OJC-A1-SC/LC-SM-40-PC/PC-DP</t>
        </is>
      </c>
      <c r="C385" s="2" t="inlineStr">
        <is>
          <t>적색</t>
        </is>
      </c>
      <c r="D385" s="2" t="inlineStr">
        <is>
          <t>a1-적</t>
        </is>
      </c>
      <c r="E385" s="2" t="inlineStr">
        <is>
          <t>2.0mm</t>
        </is>
      </c>
      <c r="F385" s="2" t="n">
        <v>2</v>
      </c>
      <c r="G385" s="2" t="n">
        <v>40</v>
      </c>
      <c r="H385" s="2" t="inlineStr">
        <is>
          <t>SC/PC</t>
        </is>
      </c>
      <c r="I385" s="2" t="inlineStr">
        <is>
          <t>LC/PC</t>
        </is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>
        <v>20</v>
      </c>
      <c r="U385" s="2" t="n"/>
      <c r="V385" s="2">
        <f>SUM(J385:U385)</f>
        <v/>
      </c>
      <c r="W385" s="2" t="n"/>
      <c r="X385" s="2" t="n">
        <v>40</v>
      </c>
      <c r="Y385" s="2" t="n"/>
      <c r="Z385" s="2" t="n"/>
      <c r="AA385" s="2" t="n">
        <v>40</v>
      </c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>
        <f>IF(F385=1,V385*2,IF(F385=2,V385*F385*2,IF(F385&gt;2,F385*2*V385)))</f>
        <v/>
      </c>
      <c r="AW385" s="2">
        <f>SUM(W385:AU385)</f>
        <v/>
      </c>
    </row>
    <row r="386">
      <c r="A386" s="2" t="inlineStr">
        <is>
          <t>14-K-A143</t>
        </is>
      </c>
      <c r="B386" s="3" t="inlineStr">
        <is>
          <t>OJC-A1-LC/LC-SM-15-PC/PC-DP</t>
        </is>
      </c>
      <c r="C386" s="2" t="inlineStr">
        <is>
          <t>K9089177_녹색</t>
        </is>
      </c>
      <c r="D386" s="2" t="inlineStr">
        <is>
          <t>a1-녹</t>
        </is>
      </c>
      <c r="E386" s="2" t="inlineStr">
        <is>
          <t>2.0mm</t>
        </is>
      </c>
      <c r="F386" s="2" t="n">
        <v>2</v>
      </c>
      <c r="G386" s="2" t="n">
        <v>15</v>
      </c>
      <c r="H386" s="2" t="inlineStr">
        <is>
          <t>LC/PC</t>
        </is>
      </c>
      <c r="I386" s="2" t="inlineStr">
        <is>
          <t>LC/PC</t>
        </is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>
        <v>12</v>
      </c>
      <c r="S386" s="2" t="n"/>
      <c r="T386" s="2" t="n"/>
      <c r="U386" s="2" t="n"/>
      <c r="V386" s="2">
        <f>SUM(J386:U386)</f>
        <v/>
      </c>
      <c r="W386" s="2" t="n">
        <v>24</v>
      </c>
      <c r="X386" s="2" t="n">
        <v>24</v>
      </c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>
        <f>IF(F386=1,V386*2,IF(F386=2,V386*F386*2,IF(F386&gt;2,F386*2*V386)))</f>
        <v/>
      </c>
      <c r="AW386" s="2">
        <f>SUM(W386:AU386)</f>
        <v/>
      </c>
    </row>
    <row r="387">
      <c r="A387" s="2" t="inlineStr">
        <is>
          <t>14-K-A161</t>
        </is>
      </c>
      <c r="B387" s="3" t="inlineStr">
        <is>
          <t>OJC-C2-SC/SC-SM-5-PC/PC-16C</t>
        </is>
      </c>
      <c r="C387" s="2" t="inlineStr">
        <is>
          <t>K9094339, 편단 분기부 0.5M</t>
        </is>
      </c>
      <c r="D387" s="2" t="inlineStr">
        <is>
          <t>a1-16c</t>
        </is>
      </c>
      <c r="E387" s="2" t="inlineStr">
        <is>
          <t>2.0mm</t>
        </is>
      </c>
      <c r="F387" s="2" t="n">
        <v>16</v>
      </c>
      <c r="G387" s="2" t="n">
        <v>5</v>
      </c>
      <c r="H387" s="2" t="inlineStr">
        <is>
          <t>SC/PC</t>
        </is>
      </c>
      <c r="I387" s="2" t="inlineStr">
        <is>
          <t>SC/PC</t>
        </is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>
        <v>50</v>
      </c>
      <c r="U387" s="2" t="n"/>
      <c r="V387" s="2">
        <f>SUM(J387:U387)</f>
        <v/>
      </c>
      <c r="W387" s="2" t="n"/>
      <c r="X387" s="2" t="n"/>
      <c r="Y387" s="2" t="n"/>
      <c r="Z387" s="2" t="n"/>
      <c r="AA387" s="2" t="n">
        <v>1600</v>
      </c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>
        <f>IF(F387=1,V387*2,IF(F387=2,V387*F387*2,IF(F387&gt;2,F387*2*V387)))</f>
        <v/>
      </c>
      <c r="AW387" s="2">
        <f>SUM(W387:AU387)</f>
        <v/>
      </c>
    </row>
    <row r="388">
      <c r="A388" s="2" t="inlineStr">
        <is>
          <t>14-K-A164</t>
        </is>
      </c>
      <c r="B388" s="3" t="inlineStr">
        <is>
          <t>OJC-A1-SC/FC-SM-20-PC/APC-DP</t>
        </is>
      </c>
      <c r="C388" s="2" t="inlineStr"/>
      <c r="D388" s="2" t="inlineStr">
        <is>
          <t>a1</t>
        </is>
      </c>
      <c r="E388" s="2" t="inlineStr">
        <is>
          <t>2.0mm</t>
        </is>
      </c>
      <c r="F388" s="2" t="n">
        <v>2</v>
      </c>
      <c r="G388" s="2" t="n">
        <v>20</v>
      </c>
      <c r="H388" s="2" t="inlineStr">
        <is>
          <t>SC/PC</t>
        </is>
      </c>
      <c r="I388" s="2" t="inlineStr">
        <is>
          <t>FC/APC</t>
        </is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>
        <v>4</v>
      </c>
      <c r="T388" s="2" t="n"/>
      <c r="U388" s="2" t="n"/>
      <c r="V388" s="2">
        <f>SUM(J388:U388)</f>
        <v/>
      </c>
      <c r="W388" s="2" t="n"/>
      <c r="X388" s="2" t="n"/>
      <c r="Y388" s="2" t="n"/>
      <c r="Z388" s="2" t="n"/>
      <c r="AA388" s="2" t="n">
        <v>8</v>
      </c>
      <c r="AB388" s="2" t="n"/>
      <c r="AC388" s="2" t="n"/>
      <c r="AD388" s="2" t="n"/>
      <c r="AE388" s="2" t="n"/>
      <c r="AF388" s="2" t="n"/>
      <c r="AG388" s="2" t="n"/>
      <c r="AH388" s="2" t="n">
        <v>8</v>
      </c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>
        <f>IF(F388=1,V388*2,IF(F388=2,V388*F388*2,IF(F388&gt;2,F388*2*V388)))</f>
        <v/>
      </c>
      <c r="AW388" s="2">
        <f>SUM(W388:AU388)</f>
        <v/>
      </c>
    </row>
    <row r="389">
      <c r="A389" s="2" t="inlineStr">
        <is>
          <t>14-K-A185</t>
        </is>
      </c>
      <c r="B389" s="3" t="inlineStr">
        <is>
          <t>OJC-A1-LC/LC-SM-28-PC/PC-DP</t>
        </is>
      </c>
      <c r="C389" s="2" t="inlineStr"/>
      <c r="D389" s="2" t="inlineStr">
        <is>
          <t>a1</t>
        </is>
      </c>
      <c r="E389" s="2" t="inlineStr">
        <is>
          <t>2.0mm</t>
        </is>
      </c>
      <c r="F389" s="2" t="n">
        <v>2</v>
      </c>
      <c r="G389" s="2" t="n">
        <v>28</v>
      </c>
      <c r="H389" s="2" t="inlineStr">
        <is>
          <t>LC/PC</t>
        </is>
      </c>
      <c r="I389" s="2" t="inlineStr">
        <is>
          <t>LC/PC</t>
        </is>
      </c>
      <c r="J389" s="2" t="n"/>
      <c r="K389" s="2" t="n"/>
      <c r="L389" s="2" t="n"/>
      <c r="M389" s="2" t="n"/>
      <c r="N389" s="2" t="n">
        <v>12</v>
      </c>
      <c r="O389" s="2" t="n"/>
      <c r="P389" s="2" t="n"/>
      <c r="Q389" s="2" t="n"/>
      <c r="R389" s="2" t="n"/>
      <c r="S389" s="2" t="n"/>
      <c r="T389" s="2" t="n"/>
      <c r="U389" s="2" t="n"/>
      <c r="V389" s="2">
        <f>SUM(J389:U389)</f>
        <v/>
      </c>
      <c r="W389" s="2" t="n">
        <v>24</v>
      </c>
      <c r="X389" s="2" t="n">
        <v>24</v>
      </c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>
        <f>IF(F389=1,V389*2,IF(F389=2,V389*F389*2,IF(F389&gt;2,F389*2*V389)))</f>
        <v/>
      </c>
      <c r="AW389" s="2">
        <f>SUM(W389:AU389)</f>
        <v/>
      </c>
    </row>
    <row r="390">
      <c r="A390" s="2" t="inlineStr">
        <is>
          <t>14-K-A241</t>
        </is>
      </c>
      <c r="B390" s="3" t="inlineStr">
        <is>
          <t>OJC-A1-SC/SC-SM-1-PC/PC-SP</t>
        </is>
      </c>
      <c r="C390" s="2" t="inlineStr">
        <is>
          <t>K9088994_녹색</t>
        </is>
      </c>
      <c r="D390" s="2" t="inlineStr">
        <is>
          <t>a1-녹</t>
        </is>
      </c>
      <c r="E390" s="2" t="inlineStr">
        <is>
          <t>2.0mm</t>
        </is>
      </c>
      <c r="F390" s="2" t="n">
        <v>1</v>
      </c>
      <c r="G390" s="2" t="n">
        <v>1</v>
      </c>
      <c r="H390" s="2" t="inlineStr">
        <is>
          <t>SC/PC</t>
        </is>
      </c>
      <c r="I390" s="2" t="inlineStr">
        <is>
          <t>SC/PC</t>
        </is>
      </c>
      <c r="J390" s="2" t="n"/>
      <c r="K390" s="2" t="n"/>
      <c r="L390" s="2" t="n"/>
      <c r="M390" s="2" t="n">
        <v>70</v>
      </c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>
        <f>SUM(J390:U390)</f>
        <v/>
      </c>
      <c r="W390" s="2" t="n"/>
      <c r="X390" s="2" t="n"/>
      <c r="Y390" s="2" t="n"/>
      <c r="Z390" s="2" t="n"/>
      <c r="AA390" s="2" t="n">
        <v>140</v>
      </c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>
        <f>IF(F390=1,V390*2,IF(F390=2,V390*F390*2,IF(F390&gt;2,F390*2*V390)))</f>
        <v/>
      </c>
      <c r="AW390" s="2">
        <f>SUM(W390:AU390)</f>
        <v/>
      </c>
    </row>
    <row r="391">
      <c r="A391" s="2" t="inlineStr">
        <is>
          <t>14-K-A266</t>
        </is>
      </c>
      <c r="B391" s="3" t="inlineStr">
        <is>
          <t>OJC-A1-LC/LC-SM-17-PC/PC-SP</t>
        </is>
      </c>
      <c r="C391" s="2" t="inlineStr"/>
      <c r="D391" s="2" t="inlineStr">
        <is>
          <t>a1</t>
        </is>
      </c>
      <c r="E391" s="2" t="inlineStr">
        <is>
          <t>2.0mm</t>
        </is>
      </c>
      <c r="F391" s="2" t="n">
        <v>1</v>
      </c>
      <c r="G391" s="2" t="n">
        <v>17</v>
      </c>
      <c r="H391" s="2" t="inlineStr">
        <is>
          <t>LC/PC</t>
        </is>
      </c>
      <c r="I391" s="2" t="inlineStr">
        <is>
          <t>LC/PC</t>
        </is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>
        <v>20</v>
      </c>
      <c r="V391" s="2">
        <f>SUM(J391:U391)</f>
        <v/>
      </c>
      <c r="W391" s="2" t="n">
        <v>40</v>
      </c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>
        <f>IF(F391=1,V391*2,IF(F391=2,V391*F391*2,IF(F391&gt;2,F391*2*V391)))</f>
        <v/>
      </c>
      <c r="AW391" s="2">
        <f>SUM(W391:AU391)</f>
        <v/>
      </c>
    </row>
    <row r="392">
      <c r="A392" s="2" t="inlineStr">
        <is>
          <t>14-K-A278</t>
        </is>
      </c>
      <c r="B392" s="3" t="inlineStr">
        <is>
          <t>OJC-A1-LC/LC-SM-65-PC/PC-DP</t>
        </is>
      </c>
      <c r="C392" s="2" t="inlineStr"/>
      <c r="D392" s="2" t="inlineStr">
        <is>
          <t>a1</t>
        </is>
      </c>
      <c r="E392" s="2" t="inlineStr">
        <is>
          <t>2.0mm</t>
        </is>
      </c>
      <c r="F392" s="2" t="n">
        <v>2</v>
      </c>
      <c r="G392" s="2" t="n">
        <v>65</v>
      </c>
      <c r="H392" s="2" t="inlineStr">
        <is>
          <t>LC/PC</t>
        </is>
      </c>
      <c r="I392" s="2" t="inlineStr">
        <is>
          <t>LC/PC</t>
        </is>
      </c>
      <c r="J392" s="2" t="n"/>
      <c r="K392" s="2" t="n"/>
      <c r="L392" s="2" t="n"/>
      <c r="M392" s="2" t="n"/>
      <c r="N392" s="2" t="n"/>
      <c r="O392" s="2" t="n"/>
      <c r="P392" s="2" t="n"/>
      <c r="Q392" s="2" t="n">
        <v>20</v>
      </c>
      <c r="R392" s="2" t="n"/>
      <c r="S392" s="2" t="n"/>
      <c r="T392" s="2" t="n"/>
      <c r="U392" s="2" t="n"/>
      <c r="V392" s="2">
        <f>SUM(J392:U392)</f>
        <v/>
      </c>
      <c r="W392" s="2" t="n">
        <v>40</v>
      </c>
      <c r="X392" s="2" t="n">
        <v>40</v>
      </c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>
        <f>IF(F392=1,V392*2,IF(F392=2,V392*F392*2,IF(F392&gt;2,F392*2*V392)))</f>
        <v/>
      </c>
      <c r="AW392" s="2">
        <f>SUM(W392:AU392)</f>
        <v/>
      </c>
    </row>
    <row r="393">
      <c r="A393" s="2" t="inlineStr">
        <is>
          <t>14-K-A28</t>
        </is>
      </c>
      <c r="B393" s="3" t="inlineStr">
        <is>
          <t>OJC-C2-SC/SC-SM-35-PC/PC-8C</t>
        </is>
      </c>
      <c r="C393" s="2" t="inlineStr">
        <is>
          <t>K9089452</t>
        </is>
      </c>
      <c r="D393" s="2" t="inlineStr">
        <is>
          <t>a1-8c</t>
        </is>
      </c>
      <c r="E393" s="2" t="inlineStr">
        <is>
          <t>2.0mm</t>
        </is>
      </c>
      <c r="F393" s="2" t="n">
        <v>8</v>
      </c>
      <c r="G393" s="2" t="n">
        <v>35</v>
      </c>
      <c r="H393" s="2" t="inlineStr">
        <is>
          <t>SC/PC</t>
        </is>
      </c>
      <c r="I393" s="2" t="inlineStr">
        <is>
          <t>SC/PC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>
        <v>20</v>
      </c>
      <c r="R393" s="2" t="n"/>
      <c r="S393" s="2" t="n"/>
      <c r="T393" s="2" t="n"/>
      <c r="U393" s="2" t="n"/>
      <c r="V393" s="2">
        <f>SUM(J393:U393)</f>
        <v/>
      </c>
      <c r="W393" s="2" t="n"/>
      <c r="X393" s="2" t="n"/>
      <c r="Y393" s="2" t="n"/>
      <c r="Z393" s="2" t="n"/>
      <c r="AA393" s="2" t="n">
        <v>320</v>
      </c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>
        <f>IF(F393=1,V393*2,IF(F393=2,V393*F393*2,IF(F393&gt;2,F393*2*V393)))</f>
        <v/>
      </c>
      <c r="AW393" s="2">
        <f>SUM(W393:AU393)</f>
        <v/>
      </c>
    </row>
    <row r="394">
      <c r="A394" s="2" t="inlineStr">
        <is>
          <t>14-K-A306</t>
        </is>
      </c>
      <c r="B394" s="3" t="inlineStr">
        <is>
          <t>OJC-A1-LC/LC-MM(OM3)-1-PC/PC-DP</t>
        </is>
      </c>
      <c r="C394" s="2" t="inlineStr">
        <is>
          <t>LC/DP Clip Type</t>
        </is>
      </c>
      <c r="D394" s="2" t="inlineStr">
        <is>
          <t>om3</t>
        </is>
      </c>
      <c r="E394" s="2" t="inlineStr">
        <is>
          <t>2.0mm</t>
        </is>
      </c>
      <c r="F394" s="2" t="n">
        <v>2</v>
      </c>
      <c r="G394" s="2" t="n">
        <v>1</v>
      </c>
      <c r="H394" s="2" t="inlineStr">
        <is>
          <t>LC/PC</t>
        </is>
      </c>
      <c r="I394" s="2" t="inlineStr">
        <is>
          <t>LC/PC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>
        <v>2</v>
      </c>
      <c r="S394" s="2" t="n"/>
      <c r="T394" s="2" t="n"/>
      <c r="U394" s="2" t="n"/>
      <c r="V394" s="2">
        <f>SUM(J394:U394)</f>
        <v/>
      </c>
      <c r="W394" s="2" t="n"/>
      <c r="X394" s="2" t="n">
        <v>4</v>
      </c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>
        <v>4</v>
      </c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>
        <f>IF(F394=1,V394*2,IF(F394=2,V394*F394*2,IF(F394&gt;2,F394*2*V394)))</f>
        <v/>
      </c>
      <c r="AW394" s="2">
        <f>SUM(W394:AU394)</f>
        <v/>
      </c>
    </row>
    <row r="395">
      <c r="A395" s="2" t="inlineStr">
        <is>
          <t>14-K-A307</t>
        </is>
      </c>
      <c r="B395" s="3" t="inlineStr">
        <is>
          <t>OJC-A1-LC/LC-MM(OM3)-3-PC/PC-DP</t>
        </is>
      </c>
      <c r="C395" s="2" t="inlineStr">
        <is>
          <t>LC/DP Clip Type</t>
        </is>
      </c>
      <c r="D395" s="2" t="inlineStr">
        <is>
          <t>om3</t>
        </is>
      </c>
      <c r="E395" s="2" t="inlineStr">
        <is>
          <t>2.0mm</t>
        </is>
      </c>
      <c r="F395" s="2" t="n">
        <v>2</v>
      </c>
      <c r="G395" s="2" t="n">
        <v>3</v>
      </c>
      <c r="H395" s="2" t="inlineStr">
        <is>
          <t>LC/PC</t>
        </is>
      </c>
      <c r="I395" s="2" t="inlineStr">
        <is>
          <t>LC/PC</t>
        </is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>
        <v>2</v>
      </c>
      <c r="S395" s="2" t="n">
        <v>5</v>
      </c>
      <c r="T395" s="2" t="n"/>
      <c r="U395" s="2" t="n"/>
      <c r="V395" s="2">
        <f>SUM(J395:U395)</f>
        <v/>
      </c>
      <c r="W395" s="2" t="n"/>
      <c r="X395" s="2" t="n">
        <v>14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>
        <v>14</v>
      </c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>
        <f>IF(F395=1,V395*2,IF(F395=2,V395*F395*2,IF(F395&gt;2,F395*2*V395)))</f>
        <v/>
      </c>
      <c r="AW395" s="2">
        <f>SUM(W395:AU395)</f>
        <v/>
      </c>
    </row>
    <row r="396">
      <c r="A396" s="2" t="inlineStr">
        <is>
          <t>14-K-A308</t>
        </is>
      </c>
      <c r="B396" s="3" t="inlineStr">
        <is>
          <t>OJC-A1-LC/LC-MM(OM3)-10-PC/PC-DP</t>
        </is>
      </c>
      <c r="C396" s="2" t="inlineStr">
        <is>
          <t>LC/DP Clip Type</t>
        </is>
      </c>
      <c r="D396" s="2" t="inlineStr">
        <is>
          <t>om3</t>
        </is>
      </c>
      <c r="E396" s="2" t="inlineStr">
        <is>
          <t>2.0mm</t>
        </is>
      </c>
      <c r="F396" s="2" t="n">
        <v>2</v>
      </c>
      <c r="G396" s="2" t="n">
        <v>10</v>
      </c>
      <c r="H396" s="2" t="inlineStr">
        <is>
          <t>LC/PC</t>
        </is>
      </c>
      <c r="I396" s="2" t="inlineStr">
        <is>
          <t>LC/PC</t>
        </is>
      </c>
      <c r="J396" s="2" t="n"/>
      <c r="K396" s="2" t="n"/>
      <c r="L396" s="2" t="n"/>
      <c r="M396" s="2" t="n"/>
      <c r="N396" s="2" t="n"/>
      <c r="O396" s="2" t="n">
        <v>20</v>
      </c>
      <c r="P396" s="2" t="n"/>
      <c r="Q396" s="2" t="n"/>
      <c r="R396" s="2" t="n">
        <v>17</v>
      </c>
      <c r="S396" s="2" t="n"/>
      <c r="T396" s="2" t="n"/>
      <c r="U396" s="2" t="n"/>
      <c r="V396" s="2">
        <f>SUM(J396:U396)</f>
        <v/>
      </c>
      <c r="W396" s="2" t="n"/>
      <c r="X396" s="2" t="n">
        <v>74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>
        <v>74</v>
      </c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>
        <f>IF(F396=1,V396*2,IF(F396=2,V396*F396*2,IF(F396&gt;2,F396*2*V396)))</f>
        <v/>
      </c>
      <c r="AW396" s="2">
        <f>SUM(W396:AU396)</f>
        <v/>
      </c>
    </row>
    <row r="397">
      <c r="A397" s="2" t="inlineStr">
        <is>
          <t>14-K-A309</t>
        </is>
      </c>
      <c r="B397" s="3" t="inlineStr">
        <is>
          <t>OJC-A1-LC/LC-MM(OM3)-15-PC/PC-DP</t>
        </is>
      </c>
      <c r="C397" s="2" t="inlineStr">
        <is>
          <t>LC/DP Clip Type</t>
        </is>
      </c>
      <c r="D397" s="2" t="inlineStr">
        <is>
          <t>om3</t>
        </is>
      </c>
      <c r="E397" s="2" t="inlineStr">
        <is>
          <t>2.0mm</t>
        </is>
      </c>
      <c r="F397" s="2" t="n">
        <v>2</v>
      </c>
      <c r="G397" s="2" t="n">
        <v>15</v>
      </c>
      <c r="H397" s="2" t="inlineStr">
        <is>
          <t>LC/PC</t>
        </is>
      </c>
      <c r="I397" s="2" t="inlineStr">
        <is>
          <t>LC/PC</t>
        </is>
      </c>
      <c r="J397" s="2" t="n"/>
      <c r="K397" s="2" t="n"/>
      <c r="L397" s="2" t="n"/>
      <c r="M397" s="2" t="n"/>
      <c r="N397" s="2" t="n"/>
      <c r="O397" s="2" t="n">
        <v>51</v>
      </c>
      <c r="P397" s="2" t="n">
        <v>34</v>
      </c>
      <c r="Q397" s="2" t="n"/>
      <c r="R397" s="2" t="n"/>
      <c r="S397" s="2" t="n"/>
      <c r="T397" s="2" t="n"/>
      <c r="U397" s="2" t="n"/>
      <c r="V397" s="2">
        <f>SUM(J397:U397)</f>
        <v/>
      </c>
      <c r="W397" s="2" t="n"/>
      <c r="X397" s="2" t="n">
        <v>170</v>
      </c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>
        <v>170</v>
      </c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>
        <f>IF(F397=1,V397*2,IF(F397=2,V397*F397*2,IF(F397&gt;2,F397*2*V397)))</f>
        <v/>
      </c>
      <c r="AW397" s="2">
        <f>SUM(W397:AU397)</f>
        <v/>
      </c>
    </row>
    <row r="398">
      <c r="A398" s="2" t="inlineStr">
        <is>
          <t>14-K-A33</t>
        </is>
      </c>
      <c r="B398" s="3" t="inlineStr">
        <is>
          <t>OJC-A1-FC/LC-SM-30-APC/PC-DP</t>
        </is>
      </c>
      <c r="C398" s="2" t="inlineStr"/>
      <c r="D398" s="2" t="inlineStr">
        <is>
          <t>a1</t>
        </is>
      </c>
      <c r="E398" s="2" t="inlineStr">
        <is>
          <t>2.0mm</t>
        </is>
      </c>
      <c r="F398" s="2" t="n">
        <v>2</v>
      </c>
      <c r="G398" s="2" t="n">
        <v>30</v>
      </c>
      <c r="H398" s="2" t="inlineStr">
        <is>
          <t>FC/APC</t>
        </is>
      </c>
      <c r="I398" s="2" t="inlineStr">
        <is>
          <t>LC/PC</t>
        </is>
      </c>
      <c r="J398" s="2" t="n"/>
      <c r="K398" s="2" t="n"/>
      <c r="L398" s="2" t="n"/>
      <c r="M398" s="2" t="n"/>
      <c r="N398" s="2" t="n"/>
      <c r="O398" s="2" t="n">
        <v>3</v>
      </c>
      <c r="P398" s="2" t="n"/>
      <c r="Q398" s="2" t="n"/>
      <c r="R398" s="2" t="n"/>
      <c r="S398" s="2" t="n"/>
      <c r="T398" s="2" t="n"/>
      <c r="U398" s="2" t="n"/>
      <c r="V398" s="2">
        <f>SUM(J398:U398)</f>
        <v/>
      </c>
      <c r="W398" s="2" t="n"/>
      <c r="X398" s="2" t="n">
        <v>6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>
        <v>6</v>
      </c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>
        <f>IF(F398=1,V398*2,IF(F398=2,V398*F398*2,IF(F398&gt;2,F398*2*V398)))</f>
        <v/>
      </c>
      <c r="AW398" s="2">
        <f>SUM(W398:AU398)</f>
        <v/>
      </c>
    </row>
    <row r="399">
      <c r="A399" s="2" t="inlineStr">
        <is>
          <t>14-K-A37</t>
        </is>
      </c>
      <c r="B399" s="3" t="inlineStr">
        <is>
          <t>OJC-A1-FC/LC-SM-50-APC/PC-DP</t>
        </is>
      </c>
      <c r="C399" s="2" t="inlineStr"/>
      <c r="D399" s="2" t="inlineStr">
        <is>
          <t>a1</t>
        </is>
      </c>
      <c r="E399" s="2" t="inlineStr">
        <is>
          <t>2.0mm</t>
        </is>
      </c>
      <c r="F399" s="2" t="n">
        <v>2</v>
      </c>
      <c r="G399" s="2" t="n">
        <v>50</v>
      </c>
      <c r="H399" s="2" t="inlineStr">
        <is>
          <t>FC/APC</t>
        </is>
      </c>
      <c r="I399" s="2" t="inlineStr">
        <is>
          <t>LC/PC</t>
        </is>
      </c>
      <c r="J399" s="2" t="n"/>
      <c r="K399" s="2" t="n"/>
      <c r="L399" s="2" t="n"/>
      <c r="M399" s="2" t="n"/>
      <c r="N399" s="2" t="n"/>
      <c r="O399" s="2" t="n"/>
      <c r="P399" s="2" t="n"/>
      <c r="Q399" s="2" t="n">
        <v>15</v>
      </c>
      <c r="R399" s="2" t="n"/>
      <c r="S399" s="2" t="n"/>
      <c r="T399" s="2" t="n"/>
      <c r="U399" s="2" t="n"/>
      <c r="V399" s="2">
        <f>SUM(J399:U399)</f>
        <v/>
      </c>
      <c r="W399" s="2" t="n"/>
      <c r="X399" s="2" t="n">
        <v>30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>
        <v>30</v>
      </c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>
        <f>IF(F399=1,V399*2,IF(F399=2,V399*F399*2,IF(F399&gt;2,F399*2*V399)))</f>
        <v/>
      </c>
      <c r="AW399" s="2">
        <f>SUM(W399:AU399)</f>
        <v/>
      </c>
    </row>
    <row r="400">
      <c r="A400" s="2" t="inlineStr">
        <is>
          <t>14-K-A52</t>
        </is>
      </c>
      <c r="B400" s="3" t="inlineStr">
        <is>
          <t>OJC-A1-SC/SC-SM-1-APC/APC-DP</t>
        </is>
      </c>
      <c r="C400" s="2" t="inlineStr">
        <is>
          <t>K9089245</t>
        </is>
      </c>
      <c r="D400" s="2" t="inlineStr">
        <is>
          <t>a1</t>
        </is>
      </c>
      <c r="E400" s="2" t="inlineStr">
        <is>
          <t>2.0mm</t>
        </is>
      </c>
      <c r="F400" s="2" t="n">
        <v>2</v>
      </c>
      <c r="G400" s="2" t="n">
        <v>1</v>
      </c>
      <c r="H400" s="2" t="inlineStr">
        <is>
          <t>SC/APC</t>
        </is>
      </c>
      <c r="I400" s="2" t="inlineStr">
        <is>
          <t>SC/APC</t>
        </is>
      </c>
      <c r="J400" s="2" t="n">
        <v>5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>
        <f>SUM(J400:U400)</f>
        <v/>
      </c>
      <c r="W400" s="2" t="n"/>
      <c r="X400" s="2" t="n"/>
      <c r="Y400" s="2" t="n"/>
      <c r="Z400" s="2" t="n"/>
      <c r="AA400" s="2" t="n"/>
      <c r="AB400" s="2" t="n"/>
      <c r="AC400" s="2" t="n">
        <v>10</v>
      </c>
      <c r="AD400" s="2" t="n">
        <v>10</v>
      </c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>
        <f>IF(F400=1,V400*2,IF(F400=2,V400*F400*2,IF(F400&gt;2,F400*2*V400)))</f>
        <v/>
      </c>
      <c r="AW400" s="2">
        <f>SUM(W400:AU400)</f>
        <v/>
      </c>
    </row>
    <row r="401">
      <c r="A401" s="2" t="inlineStr">
        <is>
          <t>14-K-A62</t>
        </is>
      </c>
      <c r="B401" s="3" t="inlineStr">
        <is>
          <t>OJC-A1-LC/LC-SM-3-APC/APC-SP</t>
        </is>
      </c>
      <c r="C401" s="2" t="inlineStr"/>
      <c r="D401" s="2" t="inlineStr">
        <is>
          <t>a1</t>
        </is>
      </c>
      <c r="E401" s="2" t="inlineStr">
        <is>
          <t>2.0mm</t>
        </is>
      </c>
      <c r="F401" s="2" t="n">
        <v>1</v>
      </c>
      <c r="G401" s="2" t="n">
        <v>3</v>
      </c>
      <c r="H401" s="2" t="inlineStr">
        <is>
          <t>LC/APC</t>
        </is>
      </c>
      <c r="I401" s="2" t="inlineStr">
        <is>
          <t>LC/APC</t>
        </is>
      </c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>
        <v>2</v>
      </c>
      <c r="T401" s="2" t="n"/>
      <c r="U401" s="2" t="n">
        <v>8</v>
      </c>
      <c r="V401" s="2">
        <f>SUM(J401:U401)</f>
        <v/>
      </c>
      <c r="W401" s="2" t="n"/>
      <c r="X401" s="2" t="n"/>
      <c r="Y401" s="2" t="n">
        <v>20</v>
      </c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>
        <f>IF(F401=1,V401*2,IF(F401=2,V401*F401*2,IF(F401&gt;2,F401*2*V401)))</f>
        <v/>
      </c>
      <c r="AW401" s="2">
        <f>SUM(W401:AU401)</f>
        <v/>
      </c>
    </row>
    <row r="402">
      <c r="A402" s="2" t="inlineStr">
        <is>
          <t>14-K-A716</t>
        </is>
      </c>
      <c r="B402" s="3" t="inlineStr">
        <is>
          <t>OJC-A1-LC/LC-MM(OM3)-5-PC/PC-DP</t>
        </is>
      </c>
      <c r="C402" s="2" t="inlineStr">
        <is>
          <t>LC/DP CLIP Type, 5M</t>
        </is>
      </c>
      <c r="D402" s="2" t="inlineStr">
        <is>
          <t>om3</t>
        </is>
      </c>
      <c r="E402" s="2" t="inlineStr">
        <is>
          <t>2.0mm</t>
        </is>
      </c>
      <c r="F402" s="2" t="n">
        <v>2</v>
      </c>
      <c r="G402" s="2" t="n">
        <v>5</v>
      </c>
      <c r="H402" s="2" t="inlineStr">
        <is>
          <t>LC/PC</t>
        </is>
      </c>
      <c r="I402" s="2" t="inlineStr">
        <is>
          <t>LC/PC</t>
        </is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>
        <v>5</v>
      </c>
      <c r="T402" s="2" t="n"/>
      <c r="U402" s="2" t="n"/>
      <c r="V402" s="2">
        <f>SUM(J402:U402)</f>
        <v/>
      </c>
      <c r="W402" s="2" t="n"/>
      <c r="X402" s="2" t="n">
        <v>10</v>
      </c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>
        <v>10</v>
      </c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>
        <f>IF(F402=1,V402*2,IF(F402=2,V402*F402*2,IF(F402&gt;2,F402*2*V402)))</f>
        <v/>
      </c>
      <c r="AW402" s="2">
        <f>SUM(W402:AU402)</f>
        <v/>
      </c>
    </row>
    <row r="403">
      <c r="A403" s="2" t="inlineStr">
        <is>
          <t>14-K-A718</t>
        </is>
      </c>
      <c r="B403" s="3" t="inlineStr">
        <is>
          <t>OJC-A1-LC/LC-MM(OM3)-7-PC/PC-DP</t>
        </is>
      </c>
      <c r="C403" s="2" t="inlineStr">
        <is>
          <t>LC/DP CLIP Type, 7M</t>
        </is>
      </c>
      <c r="D403" s="2" t="inlineStr">
        <is>
          <t>om3</t>
        </is>
      </c>
      <c r="E403" s="2" t="inlineStr">
        <is>
          <t>2.0mm</t>
        </is>
      </c>
      <c r="F403" s="2" t="n">
        <v>2</v>
      </c>
      <c r="G403" s="2" t="n">
        <v>7</v>
      </c>
      <c r="H403" s="2" t="inlineStr">
        <is>
          <t>LC/PC</t>
        </is>
      </c>
      <c r="I403" s="2" t="inlineStr">
        <is>
          <t>LC/PC</t>
        </is>
      </c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>
        <v>2</v>
      </c>
      <c r="S403" s="2" t="n"/>
      <c r="T403" s="2" t="n"/>
      <c r="U403" s="2" t="n"/>
      <c r="V403" s="2">
        <f>SUM(J403:U403)</f>
        <v/>
      </c>
      <c r="W403" s="2" t="n"/>
      <c r="X403" s="2" t="n">
        <v>4</v>
      </c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>
        <v>4</v>
      </c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>
        <f>IF(F403=1,V403*2,IF(F403=2,V403*F403*2,IF(F403&gt;2,F403*2*V403)))</f>
        <v/>
      </c>
      <c r="AW403" s="2">
        <f>SUM(W403:AU403)</f>
        <v/>
      </c>
    </row>
    <row r="404">
      <c r="A404" s="2" t="inlineStr">
        <is>
          <t>14-K-A722</t>
        </is>
      </c>
      <c r="B404" s="3" t="inlineStr">
        <is>
          <t>OJC-A1-LC/LC-MM(OM3)-11-PC/PC-DP</t>
        </is>
      </c>
      <c r="C404" s="2" t="inlineStr">
        <is>
          <t>LC/DP CLIP Type, 11M</t>
        </is>
      </c>
      <c r="D404" s="2" t="inlineStr">
        <is>
          <t>om3</t>
        </is>
      </c>
      <c r="E404" s="2" t="inlineStr">
        <is>
          <t>2.0mm</t>
        </is>
      </c>
      <c r="F404" s="2" t="n">
        <v>2</v>
      </c>
      <c r="G404" s="2" t="n">
        <v>11</v>
      </c>
      <c r="H404" s="2" t="inlineStr">
        <is>
          <t>LC/PC</t>
        </is>
      </c>
      <c r="I404" s="2" t="inlineStr">
        <is>
          <t>LC/PC</t>
        </is>
      </c>
      <c r="J404" s="2" t="n"/>
      <c r="K404" s="2" t="n"/>
      <c r="L404" s="2" t="n"/>
      <c r="M404" s="2" t="n"/>
      <c r="N404" s="2" t="n"/>
      <c r="O404" s="2" t="n">
        <v>4</v>
      </c>
      <c r="P404" s="2" t="n"/>
      <c r="Q404" s="2" t="n"/>
      <c r="R404" s="2" t="n"/>
      <c r="S404" s="2" t="n"/>
      <c r="T404" s="2" t="n"/>
      <c r="U404" s="2" t="n"/>
      <c r="V404" s="2">
        <f>SUM(J404:U404)</f>
        <v/>
      </c>
      <c r="W404" s="2" t="n"/>
      <c r="X404" s="2" t="n">
        <v>8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>
        <v>8</v>
      </c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>
        <f>IF(F404=1,V404*2,IF(F404=2,V404*F404*2,IF(F404&gt;2,F404*2*V404)))</f>
        <v/>
      </c>
      <c r="AW404" s="2">
        <f>SUM(W404:AU404)</f>
        <v/>
      </c>
    </row>
    <row r="405">
      <c r="A405" s="2" t="inlineStr">
        <is>
          <t>14-K-A731</t>
        </is>
      </c>
      <c r="B405" s="3" t="inlineStr">
        <is>
          <t>OJC-A1-LC/LC-MM(OM3)-20-PC/PC-DP</t>
        </is>
      </c>
      <c r="C405" s="2" t="inlineStr">
        <is>
          <t>LC/DP CLIP Type, 20M</t>
        </is>
      </c>
      <c r="D405" s="2" t="inlineStr">
        <is>
          <t>om3</t>
        </is>
      </c>
      <c r="E405" s="2" t="inlineStr">
        <is>
          <t>2.0mm</t>
        </is>
      </c>
      <c r="F405" s="2" t="n">
        <v>2</v>
      </c>
      <c r="G405" s="2" t="n">
        <v>20</v>
      </c>
      <c r="H405" s="2" t="inlineStr">
        <is>
          <t>LC/PC</t>
        </is>
      </c>
      <c r="I405" s="2" t="inlineStr">
        <is>
          <t>LC/PC</t>
        </is>
      </c>
      <c r="J405" s="2" t="n"/>
      <c r="K405" s="2" t="n"/>
      <c r="L405" s="2" t="n"/>
      <c r="M405" s="2" t="n"/>
      <c r="N405" s="2" t="n"/>
      <c r="O405" s="2" t="n">
        <v>64</v>
      </c>
      <c r="P405" s="2" t="n"/>
      <c r="Q405" s="2" t="n"/>
      <c r="R405" s="2" t="n">
        <v>2</v>
      </c>
      <c r="S405" s="2" t="n"/>
      <c r="T405" s="2" t="n"/>
      <c r="U405" s="2" t="n"/>
      <c r="V405" s="2">
        <f>SUM(J405:U405)</f>
        <v/>
      </c>
      <c r="W405" s="2" t="n"/>
      <c r="X405" s="2" t="n">
        <v>132</v>
      </c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>
        <v>132</v>
      </c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>
        <f>IF(F405=1,V405*2,IF(F405=2,V405*F405*2,IF(F405&gt;2,F405*2*V405)))</f>
        <v/>
      </c>
      <c r="AW405" s="2">
        <f>SUM(W405:AU405)</f>
        <v/>
      </c>
    </row>
    <row r="406">
      <c r="A406" s="2" t="inlineStr">
        <is>
          <t>14-K-A741</t>
        </is>
      </c>
      <c r="B406" s="3" t="inlineStr">
        <is>
          <t>OJC-A1-LC/LC-MM(OM3)-30-PC/PC-DP</t>
        </is>
      </c>
      <c r="C406" s="2" t="inlineStr">
        <is>
          <t>LC/DP CLIP Type, 30M</t>
        </is>
      </c>
      <c r="D406" s="2" t="inlineStr">
        <is>
          <t>om3</t>
        </is>
      </c>
      <c r="E406" s="2" t="inlineStr">
        <is>
          <t>2.0mm</t>
        </is>
      </c>
      <c r="F406" s="2" t="n">
        <v>2</v>
      </c>
      <c r="G406" s="2" t="n">
        <v>30</v>
      </c>
      <c r="H406" s="2" t="inlineStr">
        <is>
          <t>LC/PC</t>
        </is>
      </c>
      <c r="I406" s="2" t="inlineStr">
        <is>
          <t>LC/PC</t>
        </is>
      </c>
      <c r="J406" s="2" t="n"/>
      <c r="K406" s="2" t="n"/>
      <c r="L406" s="2" t="n"/>
      <c r="M406" s="2" t="n"/>
      <c r="N406" s="2" t="n"/>
      <c r="O406" s="2" t="n">
        <v>8</v>
      </c>
      <c r="P406" s="2" t="n"/>
      <c r="Q406" s="2" t="n"/>
      <c r="R406" s="2" t="n"/>
      <c r="S406" s="2" t="n"/>
      <c r="T406" s="2" t="n"/>
      <c r="U406" s="2" t="n"/>
      <c r="V406" s="2">
        <f>SUM(J406:U406)</f>
        <v/>
      </c>
      <c r="W406" s="2" t="n"/>
      <c r="X406" s="2" t="n">
        <v>16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>
        <v>16</v>
      </c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>
        <f>IF(F406=1,V406*2,IF(F406=2,V406*F406*2,IF(F406&gt;2,F406*2*V406)))</f>
        <v/>
      </c>
      <c r="AW406" s="2">
        <f>SUM(W406:AU406)</f>
        <v/>
      </c>
    </row>
    <row r="407">
      <c r="A407" s="2" t="inlineStr">
        <is>
          <t>14-K-A746</t>
        </is>
      </c>
      <c r="B407" s="3" t="inlineStr">
        <is>
          <t>OJC-A1-LC/LC-MM(OM3)-35-PC/PC-DP</t>
        </is>
      </c>
      <c r="C407" s="2" t="inlineStr">
        <is>
          <t>LC/DP CLIP Type, 35M</t>
        </is>
      </c>
      <c r="D407" s="2" t="inlineStr">
        <is>
          <t>om3</t>
        </is>
      </c>
      <c r="E407" s="2" t="inlineStr">
        <is>
          <t>2.0mm</t>
        </is>
      </c>
      <c r="F407" s="2" t="n">
        <v>2</v>
      </c>
      <c r="G407" s="2" t="n">
        <v>35</v>
      </c>
      <c r="H407" s="2" t="inlineStr">
        <is>
          <t>LC/PC</t>
        </is>
      </c>
      <c r="I407" s="2" t="inlineStr">
        <is>
          <t>LC/PC</t>
        </is>
      </c>
      <c r="J407" s="2" t="n"/>
      <c r="K407" s="2" t="n"/>
      <c r="L407" s="2" t="n"/>
      <c r="M407" s="2" t="n"/>
      <c r="N407" s="2" t="n"/>
      <c r="O407" s="2" t="n">
        <v>3</v>
      </c>
      <c r="P407" s="2" t="n"/>
      <c r="Q407" s="2" t="n"/>
      <c r="R407" s="2" t="n"/>
      <c r="S407" s="2" t="n"/>
      <c r="T407" s="2" t="n"/>
      <c r="U407" s="2" t="n"/>
      <c r="V407" s="2">
        <f>SUM(J407:U407)</f>
        <v/>
      </c>
      <c r="W407" s="2" t="n"/>
      <c r="X407" s="2" t="n">
        <v>6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>
        <v>6</v>
      </c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>
        <f>IF(F407=1,V407*2,IF(F407=2,V407*F407*2,IF(F407&gt;2,F407*2*V407)))</f>
        <v/>
      </c>
      <c r="AW407" s="2">
        <f>SUM(W407:AU407)</f>
        <v/>
      </c>
    </row>
    <row r="408">
      <c r="A408" s="2" t="inlineStr">
        <is>
          <t>14-K-A751</t>
        </is>
      </c>
      <c r="B408" s="3" t="inlineStr">
        <is>
          <t>OJC-A1-LC/LC-MM(OM3)-40-PC/PC-DP</t>
        </is>
      </c>
      <c r="C408" s="2" t="inlineStr">
        <is>
          <t>LC/DP CLIP Type, 40M</t>
        </is>
      </c>
      <c r="D408" s="2" t="inlineStr">
        <is>
          <t>om3</t>
        </is>
      </c>
      <c r="E408" s="2" t="inlineStr">
        <is>
          <t>2.0mm</t>
        </is>
      </c>
      <c r="F408" s="2" t="n">
        <v>2</v>
      </c>
      <c r="G408" s="2" t="n">
        <v>40</v>
      </c>
      <c r="H408" s="2" t="inlineStr">
        <is>
          <t>LC/PC</t>
        </is>
      </c>
      <c r="I408" s="2" t="inlineStr">
        <is>
          <t>LC/PC</t>
        </is>
      </c>
      <c r="J408" s="2" t="n"/>
      <c r="K408" s="2" t="n"/>
      <c r="L408" s="2" t="n"/>
      <c r="M408" s="2" t="n"/>
      <c r="N408" s="2" t="n"/>
      <c r="O408" s="2" t="n">
        <v>6</v>
      </c>
      <c r="P408" s="2" t="n"/>
      <c r="Q408" s="2" t="n"/>
      <c r="R408" s="2" t="n"/>
      <c r="S408" s="2" t="n"/>
      <c r="T408" s="2" t="n"/>
      <c r="U408" s="2" t="n"/>
      <c r="V408" s="2">
        <f>SUM(J408:U408)</f>
        <v/>
      </c>
      <c r="W408" s="2" t="n"/>
      <c r="X408" s="2" t="n">
        <v>12</v>
      </c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>
        <v>12</v>
      </c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>
        <f>IF(F408=1,V408*2,IF(F408=2,V408*F408*2,IF(F408&gt;2,F408*2*V408)))</f>
        <v/>
      </c>
      <c r="AW408" s="2">
        <f>SUM(W408:AU408)</f>
        <v/>
      </c>
    </row>
    <row r="409">
      <c r="A409" s="2" t="inlineStr">
        <is>
          <t>14-K-A752</t>
        </is>
      </c>
      <c r="B409" s="3" t="inlineStr">
        <is>
          <t>OJC-A1-LC/LC-MM(OM3)-41-PC/PC-DP</t>
        </is>
      </c>
      <c r="C409" s="2" t="inlineStr">
        <is>
          <t>LC/DP CLIP Type, 41M</t>
        </is>
      </c>
      <c r="D409" s="2" t="inlineStr">
        <is>
          <t>om3</t>
        </is>
      </c>
      <c r="E409" s="2" t="inlineStr">
        <is>
          <t>2.0mm</t>
        </is>
      </c>
      <c r="F409" s="2" t="n">
        <v>2</v>
      </c>
      <c r="G409" s="2" t="n">
        <v>41</v>
      </c>
      <c r="H409" s="2" t="inlineStr">
        <is>
          <t>LC/PC</t>
        </is>
      </c>
      <c r="I409" s="2" t="inlineStr">
        <is>
          <t>LC/PC</t>
        </is>
      </c>
      <c r="J409" s="2" t="n"/>
      <c r="K409" s="2" t="n"/>
      <c r="L409" s="2" t="n"/>
      <c r="M409" s="2" t="n"/>
      <c r="N409" s="2" t="n"/>
      <c r="O409" s="2" t="n">
        <v>18</v>
      </c>
      <c r="P409" s="2" t="n"/>
      <c r="Q409" s="2" t="n"/>
      <c r="R409" s="2" t="n"/>
      <c r="S409" s="2" t="n"/>
      <c r="T409" s="2" t="n"/>
      <c r="U409" s="2" t="n"/>
      <c r="V409" s="2">
        <f>SUM(J409:U409)</f>
        <v/>
      </c>
      <c r="W409" s="2" t="n"/>
      <c r="X409" s="2" t="n">
        <v>36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>
        <v>36</v>
      </c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>
        <f>IF(F409=1,V409*2,IF(F409=2,V409*F409*2,IF(F409&gt;2,F409*2*V409)))</f>
        <v/>
      </c>
      <c r="AW409" s="2">
        <f>SUM(W409:AU409)</f>
        <v/>
      </c>
    </row>
    <row r="410">
      <c r="A410" s="2" t="inlineStr">
        <is>
          <t>14-K-A753</t>
        </is>
      </c>
      <c r="B410" s="3" t="inlineStr">
        <is>
          <t>OJC-A1-LC/LC-MM(OM3)-42-PC/PC-DP</t>
        </is>
      </c>
      <c r="C410" s="2" t="inlineStr">
        <is>
          <t>LC/DP CLIP Type, 42M</t>
        </is>
      </c>
      <c r="D410" s="2" t="inlineStr">
        <is>
          <t>om3</t>
        </is>
      </c>
      <c r="E410" s="2" t="inlineStr">
        <is>
          <t>2.0mm</t>
        </is>
      </c>
      <c r="F410" s="2" t="n">
        <v>2</v>
      </c>
      <c r="G410" s="2" t="n">
        <v>42</v>
      </c>
      <c r="H410" s="2" t="inlineStr">
        <is>
          <t>LC/PC</t>
        </is>
      </c>
      <c r="I410" s="2" t="inlineStr">
        <is>
          <t>LC/PC</t>
        </is>
      </c>
      <c r="J410" s="2" t="n"/>
      <c r="K410" s="2" t="n"/>
      <c r="L410" s="2" t="n"/>
      <c r="M410" s="2" t="n"/>
      <c r="N410" s="2" t="n"/>
      <c r="O410" s="2" t="n">
        <v>18</v>
      </c>
      <c r="P410" s="2" t="n"/>
      <c r="Q410" s="2" t="n"/>
      <c r="R410" s="2" t="n"/>
      <c r="S410" s="2" t="n"/>
      <c r="T410" s="2" t="n"/>
      <c r="U410" s="2" t="n"/>
      <c r="V410" s="2">
        <f>SUM(J410:U410)</f>
        <v/>
      </c>
      <c r="W410" s="2" t="n"/>
      <c r="X410" s="2" t="n">
        <v>36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>
        <v>36</v>
      </c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>
        <f>IF(F410=1,V410*2,IF(F410=2,V410*F410*2,IF(F410&gt;2,F410*2*V410)))</f>
        <v/>
      </c>
      <c r="AW410" s="2">
        <f>SUM(W410:AU410)</f>
        <v/>
      </c>
    </row>
    <row r="411">
      <c r="A411" s="2" t="inlineStr">
        <is>
          <t>14-K-A76</t>
        </is>
      </c>
      <c r="B411" s="3" t="inlineStr">
        <is>
          <t>OJC-A1-LC/LC-SM-80-PC/PC-DP</t>
        </is>
      </c>
      <c r="C411" s="2" t="inlineStr">
        <is>
          <t>K9089184</t>
        </is>
      </c>
      <c r="D411" s="2" t="inlineStr">
        <is>
          <t>a1</t>
        </is>
      </c>
      <c r="E411" s="2" t="inlineStr">
        <is>
          <t>2.0mm</t>
        </is>
      </c>
      <c r="F411" s="2" t="n">
        <v>2</v>
      </c>
      <c r="G411" s="2" t="n">
        <v>80</v>
      </c>
      <c r="H411" s="2" t="inlineStr">
        <is>
          <t>LC/PC</t>
        </is>
      </c>
      <c r="I411" s="2" t="inlineStr">
        <is>
          <t>LC/PC</t>
        </is>
      </c>
      <c r="J411" s="2" t="n"/>
      <c r="K411" s="2" t="n">
        <v>4</v>
      </c>
      <c r="L411" s="2" t="n"/>
      <c r="M411" s="2" t="n"/>
      <c r="N411" s="2" t="n"/>
      <c r="O411" s="2" t="n"/>
      <c r="P411" s="2" t="n"/>
      <c r="Q411" s="2" t="n">
        <v>10</v>
      </c>
      <c r="R411" s="2" t="n"/>
      <c r="S411" s="2" t="n"/>
      <c r="T411" s="2" t="n">
        <v>16</v>
      </c>
      <c r="U411" s="2" t="n">
        <v>20</v>
      </c>
      <c r="V411" s="2">
        <f>SUM(J411:U411)</f>
        <v/>
      </c>
      <c r="W411" s="2" t="n">
        <v>100</v>
      </c>
      <c r="X411" s="2" t="n">
        <v>100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>
        <f>IF(F411=1,V411*2,IF(F411=2,V411*F411*2,IF(F411&gt;2,F411*2*V411)))</f>
        <v/>
      </c>
      <c r="AW411" s="2">
        <f>SUM(W411:AU411)</f>
        <v/>
      </c>
    </row>
    <row r="412">
      <c r="A412" s="2" t="inlineStr">
        <is>
          <t>14-K-A761</t>
        </is>
      </c>
      <c r="B412" s="3" t="inlineStr">
        <is>
          <t>OJC-A1-LC/LC-MM(OM3)-50-PC/PC-DP</t>
        </is>
      </c>
      <c r="C412" s="2" t="inlineStr">
        <is>
          <t>LC/DP CLIP Type, 50M</t>
        </is>
      </c>
      <c r="D412" s="2" t="inlineStr">
        <is>
          <t>om3</t>
        </is>
      </c>
      <c r="E412" s="2" t="inlineStr">
        <is>
          <t>2.0mm</t>
        </is>
      </c>
      <c r="F412" s="2" t="n">
        <v>2</v>
      </c>
      <c r="G412" s="2" t="n">
        <v>50</v>
      </c>
      <c r="H412" s="2" t="inlineStr">
        <is>
          <t>LC/PC</t>
        </is>
      </c>
      <c r="I412" s="2" t="inlineStr">
        <is>
          <t>LC/PC</t>
        </is>
      </c>
      <c r="J412" s="2" t="n"/>
      <c r="K412" s="2" t="n"/>
      <c r="L412" s="2" t="n"/>
      <c r="M412" s="2" t="n"/>
      <c r="N412" s="2" t="n"/>
      <c r="O412" s="2" t="n">
        <v>8</v>
      </c>
      <c r="P412" s="2" t="n"/>
      <c r="Q412" s="2" t="n"/>
      <c r="R412" s="2" t="n"/>
      <c r="S412" s="2" t="n"/>
      <c r="T412" s="2" t="n"/>
      <c r="U412" s="2" t="n"/>
      <c r="V412" s="2">
        <f>SUM(J412:U412)</f>
        <v/>
      </c>
      <c r="W412" s="2" t="n"/>
      <c r="X412" s="2" t="n">
        <v>16</v>
      </c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>
        <v>16</v>
      </c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>
        <f>IF(F412=1,V412*2,IF(F412=2,V412*F412*2,IF(F412&gt;2,F412*2*V412)))</f>
        <v/>
      </c>
      <c r="AW412" s="2">
        <f>SUM(W412:AU412)</f>
        <v/>
      </c>
    </row>
    <row r="413">
      <c r="A413" s="2" t="inlineStr">
        <is>
          <t>14-K-A766</t>
        </is>
      </c>
      <c r="B413" s="3" t="inlineStr">
        <is>
          <t>OJC-A1-LC/LC-MM(OM3)-55-PC/PC-DP</t>
        </is>
      </c>
      <c r="C413" s="2" t="inlineStr">
        <is>
          <t>LC/DP CLIP Type, 55M</t>
        </is>
      </c>
      <c r="D413" s="2" t="inlineStr">
        <is>
          <t>om3</t>
        </is>
      </c>
      <c r="E413" s="2" t="inlineStr">
        <is>
          <t>2.0mm</t>
        </is>
      </c>
      <c r="F413" s="2" t="n">
        <v>2</v>
      </c>
      <c r="G413" s="2" t="n">
        <v>55</v>
      </c>
      <c r="H413" s="2" t="inlineStr">
        <is>
          <t>LC/PC</t>
        </is>
      </c>
      <c r="I413" s="2" t="inlineStr">
        <is>
          <t>LC/PC</t>
        </is>
      </c>
      <c r="J413" s="2" t="n"/>
      <c r="K413" s="2" t="n"/>
      <c r="L413" s="2" t="n"/>
      <c r="M413" s="2" t="n"/>
      <c r="N413" s="2" t="n"/>
      <c r="O413" s="2" t="n">
        <v>20</v>
      </c>
      <c r="P413" s="2" t="n"/>
      <c r="Q413" s="2" t="n"/>
      <c r="R413" s="2" t="n"/>
      <c r="S413" s="2" t="n"/>
      <c r="T413" s="2" t="n"/>
      <c r="U413" s="2" t="n"/>
      <c r="V413" s="2">
        <f>SUM(J413:U413)</f>
        <v/>
      </c>
      <c r="W413" s="2" t="n"/>
      <c r="X413" s="2" t="n">
        <v>40</v>
      </c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>
        <v>40</v>
      </c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>
        <f>IF(F413=1,V413*2,IF(F413=2,V413*F413*2,IF(F413&gt;2,F413*2*V413)))</f>
        <v/>
      </c>
      <c r="AW413" s="2">
        <f>SUM(W413:AU413)</f>
        <v/>
      </c>
    </row>
    <row r="414">
      <c r="A414" s="2" t="inlineStr">
        <is>
          <t>14-K-A768</t>
        </is>
      </c>
      <c r="B414" s="3" t="inlineStr">
        <is>
          <t>OJC-A1-LC/LC-MM(OM3)-57-PC/PC-DP</t>
        </is>
      </c>
      <c r="C414" s="2" t="inlineStr">
        <is>
          <t>LC/DP CLIP Type, 57M</t>
        </is>
      </c>
      <c r="D414" s="2" t="inlineStr">
        <is>
          <t>om3</t>
        </is>
      </c>
      <c r="E414" s="2" t="inlineStr">
        <is>
          <t>2.0mm</t>
        </is>
      </c>
      <c r="F414" s="2" t="n">
        <v>2</v>
      </c>
      <c r="G414" s="2" t="n">
        <v>57</v>
      </c>
      <c r="H414" s="2" t="inlineStr">
        <is>
          <t>LC/PC</t>
        </is>
      </c>
      <c r="I414" s="2" t="inlineStr">
        <is>
          <t>LC/PC</t>
        </is>
      </c>
      <c r="J414" s="2" t="n"/>
      <c r="K414" s="2" t="n"/>
      <c r="L414" s="2" t="n"/>
      <c r="M414" s="2" t="n"/>
      <c r="N414" s="2" t="n"/>
      <c r="O414" s="2" t="n">
        <v>20</v>
      </c>
      <c r="P414" s="2" t="n"/>
      <c r="Q414" s="2" t="n"/>
      <c r="R414" s="2" t="n"/>
      <c r="S414" s="2" t="n"/>
      <c r="T414" s="2" t="n"/>
      <c r="U414" s="2" t="n"/>
      <c r="V414" s="2">
        <f>SUM(J414:U414)</f>
        <v/>
      </c>
      <c r="W414" s="2" t="n"/>
      <c r="X414" s="2" t="n">
        <v>40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>
        <v>40</v>
      </c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>
        <f>IF(F414=1,V414*2,IF(F414=2,V414*F414*2,IF(F414&gt;2,F414*2*V414)))</f>
        <v/>
      </c>
      <c r="AW414" s="2">
        <f>SUM(W414:AU414)</f>
        <v/>
      </c>
    </row>
    <row r="415">
      <c r="A415" s="2" t="inlineStr">
        <is>
          <t>14-K-A781</t>
        </is>
      </c>
      <c r="B415" s="3" t="inlineStr">
        <is>
          <t>OJC-A1-LC/LC-MM(OM3)-70-PC/PC-DP</t>
        </is>
      </c>
      <c r="C415" s="2" t="inlineStr">
        <is>
          <t>LC/DP CLIP Type, 70M</t>
        </is>
      </c>
      <c r="D415" s="2" t="inlineStr">
        <is>
          <t>om3</t>
        </is>
      </c>
      <c r="E415" s="2" t="inlineStr">
        <is>
          <t>2.0mm</t>
        </is>
      </c>
      <c r="F415" s="2" t="n">
        <v>2</v>
      </c>
      <c r="G415" s="2" t="n">
        <v>70</v>
      </c>
      <c r="H415" s="2" t="inlineStr">
        <is>
          <t>LC/PC</t>
        </is>
      </c>
      <c r="I415" s="2" t="inlineStr">
        <is>
          <t>LC/PC</t>
        </is>
      </c>
      <c r="J415" s="2" t="n"/>
      <c r="K415" s="2" t="n"/>
      <c r="L415" s="2" t="n"/>
      <c r="M415" s="2" t="n"/>
      <c r="N415" s="2" t="n"/>
      <c r="O415" s="2" t="n">
        <v>2</v>
      </c>
      <c r="P415" s="2" t="n"/>
      <c r="Q415" s="2" t="n"/>
      <c r="R415" s="2" t="n"/>
      <c r="S415" s="2" t="n"/>
      <c r="T415" s="2" t="n"/>
      <c r="U415" s="2" t="n"/>
      <c r="V415" s="2">
        <f>SUM(J415:U415)</f>
        <v/>
      </c>
      <c r="W415" s="2" t="n"/>
      <c r="X415" s="2" t="n">
        <v>4</v>
      </c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>
        <v>4</v>
      </c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>
        <f>IF(F415=1,V415*2,IF(F415=2,V415*F415*2,IF(F415&gt;2,F415*2*V415)))</f>
        <v/>
      </c>
      <c r="AW415" s="2">
        <f>SUM(W415:AU415)</f>
        <v/>
      </c>
    </row>
    <row r="416">
      <c r="A416" s="2" t="inlineStr">
        <is>
          <t>14-K-A791</t>
        </is>
      </c>
      <c r="B416" s="3" t="inlineStr">
        <is>
          <t>OJC-A1-LC/LC-MM(OM3)-80-PC/PC-DP</t>
        </is>
      </c>
      <c r="C416" s="2" t="inlineStr">
        <is>
          <t>LC/DP CLIP Type, 80M</t>
        </is>
      </c>
      <c r="D416" s="2" t="inlineStr">
        <is>
          <t>om3</t>
        </is>
      </c>
      <c r="E416" s="2" t="inlineStr">
        <is>
          <t>2.0mm</t>
        </is>
      </c>
      <c r="F416" s="2" t="n">
        <v>2</v>
      </c>
      <c r="G416" s="2" t="n">
        <v>80</v>
      </c>
      <c r="H416" s="2" t="inlineStr">
        <is>
          <t>LC/PC</t>
        </is>
      </c>
      <c r="I416" s="2" t="inlineStr">
        <is>
          <t>LC/PC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>
        <v>5</v>
      </c>
      <c r="T416" s="2" t="n"/>
      <c r="U416" s="2" t="n"/>
      <c r="V416" s="2">
        <f>SUM(J416:U416)</f>
        <v/>
      </c>
      <c r="W416" s="2" t="n"/>
      <c r="X416" s="2" t="n">
        <v>10</v>
      </c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>
        <v>10</v>
      </c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>
        <f>IF(F416=1,V416*2,IF(F416=2,V416*F416*2,IF(F416&gt;2,F416*2*V416)))</f>
        <v/>
      </c>
      <c r="AW416" s="2">
        <f>SUM(W416:AU416)</f>
        <v/>
      </c>
    </row>
    <row r="417">
      <c r="A417" s="2" t="inlineStr">
        <is>
          <t>14-K-A87</t>
        </is>
      </c>
      <c r="B417" s="3" t="inlineStr">
        <is>
          <t>OJC-A1-LC/LC-SM-15-PC/PC-DP</t>
        </is>
      </c>
      <c r="C417" s="2" t="inlineStr">
        <is>
          <t>적색</t>
        </is>
      </c>
      <c r="D417" s="2" t="inlineStr">
        <is>
          <t>a1-적</t>
        </is>
      </c>
      <c r="E417" s="2" t="inlineStr">
        <is>
          <t>2.0mm</t>
        </is>
      </c>
      <c r="F417" s="2" t="n">
        <v>2</v>
      </c>
      <c r="G417" s="2" t="n">
        <v>15</v>
      </c>
      <c r="H417" s="2" t="inlineStr">
        <is>
          <t>LC/PC</t>
        </is>
      </c>
      <c r="I417" s="2" t="inlineStr">
        <is>
          <t>LC/PC</t>
        </is>
      </c>
      <c r="J417" s="2" t="n"/>
      <c r="K417" s="2" t="n"/>
      <c r="L417" s="2" t="n">
        <v>30</v>
      </c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>
        <f>SUM(J417:U417)</f>
        <v/>
      </c>
      <c r="W417" s="2" t="n">
        <v>60</v>
      </c>
      <c r="X417" s="2" t="n">
        <v>60</v>
      </c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>
        <f>IF(F417=1,V417*2,IF(F417=2,V417*F417*2,IF(F417&gt;2,F417*2*V417)))</f>
        <v/>
      </c>
      <c r="AW417" s="2">
        <f>SUM(W417:AU417)</f>
        <v/>
      </c>
    </row>
    <row r="418">
      <c r="A418" s="2" t="inlineStr">
        <is>
          <t>14-K-A92</t>
        </is>
      </c>
      <c r="B418" s="3" t="inlineStr">
        <is>
          <t>OJC-A1-LC/LC-SM-10-PC/PC-DP</t>
        </is>
      </c>
      <c r="C418" s="2" t="inlineStr">
        <is>
          <t>적색</t>
        </is>
      </c>
      <c r="D418" s="2" t="inlineStr">
        <is>
          <t>a1-적</t>
        </is>
      </c>
      <c r="E418" s="2" t="inlineStr">
        <is>
          <t>2.0mm</t>
        </is>
      </c>
      <c r="F418" s="2" t="n">
        <v>2</v>
      </c>
      <c r="G418" s="2" t="n">
        <v>10</v>
      </c>
      <c r="H418" s="2" t="inlineStr">
        <is>
          <t>LC/PC</t>
        </is>
      </c>
      <c r="I418" s="2" t="inlineStr">
        <is>
          <t>LC/PC</t>
        </is>
      </c>
      <c r="J418" s="2" t="n"/>
      <c r="K418" s="2" t="n"/>
      <c r="L418" s="2" t="n">
        <v>30</v>
      </c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>
        <f>SUM(J418:U418)</f>
        <v/>
      </c>
      <c r="W418" s="2" t="n">
        <v>60</v>
      </c>
      <c r="X418" s="2" t="n">
        <v>60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>
        <f>IF(F418=1,V418*2,IF(F418=2,V418*F418*2,IF(F418&gt;2,F418*2*V418)))</f>
        <v/>
      </c>
      <c r="AW418" s="2">
        <f>SUM(W418:AU418)</f>
        <v/>
      </c>
    </row>
    <row r="419">
      <c r="A419" s="2" t="inlineStr">
        <is>
          <t>14-K-A95</t>
        </is>
      </c>
      <c r="B419" s="3" t="inlineStr">
        <is>
          <t>OJC-A1-LC/LC-SM-40-PC/PC-DP</t>
        </is>
      </c>
      <c r="C419" s="2" t="inlineStr">
        <is>
          <t>적색</t>
        </is>
      </c>
      <c r="D419" s="2" t="inlineStr">
        <is>
          <t>a1-적</t>
        </is>
      </c>
      <c r="E419" s="2" t="inlineStr">
        <is>
          <t>2.0mm</t>
        </is>
      </c>
      <c r="F419" s="2" t="n">
        <v>2</v>
      </c>
      <c r="G419" s="2" t="n">
        <v>40</v>
      </c>
      <c r="H419" s="2" t="inlineStr">
        <is>
          <t>LC/PC</t>
        </is>
      </c>
      <c r="I419" s="2" t="inlineStr">
        <is>
          <t>LC/PC</t>
        </is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>
        <v>10</v>
      </c>
      <c r="U419" s="2" t="n"/>
      <c r="V419" s="2">
        <f>SUM(J419:U419)</f>
        <v/>
      </c>
      <c r="W419" s="2" t="n">
        <v>20</v>
      </c>
      <c r="X419" s="2" t="n">
        <v>20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>
        <f>IF(F419=1,V419*2,IF(F419=2,V419*F419*2,IF(F419&gt;2,F419*2*V419)))</f>
        <v/>
      </c>
      <c r="AW419" s="2">
        <f>SUM(W419:AU419)</f>
        <v/>
      </c>
    </row>
    <row r="420">
      <c r="A420" s="2" t="inlineStr">
        <is>
          <t>14-K-B131</t>
        </is>
      </c>
      <c r="B420" s="3" t="inlineStr">
        <is>
          <t>OJC-A1-SC/LC-SM-55-PC/PC-SP</t>
        </is>
      </c>
      <c r="C420" s="2" t="inlineStr"/>
      <c r="D420" s="2" t="inlineStr">
        <is>
          <t>a1</t>
        </is>
      </c>
      <c r="E420" s="2" t="inlineStr">
        <is>
          <t>2.0mm</t>
        </is>
      </c>
      <c r="F420" s="2" t="n">
        <v>1</v>
      </c>
      <c r="G420" s="2" t="n">
        <v>55</v>
      </c>
      <c r="H420" s="2" t="inlineStr">
        <is>
          <t>SC/PC</t>
        </is>
      </c>
      <c r="I420" s="2" t="inlineStr">
        <is>
          <t>LC/PC</t>
        </is>
      </c>
      <c r="J420" s="2" t="n"/>
      <c r="K420" s="2" t="n"/>
      <c r="L420" s="2" t="n"/>
      <c r="M420" s="2" t="n"/>
      <c r="N420" s="2" t="n"/>
      <c r="O420" s="2" t="n"/>
      <c r="P420" s="2" t="n"/>
      <c r="Q420" s="2" t="n">
        <v>4</v>
      </c>
      <c r="R420" s="2" t="n"/>
      <c r="S420" s="2" t="n"/>
      <c r="T420" s="2" t="n"/>
      <c r="U420" s="2" t="n"/>
      <c r="V420" s="2">
        <f>SUM(J420:U420)</f>
        <v/>
      </c>
      <c r="W420" s="2" t="n">
        <v>4</v>
      </c>
      <c r="X420" s="2" t="n"/>
      <c r="Y420" s="2" t="n"/>
      <c r="Z420" s="2" t="n"/>
      <c r="AA420" s="2" t="n">
        <v>4</v>
      </c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>
        <f>IF(F420=1,V420*2,IF(F420=2,V420*F420*2,IF(F420&gt;2,F420*2*V420)))</f>
        <v/>
      </c>
      <c r="AW420" s="2">
        <f>SUM(W420:AU420)</f>
        <v/>
      </c>
    </row>
    <row r="421">
      <c r="A421" s="2" t="inlineStr">
        <is>
          <t>14-K-B134</t>
        </is>
      </c>
      <c r="B421" s="3" t="inlineStr">
        <is>
          <t>OJC-A1-SC/SC-SM-40-PC/APC-SP</t>
        </is>
      </c>
      <c r="C421" s="2" t="inlineStr"/>
      <c r="D421" s="2" t="inlineStr">
        <is>
          <t>a1</t>
        </is>
      </c>
      <c r="E421" s="2" t="inlineStr">
        <is>
          <t>2.0mm</t>
        </is>
      </c>
      <c r="F421" s="2" t="n">
        <v>1</v>
      </c>
      <c r="G421" s="2" t="n">
        <v>40</v>
      </c>
      <c r="H421" s="2" t="inlineStr">
        <is>
          <t>SC/PC</t>
        </is>
      </c>
      <c r="I421" s="2" t="inlineStr">
        <is>
          <t>SC/APC</t>
        </is>
      </c>
      <c r="J421" s="2" t="n">
        <v>50</v>
      </c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>
        <f>SUM(J421:U421)</f>
        <v/>
      </c>
      <c r="W421" s="2" t="n"/>
      <c r="X421" s="2" t="n"/>
      <c r="Y421" s="2" t="n"/>
      <c r="Z421" s="2" t="n"/>
      <c r="AA421" s="2" t="n">
        <v>50</v>
      </c>
      <c r="AB421" s="2" t="n"/>
      <c r="AC421" s="2" t="n">
        <v>50</v>
      </c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>
        <f>IF(F421=1,V421*2,IF(F421=2,V421*F421*2,IF(F421&gt;2,F421*2*V421)))</f>
        <v/>
      </c>
      <c r="AW421" s="2">
        <f>SUM(W421:AU421)</f>
        <v/>
      </c>
    </row>
    <row r="422">
      <c r="A422" s="2" t="inlineStr">
        <is>
          <t>14-K-B154</t>
        </is>
      </c>
      <c r="B422" s="3" t="inlineStr">
        <is>
          <t>OJC-A1-SC/LC-SM-35-PC/PC-DP</t>
        </is>
      </c>
      <c r="C422" s="2" t="inlineStr">
        <is>
          <t>적색</t>
        </is>
      </c>
      <c r="D422" s="2" t="inlineStr">
        <is>
          <t>a1-적</t>
        </is>
      </c>
      <c r="E422" s="2" t="inlineStr">
        <is>
          <t>2.0mm</t>
        </is>
      </c>
      <c r="F422" s="2" t="n">
        <v>2</v>
      </c>
      <c r="G422" s="2" t="n">
        <v>35</v>
      </c>
      <c r="H422" s="2" t="inlineStr">
        <is>
          <t>SC/PC</t>
        </is>
      </c>
      <c r="I422" s="2" t="inlineStr">
        <is>
          <t>LC/PC</t>
        </is>
      </c>
      <c r="J422" s="2" t="n"/>
      <c r="K422" s="2" t="n"/>
      <c r="L422" s="2" t="n">
        <v>30</v>
      </c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>
        <f>SUM(J422:U422)</f>
        <v/>
      </c>
      <c r="W422" s="2" t="n"/>
      <c r="X422" s="2" t="n">
        <v>60</v>
      </c>
      <c r="Y422" s="2" t="n"/>
      <c r="Z422" s="2" t="n"/>
      <c r="AA422" s="2" t="n">
        <v>60</v>
      </c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>
        <f>IF(F422=1,V422*2,IF(F422=2,V422*F422*2,IF(F422&gt;2,F422*2*V422)))</f>
        <v/>
      </c>
      <c r="AW422" s="2">
        <f>SUM(W422:AU422)</f>
        <v/>
      </c>
    </row>
    <row r="423">
      <c r="A423" s="2" t="inlineStr">
        <is>
          <t>14-K-B208</t>
        </is>
      </c>
      <c r="B423" s="3" t="inlineStr">
        <is>
          <t>OJC-C2-SC/LC-SM-10-PC/PC-8C</t>
        </is>
      </c>
      <c r="C423" s="2" t="inlineStr">
        <is>
          <t>K9089467</t>
        </is>
      </c>
      <c r="D423" s="2" t="inlineStr">
        <is>
          <t>a1-8c</t>
        </is>
      </c>
      <c r="E423" s="2" t="inlineStr">
        <is>
          <t>2.0mm</t>
        </is>
      </c>
      <c r="F423" s="2" t="n">
        <v>8</v>
      </c>
      <c r="G423" s="2" t="n">
        <v>10</v>
      </c>
      <c r="H423" s="2" t="inlineStr">
        <is>
          <t>SC/PC</t>
        </is>
      </c>
      <c r="I423" s="2" t="inlineStr">
        <is>
          <t>LC/PC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>
        <v>4</v>
      </c>
      <c r="R423" s="2" t="n"/>
      <c r="S423" s="2" t="n"/>
      <c r="T423" s="2" t="n"/>
      <c r="U423" s="2" t="n"/>
      <c r="V423" s="2">
        <f>SUM(J423:U423)</f>
        <v/>
      </c>
      <c r="W423" s="2" t="n">
        <v>32</v>
      </c>
      <c r="X423" s="2" t="n"/>
      <c r="Y423" s="2" t="n"/>
      <c r="Z423" s="2" t="n"/>
      <c r="AA423" s="2" t="n">
        <v>32</v>
      </c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>
        <f>IF(F423=1,V423*2,IF(F423=2,V423*F423*2,IF(F423&gt;2,F423*2*V423)))</f>
        <v/>
      </c>
      <c r="AW423" s="2">
        <f>SUM(W423:AU423)</f>
        <v/>
      </c>
    </row>
    <row r="424">
      <c r="A424" s="2" t="inlineStr">
        <is>
          <t>14-K-B260</t>
        </is>
      </c>
      <c r="B424" s="3" t="inlineStr">
        <is>
          <t>OJC-A1-LC/LC-MM(OM3)-6-PC/PC-DP</t>
        </is>
      </c>
      <c r="C424" s="2" t="inlineStr"/>
      <c r="D424" s="2" t="inlineStr">
        <is>
          <t>om3</t>
        </is>
      </c>
      <c r="E424" s="2" t="inlineStr">
        <is>
          <t>2.0mm</t>
        </is>
      </c>
      <c r="F424" s="2" t="n">
        <v>2</v>
      </c>
      <c r="G424" s="2" t="n">
        <v>6</v>
      </c>
      <c r="H424" s="2" t="inlineStr">
        <is>
          <t>LC/PC</t>
        </is>
      </c>
      <c r="I424" s="2" t="inlineStr">
        <is>
          <t>LC/PC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>
        <v>20</v>
      </c>
      <c r="R424" s="2" t="n"/>
      <c r="S424" s="2" t="n"/>
      <c r="T424" s="2" t="n"/>
      <c r="U424" s="2" t="n"/>
      <c r="V424" s="2">
        <f>SUM(J424:U424)</f>
        <v/>
      </c>
      <c r="W424" s="2" t="n"/>
      <c r="X424" s="2" t="n">
        <v>40</v>
      </c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>
        <v>40</v>
      </c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>
        <f>IF(F424=1,V424*2,IF(F424=2,V424*F424*2,IF(F424&gt;2,F424*2*V424)))</f>
        <v/>
      </c>
      <c r="AW424" s="2">
        <f>SUM(W424:AU424)</f>
        <v/>
      </c>
    </row>
    <row r="425">
      <c r="A425" s="2" t="inlineStr">
        <is>
          <t>14-K-B307</t>
        </is>
      </c>
      <c r="B425" s="3" t="inlineStr">
        <is>
          <t>OJC-A1-LC/LC-SM-11-PC/PC-DP</t>
        </is>
      </c>
      <c r="C425" s="2" t="inlineStr"/>
      <c r="D425" s="2" t="inlineStr">
        <is>
          <t>a1</t>
        </is>
      </c>
      <c r="E425" s="2" t="inlineStr">
        <is>
          <t>2.0mm</t>
        </is>
      </c>
      <c r="F425" s="2" t="n">
        <v>2</v>
      </c>
      <c r="G425" s="2" t="n">
        <v>11</v>
      </c>
      <c r="H425" s="2" t="inlineStr">
        <is>
          <t>LC/PC</t>
        </is>
      </c>
      <c r="I425" s="2" t="inlineStr">
        <is>
          <t>LC/PC</t>
        </is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>
        <v>50</v>
      </c>
      <c r="S425" s="2" t="n"/>
      <c r="T425" s="2" t="n"/>
      <c r="U425" s="2" t="n">
        <v>14</v>
      </c>
      <c r="V425" s="2">
        <f>SUM(J425:U425)</f>
        <v/>
      </c>
      <c r="W425" s="2" t="n">
        <v>128</v>
      </c>
      <c r="X425" s="2" t="n">
        <v>128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>
        <f>IF(F425=1,V425*2,IF(F425=2,V425*F425*2,IF(F425&gt;2,F425*2*V425)))</f>
        <v/>
      </c>
      <c r="AW425" s="2">
        <f>SUM(W425:AU425)</f>
        <v/>
      </c>
    </row>
    <row r="426">
      <c r="A426" s="2" t="inlineStr">
        <is>
          <t>14-K-B326</t>
        </is>
      </c>
      <c r="B426" s="3" t="inlineStr">
        <is>
          <t>OJC-A1-SC/LC-SM-5-APC/PC-SP</t>
        </is>
      </c>
      <c r="C426" s="2" t="inlineStr"/>
      <c r="D426" s="2" t="inlineStr">
        <is>
          <t>a1</t>
        </is>
      </c>
      <c r="E426" s="2" t="inlineStr">
        <is>
          <t>2.0mm</t>
        </is>
      </c>
      <c r="F426" s="2" t="n">
        <v>1</v>
      </c>
      <c r="G426" s="2" t="n">
        <v>5</v>
      </c>
      <c r="H426" s="2" t="inlineStr">
        <is>
          <t>SC/APC</t>
        </is>
      </c>
      <c r="I426" s="2" t="inlineStr">
        <is>
          <t>LC/PC</t>
        </is>
      </c>
      <c r="J426" s="2" t="n"/>
      <c r="K426" s="2" t="n"/>
      <c r="L426" s="2" t="n"/>
      <c r="M426" s="2" t="n"/>
      <c r="N426" s="2" t="n">
        <v>5</v>
      </c>
      <c r="O426" s="2" t="n"/>
      <c r="P426" s="2" t="n"/>
      <c r="Q426" s="2" t="n"/>
      <c r="R426" s="2" t="n"/>
      <c r="S426" s="2" t="n"/>
      <c r="T426" s="2" t="n"/>
      <c r="U426" s="2" t="n"/>
      <c r="V426" s="2">
        <f>SUM(J426:U426)</f>
        <v/>
      </c>
      <c r="W426" s="2" t="n">
        <v>5</v>
      </c>
      <c r="X426" s="2" t="n"/>
      <c r="Y426" s="2" t="n"/>
      <c r="Z426" s="2" t="n"/>
      <c r="AA426" s="2" t="n"/>
      <c r="AB426" s="2" t="n"/>
      <c r="AC426" s="2" t="n">
        <v>5</v>
      </c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>
        <f>IF(F426=1,V426*2,IF(F426=2,V426*F426*2,IF(F426&gt;2,F426*2*V426)))</f>
        <v/>
      </c>
      <c r="AW426" s="2">
        <f>SUM(W426:AU426)</f>
        <v/>
      </c>
    </row>
    <row r="427">
      <c r="A427" s="2" t="inlineStr">
        <is>
          <t>14-K-B341</t>
        </is>
      </c>
      <c r="B427" s="3" t="inlineStr">
        <is>
          <t>OJC-A1-SC/LC-SM-15-APC/PC-SP</t>
        </is>
      </c>
      <c r="C427" s="2" t="inlineStr"/>
      <c r="D427" s="2" t="inlineStr">
        <is>
          <t>a1</t>
        </is>
      </c>
      <c r="E427" s="2" t="inlineStr">
        <is>
          <t>2.0mm</t>
        </is>
      </c>
      <c r="F427" s="2" t="n">
        <v>1</v>
      </c>
      <c r="G427" s="2" t="n">
        <v>15</v>
      </c>
      <c r="H427" s="2" t="inlineStr">
        <is>
          <t>SC/APC</t>
        </is>
      </c>
      <c r="I427" s="2" t="inlineStr">
        <is>
          <t>LC/PC</t>
        </is>
      </c>
      <c r="J427" s="2" t="n"/>
      <c r="K427" s="2" t="n"/>
      <c r="L427" s="2" t="n"/>
      <c r="M427" s="2" t="n"/>
      <c r="N427" s="2" t="n">
        <v>5</v>
      </c>
      <c r="O427" s="2" t="n"/>
      <c r="P427" s="2" t="n"/>
      <c r="Q427" s="2" t="n"/>
      <c r="R427" s="2" t="n"/>
      <c r="S427" s="2" t="n"/>
      <c r="T427" s="2" t="n"/>
      <c r="U427" s="2" t="n"/>
      <c r="V427" s="2">
        <f>SUM(J427:U427)</f>
        <v/>
      </c>
      <c r="W427" s="2" t="n">
        <v>5</v>
      </c>
      <c r="X427" s="2" t="n"/>
      <c r="Y427" s="2" t="n"/>
      <c r="Z427" s="2" t="n"/>
      <c r="AA427" s="2" t="n"/>
      <c r="AB427" s="2" t="n"/>
      <c r="AC427" s="2" t="n">
        <v>5</v>
      </c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>
        <f>IF(F427=1,V427*2,IF(F427=2,V427*F427*2,IF(F427&gt;2,F427*2*V427)))</f>
        <v/>
      </c>
      <c r="AW427" s="2">
        <f>SUM(W427:AU427)</f>
        <v/>
      </c>
    </row>
    <row r="428">
      <c r="A428" s="2" t="inlineStr">
        <is>
          <t>14-K-B368</t>
        </is>
      </c>
      <c r="B428" s="3" t="inlineStr">
        <is>
          <t>OJC-A1-SC/SC-SM-7-APC/APC-DP</t>
        </is>
      </c>
      <c r="C428" s="2" t="inlineStr"/>
      <c r="D428" s="2" t="inlineStr">
        <is>
          <t>a1</t>
        </is>
      </c>
      <c r="E428" s="2" t="inlineStr">
        <is>
          <t>2.0mm</t>
        </is>
      </c>
      <c r="F428" s="2" t="n">
        <v>2</v>
      </c>
      <c r="G428" s="2" t="n">
        <v>7</v>
      </c>
      <c r="H428" s="2" t="inlineStr">
        <is>
          <t>SC/APC</t>
        </is>
      </c>
      <c r="I428" s="2" t="inlineStr">
        <is>
          <t>SC/APC</t>
        </is>
      </c>
      <c r="J428" s="2" t="n">
        <v>29</v>
      </c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>
        <f>SUM(J428:U428)</f>
        <v/>
      </c>
      <c r="W428" s="2" t="n"/>
      <c r="X428" s="2" t="n"/>
      <c r="Y428" s="2" t="n"/>
      <c r="Z428" s="2" t="n"/>
      <c r="AA428" s="2" t="n"/>
      <c r="AB428" s="2" t="n"/>
      <c r="AC428" s="2" t="n">
        <v>58</v>
      </c>
      <c r="AD428" s="2" t="n">
        <v>58</v>
      </c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>
        <f>IF(F428=1,V428*2,IF(F428=2,V428*F428*2,IF(F428&gt;2,F428*2*V428)))</f>
        <v/>
      </c>
      <c r="AW428" s="2">
        <f>SUM(W428:AU428)</f>
        <v/>
      </c>
    </row>
    <row r="429">
      <c r="A429" s="2" t="inlineStr">
        <is>
          <t>14-K-B372</t>
        </is>
      </c>
      <c r="B429" s="3" t="inlineStr">
        <is>
          <t>OJC-A1-LC/LC-SM-8-PC/PC-DP</t>
        </is>
      </c>
      <c r="C429" s="2" t="inlineStr">
        <is>
          <t>청색</t>
        </is>
      </c>
      <c r="D429" s="2" t="inlineStr">
        <is>
          <t>a1-청</t>
        </is>
      </c>
      <c r="E429" s="2" t="inlineStr">
        <is>
          <t>2.0mm</t>
        </is>
      </c>
      <c r="F429" s="2" t="n">
        <v>2</v>
      </c>
      <c r="G429" s="2" t="n">
        <v>8</v>
      </c>
      <c r="H429" s="2" t="inlineStr">
        <is>
          <t>LC/PC</t>
        </is>
      </c>
      <c r="I429" s="2" t="inlineStr">
        <is>
          <t>LC/PC</t>
        </is>
      </c>
      <c r="J429" s="2" t="n"/>
      <c r="K429" s="2" t="n"/>
      <c r="L429" s="2" t="n">
        <v>60</v>
      </c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>
        <f>SUM(J429:U429)</f>
        <v/>
      </c>
      <c r="W429" s="2" t="n">
        <v>120</v>
      </c>
      <c r="X429" s="2" t="n">
        <v>120</v>
      </c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>
        <f>IF(F429=1,V429*2,IF(F429=2,V429*F429*2,IF(F429&gt;2,F429*2*V429)))</f>
        <v/>
      </c>
      <c r="AW429" s="2">
        <f>SUM(W429:AU429)</f>
        <v/>
      </c>
    </row>
    <row r="430">
      <c r="A430" s="2" t="inlineStr">
        <is>
          <t>14-K-B377</t>
        </is>
      </c>
      <c r="B430" s="3" t="inlineStr">
        <is>
          <t>OJC-A1-LC/LC-SM-11-PC/PC-SP</t>
        </is>
      </c>
      <c r="C430" s="2" t="inlineStr"/>
      <c r="D430" s="2" t="inlineStr">
        <is>
          <t>a1</t>
        </is>
      </c>
      <c r="E430" s="2" t="inlineStr">
        <is>
          <t>2.0mm</t>
        </is>
      </c>
      <c r="F430" s="2" t="n">
        <v>1</v>
      </c>
      <c r="G430" s="2" t="n">
        <v>11</v>
      </c>
      <c r="H430" s="2" t="inlineStr">
        <is>
          <t>LC/PC</t>
        </is>
      </c>
      <c r="I430" s="2" t="inlineStr">
        <is>
          <t>LC/PC</t>
        </is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>
        <v>10</v>
      </c>
      <c r="V430" s="2">
        <f>SUM(J430:U430)</f>
        <v/>
      </c>
      <c r="W430" s="2" t="n">
        <v>20</v>
      </c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>
        <f>IF(F430=1,V430*2,IF(F430=2,V430*F430*2,IF(F430&gt;2,F430*2*V430)))</f>
        <v/>
      </c>
      <c r="AW430" s="2">
        <f>SUM(W430:AU430)</f>
        <v/>
      </c>
    </row>
    <row r="431">
      <c r="A431" s="2" t="inlineStr">
        <is>
          <t>14-K-B378</t>
        </is>
      </c>
      <c r="B431" s="3" t="inlineStr">
        <is>
          <t>OJC-A1-LC/LC-SM-3-PC/APC-SP</t>
        </is>
      </c>
      <c r="C431" s="2" t="inlineStr"/>
      <c r="D431" s="2" t="inlineStr">
        <is>
          <t>a1</t>
        </is>
      </c>
      <c r="E431" s="2" t="inlineStr">
        <is>
          <t>2.0mm</t>
        </is>
      </c>
      <c r="F431" s="2" t="n">
        <v>1</v>
      </c>
      <c r="G431" s="2" t="n">
        <v>3</v>
      </c>
      <c r="H431" s="2" t="inlineStr">
        <is>
          <t>LC/PC</t>
        </is>
      </c>
      <c r="I431" s="2" t="inlineStr">
        <is>
          <t>LC/APC</t>
        </is>
      </c>
      <c r="J431" s="2" t="n"/>
      <c r="K431" s="2" t="n">
        <v>3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>
        <f>SUM(J431:U431)</f>
        <v/>
      </c>
      <c r="W431" s="2" t="n">
        <v>3</v>
      </c>
      <c r="X431" s="2" t="n"/>
      <c r="Y431" s="2" t="n">
        <v>3</v>
      </c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>
        <f>IF(F431=1,V431*2,IF(F431=2,V431*F431*2,IF(F431&gt;2,F431*2*V431)))</f>
        <v/>
      </c>
      <c r="AW431" s="2">
        <f>SUM(W431:AU431)</f>
        <v/>
      </c>
    </row>
    <row r="432">
      <c r="A432" s="2" t="inlineStr">
        <is>
          <t>14-K-B379</t>
        </is>
      </c>
      <c r="B432" s="3" t="inlineStr">
        <is>
          <t>OJC-A1-LC/LC-SM-15-PC/APC-SP</t>
        </is>
      </c>
      <c r="C432" s="2" t="inlineStr"/>
      <c r="D432" s="2" t="inlineStr">
        <is>
          <t>a1</t>
        </is>
      </c>
      <c r="E432" s="2" t="inlineStr">
        <is>
          <t>2.0mm</t>
        </is>
      </c>
      <c r="F432" s="2" t="n">
        <v>1</v>
      </c>
      <c r="G432" s="2" t="n">
        <v>15</v>
      </c>
      <c r="H432" s="2" t="inlineStr">
        <is>
          <t>LC/PC</t>
        </is>
      </c>
      <c r="I432" s="2" t="inlineStr">
        <is>
          <t>LC/APC</t>
        </is>
      </c>
      <c r="J432" s="2" t="n"/>
      <c r="K432" s="2" t="n">
        <v>3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>
        <f>SUM(J432:U432)</f>
        <v/>
      </c>
      <c r="W432" s="2" t="n">
        <v>3</v>
      </c>
      <c r="X432" s="2" t="n"/>
      <c r="Y432" s="2" t="n">
        <v>3</v>
      </c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>
        <f>IF(F432=1,V432*2,IF(F432=2,V432*F432*2,IF(F432&gt;2,F432*2*V432)))</f>
        <v/>
      </c>
      <c r="AW432" s="2">
        <f>SUM(W432:AU432)</f>
        <v/>
      </c>
    </row>
    <row r="433">
      <c r="A433" s="2" t="inlineStr">
        <is>
          <t>14-K-B381</t>
        </is>
      </c>
      <c r="B433" s="3" t="inlineStr">
        <is>
          <t>OJC-A1-LC/LC-SM-0.9-PC/PC-SP</t>
        </is>
      </c>
      <c r="C433" s="2" t="inlineStr"/>
      <c r="D433" s="2" t="inlineStr">
        <is>
          <t>a1</t>
        </is>
      </c>
      <c r="E433" s="2" t="inlineStr">
        <is>
          <t>2.0mm</t>
        </is>
      </c>
      <c r="F433" s="2" t="n">
        <v>1</v>
      </c>
      <c r="G433" s="2" t="n">
        <v>0.9</v>
      </c>
      <c r="H433" s="2" t="inlineStr">
        <is>
          <t>LC/PC</t>
        </is>
      </c>
      <c r="I433" s="2" t="inlineStr">
        <is>
          <t>LC/PC</t>
        </is>
      </c>
      <c r="J433" s="2" t="n"/>
      <c r="K433" s="2" t="n"/>
      <c r="L433" s="2" t="n">
        <v>5</v>
      </c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>
        <f>SUM(J433:U433)</f>
        <v/>
      </c>
      <c r="W433" s="2" t="n">
        <v>10</v>
      </c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>
        <f>IF(F433=1,V433*2,IF(F433=2,V433*F433*2,IF(F433&gt;2,F433*2*V433)))</f>
        <v/>
      </c>
      <c r="AW433" s="2">
        <f>SUM(W433:AU433)</f>
        <v/>
      </c>
    </row>
    <row r="434">
      <c r="A434" s="2" t="inlineStr">
        <is>
          <t>14-K-B382</t>
        </is>
      </c>
      <c r="B434" s="3" t="inlineStr">
        <is>
          <t>OJC-A1-LC/LC-SM-0.75-PC/PC-DP</t>
        </is>
      </c>
      <c r="C434" s="2" t="inlineStr"/>
      <c r="D434" s="2" t="inlineStr">
        <is>
          <t>a1</t>
        </is>
      </c>
      <c r="E434" s="2" t="inlineStr">
        <is>
          <t>2.0mm</t>
        </is>
      </c>
      <c r="F434" s="2" t="n">
        <v>2</v>
      </c>
      <c r="G434" s="2" t="n">
        <v>0.75</v>
      </c>
      <c r="H434" s="2" t="inlineStr">
        <is>
          <t>LC/PC</t>
        </is>
      </c>
      <c r="I434" s="2" t="inlineStr">
        <is>
          <t>LC/PC</t>
        </is>
      </c>
      <c r="J434" s="2" t="n"/>
      <c r="K434" s="2" t="n"/>
      <c r="L434" s="2" t="n">
        <v>15</v>
      </c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>
        <f>SUM(J434:U434)</f>
        <v/>
      </c>
      <c r="W434" s="2" t="n">
        <v>30</v>
      </c>
      <c r="X434" s="2" t="n">
        <v>30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>
        <f>IF(F434=1,V434*2,IF(F434=2,V434*F434*2,IF(F434&gt;2,F434*2*V434)))</f>
        <v/>
      </c>
      <c r="AW434" s="2">
        <f>SUM(W434:AU434)</f>
        <v/>
      </c>
    </row>
    <row r="435">
      <c r="A435" s="2" t="inlineStr">
        <is>
          <t>14-K-B383</t>
        </is>
      </c>
      <c r="B435" s="3" t="inlineStr">
        <is>
          <t>OJC-A1-LC/LC-SM-1.5-PC/PC-DP</t>
        </is>
      </c>
      <c r="C435" s="2" t="inlineStr"/>
      <c r="D435" s="2" t="inlineStr">
        <is>
          <t>a1</t>
        </is>
      </c>
      <c r="E435" s="2" t="inlineStr">
        <is>
          <t>2.0mm</t>
        </is>
      </c>
      <c r="F435" s="2" t="n">
        <v>2</v>
      </c>
      <c r="G435" s="2" t="n">
        <v>1.5</v>
      </c>
      <c r="H435" s="2" t="inlineStr">
        <is>
          <t>LC/PC</t>
        </is>
      </c>
      <c r="I435" s="2" t="inlineStr">
        <is>
          <t>LC/PC</t>
        </is>
      </c>
      <c r="J435" s="2" t="n"/>
      <c r="K435" s="2" t="n"/>
      <c r="L435" s="2" t="n">
        <v>10</v>
      </c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>
        <f>SUM(J435:U435)</f>
        <v/>
      </c>
      <c r="W435" s="2" t="n">
        <v>20</v>
      </c>
      <c r="X435" s="2" t="n">
        <v>20</v>
      </c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>
        <f>IF(F435=1,V435*2,IF(F435=2,V435*F435*2,IF(F435&gt;2,F435*2*V435)))</f>
        <v/>
      </c>
      <c r="AW435" s="2">
        <f>SUM(W435:AU435)</f>
        <v/>
      </c>
    </row>
    <row r="436">
      <c r="A436" s="2" t="inlineStr">
        <is>
          <t>14-K-B384</t>
        </is>
      </c>
      <c r="B436" s="3" t="inlineStr">
        <is>
          <t>OJC-A1-LC/LC-SM-2-PC/PC-DP</t>
        </is>
      </c>
      <c r="C436" s="2" t="inlineStr"/>
      <c r="D436" s="2" t="inlineStr">
        <is>
          <t>a1</t>
        </is>
      </c>
      <c r="E436" s="2" t="inlineStr">
        <is>
          <t>2.0mm</t>
        </is>
      </c>
      <c r="F436" s="2" t="n">
        <v>2</v>
      </c>
      <c r="G436" s="2" t="n">
        <v>2</v>
      </c>
      <c r="H436" s="2" t="inlineStr">
        <is>
          <t>LC/PC</t>
        </is>
      </c>
      <c r="I436" s="2" t="inlineStr">
        <is>
          <t>LC/PC</t>
        </is>
      </c>
      <c r="J436" s="2" t="n"/>
      <c r="K436" s="2" t="n"/>
      <c r="L436" s="2" t="n">
        <v>5</v>
      </c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>
        <f>SUM(J436:U436)</f>
        <v/>
      </c>
      <c r="W436" s="2" t="n">
        <v>10</v>
      </c>
      <c r="X436" s="2" t="n">
        <v>10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>
        <f>IF(F436=1,V436*2,IF(F436=2,V436*F436*2,IF(F436&gt;2,F436*2*V436)))</f>
        <v/>
      </c>
      <c r="AW436" s="2">
        <f>SUM(W436:AU436)</f>
        <v/>
      </c>
    </row>
    <row r="437">
      <c r="A437" s="2" t="inlineStr">
        <is>
          <t>14-K-B385</t>
        </is>
      </c>
      <c r="B437" s="3" t="inlineStr">
        <is>
          <t>OJC-A1-LC/LC-SM-2.5-PC/PC-DP</t>
        </is>
      </c>
      <c r="C437" s="2" t="inlineStr"/>
      <c r="D437" s="2" t="inlineStr">
        <is>
          <t>a1</t>
        </is>
      </c>
      <c r="E437" s="2" t="inlineStr">
        <is>
          <t>2.0mm</t>
        </is>
      </c>
      <c r="F437" s="2" t="n">
        <v>2</v>
      </c>
      <c r="G437" s="2" t="n">
        <v>2.5</v>
      </c>
      <c r="H437" s="2" t="inlineStr">
        <is>
          <t>LC/PC</t>
        </is>
      </c>
      <c r="I437" s="2" t="inlineStr">
        <is>
          <t>LC/PC</t>
        </is>
      </c>
      <c r="J437" s="2" t="n"/>
      <c r="K437" s="2" t="n"/>
      <c r="L437" s="2" t="n">
        <v>5</v>
      </c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>
        <f>SUM(J437:U437)</f>
        <v/>
      </c>
      <c r="W437" s="2" t="n">
        <v>10</v>
      </c>
      <c r="X437" s="2" t="n">
        <v>10</v>
      </c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>
        <f>IF(F437=1,V437*2,IF(F437=2,V437*F437*2,IF(F437&gt;2,F437*2*V437)))</f>
        <v/>
      </c>
      <c r="AW437" s="2">
        <f>SUM(W437:AU437)</f>
        <v/>
      </c>
    </row>
    <row r="438">
      <c r="A438" s="2" t="inlineStr">
        <is>
          <t>14-K-B386</t>
        </is>
      </c>
      <c r="B438" s="3" t="inlineStr">
        <is>
          <t>OJC-A1-SC/LC-MM(OM3)-18-PC/PC-DP</t>
        </is>
      </c>
      <c r="C438" s="2" t="inlineStr"/>
      <c r="D438" s="2" t="inlineStr">
        <is>
          <t>om3</t>
        </is>
      </c>
      <c r="E438" s="2" t="inlineStr">
        <is>
          <t>2.0mm</t>
        </is>
      </c>
      <c r="F438" s="2" t="n">
        <v>2</v>
      </c>
      <c r="G438" s="2" t="n">
        <v>18</v>
      </c>
      <c r="H438" s="2" t="inlineStr">
        <is>
          <t>SC/PC</t>
        </is>
      </c>
      <c r="I438" s="2" t="inlineStr">
        <is>
          <t>LC/PC</t>
        </is>
      </c>
      <c r="J438" s="2" t="n"/>
      <c r="K438" s="2" t="n"/>
      <c r="L438" s="2" t="n">
        <v>8</v>
      </c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>
        <f>SUM(J438:U438)</f>
        <v/>
      </c>
      <c r="W438" s="2" t="n"/>
      <c r="X438" s="2" t="n">
        <v>16</v>
      </c>
      <c r="Y438" s="2" t="n"/>
      <c r="Z438" s="2" t="n"/>
      <c r="AA438" s="2" t="n">
        <v>16</v>
      </c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>
        <f>IF(F438=1,V438*2,IF(F438=2,V438*F438*2,IF(F438&gt;2,F438*2*V438)))</f>
        <v/>
      </c>
      <c r="AW438" s="2">
        <f>SUM(W438:AU438)</f>
        <v/>
      </c>
    </row>
    <row r="439">
      <c r="A439" s="2" t="inlineStr">
        <is>
          <t>14-K-B387</t>
        </is>
      </c>
      <c r="B439" s="3" t="inlineStr">
        <is>
          <t>OJC-A1-FC/LC-SM-5-PC/PC-DP</t>
        </is>
      </c>
      <c r="C439" s="2" t="inlineStr"/>
      <c r="D439" s="2" t="inlineStr">
        <is>
          <t>a1</t>
        </is>
      </c>
      <c r="E439" s="2" t="inlineStr">
        <is>
          <t>2.0mm</t>
        </is>
      </c>
      <c r="F439" s="2" t="n">
        <v>2</v>
      </c>
      <c r="G439" s="2" t="n">
        <v>5</v>
      </c>
      <c r="H439" s="2" t="inlineStr">
        <is>
          <t>FC/PC</t>
        </is>
      </c>
      <c r="I439" s="2" t="inlineStr">
        <is>
          <t>LC/PC</t>
        </is>
      </c>
      <c r="J439" s="2" t="n"/>
      <c r="K439" s="2" t="n"/>
      <c r="L439" s="2" t="n"/>
      <c r="M439" s="2" t="n">
        <v>40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>
        <f>SUM(J439:U439)</f>
        <v/>
      </c>
      <c r="W439" s="2" t="n"/>
      <c r="X439" s="2" t="n">
        <v>80</v>
      </c>
      <c r="Y439" s="2" t="n"/>
      <c r="Z439" s="2" t="n"/>
      <c r="AA439" s="2" t="n"/>
      <c r="AB439" s="2" t="n"/>
      <c r="AC439" s="2" t="n"/>
      <c r="AD439" s="2" t="n"/>
      <c r="AE439" s="2" t="n">
        <v>80</v>
      </c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>
        <f>IF(F439=1,V439*2,IF(F439=2,V439*F439*2,IF(F439&gt;2,F439*2*V439)))</f>
        <v/>
      </c>
      <c r="AW439" s="2">
        <f>SUM(W439:AU439)</f>
        <v/>
      </c>
    </row>
    <row r="440">
      <c r="A440" s="2" t="inlineStr">
        <is>
          <t>14-K-B388</t>
        </is>
      </c>
      <c r="B440" s="3" t="inlineStr">
        <is>
          <t>OJC-A1-LC/LC-MM-20-PC/PC-DP</t>
        </is>
      </c>
      <c r="C440" s="2" t="inlineStr"/>
      <c r="D440" s="2" t="inlineStr">
        <is>
          <t>om1</t>
        </is>
      </c>
      <c r="E440" s="2" t="inlineStr">
        <is>
          <t>2.0mm</t>
        </is>
      </c>
      <c r="F440" s="2" t="n">
        <v>2</v>
      </c>
      <c r="G440" s="2" t="n">
        <v>20</v>
      </c>
      <c r="H440" s="2" t="inlineStr">
        <is>
          <t>LC/PC</t>
        </is>
      </c>
      <c r="I440" s="2" t="inlineStr">
        <is>
          <t>LC/PC</t>
        </is>
      </c>
      <c r="J440" s="2" t="n"/>
      <c r="K440" s="2" t="n"/>
      <c r="L440" s="2" t="n"/>
      <c r="M440" s="2" t="n"/>
      <c r="N440" s="2" t="n">
        <v>5</v>
      </c>
      <c r="O440" s="2" t="n"/>
      <c r="P440" s="2" t="n"/>
      <c r="Q440" s="2" t="n"/>
      <c r="R440" s="2" t="n"/>
      <c r="S440" s="2" t="n"/>
      <c r="T440" s="2" t="n"/>
      <c r="U440" s="2" t="n"/>
      <c r="V440" s="2">
        <f>SUM(J440:U440)</f>
        <v/>
      </c>
      <c r="W440" s="2" t="n"/>
      <c r="X440" s="2" t="n">
        <v>10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>
        <v>10</v>
      </c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>
        <f>IF(F440=1,V440*2,IF(F440=2,V440*F440*2,IF(F440&gt;2,F440*2*V440)))</f>
        <v/>
      </c>
      <c r="AW440" s="2">
        <f>SUM(W440:AU440)</f>
        <v/>
      </c>
    </row>
    <row r="441">
      <c r="A441" s="2" t="inlineStr">
        <is>
          <t>14-K-B389</t>
        </is>
      </c>
      <c r="B441" s="3" t="inlineStr">
        <is>
          <t>OJC-A1-LC/LC-MM-15-PC/PC-DP</t>
        </is>
      </c>
      <c r="C441" s="2" t="inlineStr"/>
      <c r="D441" s="2" t="inlineStr">
        <is>
          <t>om1</t>
        </is>
      </c>
      <c r="E441" s="2" t="inlineStr">
        <is>
          <t>2.0mm</t>
        </is>
      </c>
      <c r="F441" s="2" t="n">
        <v>2</v>
      </c>
      <c r="G441" s="2" t="n">
        <v>15</v>
      </c>
      <c r="H441" s="2" t="inlineStr">
        <is>
          <t>LC/PC</t>
        </is>
      </c>
      <c r="I441" s="2" t="inlineStr">
        <is>
          <t>LC/PC</t>
        </is>
      </c>
      <c r="J441" s="2" t="n"/>
      <c r="K441" s="2" t="n"/>
      <c r="L441" s="2" t="n"/>
      <c r="M441" s="2" t="n"/>
      <c r="N441" s="2" t="n">
        <v>5</v>
      </c>
      <c r="O441" s="2" t="n"/>
      <c r="P441" s="2" t="n"/>
      <c r="Q441" s="2" t="n"/>
      <c r="R441" s="2" t="n"/>
      <c r="S441" s="2" t="n"/>
      <c r="T441" s="2" t="n"/>
      <c r="U441" s="2" t="n"/>
      <c r="V441" s="2">
        <f>SUM(J441:U441)</f>
        <v/>
      </c>
      <c r="W441" s="2" t="n"/>
      <c r="X441" s="2" t="n">
        <v>10</v>
      </c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>
        <v>10</v>
      </c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>
        <f>IF(F441=1,V441*2,IF(F441=2,V441*F441*2,IF(F441&gt;2,F441*2*V441)))</f>
        <v/>
      </c>
      <c r="AW441" s="2">
        <f>SUM(W441:AU441)</f>
        <v/>
      </c>
    </row>
    <row r="442">
      <c r="A442" s="2" t="inlineStr">
        <is>
          <t>14-K-B390</t>
        </is>
      </c>
      <c r="B442" s="3" t="inlineStr">
        <is>
          <t>OJC-A1-FC/LC-SM-55-PC/PC-DP</t>
        </is>
      </c>
      <c r="C442" s="2" t="inlineStr"/>
      <c r="D442" s="2" t="inlineStr">
        <is>
          <t>a1</t>
        </is>
      </c>
      <c r="E442" s="2" t="inlineStr">
        <is>
          <t>2.0mm</t>
        </is>
      </c>
      <c r="F442" s="2" t="n">
        <v>2</v>
      </c>
      <c r="G442" s="2" t="n">
        <v>55</v>
      </c>
      <c r="H442" s="2" t="inlineStr">
        <is>
          <t>FC/PC</t>
        </is>
      </c>
      <c r="I442" s="2" t="inlineStr">
        <is>
          <t>LC/PC</t>
        </is>
      </c>
      <c r="J442" s="2" t="n"/>
      <c r="K442" s="2" t="n"/>
      <c r="L442" s="2" t="n"/>
      <c r="M442" s="2" t="n"/>
      <c r="N442" s="2" t="n">
        <v>2</v>
      </c>
      <c r="O442" s="2" t="n"/>
      <c r="P442" s="2" t="n"/>
      <c r="Q442" s="2" t="n"/>
      <c r="R442" s="2" t="n"/>
      <c r="S442" s="2" t="n"/>
      <c r="T442" s="2" t="n"/>
      <c r="U442" s="2" t="n"/>
      <c r="V442" s="2">
        <f>SUM(J442:U442)</f>
        <v/>
      </c>
      <c r="W442" s="2" t="n"/>
      <c r="X442" s="2" t="n">
        <v>4</v>
      </c>
      <c r="Y442" s="2" t="n"/>
      <c r="Z442" s="2" t="n"/>
      <c r="AA442" s="2" t="n"/>
      <c r="AB442" s="2" t="n"/>
      <c r="AC442" s="2" t="n"/>
      <c r="AD442" s="2" t="n"/>
      <c r="AE442" s="2" t="n">
        <v>4</v>
      </c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>
        <f>IF(F442=1,V442*2,IF(F442=2,V442*F442*2,IF(F442&gt;2,F442*2*V442)))</f>
        <v/>
      </c>
      <c r="AW442" s="2">
        <f>SUM(W442:AU442)</f>
        <v/>
      </c>
    </row>
    <row r="443">
      <c r="A443" s="2" t="inlineStr">
        <is>
          <t>14-K-B391</t>
        </is>
      </c>
      <c r="B443" s="3" t="inlineStr">
        <is>
          <t>OJC-A1-SC/LC-SM-60-APC/PC-DP</t>
        </is>
      </c>
      <c r="C443" s="2" t="inlineStr"/>
      <c r="D443" s="2" t="inlineStr">
        <is>
          <t>a1</t>
        </is>
      </c>
      <c r="E443" s="2" t="inlineStr">
        <is>
          <t>2.0mm</t>
        </is>
      </c>
      <c r="F443" s="2" t="n">
        <v>2</v>
      </c>
      <c r="G443" s="2" t="n">
        <v>60</v>
      </c>
      <c r="H443" s="2" t="inlineStr">
        <is>
          <t>SC/APC</t>
        </is>
      </c>
      <c r="I443" s="2" t="inlineStr">
        <is>
          <t>LC/PC</t>
        </is>
      </c>
      <c r="J443" s="2" t="n"/>
      <c r="K443" s="2" t="n"/>
      <c r="L443" s="2" t="n"/>
      <c r="M443" s="2" t="n"/>
      <c r="N443" s="2" t="n"/>
      <c r="O443" s="2" t="n">
        <v>10</v>
      </c>
      <c r="P443" s="2" t="n"/>
      <c r="Q443" s="2" t="n"/>
      <c r="R443" s="2" t="n"/>
      <c r="S443" s="2" t="n"/>
      <c r="T443" s="2" t="n"/>
      <c r="U443" s="2" t="n"/>
      <c r="V443" s="2">
        <f>SUM(J443:U443)</f>
        <v/>
      </c>
      <c r="W443" s="2" t="n"/>
      <c r="X443" s="2" t="n">
        <v>20</v>
      </c>
      <c r="Y443" s="2" t="n"/>
      <c r="Z443" s="2" t="n"/>
      <c r="AA443" s="2" t="n"/>
      <c r="AB443" s="2" t="n"/>
      <c r="AC443" s="2" t="n">
        <v>20</v>
      </c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>
        <f>IF(F443=1,V443*2,IF(F443=2,V443*F443*2,IF(F443&gt;2,F443*2*V443)))</f>
        <v/>
      </c>
      <c r="AW443" s="2">
        <f>SUM(W443:AU443)</f>
        <v/>
      </c>
    </row>
    <row r="444">
      <c r="A444" s="2" t="inlineStr">
        <is>
          <t>14-K-B392</t>
        </is>
      </c>
      <c r="B444" s="3" t="inlineStr">
        <is>
          <t>OJC-A1-SC/LC-SM-30-APC/PC-DP</t>
        </is>
      </c>
      <c r="C444" s="2" t="inlineStr"/>
      <c r="D444" s="2" t="inlineStr">
        <is>
          <t>a1</t>
        </is>
      </c>
      <c r="E444" s="2" t="inlineStr">
        <is>
          <t>2.0mm</t>
        </is>
      </c>
      <c r="F444" s="2" t="n">
        <v>2</v>
      </c>
      <c r="G444" s="2" t="n">
        <v>30</v>
      </c>
      <c r="H444" s="2" t="inlineStr">
        <is>
          <t>SC/APC</t>
        </is>
      </c>
      <c r="I444" s="2" t="inlineStr">
        <is>
          <t>LC/PC</t>
        </is>
      </c>
      <c r="J444" s="2" t="n"/>
      <c r="K444" s="2" t="n"/>
      <c r="L444" s="2" t="n"/>
      <c r="M444" s="2" t="n"/>
      <c r="N444" s="2" t="n"/>
      <c r="O444" s="2" t="n">
        <v>10</v>
      </c>
      <c r="P444" s="2" t="n"/>
      <c r="Q444" s="2" t="n"/>
      <c r="R444" s="2" t="n"/>
      <c r="S444" s="2" t="n"/>
      <c r="T444" s="2" t="n"/>
      <c r="U444" s="2" t="n"/>
      <c r="V444" s="2">
        <f>SUM(J444:U444)</f>
        <v/>
      </c>
      <c r="W444" s="2" t="n"/>
      <c r="X444" s="2" t="n">
        <v>20</v>
      </c>
      <c r="Y444" s="2" t="n"/>
      <c r="Z444" s="2" t="n"/>
      <c r="AA444" s="2" t="n"/>
      <c r="AB444" s="2" t="n"/>
      <c r="AC444" s="2" t="n">
        <v>20</v>
      </c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>
        <f>IF(F444=1,V444*2,IF(F444=2,V444*F444*2,IF(F444&gt;2,F444*2*V444)))</f>
        <v/>
      </c>
      <c r="AW444" s="2">
        <f>SUM(W444:AU444)</f>
        <v/>
      </c>
    </row>
    <row r="445">
      <c r="A445" s="2" t="inlineStr">
        <is>
          <t>14-K-B393</t>
        </is>
      </c>
      <c r="B445" s="3" t="inlineStr">
        <is>
          <t>OJC-C2-SC/LC-SM-13-PC/PC-8C</t>
        </is>
      </c>
      <c r="C445" s="2" t="inlineStr">
        <is>
          <t>K9089467</t>
        </is>
      </c>
      <c r="D445" s="2" t="inlineStr">
        <is>
          <t>a1-8c</t>
        </is>
      </c>
      <c r="E445" s="2" t="inlineStr">
        <is>
          <t>2.0mm</t>
        </is>
      </c>
      <c r="F445" s="2" t="n">
        <v>8</v>
      </c>
      <c r="G445" s="2" t="n">
        <v>13</v>
      </c>
      <c r="H445" s="2" t="inlineStr">
        <is>
          <t>SC/PC</t>
        </is>
      </c>
      <c r="I445" s="2" t="inlineStr">
        <is>
          <t>LC/PC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>
        <v>1</v>
      </c>
      <c r="R445" s="2" t="n"/>
      <c r="S445" s="2" t="n"/>
      <c r="T445" s="2" t="n"/>
      <c r="U445" s="2" t="n"/>
      <c r="V445" s="2">
        <f>SUM(J445:U445)</f>
        <v/>
      </c>
      <c r="W445" s="2" t="n">
        <v>8</v>
      </c>
      <c r="X445" s="2" t="n"/>
      <c r="Y445" s="2" t="n"/>
      <c r="Z445" s="2" t="n"/>
      <c r="AA445" s="2" t="n">
        <v>8</v>
      </c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>
        <f>IF(F445=1,V445*2,IF(F445=2,V445*F445*2,IF(F445&gt;2,F445*2*V445)))</f>
        <v/>
      </c>
      <c r="AW445" s="2">
        <f>SUM(W445:AU445)</f>
        <v/>
      </c>
    </row>
    <row r="446">
      <c r="A446" s="2" t="inlineStr">
        <is>
          <t>14-K-B394</t>
        </is>
      </c>
      <c r="B446" s="3" t="inlineStr">
        <is>
          <t>OJC-A1-LC/LC-SM-5-PC/PC-DP</t>
        </is>
      </c>
      <c r="C446" s="2" t="inlineStr">
        <is>
          <t>K9089175, CLIP Type</t>
        </is>
      </c>
      <c r="D446" s="2" t="inlineStr">
        <is>
          <t>a1</t>
        </is>
      </c>
      <c r="E446" s="2" t="inlineStr">
        <is>
          <t>2.0mm</t>
        </is>
      </c>
      <c r="F446" s="2" t="n">
        <v>2</v>
      </c>
      <c r="G446" s="2" t="n">
        <v>5</v>
      </c>
      <c r="H446" s="2" t="inlineStr">
        <is>
          <t>LC/PC</t>
        </is>
      </c>
      <c r="I446" s="2" t="inlineStr">
        <is>
          <t>LC/PC</t>
        </is>
      </c>
      <c r="J446" s="2" t="n"/>
      <c r="K446" s="2" t="n"/>
      <c r="L446" s="2" t="n"/>
      <c r="M446" s="2" t="n"/>
      <c r="N446" s="2" t="n"/>
      <c r="O446" s="2" t="n"/>
      <c r="P446" s="2" t="n"/>
      <c r="Q446" s="2" t="n">
        <v>8</v>
      </c>
      <c r="R446" s="2" t="n"/>
      <c r="S446" s="2" t="n"/>
      <c r="T446" s="2" t="n"/>
      <c r="U446" s="2" t="n"/>
      <c r="V446" s="2">
        <f>SUM(J446:U446)</f>
        <v/>
      </c>
      <c r="W446" s="2" t="n">
        <v>16</v>
      </c>
      <c r="X446" s="2" t="n">
        <v>16</v>
      </c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>
        <f>IF(F446=1,V446*2,IF(F446=2,V446*F446*2,IF(F446&gt;2,F446*2*V446)))</f>
        <v/>
      </c>
      <c r="AW446" s="2">
        <f>SUM(W446:AU446)</f>
        <v/>
      </c>
    </row>
    <row r="447">
      <c r="A447" s="2" t="inlineStr">
        <is>
          <t>14-K-B395</t>
        </is>
      </c>
      <c r="B447" s="3" t="inlineStr">
        <is>
          <t>OJC-A1-LC/LC-MM(OM3)-8-PC/PC-DP</t>
        </is>
      </c>
      <c r="C447" s="2" t="inlineStr">
        <is>
          <t>CLIP Type</t>
        </is>
      </c>
      <c r="D447" s="2" t="inlineStr">
        <is>
          <t>om3</t>
        </is>
      </c>
      <c r="E447" s="2" t="inlineStr">
        <is>
          <t>2.0mm</t>
        </is>
      </c>
      <c r="F447" s="2" t="n">
        <v>2</v>
      </c>
      <c r="G447" s="2" t="n">
        <v>8</v>
      </c>
      <c r="H447" s="2" t="inlineStr">
        <is>
          <t>LC/PC</t>
        </is>
      </c>
      <c r="I447" s="2" t="inlineStr">
        <is>
          <t>LC/PC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>
        <v>3</v>
      </c>
      <c r="R447" s="2" t="n"/>
      <c r="S447" s="2" t="n"/>
      <c r="T447" s="2" t="n"/>
      <c r="U447" s="2" t="n"/>
      <c r="V447" s="2">
        <f>SUM(J447:U447)</f>
        <v/>
      </c>
      <c r="W447" s="2" t="n"/>
      <c r="X447" s="2" t="n">
        <v>6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>
        <v>6</v>
      </c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>
        <f>IF(F447=1,V447*2,IF(F447=2,V447*F447*2,IF(F447&gt;2,F447*2*V447)))</f>
        <v/>
      </c>
      <c r="AW447" s="2">
        <f>SUM(W447:AU447)</f>
        <v/>
      </c>
    </row>
    <row r="448">
      <c r="A448" s="2" t="inlineStr">
        <is>
          <t>14-K-B396</t>
        </is>
      </c>
      <c r="B448" s="3" t="inlineStr">
        <is>
          <t>OJC-A1-LC/LC-MM(OM3)-9-PC/PC-DP</t>
        </is>
      </c>
      <c r="C448" s="2" t="inlineStr">
        <is>
          <t>CLIP Type</t>
        </is>
      </c>
      <c r="D448" s="2" t="inlineStr">
        <is>
          <t>om3</t>
        </is>
      </c>
      <c r="E448" s="2" t="inlineStr">
        <is>
          <t>2.0mm</t>
        </is>
      </c>
      <c r="F448" s="2" t="n">
        <v>2</v>
      </c>
      <c r="G448" s="2" t="n">
        <v>9</v>
      </c>
      <c r="H448" s="2" t="inlineStr">
        <is>
          <t>LC/PC</t>
        </is>
      </c>
      <c r="I448" s="2" t="inlineStr">
        <is>
          <t>LC/PC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>
        <v>3</v>
      </c>
      <c r="R448" s="2" t="n"/>
      <c r="S448" s="2" t="n"/>
      <c r="T448" s="2" t="n"/>
      <c r="U448" s="2" t="n"/>
      <c r="V448" s="2">
        <f>SUM(J448:U448)</f>
        <v/>
      </c>
      <c r="W448" s="2" t="n"/>
      <c r="X448" s="2" t="n">
        <v>6</v>
      </c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>
        <v>6</v>
      </c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>
        <f>IF(F448=1,V448*2,IF(F448=2,V448*F448*2,IF(F448&gt;2,F448*2*V448)))</f>
        <v/>
      </c>
      <c r="AW448" s="2">
        <f>SUM(W448:AU448)</f>
        <v/>
      </c>
    </row>
    <row r="449">
      <c r="A449" s="2" t="inlineStr">
        <is>
          <t>14-K-B397</t>
        </is>
      </c>
      <c r="B449" s="3" t="inlineStr">
        <is>
          <t>OJC-A1-LC/LC-MM(OM3)-10-PC/PC-DP</t>
        </is>
      </c>
      <c r="C449" s="2" t="inlineStr">
        <is>
          <t>CLIP Type</t>
        </is>
      </c>
      <c r="D449" s="2" t="inlineStr">
        <is>
          <t>om3</t>
        </is>
      </c>
      <c r="E449" s="2" t="inlineStr">
        <is>
          <t>2.0mm</t>
        </is>
      </c>
      <c r="F449" s="2" t="n">
        <v>2</v>
      </c>
      <c r="G449" s="2" t="n">
        <v>10</v>
      </c>
      <c r="H449" s="2" t="inlineStr">
        <is>
          <t>LC/PC</t>
        </is>
      </c>
      <c r="I449" s="2" t="inlineStr">
        <is>
          <t>LC/PC</t>
        </is>
      </c>
      <c r="J449" s="2" t="n"/>
      <c r="K449" s="2" t="n"/>
      <c r="L449" s="2" t="n"/>
      <c r="M449" s="2" t="n"/>
      <c r="N449" s="2" t="n"/>
      <c r="O449" s="2" t="n"/>
      <c r="P449" s="2" t="n"/>
      <c r="Q449" s="2" t="n">
        <v>17</v>
      </c>
      <c r="R449" s="2" t="n"/>
      <c r="S449" s="2" t="n"/>
      <c r="T449" s="2" t="n"/>
      <c r="U449" s="2" t="n"/>
      <c r="V449" s="2">
        <f>SUM(J449:U449)</f>
        <v/>
      </c>
      <c r="W449" s="2" t="n"/>
      <c r="X449" s="2" t="n">
        <v>34</v>
      </c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>
        <v>34</v>
      </c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>
        <f>IF(F449=1,V449*2,IF(F449=2,V449*F449*2,IF(F449&gt;2,F449*2*V449)))</f>
        <v/>
      </c>
      <c r="AW449" s="2">
        <f>SUM(W449:AU449)</f>
        <v/>
      </c>
    </row>
    <row r="450">
      <c r="A450" s="2" t="inlineStr">
        <is>
          <t>14-K-B398</t>
        </is>
      </c>
      <c r="B450" s="3" t="inlineStr">
        <is>
          <t>OJC-A1-LC/LC-MM(OM3)-11-PC/PC-DP</t>
        </is>
      </c>
      <c r="C450" s="2" t="inlineStr">
        <is>
          <t>CLIP Type</t>
        </is>
      </c>
      <c r="D450" s="2" t="inlineStr">
        <is>
          <t>om3</t>
        </is>
      </c>
      <c r="E450" s="2" t="inlineStr">
        <is>
          <t>2.0mm</t>
        </is>
      </c>
      <c r="F450" s="2" t="n">
        <v>2</v>
      </c>
      <c r="G450" s="2" t="n">
        <v>11</v>
      </c>
      <c r="H450" s="2" t="inlineStr">
        <is>
          <t>LC/PC</t>
        </is>
      </c>
      <c r="I450" s="2" t="inlineStr">
        <is>
          <t>LC/PC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>
        <v>31</v>
      </c>
      <c r="R450" s="2" t="n"/>
      <c r="S450" s="2" t="n"/>
      <c r="T450" s="2" t="n"/>
      <c r="U450" s="2" t="n"/>
      <c r="V450" s="2">
        <f>SUM(J450:U450)</f>
        <v/>
      </c>
      <c r="W450" s="2" t="n"/>
      <c r="X450" s="2" t="n">
        <v>62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>
        <v>62</v>
      </c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>
        <f>IF(F450=1,V450*2,IF(F450=2,V450*F450*2,IF(F450&gt;2,F450*2*V450)))</f>
        <v/>
      </c>
      <c r="AW450" s="2">
        <f>SUM(W450:AU450)</f>
        <v/>
      </c>
    </row>
    <row r="451">
      <c r="A451" s="2" t="inlineStr">
        <is>
          <t>14-K-B399</t>
        </is>
      </c>
      <c r="B451" s="3" t="inlineStr">
        <is>
          <t>OJC-A1-LC/LC-MM(OM3)-12-PC/PC-DP</t>
        </is>
      </c>
      <c r="C451" s="2" t="inlineStr">
        <is>
          <t>CLIP Type</t>
        </is>
      </c>
      <c r="D451" s="2" t="inlineStr">
        <is>
          <t>om3</t>
        </is>
      </c>
      <c r="E451" s="2" t="inlineStr">
        <is>
          <t>2.0mm</t>
        </is>
      </c>
      <c r="F451" s="2" t="n">
        <v>2</v>
      </c>
      <c r="G451" s="2" t="n">
        <v>12</v>
      </c>
      <c r="H451" s="2" t="inlineStr">
        <is>
          <t>LC/PC</t>
        </is>
      </c>
      <c r="I451" s="2" t="inlineStr">
        <is>
          <t>LC/PC</t>
        </is>
      </c>
      <c r="J451" s="2" t="n"/>
      <c r="K451" s="2" t="n"/>
      <c r="L451" s="2" t="n"/>
      <c r="M451" s="2" t="n"/>
      <c r="N451" s="2" t="n"/>
      <c r="O451" s="2" t="n"/>
      <c r="P451" s="2" t="n"/>
      <c r="Q451" s="2" t="n">
        <v>31</v>
      </c>
      <c r="R451" s="2" t="n"/>
      <c r="S451" s="2" t="n"/>
      <c r="T451" s="2" t="n"/>
      <c r="U451" s="2" t="n"/>
      <c r="V451" s="2">
        <f>SUM(J451:U451)</f>
        <v/>
      </c>
      <c r="W451" s="2" t="n"/>
      <c r="X451" s="2" t="n">
        <v>62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>
        <v>62</v>
      </c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>
        <f>IF(F451=1,V451*2,IF(F451=2,V451*F451*2,IF(F451&gt;2,F451*2*V451)))</f>
        <v/>
      </c>
      <c r="AW451" s="2">
        <f>SUM(W451:AU451)</f>
        <v/>
      </c>
    </row>
    <row r="452">
      <c r="A452" s="2" t="inlineStr">
        <is>
          <t>14-K-B400</t>
        </is>
      </c>
      <c r="B452" s="3" t="inlineStr">
        <is>
          <t>OJC-A1-LC/LC-MM(OM3)-13-PC/PC-DP</t>
        </is>
      </c>
      <c r="C452" s="2" t="inlineStr">
        <is>
          <t>CLIP Type</t>
        </is>
      </c>
      <c r="D452" s="2" t="inlineStr">
        <is>
          <t>om3</t>
        </is>
      </c>
      <c r="E452" s="2" t="inlineStr">
        <is>
          <t>2.0mm</t>
        </is>
      </c>
      <c r="F452" s="2" t="n">
        <v>2</v>
      </c>
      <c r="G452" s="2" t="n">
        <v>13</v>
      </c>
      <c r="H452" s="2" t="inlineStr">
        <is>
          <t>LC/PC</t>
        </is>
      </c>
      <c r="I452" s="2" t="inlineStr">
        <is>
          <t>LC/PC</t>
        </is>
      </c>
      <c r="J452" s="2" t="n"/>
      <c r="K452" s="2" t="n"/>
      <c r="L452" s="2" t="n"/>
      <c r="M452" s="2" t="n"/>
      <c r="N452" s="2" t="n"/>
      <c r="O452" s="2" t="n"/>
      <c r="P452" s="2" t="n"/>
      <c r="Q452" s="2" t="n">
        <v>39</v>
      </c>
      <c r="R452" s="2" t="n"/>
      <c r="S452" s="2" t="n"/>
      <c r="T452" s="2" t="n"/>
      <c r="U452" s="2" t="n"/>
      <c r="V452" s="2">
        <f>SUM(J452:U452)</f>
        <v/>
      </c>
      <c r="W452" s="2" t="n"/>
      <c r="X452" s="2" t="n">
        <v>78</v>
      </c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>
        <v>78</v>
      </c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>
        <f>IF(F452=1,V452*2,IF(F452=2,V452*F452*2,IF(F452&gt;2,F452*2*V452)))</f>
        <v/>
      </c>
      <c r="AW452" s="2">
        <f>SUM(W452:AU452)</f>
        <v/>
      </c>
    </row>
    <row r="453">
      <c r="A453" s="2" t="inlineStr">
        <is>
          <t>14-K-B401</t>
        </is>
      </c>
      <c r="B453" s="3" t="inlineStr">
        <is>
          <t>OJC-A1-LC/LC-MM(OM3)-14-PC/PC-DP</t>
        </is>
      </c>
      <c r="C453" s="2" t="inlineStr">
        <is>
          <t>CLIP Type</t>
        </is>
      </c>
      <c r="D453" s="2" t="inlineStr">
        <is>
          <t>om3</t>
        </is>
      </c>
      <c r="E453" s="2" t="inlineStr">
        <is>
          <t>2.0mm</t>
        </is>
      </c>
      <c r="F453" s="2" t="n">
        <v>2</v>
      </c>
      <c r="G453" s="2" t="n">
        <v>14</v>
      </c>
      <c r="H453" s="2" t="inlineStr">
        <is>
          <t>LC/PC</t>
        </is>
      </c>
      <c r="I453" s="2" t="inlineStr">
        <is>
          <t>LC/PC</t>
        </is>
      </c>
      <c r="J453" s="2" t="n"/>
      <c r="K453" s="2" t="n"/>
      <c r="L453" s="2" t="n"/>
      <c r="M453" s="2" t="n"/>
      <c r="N453" s="2" t="n"/>
      <c r="O453" s="2" t="n"/>
      <c r="P453" s="2" t="n"/>
      <c r="Q453" s="2" t="n">
        <v>77</v>
      </c>
      <c r="R453" s="2" t="n"/>
      <c r="S453" s="2" t="n"/>
      <c r="T453" s="2" t="n"/>
      <c r="U453" s="2" t="n"/>
      <c r="V453" s="2">
        <f>SUM(J453:U453)</f>
        <v/>
      </c>
      <c r="W453" s="2" t="n"/>
      <c r="X453" s="2" t="n">
        <v>154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>
        <v>154</v>
      </c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>
        <f>IF(F453=1,V453*2,IF(F453=2,V453*F453*2,IF(F453&gt;2,F453*2*V453)))</f>
        <v/>
      </c>
      <c r="AW453" s="2">
        <f>SUM(W453:AU453)</f>
        <v/>
      </c>
    </row>
    <row r="454">
      <c r="A454" s="2" t="inlineStr">
        <is>
          <t>14-K-B402</t>
        </is>
      </c>
      <c r="B454" s="3" t="inlineStr">
        <is>
          <t>OJC-A1-LC/LC-MM(OM3)-15-PC/PC-DP</t>
        </is>
      </c>
      <c r="C454" s="2" t="inlineStr">
        <is>
          <t>CLIP Type</t>
        </is>
      </c>
      <c r="D454" s="2" t="inlineStr">
        <is>
          <t>om3</t>
        </is>
      </c>
      <c r="E454" s="2" t="inlineStr">
        <is>
          <t>2.0mm</t>
        </is>
      </c>
      <c r="F454" s="2" t="n">
        <v>2</v>
      </c>
      <c r="G454" s="2" t="n">
        <v>15</v>
      </c>
      <c r="H454" s="2" t="inlineStr">
        <is>
          <t>LC/PC</t>
        </is>
      </c>
      <c r="I454" s="2" t="inlineStr">
        <is>
          <t>LC/PC</t>
        </is>
      </c>
      <c r="J454" s="2" t="n"/>
      <c r="K454" s="2" t="n"/>
      <c r="L454" s="2" t="n"/>
      <c r="M454" s="2" t="n"/>
      <c r="N454" s="2" t="n"/>
      <c r="O454" s="2" t="n"/>
      <c r="P454" s="2" t="n"/>
      <c r="Q454" s="2" t="n">
        <v>115</v>
      </c>
      <c r="R454" s="2" t="n"/>
      <c r="S454" s="2" t="n"/>
      <c r="T454" s="2" t="n"/>
      <c r="U454" s="2" t="n"/>
      <c r="V454" s="2">
        <f>SUM(J454:U454)</f>
        <v/>
      </c>
      <c r="W454" s="2" t="n"/>
      <c r="X454" s="2" t="n">
        <v>230</v>
      </c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>
        <v>230</v>
      </c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>
        <f>IF(F454=1,V454*2,IF(F454=2,V454*F454*2,IF(F454&gt;2,F454*2*V454)))</f>
        <v/>
      </c>
      <c r="AW454" s="2">
        <f>SUM(W454:AU454)</f>
        <v/>
      </c>
    </row>
    <row r="455">
      <c r="A455" s="2" t="inlineStr">
        <is>
          <t>14-K-B403</t>
        </is>
      </c>
      <c r="B455" s="3" t="inlineStr">
        <is>
          <t>OJC-A1-LC/LC-MM(OM3)-16-PC/PC-DP</t>
        </is>
      </c>
      <c r="C455" s="2" t="inlineStr">
        <is>
          <t>CLIP Type</t>
        </is>
      </c>
      <c r="D455" s="2" t="inlineStr">
        <is>
          <t>om3</t>
        </is>
      </c>
      <c r="E455" s="2" t="inlineStr">
        <is>
          <t>2.0mm</t>
        </is>
      </c>
      <c r="F455" s="2" t="n">
        <v>2</v>
      </c>
      <c r="G455" s="2" t="n">
        <v>16</v>
      </c>
      <c r="H455" s="2" t="inlineStr">
        <is>
          <t>LC/PC</t>
        </is>
      </c>
      <c r="I455" s="2" t="inlineStr">
        <is>
          <t>LC/PC</t>
        </is>
      </c>
      <c r="J455" s="2" t="n"/>
      <c r="K455" s="2" t="n"/>
      <c r="L455" s="2" t="n"/>
      <c r="M455" s="2" t="n"/>
      <c r="N455" s="2" t="n"/>
      <c r="O455" s="2" t="n"/>
      <c r="P455" s="2" t="n"/>
      <c r="Q455" s="2" t="n">
        <v>100</v>
      </c>
      <c r="R455" s="2" t="n"/>
      <c r="S455" s="2" t="n"/>
      <c r="T455" s="2" t="n"/>
      <c r="U455" s="2" t="n"/>
      <c r="V455" s="2">
        <f>SUM(J455:U455)</f>
        <v/>
      </c>
      <c r="W455" s="2" t="n"/>
      <c r="X455" s="2" t="n">
        <v>200</v>
      </c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>
        <v>200</v>
      </c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>
        <f>IF(F455=1,V455*2,IF(F455=2,V455*F455*2,IF(F455&gt;2,F455*2*V455)))</f>
        <v/>
      </c>
      <c r="AW455" s="2">
        <f>SUM(W455:AU455)</f>
        <v/>
      </c>
    </row>
    <row r="456">
      <c r="A456" s="2" t="inlineStr">
        <is>
          <t>14-K-B404</t>
        </is>
      </c>
      <c r="B456" s="3" t="inlineStr">
        <is>
          <t>OJC-A1-LC/LC-MM(OM3)-17-PC/PC-DP</t>
        </is>
      </c>
      <c r="C456" s="2" t="inlineStr">
        <is>
          <t>CLIP Type</t>
        </is>
      </c>
      <c r="D456" s="2" t="inlineStr">
        <is>
          <t>om3</t>
        </is>
      </c>
      <c r="E456" s="2" t="inlineStr">
        <is>
          <t>2.0mm</t>
        </is>
      </c>
      <c r="F456" s="2" t="n">
        <v>2</v>
      </c>
      <c r="G456" s="2" t="n">
        <v>17</v>
      </c>
      <c r="H456" s="2" t="inlineStr">
        <is>
          <t>LC/PC</t>
        </is>
      </c>
      <c r="I456" s="2" t="inlineStr">
        <is>
          <t>LC/PC</t>
        </is>
      </c>
      <c r="J456" s="2" t="n"/>
      <c r="K456" s="2" t="n"/>
      <c r="L456" s="2" t="n"/>
      <c r="M456" s="2" t="n"/>
      <c r="N456" s="2" t="n"/>
      <c r="O456" s="2" t="n"/>
      <c r="P456" s="2" t="n"/>
      <c r="Q456" s="2" t="n">
        <v>74</v>
      </c>
      <c r="R456" s="2" t="n">
        <v>12</v>
      </c>
      <c r="S456" s="2" t="n"/>
      <c r="T456" s="2" t="n"/>
      <c r="U456" s="2" t="n"/>
      <c r="V456" s="2">
        <f>SUM(J456:U456)</f>
        <v/>
      </c>
      <c r="W456" s="2" t="n"/>
      <c r="X456" s="2" t="n">
        <v>172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>
        <v>172</v>
      </c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>
        <f>IF(F456=1,V456*2,IF(F456=2,V456*F456*2,IF(F456&gt;2,F456*2*V456)))</f>
        <v/>
      </c>
      <c r="AW456" s="2">
        <f>SUM(W456:AU456)</f>
        <v/>
      </c>
    </row>
    <row r="457">
      <c r="A457" s="2" t="inlineStr">
        <is>
          <t>14-K-B405</t>
        </is>
      </c>
      <c r="B457" s="3" t="inlineStr">
        <is>
          <t>OJC-A1-LC/LC-MM(OM3)-25-PC/PC-DP</t>
        </is>
      </c>
      <c r="C457" s="2" t="inlineStr">
        <is>
          <t>CLIP Type</t>
        </is>
      </c>
      <c r="D457" s="2" t="inlineStr">
        <is>
          <t>om3</t>
        </is>
      </c>
      <c r="E457" s="2" t="inlineStr">
        <is>
          <t>2.0mm</t>
        </is>
      </c>
      <c r="F457" s="2" t="n">
        <v>2</v>
      </c>
      <c r="G457" s="2" t="n">
        <v>25</v>
      </c>
      <c r="H457" s="2" t="inlineStr">
        <is>
          <t>LC/PC</t>
        </is>
      </c>
      <c r="I457" s="2" t="inlineStr">
        <is>
          <t>LC/PC</t>
        </is>
      </c>
      <c r="J457" s="2" t="n"/>
      <c r="K457" s="2" t="n"/>
      <c r="L457" s="2" t="n"/>
      <c r="M457" s="2" t="n"/>
      <c r="N457" s="2" t="n"/>
      <c r="O457" s="2" t="n"/>
      <c r="P457" s="2" t="n"/>
      <c r="Q457" s="2" t="n">
        <v>22</v>
      </c>
      <c r="R457" s="2" t="n"/>
      <c r="S457" s="2" t="n"/>
      <c r="T457" s="2" t="n"/>
      <c r="U457" s="2" t="n"/>
      <c r="V457" s="2">
        <f>SUM(J457:U457)</f>
        <v/>
      </c>
      <c r="W457" s="2" t="n"/>
      <c r="X457" s="2" t="n">
        <v>44</v>
      </c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>
        <v>44</v>
      </c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>
        <f>IF(F457=1,V457*2,IF(F457=2,V457*F457*2,IF(F457&gt;2,F457*2*V457)))</f>
        <v/>
      </c>
      <c r="AW457" s="2">
        <f>SUM(W457:AU457)</f>
        <v/>
      </c>
    </row>
    <row r="458">
      <c r="A458" s="2" t="inlineStr">
        <is>
          <t>14-K-B406</t>
        </is>
      </c>
      <c r="B458" s="3" t="inlineStr">
        <is>
          <t>OJC-A1-LC/LC-MM(OM3)-26-PC/PC-DP</t>
        </is>
      </c>
      <c r="C458" s="2" t="inlineStr">
        <is>
          <t>CLIP Type</t>
        </is>
      </c>
      <c r="D458" s="2" t="inlineStr">
        <is>
          <t>om3</t>
        </is>
      </c>
      <c r="E458" s="2" t="inlineStr">
        <is>
          <t>2.0mm</t>
        </is>
      </c>
      <c r="F458" s="2" t="n">
        <v>2</v>
      </c>
      <c r="G458" s="2" t="n">
        <v>26</v>
      </c>
      <c r="H458" s="2" t="inlineStr">
        <is>
          <t>LC/PC</t>
        </is>
      </c>
      <c r="I458" s="2" t="inlineStr">
        <is>
          <t>LC/PC</t>
        </is>
      </c>
      <c r="J458" s="2" t="n"/>
      <c r="K458" s="2" t="n"/>
      <c r="L458" s="2" t="n"/>
      <c r="M458" s="2" t="n"/>
      <c r="N458" s="2" t="n"/>
      <c r="O458" s="2" t="n"/>
      <c r="P458" s="2" t="n"/>
      <c r="Q458" s="2" t="n">
        <v>22</v>
      </c>
      <c r="R458" s="2" t="n"/>
      <c r="S458" s="2" t="n"/>
      <c r="T458" s="2" t="n"/>
      <c r="U458" s="2" t="n"/>
      <c r="V458" s="2">
        <f>SUM(J458:U458)</f>
        <v/>
      </c>
      <c r="W458" s="2" t="n"/>
      <c r="X458" s="2" t="n">
        <v>44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>
        <v>44</v>
      </c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>
        <f>IF(F458=1,V458*2,IF(F458=2,V458*F458*2,IF(F458&gt;2,F458*2*V458)))</f>
        <v/>
      </c>
      <c r="AW458" s="2">
        <f>SUM(W458:AU458)</f>
        <v/>
      </c>
    </row>
    <row r="459">
      <c r="A459" s="2" t="inlineStr">
        <is>
          <t>14-K-B407</t>
        </is>
      </c>
      <c r="B459" s="3" t="inlineStr">
        <is>
          <t>OJC-A1-LC/LC-MM(OM3)-27-PC/PC-DP</t>
        </is>
      </c>
      <c r="C459" s="2" t="inlineStr">
        <is>
          <t>CLIP Type</t>
        </is>
      </c>
      <c r="D459" s="2" t="inlineStr">
        <is>
          <t>om3</t>
        </is>
      </c>
      <c r="E459" s="2" t="inlineStr">
        <is>
          <t>2.0mm</t>
        </is>
      </c>
      <c r="F459" s="2" t="n">
        <v>2</v>
      </c>
      <c r="G459" s="2" t="n">
        <v>27</v>
      </c>
      <c r="H459" s="2" t="inlineStr">
        <is>
          <t>LC/PC</t>
        </is>
      </c>
      <c r="I459" s="2" t="inlineStr">
        <is>
          <t>LC/PC</t>
        </is>
      </c>
      <c r="J459" s="2" t="n"/>
      <c r="K459" s="2" t="n"/>
      <c r="L459" s="2" t="n"/>
      <c r="M459" s="2" t="n"/>
      <c r="N459" s="2" t="n"/>
      <c r="O459" s="2" t="n"/>
      <c r="P459" s="2" t="n"/>
      <c r="Q459" s="2" t="n">
        <v>22</v>
      </c>
      <c r="R459" s="2" t="n"/>
      <c r="S459" s="2" t="n"/>
      <c r="T459" s="2" t="n"/>
      <c r="U459" s="2" t="n"/>
      <c r="V459" s="2">
        <f>SUM(J459:U459)</f>
        <v/>
      </c>
      <c r="W459" s="2" t="n"/>
      <c r="X459" s="2" t="n">
        <v>44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>
        <v>44</v>
      </c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>
        <f>IF(F459=1,V459*2,IF(F459=2,V459*F459*2,IF(F459&gt;2,F459*2*V459)))</f>
        <v/>
      </c>
      <c r="AW459" s="2">
        <f>SUM(W459:AU459)</f>
        <v/>
      </c>
    </row>
    <row r="460">
      <c r="A460" s="2" t="inlineStr">
        <is>
          <t>14-K-B408</t>
        </is>
      </c>
      <c r="B460" s="3" t="inlineStr">
        <is>
          <t>OJC-A1-LC/LC-MM(OM3)-28-PC/PC-DP</t>
        </is>
      </c>
      <c r="C460" s="2" t="inlineStr">
        <is>
          <t>CLIP Type</t>
        </is>
      </c>
      <c r="D460" s="2" t="inlineStr">
        <is>
          <t>om3</t>
        </is>
      </c>
      <c r="E460" s="2" t="inlineStr">
        <is>
          <t>2.0mm</t>
        </is>
      </c>
      <c r="F460" s="2" t="n">
        <v>2</v>
      </c>
      <c r="G460" s="2" t="n">
        <v>28</v>
      </c>
      <c r="H460" s="2" t="inlineStr">
        <is>
          <t>LC/PC</t>
        </is>
      </c>
      <c r="I460" s="2" t="inlineStr">
        <is>
          <t>LC/PC</t>
        </is>
      </c>
      <c r="J460" s="2" t="n"/>
      <c r="K460" s="2" t="n"/>
      <c r="L460" s="2" t="n"/>
      <c r="M460" s="2" t="n"/>
      <c r="N460" s="2" t="n"/>
      <c r="O460" s="2" t="n"/>
      <c r="P460" s="2" t="n"/>
      <c r="Q460" s="2" t="n">
        <v>22</v>
      </c>
      <c r="R460" s="2" t="n"/>
      <c r="S460" s="2" t="n"/>
      <c r="T460" s="2" t="n"/>
      <c r="U460" s="2" t="n"/>
      <c r="V460" s="2">
        <f>SUM(J460:U460)</f>
        <v/>
      </c>
      <c r="W460" s="2" t="n"/>
      <c r="X460" s="2" t="n">
        <v>44</v>
      </c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>
        <v>44</v>
      </c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>
        <f>IF(F460=1,V460*2,IF(F460=2,V460*F460*2,IF(F460&gt;2,F460*2*V460)))</f>
        <v/>
      </c>
      <c r="AW460" s="2">
        <f>SUM(W460:AU460)</f>
        <v/>
      </c>
    </row>
    <row r="461">
      <c r="A461" s="2" t="inlineStr">
        <is>
          <t>14-K-B409</t>
        </is>
      </c>
      <c r="B461" s="3" t="inlineStr">
        <is>
          <t>OJC-A1-ST/LC-MM-15-PC/PC-DP</t>
        </is>
      </c>
      <c r="C461" s="2" t="inlineStr"/>
      <c r="D461" s="2" t="inlineStr">
        <is>
          <t>om1</t>
        </is>
      </c>
      <c r="E461" s="2" t="inlineStr">
        <is>
          <t>2.0mm</t>
        </is>
      </c>
      <c r="F461" s="2" t="n">
        <v>2</v>
      </c>
      <c r="G461" s="2" t="n">
        <v>15</v>
      </c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>
        <v>28</v>
      </c>
      <c r="R461" s="2" t="n"/>
      <c r="S461" s="2" t="n"/>
      <c r="T461" s="2" t="n"/>
      <c r="U461" s="2" t="n"/>
      <c r="V461" s="2">
        <f>SUM(J461:U461)</f>
        <v/>
      </c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>
        <f>IF(F461=1,V461*2,IF(F461=2,V461*F461*2,IF(F461&gt;2,F461*2*V461)))</f>
        <v/>
      </c>
      <c r="AW461" s="2">
        <f>SUM(W461:AU461)</f>
        <v/>
      </c>
    </row>
    <row r="462">
      <c r="A462" s="2" t="inlineStr">
        <is>
          <t>14-K-B414</t>
        </is>
      </c>
      <c r="B462" s="3" t="inlineStr">
        <is>
          <t>OJC-A1-SC/LC-MM-12-PC/PC-DP</t>
        </is>
      </c>
      <c r="C462" s="2" t="inlineStr"/>
      <c r="D462" s="2" t="inlineStr">
        <is>
          <t>om1</t>
        </is>
      </c>
      <c r="E462" s="2" t="inlineStr">
        <is>
          <t>2.0mm</t>
        </is>
      </c>
      <c r="F462" s="2" t="n">
        <v>2</v>
      </c>
      <c r="G462" s="2" t="n">
        <v>12</v>
      </c>
      <c r="H462" s="2" t="inlineStr">
        <is>
          <t>SC/PC</t>
        </is>
      </c>
      <c r="I462" s="2" t="inlineStr">
        <is>
          <t>LC/PC</t>
        </is>
      </c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>
        <v>1</v>
      </c>
      <c r="T462" s="2" t="n"/>
      <c r="U462" s="2" t="n"/>
      <c r="V462" s="2">
        <f>SUM(J462:U462)</f>
        <v/>
      </c>
      <c r="W462" s="2" t="n"/>
      <c r="X462" s="2" t="n">
        <v>2</v>
      </c>
      <c r="Y462" s="2" t="n"/>
      <c r="Z462" s="2" t="n"/>
      <c r="AA462" s="2" t="n">
        <v>2</v>
      </c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>
        <f>IF(F462=1,V462*2,IF(F462=2,V462*F462*2,IF(F462&gt;2,F462*2*V462)))</f>
        <v/>
      </c>
      <c r="AW462" s="2">
        <f>SUM(W462:AU462)</f>
        <v/>
      </c>
    </row>
    <row r="463">
      <c r="A463" s="2" t="inlineStr">
        <is>
          <t>14-K-B415</t>
        </is>
      </c>
      <c r="B463" s="3" t="inlineStr">
        <is>
          <t>OJC-A1-LC/LC-SM-35-PC/PC-DP</t>
        </is>
      </c>
      <c r="C463" s="2" t="inlineStr">
        <is>
          <t>LC/DP CLIP Type</t>
        </is>
      </c>
      <c r="D463" s="2" t="inlineStr">
        <is>
          <t>a1</t>
        </is>
      </c>
      <c r="E463" s="2" t="inlineStr">
        <is>
          <t>2.0mm</t>
        </is>
      </c>
      <c r="F463" s="2" t="n">
        <v>2</v>
      </c>
      <c r="G463" s="2" t="n">
        <v>35</v>
      </c>
      <c r="H463" s="2" t="inlineStr">
        <is>
          <t>LC/PC</t>
        </is>
      </c>
      <c r="I463" s="2" t="inlineStr">
        <is>
          <t>LC/PC</t>
        </is>
      </c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>
        <v>30</v>
      </c>
      <c r="T463" s="2" t="n"/>
      <c r="U463" s="2" t="n"/>
      <c r="V463" s="2">
        <f>SUM(J463:U463)</f>
        <v/>
      </c>
      <c r="W463" s="2" t="n">
        <v>60</v>
      </c>
      <c r="X463" s="2" t="n">
        <v>60</v>
      </c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>
        <f>IF(F463=1,V463*2,IF(F463=2,V463*F463*2,IF(F463&gt;2,F463*2*V463)))</f>
        <v/>
      </c>
      <c r="AW463" s="2">
        <f>SUM(W463:AU463)</f>
        <v/>
      </c>
    </row>
    <row r="464">
      <c r="A464" s="2" t="inlineStr">
        <is>
          <t>14-K-B416</t>
        </is>
      </c>
      <c r="B464" s="3" t="inlineStr">
        <is>
          <t>OJC-A1-LC/LC-SM-40-PC/PC-DP</t>
        </is>
      </c>
      <c r="C464" s="2" t="inlineStr">
        <is>
          <t>LC/DP CLIP Type</t>
        </is>
      </c>
      <c r="D464" s="2" t="inlineStr">
        <is>
          <t>a1</t>
        </is>
      </c>
      <c r="E464" s="2" t="inlineStr">
        <is>
          <t>2.0mm</t>
        </is>
      </c>
      <c r="F464" s="2" t="n">
        <v>2</v>
      </c>
      <c r="G464" s="2" t="n">
        <v>40</v>
      </c>
      <c r="H464" s="2" t="inlineStr">
        <is>
          <t>LC/PC</t>
        </is>
      </c>
      <c r="I464" s="2" t="inlineStr">
        <is>
          <t>LC/PC</t>
        </is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>
        <v>20</v>
      </c>
      <c r="T464" s="2" t="n"/>
      <c r="U464" s="2" t="n"/>
      <c r="V464" s="2">
        <f>SUM(J464:U464)</f>
        <v/>
      </c>
      <c r="W464" s="2" t="n">
        <v>40</v>
      </c>
      <c r="X464" s="2" t="n">
        <v>40</v>
      </c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>
        <f>IF(F464=1,V464*2,IF(F464=2,V464*F464*2,IF(F464&gt;2,F464*2*V464)))</f>
        <v/>
      </c>
      <c r="AW464" s="2">
        <f>SUM(W464:AU464)</f>
        <v/>
      </c>
    </row>
    <row r="465">
      <c r="A465" s="2" t="inlineStr">
        <is>
          <t>14-K-B417</t>
        </is>
      </c>
      <c r="B465" s="3" t="inlineStr">
        <is>
          <t>OJC-A1-LC/LC-MM(OM3)-160-PC/PC-DP</t>
        </is>
      </c>
      <c r="C465" s="2" t="inlineStr"/>
      <c r="D465" s="2" t="inlineStr">
        <is>
          <t>om3</t>
        </is>
      </c>
      <c r="E465" s="2" t="inlineStr">
        <is>
          <t>2.0mm</t>
        </is>
      </c>
      <c r="F465" s="2" t="n">
        <v>2</v>
      </c>
      <c r="G465" s="2" t="n">
        <v>160</v>
      </c>
      <c r="H465" s="2" t="inlineStr">
        <is>
          <t>LC/PC</t>
        </is>
      </c>
      <c r="I465" s="2" t="inlineStr">
        <is>
          <t>LC/PC</t>
        </is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>
        <v>1</v>
      </c>
      <c r="U465" s="2" t="n"/>
      <c r="V465" s="2">
        <f>SUM(J465:U465)</f>
        <v/>
      </c>
      <c r="W465" s="2" t="n"/>
      <c r="X465" s="2" t="n">
        <v>2</v>
      </c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>
        <v>2</v>
      </c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>
        <f>IF(F465=1,V465*2,IF(F465=2,V465*F465*2,IF(F465&gt;2,F465*2*V465)))</f>
        <v/>
      </c>
      <c r="AW465" s="2">
        <f>SUM(W465:AU465)</f>
        <v/>
      </c>
    </row>
    <row r="466">
      <c r="A466" s="2" t="inlineStr">
        <is>
          <t>14-K-B418</t>
        </is>
      </c>
      <c r="B466" s="3" t="inlineStr">
        <is>
          <t>OJC-A1-SC/LC-SM-45-PC/PC-DP</t>
        </is>
      </c>
      <c r="C466" s="2" t="inlineStr">
        <is>
          <t>K9089169_적색</t>
        </is>
      </c>
      <c r="D466" s="2" t="inlineStr">
        <is>
          <t>a1-적</t>
        </is>
      </c>
      <c r="E466" s="2" t="inlineStr">
        <is>
          <t>2.0mm</t>
        </is>
      </c>
      <c r="F466" s="2" t="n">
        <v>2</v>
      </c>
      <c r="G466" s="2" t="n">
        <v>45</v>
      </c>
      <c r="H466" s="2" t="inlineStr">
        <is>
          <t>SC/PC</t>
        </is>
      </c>
      <c r="I466" s="2" t="inlineStr">
        <is>
          <t>LC/PC</t>
        </is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>
        <v>5</v>
      </c>
      <c r="U466" s="2" t="n"/>
      <c r="V466" s="2">
        <f>SUM(J466:U466)</f>
        <v/>
      </c>
      <c r="W466" s="2" t="n"/>
      <c r="X466" s="2" t="n">
        <v>10</v>
      </c>
      <c r="Y466" s="2" t="n"/>
      <c r="Z466" s="2" t="n"/>
      <c r="AA466" s="2" t="n">
        <v>10</v>
      </c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>
        <f>IF(F466=1,V466*2,IF(F466=2,V466*F466*2,IF(F466&gt;2,F466*2*V466)))</f>
        <v/>
      </c>
      <c r="AW466" s="2">
        <f>SUM(W466:AU466)</f>
        <v/>
      </c>
    </row>
    <row r="467">
      <c r="A467" s="2" t="inlineStr">
        <is>
          <t>14-K-B419</t>
        </is>
      </c>
      <c r="B467" s="3" t="inlineStr">
        <is>
          <t>OJC-A1-SC/LC-SM-31-PC/PC-SP</t>
        </is>
      </c>
      <c r="C467" s="2" t="inlineStr"/>
      <c r="D467" s="2" t="inlineStr">
        <is>
          <t>a1</t>
        </is>
      </c>
      <c r="E467" s="2" t="inlineStr">
        <is>
          <t>2.0mm</t>
        </is>
      </c>
      <c r="F467" s="2" t="n">
        <v>1</v>
      </c>
      <c r="G467" s="2" t="n">
        <v>31</v>
      </c>
      <c r="H467" s="2" t="inlineStr">
        <is>
          <t>SC/PC</t>
        </is>
      </c>
      <c r="I467" s="2" t="inlineStr">
        <is>
          <t>LC/PC</t>
        </is>
      </c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>
        <v>5</v>
      </c>
      <c r="V467" s="2">
        <f>SUM(J467:U467)</f>
        <v/>
      </c>
      <c r="W467" s="2" t="n">
        <v>5</v>
      </c>
      <c r="X467" s="2" t="n"/>
      <c r="Y467" s="2" t="n"/>
      <c r="Z467" s="2" t="n"/>
      <c r="AA467" s="2" t="n">
        <v>5</v>
      </c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>
        <f>IF(F467=1,V467*2,IF(F467=2,V467*F467*2,IF(F467&gt;2,F467*2*V467)))</f>
        <v/>
      </c>
      <c r="AW467" s="2">
        <f>SUM(W467:AU467)</f>
        <v/>
      </c>
    </row>
    <row r="468">
      <c r="A468" s="2" t="inlineStr">
        <is>
          <t>14-K-B420</t>
        </is>
      </c>
      <c r="B468" s="3" t="inlineStr">
        <is>
          <t>OJC-A1-SC/LC-SM-33-PC/PC-SP</t>
        </is>
      </c>
      <c r="C468" s="2" t="inlineStr"/>
      <c r="D468" s="2" t="inlineStr">
        <is>
          <t>a1</t>
        </is>
      </c>
      <c r="E468" s="2" t="inlineStr">
        <is>
          <t>2.0mm</t>
        </is>
      </c>
      <c r="F468" s="2" t="n">
        <v>1</v>
      </c>
      <c r="G468" s="2" t="n">
        <v>33</v>
      </c>
      <c r="H468" s="2" t="inlineStr">
        <is>
          <t>SC/PC</t>
        </is>
      </c>
      <c r="I468" s="2" t="inlineStr">
        <is>
          <t>LC/PC</t>
        </is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>
        <v>5</v>
      </c>
      <c r="V468" s="2">
        <f>SUM(J468:U468)</f>
        <v/>
      </c>
      <c r="W468" s="2" t="n">
        <v>5</v>
      </c>
      <c r="X468" s="2" t="n"/>
      <c r="Y468" s="2" t="n"/>
      <c r="Z468" s="2" t="n"/>
      <c r="AA468" s="2" t="n">
        <v>5</v>
      </c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>
        <f>IF(F468=1,V468*2,IF(F468=2,V468*F468*2,IF(F468&gt;2,F468*2*V468)))</f>
        <v/>
      </c>
      <c r="AW468" s="2">
        <f>SUM(W468:AU468)</f>
        <v/>
      </c>
    </row>
    <row r="469">
      <c r="A469" s="2" t="inlineStr">
        <is>
          <t>14-K-B421</t>
        </is>
      </c>
      <c r="B469" s="3" t="inlineStr">
        <is>
          <t>OJC-A1-SC/LC-SM-34-PC/PC-SP</t>
        </is>
      </c>
      <c r="C469" s="2" t="inlineStr"/>
      <c r="D469" s="2" t="inlineStr">
        <is>
          <t>a1</t>
        </is>
      </c>
      <c r="E469" s="2" t="inlineStr">
        <is>
          <t>2.0mm</t>
        </is>
      </c>
      <c r="F469" s="2" t="n">
        <v>1</v>
      </c>
      <c r="G469" s="2" t="n">
        <v>34</v>
      </c>
      <c r="H469" s="2" t="inlineStr">
        <is>
          <t>SC/PC</t>
        </is>
      </c>
      <c r="I469" s="2" t="inlineStr">
        <is>
          <t>LC/PC</t>
        </is>
      </c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>
        <v>5</v>
      </c>
      <c r="V469" s="2">
        <f>SUM(J469:U469)</f>
        <v/>
      </c>
      <c r="W469" s="2" t="n">
        <v>5</v>
      </c>
      <c r="X469" s="2" t="n"/>
      <c r="Y469" s="2" t="n"/>
      <c r="Z469" s="2" t="n"/>
      <c r="AA469" s="2" t="n">
        <v>5</v>
      </c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>
        <f>IF(F469=1,V469*2,IF(F469=2,V469*F469*2,IF(F469&gt;2,F469*2*V469)))</f>
        <v/>
      </c>
      <c r="AW469" s="2">
        <f>SUM(W469:AU469)</f>
        <v/>
      </c>
    </row>
    <row r="470">
      <c r="A470" s="2" t="inlineStr">
        <is>
          <t>14-K-B422</t>
        </is>
      </c>
      <c r="B470" s="3" t="inlineStr">
        <is>
          <t>OJC-A1-LC/LC-SM-12-PC/PC-SP</t>
        </is>
      </c>
      <c r="C470" s="2" t="inlineStr"/>
      <c r="D470" s="2" t="inlineStr">
        <is>
          <t>a1</t>
        </is>
      </c>
      <c r="E470" s="2" t="inlineStr">
        <is>
          <t>2.0mm</t>
        </is>
      </c>
      <c r="F470" s="2" t="n">
        <v>1</v>
      </c>
      <c r="G470" s="2" t="n">
        <v>12</v>
      </c>
      <c r="H470" s="2" t="inlineStr">
        <is>
          <t>LC/PC</t>
        </is>
      </c>
      <c r="I470" s="2" t="inlineStr">
        <is>
          <t>LC/PC</t>
        </is>
      </c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>
        <v>10</v>
      </c>
      <c r="V470" s="2">
        <f>SUM(J470:U470)</f>
        <v/>
      </c>
      <c r="W470" s="2" t="n">
        <v>20</v>
      </c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>
        <f>IF(F470=1,V470*2,IF(F470=2,V470*F470*2,IF(F470&gt;2,F470*2*V470)))</f>
        <v/>
      </c>
      <c r="AW470" s="2">
        <f>SUM(W470:AU470)</f>
        <v/>
      </c>
    </row>
    <row r="471">
      <c r="A471" s="2" t="inlineStr">
        <is>
          <t>14-K-B423</t>
        </is>
      </c>
      <c r="B471" s="3" t="inlineStr">
        <is>
          <t>OJC-A1-LC/LC-SM-13-PC/PC-SP</t>
        </is>
      </c>
      <c r="C471" s="2" t="inlineStr"/>
      <c r="D471" s="2" t="inlineStr">
        <is>
          <t>a1</t>
        </is>
      </c>
      <c r="E471" s="2" t="inlineStr">
        <is>
          <t>2.0mm</t>
        </is>
      </c>
      <c r="F471" s="2" t="n">
        <v>1</v>
      </c>
      <c r="G471" s="2" t="n">
        <v>13</v>
      </c>
      <c r="H471" s="2" t="inlineStr">
        <is>
          <t>LC/PC</t>
        </is>
      </c>
      <c r="I471" s="2" t="inlineStr">
        <is>
          <t>LC/PC</t>
        </is>
      </c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>
        <v>10</v>
      </c>
      <c r="V471" s="2">
        <f>SUM(J471:U471)</f>
        <v/>
      </c>
      <c r="W471" s="2" t="n">
        <v>20</v>
      </c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>
        <f>IF(F471=1,V471*2,IF(F471=2,V471*F471*2,IF(F471&gt;2,F471*2*V471)))</f>
        <v/>
      </c>
      <c r="AW471" s="2">
        <f>SUM(W471:AU471)</f>
        <v/>
      </c>
    </row>
    <row r="472">
      <c r="A472" s="2" t="inlineStr">
        <is>
          <t>14-K-B424</t>
        </is>
      </c>
      <c r="B472" s="3" t="inlineStr">
        <is>
          <t>OJC-A1-LC/LC-SM-14-PC/PC-SP</t>
        </is>
      </c>
      <c r="C472" s="2" t="inlineStr"/>
      <c r="D472" s="2" t="inlineStr">
        <is>
          <t>a1</t>
        </is>
      </c>
      <c r="E472" s="2" t="inlineStr">
        <is>
          <t>2.0mm</t>
        </is>
      </c>
      <c r="F472" s="2" t="n">
        <v>1</v>
      </c>
      <c r="G472" s="2" t="n">
        <v>14</v>
      </c>
      <c r="H472" s="2" t="inlineStr">
        <is>
          <t>LC/PC</t>
        </is>
      </c>
      <c r="I472" s="2" t="inlineStr">
        <is>
          <t>LC/PC</t>
        </is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>
        <v>10</v>
      </c>
      <c r="V472" s="2">
        <f>SUM(J472:U472)</f>
        <v/>
      </c>
      <c r="W472" s="2" t="n">
        <v>20</v>
      </c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>
        <f>IF(F472=1,V472*2,IF(F472=2,V472*F472*2,IF(F472&gt;2,F472*2*V472)))</f>
        <v/>
      </c>
      <c r="AW472" s="2">
        <f>SUM(W472:AU472)</f>
        <v/>
      </c>
    </row>
    <row r="473">
      <c r="A473" s="2" t="inlineStr">
        <is>
          <t>14-K-B425</t>
        </is>
      </c>
      <c r="B473" s="3" t="inlineStr">
        <is>
          <t>OJC-A1-LC/LC-SM-16-PC/PC-SP</t>
        </is>
      </c>
      <c r="C473" s="2" t="inlineStr"/>
      <c r="D473" s="2" t="inlineStr">
        <is>
          <t>a1</t>
        </is>
      </c>
      <c r="E473" s="2" t="inlineStr">
        <is>
          <t>2.0mm</t>
        </is>
      </c>
      <c r="F473" s="2" t="n">
        <v>1</v>
      </c>
      <c r="G473" s="2" t="n">
        <v>16</v>
      </c>
      <c r="H473" s="2" t="inlineStr">
        <is>
          <t>LC/PC</t>
        </is>
      </c>
      <c r="I473" s="2" t="inlineStr">
        <is>
          <t>LC/PC</t>
        </is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>
        <v>20</v>
      </c>
      <c r="V473" s="2">
        <f>SUM(J473:U473)</f>
        <v/>
      </c>
      <c r="W473" s="2" t="n">
        <v>40</v>
      </c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>
        <f>IF(F473=1,V473*2,IF(F473=2,V473*F473*2,IF(F473&gt;2,F473*2*V473)))</f>
        <v/>
      </c>
      <c r="AW473" s="2">
        <f>SUM(W473:AU473)</f>
        <v/>
      </c>
    </row>
    <row r="474">
      <c r="A474" s="2" t="inlineStr">
        <is>
          <t>14-K-B426</t>
        </is>
      </c>
      <c r="B474" s="3" t="inlineStr">
        <is>
          <t>OJC-A1-LC/LC-SM-18-PC/PC-SP</t>
        </is>
      </c>
      <c r="C474" s="2" t="inlineStr"/>
      <c r="D474" s="2" t="inlineStr">
        <is>
          <t>a1</t>
        </is>
      </c>
      <c r="E474" s="2" t="inlineStr">
        <is>
          <t>2.0mm</t>
        </is>
      </c>
      <c r="F474" s="2" t="n">
        <v>1</v>
      </c>
      <c r="G474" s="2" t="n">
        <v>18</v>
      </c>
      <c r="H474" s="2" t="inlineStr">
        <is>
          <t>LC/PC</t>
        </is>
      </c>
      <c r="I474" s="2" t="inlineStr">
        <is>
          <t>LC/PC</t>
        </is>
      </c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>
        <v>20</v>
      </c>
      <c r="V474" s="2">
        <f>SUM(J474:U474)</f>
        <v/>
      </c>
      <c r="W474" s="2" t="n">
        <v>40</v>
      </c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>
        <f>IF(F474=1,V474*2,IF(F474=2,V474*F474*2,IF(F474&gt;2,F474*2*V474)))</f>
        <v/>
      </c>
      <c r="AW474" s="2">
        <f>SUM(W474:AU474)</f>
        <v/>
      </c>
    </row>
    <row r="475">
      <c r="A475" s="2" t="inlineStr">
        <is>
          <t>14-K-B427</t>
        </is>
      </c>
      <c r="B475" s="3" t="inlineStr">
        <is>
          <t>OJC-A1-LC/LC-SM-19-PC/PC-SP</t>
        </is>
      </c>
      <c r="C475" s="2" t="inlineStr"/>
      <c r="D475" s="2" t="inlineStr">
        <is>
          <t>a1</t>
        </is>
      </c>
      <c r="E475" s="2" t="inlineStr">
        <is>
          <t>2.0mm</t>
        </is>
      </c>
      <c r="F475" s="2" t="n">
        <v>1</v>
      </c>
      <c r="G475" s="2" t="n">
        <v>19</v>
      </c>
      <c r="H475" s="2" t="inlineStr">
        <is>
          <t>LC/PC</t>
        </is>
      </c>
      <c r="I475" s="2" t="inlineStr">
        <is>
          <t>LC/PC</t>
        </is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>
        <v>20</v>
      </c>
      <c r="V475" s="2">
        <f>SUM(J475:U475)</f>
        <v/>
      </c>
      <c r="W475" s="2" t="n">
        <v>40</v>
      </c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>
        <f>IF(F475=1,V475*2,IF(F475=2,V475*F475*2,IF(F475&gt;2,F475*2*V475)))</f>
        <v/>
      </c>
      <c r="AW475" s="2">
        <f>SUM(W475:AU475)</f>
        <v/>
      </c>
    </row>
    <row r="476">
      <c r="A476" s="2" t="inlineStr">
        <is>
          <t>14-K-B428</t>
        </is>
      </c>
      <c r="B476" s="3" t="inlineStr">
        <is>
          <t>OJC-A1-LC/LC-SM-21-PC/PC-SP</t>
        </is>
      </c>
      <c r="C476" s="2" t="inlineStr"/>
      <c r="D476" s="2" t="inlineStr">
        <is>
          <t>a1</t>
        </is>
      </c>
      <c r="E476" s="2" t="inlineStr">
        <is>
          <t>2.0mm</t>
        </is>
      </c>
      <c r="F476" s="2" t="n">
        <v>1</v>
      </c>
      <c r="G476" s="2" t="n">
        <v>21</v>
      </c>
      <c r="H476" s="2" t="inlineStr">
        <is>
          <t>LC/PC</t>
        </is>
      </c>
      <c r="I476" s="2" t="inlineStr">
        <is>
          <t>LC/PC</t>
        </is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>
        <v>20</v>
      </c>
      <c r="V476" s="2">
        <f>SUM(J476:U476)</f>
        <v/>
      </c>
      <c r="W476" s="2" t="n">
        <v>40</v>
      </c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>
        <f>IF(F476=1,V476*2,IF(F476=2,V476*F476*2,IF(F476&gt;2,F476*2*V476)))</f>
        <v/>
      </c>
      <c r="AW476" s="2">
        <f>SUM(W476:AU476)</f>
        <v/>
      </c>
    </row>
    <row r="477">
      <c r="A477" s="2" t="inlineStr">
        <is>
          <t>14-K-B429</t>
        </is>
      </c>
      <c r="B477" s="3" t="inlineStr">
        <is>
          <t>OJC-A1-LC/LC-SM-22-PC/PC-SP</t>
        </is>
      </c>
      <c r="C477" s="2" t="inlineStr"/>
      <c r="D477" s="2" t="inlineStr">
        <is>
          <t>a1</t>
        </is>
      </c>
      <c r="E477" s="2" t="inlineStr">
        <is>
          <t>2.0mm</t>
        </is>
      </c>
      <c r="F477" s="2" t="n">
        <v>1</v>
      </c>
      <c r="G477" s="2" t="n">
        <v>22</v>
      </c>
      <c r="H477" s="2" t="inlineStr">
        <is>
          <t>LC/PC</t>
        </is>
      </c>
      <c r="I477" s="2" t="inlineStr">
        <is>
          <t>LC/PC</t>
        </is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>
        <v>20</v>
      </c>
      <c r="V477" s="2">
        <f>SUM(J477:U477)</f>
        <v/>
      </c>
      <c r="W477" s="2" t="n">
        <v>40</v>
      </c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>
        <f>IF(F477=1,V477*2,IF(F477=2,V477*F477*2,IF(F477&gt;2,F477*2*V477)))</f>
        <v/>
      </c>
      <c r="AW477" s="2">
        <f>SUM(W477:AU477)</f>
        <v/>
      </c>
    </row>
    <row r="478">
      <c r="A478" s="2" t="inlineStr">
        <is>
          <t>14-K-B430</t>
        </is>
      </c>
      <c r="B478" s="3" t="inlineStr">
        <is>
          <t>OJC-A1-LC/LC-SM-23-PC/PC-SP</t>
        </is>
      </c>
      <c r="C478" s="2" t="inlineStr"/>
      <c r="D478" s="2" t="inlineStr">
        <is>
          <t>a1</t>
        </is>
      </c>
      <c r="E478" s="2" t="inlineStr">
        <is>
          <t>2.0mm</t>
        </is>
      </c>
      <c r="F478" s="2" t="n">
        <v>1</v>
      </c>
      <c r="G478" s="2" t="n">
        <v>23</v>
      </c>
      <c r="H478" s="2" t="inlineStr">
        <is>
          <t>LC/PC</t>
        </is>
      </c>
      <c r="I478" s="2" t="inlineStr">
        <is>
          <t>LC/PC</t>
        </is>
      </c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>
        <v>20</v>
      </c>
      <c r="V478" s="2">
        <f>SUM(J478:U478)</f>
        <v/>
      </c>
      <c r="W478" s="2" t="n">
        <v>40</v>
      </c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>
        <f>IF(F478=1,V478*2,IF(F478=2,V478*F478*2,IF(F478&gt;2,F478*2*V478)))</f>
        <v/>
      </c>
      <c r="AW478" s="2">
        <f>SUM(W478:AU478)</f>
        <v/>
      </c>
    </row>
    <row r="479">
      <c r="A479" s="2" t="inlineStr">
        <is>
          <t>14-K-B431</t>
        </is>
      </c>
      <c r="B479" s="3" t="inlineStr">
        <is>
          <t>OJC-A1-LC/LC-SM-24-PC/PC-SP</t>
        </is>
      </c>
      <c r="C479" s="2" t="inlineStr"/>
      <c r="D479" s="2" t="inlineStr">
        <is>
          <t>a1</t>
        </is>
      </c>
      <c r="E479" s="2" t="inlineStr">
        <is>
          <t>2.0mm</t>
        </is>
      </c>
      <c r="F479" s="2" t="n">
        <v>1</v>
      </c>
      <c r="G479" s="2" t="n">
        <v>24</v>
      </c>
      <c r="H479" s="2" t="inlineStr">
        <is>
          <t>LC/PC</t>
        </is>
      </c>
      <c r="I479" s="2" t="inlineStr">
        <is>
          <t>LC/PC</t>
        </is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>
        <v>20</v>
      </c>
      <c r="V479" s="2">
        <f>SUM(J479:U479)</f>
        <v/>
      </c>
      <c r="W479" s="2" t="n">
        <v>40</v>
      </c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>
        <f>IF(F479=1,V479*2,IF(F479=2,V479*F479*2,IF(F479&gt;2,F479*2*V479)))</f>
        <v/>
      </c>
      <c r="AW479" s="2">
        <f>SUM(W479:AU479)</f>
        <v/>
      </c>
    </row>
    <row r="480">
      <c r="A480" s="2" t="inlineStr">
        <is>
          <t>14-K-B432</t>
        </is>
      </c>
      <c r="B480" s="3" t="inlineStr">
        <is>
          <t>OJC-A1-LC/LC-SM-26-PC/PC-SP</t>
        </is>
      </c>
      <c r="C480" s="2" t="inlineStr"/>
      <c r="D480" s="2" t="inlineStr">
        <is>
          <t>a1</t>
        </is>
      </c>
      <c r="E480" s="2" t="inlineStr">
        <is>
          <t>2.0mm</t>
        </is>
      </c>
      <c r="F480" s="2" t="n">
        <v>1</v>
      </c>
      <c r="G480" s="2" t="n">
        <v>26</v>
      </c>
      <c r="H480" s="2" t="inlineStr">
        <is>
          <t>LC/PC</t>
        </is>
      </c>
      <c r="I480" s="2" t="inlineStr">
        <is>
          <t>LC/PC</t>
        </is>
      </c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>
        <v>10</v>
      </c>
      <c r="V480" s="2">
        <f>SUM(J480:U480)</f>
        <v/>
      </c>
      <c r="W480" s="2" t="n">
        <v>20</v>
      </c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>
        <f>IF(F480=1,V480*2,IF(F480=2,V480*F480*2,IF(F480&gt;2,F480*2*V480)))</f>
        <v/>
      </c>
      <c r="AW480" s="2">
        <f>SUM(W480:AU480)</f>
        <v/>
      </c>
    </row>
    <row r="481">
      <c r="A481" s="2" t="inlineStr">
        <is>
          <t>14-K-B433</t>
        </is>
      </c>
      <c r="B481" s="3" t="inlineStr">
        <is>
          <t>OJC-A1-LC/LC-SM-27-PC/PC-SP</t>
        </is>
      </c>
      <c r="C481" s="2" t="inlineStr"/>
      <c r="D481" s="2" t="inlineStr">
        <is>
          <t>a1</t>
        </is>
      </c>
      <c r="E481" s="2" t="inlineStr">
        <is>
          <t>2.0mm</t>
        </is>
      </c>
      <c r="F481" s="2" t="n">
        <v>1</v>
      </c>
      <c r="G481" s="2" t="n">
        <v>27</v>
      </c>
      <c r="H481" s="2" t="inlineStr">
        <is>
          <t>LC/PC</t>
        </is>
      </c>
      <c r="I481" s="2" t="inlineStr">
        <is>
          <t>LC/PC</t>
        </is>
      </c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>
        <v>10</v>
      </c>
      <c r="V481" s="2">
        <f>SUM(J481:U481)</f>
        <v/>
      </c>
      <c r="W481" s="2" t="n">
        <v>20</v>
      </c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>
        <f>IF(F481=1,V481*2,IF(F481=2,V481*F481*2,IF(F481&gt;2,F481*2*V481)))</f>
        <v/>
      </c>
      <c r="AW481" s="2">
        <f>SUM(W481:AU481)</f>
        <v/>
      </c>
    </row>
    <row r="482">
      <c r="A482" s="2" t="inlineStr">
        <is>
          <t>14-K-B434</t>
        </is>
      </c>
      <c r="B482" s="3" t="inlineStr">
        <is>
          <t>OJC-A1-LC/LC-SM-28-PC/PC-SP</t>
        </is>
      </c>
      <c r="C482" s="2" t="inlineStr"/>
      <c r="D482" s="2" t="inlineStr">
        <is>
          <t>a1</t>
        </is>
      </c>
      <c r="E482" s="2" t="inlineStr">
        <is>
          <t>2.0mm</t>
        </is>
      </c>
      <c r="F482" s="2" t="n">
        <v>1</v>
      </c>
      <c r="G482" s="2" t="n">
        <v>28</v>
      </c>
      <c r="H482" s="2" t="inlineStr">
        <is>
          <t>LC/PC</t>
        </is>
      </c>
      <c r="I482" s="2" t="inlineStr">
        <is>
          <t>LC/PC</t>
        </is>
      </c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>
        <v>10</v>
      </c>
      <c r="V482" s="2">
        <f>SUM(J482:U482)</f>
        <v/>
      </c>
      <c r="W482" s="2" t="n">
        <v>20</v>
      </c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>
        <f>IF(F482=1,V482*2,IF(F482=2,V482*F482*2,IF(F482&gt;2,F482*2*V482)))</f>
        <v/>
      </c>
      <c r="AW482" s="2">
        <f>SUM(W482:AU482)</f>
        <v/>
      </c>
    </row>
    <row r="483">
      <c r="A483" s="2" t="inlineStr">
        <is>
          <t>14-K-B435</t>
        </is>
      </c>
      <c r="B483" s="3" t="inlineStr">
        <is>
          <t>OJC-A1-LC/LC-SM-29-PC/PC-SP</t>
        </is>
      </c>
      <c r="C483" s="2" t="inlineStr"/>
      <c r="D483" s="2" t="inlineStr">
        <is>
          <t>a1</t>
        </is>
      </c>
      <c r="E483" s="2" t="inlineStr">
        <is>
          <t>2.0mm</t>
        </is>
      </c>
      <c r="F483" s="2" t="n">
        <v>1</v>
      </c>
      <c r="G483" s="2" t="n">
        <v>29</v>
      </c>
      <c r="H483" s="2" t="inlineStr">
        <is>
          <t>LC/PC</t>
        </is>
      </c>
      <c r="I483" s="2" t="inlineStr">
        <is>
          <t>LC/PC</t>
        </is>
      </c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>
        <v>10</v>
      </c>
      <c r="V483" s="2">
        <f>SUM(J483:U483)</f>
        <v/>
      </c>
      <c r="W483" s="2" t="n">
        <v>20</v>
      </c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>
        <f>IF(F483=1,V483*2,IF(F483=2,V483*F483*2,IF(F483&gt;2,F483*2*V483)))</f>
        <v/>
      </c>
      <c r="AW483" s="2">
        <f>SUM(W483:AU483)</f>
        <v/>
      </c>
    </row>
    <row r="484">
      <c r="A484" s="2" t="inlineStr">
        <is>
          <t>14-K-B440</t>
        </is>
      </c>
      <c r="B484" s="3" t="inlineStr">
        <is>
          <t>OJC-A1-SC/SC-SM-10-PC/PC-SP</t>
        </is>
      </c>
      <c r="C484" s="2" t="inlineStr">
        <is>
          <t>K9089003_포앤티</t>
        </is>
      </c>
      <c r="D484" s="2" t="inlineStr">
        <is>
          <t>a1</t>
        </is>
      </c>
      <c r="E484" s="2" t="inlineStr">
        <is>
          <t>2.0mm</t>
        </is>
      </c>
      <c r="F484" s="2" t="n">
        <v>1</v>
      </c>
      <c r="G484" s="2" t="n">
        <v>10</v>
      </c>
      <c r="H484" s="2" t="inlineStr">
        <is>
          <t>SC/PC</t>
        </is>
      </c>
      <c r="I484" s="2" t="inlineStr">
        <is>
          <t>SC/PC</t>
        </is>
      </c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>
        <v>550</v>
      </c>
      <c r="V484" s="2">
        <f>SUM(J484:U484)</f>
        <v/>
      </c>
      <c r="W484" s="2" t="n"/>
      <c r="X484" s="2" t="n"/>
      <c r="Y484" s="2" t="n"/>
      <c r="Z484" s="2" t="n"/>
      <c r="AA484" s="2" t="n">
        <v>1100</v>
      </c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>
        <f>IF(F484=1,V484*2,IF(F484=2,V484*F484*2,IF(F484&gt;2,F484*2*V484)))</f>
        <v/>
      </c>
      <c r="AW484" s="2">
        <f>SUM(W484:AU484)</f>
        <v/>
      </c>
    </row>
    <row r="485">
      <c r="A485" s="2" t="inlineStr">
        <is>
          <t>14-K-B441</t>
        </is>
      </c>
      <c r="B485" s="3" t="inlineStr">
        <is>
          <t>OJC-A1-SC/SC-SM-15-PC/PC-SP</t>
        </is>
      </c>
      <c r="C485" s="2" t="inlineStr">
        <is>
          <t>K9089008_포앤티</t>
        </is>
      </c>
      <c r="D485" s="2" t="inlineStr">
        <is>
          <t>a1</t>
        </is>
      </c>
      <c r="E485" s="2" t="inlineStr">
        <is>
          <t>2.0mm</t>
        </is>
      </c>
      <c r="F485" s="2" t="n">
        <v>1</v>
      </c>
      <c r="G485" s="2" t="n">
        <v>15</v>
      </c>
      <c r="H485" s="2" t="inlineStr">
        <is>
          <t>SC/PC</t>
        </is>
      </c>
      <c r="I485" s="2" t="inlineStr">
        <is>
          <t>SC/PC</t>
        </is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>
        <v>100</v>
      </c>
      <c r="V485" s="2">
        <f>SUM(J485:U485)</f>
        <v/>
      </c>
      <c r="W485" s="2" t="n"/>
      <c r="X485" s="2" t="n"/>
      <c r="Y485" s="2" t="n"/>
      <c r="Z485" s="2" t="n"/>
      <c r="AA485" s="2" t="n">
        <v>200</v>
      </c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>
        <f>IF(F485=1,V485*2,IF(F485=2,V485*F485*2,IF(F485&gt;2,F485*2*V485)))</f>
        <v/>
      </c>
      <c r="AW485" s="2">
        <f>SUM(W485:AU485)</f>
        <v/>
      </c>
    </row>
    <row r="486">
      <c r="A486" s="2" t="inlineStr">
        <is>
          <t>14-K-B442</t>
        </is>
      </c>
      <c r="B486" s="3" t="inlineStr">
        <is>
          <t>OJC-A1-SC/SC-SM-20-PC/PC-SP</t>
        </is>
      </c>
      <c r="C486" s="2" t="inlineStr">
        <is>
          <t>K9089013_포앤티</t>
        </is>
      </c>
      <c r="D486" s="2" t="inlineStr">
        <is>
          <t>a1</t>
        </is>
      </c>
      <c r="E486" s="2" t="inlineStr">
        <is>
          <t>2.0mm</t>
        </is>
      </c>
      <c r="F486" s="2" t="n">
        <v>1</v>
      </c>
      <c r="G486" s="2" t="n">
        <v>20</v>
      </c>
      <c r="H486" s="2" t="inlineStr">
        <is>
          <t>SC/PC</t>
        </is>
      </c>
      <c r="I486" s="2" t="inlineStr">
        <is>
          <t>SC/PC</t>
        </is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>
        <v>230</v>
      </c>
      <c r="V486" s="2">
        <f>SUM(J486:U486)</f>
        <v/>
      </c>
      <c r="W486" s="2" t="n"/>
      <c r="X486" s="2" t="n"/>
      <c r="Y486" s="2" t="n"/>
      <c r="Z486" s="2" t="n"/>
      <c r="AA486" s="2" t="n">
        <v>460</v>
      </c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>
        <f>IF(F486=1,V486*2,IF(F486=2,V486*F486*2,IF(F486&gt;2,F486*2*V486)))</f>
        <v/>
      </c>
      <c r="AW486" s="2">
        <f>SUM(W486:AU486)</f>
        <v/>
      </c>
    </row>
    <row r="487">
      <c r="A487" s="2" t="inlineStr">
        <is>
          <t>14-K-B690</t>
        </is>
      </c>
      <c r="B487" s="3" t="inlineStr">
        <is>
          <t>OJC-A1-SC/SC-SM-80-PC/PC-DP</t>
        </is>
      </c>
      <c r="C487" s="2" t="inlineStr">
        <is>
          <t>80M</t>
        </is>
      </c>
      <c r="D487" s="2" t="inlineStr">
        <is>
          <t>a1</t>
        </is>
      </c>
      <c r="E487" s="2" t="inlineStr">
        <is>
          <t>2.0mm</t>
        </is>
      </c>
      <c r="F487" s="2" t="n">
        <v>2</v>
      </c>
      <c r="G487" s="2" t="n">
        <v>80</v>
      </c>
      <c r="H487" s="2" t="inlineStr">
        <is>
          <t>SC/PC</t>
        </is>
      </c>
      <c r="I487" s="2" t="inlineStr">
        <is>
          <t>SC/PC</t>
        </is>
      </c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>
        <v>1</v>
      </c>
      <c r="V487" s="2">
        <f>SUM(J487:U487)</f>
        <v/>
      </c>
      <c r="W487" s="2" t="n"/>
      <c r="X487" s="2" t="n"/>
      <c r="Y487" s="2" t="n"/>
      <c r="Z487" s="2" t="n"/>
      <c r="AA487" s="2" t="n">
        <v>2</v>
      </c>
      <c r="AB487" s="2" t="n">
        <v>2</v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>
        <f>IF(F487=1,V487*2,IF(F487=2,V487*F487*2,IF(F487&gt;2,F487*2*V487)))</f>
        <v/>
      </c>
      <c r="AW487" s="2">
        <f>SUM(W487:AU487)</f>
        <v/>
      </c>
    </row>
    <row r="488">
      <c r="A488" s="2" t="inlineStr">
        <is>
          <t>14-M-011</t>
        </is>
      </c>
      <c r="B488" s="3" t="inlineStr">
        <is>
          <t>MOJC-SM-12C-LC/PC-LC/PC</t>
        </is>
      </c>
      <c r="C488" s="2" t="inlineStr">
        <is>
          <t>15M</t>
        </is>
      </c>
      <c r="D488" s="2" t="inlineStr">
        <is>
          <t>b3-12c</t>
        </is>
      </c>
      <c r="E488" s="2" t="inlineStr">
        <is>
          <t>2.0mm</t>
        </is>
      </c>
      <c r="F488" s="2" t="n">
        <v>12</v>
      </c>
      <c r="G488" s="2" t="n">
        <v>15</v>
      </c>
      <c r="H488" s="2" t="inlineStr">
        <is>
          <t>LC/PC</t>
        </is>
      </c>
      <c r="I488" s="2" t="inlineStr">
        <is>
          <t>LC/PC</t>
        </is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>
        <v>12</v>
      </c>
      <c r="T488" s="2" t="n"/>
      <c r="U488" s="2" t="n"/>
      <c r="V488" s="2">
        <f>SUM(J488:U488)</f>
        <v/>
      </c>
      <c r="W488" s="2" t="n">
        <v>288</v>
      </c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>
        <f>IF(F488=1,V488*2,IF(F488=2,V488*F488*2,IF(F488&gt;2,F488*2*V488)))</f>
        <v/>
      </c>
      <c r="AW488" s="2">
        <f>SUM(W488:AU488)</f>
        <v/>
      </c>
    </row>
    <row r="489">
      <c r="A489" s="2" t="inlineStr">
        <is>
          <t>14-M-016</t>
        </is>
      </c>
      <c r="B489" s="3" t="inlineStr">
        <is>
          <t>MOJC-SM-12C-LC/PC-LC/PC</t>
        </is>
      </c>
      <c r="C489" s="2" t="inlineStr">
        <is>
          <t>3M</t>
        </is>
      </c>
      <c r="D489" s="2" t="inlineStr">
        <is>
          <t>b3-12c</t>
        </is>
      </c>
      <c r="E489" s="2" t="inlineStr">
        <is>
          <t>2.0mm</t>
        </is>
      </c>
      <c r="F489" s="2" t="n">
        <v>12</v>
      </c>
      <c r="G489" s="2" t="n">
        <v>3</v>
      </c>
      <c r="H489" s="2" t="inlineStr">
        <is>
          <t>LC/PC</t>
        </is>
      </c>
      <c r="I489" s="2" t="inlineStr">
        <is>
          <t>LC/PC</t>
        </is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>
        <v>4</v>
      </c>
      <c r="U489" s="2" t="n"/>
      <c r="V489" s="2">
        <f>SUM(J489:U489)</f>
        <v/>
      </c>
      <c r="W489" s="2" t="n">
        <v>96</v>
      </c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>
        <f>IF(F489=1,V489*2,IF(F489=2,V489*F489*2,IF(F489&gt;2,F489*2*V489)))</f>
        <v/>
      </c>
      <c r="AW489" s="2">
        <f>SUM(W489:AU489)</f>
        <v/>
      </c>
    </row>
    <row r="490">
      <c r="A490" s="2" t="inlineStr">
        <is>
          <t>14-M-235</t>
        </is>
      </c>
      <c r="B490" s="3" t="inlineStr">
        <is>
          <t>MOJC-SM-6C-SC/PC-SC/PC</t>
        </is>
      </c>
      <c r="C490" s="2" t="inlineStr">
        <is>
          <t>3M</t>
        </is>
      </c>
      <c r="D490" s="2" t="inlineStr">
        <is>
          <t>b3-6c</t>
        </is>
      </c>
      <c r="E490" s="2" t="inlineStr">
        <is>
          <t>2.0mm</t>
        </is>
      </c>
      <c r="F490" s="2" t="n">
        <v>6</v>
      </c>
      <c r="G490" s="2" t="n">
        <v>3</v>
      </c>
      <c r="H490" s="2" t="inlineStr">
        <is>
          <t>SC/PC</t>
        </is>
      </c>
      <c r="I490" s="2" t="inlineStr">
        <is>
          <t>SC/PC</t>
        </is>
      </c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>
        <v>1</v>
      </c>
      <c r="V490" s="2">
        <f>SUM(J490:U490)</f>
        <v/>
      </c>
      <c r="W490" s="2" t="n"/>
      <c r="X490" s="2" t="n"/>
      <c r="Y490" s="2" t="n"/>
      <c r="Z490" s="2" t="n"/>
      <c r="AA490" s="2" t="n">
        <v>12</v>
      </c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>
        <f>IF(F490=1,V490*2,IF(F490=2,V490*F490*2,IF(F490&gt;2,F490*2*V490)))</f>
        <v/>
      </c>
      <c r="AW490" s="2">
        <f>SUM(W490:AU490)</f>
        <v/>
      </c>
    </row>
    <row r="491">
      <c r="A491" s="2" t="inlineStr">
        <is>
          <t>14-M-A066</t>
        </is>
      </c>
      <c r="B491" s="3" t="inlineStr">
        <is>
          <t>MOJC-SM-16C-SC/PC-SC/PC</t>
        </is>
      </c>
      <c r="C491" s="2" t="inlineStr">
        <is>
          <t>3M</t>
        </is>
      </c>
      <c r="D491" s="2" t="inlineStr">
        <is>
          <t>b3-16c</t>
        </is>
      </c>
      <c r="E491" s="2" t="inlineStr">
        <is>
          <t>2.0mm</t>
        </is>
      </c>
      <c r="F491" s="2" t="n">
        <v>16</v>
      </c>
      <c r="G491" s="2" t="n">
        <v>3</v>
      </c>
      <c r="H491" s="2" t="inlineStr">
        <is>
          <t>SC/PC</t>
        </is>
      </c>
      <c r="I491" s="2" t="inlineStr">
        <is>
          <t>SC/PC</t>
        </is>
      </c>
      <c r="J491" s="2" t="n">
        <v>26</v>
      </c>
      <c r="K491" s="2" t="n"/>
      <c r="L491" s="2" t="n">
        <v>2</v>
      </c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>
        <f>SUM(J491:U491)</f>
        <v/>
      </c>
      <c r="W491" s="2" t="n"/>
      <c r="X491" s="2" t="n"/>
      <c r="Y491" s="2" t="n"/>
      <c r="Z491" s="2" t="n"/>
      <c r="AA491" s="2" t="n">
        <v>896</v>
      </c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>
        <f>IF(F491=1,V491*2,IF(F491=2,V491*F491*2,IF(F491&gt;2,F491*2*V491)))</f>
        <v/>
      </c>
      <c r="AW491" s="2">
        <f>SUM(W491:AU491)</f>
        <v/>
      </c>
    </row>
    <row r="492">
      <c r="A492" s="2" t="inlineStr">
        <is>
          <t>14-M-A076</t>
        </is>
      </c>
      <c r="B492" s="3" t="inlineStr">
        <is>
          <t>MOJC-SM-12C-LC/PC</t>
        </is>
      </c>
      <c r="C492" s="2" t="inlineStr">
        <is>
          <t>3M, 한쪽만 커넥팅</t>
        </is>
      </c>
      <c r="D492" s="2" t="inlineStr">
        <is>
          <t>b3-12c</t>
        </is>
      </c>
      <c r="E492" s="2" t="inlineStr">
        <is>
          <t>2.0mm</t>
        </is>
      </c>
      <c r="F492" s="2" t="n">
        <v>12</v>
      </c>
      <c r="G492" s="2" t="n">
        <v>3</v>
      </c>
      <c r="H492" s="2" t="inlineStr">
        <is>
          <t>LC/PC</t>
        </is>
      </c>
      <c r="I492" s="2" t="inlineStr">
        <is>
          <t>LC/PC</t>
        </is>
      </c>
      <c r="J492" s="2" t="n"/>
      <c r="K492" s="2" t="n"/>
      <c r="L492" s="2" t="n"/>
      <c r="M492" s="2" t="n"/>
      <c r="N492" s="2" t="n">
        <v>24</v>
      </c>
      <c r="O492" s="2" t="n"/>
      <c r="P492" s="2" t="n"/>
      <c r="Q492" s="2" t="n"/>
      <c r="R492" s="2" t="n"/>
      <c r="S492" s="2" t="n"/>
      <c r="T492" s="2" t="n"/>
      <c r="U492" s="2" t="n"/>
      <c r="V492" s="2">
        <f>SUM(J492:U492)</f>
        <v/>
      </c>
      <c r="W492" s="2" t="n">
        <v>576</v>
      </c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>
        <f>IF(F492=1,V492*2,IF(F492=2,V492*F492*2,IF(F492&gt;2,F492*2*V492)))</f>
        <v/>
      </c>
      <c r="AW492" s="2">
        <f>SUM(W492:AU492)</f>
        <v/>
      </c>
    </row>
    <row r="493">
      <c r="A493" s="2" t="inlineStr">
        <is>
          <t>14-P-005</t>
        </is>
      </c>
      <c r="B493" s="3" t="inlineStr">
        <is>
          <t>PIGTAIL-LC/PC-SM-12C(Distribution cable)</t>
        </is>
      </c>
      <c r="C493" s="2" t="inlineStr">
        <is>
          <t>4.2M</t>
        </is>
      </c>
      <c r="D493" s="2" t="inlineStr">
        <is>
          <t>pigtail</t>
        </is>
      </c>
      <c r="E493" s="2" t="n">
        <v>0.9</v>
      </c>
      <c r="F493" s="2" t="n">
        <v>12</v>
      </c>
      <c r="G493" s="2" t="n">
        <v>4.2</v>
      </c>
      <c r="H493" s="2" t="inlineStr">
        <is>
          <t>LC/PC</t>
        </is>
      </c>
      <c r="I493" s="2" t="n"/>
      <c r="J493" s="2" t="n"/>
      <c r="K493" s="2" t="n"/>
      <c r="L493" s="2" t="n"/>
      <c r="M493" s="2" t="n"/>
      <c r="N493" s="2" t="n"/>
      <c r="O493" s="2" t="n">
        <v>24</v>
      </c>
      <c r="P493" s="2" t="n"/>
      <c r="Q493" s="2" t="n"/>
      <c r="R493" s="2" t="n"/>
      <c r="S493" s="2" t="n"/>
      <c r="T493" s="2" t="n"/>
      <c r="U493" s="2" t="n"/>
      <c r="V493" s="2">
        <f>SUM(J493:U493)</f>
        <v/>
      </c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>
        <f>IF(F493=1,V493*2,IF(F493=2,V493*F493*2,IF(F493&gt;2,F493*2*V493)))</f>
        <v/>
      </c>
      <c r="AW493" s="2">
        <f>SUM(W493:AU493)</f>
        <v/>
      </c>
    </row>
    <row r="494">
      <c r="A494" s="2" t="inlineStr">
        <is>
          <t>14-P-012</t>
        </is>
      </c>
      <c r="B494" s="3" t="inlineStr">
        <is>
          <t>PIGTAIL-SC/APC-SM-1C (0.9mm)</t>
        </is>
      </c>
      <c r="C494" s="2" t="inlineStr">
        <is>
          <t>1.5M</t>
        </is>
      </c>
      <c r="D494" s="2" t="inlineStr">
        <is>
          <t>pigtail</t>
        </is>
      </c>
      <c r="E494" s="2" t="n">
        <v>0.9</v>
      </c>
      <c r="F494" s="2" t="n">
        <v>1</v>
      </c>
      <c r="G494" s="2" t="n">
        <v>1.5</v>
      </c>
      <c r="H494" s="2" t="inlineStr">
        <is>
          <t>SC/APC</t>
        </is>
      </c>
      <c r="I494" s="2" t="n"/>
      <c r="J494" s="2" t="n">
        <v>330</v>
      </c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>
        <f>SUM(J494:U494)</f>
        <v/>
      </c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>
        <f>IF(F494=1,V494*2,IF(F494=2,V494*F494*2,IF(F494&gt;2,F494*2*V494)))</f>
        <v/>
      </c>
      <c r="AW494" s="2">
        <f>SUM(W494:AU494)</f>
        <v/>
      </c>
    </row>
    <row r="495">
      <c r="A495" s="2" t="inlineStr">
        <is>
          <t>14-P-013</t>
        </is>
      </c>
      <c r="B495" s="3" t="inlineStr">
        <is>
          <t>PIGTAIL-SC/APC-SM-1C (2.0mm)</t>
        </is>
      </c>
      <c r="C495" s="2" t="inlineStr">
        <is>
          <t>1.5M</t>
        </is>
      </c>
      <c r="D495" s="2" t="inlineStr">
        <is>
          <t>pigtail</t>
        </is>
      </c>
      <c r="E495" s="2" t="inlineStr">
        <is>
          <t>2.0mm</t>
        </is>
      </c>
      <c r="F495" s="2" t="n">
        <v>1</v>
      </c>
      <c r="G495" s="2" t="n">
        <v>1.5</v>
      </c>
      <c r="H495" s="2" t="inlineStr">
        <is>
          <t>SC/APC</t>
        </is>
      </c>
      <c r="I495" s="2" t="n"/>
      <c r="J495" s="2" t="n">
        <v>226</v>
      </c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>
        <v>40</v>
      </c>
      <c r="U495" s="2" t="n"/>
      <c r="V495" s="2">
        <f>SUM(J495:U495)</f>
        <v/>
      </c>
      <c r="W495" s="2" t="n"/>
      <c r="X495" s="2" t="n"/>
      <c r="Y495" s="2" t="n"/>
      <c r="Z495" s="2" t="n"/>
      <c r="AA495" s="2" t="n"/>
      <c r="AB495" s="2" t="n"/>
      <c r="AC495" s="2" t="n">
        <v>266</v>
      </c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>
        <f>IF(F495=1,V495*2,IF(F495=2,V495*F495*2,IF(F495&gt;2,F495*2*V495)))</f>
        <v/>
      </c>
      <c r="AW495" s="2">
        <f>SUM(W495:AU495)</f>
        <v/>
      </c>
    </row>
    <row r="496">
      <c r="A496" s="2" t="inlineStr">
        <is>
          <t>14-P-014</t>
        </is>
      </c>
      <c r="B496" s="3" t="inlineStr">
        <is>
          <t>PIGTAIL-SC/APC-SM-6C (0.9mm)</t>
        </is>
      </c>
      <c r="C496" s="2" t="inlineStr">
        <is>
          <t>1.5M_6색</t>
        </is>
      </c>
      <c r="D496" s="2" t="inlineStr">
        <is>
          <t>pigtail</t>
        </is>
      </c>
      <c r="E496" s="2" t="n">
        <v>0.9</v>
      </c>
      <c r="F496" s="2" t="n">
        <v>6</v>
      </c>
      <c r="G496" s="2" t="n">
        <v>1.5</v>
      </c>
      <c r="H496" s="2" t="inlineStr">
        <is>
          <t>SC/APC</t>
        </is>
      </c>
      <c r="I496" s="2" t="n"/>
      <c r="J496" s="2" t="n">
        <v>50</v>
      </c>
      <c r="K496" s="2" t="n"/>
      <c r="L496" s="2" t="n"/>
      <c r="M496" s="2" t="n"/>
      <c r="N496" s="2" t="n">
        <v>58</v>
      </c>
      <c r="O496" s="2" t="n"/>
      <c r="P496" s="2" t="n">
        <v>50</v>
      </c>
      <c r="Q496" s="2" t="n"/>
      <c r="R496" s="2" t="n"/>
      <c r="S496" s="2" t="n"/>
      <c r="T496" s="2" t="n"/>
      <c r="U496" s="2" t="n"/>
      <c r="V496" s="2">
        <f>SUM(J496:U496)</f>
        <v/>
      </c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>
        <f>IF(F496=1,V496*2,IF(F496=2,V496*F496*2,IF(F496&gt;2,F496*2*V496)))</f>
        <v/>
      </c>
      <c r="AW496" s="2">
        <f>SUM(W496:AU496)</f>
        <v/>
      </c>
    </row>
    <row r="497">
      <c r="A497" s="2" t="inlineStr">
        <is>
          <t>14-P-016</t>
        </is>
      </c>
      <c r="B497" s="3" t="inlineStr">
        <is>
          <t>PIGTAIL-SC/PC-MM-1C (0.9mm)</t>
        </is>
      </c>
      <c r="C497" s="2" t="inlineStr">
        <is>
          <t>1.5M</t>
        </is>
      </c>
      <c r="D497" s="2" t="inlineStr">
        <is>
          <t>om1-pigtail</t>
        </is>
      </c>
      <c r="E497" s="2" t="n">
        <v>0.9</v>
      </c>
      <c r="F497" s="2" t="n">
        <v>1</v>
      </c>
      <c r="G497" s="2" t="n">
        <v>1.5</v>
      </c>
      <c r="H497" s="2" t="inlineStr">
        <is>
          <t>SC/PC</t>
        </is>
      </c>
      <c r="I497" s="2" t="n"/>
      <c r="J497" s="2" t="n"/>
      <c r="K497" s="2" t="n"/>
      <c r="L497" s="2" t="n">
        <v>5</v>
      </c>
      <c r="M497" s="2" t="n"/>
      <c r="N497" s="2" t="n"/>
      <c r="O497" s="2" t="n">
        <v>48</v>
      </c>
      <c r="P497" s="2" t="n"/>
      <c r="Q497" s="2" t="n"/>
      <c r="R497" s="2" t="n">
        <v>10</v>
      </c>
      <c r="S497" s="2" t="n"/>
      <c r="T497" s="2" t="n">
        <v>24</v>
      </c>
      <c r="U497" s="2" t="n"/>
      <c r="V497" s="2">
        <f>SUM(J497:U497)</f>
        <v/>
      </c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>
        <f>IF(F497=1,V497*2,IF(F497=2,V497*F497*2,IF(F497&gt;2,F497*2*V497)))</f>
        <v/>
      </c>
      <c r="AW497" s="2">
        <f>SUM(W497:AU497)</f>
        <v/>
      </c>
    </row>
    <row r="498">
      <c r="A498" s="2" t="inlineStr">
        <is>
          <t>14-P-017</t>
        </is>
      </c>
      <c r="B498" s="3" t="inlineStr">
        <is>
          <t>PIGTAIL-SC/PC-SM-12C (0.9mm)</t>
        </is>
      </c>
      <c r="C498" s="2" t="inlineStr">
        <is>
          <t>1.5M_12색</t>
        </is>
      </c>
      <c r="D498" s="2" t="inlineStr">
        <is>
          <t>pigtail</t>
        </is>
      </c>
      <c r="E498" s="2" t="n">
        <v>0.9</v>
      </c>
      <c r="F498" s="2" t="n">
        <v>12</v>
      </c>
      <c r="G498" s="2" t="n">
        <v>1.5</v>
      </c>
      <c r="H498" s="2" t="inlineStr">
        <is>
          <t>SC/PC</t>
        </is>
      </c>
      <c r="I498" s="2" t="n"/>
      <c r="J498" s="2" t="n"/>
      <c r="K498" s="2" t="n">
        <v>150</v>
      </c>
      <c r="L498" s="2" t="n"/>
      <c r="M498" s="2" t="n">
        <v>4</v>
      </c>
      <c r="N498" s="2" t="n">
        <v>50</v>
      </c>
      <c r="O498" s="2" t="n">
        <v>93</v>
      </c>
      <c r="P498" s="2" t="n"/>
      <c r="Q498" s="2" t="n"/>
      <c r="R498" s="2" t="n"/>
      <c r="S498" s="2" t="n"/>
      <c r="T498" s="2" t="n"/>
      <c r="U498" s="2" t="n"/>
      <c r="V498" s="2">
        <f>SUM(J498:U498)</f>
        <v/>
      </c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>
        <f>IF(F498=1,V498*2,IF(F498=2,V498*F498*2,IF(F498&gt;2,F498*2*V498)))</f>
        <v/>
      </c>
      <c r="AW498" s="2">
        <f>SUM(W498:AU498)</f>
        <v/>
      </c>
    </row>
    <row r="499">
      <c r="A499" s="2" t="inlineStr">
        <is>
          <t>14-P-025</t>
        </is>
      </c>
      <c r="B499" s="3" t="inlineStr">
        <is>
          <t>PIGTAIL-SC/APC-SM-12C (SK성단용)</t>
        </is>
      </c>
      <c r="C499" s="2" t="inlineStr">
        <is>
          <t>1.5M</t>
        </is>
      </c>
      <c r="D499" s="2" t="inlineStr">
        <is>
          <t>pigtail</t>
        </is>
      </c>
      <c r="E499" s="2" t="n">
        <v>0.9</v>
      </c>
      <c r="F499" s="2" t="n">
        <v>12</v>
      </c>
      <c r="G499" s="2" t="n">
        <v>1.5</v>
      </c>
      <c r="H499" s="2" t="inlineStr">
        <is>
          <t>SC/APC</t>
        </is>
      </c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>
        <v>280</v>
      </c>
      <c r="T499" s="2" t="n"/>
      <c r="U499" s="2" t="n"/>
      <c r="V499" s="2">
        <f>SUM(J499:U499)</f>
        <v/>
      </c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>
        <f>IF(F499=1,V499*2,IF(F499=2,V499*F499*2,IF(F499&gt;2,F499*2*V499)))</f>
        <v/>
      </c>
      <c r="AW499" s="2">
        <f>SUM(W499:AU499)</f>
        <v/>
      </c>
    </row>
    <row r="500">
      <c r="A500" s="2" t="inlineStr">
        <is>
          <t>14-P-028</t>
        </is>
      </c>
      <c r="B500" s="3" t="inlineStr">
        <is>
          <t>PIGTAIL-LC/APC-SM-1C (2.0mm)</t>
        </is>
      </c>
      <c r="C500" s="2" t="inlineStr">
        <is>
          <t>1.5M</t>
        </is>
      </c>
      <c r="D500" s="2" t="inlineStr">
        <is>
          <t>pigtail</t>
        </is>
      </c>
      <c r="E500" s="2" t="inlineStr">
        <is>
          <t>2.0mm</t>
        </is>
      </c>
      <c r="F500" s="2" t="n">
        <v>1</v>
      </c>
      <c r="G500" s="2" t="n">
        <v>1.5</v>
      </c>
      <c r="H500" s="2" t="inlineStr">
        <is>
          <t>LC/APC</t>
        </is>
      </c>
      <c r="I500" s="2" t="n"/>
      <c r="J500" s="2" t="n">
        <v>184</v>
      </c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>
        <f>SUM(J500:U500)</f>
        <v/>
      </c>
      <c r="W500" s="2" t="n"/>
      <c r="X500" s="2" t="n"/>
      <c r="Y500" s="2" t="n">
        <v>184</v>
      </c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>
        <f>IF(F500=1,V500*2,IF(F500=2,V500*F500*2,IF(F500&gt;2,F500*2*V500)))</f>
        <v/>
      </c>
      <c r="AW500" s="2">
        <f>SUM(W500:AU500)</f>
        <v/>
      </c>
    </row>
    <row r="501">
      <c r="A501" s="2" t="inlineStr">
        <is>
          <t>14-P-029</t>
        </is>
      </c>
      <c r="B501" s="3" t="inlineStr">
        <is>
          <t>PIGTAIL-SC/PC-SM-12C (SK성단용)</t>
        </is>
      </c>
      <c r="C501" s="2" t="inlineStr">
        <is>
          <t>1.5M</t>
        </is>
      </c>
      <c r="D501" s="2" t="inlineStr">
        <is>
          <t>pigtail</t>
        </is>
      </c>
      <c r="E501" s="2" t="n">
        <v>0.9</v>
      </c>
      <c r="F501" s="2" t="n">
        <v>12</v>
      </c>
      <c r="G501" s="2" t="n">
        <v>1.5</v>
      </c>
      <c r="H501" s="2" t="inlineStr">
        <is>
          <t>SC/PC</t>
        </is>
      </c>
      <c r="I501" s="2" t="n"/>
      <c r="J501" s="2" t="n">
        <v>80</v>
      </c>
      <c r="K501" s="2" t="n"/>
      <c r="L501" s="2" t="n"/>
      <c r="M501" s="2" t="n"/>
      <c r="N501" s="2" t="n"/>
      <c r="O501" s="2" t="n"/>
      <c r="P501" s="2" t="n"/>
      <c r="Q501" s="2" t="n">
        <v>20</v>
      </c>
      <c r="R501" s="2" t="n">
        <v>34</v>
      </c>
      <c r="S501" s="2" t="n"/>
      <c r="T501" s="2" t="n"/>
      <c r="U501" s="2" t="n"/>
      <c r="V501" s="2">
        <f>SUM(J501:U501)</f>
        <v/>
      </c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>
        <f>IF(F501=1,V501*2,IF(F501=2,V501*F501*2,IF(F501&gt;2,F501*2*V501)))</f>
        <v/>
      </c>
      <c r="AW501" s="2">
        <f>SUM(W501:AU501)</f>
        <v/>
      </c>
    </row>
    <row r="502">
      <c r="A502" s="2" t="inlineStr">
        <is>
          <t>14-P-030</t>
        </is>
      </c>
      <c r="B502" s="3" t="inlineStr">
        <is>
          <t>PIGTAIL-SC/PC-SM-12C (0.9mm)</t>
        </is>
      </c>
      <c r="C502" s="2" t="inlineStr">
        <is>
          <t>1.5M_(노란색)</t>
        </is>
      </c>
      <c r="D502" s="2" t="inlineStr">
        <is>
          <t>pigtail</t>
        </is>
      </c>
      <c r="E502" s="2" t="n">
        <v>0.9</v>
      </c>
      <c r="F502" s="2" t="n">
        <v>12</v>
      </c>
      <c r="G502" s="2" t="n">
        <v>1.5</v>
      </c>
      <c r="H502" s="2" t="inlineStr">
        <is>
          <t>SC/PC</t>
        </is>
      </c>
      <c r="I502" s="2" t="n"/>
      <c r="J502" s="2" t="n">
        <v>30</v>
      </c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>
        <f>SUM(J502:U502)</f>
        <v/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>
        <f>IF(F502=1,V502*2,IF(F502=2,V502*F502*2,IF(F502&gt;2,F502*2*V502)))</f>
        <v/>
      </c>
      <c r="AW502" s="2">
        <f>SUM(W502:AU502)</f>
        <v/>
      </c>
    </row>
    <row r="503">
      <c r="A503" s="2" t="inlineStr">
        <is>
          <t>14-P-033</t>
        </is>
      </c>
      <c r="B503" s="3" t="inlineStr">
        <is>
          <t>PIGTAIL-LC/PC-MM-12C (SK성단용)</t>
        </is>
      </c>
      <c r="C503" s="2" t="inlineStr">
        <is>
          <t>1.5M</t>
        </is>
      </c>
      <c r="D503" s="2" t="inlineStr">
        <is>
          <t>om1-pigtail</t>
        </is>
      </c>
      <c r="E503" s="2" t="inlineStr">
        <is>
          <t>2.0mm</t>
        </is>
      </c>
      <c r="F503" s="2" t="n">
        <v>12</v>
      </c>
      <c r="G503" s="2" t="n">
        <v>1.5</v>
      </c>
      <c r="H503" s="2" t="inlineStr">
        <is>
          <t>LC/PC</t>
        </is>
      </c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>
        <v>3</v>
      </c>
      <c r="U503" s="2" t="n"/>
      <c r="V503" s="2">
        <f>SUM(J503:U503)</f>
        <v/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>
        <v>36</v>
      </c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>
        <f>IF(F503=1,V503*2,IF(F503=2,V503*F503*2,IF(F503&gt;2,F503*2*V503)))</f>
        <v/>
      </c>
      <c r="AW503" s="2">
        <f>SUM(W503:AU503)</f>
        <v/>
      </c>
    </row>
    <row r="504">
      <c r="A504" s="2" t="inlineStr">
        <is>
          <t>14-P-038</t>
        </is>
      </c>
      <c r="B504" s="3" t="inlineStr">
        <is>
          <t>PIGTAIL-SC/PC-MM-12C (0.9mm)</t>
        </is>
      </c>
      <c r="C504" s="2" t="inlineStr">
        <is>
          <t>1.5M</t>
        </is>
      </c>
      <c r="D504" s="2" t="inlineStr">
        <is>
          <t>om1-pigtail</t>
        </is>
      </c>
      <c r="E504" s="2" t="n">
        <v>0.9</v>
      </c>
      <c r="F504" s="2" t="n">
        <v>12</v>
      </c>
      <c r="G504" s="2" t="n">
        <v>1.5</v>
      </c>
      <c r="H504" s="2" t="inlineStr">
        <is>
          <t>SC/PC</t>
        </is>
      </c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>
        <v>2</v>
      </c>
      <c r="S504" s="2" t="n"/>
      <c r="T504" s="2" t="n"/>
      <c r="U504" s="2" t="n"/>
      <c r="V504" s="2">
        <f>SUM(J504:U504)</f>
        <v/>
      </c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>
        <f>IF(F504=1,V504*2,IF(F504=2,V504*F504*2,IF(F504&gt;2,F504*2*V504)))</f>
        <v/>
      </c>
      <c r="AW504" s="2">
        <f>SUM(W504:AU504)</f>
        <v/>
      </c>
    </row>
    <row r="505">
      <c r="A505" s="2" t="inlineStr">
        <is>
          <t>14-P-077</t>
        </is>
      </c>
      <c r="B505" s="3" t="inlineStr">
        <is>
          <t>PIGTAIL-LC/APC-SM-12C (SK성단용)</t>
        </is>
      </c>
      <c r="C505" s="2" t="inlineStr">
        <is>
          <t>1.5M</t>
        </is>
      </c>
      <c r="D505" s="2" t="inlineStr">
        <is>
          <t>pigtail</t>
        </is>
      </c>
      <c r="E505" s="2" t="n">
        <v>0.9</v>
      </c>
      <c r="F505" s="2" t="n">
        <v>12</v>
      </c>
      <c r="G505" s="2" t="n">
        <v>1.5</v>
      </c>
      <c r="H505" s="2" t="inlineStr">
        <is>
          <t>LC/APC</t>
        </is>
      </c>
      <c r="I505" s="2" t="n"/>
      <c r="J505" s="2" t="n"/>
      <c r="K505" s="2" t="n">
        <v>1</v>
      </c>
      <c r="L505" s="2" t="n"/>
      <c r="M505" s="2" t="n"/>
      <c r="N505" s="2" t="n"/>
      <c r="O505" s="2" t="n">
        <v>1</v>
      </c>
      <c r="P505" s="2" t="n"/>
      <c r="Q505" s="2" t="n"/>
      <c r="R505" s="2" t="n">
        <v>4</v>
      </c>
      <c r="S505" s="2" t="n"/>
      <c r="T505" s="2" t="n"/>
      <c r="U505" s="2" t="n"/>
      <c r="V505" s="2">
        <f>SUM(J505:U505)</f>
        <v/>
      </c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>
        <f>IF(F505=1,V505*2,IF(F505=2,V505*F505*2,IF(F505&gt;2,F505*2*V505)))</f>
        <v/>
      </c>
      <c r="AW505" s="2">
        <f>SUM(W505:AU505)</f>
        <v/>
      </c>
    </row>
    <row r="506">
      <c r="A506" s="2" t="inlineStr">
        <is>
          <t>14-P-089</t>
        </is>
      </c>
      <c r="B506" s="3" t="inlineStr">
        <is>
          <t>PIGTAIL-SC/APC-SM-12C (0.9mm)</t>
        </is>
      </c>
      <c r="C506" s="2" t="inlineStr">
        <is>
          <t>3M_12색</t>
        </is>
      </c>
      <c r="D506" s="2" t="inlineStr">
        <is>
          <t>pigtail</t>
        </is>
      </c>
      <c r="E506" s="2" t="n">
        <v>0.9</v>
      </c>
      <c r="F506" s="2" t="n">
        <v>12</v>
      </c>
      <c r="G506" s="2" t="n">
        <v>3</v>
      </c>
      <c r="H506" s="2" t="inlineStr">
        <is>
          <t>SC/APC</t>
        </is>
      </c>
      <c r="I506" s="2" t="n"/>
      <c r="J506" s="2" t="n"/>
      <c r="K506" s="2" t="n">
        <v>4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>
        <f>SUM(J506:U506)</f>
        <v/>
      </c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>
        <f>IF(F506=1,V506*2,IF(F506=2,V506*F506*2,IF(F506&gt;2,F506*2*V506)))</f>
        <v/>
      </c>
      <c r="AW506" s="2">
        <f>SUM(W506:AU506)</f>
        <v/>
      </c>
    </row>
    <row r="507">
      <c r="A507" s="2" t="inlineStr">
        <is>
          <t>14-P-093</t>
        </is>
      </c>
      <c r="B507" s="3" t="inlineStr">
        <is>
          <t>PIGTAIL-LC/PC-SM-6C (SK성단용)</t>
        </is>
      </c>
      <c r="C507" s="2" t="inlineStr">
        <is>
          <t>1.5M_6색</t>
        </is>
      </c>
      <c r="D507" s="2" t="inlineStr">
        <is>
          <t>pigtail</t>
        </is>
      </c>
      <c r="E507" s="2" t="n">
        <v>0.9</v>
      </c>
      <c r="F507" s="2" t="n">
        <v>6</v>
      </c>
      <c r="G507" s="2" t="n">
        <v>1.5</v>
      </c>
      <c r="H507" s="2" t="inlineStr">
        <is>
          <t>LC/PC</t>
        </is>
      </c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>
        <v>192</v>
      </c>
      <c r="S507" s="2" t="n"/>
      <c r="T507" s="2" t="n"/>
      <c r="U507" s="2" t="n"/>
      <c r="V507" s="2">
        <f>SUM(J507:U507)</f>
        <v/>
      </c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>
        <f>IF(F507=1,V507*2,IF(F507=2,V507*F507*2,IF(F507&gt;2,F507*2*V507)))</f>
        <v/>
      </c>
      <c r="AW507" s="2">
        <f>SUM(W507:AU507)</f>
        <v/>
      </c>
    </row>
    <row r="508">
      <c r="A508" s="2" t="inlineStr">
        <is>
          <t>14-P-109</t>
        </is>
      </c>
      <c r="B508" s="3" t="inlineStr">
        <is>
          <t>PIGTAIL-SC/PC-SM-12C (SK성단용)</t>
        </is>
      </c>
      <c r="C508" s="2" t="inlineStr">
        <is>
          <t>1.5M_노란색</t>
        </is>
      </c>
      <c r="D508" s="2" t="inlineStr">
        <is>
          <t>pigtail</t>
        </is>
      </c>
      <c r="E508" s="2" t="n">
        <v>0.9</v>
      </c>
      <c r="F508" s="2" t="n">
        <v>12</v>
      </c>
      <c r="G508" s="2" t="n">
        <v>1.5</v>
      </c>
      <c r="H508" s="2" t="inlineStr">
        <is>
          <t>SC/PC</t>
        </is>
      </c>
      <c r="I508" s="2" t="n"/>
      <c r="J508" s="2" t="n"/>
      <c r="K508" s="2" t="n"/>
      <c r="L508" s="2" t="n"/>
      <c r="M508" s="2" t="n"/>
      <c r="N508" s="2" t="n"/>
      <c r="O508" s="2" t="n">
        <v>40</v>
      </c>
      <c r="P508" s="2" t="n"/>
      <c r="Q508" s="2" t="n"/>
      <c r="R508" s="2" t="n"/>
      <c r="S508" s="2" t="n"/>
      <c r="T508" s="2" t="n"/>
      <c r="U508" s="2" t="n"/>
      <c r="V508" s="2">
        <f>SUM(J508:U508)</f>
        <v/>
      </c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>
        <f>IF(F508=1,V508*2,IF(F508=2,V508*F508*2,IF(F508&gt;2,F508*2*V508)))</f>
        <v/>
      </c>
      <c r="AW508" s="2">
        <f>SUM(W508:AU508)</f>
        <v/>
      </c>
    </row>
    <row r="509">
      <c r="A509" s="2" t="inlineStr">
        <is>
          <t>14-S-086</t>
        </is>
      </c>
      <c r="B509" s="3" t="inlineStr">
        <is>
          <t>SOJC-SM-LC/PC-LC/PC</t>
        </is>
      </c>
      <c r="C509" s="2" t="inlineStr">
        <is>
          <t>10M</t>
        </is>
      </c>
      <c r="D509" s="2" t="inlineStr">
        <is>
          <t>a1</t>
        </is>
      </c>
      <c r="E509" s="2" t="inlineStr">
        <is>
          <t>2.0mm</t>
        </is>
      </c>
      <c r="F509" s="2" t="n">
        <v>1</v>
      </c>
      <c r="G509" s="2" t="n">
        <v>10</v>
      </c>
      <c r="H509" s="2" t="inlineStr">
        <is>
          <t>LC/PC</t>
        </is>
      </c>
      <c r="I509" s="2" t="inlineStr">
        <is>
          <t>LC/PC</t>
        </is>
      </c>
      <c r="J509" s="2" t="n"/>
      <c r="K509" s="2" t="n"/>
      <c r="L509" s="2" t="n"/>
      <c r="M509" s="2" t="n">
        <v>400</v>
      </c>
      <c r="N509" s="2" t="n">
        <v>100</v>
      </c>
      <c r="O509" s="2" t="n">
        <v>100</v>
      </c>
      <c r="P509" s="2" t="n"/>
      <c r="Q509" s="2" t="n"/>
      <c r="R509" s="2" t="n"/>
      <c r="S509" s="2" t="n"/>
      <c r="T509" s="2" t="n"/>
      <c r="U509" s="2" t="n"/>
      <c r="V509" s="2">
        <f>SUM(J509:U509)</f>
        <v/>
      </c>
      <c r="W509" s="2" t="n">
        <v>1200</v>
      </c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>
        <f>IF(F509=1,V509*2,IF(F509=2,V509*F509*2,IF(F509&gt;2,F509*2*V509)))</f>
        <v/>
      </c>
      <c r="AW509" s="2">
        <f>SUM(W509:AU509)</f>
        <v/>
      </c>
    </row>
    <row r="510">
      <c r="A510" s="2" t="inlineStr">
        <is>
          <t>14-S-089</t>
        </is>
      </c>
      <c r="B510" s="3" t="inlineStr">
        <is>
          <t>SOJC-SM-LC/PC-LC/PC</t>
        </is>
      </c>
      <c r="C510" s="2" t="inlineStr">
        <is>
          <t>15M</t>
        </is>
      </c>
      <c r="D510" s="2" t="inlineStr">
        <is>
          <t>a1</t>
        </is>
      </c>
      <c r="E510" s="2" t="inlineStr">
        <is>
          <t>2.0mm</t>
        </is>
      </c>
      <c r="F510" s="2" t="n">
        <v>1</v>
      </c>
      <c r="G510" s="2" t="n">
        <v>15</v>
      </c>
      <c r="H510" s="2" t="inlineStr">
        <is>
          <t>LC/PC</t>
        </is>
      </c>
      <c r="I510" s="2" t="inlineStr">
        <is>
          <t>LC/PC</t>
        </is>
      </c>
      <c r="J510" s="2" t="n"/>
      <c r="K510" s="2" t="n"/>
      <c r="L510" s="2" t="n"/>
      <c r="M510" s="2" t="n">
        <v>30</v>
      </c>
      <c r="N510" s="2" t="n">
        <v>400</v>
      </c>
      <c r="O510" s="2" t="n">
        <v>100</v>
      </c>
      <c r="P510" s="2" t="n"/>
      <c r="Q510" s="2" t="n"/>
      <c r="R510" s="2" t="n"/>
      <c r="S510" s="2" t="n"/>
      <c r="T510" s="2" t="n"/>
      <c r="U510" s="2" t="n"/>
      <c r="V510" s="2">
        <f>SUM(J510:U510)</f>
        <v/>
      </c>
      <c r="W510" s="2" t="n">
        <v>1060</v>
      </c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>
        <f>IF(F510=1,V510*2,IF(F510=2,V510*F510*2,IF(F510&gt;2,F510*2*V510)))</f>
        <v/>
      </c>
      <c r="AW510" s="2">
        <f>SUM(W510:AU510)</f>
        <v/>
      </c>
    </row>
    <row r="511">
      <c r="A511" s="2" t="inlineStr">
        <is>
          <t>14-S-094</t>
        </is>
      </c>
      <c r="B511" s="3" t="inlineStr">
        <is>
          <t>SOJC-SM-LC/PC-LC/PC</t>
        </is>
      </c>
      <c r="C511" s="2" t="inlineStr">
        <is>
          <t>20M</t>
        </is>
      </c>
      <c r="D511" s="2" t="inlineStr">
        <is>
          <t>a1</t>
        </is>
      </c>
      <c r="E511" s="2" t="inlineStr">
        <is>
          <t>2.0mm</t>
        </is>
      </c>
      <c r="F511" s="2" t="n">
        <v>1</v>
      </c>
      <c r="G511" s="2" t="n">
        <v>20</v>
      </c>
      <c r="H511" s="2" t="inlineStr">
        <is>
          <t>LC/PC</t>
        </is>
      </c>
      <c r="I511" s="2" t="inlineStr">
        <is>
          <t>LC/PC</t>
        </is>
      </c>
      <c r="J511" s="2" t="n"/>
      <c r="K511" s="2" t="n"/>
      <c r="L511" s="2" t="n"/>
      <c r="M511" s="2" t="n"/>
      <c r="N511" s="2" t="n">
        <v>50</v>
      </c>
      <c r="O511" s="2" t="n"/>
      <c r="P511" s="2" t="n"/>
      <c r="Q511" s="2" t="n"/>
      <c r="R511" s="2" t="n"/>
      <c r="S511" s="2" t="n"/>
      <c r="T511" s="2" t="n"/>
      <c r="U511" s="2" t="n"/>
      <c r="V511" s="2">
        <f>SUM(J511:U511)</f>
        <v/>
      </c>
      <c r="W511" s="2" t="n">
        <v>100</v>
      </c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>
        <f>IF(F511=1,V511*2,IF(F511=2,V511*F511*2,IF(F511&gt;2,F511*2*V511)))</f>
        <v/>
      </c>
      <c r="AW511" s="2">
        <f>SUM(W511:AU511)</f>
        <v/>
      </c>
    </row>
    <row r="512">
      <c r="A512" s="2" t="inlineStr">
        <is>
          <t>14-S-097</t>
        </is>
      </c>
      <c r="B512" s="3" t="inlineStr">
        <is>
          <t>SOJC-SM-LC/PC-LC/PC</t>
        </is>
      </c>
      <c r="C512" s="2" t="inlineStr">
        <is>
          <t>2M</t>
        </is>
      </c>
      <c r="D512" s="2" t="inlineStr">
        <is>
          <t>a1</t>
        </is>
      </c>
      <c r="E512" s="2" t="inlineStr">
        <is>
          <t>2.0mm</t>
        </is>
      </c>
      <c r="F512" s="2" t="n">
        <v>1</v>
      </c>
      <c r="G512" s="2" t="n">
        <v>2</v>
      </c>
      <c r="H512" s="2" t="inlineStr">
        <is>
          <t>LC/PC</t>
        </is>
      </c>
      <c r="I512" s="2" t="inlineStr">
        <is>
          <t>LC/PC</t>
        </is>
      </c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>
        <v>13</v>
      </c>
      <c r="V512" s="2">
        <f>SUM(J512:U512)</f>
        <v/>
      </c>
      <c r="W512" s="2" t="n">
        <v>26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>
        <f>IF(F512=1,V512*2,IF(F512=2,V512*F512*2,IF(F512&gt;2,F512*2*V512)))</f>
        <v/>
      </c>
      <c r="AW512" s="2">
        <f>SUM(W512:AU512)</f>
        <v/>
      </c>
    </row>
    <row r="513">
      <c r="A513" s="2" t="inlineStr">
        <is>
          <t>14-S-104</t>
        </is>
      </c>
      <c r="B513" s="3" t="inlineStr">
        <is>
          <t>SOJC-SM-LC/PC-LC/PC</t>
        </is>
      </c>
      <c r="C513" s="2" t="inlineStr">
        <is>
          <t>5M</t>
        </is>
      </c>
      <c r="D513" s="2" t="inlineStr">
        <is>
          <t>a1</t>
        </is>
      </c>
      <c r="E513" s="2" t="inlineStr">
        <is>
          <t>2.0mm</t>
        </is>
      </c>
      <c r="F513" s="2" t="n">
        <v>1</v>
      </c>
      <c r="G513" s="2" t="n">
        <v>5</v>
      </c>
      <c r="H513" s="2" t="inlineStr">
        <is>
          <t>LC/PC</t>
        </is>
      </c>
      <c r="I513" s="2" t="inlineStr">
        <is>
          <t>LC/PC</t>
        </is>
      </c>
      <c r="J513" s="2" t="n"/>
      <c r="K513" s="2" t="n"/>
      <c r="L513" s="2" t="n"/>
      <c r="M513" s="2" t="n">
        <v>10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>
        <f>SUM(J513:U513)</f>
        <v/>
      </c>
      <c r="W513" s="2" t="n">
        <v>20</v>
      </c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>
        <f>IF(F513=1,V513*2,IF(F513=2,V513*F513*2,IF(F513&gt;2,F513*2*V513)))</f>
        <v/>
      </c>
      <c r="AW513" s="2">
        <f>SUM(W513:AU513)</f>
        <v/>
      </c>
    </row>
    <row r="514">
      <c r="A514" s="2" t="inlineStr">
        <is>
          <t>14-S-133</t>
        </is>
      </c>
      <c r="B514" s="3" t="inlineStr">
        <is>
          <t>SOJC-SM-LC/PC-SC/PC</t>
        </is>
      </c>
      <c r="C514" s="2" t="inlineStr">
        <is>
          <t>13M</t>
        </is>
      </c>
      <c r="D514" s="2" t="inlineStr">
        <is>
          <t>a1</t>
        </is>
      </c>
      <c r="E514" s="2" t="inlineStr">
        <is>
          <t>2.0mm</t>
        </is>
      </c>
      <c r="F514" s="2" t="n">
        <v>1</v>
      </c>
      <c r="G514" s="2" t="n">
        <v>13</v>
      </c>
      <c r="H514" s="2" t="inlineStr">
        <is>
          <t>LC/PC</t>
        </is>
      </c>
      <c r="I514" s="2" t="inlineStr">
        <is>
          <t>SC/PC</t>
        </is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>
        <v>30</v>
      </c>
      <c r="V514" s="2">
        <f>SUM(J514:U514)</f>
        <v/>
      </c>
      <c r="W514" s="2" t="n">
        <v>30</v>
      </c>
      <c r="X514" s="2" t="n"/>
      <c r="Y514" s="2" t="n"/>
      <c r="Z514" s="2" t="n"/>
      <c r="AA514" s="2" t="n">
        <v>30</v>
      </c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>
        <f>IF(F514=1,V514*2,IF(F514=2,V514*F514*2,IF(F514&gt;2,F514*2*V514)))</f>
        <v/>
      </c>
      <c r="AW514" s="2">
        <f>SUM(W514:AU514)</f>
        <v/>
      </c>
    </row>
    <row r="515">
      <c r="A515" s="2" t="inlineStr">
        <is>
          <t>14-S-179</t>
        </is>
      </c>
      <c r="B515" s="3" t="inlineStr">
        <is>
          <t>SOJC-SM-SC/APC-SC/APC</t>
        </is>
      </c>
      <c r="C515" s="2" t="inlineStr">
        <is>
          <t>15M</t>
        </is>
      </c>
      <c r="D515" s="2" t="inlineStr">
        <is>
          <t>a1</t>
        </is>
      </c>
      <c r="E515" s="2" t="inlineStr">
        <is>
          <t>2.0mm</t>
        </is>
      </c>
      <c r="F515" s="2" t="n">
        <v>1</v>
      </c>
      <c r="G515" s="2" t="n">
        <v>15</v>
      </c>
      <c r="H515" s="2" t="inlineStr">
        <is>
          <t>SC/APC</t>
        </is>
      </c>
      <c r="I515" s="2" t="inlineStr">
        <is>
          <t>SC/APC</t>
        </is>
      </c>
      <c r="J515" s="2" t="n"/>
      <c r="K515" s="2" t="n"/>
      <c r="L515" s="2" t="n">
        <v>20</v>
      </c>
      <c r="M515" s="2" t="n"/>
      <c r="N515" s="2" t="n"/>
      <c r="O515" s="2" t="n"/>
      <c r="P515" s="2" t="n"/>
      <c r="Q515" s="2" t="n"/>
      <c r="R515" s="2" t="n">
        <v>2</v>
      </c>
      <c r="S515" s="2" t="n"/>
      <c r="T515" s="2" t="n"/>
      <c r="U515" s="2" t="n"/>
      <c r="V515" s="2">
        <f>SUM(J515:U515)</f>
        <v/>
      </c>
      <c r="W515" s="2" t="n"/>
      <c r="X515" s="2" t="n"/>
      <c r="Y515" s="2" t="n"/>
      <c r="Z515" s="2" t="n"/>
      <c r="AA515" s="2" t="n"/>
      <c r="AB515" s="2" t="n"/>
      <c r="AC515" s="2" t="n">
        <v>44</v>
      </c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>
        <f>IF(F515=1,V515*2,IF(F515=2,V515*F515*2,IF(F515&gt;2,F515*2*V515)))</f>
        <v/>
      </c>
      <c r="AW515" s="2">
        <f>SUM(W515:AU515)</f>
        <v/>
      </c>
    </row>
    <row r="516">
      <c r="A516" s="2" t="inlineStr">
        <is>
          <t>14-S-189</t>
        </is>
      </c>
      <c r="B516" s="3" t="inlineStr">
        <is>
          <t>SOJC-SM-SC/APC-SC/APC</t>
        </is>
      </c>
      <c r="C516" s="2" t="inlineStr">
        <is>
          <t>5M</t>
        </is>
      </c>
      <c r="D516" s="2" t="inlineStr">
        <is>
          <t>a1</t>
        </is>
      </c>
      <c r="E516" s="2" t="inlineStr">
        <is>
          <t>2.0mm</t>
        </is>
      </c>
      <c r="F516" s="2" t="n">
        <v>1</v>
      </c>
      <c r="G516" s="2" t="n">
        <v>5</v>
      </c>
      <c r="H516" s="2" t="inlineStr">
        <is>
          <t>SC/APC</t>
        </is>
      </c>
      <c r="I516" s="2" t="inlineStr">
        <is>
          <t>SC/APC</t>
        </is>
      </c>
      <c r="J516" s="2" t="n"/>
      <c r="K516" s="2" t="n"/>
      <c r="L516" s="2" t="n"/>
      <c r="M516" s="2" t="n">
        <v>1</v>
      </c>
      <c r="N516" s="2" t="n"/>
      <c r="O516" s="2" t="n"/>
      <c r="P516" s="2" t="n"/>
      <c r="Q516" s="2" t="n"/>
      <c r="R516" s="2" t="n"/>
      <c r="S516" s="2" t="n"/>
      <c r="T516" s="2" t="n">
        <v>4</v>
      </c>
      <c r="U516" s="2" t="n"/>
      <c r="V516" s="2">
        <f>SUM(J516:U516)</f>
        <v/>
      </c>
      <c r="W516" s="2" t="n"/>
      <c r="X516" s="2" t="n"/>
      <c r="Y516" s="2" t="n"/>
      <c r="Z516" s="2" t="n"/>
      <c r="AA516" s="2" t="n"/>
      <c r="AB516" s="2" t="n"/>
      <c r="AC516" s="2" t="n">
        <v>10</v>
      </c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>
        <f>IF(F516=1,V516*2,IF(F516=2,V516*F516*2,IF(F516&gt;2,F516*2*V516)))</f>
        <v/>
      </c>
      <c r="AW516" s="2">
        <f>SUM(W516:AU516)</f>
        <v/>
      </c>
    </row>
    <row r="517">
      <c r="A517" s="2" t="inlineStr">
        <is>
          <t>14-S-214</t>
        </is>
      </c>
      <c r="B517" s="3" t="inlineStr">
        <is>
          <t>SOJC-SM-SC/PC-FC/APC</t>
        </is>
      </c>
      <c r="C517" s="2" t="inlineStr">
        <is>
          <t>8M</t>
        </is>
      </c>
      <c r="D517" s="2" t="inlineStr">
        <is>
          <t>a1</t>
        </is>
      </c>
      <c r="E517" s="2" t="inlineStr">
        <is>
          <t>2.0mm</t>
        </is>
      </c>
      <c r="F517" s="2" t="n">
        <v>1</v>
      </c>
      <c r="G517" s="2" t="n">
        <v>8</v>
      </c>
      <c r="H517" s="2" t="inlineStr">
        <is>
          <t>SC/PC</t>
        </is>
      </c>
      <c r="I517" s="2" t="inlineStr">
        <is>
          <t>FC/APC</t>
        </is>
      </c>
      <c r="J517" s="2" t="n"/>
      <c r="K517" s="2" t="n"/>
      <c r="L517" s="2" t="n"/>
      <c r="M517" s="2" t="n"/>
      <c r="N517" s="2" t="n"/>
      <c r="O517" s="2" t="n"/>
      <c r="P517" s="2" t="n">
        <v>2</v>
      </c>
      <c r="Q517" s="2" t="n"/>
      <c r="R517" s="2" t="n"/>
      <c r="S517" s="2" t="n"/>
      <c r="T517" s="2" t="n"/>
      <c r="U517" s="2" t="n"/>
      <c r="V517" s="2">
        <f>SUM(J517:U517)</f>
        <v/>
      </c>
      <c r="W517" s="2" t="n"/>
      <c r="X517" s="2" t="n"/>
      <c r="Y517" s="2" t="n"/>
      <c r="Z517" s="2" t="n"/>
      <c r="AA517" s="2" t="n">
        <v>2</v>
      </c>
      <c r="AB517" s="2" t="n"/>
      <c r="AC517" s="2" t="n"/>
      <c r="AD517" s="2" t="n"/>
      <c r="AE517" s="2" t="n"/>
      <c r="AF517" s="2" t="n"/>
      <c r="AG517" s="2" t="n">
        <v>2</v>
      </c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>
        <f>IF(F517=1,V517*2,IF(F517=2,V517*F517*2,IF(F517&gt;2,F517*2*V517)))</f>
        <v/>
      </c>
      <c r="AW517" s="2">
        <f>SUM(W517:AU517)</f>
        <v/>
      </c>
    </row>
    <row r="518">
      <c r="A518" s="2" t="inlineStr">
        <is>
          <t>14-S-237</t>
        </is>
      </c>
      <c r="B518" s="3" t="inlineStr">
        <is>
          <t>SOJC-SM-SC/PC-SC/APC</t>
        </is>
      </c>
      <c r="C518" s="2" t="inlineStr">
        <is>
          <t>15M</t>
        </is>
      </c>
      <c r="D518" s="2" t="inlineStr">
        <is>
          <t>a1</t>
        </is>
      </c>
      <c r="E518" s="2" t="inlineStr">
        <is>
          <t>2.0mm</t>
        </is>
      </c>
      <c r="F518" s="2" t="n">
        <v>1</v>
      </c>
      <c r="G518" s="2" t="n">
        <v>15</v>
      </c>
      <c r="H518" s="2" t="inlineStr">
        <is>
          <t>SC/PC</t>
        </is>
      </c>
      <c r="I518" s="2" t="inlineStr">
        <is>
          <t>SC/APC</t>
        </is>
      </c>
      <c r="J518" s="2" t="n"/>
      <c r="K518" s="2" t="n"/>
      <c r="L518" s="2" t="n">
        <v>30</v>
      </c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>
        <f>SUM(J518:U518)</f>
        <v/>
      </c>
      <c r="W518" s="2" t="n"/>
      <c r="X518" s="2" t="n"/>
      <c r="Y518" s="2" t="n"/>
      <c r="Z518" s="2" t="n"/>
      <c r="AA518" s="2" t="n">
        <v>30</v>
      </c>
      <c r="AB518" s="2" t="n"/>
      <c r="AC518" s="2" t="n">
        <v>30</v>
      </c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>
        <f>IF(F518=1,V518*2,IF(F518=2,V518*F518*2,IF(F518&gt;2,F518*2*V518)))</f>
        <v/>
      </c>
      <c r="AW518" s="2">
        <f>SUM(W518:AU518)</f>
        <v/>
      </c>
    </row>
    <row r="519">
      <c r="A519" s="2" t="inlineStr">
        <is>
          <t>14-S-241</t>
        </is>
      </c>
      <c r="B519" s="3" t="inlineStr">
        <is>
          <t>SOJC-SM-SC/PC-SC/APC</t>
        </is>
      </c>
      <c r="C519" s="2" t="inlineStr">
        <is>
          <t>20M</t>
        </is>
      </c>
      <c r="D519" s="2" t="inlineStr">
        <is>
          <t>a1</t>
        </is>
      </c>
      <c r="E519" s="2" t="inlineStr">
        <is>
          <t>2.0mm</t>
        </is>
      </c>
      <c r="F519" s="2" t="n">
        <v>1</v>
      </c>
      <c r="G519" s="2" t="n">
        <v>20</v>
      </c>
      <c r="H519" s="2" t="inlineStr">
        <is>
          <t>SC/PC</t>
        </is>
      </c>
      <c r="I519" s="2" t="inlineStr">
        <is>
          <t>SC/APC</t>
        </is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>
        <v>10</v>
      </c>
      <c r="V519" s="2">
        <f>SUM(J519:U519)</f>
        <v/>
      </c>
      <c r="W519" s="2" t="n"/>
      <c r="X519" s="2" t="n"/>
      <c r="Y519" s="2" t="n"/>
      <c r="Z519" s="2" t="n"/>
      <c r="AA519" s="2" t="n">
        <v>10</v>
      </c>
      <c r="AB519" s="2" t="n"/>
      <c r="AC519" s="2" t="n">
        <v>10</v>
      </c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>
        <f>IF(F519=1,V519*2,IF(F519=2,V519*F519*2,IF(F519&gt;2,F519*2*V519)))</f>
        <v/>
      </c>
      <c r="AW519" s="2">
        <f>SUM(W519:AU519)</f>
        <v/>
      </c>
    </row>
    <row r="520">
      <c r="A520" s="2" t="inlineStr">
        <is>
          <t>14-S-249</t>
        </is>
      </c>
      <c r="B520" s="3" t="inlineStr">
        <is>
          <t>SOJC-SM-SC/PC-SC/APC</t>
        </is>
      </c>
      <c r="C520" s="2" t="inlineStr">
        <is>
          <t>3M</t>
        </is>
      </c>
      <c r="D520" s="2" t="inlineStr">
        <is>
          <t>a1</t>
        </is>
      </c>
      <c r="E520" s="2" t="inlineStr">
        <is>
          <t>2.0mm</t>
        </is>
      </c>
      <c r="F520" s="2" t="n">
        <v>1</v>
      </c>
      <c r="G520" s="2" t="n">
        <v>3</v>
      </c>
      <c r="H520" s="2" t="inlineStr">
        <is>
          <t>SC/PC</t>
        </is>
      </c>
      <c r="I520" s="2" t="inlineStr">
        <is>
          <t>SC/APC</t>
        </is>
      </c>
      <c r="J520" s="2" t="n"/>
      <c r="K520" s="2" t="n">
        <v>200</v>
      </c>
      <c r="L520" s="2" t="n">
        <v>200</v>
      </c>
      <c r="M520" s="2" t="n"/>
      <c r="N520" s="2" t="n">
        <v>50</v>
      </c>
      <c r="O520" s="2" t="n"/>
      <c r="P520" s="2" t="n"/>
      <c r="Q520" s="2" t="n"/>
      <c r="R520" s="2" t="n"/>
      <c r="S520" s="2" t="n"/>
      <c r="T520" s="2" t="n"/>
      <c r="U520" s="2" t="n"/>
      <c r="V520" s="2">
        <f>SUM(J520:U520)</f>
        <v/>
      </c>
      <c r="W520" s="2" t="n"/>
      <c r="X520" s="2" t="n"/>
      <c r="Y520" s="2" t="n"/>
      <c r="Z520" s="2" t="n"/>
      <c r="AA520" s="2" t="n">
        <v>450</v>
      </c>
      <c r="AB520" s="2" t="n"/>
      <c r="AC520" s="2" t="n">
        <v>450</v>
      </c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>
        <f>IF(F520=1,V520*2,IF(F520=2,V520*F520*2,IF(F520&gt;2,F520*2*V520)))</f>
        <v/>
      </c>
      <c r="AW520" s="2">
        <f>SUM(W520:AU520)</f>
        <v/>
      </c>
    </row>
    <row r="521">
      <c r="A521" s="2" t="inlineStr">
        <is>
          <t>14-S-251</t>
        </is>
      </c>
      <c r="B521" s="3" t="inlineStr">
        <is>
          <t>SOJC-SM-SC/PC-SC/APC</t>
        </is>
      </c>
      <c r="C521" s="2" t="inlineStr">
        <is>
          <t>5M</t>
        </is>
      </c>
      <c r="D521" s="2" t="inlineStr">
        <is>
          <t>a1</t>
        </is>
      </c>
      <c r="E521" s="2" t="inlineStr">
        <is>
          <t>2.0mm</t>
        </is>
      </c>
      <c r="F521" s="2" t="n">
        <v>1</v>
      </c>
      <c r="G521" s="2" t="n">
        <v>5</v>
      </c>
      <c r="H521" s="2" t="inlineStr">
        <is>
          <t>SC/PC</t>
        </is>
      </c>
      <c r="I521" s="2" t="inlineStr">
        <is>
          <t>SC/APC</t>
        </is>
      </c>
      <c r="J521" s="2" t="n"/>
      <c r="K521" s="2" t="n">
        <v>2</v>
      </c>
      <c r="L521" s="2" t="n"/>
      <c r="M521" s="2" t="n"/>
      <c r="N521" s="2" t="n"/>
      <c r="O521" s="2" t="n"/>
      <c r="P521" s="2" t="n"/>
      <c r="Q521" s="2" t="n">
        <v>1</v>
      </c>
      <c r="R521" s="2" t="n"/>
      <c r="S521" s="2" t="n"/>
      <c r="T521" s="2" t="n"/>
      <c r="U521" s="2" t="n">
        <v>10</v>
      </c>
      <c r="V521" s="2">
        <f>SUM(J521:U521)</f>
        <v/>
      </c>
      <c r="W521" s="2" t="n"/>
      <c r="X521" s="2" t="n"/>
      <c r="Y521" s="2" t="n"/>
      <c r="Z521" s="2" t="n"/>
      <c r="AA521" s="2" t="n">
        <v>13</v>
      </c>
      <c r="AB521" s="2" t="n"/>
      <c r="AC521" s="2" t="n">
        <v>13</v>
      </c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>
        <f>IF(F521=1,V521*2,IF(F521=2,V521*F521*2,IF(F521&gt;2,F521*2*V521)))</f>
        <v/>
      </c>
      <c r="AW521" s="2">
        <f>SUM(W521:AU521)</f>
        <v/>
      </c>
    </row>
    <row r="522">
      <c r="A522" s="2" t="inlineStr">
        <is>
          <t>14-S-261</t>
        </is>
      </c>
      <c r="B522" s="3" t="inlineStr">
        <is>
          <t>SOJC-SM-SC/PC-SC/PC</t>
        </is>
      </c>
      <c r="C522" s="2" t="inlineStr">
        <is>
          <t>1M</t>
        </is>
      </c>
      <c r="D522" s="2" t="inlineStr">
        <is>
          <t>a1</t>
        </is>
      </c>
      <c r="E522" s="2" t="inlineStr">
        <is>
          <t>2.0mm</t>
        </is>
      </c>
      <c r="F522" s="2" t="n">
        <v>1</v>
      </c>
      <c r="G522" s="2" t="n">
        <v>1</v>
      </c>
      <c r="H522" s="2" t="inlineStr">
        <is>
          <t>SC/PC</t>
        </is>
      </c>
      <c r="I522" s="2" t="inlineStr">
        <is>
          <t>SC/PC</t>
        </is>
      </c>
      <c r="J522" s="2" t="n"/>
      <c r="K522" s="2" t="n"/>
      <c r="L522" s="2" t="n">
        <v>100</v>
      </c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>
        <f>SUM(J522:U522)</f>
        <v/>
      </c>
      <c r="W522" s="2" t="n"/>
      <c r="X522" s="2" t="n"/>
      <c r="Y522" s="2" t="n"/>
      <c r="Z522" s="2" t="n"/>
      <c r="AA522" s="2" t="n">
        <v>200</v>
      </c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>
        <f>IF(F522=1,V522*2,IF(F522=2,V522*F522*2,IF(F522&gt;2,F522*2*V522)))</f>
        <v/>
      </c>
      <c r="AW522" s="2">
        <f>SUM(W522:AU522)</f>
        <v/>
      </c>
    </row>
    <row r="523">
      <c r="A523" s="2" t="inlineStr">
        <is>
          <t>14-S-268</t>
        </is>
      </c>
      <c r="B523" s="3" t="inlineStr">
        <is>
          <t>SOJC-SM-SC/PC-SC/PC</t>
        </is>
      </c>
      <c r="C523" s="2" t="inlineStr">
        <is>
          <t>3M</t>
        </is>
      </c>
      <c r="D523" s="2" t="inlineStr">
        <is>
          <t>a1</t>
        </is>
      </c>
      <c r="E523" s="2" t="inlineStr">
        <is>
          <t>2.0mm</t>
        </is>
      </c>
      <c r="F523" s="2" t="n">
        <v>1</v>
      </c>
      <c r="G523" s="2" t="n">
        <v>3</v>
      </c>
      <c r="H523" s="2" t="inlineStr">
        <is>
          <t>SC/PC</t>
        </is>
      </c>
      <c r="I523" s="2" t="inlineStr">
        <is>
          <t>SC/PC</t>
        </is>
      </c>
      <c r="J523" s="2" t="n"/>
      <c r="K523" s="2" t="n"/>
      <c r="L523" s="2" t="n">
        <v>300</v>
      </c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>
        <f>SUM(J523:U523)</f>
        <v/>
      </c>
      <c r="W523" s="2" t="n"/>
      <c r="X523" s="2" t="n"/>
      <c r="Y523" s="2" t="n"/>
      <c r="Z523" s="2" t="n"/>
      <c r="AA523" s="2" t="n">
        <v>600</v>
      </c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>
        <f>IF(F523=1,V523*2,IF(F523=2,V523*F523*2,IF(F523&gt;2,F523*2*V523)))</f>
        <v/>
      </c>
      <c r="AW523" s="2">
        <f>SUM(W523:AU523)</f>
        <v/>
      </c>
    </row>
    <row r="524">
      <c r="A524" s="2" t="inlineStr">
        <is>
          <t>14-S-390</t>
        </is>
      </c>
      <c r="B524" s="3" t="inlineStr">
        <is>
          <t>SOJC-SM-LC/APC-SC/APC</t>
        </is>
      </c>
      <c r="C524" s="2" t="inlineStr">
        <is>
          <t>20M</t>
        </is>
      </c>
      <c r="D524" s="2" t="inlineStr">
        <is>
          <t>a1</t>
        </is>
      </c>
      <c r="E524" s="2" t="inlineStr">
        <is>
          <t>2.0mm</t>
        </is>
      </c>
      <c r="F524" s="2" t="n">
        <v>1</v>
      </c>
      <c r="G524" s="2" t="n">
        <v>20</v>
      </c>
      <c r="H524" s="2" t="inlineStr">
        <is>
          <t>LC/APC</t>
        </is>
      </c>
      <c r="I524" s="2" t="inlineStr">
        <is>
          <t>SC/APC</t>
        </is>
      </c>
      <c r="J524" s="2" t="n"/>
      <c r="K524" s="2" t="n"/>
      <c r="L524" s="2" t="n"/>
      <c r="M524" s="2" t="n"/>
      <c r="N524" s="2" t="n"/>
      <c r="O524" s="2" t="n"/>
      <c r="P524" s="2" t="n">
        <v>10</v>
      </c>
      <c r="Q524" s="2" t="n"/>
      <c r="R524" s="2" t="n"/>
      <c r="S524" s="2" t="n"/>
      <c r="T524" s="2" t="n"/>
      <c r="U524" s="2" t="n"/>
      <c r="V524" s="2">
        <f>SUM(J524:U524)</f>
        <v/>
      </c>
      <c r="W524" s="2" t="n"/>
      <c r="X524" s="2" t="n"/>
      <c r="Y524" s="2" t="n">
        <v>10</v>
      </c>
      <c r="Z524" s="2" t="n"/>
      <c r="AA524" s="2" t="n"/>
      <c r="AB524" s="2" t="n"/>
      <c r="AC524" s="2" t="n">
        <v>10</v>
      </c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>
        <f>IF(F524=1,V524*2,IF(F524=2,V524*F524*2,IF(F524&gt;2,F524*2*V524)))</f>
        <v/>
      </c>
      <c r="AW524" s="2">
        <f>SUM(W524:AU524)</f>
        <v/>
      </c>
    </row>
    <row r="525">
      <c r="A525" s="2" t="inlineStr">
        <is>
          <t>14-S-447</t>
        </is>
      </c>
      <c r="B525" s="3" t="inlineStr">
        <is>
          <t>SOJC-SM-LC/PC-LC/PC</t>
        </is>
      </c>
      <c r="C525" s="2" t="inlineStr">
        <is>
          <t>5M_청색케이블</t>
        </is>
      </c>
      <c r="D525" s="2" t="inlineStr">
        <is>
          <t>a1-청</t>
        </is>
      </c>
      <c r="E525" s="2" t="inlineStr">
        <is>
          <t>2.0mm</t>
        </is>
      </c>
      <c r="F525" s="2" t="n">
        <v>1</v>
      </c>
      <c r="G525" s="2" t="n">
        <v>5</v>
      </c>
      <c r="H525" s="2" t="inlineStr">
        <is>
          <t>LC/PC</t>
        </is>
      </c>
      <c r="I525" s="2" t="inlineStr">
        <is>
          <t>LC/PC</t>
        </is>
      </c>
      <c r="J525" s="2" t="n"/>
      <c r="K525" s="2" t="n"/>
      <c r="L525" s="2" t="n"/>
      <c r="M525" s="2" t="n">
        <v>150</v>
      </c>
      <c r="N525" s="2" t="n">
        <v>200</v>
      </c>
      <c r="O525" s="2" t="n"/>
      <c r="P525" s="2" t="n"/>
      <c r="Q525" s="2" t="n"/>
      <c r="R525" s="2" t="n"/>
      <c r="S525" s="2" t="n"/>
      <c r="T525" s="2" t="n"/>
      <c r="U525" s="2" t="n"/>
      <c r="V525" s="2">
        <f>SUM(J525:U525)</f>
        <v/>
      </c>
      <c r="W525" s="2" t="n">
        <v>700</v>
      </c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>
        <f>IF(F525=1,V525*2,IF(F525=2,V525*F525*2,IF(F525&gt;2,F525*2*V525)))</f>
        <v/>
      </c>
      <c r="AW525" s="2">
        <f>SUM(W525:AU525)</f>
        <v/>
      </c>
    </row>
    <row r="526">
      <c r="A526" s="2" t="inlineStr">
        <is>
          <t>14-S-500</t>
        </is>
      </c>
      <c r="B526" s="3" t="inlineStr">
        <is>
          <t>SOJC-SM-LC/PC-SC/APC</t>
        </is>
      </c>
      <c r="C526" s="2" t="inlineStr">
        <is>
          <t>0.3M</t>
        </is>
      </c>
      <c r="D526" s="2" t="inlineStr">
        <is>
          <t>a1</t>
        </is>
      </c>
      <c r="E526" s="2" t="inlineStr">
        <is>
          <t>2.0mm</t>
        </is>
      </c>
      <c r="F526" s="2" t="n">
        <v>1</v>
      </c>
      <c r="G526" s="2" t="n">
        <v>0.3</v>
      </c>
      <c r="H526" s="2" t="inlineStr">
        <is>
          <t>LC/PC</t>
        </is>
      </c>
      <c r="I526" s="2" t="inlineStr">
        <is>
          <t>SC/APC</t>
        </is>
      </c>
      <c r="J526" s="2" t="n"/>
      <c r="K526" s="2" t="n"/>
      <c r="L526" s="2" t="n"/>
      <c r="M526" s="2" t="n"/>
      <c r="N526" s="2" t="n"/>
      <c r="O526" s="2" t="n"/>
      <c r="P526" s="2" t="n">
        <v>100</v>
      </c>
      <c r="Q526" s="2" t="n"/>
      <c r="R526" s="2" t="n"/>
      <c r="S526" s="2" t="n">
        <v>100</v>
      </c>
      <c r="T526" s="2" t="n"/>
      <c r="U526" s="2" t="n"/>
      <c r="V526" s="2">
        <f>SUM(J526:U526)</f>
        <v/>
      </c>
      <c r="W526" s="2" t="n">
        <v>200</v>
      </c>
      <c r="X526" s="2" t="n"/>
      <c r="Y526" s="2" t="n"/>
      <c r="Z526" s="2" t="n"/>
      <c r="AA526" s="2" t="n"/>
      <c r="AB526" s="2" t="n"/>
      <c r="AC526" s="2" t="n">
        <v>200</v>
      </c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>
        <f>IF(F526=1,V526*2,IF(F526=2,V526*F526*2,IF(F526&gt;2,F526*2*V526)))</f>
        <v/>
      </c>
      <c r="AW526" s="2">
        <f>SUM(W526:AU526)</f>
        <v/>
      </c>
    </row>
    <row r="527">
      <c r="A527" s="2" t="inlineStr">
        <is>
          <t>14-S-852</t>
        </is>
      </c>
      <c r="B527" s="3" t="inlineStr">
        <is>
          <t>OJC-A1-SC/SC-SM-3-PC/PC-SP</t>
        </is>
      </c>
      <c r="C527" s="2" t="inlineStr">
        <is>
          <t>K9088996_녹색</t>
        </is>
      </c>
      <c r="D527" s="2" t="inlineStr">
        <is>
          <t>a1-녹</t>
        </is>
      </c>
      <c r="E527" s="2" t="inlineStr">
        <is>
          <t>2.0mm</t>
        </is>
      </c>
      <c r="F527" s="2" t="n">
        <v>1</v>
      </c>
      <c r="G527" s="2" t="n">
        <v>3</v>
      </c>
      <c r="H527" s="2" t="inlineStr">
        <is>
          <t>SC/PC</t>
        </is>
      </c>
      <c r="I527" s="2" t="inlineStr">
        <is>
          <t>SC/PC</t>
        </is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>
        <v>100</v>
      </c>
      <c r="T527" s="2" t="n"/>
      <c r="U527" s="2" t="n"/>
      <c r="V527" s="2">
        <f>SUM(J527:U527)</f>
        <v/>
      </c>
      <c r="W527" s="2" t="n"/>
      <c r="X527" s="2" t="n"/>
      <c r="Y527" s="2" t="n"/>
      <c r="Z527" s="2" t="n"/>
      <c r="AA527" s="2" t="n">
        <v>200</v>
      </c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>
        <f>IF(F527=1,V527*2,IF(F527=2,V527*F527*2,IF(F527&gt;2,F527*2*V527)))</f>
        <v/>
      </c>
      <c r="AW527" s="2">
        <f>SUM(W527:AU527)</f>
        <v/>
      </c>
    </row>
    <row r="528">
      <c r="A528" s="2" t="inlineStr">
        <is>
          <t>14-S-867</t>
        </is>
      </c>
      <c r="B528" s="3" t="inlineStr">
        <is>
          <t>OJC-A1-SC/LC-SM-0.3-PC/PC-SP</t>
        </is>
      </c>
      <c r="C528" s="2" t="inlineStr"/>
      <c r="D528" s="2" t="inlineStr">
        <is>
          <t>a1</t>
        </is>
      </c>
      <c r="E528" s="2" t="inlineStr">
        <is>
          <t>2.0mm</t>
        </is>
      </c>
      <c r="F528" s="2" t="n">
        <v>1</v>
      </c>
      <c r="G528" s="2" t="n">
        <v>0.3</v>
      </c>
      <c r="H528" s="2" t="inlineStr">
        <is>
          <t>SC/PC</t>
        </is>
      </c>
      <c r="I528" s="2" t="inlineStr">
        <is>
          <t>LC/PC</t>
        </is>
      </c>
      <c r="J528" s="2" t="n"/>
      <c r="K528" s="2" t="n"/>
      <c r="L528" s="2" t="n"/>
      <c r="M528" s="2" t="n"/>
      <c r="N528" s="2" t="n">
        <v>1</v>
      </c>
      <c r="O528" s="2" t="n">
        <v>526</v>
      </c>
      <c r="P528" s="2" t="n"/>
      <c r="Q528" s="2" t="n">
        <v>18</v>
      </c>
      <c r="R528" s="2" t="n"/>
      <c r="S528" s="2" t="n"/>
      <c r="T528" s="2" t="n"/>
      <c r="U528" s="2" t="n"/>
      <c r="V528" s="2">
        <f>SUM(J528:U528)</f>
        <v/>
      </c>
      <c r="W528" s="2" t="n">
        <v>545</v>
      </c>
      <c r="X528" s="2" t="n"/>
      <c r="Y528" s="2" t="n"/>
      <c r="Z528" s="2" t="n"/>
      <c r="AA528" s="2" t="n">
        <v>545</v>
      </c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>
        <f>IF(F528=1,V528*2,IF(F528=2,V528*F528*2,IF(F528&gt;2,F528*2*V528)))</f>
        <v/>
      </c>
      <c r="AW528" s="2">
        <f>SUM(W528:AU528)</f>
        <v/>
      </c>
    </row>
    <row r="529">
      <c r="A529" s="2" t="inlineStr">
        <is>
          <t>14-S-868</t>
        </is>
      </c>
      <c r="B529" s="3" t="inlineStr">
        <is>
          <t>OJC-A1-SC/SC-SM-0.3-PC/PC-SP</t>
        </is>
      </c>
      <c r="C529" s="2" t="inlineStr"/>
      <c r="D529" s="2" t="inlineStr">
        <is>
          <t>a1</t>
        </is>
      </c>
      <c r="E529" s="2" t="inlineStr">
        <is>
          <t>2.0mm</t>
        </is>
      </c>
      <c r="F529" s="2" t="n">
        <v>1</v>
      </c>
      <c r="G529" s="2" t="n">
        <v>0.3</v>
      </c>
      <c r="H529" s="2" t="inlineStr">
        <is>
          <t>SC/PC</t>
        </is>
      </c>
      <c r="I529" s="2" t="inlineStr">
        <is>
          <t>SC/PC</t>
        </is>
      </c>
      <c r="J529" s="2" t="n"/>
      <c r="K529" s="2" t="n"/>
      <c r="L529" s="2" t="n"/>
      <c r="M529" s="2" t="n"/>
      <c r="N529" s="2" t="n"/>
      <c r="O529" s="2" t="n"/>
      <c r="P529" s="2" t="n"/>
      <c r="Q529" s="2" t="n">
        <v>19</v>
      </c>
      <c r="R529" s="2" t="n"/>
      <c r="S529" s="2" t="n"/>
      <c r="T529" s="2" t="n"/>
      <c r="U529" s="2" t="n"/>
      <c r="V529" s="2">
        <f>SUM(J529:U529)</f>
        <v/>
      </c>
      <c r="W529" s="2" t="n"/>
      <c r="X529" s="2" t="n"/>
      <c r="Y529" s="2" t="n"/>
      <c r="Z529" s="2" t="n"/>
      <c r="AA529" s="2" t="n">
        <v>38</v>
      </c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>
        <f>IF(F529=1,V529*2,IF(F529=2,V529*F529*2,IF(F529&gt;2,F529*2*V529)))</f>
        <v/>
      </c>
      <c r="AW529" s="2">
        <f>SUM(W529:AU529)</f>
        <v/>
      </c>
    </row>
    <row r="530">
      <c r="A530" s="2" t="inlineStr">
        <is>
          <t>14-S-897</t>
        </is>
      </c>
      <c r="B530" s="3" t="inlineStr">
        <is>
          <t>SOJC-SM-LC/PC-LC-PC</t>
        </is>
      </c>
      <c r="C530" s="2" t="inlineStr">
        <is>
          <t>7M,청색 케이블</t>
        </is>
      </c>
      <c r="D530" s="2" t="inlineStr">
        <is>
          <t>a1-청</t>
        </is>
      </c>
      <c r="E530" s="2" t="inlineStr">
        <is>
          <t>2.0mm</t>
        </is>
      </c>
      <c r="F530" s="2" t="n">
        <v>1</v>
      </c>
      <c r="G530" s="2" t="n">
        <v>7</v>
      </c>
      <c r="H530" s="2" t="inlineStr">
        <is>
          <t>LC/PC</t>
        </is>
      </c>
      <c r="I530" s="2" t="inlineStr">
        <is>
          <t>LC/PC</t>
        </is>
      </c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>
        <v>150</v>
      </c>
      <c r="S530" s="2" t="n"/>
      <c r="T530" s="2" t="n"/>
      <c r="U530" s="2" t="n"/>
      <c r="V530" s="2">
        <f>SUM(J530:U530)</f>
        <v/>
      </c>
      <c r="W530" s="2" t="n">
        <v>300</v>
      </c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>
        <f>IF(F530=1,V530*2,IF(F530=2,V530*F530*2,IF(F530&gt;2,F530*2*V530)))</f>
        <v/>
      </c>
      <c r="AW530" s="2">
        <f>SUM(W530:AU530)</f>
        <v/>
      </c>
    </row>
    <row r="531">
      <c r="A531" s="2" t="inlineStr">
        <is>
          <t>14-S-A001</t>
        </is>
      </c>
      <c r="B531" s="3" t="inlineStr">
        <is>
          <t>SOJC-SM-LC/PC-LC-PC</t>
        </is>
      </c>
      <c r="C531" s="2" t="inlineStr">
        <is>
          <t>13M,청색 케이블</t>
        </is>
      </c>
      <c r="D531" s="2" t="inlineStr">
        <is>
          <t>a1-청</t>
        </is>
      </c>
      <c r="E531" s="2" t="inlineStr">
        <is>
          <t>2.0mm</t>
        </is>
      </c>
      <c r="F531" s="2" t="n">
        <v>1</v>
      </c>
      <c r="G531" s="2" t="n">
        <v>13</v>
      </c>
      <c r="H531" s="2" t="inlineStr">
        <is>
          <t>LC/PC</t>
        </is>
      </c>
      <c r="I531" s="2" t="inlineStr">
        <is>
          <t>LC/PC</t>
        </is>
      </c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>
        <v>200</v>
      </c>
      <c r="S531" s="2" t="n"/>
      <c r="T531" s="2" t="n"/>
      <c r="U531" s="2" t="n"/>
      <c r="V531" s="2">
        <f>SUM(J531:U531)</f>
        <v/>
      </c>
      <c r="W531" s="2" t="n">
        <v>400</v>
      </c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>
        <f>IF(F531=1,V531*2,IF(F531=2,V531*F531*2,IF(F531&gt;2,F531*2*V531)))</f>
        <v/>
      </c>
      <c r="AW531" s="2">
        <f>SUM(W531:AU531)</f>
        <v/>
      </c>
    </row>
    <row r="532">
      <c r="A532" s="2" t="inlineStr">
        <is>
          <t>14-S-A042</t>
        </is>
      </c>
      <c r="B532" s="3" t="inlineStr">
        <is>
          <t>SOJC-SM-LC/PC-FC/APC</t>
        </is>
      </c>
      <c r="C532" s="2" t="inlineStr">
        <is>
          <t>0.2M</t>
        </is>
      </c>
      <c r="D532" s="2" t="inlineStr">
        <is>
          <t>a1</t>
        </is>
      </c>
      <c r="E532" s="2" t="inlineStr">
        <is>
          <t>2.0mm</t>
        </is>
      </c>
      <c r="F532" s="2" t="n">
        <v>1</v>
      </c>
      <c r="G532" s="2" t="n">
        <v>0.2</v>
      </c>
      <c r="H532" s="2" t="inlineStr">
        <is>
          <t>LC/PC</t>
        </is>
      </c>
      <c r="I532" s="2" t="inlineStr">
        <is>
          <t>FC/APC</t>
        </is>
      </c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>
        <v>30</v>
      </c>
      <c r="T532" s="2" t="n"/>
      <c r="U532" s="2" t="n"/>
      <c r="V532" s="2">
        <f>SUM(J532:U532)</f>
        <v/>
      </c>
      <c r="W532" s="2" t="n">
        <v>30</v>
      </c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>
        <v>30</v>
      </c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>
        <f>IF(F532=1,V532*2,IF(F532=2,V532*F532*2,IF(F532&gt;2,F532*2*V532)))</f>
        <v/>
      </c>
      <c r="AW532" s="2">
        <f>SUM(W532:AU532)</f>
        <v/>
      </c>
    </row>
    <row r="533">
      <c r="A533" s="2" t="inlineStr">
        <is>
          <t>14-S-A375</t>
        </is>
      </c>
      <c r="B533" s="3" t="inlineStr">
        <is>
          <t>SOJC-SM-LC/PC-LC/PC</t>
        </is>
      </c>
      <c r="C533" s="2" t="inlineStr">
        <is>
          <t>10M, 적색케이블</t>
        </is>
      </c>
      <c r="D533" s="2" t="inlineStr">
        <is>
          <t>a1-적</t>
        </is>
      </c>
      <c r="E533" s="2" t="inlineStr">
        <is>
          <t>2.0mm</t>
        </is>
      </c>
      <c r="F533" s="2" t="n">
        <v>1</v>
      </c>
      <c r="G533" s="2" t="n">
        <v>10</v>
      </c>
      <c r="H533" s="2" t="inlineStr">
        <is>
          <t>LC/PC</t>
        </is>
      </c>
      <c r="I533" s="2" t="inlineStr">
        <is>
          <t>LC/PC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>
        <v>30</v>
      </c>
      <c r="V533" s="2">
        <f>SUM(J533:U533)</f>
        <v/>
      </c>
      <c r="W533" s="2" t="n">
        <v>60</v>
      </c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>
        <f>IF(F533=1,V533*2,IF(F533=2,V533*F533*2,IF(F533&gt;2,F533*2*V533)))</f>
        <v/>
      </c>
      <c r="AW533" s="2">
        <f>SUM(W533:AU533)</f>
        <v/>
      </c>
    </row>
    <row r="534">
      <c r="A534" s="2" t="inlineStr">
        <is>
          <t>14-k-727</t>
        </is>
      </c>
      <c r="B534" s="3" t="inlineStr">
        <is>
          <t>OJC-C2-SC/SC-SM-6-PC/PC-16C</t>
        </is>
      </c>
      <c r="C534" s="2" t="inlineStr">
        <is>
          <t>K9094339</t>
        </is>
      </c>
      <c r="D534" s="2" t="inlineStr">
        <is>
          <t>a1-16c</t>
        </is>
      </c>
      <c r="E534" s="2" t="inlineStr">
        <is>
          <t>2.0mm</t>
        </is>
      </c>
      <c r="F534" s="2" t="n">
        <v>16</v>
      </c>
      <c r="G534" s="2" t="n">
        <v>6</v>
      </c>
      <c r="H534" s="2" t="inlineStr">
        <is>
          <t>SC/PC</t>
        </is>
      </c>
      <c r="I534" s="2" t="inlineStr">
        <is>
          <t>SC/PC</t>
        </is>
      </c>
      <c r="J534" s="2" t="n"/>
      <c r="K534" s="2" t="n"/>
      <c r="L534" s="2" t="n"/>
      <c r="M534" s="2" t="n"/>
      <c r="N534" s="2" t="n"/>
      <c r="O534" s="2" t="n"/>
      <c r="P534" s="2" t="n">
        <v>15</v>
      </c>
      <c r="Q534" s="2" t="n"/>
      <c r="R534" s="2" t="n">
        <v>29</v>
      </c>
      <c r="S534" s="2" t="n"/>
      <c r="T534" s="2" t="n"/>
      <c r="U534" s="2" t="n"/>
      <c r="V534" s="2">
        <f>SUM(J534:U534)</f>
        <v/>
      </c>
      <c r="W534" s="2" t="n"/>
      <c r="X534" s="2" t="n"/>
      <c r="Y534" s="2" t="n"/>
      <c r="Z534" s="2" t="n"/>
      <c r="AA534" s="2" t="n">
        <v>1408</v>
      </c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>
        <f>IF(F534=1,V534*2,IF(F534=2,V534*F534*2,IF(F534&gt;2,F534*2*V534)))</f>
        <v/>
      </c>
      <c r="AW534" s="2">
        <f>SUM(W534:AU534)</f>
        <v/>
      </c>
    </row>
    <row r="535">
      <c r="A535" s="2" t="inlineStr">
        <is>
          <t>45-A-123</t>
        </is>
      </c>
      <c r="B535" s="3" t="inlineStr">
        <is>
          <t>DOJC-SM-LC/PC-FC/APC</t>
        </is>
      </c>
      <c r="C535" s="2" t="inlineStr">
        <is>
          <t>B3, 13M</t>
        </is>
      </c>
      <c r="D535" s="2" t="inlineStr">
        <is>
          <t>b3</t>
        </is>
      </c>
      <c r="E535" s="2" t="inlineStr">
        <is>
          <t>2.0mm</t>
        </is>
      </c>
      <c r="F535" s="2" t="n">
        <v>2</v>
      </c>
      <c r="G535" s="2" t="n">
        <v>13</v>
      </c>
      <c r="H535" s="2" t="inlineStr">
        <is>
          <t>LC/PC</t>
        </is>
      </c>
      <c r="I535" s="2" t="inlineStr">
        <is>
          <t>FC/APC</t>
        </is>
      </c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>
        <v>4</v>
      </c>
      <c r="S535" s="2" t="n"/>
      <c r="T535" s="2" t="n"/>
      <c r="U535" s="2" t="n"/>
      <c r="V535" s="2">
        <f>SUM(J535:U535)</f>
        <v/>
      </c>
      <c r="W535" s="2" t="n">
        <v>8</v>
      </c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>
        <v>8</v>
      </c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>
        <f>IF(F535=1,V535*2,IF(F535=2,V535*F535*2,IF(F535&gt;2,F535*2*V535)))</f>
        <v/>
      </c>
      <c r="AW535" s="2">
        <f>SUM(W535:AU535)</f>
        <v/>
      </c>
    </row>
    <row r="536">
      <c r="A536" s="2" t="inlineStr">
        <is>
          <t>A14-D-FA/FA-B-N-014</t>
        </is>
      </c>
      <c r="B536" s="3" t="inlineStr">
        <is>
          <t>DOJC-SM-FC/APC-FC/APC</t>
        </is>
      </c>
      <c r="C536" s="2" t="inlineStr">
        <is>
          <t>908040655, 8M, B3, 2.0mm</t>
        </is>
      </c>
      <c r="D536" s="2" t="inlineStr">
        <is>
          <t>b3</t>
        </is>
      </c>
      <c r="E536" s="2" t="inlineStr">
        <is>
          <t>2.0mm</t>
        </is>
      </c>
      <c r="F536" s="2" t="n">
        <v>2</v>
      </c>
      <c r="G536" s="2" t="n">
        <v>8</v>
      </c>
      <c r="H536" s="2" t="inlineStr">
        <is>
          <t>FC/APC</t>
        </is>
      </c>
      <c r="I536" s="2" t="inlineStr">
        <is>
          <t>FC/APC</t>
        </is>
      </c>
      <c r="J536" s="2" t="n"/>
      <c r="K536" s="2" t="n"/>
      <c r="L536" s="2" t="n">
        <v>2</v>
      </c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>
        <f>SUM(J536:U536)</f>
        <v/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>
        <v>4</v>
      </c>
      <c r="AH536" s="2" t="n">
        <v>4</v>
      </c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>
        <f>IF(F536=1,V536*2,IF(F536=2,V536*F536*2,IF(F536&gt;2,F536*2*V536)))</f>
        <v/>
      </c>
      <c r="AW536" s="2">
        <f>SUM(W536:AU536)</f>
        <v/>
      </c>
    </row>
    <row r="537">
      <c r="A537" s="2" t="inlineStr">
        <is>
          <t>A14-D-FP/FA-B-N-001</t>
        </is>
      </c>
      <c r="B537" s="3" t="inlineStr">
        <is>
          <t>DOJC-SM-FC/PC-FC/APC</t>
        </is>
      </c>
      <c r="C537" s="2" t="inlineStr">
        <is>
          <t>908040627, 10M, B3, 2.0mm</t>
        </is>
      </c>
      <c r="D537" s="2" t="inlineStr">
        <is>
          <t>b3</t>
        </is>
      </c>
      <c r="E537" s="2" t="inlineStr">
        <is>
          <t>2.0mm</t>
        </is>
      </c>
      <c r="F537" s="2" t="n">
        <v>2</v>
      </c>
      <c r="G537" s="2" t="n">
        <v>10</v>
      </c>
      <c r="H537" s="2" t="inlineStr">
        <is>
          <t>FC/PC</t>
        </is>
      </c>
      <c r="I537" s="2" t="inlineStr">
        <is>
          <t>FC/APC</t>
        </is>
      </c>
      <c r="J537" s="2" t="n"/>
      <c r="K537" s="2" t="n"/>
      <c r="L537" s="2" t="n"/>
      <c r="M537" s="2" t="n"/>
      <c r="N537" s="2" t="n"/>
      <c r="O537" s="2" t="n"/>
      <c r="P537" s="2" t="n"/>
      <c r="Q537" s="2" t="n">
        <v>10</v>
      </c>
      <c r="R537" s="2" t="n"/>
      <c r="S537" s="2" t="n"/>
      <c r="T537" s="2" t="n"/>
      <c r="U537" s="2" t="n"/>
      <c r="V537" s="2">
        <f>SUM(J537:U537)</f>
        <v/>
      </c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>
        <v>20</v>
      </c>
      <c r="AF537" s="2" t="n"/>
      <c r="AG537" s="2" t="n"/>
      <c r="AH537" s="2" t="n">
        <v>20</v>
      </c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>
        <f>IF(F537=1,V537*2,IF(F537=2,V537*F537*2,IF(F537&gt;2,F537*2*V537)))</f>
        <v/>
      </c>
      <c r="AW537" s="2">
        <f>SUM(W537:AU537)</f>
        <v/>
      </c>
    </row>
    <row r="538">
      <c r="A538" s="2" t="inlineStr">
        <is>
          <t>A14-D-FP/FA-B-N-010</t>
        </is>
      </c>
      <c r="B538" s="3" t="inlineStr">
        <is>
          <t>DOJC-SM-FC/PC-FC/APC</t>
        </is>
      </c>
      <c r="C538" s="2" t="inlineStr">
        <is>
          <t>908040622, 5M, B3, 3.0mm</t>
        </is>
      </c>
      <c r="D538" s="2" t="inlineStr">
        <is>
          <t>b3</t>
        </is>
      </c>
      <c r="E538" s="2" t="inlineStr">
        <is>
          <t>3.0mm</t>
        </is>
      </c>
      <c r="F538" s="2" t="n">
        <v>2</v>
      </c>
      <c r="G538" s="2" t="n">
        <v>5</v>
      </c>
      <c r="H538" s="2" t="inlineStr">
        <is>
          <t>FC/PC</t>
        </is>
      </c>
      <c r="I538" s="2" t="inlineStr">
        <is>
          <t>FC/APC</t>
        </is>
      </c>
      <c r="J538" s="2" t="n"/>
      <c r="K538" s="2" t="n"/>
      <c r="L538" s="2" t="n"/>
      <c r="M538" s="2" t="n"/>
      <c r="N538" s="2" t="n"/>
      <c r="O538" s="2" t="n"/>
      <c r="P538" s="2" t="n"/>
      <c r="Q538" s="2" t="n">
        <v>8</v>
      </c>
      <c r="R538" s="2" t="n"/>
      <c r="S538" s="2" t="n"/>
      <c r="T538" s="2" t="n"/>
      <c r="U538" s="2" t="n"/>
      <c r="V538" s="2">
        <f>SUM(J538:U538)</f>
        <v/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>
        <v>16</v>
      </c>
      <c r="AS538" s="2" t="n"/>
      <c r="AT538" s="2" t="n"/>
      <c r="AU538" s="2" t="n">
        <v>16</v>
      </c>
      <c r="AV538" s="2">
        <f>IF(F538=1,V538*2,IF(F538=2,V538*F538*2,IF(F538&gt;2,F538*2*V538)))</f>
        <v/>
      </c>
      <c r="AW538" s="2">
        <f>SUM(W538:AU538)</f>
        <v/>
      </c>
    </row>
    <row r="539">
      <c r="A539" s="2" t="inlineStr">
        <is>
          <t>A14-D-FP/FP-B-N-004</t>
        </is>
      </c>
      <c r="B539" s="3" t="inlineStr">
        <is>
          <t>DOJC-SM-FC/PC-FC/PC</t>
        </is>
      </c>
      <c r="C539" s="2" t="inlineStr">
        <is>
          <t>908040607, 20M, B3, 2.0mm</t>
        </is>
      </c>
      <c r="D539" s="2" t="inlineStr">
        <is>
          <t>b3</t>
        </is>
      </c>
      <c r="E539" s="2" t="inlineStr">
        <is>
          <t>2.0mm</t>
        </is>
      </c>
      <c r="F539" s="2" t="n">
        <v>2</v>
      </c>
      <c r="G539" s="2" t="n">
        <v>20</v>
      </c>
      <c r="H539" s="2" t="inlineStr">
        <is>
          <t>FC/PC</t>
        </is>
      </c>
      <c r="I539" s="2" t="inlineStr">
        <is>
          <t>FC/PC</t>
        </is>
      </c>
      <c r="J539" s="2" t="n"/>
      <c r="K539" s="2" t="n"/>
      <c r="L539" s="2" t="n"/>
      <c r="M539" s="2" t="n"/>
      <c r="N539" s="2" t="n"/>
      <c r="O539" s="2" t="n"/>
      <c r="P539" s="2" t="n">
        <v>30</v>
      </c>
      <c r="Q539" s="2" t="n">
        <v>10</v>
      </c>
      <c r="R539" s="2" t="n"/>
      <c r="S539" s="2" t="n"/>
      <c r="T539" s="2" t="n"/>
      <c r="U539" s="2" t="n">
        <v>10</v>
      </c>
      <c r="V539" s="2">
        <f>SUM(J539:U539)</f>
        <v/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>
        <v>100</v>
      </c>
      <c r="AF539" s="2" t="n">
        <v>100</v>
      </c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>
        <f>IF(F539=1,V539*2,IF(F539=2,V539*F539*2,IF(F539&gt;2,F539*2*V539)))</f>
        <v/>
      </c>
      <c r="AW539" s="2">
        <f>SUM(W539:AU539)</f>
        <v/>
      </c>
    </row>
    <row r="540">
      <c r="A540" s="2" t="inlineStr">
        <is>
          <t>A14-D-FP/FP-B-N-005</t>
        </is>
      </c>
      <c r="B540" s="3" t="inlineStr">
        <is>
          <t>DOJC-SM-FC/PC-FC/PC</t>
        </is>
      </c>
      <c r="C540" s="2" t="inlineStr">
        <is>
          <t>908040612, 25M, B3, 2.0mm</t>
        </is>
      </c>
      <c r="D540" s="2" t="inlineStr">
        <is>
          <t>b3</t>
        </is>
      </c>
      <c r="E540" s="2" t="inlineStr">
        <is>
          <t>2.0mm</t>
        </is>
      </c>
      <c r="F540" s="2" t="n">
        <v>2</v>
      </c>
      <c r="G540" s="2" t="n">
        <v>25</v>
      </c>
      <c r="H540" s="2" t="inlineStr">
        <is>
          <t>FC/PC</t>
        </is>
      </c>
      <c r="I540" s="2" t="inlineStr">
        <is>
          <t>FC/PC</t>
        </is>
      </c>
      <c r="J540" s="2" t="n"/>
      <c r="K540" s="2" t="n"/>
      <c r="L540" s="2" t="n">
        <v>20</v>
      </c>
      <c r="M540" s="2" t="n"/>
      <c r="N540" s="2" t="n"/>
      <c r="O540" s="2" t="n"/>
      <c r="P540" s="2" t="n">
        <v>30</v>
      </c>
      <c r="Q540" s="2" t="n">
        <v>10</v>
      </c>
      <c r="R540" s="2" t="n"/>
      <c r="S540" s="2" t="n"/>
      <c r="T540" s="2" t="n"/>
      <c r="U540" s="2" t="n"/>
      <c r="V540" s="2">
        <f>SUM(J540:U540)</f>
        <v/>
      </c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>
        <v>120</v>
      </c>
      <c r="AF540" s="2" t="n">
        <v>120</v>
      </c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>
        <f>IF(F540=1,V540*2,IF(F540=2,V540*F540*2,IF(F540&gt;2,F540*2*V540)))</f>
        <v/>
      </c>
      <c r="AW540" s="2">
        <f>SUM(W540:AU540)</f>
        <v/>
      </c>
    </row>
    <row r="541">
      <c r="A541" s="2" t="inlineStr">
        <is>
          <t>A14-D-FP/FP-B-N-007</t>
        </is>
      </c>
      <c r="B541" s="3" t="inlineStr">
        <is>
          <t>DOJC-SM-FC/PC-FC/PC</t>
        </is>
      </c>
      <c r="C541" s="2" t="inlineStr">
        <is>
          <t>908040617, 30M, B3, 2.0mm</t>
        </is>
      </c>
      <c r="D541" s="2" t="inlineStr">
        <is>
          <t>b3</t>
        </is>
      </c>
      <c r="E541" s="2" t="inlineStr">
        <is>
          <t>2.0mm</t>
        </is>
      </c>
      <c r="F541" s="2" t="n">
        <v>2</v>
      </c>
      <c r="G541" s="2" t="n">
        <v>30</v>
      </c>
      <c r="H541" s="2" t="inlineStr">
        <is>
          <t>FC/PC</t>
        </is>
      </c>
      <c r="I541" s="2" t="inlineStr">
        <is>
          <t>FC/PC</t>
        </is>
      </c>
      <c r="J541" s="2" t="n"/>
      <c r="K541" s="2" t="n"/>
      <c r="L541" s="2" t="n"/>
      <c r="M541" s="2" t="n"/>
      <c r="N541" s="2" t="n"/>
      <c r="O541" s="2" t="n"/>
      <c r="P541" s="2" t="n"/>
      <c r="Q541" s="2" t="n">
        <v>5</v>
      </c>
      <c r="R541" s="2" t="n"/>
      <c r="S541" s="2" t="n"/>
      <c r="T541" s="2" t="n"/>
      <c r="U541" s="2" t="n">
        <v>5</v>
      </c>
      <c r="V541" s="2">
        <f>SUM(J541:U541)</f>
        <v/>
      </c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>
        <v>20</v>
      </c>
      <c r="AF541" s="2" t="n">
        <v>20</v>
      </c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>
        <f>IF(F541=1,V541*2,IF(F541=2,V541*F541*2,IF(F541&gt;2,F541*2*V541)))</f>
        <v/>
      </c>
      <c r="AW541" s="2">
        <f>SUM(W541:AU541)</f>
        <v/>
      </c>
    </row>
    <row r="542">
      <c r="A542" s="2" t="inlineStr">
        <is>
          <t>A14-D-FP/FP-B-N-008</t>
        </is>
      </c>
      <c r="B542" s="3" t="inlineStr">
        <is>
          <t>DOJC-SM-FC/PC-FC/PC</t>
        </is>
      </c>
      <c r="C542" s="2" t="inlineStr">
        <is>
          <t>908040588, 3M, B3, 3.0mm</t>
        </is>
      </c>
      <c r="D542" s="2" t="inlineStr">
        <is>
          <t>b3</t>
        </is>
      </c>
      <c r="E542" s="2" t="inlineStr">
        <is>
          <t>3.0mm</t>
        </is>
      </c>
      <c r="F542" s="2" t="n">
        <v>2</v>
      </c>
      <c r="G542" s="2" t="n">
        <v>3</v>
      </c>
      <c r="H542" s="2" t="inlineStr">
        <is>
          <t>FC/PC</t>
        </is>
      </c>
      <c r="I542" s="2" t="inlineStr">
        <is>
          <t>FC/PC</t>
        </is>
      </c>
      <c r="J542" s="2" t="n"/>
      <c r="K542" s="2" t="n"/>
      <c r="L542" s="2" t="n"/>
      <c r="M542" s="2" t="n"/>
      <c r="N542" s="2" t="n"/>
      <c r="O542" s="2" t="n"/>
      <c r="P542" s="2" t="n"/>
      <c r="Q542" s="2" t="n">
        <v>10</v>
      </c>
      <c r="R542" s="2" t="n"/>
      <c r="S542" s="2" t="n"/>
      <c r="T542" s="2" t="n"/>
      <c r="U542" s="2" t="n"/>
      <c r="V542" s="2">
        <f>SUM(J542:U542)</f>
        <v/>
      </c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>
        <v>20</v>
      </c>
      <c r="AS542" s="2" t="n">
        <v>20</v>
      </c>
      <c r="AT542" s="2" t="n"/>
      <c r="AU542" s="2" t="n"/>
      <c r="AV542" s="2">
        <f>IF(F542=1,V542*2,IF(F542=2,V542*F542*2,IF(F542&gt;2,F542*2*V542)))</f>
        <v/>
      </c>
      <c r="AW542" s="2">
        <f>SUM(W542:AU542)</f>
        <v/>
      </c>
    </row>
    <row r="543">
      <c r="A543" s="2" t="inlineStr">
        <is>
          <t>A14-D-LA/LA-B-N-007</t>
        </is>
      </c>
      <c r="B543" s="3" t="inlineStr">
        <is>
          <t>DOJC-SM-LC/APC-LC/APC</t>
        </is>
      </c>
      <c r="C543" s="2" t="inlineStr">
        <is>
          <t>930003858, 5M, B3, 3.0mm</t>
        </is>
      </c>
      <c r="D543" s="2" t="inlineStr">
        <is>
          <t>b3</t>
        </is>
      </c>
      <c r="E543" s="2" t="inlineStr">
        <is>
          <t>3.0mm</t>
        </is>
      </c>
      <c r="F543" s="2" t="n">
        <v>2</v>
      </c>
      <c r="G543" s="2" t="n">
        <v>5</v>
      </c>
      <c r="H543" s="2" t="inlineStr">
        <is>
          <t>LC/APC</t>
        </is>
      </c>
      <c r="I543" s="2" t="inlineStr">
        <is>
          <t>LC/APC</t>
        </is>
      </c>
      <c r="J543" s="2" t="n"/>
      <c r="K543" s="2" t="n"/>
      <c r="L543" s="2" t="n"/>
      <c r="M543" s="2" t="n">
        <v>20</v>
      </c>
      <c r="N543" s="2" t="n">
        <v>10</v>
      </c>
      <c r="O543" s="2" t="n"/>
      <c r="P543" s="2" t="n"/>
      <c r="Q543" s="2" t="n"/>
      <c r="R543" s="2" t="n"/>
      <c r="S543" s="2" t="n"/>
      <c r="T543" s="2" t="n"/>
      <c r="U543" s="2" t="n"/>
      <c r="V543" s="2">
        <f>SUM(J543:U543)</f>
        <v/>
      </c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>
        <v>60</v>
      </c>
      <c r="AM543" s="2" t="n">
        <v>60</v>
      </c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>
        <f>IF(F543=1,V543*2,IF(F543=2,V543*F543*2,IF(F543&gt;2,F543*2*V543)))</f>
        <v/>
      </c>
      <c r="AW543" s="2">
        <f>SUM(W543:AU543)</f>
        <v/>
      </c>
    </row>
    <row r="544">
      <c r="A544" s="2" t="inlineStr">
        <is>
          <t>A14-D-LP/FA-B-N-004</t>
        </is>
      </c>
      <c r="B544" s="3" t="inlineStr">
        <is>
          <t>DOJC-SM-LC/PC-FC/APC</t>
        </is>
      </c>
      <c r="C544" s="2" t="inlineStr">
        <is>
          <t>908040524, 1M, B3, 3.0mm</t>
        </is>
      </c>
      <c r="D544" s="2" t="inlineStr">
        <is>
          <t>b3</t>
        </is>
      </c>
      <c r="E544" s="2" t="inlineStr">
        <is>
          <t>3.0mm</t>
        </is>
      </c>
      <c r="F544" s="2" t="n">
        <v>2</v>
      </c>
      <c r="G544" s="2" t="n">
        <v>1</v>
      </c>
      <c r="H544" s="2" t="inlineStr">
        <is>
          <t>LC/PC</t>
        </is>
      </c>
      <c r="I544" s="2" t="inlineStr">
        <is>
          <t>FC/APC</t>
        </is>
      </c>
      <c r="J544" s="2" t="n"/>
      <c r="K544" s="2" t="n">
        <v>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>
        <f>SUM(J544:U544)</f>
        <v/>
      </c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>
        <v>8</v>
      </c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>
        <v>8</v>
      </c>
      <c r="AV544" s="2">
        <f>IF(F544=1,V544*2,IF(F544=2,V544*F544*2,IF(F544&gt;2,F544*2*V544)))</f>
        <v/>
      </c>
      <c r="AW544" s="2">
        <f>SUM(W544:AU544)</f>
        <v/>
      </c>
    </row>
    <row r="545">
      <c r="A545" s="2" t="inlineStr">
        <is>
          <t>A14-D-LP/FP-B-N-009</t>
        </is>
      </c>
      <c r="B545" s="3" t="inlineStr">
        <is>
          <t>DOJC-SM-LC/PC-FC/PC</t>
        </is>
      </c>
      <c r="C545" s="2" t="inlineStr">
        <is>
          <t>908040713, 3M, B3, 3.0mm</t>
        </is>
      </c>
      <c r="D545" s="2" t="inlineStr">
        <is>
          <t>b3</t>
        </is>
      </c>
      <c r="E545" s="2" t="inlineStr">
        <is>
          <t>3.0mm</t>
        </is>
      </c>
      <c r="F545" s="2" t="n">
        <v>2</v>
      </c>
      <c r="G545" s="2" t="n">
        <v>3</v>
      </c>
      <c r="H545" s="2" t="inlineStr">
        <is>
          <t>LC/PC</t>
        </is>
      </c>
      <c r="I545" s="2" t="inlineStr">
        <is>
          <t>FC/PC</t>
        </is>
      </c>
      <c r="J545" s="2" t="n"/>
      <c r="K545" s="2" t="n">
        <v>20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>
        <f>SUM(J545:U545)</f>
        <v/>
      </c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>
        <v>40</v>
      </c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>
        <v>40</v>
      </c>
      <c r="AT545" s="2" t="n"/>
      <c r="AU545" s="2" t="n"/>
      <c r="AV545" s="2">
        <f>IF(F545=1,V545*2,IF(F545=2,V545*F545*2,IF(F545&gt;2,F545*2*V545)))</f>
        <v/>
      </c>
      <c r="AW545" s="2">
        <f>SUM(W545:AU545)</f>
        <v/>
      </c>
    </row>
    <row r="546">
      <c r="A546" s="2" t="inlineStr">
        <is>
          <t>A14-D-LP/FP-B-N-012</t>
        </is>
      </c>
      <c r="B546" s="3" t="inlineStr">
        <is>
          <t>DOJC-SM-LC/PC-FC/PC</t>
        </is>
      </c>
      <c r="C546" s="2" t="inlineStr">
        <is>
          <t>908040719, 7M, B3, 2.0mm</t>
        </is>
      </c>
      <c r="D546" s="2" t="inlineStr">
        <is>
          <t>b3</t>
        </is>
      </c>
      <c r="E546" s="2" t="inlineStr">
        <is>
          <t>2.0mm</t>
        </is>
      </c>
      <c r="F546" s="2" t="n">
        <v>2</v>
      </c>
      <c r="G546" s="2" t="n">
        <v>7</v>
      </c>
      <c r="H546" s="2" t="inlineStr">
        <is>
          <t>LC/PC</t>
        </is>
      </c>
      <c r="I546" s="2" t="inlineStr">
        <is>
          <t>FC/PC</t>
        </is>
      </c>
      <c r="J546" s="2" t="n"/>
      <c r="K546" s="2" t="n">
        <v>20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>
        <f>SUM(J546:U546)</f>
        <v/>
      </c>
      <c r="W546" s="2" t="n">
        <v>40</v>
      </c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>
        <v>40</v>
      </c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>
        <f>IF(F546=1,V546*2,IF(F546=2,V546*F546*2,IF(F546&gt;2,F546*2*V546)))</f>
        <v/>
      </c>
      <c r="AW546" s="2">
        <f>SUM(W546:AU546)</f>
        <v/>
      </c>
    </row>
    <row r="547">
      <c r="A547" s="2" t="inlineStr">
        <is>
          <t>A14-D-LP/LP-1-N-050</t>
        </is>
      </c>
      <c r="B547" s="3" t="inlineStr">
        <is>
          <t>DOJC-MM-LC/PC-LC/PC</t>
        </is>
      </c>
      <c r="C547" s="2" t="inlineStr">
        <is>
          <t>920000786, 4M</t>
        </is>
      </c>
      <c r="D547" s="2" t="inlineStr">
        <is>
          <t>om1</t>
        </is>
      </c>
      <c r="E547" s="2" t="inlineStr">
        <is>
          <t>2.0mm</t>
        </is>
      </c>
      <c r="F547" s="2" t="n">
        <v>2</v>
      </c>
      <c r="G547" s="2" t="n">
        <v>4</v>
      </c>
      <c r="H547" s="2" t="inlineStr">
        <is>
          <t>LC/PC</t>
        </is>
      </c>
      <c r="I547" s="2" t="inlineStr">
        <is>
          <t>LC/PC</t>
        </is>
      </c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>
        <v>20</v>
      </c>
      <c r="U547" s="2" t="n"/>
      <c r="V547" s="2">
        <f>SUM(J547:U547)</f>
        <v/>
      </c>
      <c r="W547" s="2" t="n"/>
      <c r="X547" s="2" t="n">
        <v>40</v>
      </c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>
        <v>40</v>
      </c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>
        <f>IF(F547=1,V547*2,IF(F547=2,V547*F547*2,IF(F547&gt;2,F547*2*V547)))</f>
        <v/>
      </c>
      <c r="AW547" s="2">
        <f>SUM(W547:AU547)</f>
        <v/>
      </c>
    </row>
    <row r="548">
      <c r="A548" s="2" t="inlineStr">
        <is>
          <t>A14-D-LP/LP-B-N-002</t>
        </is>
      </c>
      <c r="B548" s="3" t="inlineStr">
        <is>
          <t>DOJC-SM-LC/PC-LC/PC</t>
        </is>
      </c>
      <c r="C548" s="2" t="inlineStr">
        <is>
          <t>908040693, 11M, B3, 2.0mm</t>
        </is>
      </c>
      <c r="D548" s="2" t="inlineStr">
        <is>
          <t>b3</t>
        </is>
      </c>
      <c r="E548" s="2" t="inlineStr">
        <is>
          <t>2.0mm</t>
        </is>
      </c>
      <c r="F548" s="2" t="n">
        <v>2</v>
      </c>
      <c r="G548" s="2" t="n">
        <v>11</v>
      </c>
      <c r="H548" s="2" t="inlineStr">
        <is>
          <t>LC/PC</t>
        </is>
      </c>
      <c r="I548" s="2" t="inlineStr">
        <is>
          <t>LC/PC</t>
        </is>
      </c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>
        <v>30</v>
      </c>
      <c r="T548" s="2" t="n"/>
      <c r="U548" s="2" t="n"/>
      <c r="V548" s="2">
        <f>SUM(J548:U548)</f>
        <v/>
      </c>
      <c r="W548" s="2" t="n">
        <v>60</v>
      </c>
      <c r="X548" s="2" t="n">
        <v>60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>
        <f>IF(F548=1,V548*2,IF(F548=2,V548*F548*2,IF(F548&gt;2,F548*2*V548)))</f>
        <v/>
      </c>
      <c r="AW548" s="2">
        <f>SUM(W548:AU548)</f>
        <v/>
      </c>
    </row>
    <row r="549">
      <c r="A549" s="2" t="inlineStr">
        <is>
          <t>A14-D-LP/LP-B-N-019</t>
        </is>
      </c>
      <c r="B549" s="3" t="inlineStr">
        <is>
          <t>DOJC-SM-LC/PC-LC/PC</t>
        </is>
      </c>
      <c r="C549" s="2" t="inlineStr">
        <is>
          <t>908041005, 9M, B3, 2.0mm</t>
        </is>
      </c>
      <c r="D549" s="2" t="inlineStr">
        <is>
          <t>b3</t>
        </is>
      </c>
      <c r="E549" s="2" t="inlineStr">
        <is>
          <t>2.0mm</t>
        </is>
      </c>
      <c r="F549" s="2" t="n">
        <v>2</v>
      </c>
      <c r="G549" s="2" t="n">
        <v>9</v>
      </c>
      <c r="H549" s="2" t="inlineStr">
        <is>
          <t>LC/PC</t>
        </is>
      </c>
      <c r="I549" s="2" t="inlineStr">
        <is>
          <t>LC/PC</t>
        </is>
      </c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>
        <v>20</v>
      </c>
      <c r="T549" s="2" t="n"/>
      <c r="U549" s="2" t="n"/>
      <c r="V549" s="2">
        <f>SUM(J549:U549)</f>
        <v/>
      </c>
      <c r="W549" s="2" t="n">
        <v>40</v>
      </c>
      <c r="X549" s="2" t="n">
        <v>40</v>
      </c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>
        <f>IF(F549=1,V549*2,IF(F549=2,V549*F549*2,IF(F549&gt;2,F549*2*V549)))</f>
        <v/>
      </c>
      <c r="AW549" s="2">
        <f>SUM(W549:AU549)</f>
        <v/>
      </c>
    </row>
    <row r="550">
      <c r="A550" s="2" t="inlineStr">
        <is>
          <t>A14-D-LP/LP-B-N-020</t>
        </is>
      </c>
      <c r="B550" s="3" t="inlineStr">
        <is>
          <t>DOJC-SM-LC/PC-LC/PC</t>
        </is>
      </c>
      <c r="C550" s="2" t="inlineStr">
        <is>
          <t>45M, B3, 2.0mm</t>
        </is>
      </c>
      <c r="D550" s="2" t="inlineStr">
        <is>
          <t>b3</t>
        </is>
      </c>
      <c r="E550" s="2" t="inlineStr">
        <is>
          <t>2.0mm</t>
        </is>
      </c>
      <c r="F550" s="2" t="n">
        <v>2</v>
      </c>
      <c r="G550" s="2" t="n">
        <v>45</v>
      </c>
      <c r="H550" s="2" t="inlineStr">
        <is>
          <t>LC/PC</t>
        </is>
      </c>
      <c r="I550" s="2" t="inlineStr">
        <is>
          <t>LC/PC</t>
        </is>
      </c>
      <c r="J550" s="2" t="n">
        <v>4</v>
      </c>
      <c r="K550" s="2" t="n">
        <v>10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>
        <f>SUM(J550:U550)</f>
        <v/>
      </c>
      <c r="W550" s="2" t="n">
        <v>28</v>
      </c>
      <c r="X550" s="2" t="n">
        <v>28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>
        <f>IF(F550=1,V550*2,IF(F550=2,V550*F550*2,IF(F550&gt;2,F550*2*V550)))</f>
        <v/>
      </c>
      <c r="AW550" s="2">
        <f>SUM(W550:AU550)</f>
        <v/>
      </c>
    </row>
    <row r="551">
      <c r="A551" s="2" t="inlineStr">
        <is>
          <t>A14-D-LP/SA-B-N-002</t>
        </is>
      </c>
      <c r="B551" s="3" t="inlineStr">
        <is>
          <t>DOJC-SM-LC/PC-SC/APC</t>
        </is>
      </c>
      <c r="C551" s="2" t="inlineStr">
        <is>
          <t>908040919, 13M, B3, 2.0mm</t>
        </is>
      </c>
      <c r="D551" s="2" t="inlineStr">
        <is>
          <t>b3</t>
        </is>
      </c>
      <c r="E551" s="2" t="inlineStr">
        <is>
          <t>2.0mm</t>
        </is>
      </c>
      <c r="F551" s="2" t="n">
        <v>2</v>
      </c>
      <c r="G551" s="2" t="n">
        <v>13</v>
      </c>
      <c r="H551" s="2" t="inlineStr">
        <is>
          <t>LC/PC</t>
        </is>
      </c>
      <c r="I551" s="2" t="inlineStr">
        <is>
          <t>SC/APC</t>
        </is>
      </c>
      <c r="J551" s="2" t="n"/>
      <c r="K551" s="2" t="n"/>
      <c r="L551" s="2" t="n"/>
      <c r="M551" s="2" t="n"/>
      <c r="N551" s="2" t="n"/>
      <c r="O551" s="2" t="n"/>
      <c r="P551" s="2" t="n">
        <v>10</v>
      </c>
      <c r="Q551" s="2" t="n"/>
      <c r="R551" s="2" t="n"/>
      <c r="S551" s="2" t="n"/>
      <c r="T551" s="2" t="n"/>
      <c r="U551" s="2" t="n"/>
      <c r="V551" s="2">
        <f>SUM(J551:U551)</f>
        <v/>
      </c>
      <c r="W551" s="2" t="n">
        <v>20</v>
      </c>
      <c r="X551" s="2" t="n"/>
      <c r="Y551" s="2" t="n"/>
      <c r="Z551" s="2" t="n"/>
      <c r="AA551" s="2" t="n"/>
      <c r="AB551" s="2" t="n"/>
      <c r="AC551" s="2" t="n"/>
      <c r="AD551" s="2" t="n">
        <v>20</v>
      </c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>
        <f>IF(F551=1,V551*2,IF(F551=2,V551*F551*2,IF(F551&gt;2,F551*2*V551)))</f>
        <v/>
      </c>
      <c r="AW551" s="2">
        <f>SUM(W551:AU551)</f>
        <v/>
      </c>
    </row>
    <row r="552">
      <c r="A552" s="2" t="inlineStr">
        <is>
          <t>A14-D-LP/SA-B-N-012</t>
        </is>
      </c>
      <c r="B552" s="3" t="inlineStr">
        <is>
          <t>DOJC-SM-LC/PC-SC/APC</t>
        </is>
      </c>
      <c r="C552" s="2" t="inlineStr">
        <is>
          <t>908040912, 6M, B3, 2.0mm</t>
        </is>
      </c>
      <c r="D552" s="2" t="inlineStr">
        <is>
          <t>b3</t>
        </is>
      </c>
      <c r="E552" s="2" t="inlineStr">
        <is>
          <t>2.0mm</t>
        </is>
      </c>
      <c r="F552" s="2" t="n">
        <v>2</v>
      </c>
      <c r="G552" s="2" t="n">
        <v>6</v>
      </c>
      <c r="H552" s="2" t="inlineStr">
        <is>
          <t>LC/PC</t>
        </is>
      </c>
      <c r="I552" s="2" t="inlineStr">
        <is>
          <t>SC/APC</t>
        </is>
      </c>
      <c r="J552" s="2" t="n">
        <v>5</v>
      </c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>
        <v>5</v>
      </c>
      <c r="T552" s="2" t="n"/>
      <c r="U552" s="2" t="n"/>
      <c r="V552" s="2">
        <f>SUM(J552:U552)</f>
        <v/>
      </c>
      <c r="W552" s="2" t="n">
        <v>20</v>
      </c>
      <c r="X552" s="2" t="n"/>
      <c r="Y552" s="2" t="n"/>
      <c r="Z552" s="2" t="n"/>
      <c r="AA552" s="2" t="n"/>
      <c r="AB552" s="2" t="n"/>
      <c r="AC552" s="2" t="n"/>
      <c r="AD552" s="2" t="n">
        <v>20</v>
      </c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>
        <f>IF(F552=1,V552*2,IF(F552=2,V552*F552*2,IF(F552&gt;2,F552*2*V552)))</f>
        <v/>
      </c>
      <c r="AW552" s="2">
        <f>SUM(W552:AU552)</f>
        <v/>
      </c>
    </row>
    <row r="553">
      <c r="A553" s="2" t="inlineStr">
        <is>
          <t>A14-D-LP/SP-1-N-007</t>
        </is>
      </c>
      <c r="B553" s="3" t="inlineStr">
        <is>
          <t>DOJC-MM-LC/PC-SC/PC</t>
        </is>
      </c>
      <c r="C553" s="2" t="inlineStr">
        <is>
          <t>908040764, 1M</t>
        </is>
      </c>
      <c r="D553" s="2" t="inlineStr">
        <is>
          <t>om1</t>
        </is>
      </c>
      <c r="E553" s="2" t="inlineStr">
        <is>
          <t>2.0mm</t>
        </is>
      </c>
      <c r="F553" s="2" t="n">
        <v>2</v>
      </c>
      <c r="G553" s="2" t="n">
        <v>1</v>
      </c>
      <c r="H553" s="2" t="inlineStr">
        <is>
          <t>LC/PC</t>
        </is>
      </c>
      <c r="I553" s="2" t="inlineStr">
        <is>
          <t>SC/PC</t>
        </is>
      </c>
      <c r="J553" s="2" t="n"/>
      <c r="K553" s="2" t="n"/>
      <c r="L553" s="2" t="n"/>
      <c r="M553" s="2" t="n"/>
      <c r="N553" s="2" t="n"/>
      <c r="O553" s="2" t="n">
        <v>30</v>
      </c>
      <c r="P553" s="2" t="n"/>
      <c r="Q553" s="2" t="n"/>
      <c r="R553" s="2" t="n"/>
      <c r="S553" s="2" t="n"/>
      <c r="T553" s="2" t="n"/>
      <c r="U553" s="2" t="n"/>
      <c r="V553" s="2">
        <f>SUM(J553:U553)</f>
        <v/>
      </c>
      <c r="W553" s="2" t="n"/>
      <c r="X553" s="2" t="n"/>
      <c r="Y553" s="2" t="n"/>
      <c r="Z553" s="2" t="n"/>
      <c r="AA553" s="2" t="n"/>
      <c r="AB553" s="2" t="n">
        <v>60</v>
      </c>
      <c r="AC553" s="2" t="n"/>
      <c r="AD553" s="2" t="n"/>
      <c r="AE553" s="2" t="n"/>
      <c r="AF553" s="2" t="n"/>
      <c r="AG553" s="2" t="n"/>
      <c r="AH553" s="2" t="n"/>
      <c r="AI553" s="2" t="n">
        <v>60</v>
      </c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>
        <f>IF(F553=1,V553*2,IF(F553=2,V553*F553*2,IF(F553&gt;2,F553*2*V553)))</f>
        <v/>
      </c>
      <c r="AW553" s="2">
        <f>SUM(W553:AU553)</f>
        <v/>
      </c>
    </row>
    <row r="554">
      <c r="A554" s="2" t="inlineStr">
        <is>
          <t>A14-D-LP/SP-1-N-013</t>
        </is>
      </c>
      <c r="B554" s="3" t="inlineStr">
        <is>
          <t>DOJC-MM-LC/PC-SC/PC</t>
        </is>
      </c>
      <c r="C554" s="2" t="inlineStr">
        <is>
          <t>908040792, 30M</t>
        </is>
      </c>
      <c r="D554" s="2" t="inlineStr">
        <is>
          <t>om1</t>
        </is>
      </c>
      <c r="E554" s="2" t="inlineStr">
        <is>
          <t>2.0mm</t>
        </is>
      </c>
      <c r="F554" s="2" t="n">
        <v>2</v>
      </c>
      <c r="G554" s="2" t="n">
        <v>30</v>
      </c>
      <c r="H554" s="2" t="inlineStr">
        <is>
          <t>LC/PC</t>
        </is>
      </c>
      <c r="I554" s="2" t="inlineStr">
        <is>
          <t>SC/PC</t>
        </is>
      </c>
      <c r="J554" s="2" t="n"/>
      <c r="K554" s="2" t="n"/>
      <c r="L554" s="2" t="n"/>
      <c r="M554" s="2" t="n"/>
      <c r="N554" s="2" t="n"/>
      <c r="O554" s="2" t="n"/>
      <c r="P554" s="2" t="n"/>
      <c r="Q554" s="2" t="n">
        <v>1</v>
      </c>
      <c r="R554" s="2" t="n"/>
      <c r="S554" s="2" t="n"/>
      <c r="T554" s="2" t="n"/>
      <c r="U554" s="2" t="n"/>
      <c r="V554" s="2">
        <f>SUM(J554:U554)</f>
        <v/>
      </c>
      <c r="W554" s="2" t="n"/>
      <c r="X554" s="2" t="n"/>
      <c r="Y554" s="2" t="n"/>
      <c r="Z554" s="2" t="n"/>
      <c r="AA554" s="2" t="n"/>
      <c r="AB554" s="2" t="n">
        <v>2</v>
      </c>
      <c r="AC554" s="2" t="n"/>
      <c r="AD554" s="2" t="n"/>
      <c r="AE554" s="2" t="n"/>
      <c r="AF554" s="2" t="n"/>
      <c r="AG554" s="2" t="n"/>
      <c r="AH554" s="2" t="n"/>
      <c r="AI554" s="2" t="n">
        <v>2</v>
      </c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>
        <f>IF(F554=1,V554*2,IF(F554=2,V554*F554*2,IF(F554&gt;2,F554*2*V554)))</f>
        <v/>
      </c>
      <c r="AW554" s="2">
        <f>SUM(W554:AU554)</f>
        <v/>
      </c>
    </row>
    <row r="555">
      <c r="A555" s="2" t="inlineStr">
        <is>
          <t>A14-D-LP/SP-1-N-019</t>
        </is>
      </c>
      <c r="B555" s="3" t="inlineStr">
        <is>
          <t>DOJC-MM-LC/PC-SC/PC</t>
        </is>
      </c>
      <c r="C555" s="2" t="inlineStr">
        <is>
          <t>908040767, 5M</t>
        </is>
      </c>
      <c r="D555" s="2" t="inlineStr">
        <is>
          <t>om1</t>
        </is>
      </c>
      <c r="E555" s="2" t="inlineStr">
        <is>
          <t>2.0mm</t>
        </is>
      </c>
      <c r="F555" s="2" t="n">
        <v>2</v>
      </c>
      <c r="G555" s="2" t="n">
        <v>5</v>
      </c>
      <c r="H555" s="2" t="inlineStr">
        <is>
          <t>LC/PC</t>
        </is>
      </c>
      <c r="I555" s="2" t="inlineStr">
        <is>
          <t>SC/PC</t>
        </is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>
        <v>15</v>
      </c>
      <c r="S555" s="2" t="n">
        <v>10</v>
      </c>
      <c r="T555" s="2" t="n">
        <v>8</v>
      </c>
      <c r="U555" s="2" t="n"/>
      <c r="V555" s="2">
        <f>SUM(J555:U555)</f>
        <v/>
      </c>
      <c r="W555" s="2" t="n"/>
      <c r="X555" s="2" t="n"/>
      <c r="Y555" s="2" t="n"/>
      <c r="Z555" s="2" t="n"/>
      <c r="AA555" s="2" t="n"/>
      <c r="AB555" s="2" t="n">
        <v>66</v>
      </c>
      <c r="AC555" s="2" t="n"/>
      <c r="AD555" s="2" t="n"/>
      <c r="AE555" s="2" t="n"/>
      <c r="AF555" s="2" t="n"/>
      <c r="AG555" s="2" t="n"/>
      <c r="AH555" s="2" t="n"/>
      <c r="AI555" s="2" t="n">
        <v>66</v>
      </c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>
        <f>IF(F555=1,V555*2,IF(F555=2,V555*F555*2,IF(F555&gt;2,F555*2*V555)))</f>
        <v/>
      </c>
      <c r="AW555" s="2">
        <f>SUM(W555:AU555)</f>
        <v/>
      </c>
    </row>
    <row r="556">
      <c r="A556" s="2" t="inlineStr">
        <is>
          <t>A14-D-LP/SP-B-N-004</t>
        </is>
      </c>
      <c r="B556" s="3" t="inlineStr">
        <is>
          <t>DOJC-SM-LC/PC-SC/PC</t>
        </is>
      </c>
      <c r="C556" s="2" t="inlineStr">
        <is>
          <t>908040860, 1M, B3, 3.0mm</t>
        </is>
      </c>
      <c r="D556" s="2" t="inlineStr">
        <is>
          <t>b3</t>
        </is>
      </c>
      <c r="E556" s="2" t="inlineStr">
        <is>
          <t>3.0mm</t>
        </is>
      </c>
      <c r="F556" s="2" t="n">
        <v>2</v>
      </c>
      <c r="G556" s="2" t="n">
        <v>1</v>
      </c>
      <c r="H556" s="2" t="inlineStr">
        <is>
          <t>LC/PC</t>
        </is>
      </c>
      <c r="I556" s="2" t="inlineStr">
        <is>
          <t>SC/PC</t>
        </is>
      </c>
      <c r="J556" s="2" t="n"/>
      <c r="K556" s="2" t="n">
        <v>30</v>
      </c>
      <c r="L556" s="2" t="n"/>
      <c r="M556" s="2" t="n">
        <v>30</v>
      </c>
      <c r="N556" s="2" t="n"/>
      <c r="O556" s="2" t="n"/>
      <c r="P556" s="2" t="n"/>
      <c r="Q556" s="2" t="n"/>
      <c r="R556" s="2" t="n"/>
      <c r="S556" s="2" t="n"/>
      <c r="T556" s="2" t="n">
        <v>50</v>
      </c>
      <c r="U556" s="2" t="n">
        <v>20</v>
      </c>
      <c r="V556" s="2">
        <f>SUM(J556:U556)</f>
        <v/>
      </c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>
        <v>260</v>
      </c>
      <c r="AK556" s="2" t="n"/>
      <c r="AL556" s="2" t="n"/>
      <c r="AM556" s="2" t="n"/>
      <c r="AN556" s="2" t="n"/>
      <c r="AO556" s="2" t="n">
        <v>260</v>
      </c>
      <c r="AP556" s="2" t="n"/>
      <c r="AQ556" s="2" t="n"/>
      <c r="AR556" s="2" t="n"/>
      <c r="AS556" s="2" t="n"/>
      <c r="AT556" s="2" t="n"/>
      <c r="AU556" s="2" t="n"/>
      <c r="AV556" s="2">
        <f>IF(F556=1,V556*2,IF(F556=2,V556*F556*2,IF(F556&gt;2,F556*2*V556)))</f>
        <v/>
      </c>
      <c r="AW556" s="2">
        <f>SUM(W556:AU556)</f>
        <v/>
      </c>
    </row>
    <row r="557">
      <c r="A557" s="2" t="inlineStr">
        <is>
          <t>A14-D-LP/SP-B-N-010</t>
        </is>
      </c>
      <c r="B557" s="3" t="inlineStr">
        <is>
          <t>DOJC-SM-LC/PC-SC/PC</t>
        </is>
      </c>
      <c r="C557" s="2" t="inlineStr">
        <is>
          <t>920000728, 35M, B3, 2.0mm</t>
        </is>
      </c>
      <c r="D557" s="2" t="inlineStr">
        <is>
          <t>b3</t>
        </is>
      </c>
      <c r="E557" s="2" t="inlineStr">
        <is>
          <t>2.0mm</t>
        </is>
      </c>
      <c r="F557" s="2" t="n">
        <v>2</v>
      </c>
      <c r="G557" s="2" t="n">
        <v>35</v>
      </c>
      <c r="H557" s="2" t="inlineStr">
        <is>
          <t>LC/PC</t>
        </is>
      </c>
      <c r="I557" s="2" t="inlineStr">
        <is>
          <t>SC/PC</t>
        </is>
      </c>
      <c r="J557" s="2" t="n">
        <v>10</v>
      </c>
      <c r="K557" s="2" t="n"/>
      <c r="L557" s="2" t="n"/>
      <c r="M557" s="2" t="n"/>
      <c r="N557" s="2" t="n">
        <v>40</v>
      </c>
      <c r="O557" s="2" t="n">
        <v>60</v>
      </c>
      <c r="P557" s="2" t="n"/>
      <c r="Q557" s="2" t="n"/>
      <c r="R557" s="2" t="n"/>
      <c r="S557" s="2" t="n"/>
      <c r="T557" s="2" t="n">
        <v>10</v>
      </c>
      <c r="U557" s="2" t="n"/>
      <c r="V557" s="2">
        <f>SUM(J557:U557)</f>
        <v/>
      </c>
      <c r="W557" s="2" t="n">
        <v>240</v>
      </c>
      <c r="X557" s="2" t="n"/>
      <c r="Y557" s="2" t="n"/>
      <c r="Z557" s="2" t="n"/>
      <c r="AA557" s="2" t="n"/>
      <c r="AB557" s="2" t="n">
        <v>240</v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>
        <f>IF(F557=1,V557*2,IF(F557=2,V557*F557*2,IF(F557&gt;2,F557*2*V557)))</f>
        <v/>
      </c>
      <c r="AW557" s="2">
        <f>SUM(W557:AU557)</f>
        <v/>
      </c>
    </row>
    <row r="558">
      <c r="A558" s="2" t="inlineStr">
        <is>
          <t>A14-D-LP/SP-B-N-019</t>
        </is>
      </c>
      <c r="B558" s="3" t="inlineStr">
        <is>
          <t>DOJC-SM-LC/PC-SC/PC</t>
        </is>
      </c>
      <c r="C558" s="2" t="inlineStr">
        <is>
          <t>45M, B3, 2.0mm</t>
        </is>
      </c>
      <c r="D558" s="2" t="inlineStr">
        <is>
          <t>b3</t>
        </is>
      </c>
      <c r="E558" s="2" t="inlineStr">
        <is>
          <t>2.0mm</t>
        </is>
      </c>
      <c r="F558" s="2" t="n">
        <v>2</v>
      </c>
      <c r="G558" s="2" t="n">
        <v>45</v>
      </c>
      <c r="H558" s="2" t="inlineStr">
        <is>
          <t>LC/PC</t>
        </is>
      </c>
      <c r="I558" s="2" t="inlineStr">
        <is>
          <t>SC/PC</t>
        </is>
      </c>
      <c r="J558" s="2" t="n"/>
      <c r="K558" s="2" t="n"/>
      <c r="L558" s="2" t="n">
        <v>2</v>
      </c>
      <c r="M558" s="2" t="n"/>
      <c r="N558" s="2" t="n"/>
      <c r="O558" s="2" t="n">
        <v>6</v>
      </c>
      <c r="P558" s="2" t="n"/>
      <c r="Q558" s="2" t="n"/>
      <c r="R558" s="2" t="n"/>
      <c r="S558" s="2" t="n"/>
      <c r="T558" s="2" t="n"/>
      <c r="U558" s="2" t="n"/>
      <c r="V558" s="2">
        <f>SUM(J558:U558)</f>
        <v/>
      </c>
      <c r="W558" s="2" t="n">
        <v>16</v>
      </c>
      <c r="X558" s="2" t="n"/>
      <c r="Y558" s="2" t="n"/>
      <c r="Z558" s="2" t="n"/>
      <c r="AA558" s="2" t="n"/>
      <c r="AB558" s="2" t="n">
        <v>16</v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>
        <f>IF(F558=1,V558*2,IF(F558=2,V558*F558*2,IF(F558&gt;2,F558*2*V558)))</f>
        <v/>
      </c>
      <c r="AW558" s="2">
        <f>SUM(W558:AU558)</f>
        <v/>
      </c>
    </row>
    <row r="559">
      <c r="A559" s="2" t="inlineStr">
        <is>
          <t>A14-D-SA/FA-B-N-001</t>
        </is>
      </c>
      <c r="B559" s="3" t="inlineStr">
        <is>
          <t>DOJC-SM-SC/APC-FC/APC</t>
        </is>
      </c>
      <c r="C559" s="2" t="inlineStr">
        <is>
          <t>908040502, 10M, B3, 2.0mm</t>
        </is>
      </c>
      <c r="D559" s="2" t="inlineStr">
        <is>
          <t>b3</t>
        </is>
      </c>
      <c r="E559" s="2" t="inlineStr">
        <is>
          <t>2.0mm</t>
        </is>
      </c>
      <c r="F559" s="2" t="n">
        <v>2</v>
      </c>
      <c r="G559" s="2" t="n">
        <v>10</v>
      </c>
      <c r="H559" s="2" t="inlineStr">
        <is>
          <t>SC/APC</t>
        </is>
      </c>
      <c r="I559" s="2" t="inlineStr">
        <is>
          <t>FC/APC</t>
        </is>
      </c>
      <c r="J559" s="2" t="n"/>
      <c r="K559" s="2" t="n"/>
      <c r="L559" s="2" t="n"/>
      <c r="M559" s="2" t="n"/>
      <c r="N559" s="2" t="n"/>
      <c r="O559" s="2" t="n"/>
      <c r="P559" s="2" t="n"/>
      <c r="Q559" s="2" t="n">
        <v>10</v>
      </c>
      <c r="R559" s="2" t="n"/>
      <c r="S559" s="2" t="n"/>
      <c r="T559" s="2" t="n"/>
      <c r="U559" s="2" t="n"/>
      <c r="V559" s="2">
        <f>SUM(J559:U559)</f>
        <v/>
      </c>
      <c r="W559" s="2" t="n"/>
      <c r="X559" s="2" t="n"/>
      <c r="Y559" s="2" t="n"/>
      <c r="Z559" s="2" t="n"/>
      <c r="AA559" s="2" t="n"/>
      <c r="AB559" s="2" t="n"/>
      <c r="AC559" s="2" t="n">
        <v>20</v>
      </c>
      <c r="AD559" s="2" t="n"/>
      <c r="AE559" s="2" t="n"/>
      <c r="AF559" s="2" t="n"/>
      <c r="AG559" s="2" t="n"/>
      <c r="AH559" s="2" t="n">
        <v>20</v>
      </c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>
        <f>IF(F559=1,V559*2,IF(F559=2,V559*F559*2,IF(F559&gt;2,F559*2*V559)))</f>
        <v/>
      </c>
      <c r="AW559" s="2">
        <f>SUM(W559:AU559)</f>
        <v/>
      </c>
    </row>
    <row r="560">
      <c r="A560" s="2" t="inlineStr">
        <is>
          <t>A14-D-SA/FA-B-N-002</t>
        </is>
      </c>
      <c r="B560" s="3" t="inlineStr">
        <is>
          <t>DOJC-SM-SC/APC-FC/APC</t>
        </is>
      </c>
      <c r="C560" s="2" t="inlineStr">
        <is>
          <t>908040507, 15M, B3, 2.0mm</t>
        </is>
      </c>
      <c r="D560" s="2" t="inlineStr">
        <is>
          <t>b3</t>
        </is>
      </c>
      <c r="E560" s="2" t="inlineStr">
        <is>
          <t>2.0mm</t>
        </is>
      </c>
      <c r="F560" s="2" t="n">
        <v>2</v>
      </c>
      <c r="G560" s="2" t="n">
        <v>15</v>
      </c>
      <c r="H560" s="2" t="inlineStr">
        <is>
          <t>SC/APC</t>
        </is>
      </c>
      <c r="I560" s="2" t="inlineStr">
        <is>
          <t>FC/APC</t>
        </is>
      </c>
      <c r="J560" s="2" t="n"/>
      <c r="K560" s="2" t="n"/>
      <c r="L560" s="2" t="n"/>
      <c r="M560" s="2" t="n"/>
      <c r="N560" s="2" t="n"/>
      <c r="O560" s="2" t="n"/>
      <c r="P560" s="2" t="n"/>
      <c r="Q560" s="2" t="n">
        <v>10</v>
      </c>
      <c r="R560" s="2" t="n"/>
      <c r="S560" s="2" t="n"/>
      <c r="T560" s="2" t="n"/>
      <c r="U560" s="2" t="n"/>
      <c r="V560" s="2">
        <f>SUM(J560:U560)</f>
        <v/>
      </c>
      <c r="W560" s="2" t="n"/>
      <c r="X560" s="2" t="n"/>
      <c r="Y560" s="2" t="n"/>
      <c r="Z560" s="2" t="n"/>
      <c r="AA560" s="2" t="n"/>
      <c r="AB560" s="2" t="n"/>
      <c r="AC560" s="2" t="n">
        <v>20</v>
      </c>
      <c r="AD560" s="2" t="n"/>
      <c r="AE560" s="2" t="n"/>
      <c r="AF560" s="2" t="n"/>
      <c r="AG560" s="2" t="n"/>
      <c r="AH560" s="2" t="n">
        <v>20</v>
      </c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>
        <f>IF(F560=1,V560*2,IF(F560=2,V560*F560*2,IF(F560&gt;2,F560*2*V560)))</f>
        <v/>
      </c>
      <c r="AW560" s="2">
        <f>SUM(W560:AU560)</f>
        <v/>
      </c>
    </row>
    <row r="561">
      <c r="A561" s="2" t="inlineStr">
        <is>
          <t>A14-D-SA/FP-B-N-005</t>
        </is>
      </c>
      <c r="B561" s="3" t="inlineStr">
        <is>
          <t>DOJC-SM-SC/APC-FC/PC</t>
        </is>
      </c>
      <c r="C561" s="2" t="inlineStr">
        <is>
          <t>908040482, 20M, B3, 2.0mm</t>
        </is>
      </c>
      <c r="D561" s="2" t="inlineStr">
        <is>
          <t>b3</t>
        </is>
      </c>
      <c r="E561" s="2" t="inlineStr">
        <is>
          <t>2.0mm</t>
        </is>
      </c>
      <c r="F561" s="2" t="n">
        <v>2</v>
      </c>
      <c r="G561" s="2" t="n">
        <v>20</v>
      </c>
      <c r="H561" s="2" t="inlineStr">
        <is>
          <t>SC/APC</t>
        </is>
      </c>
      <c r="I561" s="2" t="inlineStr">
        <is>
          <t>FC/PC</t>
        </is>
      </c>
      <c r="J561" s="2" t="n"/>
      <c r="K561" s="2" t="n"/>
      <c r="L561" s="2" t="n"/>
      <c r="M561" s="2" t="n"/>
      <c r="N561" s="2" t="n">
        <v>10</v>
      </c>
      <c r="O561" s="2" t="n"/>
      <c r="P561" s="2" t="n"/>
      <c r="Q561" s="2" t="n"/>
      <c r="R561" s="2" t="n"/>
      <c r="S561" s="2" t="n"/>
      <c r="T561" s="2" t="n"/>
      <c r="U561" s="2" t="n"/>
      <c r="V561" s="2">
        <f>SUM(J561:U561)</f>
        <v/>
      </c>
      <c r="W561" s="2" t="n"/>
      <c r="X561" s="2" t="n"/>
      <c r="Y561" s="2" t="n"/>
      <c r="Z561" s="2" t="n"/>
      <c r="AA561" s="2" t="n"/>
      <c r="AB561" s="2" t="n"/>
      <c r="AC561" s="2" t="n">
        <v>20</v>
      </c>
      <c r="AD561" s="2" t="n"/>
      <c r="AE561" s="2" t="n"/>
      <c r="AF561" s="2" t="n">
        <v>20</v>
      </c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>
        <f>IF(F561=1,V561*2,IF(F561=2,V561*F561*2,IF(F561&gt;2,F561*2*V561)))</f>
        <v/>
      </c>
      <c r="AW561" s="2">
        <f>SUM(W561:AU561)</f>
        <v/>
      </c>
    </row>
    <row r="562">
      <c r="A562" s="2" t="inlineStr">
        <is>
          <t>A14-D-SA/SA-B-N-006</t>
        </is>
      </c>
      <c r="B562" s="3" t="inlineStr">
        <is>
          <t>DOJC-SM-SC/APC-SC/APC</t>
        </is>
      </c>
      <c r="C562" s="2" t="inlineStr">
        <is>
          <t>908040560, 2M, B3, 3.0mm</t>
        </is>
      </c>
      <c r="D562" s="2" t="inlineStr">
        <is>
          <t>b3</t>
        </is>
      </c>
      <c r="E562" s="2" t="inlineStr">
        <is>
          <t>3.0mm</t>
        </is>
      </c>
      <c r="F562" s="2" t="n">
        <v>2</v>
      </c>
      <c r="G562" s="2" t="n">
        <v>2</v>
      </c>
      <c r="H562" s="2" t="inlineStr">
        <is>
          <t>SC/APC</t>
        </is>
      </c>
      <c r="I562" s="2" t="inlineStr">
        <is>
          <t>SC/APC</t>
        </is>
      </c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>
        <v>5</v>
      </c>
      <c r="S562" s="2" t="n"/>
      <c r="T562" s="2" t="n"/>
      <c r="U562" s="2" t="n"/>
      <c r="V562" s="2">
        <f>SUM(J562:U562)</f>
        <v/>
      </c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>
        <v>10</v>
      </c>
      <c r="AQ562" s="2" t="n">
        <v>10</v>
      </c>
      <c r="AR562" s="2" t="n"/>
      <c r="AS562" s="2" t="n"/>
      <c r="AT562" s="2" t="n"/>
      <c r="AU562" s="2" t="n"/>
      <c r="AV562" s="2">
        <f>IF(F562=1,V562*2,IF(F562=2,V562*F562*2,IF(F562&gt;2,F562*2*V562)))</f>
        <v/>
      </c>
      <c r="AW562" s="2">
        <f>SUM(W562:AU562)</f>
        <v/>
      </c>
    </row>
    <row r="563">
      <c r="A563" s="2" t="inlineStr">
        <is>
          <t>A14-D-SP/FA-B-N-010</t>
        </is>
      </c>
      <c r="B563" s="3" t="inlineStr">
        <is>
          <t>DOJC-SM-SC/PC-FC/APC</t>
        </is>
      </c>
      <c r="C563" s="2" t="inlineStr">
        <is>
          <t>908040436, 4M, B3, 3.0mm</t>
        </is>
      </c>
      <c r="D563" s="2" t="inlineStr">
        <is>
          <t>b3</t>
        </is>
      </c>
      <c r="E563" s="2" t="inlineStr">
        <is>
          <t>3.0mm</t>
        </is>
      </c>
      <c r="F563" s="2" t="n">
        <v>2</v>
      </c>
      <c r="G563" s="2" t="n">
        <v>4</v>
      </c>
      <c r="H563" s="2" t="inlineStr">
        <is>
          <t>SC/PC</t>
        </is>
      </c>
      <c r="I563" s="2" t="inlineStr">
        <is>
          <t>FC/APC</t>
        </is>
      </c>
      <c r="J563" s="2" t="n"/>
      <c r="K563" s="2" t="n"/>
      <c r="L563" s="2" t="n"/>
      <c r="M563" s="2" t="n"/>
      <c r="N563" s="2" t="n">
        <v>10</v>
      </c>
      <c r="O563" s="2" t="n"/>
      <c r="P563" s="2" t="n"/>
      <c r="Q563" s="2" t="n"/>
      <c r="R563" s="2" t="n"/>
      <c r="S563" s="2" t="n"/>
      <c r="T563" s="2" t="n"/>
      <c r="U563" s="2" t="n"/>
      <c r="V563" s="2">
        <f>SUM(J563:U563)</f>
        <v/>
      </c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>
        <v>20</v>
      </c>
      <c r="AO563" s="2" t="n"/>
      <c r="AP563" s="2" t="n"/>
      <c r="AQ563" s="2" t="n"/>
      <c r="AR563" s="2" t="n"/>
      <c r="AS563" s="2" t="n"/>
      <c r="AT563" s="2" t="n"/>
      <c r="AU563" s="2" t="n">
        <v>20</v>
      </c>
      <c r="AV563" s="2">
        <f>IF(F563=1,V563*2,IF(F563=2,V563*F563*2,IF(F563&gt;2,F563*2*V563)))</f>
        <v/>
      </c>
      <c r="AW563" s="2">
        <f>SUM(W563:AU563)</f>
        <v/>
      </c>
    </row>
    <row r="564">
      <c r="A564" s="2" t="inlineStr">
        <is>
          <t>A14-D-SP/FA-B-N-012</t>
        </is>
      </c>
      <c r="B564" s="3" t="inlineStr">
        <is>
          <t>DOJC-SM-SC/PC-FC/APC</t>
        </is>
      </c>
      <c r="C564" s="2" t="inlineStr">
        <is>
          <t>908040438, 6M, B3, 2.0mm</t>
        </is>
      </c>
      <c r="D564" s="2" t="inlineStr">
        <is>
          <t>b3</t>
        </is>
      </c>
      <c r="E564" s="2" t="inlineStr">
        <is>
          <t>2.0mm</t>
        </is>
      </c>
      <c r="F564" s="2" t="n">
        <v>2</v>
      </c>
      <c r="G564" s="2" t="n">
        <v>6</v>
      </c>
      <c r="H564" s="2" t="inlineStr">
        <is>
          <t>SC/PC</t>
        </is>
      </c>
      <c r="I564" s="2" t="inlineStr">
        <is>
          <t>FC/APC</t>
        </is>
      </c>
      <c r="J564" s="2" t="n"/>
      <c r="K564" s="2" t="n"/>
      <c r="L564" s="2" t="n"/>
      <c r="M564" s="2" t="n"/>
      <c r="N564" s="2" t="n">
        <v>10</v>
      </c>
      <c r="O564" s="2" t="n"/>
      <c r="P564" s="2" t="n"/>
      <c r="Q564" s="2" t="n"/>
      <c r="R564" s="2" t="n"/>
      <c r="S564" s="2" t="n"/>
      <c r="T564" s="2" t="n"/>
      <c r="U564" s="2" t="n"/>
      <c r="V564" s="2">
        <f>SUM(J564:U564)</f>
        <v/>
      </c>
      <c r="W564" s="2" t="n"/>
      <c r="X564" s="2" t="n"/>
      <c r="Y564" s="2" t="n"/>
      <c r="Z564" s="2" t="n"/>
      <c r="AA564" s="2" t="n">
        <v>20</v>
      </c>
      <c r="AB564" s="2" t="n"/>
      <c r="AC564" s="2" t="n"/>
      <c r="AD564" s="2" t="n"/>
      <c r="AE564" s="2" t="n"/>
      <c r="AF564" s="2" t="n"/>
      <c r="AG564" s="2" t="n"/>
      <c r="AH564" s="2" t="n">
        <v>20</v>
      </c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>
        <f>IF(F564=1,V564*2,IF(F564=2,V564*F564*2,IF(F564&gt;2,F564*2*V564)))</f>
        <v/>
      </c>
      <c r="AW564" s="2">
        <f>SUM(W564:AU564)</f>
        <v/>
      </c>
    </row>
    <row r="565">
      <c r="A565" s="2" t="inlineStr">
        <is>
          <t>A14-D-SP/FP-B-N-007</t>
        </is>
      </c>
      <c r="B565" s="3" t="inlineStr">
        <is>
          <t>DOJC-SM-SC/PC-FC/PC</t>
        </is>
      </c>
      <c r="C565" s="2" t="inlineStr">
        <is>
          <t>908040432, 30M, B3, 2.0mm</t>
        </is>
      </c>
      <c r="D565" s="2" t="inlineStr">
        <is>
          <t>b3</t>
        </is>
      </c>
      <c r="E565" s="2" t="inlineStr">
        <is>
          <t>2.0mm</t>
        </is>
      </c>
      <c r="F565" s="2" t="n">
        <v>2</v>
      </c>
      <c r="G565" s="2" t="n">
        <v>30</v>
      </c>
      <c r="H565" s="2" t="inlineStr">
        <is>
          <t>SC/PC</t>
        </is>
      </c>
      <c r="I565" s="2" t="inlineStr">
        <is>
          <t>FC/PC</t>
        </is>
      </c>
      <c r="J565" s="2" t="n"/>
      <c r="K565" s="2" t="n">
        <v>10</v>
      </c>
      <c r="L565" s="2" t="n">
        <v>10</v>
      </c>
      <c r="M565" s="2" t="n"/>
      <c r="N565" s="2" t="n"/>
      <c r="O565" s="2" t="n"/>
      <c r="P565" s="2" t="n"/>
      <c r="Q565" s="2" t="n">
        <v>5</v>
      </c>
      <c r="R565" s="2" t="n"/>
      <c r="S565" s="2" t="n"/>
      <c r="T565" s="2" t="n"/>
      <c r="U565" s="2" t="n">
        <v>2</v>
      </c>
      <c r="V565" s="2">
        <f>SUM(J565:U565)</f>
        <v/>
      </c>
      <c r="W565" s="2" t="n"/>
      <c r="X565" s="2" t="n"/>
      <c r="Y565" s="2" t="n"/>
      <c r="Z565" s="2" t="n"/>
      <c r="AA565" s="2" t="n">
        <v>54</v>
      </c>
      <c r="AB565" s="2" t="n"/>
      <c r="AC565" s="2" t="n"/>
      <c r="AD565" s="2" t="n"/>
      <c r="AE565" s="2" t="n"/>
      <c r="AF565" s="2" t="n">
        <v>54</v>
      </c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>
        <f>IF(F565=1,V565*2,IF(F565=2,V565*F565*2,IF(F565&gt;2,F565*2*V565)))</f>
        <v/>
      </c>
      <c r="AW565" s="2">
        <f>SUM(W565:AU565)</f>
        <v/>
      </c>
    </row>
    <row r="566">
      <c r="A566" s="2" t="inlineStr">
        <is>
          <t>A14-D-SP/FP-B-N-012</t>
        </is>
      </c>
      <c r="B566" s="3" t="inlineStr">
        <is>
          <t>DOJC-SM-SC/PC-FC/PC</t>
        </is>
      </c>
      <c r="C566" s="2" t="inlineStr">
        <is>
          <t>908040684, 7M, B3, 2.0mm</t>
        </is>
      </c>
      <c r="D566" s="2" t="inlineStr">
        <is>
          <t>b3</t>
        </is>
      </c>
      <c r="E566" s="2" t="inlineStr">
        <is>
          <t>2.0mm</t>
        </is>
      </c>
      <c r="F566" s="2" t="n">
        <v>2</v>
      </c>
      <c r="G566" s="2" t="n">
        <v>7</v>
      </c>
      <c r="H566" s="2" t="inlineStr">
        <is>
          <t>SC/PC</t>
        </is>
      </c>
      <c r="I566" s="2" t="inlineStr">
        <is>
          <t>FC/PC</t>
        </is>
      </c>
      <c r="J566" s="2" t="n"/>
      <c r="K566" s="2" t="n"/>
      <c r="L566" s="2" t="n">
        <v>5</v>
      </c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>
        <f>SUM(J566:U566)</f>
        <v/>
      </c>
      <c r="W566" s="2" t="n"/>
      <c r="X566" s="2" t="n"/>
      <c r="Y566" s="2" t="n"/>
      <c r="Z566" s="2" t="n"/>
      <c r="AA566" s="2" t="n">
        <v>10</v>
      </c>
      <c r="AB566" s="2" t="n"/>
      <c r="AC566" s="2" t="n"/>
      <c r="AD566" s="2" t="n"/>
      <c r="AE566" s="2" t="n"/>
      <c r="AF566" s="2" t="n">
        <v>10</v>
      </c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>
        <f>IF(F566=1,V566*2,IF(F566=2,V566*F566*2,IF(F566&gt;2,F566*2*V566)))</f>
        <v/>
      </c>
      <c r="AW566" s="2">
        <f>SUM(W566:AU566)</f>
        <v/>
      </c>
    </row>
    <row r="567">
      <c r="A567" s="2" t="inlineStr">
        <is>
          <t>A14-D-SP/SA-B-N-008</t>
        </is>
      </c>
      <c r="B567" s="3" t="inlineStr">
        <is>
          <t>DOJC-SM-SC/PC-SC/APC</t>
        </is>
      </c>
      <c r="C567" s="2" t="inlineStr">
        <is>
          <t>908040557, 30M, B3, 2.0mm</t>
        </is>
      </c>
      <c r="D567" s="2" t="inlineStr">
        <is>
          <t>b3</t>
        </is>
      </c>
      <c r="E567" s="2" t="inlineStr">
        <is>
          <t>2.0mm</t>
        </is>
      </c>
      <c r="F567" s="2" t="n">
        <v>2</v>
      </c>
      <c r="G567" s="2" t="n">
        <v>30</v>
      </c>
      <c r="H567" s="2" t="inlineStr">
        <is>
          <t>SC/PC</t>
        </is>
      </c>
      <c r="I567" s="2" t="inlineStr">
        <is>
          <t>SC/APC</t>
        </is>
      </c>
      <c r="J567" s="2" t="n"/>
      <c r="K567" s="2" t="n"/>
      <c r="L567" s="2" t="n"/>
      <c r="M567" s="2" t="n"/>
      <c r="N567" s="2" t="n"/>
      <c r="O567" s="2" t="n"/>
      <c r="P567" s="2" t="n">
        <v>18</v>
      </c>
      <c r="Q567" s="2" t="n"/>
      <c r="R567" s="2" t="n"/>
      <c r="S567" s="2" t="n"/>
      <c r="T567" s="2" t="n"/>
      <c r="U567" s="2" t="n">
        <v>2</v>
      </c>
      <c r="V567" s="2">
        <f>SUM(J567:U567)</f>
        <v/>
      </c>
      <c r="W567" s="2" t="n"/>
      <c r="X567" s="2" t="n"/>
      <c r="Y567" s="2" t="n"/>
      <c r="Z567" s="2" t="n"/>
      <c r="AA567" s="2" t="n">
        <v>40</v>
      </c>
      <c r="AB567" s="2" t="n"/>
      <c r="AC567" s="2" t="n"/>
      <c r="AD567" s="2" t="n">
        <v>40</v>
      </c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>
        <f>IF(F567=1,V567*2,IF(F567=2,V567*F567*2,IF(F567&gt;2,F567*2*V567)))</f>
        <v/>
      </c>
      <c r="AW567" s="2">
        <f>SUM(W567:AU567)</f>
        <v/>
      </c>
    </row>
    <row r="568">
      <c r="A568" s="2" t="inlineStr">
        <is>
          <t>A14-D-SP/SP-B-N-002</t>
        </is>
      </c>
      <c r="B568" s="3" t="inlineStr">
        <is>
          <t>DOJC-SM-SC/PC-SC/PC</t>
        </is>
      </c>
      <c r="C568" s="2" t="inlineStr">
        <is>
          <t>908040232, 12M, B3, 2.0mm</t>
        </is>
      </c>
      <c r="D568" s="2" t="inlineStr">
        <is>
          <t>b3</t>
        </is>
      </c>
      <c r="E568" s="2" t="inlineStr">
        <is>
          <t>2.0mm</t>
        </is>
      </c>
      <c r="F568" s="2" t="n">
        <v>2</v>
      </c>
      <c r="G568" s="2" t="n">
        <v>12</v>
      </c>
      <c r="H568" s="2" t="inlineStr">
        <is>
          <t>SC/PC</t>
        </is>
      </c>
      <c r="I568" s="2" t="inlineStr">
        <is>
          <t>SC/PC</t>
        </is>
      </c>
      <c r="J568" s="2" t="n"/>
      <c r="K568" s="2" t="n"/>
      <c r="L568" s="2" t="n"/>
      <c r="M568" s="2" t="n">
        <v>25</v>
      </c>
      <c r="N568" s="2" t="n"/>
      <c r="O568" s="2" t="n"/>
      <c r="P568" s="2" t="n"/>
      <c r="Q568" s="2" t="n">
        <v>50</v>
      </c>
      <c r="R568" s="2" t="n"/>
      <c r="S568" s="2" t="n"/>
      <c r="T568" s="2" t="n">
        <v>10</v>
      </c>
      <c r="U568" s="2" t="n"/>
      <c r="V568" s="2">
        <f>SUM(J568:U568)</f>
        <v/>
      </c>
      <c r="W568" s="2" t="n"/>
      <c r="X568" s="2" t="n"/>
      <c r="Y568" s="2" t="n"/>
      <c r="Z568" s="2" t="n"/>
      <c r="AA568" s="2" t="n">
        <v>170</v>
      </c>
      <c r="AB568" s="2" t="n">
        <v>170</v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>
        <f>IF(F568=1,V568*2,IF(F568=2,V568*F568*2,IF(F568&gt;2,F568*2*V568)))</f>
        <v/>
      </c>
      <c r="AW568" s="2">
        <f>SUM(W568:AU568)</f>
        <v/>
      </c>
    </row>
    <row r="569">
      <c r="A569" s="2" t="inlineStr">
        <is>
          <t>A14-D-SP/SP-B-N-015</t>
        </is>
      </c>
      <c r="B569" s="3" t="inlineStr">
        <is>
          <t>DOJC-SM-SC/PC-SC/PC</t>
        </is>
      </c>
      <c r="C569" s="2" t="inlineStr">
        <is>
          <t>908040227, 7M, B3, 2.0mm</t>
        </is>
      </c>
      <c r="D569" s="2" t="inlineStr">
        <is>
          <t>b3</t>
        </is>
      </c>
      <c r="E569" s="2" t="inlineStr">
        <is>
          <t>2.0mm</t>
        </is>
      </c>
      <c r="F569" s="2" t="n">
        <v>2</v>
      </c>
      <c r="G569" s="2" t="n">
        <v>7</v>
      </c>
      <c r="H569" s="2" t="inlineStr">
        <is>
          <t>SC/PC</t>
        </is>
      </c>
      <c r="I569" s="2" t="inlineStr">
        <is>
          <t>SC/PC</t>
        </is>
      </c>
      <c r="J569" s="2" t="n"/>
      <c r="K569" s="2" t="n"/>
      <c r="L569" s="2" t="n">
        <v>70</v>
      </c>
      <c r="M569" s="2" t="n"/>
      <c r="N569" s="2" t="n">
        <v>10</v>
      </c>
      <c r="O569" s="2" t="n">
        <v>20</v>
      </c>
      <c r="P569" s="2" t="n"/>
      <c r="Q569" s="2" t="n"/>
      <c r="R569" s="2" t="n"/>
      <c r="S569" s="2" t="n"/>
      <c r="T569" s="2" t="n">
        <v>10</v>
      </c>
      <c r="U569" s="2" t="n"/>
      <c r="V569" s="2">
        <f>SUM(J569:U569)</f>
        <v/>
      </c>
      <c r="W569" s="2" t="n"/>
      <c r="X569" s="2" t="n"/>
      <c r="Y569" s="2" t="n"/>
      <c r="Z569" s="2" t="n"/>
      <c r="AA569" s="2" t="n">
        <v>220</v>
      </c>
      <c r="AB569" s="2" t="n">
        <v>220</v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>
        <f>IF(F569=1,V569*2,IF(F569=2,V569*F569*2,IF(F569&gt;2,F569*2*V569)))</f>
        <v/>
      </c>
      <c r="AW569" s="2">
        <f>SUM(W569:AU569)</f>
        <v/>
      </c>
    </row>
    <row r="570">
      <c r="A570" s="2" t="inlineStr">
        <is>
          <t>A14-D1-N002</t>
        </is>
      </c>
      <c r="B570" s="3" t="inlineStr">
        <is>
          <t>DOJC-MM-LC/PC-LC/PC</t>
        </is>
      </c>
      <c r="C570" s="2" t="inlineStr">
        <is>
          <t>920000812, 30M</t>
        </is>
      </c>
      <c r="D570" s="2" t="inlineStr">
        <is>
          <t>om1</t>
        </is>
      </c>
      <c r="E570" s="2" t="inlineStr">
        <is>
          <t>2.0mm</t>
        </is>
      </c>
      <c r="F570" s="2" t="n">
        <v>2</v>
      </c>
      <c r="G570" s="2" t="n">
        <v>30</v>
      </c>
      <c r="H570" s="2" t="inlineStr">
        <is>
          <t>LC/PC</t>
        </is>
      </c>
      <c r="I570" s="2" t="inlineStr">
        <is>
          <t>LC/PC</t>
        </is>
      </c>
      <c r="J570" s="2" t="n"/>
      <c r="K570" s="2" t="n"/>
      <c r="L570" s="2" t="n">
        <v>5</v>
      </c>
      <c r="M570" s="2" t="n"/>
      <c r="N570" s="2" t="n"/>
      <c r="O570" s="2" t="n">
        <v>20</v>
      </c>
      <c r="P570" s="2" t="n"/>
      <c r="Q570" s="2" t="n">
        <v>10</v>
      </c>
      <c r="R570" s="2" t="n"/>
      <c r="S570" s="2" t="n"/>
      <c r="T570" s="2" t="n">
        <v>10</v>
      </c>
      <c r="U570" s="2" t="n">
        <v>4</v>
      </c>
      <c r="V570" s="2">
        <f>SUM(J570:U570)</f>
        <v/>
      </c>
      <c r="W570" s="2" t="n"/>
      <c r="X570" s="2" t="n">
        <v>98</v>
      </c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>
        <v>98</v>
      </c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>
        <f>IF(F570=1,V570*2,IF(F570=2,V570*F570*2,IF(F570&gt;2,F570*2*V570)))</f>
        <v/>
      </c>
      <c r="AW570" s="2">
        <f>SUM(W570:AU570)</f>
        <v/>
      </c>
    </row>
    <row r="571">
      <c r="A571" s="2" t="inlineStr">
        <is>
          <t>A14-D1-N003</t>
        </is>
      </c>
      <c r="B571" s="3" t="inlineStr">
        <is>
          <t>DOJC-MM-LC/PC-LC/PC</t>
        </is>
      </c>
      <c r="C571" s="2" t="inlineStr">
        <is>
          <t>920000788, 6M</t>
        </is>
      </c>
      <c r="D571" s="2" t="inlineStr">
        <is>
          <t>om1</t>
        </is>
      </c>
      <c r="E571" s="2" t="inlineStr">
        <is>
          <t>2.0mm</t>
        </is>
      </c>
      <c r="F571" s="2" t="n">
        <v>2</v>
      </c>
      <c r="G571" s="2" t="n">
        <v>6</v>
      </c>
      <c r="H571" s="2" t="inlineStr">
        <is>
          <t>LC/PC</t>
        </is>
      </c>
      <c r="I571" s="2" t="inlineStr">
        <is>
          <t>LC/PC</t>
        </is>
      </c>
      <c r="J571" s="2" t="n"/>
      <c r="K571" s="2" t="n">
        <v>6</v>
      </c>
      <c r="L571" s="2" t="n"/>
      <c r="M571" s="2" t="n"/>
      <c r="N571" s="2" t="n">
        <v>10</v>
      </c>
      <c r="O571" s="2" t="n"/>
      <c r="P571" s="2" t="n"/>
      <c r="Q571" s="2" t="n"/>
      <c r="R571" s="2" t="n"/>
      <c r="S571" s="2" t="n">
        <v>10</v>
      </c>
      <c r="T571" s="2" t="n">
        <v>7</v>
      </c>
      <c r="U571" s="2" t="n"/>
      <c r="V571" s="2">
        <f>SUM(J571:U571)</f>
        <v/>
      </c>
      <c r="W571" s="2" t="n"/>
      <c r="X571" s="2" t="n">
        <v>66</v>
      </c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>
        <v>66</v>
      </c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>
        <f>IF(F571=1,V571*2,IF(F571=2,V571*F571*2,IF(F571&gt;2,F571*2*V571)))</f>
        <v/>
      </c>
      <c r="AW571" s="2">
        <f>SUM(W571:AU571)</f>
        <v/>
      </c>
    </row>
    <row r="572">
      <c r="A572" s="2" t="inlineStr">
        <is>
          <t>A14-D1-N004</t>
        </is>
      </c>
      <c r="B572" s="3" t="inlineStr">
        <is>
          <t>DOJC-MM-LC/PC-LC/PC</t>
        </is>
      </c>
      <c r="C572" s="2" t="inlineStr">
        <is>
          <t>920000789, 7M</t>
        </is>
      </c>
      <c r="D572" s="2" t="inlineStr">
        <is>
          <t>om1</t>
        </is>
      </c>
      <c r="E572" s="2" t="inlineStr">
        <is>
          <t>2.0mm</t>
        </is>
      </c>
      <c r="F572" s="2" t="n">
        <v>2</v>
      </c>
      <c r="G572" s="2" t="n">
        <v>7</v>
      </c>
      <c r="H572" s="2" t="inlineStr">
        <is>
          <t>LC/PC</t>
        </is>
      </c>
      <c r="I572" s="2" t="inlineStr">
        <is>
          <t>LC/PC</t>
        </is>
      </c>
      <c r="J572" s="2" t="n"/>
      <c r="K572" s="2" t="n"/>
      <c r="L572" s="2" t="n">
        <v>10</v>
      </c>
      <c r="M572" s="2" t="n"/>
      <c r="N572" s="2" t="n"/>
      <c r="O572" s="2" t="n"/>
      <c r="P572" s="2" t="n"/>
      <c r="Q572" s="2" t="n"/>
      <c r="R572" s="2" t="n">
        <v>10</v>
      </c>
      <c r="S572" s="2" t="n"/>
      <c r="T572" s="2" t="n"/>
      <c r="U572" s="2" t="n"/>
      <c r="V572" s="2">
        <f>SUM(J572:U572)</f>
        <v/>
      </c>
      <c r="W572" s="2" t="n"/>
      <c r="X572" s="2" t="n">
        <v>40</v>
      </c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>
        <v>40</v>
      </c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>
        <f>IF(F572=1,V572*2,IF(F572=2,V572*F572*2,IF(F572&gt;2,F572*2*V572)))</f>
        <v/>
      </c>
      <c r="AW572" s="2">
        <f>SUM(W572:AU572)</f>
        <v/>
      </c>
    </row>
    <row r="573">
      <c r="A573" s="2" t="inlineStr">
        <is>
          <t>A14-D1-N007</t>
        </is>
      </c>
      <c r="B573" s="3" t="inlineStr">
        <is>
          <t>DOJC-MM-LC/PC-SC/PC</t>
        </is>
      </c>
      <c r="C573" s="2" t="inlineStr">
        <is>
          <t>908040782, 20M</t>
        </is>
      </c>
      <c r="D573" s="2" t="inlineStr">
        <is>
          <t>om1</t>
        </is>
      </c>
      <c r="E573" s="2" t="inlineStr">
        <is>
          <t>2.0mm</t>
        </is>
      </c>
      <c r="F573" s="2" t="n">
        <v>2</v>
      </c>
      <c r="G573" s="2" t="n">
        <v>20</v>
      </c>
      <c r="H573" s="2" t="inlineStr">
        <is>
          <t>LC/PC</t>
        </is>
      </c>
      <c r="I573" s="2" t="inlineStr">
        <is>
          <t>SC/PC</t>
        </is>
      </c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>
        <v>15</v>
      </c>
      <c r="S573" s="2" t="n"/>
      <c r="T573" s="2" t="n">
        <v>20</v>
      </c>
      <c r="U573" s="2" t="n"/>
      <c r="V573" s="2">
        <f>SUM(J573:U573)</f>
        <v/>
      </c>
      <c r="W573" s="2" t="n"/>
      <c r="X573" s="2" t="n"/>
      <c r="Y573" s="2" t="n"/>
      <c r="Z573" s="2" t="n"/>
      <c r="AA573" s="2" t="n"/>
      <c r="AB573" s="2" t="n">
        <v>70</v>
      </c>
      <c r="AC573" s="2" t="n"/>
      <c r="AD573" s="2" t="n"/>
      <c r="AE573" s="2" t="n"/>
      <c r="AF573" s="2" t="n"/>
      <c r="AG573" s="2" t="n"/>
      <c r="AH573" s="2" t="n"/>
      <c r="AI573" s="2" t="n">
        <v>70</v>
      </c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>
        <f>IF(F573=1,V573*2,IF(F573=2,V573*F573*2,IF(F573&gt;2,F573*2*V573)))</f>
        <v/>
      </c>
      <c r="AW573" s="2">
        <f>SUM(W573:AU573)</f>
        <v/>
      </c>
    </row>
    <row r="574">
      <c r="A574" s="2" t="inlineStr">
        <is>
          <t>A14-D1-N012</t>
        </is>
      </c>
      <c r="B574" s="3" t="inlineStr">
        <is>
          <t>DOJC-MM-LC/PC-LC/PC</t>
        </is>
      </c>
      <c r="C574" s="2" t="inlineStr">
        <is>
          <t>920000790, 8M</t>
        </is>
      </c>
      <c r="D574" s="2" t="inlineStr">
        <is>
          <t>om1</t>
        </is>
      </c>
      <c r="E574" s="2" t="inlineStr">
        <is>
          <t>2.0mm</t>
        </is>
      </c>
      <c r="F574" s="2" t="n">
        <v>2</v>
      </c>
      <c r="G574" s="2" t="n">
        <v>8</v>
      </c>
      <c r="H574" s="2" t="inlineStr">
        <is>
          <t>LC/PC</t>
        </is>
      </c>
      <c r="I574" s="2" t="inlineStr">
        <is>
          <t>LC/PC</t>
        </is>
      </c>
      <c r="J574" s="2" t="n"/>
      <c r="K574" s="2" t="n"/>
      <c r="L574" s="2" t="n"/>
      <c r="M574" s="2" t="n">
        <v>8</v>
      </c>
      <c r="N574" s="2" t="n"/>
      <c r="O574" s="2" t="n"/>
      <c r="P574" s="2" t="n"/>
      <c r="Q574" s="2" t="n"/>
      <c r="R574" s="2" t="n">
        <v>10</v>
      </c>
      <c r="S574" s="2" t="n"/>
      <c r="T574" s="2" t="n"/>
      <c r="U574" s="2" t="n"/>
      <c r="V574" s="2">
        <f>SUM(J574:U574)</f>
        <v/>
      </c>
      <c r="W574" s="2" t="n"/>
      <c r="X574" s="2" t="n">
        <v>36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>
        <v>36</v>
      </c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>
        <f>IF(F574=1,V574*2,IF(F574=2,V574*F574*2,IF(F574&gt;2,F574*2*V574)))</f>
        <v/>
      </c>
      <c r="AW574" s="2">
        <f>SUM(W574:AU574)</f>
        <v/>
      </c>
    </row>
    <row r="575">
      <c r="A575" s="2" t="inlineStr">
        <is>
          <t>A14-D1-N035</t>
        </is>
      </c>
      <c r="B575" s="3" t="inlineStr">
        <is>
          <t>DOJC-MM-LC/PC-LC/PC</t>
        </is>
      </c>
      <c r="C575" s="2" t="inlineStr">
        <is>
          <t>920000792, 10M</t>
        </is>
      </c>
      <c r="D575" s="2" t="inlineStr">
        <is>
          <t>om1</t>
        </is>
      </c>
      <c r="E575" s="2" t="inlineStr">
        <is>
          <t>2.0mm</t>
        </is>
      </c>
      <c r="F575" s="2" t="n">
        <v>2</v>
      </c>
      <c r="G575" s="2" t="n">
        <v>10</v>
      </c>
      <c r="H575" s="2" t="inlineStr">
        <is>
          <t>LC/PC</t>
        </is>
      </c>
      <c r="I575" s="2" t="inlineStr">
        <is>
          <t>LC/PC</t>
        </is>
      </c>
      <c r="J575" s="2" t="n"/>
      <c r="K575" s="2" t="n"/>
      <c r="L575" s="2" t="n"/>
      <c r="M575" s="2" t="n"/>
      <c r="N575" s="2" t="n"/>
      <c r="O575" s="2" t="n">
        <v>22</v>
      </c>
      <c r="P575" s="2" t="n">
        <v>55</v>
      </c>
      <c r="Q575" s="2" t="n"/>
      <c r="R575" s="2" t="n">
        <v>278</v>
      </c>
      <c r="S575" s="2" t="n">
        <v>300</v>
      </c>
      <c r="T575" s="2" t="n">
        <v>28</v>
      </c>
      <c r="U575" s="2" t="n"/>
      <c r="V575" s="2">
        <f>SUM(J575:U575)</f>
        <v/>
      </c>
      <c r="W575" s="2" t="n"/>
      <c r="X575" s="2" t="n">
        <v>1366</v>
      </c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>
        <v>1366</v>
      </c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>
        <f>IF(F575=1,V575*2,IF(F575=2,V575*F575*2,IF(F575&gt;2,F575*2*V575)))</f>
        <v/>
      </c>
      <c r="AW575" s="2">
        <f>SUM(W575:AU575)</f>
        <v/>
      </c>
    </row>
    <row r="576">
      <c r="A576" s="2" t="inlineStr">
        <is>
          <t>A14-D1-N035R</t>
        </is>
      </c>
      <c r="B576" s="3" t="inlineStr">
        <is>
          <t>DOJC-MM-LC/PC-LC/PC</t>
        </is>
      </c>
      <c r="C576" s="2" t="inlineStr">
        <is>
          <t>920000792, 10M</t>
        </is>
      </c>
      <c r="D576" s="2" t="inlineStr">
        <is>
          <t>om1</t>
        </is>
      </c>
      <c r="E576" s="2" t="inlineStr">
        <is>
          <t>2.0mm</t>
        </is>
      </c>
      <c r="F576" s="2" t="n">
        <v>2</v>
      </c>
      <c r="G576" s="2" t="n">
        <v>10</v>
      </c>
      <c r="H576" s="2" t="inlineStr">
        <is>
          <t>LC/PC</t>
        </is>
      </c>
      <c r="I576" s="2" t="inlineStr">
        <is>
          <t>LC/PC</t>
        </is>
      </c>
      <c r="J576" s="2" t="n">
        <v>10</v>
      </c>
      <c r="K576" s="2" t="n"/>
      <c r="L576" s="2" t="n"/>
      <c r="M576" s="2" t="n">
        <v>10</v>
      </c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>
        <f>SUM(J576:U576)</f>
        <v/>
      </c>
      <c r="W576" s="2" t="n"/>
      <c r="X576" s="2" t="n">
        <v>40</v>
      </c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>
        <v>40</v>
      </c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>
        <f>IF(F576=1,V576*2,IF(F576=2,V576*F576*2,IF(F576&gt;2,F576*2*V576)))</f>
        <v/>
      </c>
      <c r="AW576" s="2">
        <f>SUM(W576:AU576)</f>
        <v/>
      </c>
    </row>
    <row r="577">
      <c r="A577" s="2" t="inlineStr">
        <is>
          <t>A14-D1-N040</t>
        </is>
      </c>
      <c r="B577" s="3" t="inlineStr">
        <is>
          <t>DOJC-MM-LC/PC-LC/PC</t>
        </is>
      </c>
      <c r="C577" s="2" t="inlineStr">
        <is>
          <t>920000797, 15M</t>
        </is>
      </c>
      <c r="D577" s="2" t="inlineStr">
        <is>
          <t>om1</t>
        </is>
      </c>
      <c r="E577" s="2" t="inlineStr">
        <is>
          <t>2.0mm</t>
        </is>
      </c>
      <c r="F577" s="2" t="n">
        <v>2</v>
      </c>
      <c r="G577" s="2" t="n">
        <v>15</v>
      </c>
      <c r="H577" s="2" t="inlineStr">
        <is>
          <t>LC/PC</t>
        </is>
      </c>
      <c r="I577" s="2" t="inlineStr">
        <is>
          <t>LC/PC</t>
        </is>
      </c>
      <c r="J577" s="2" t="n"/>
      <c r="K577" s="2" t="n"/>
      <c r="L577" s="2" t="n"/>
      <c r="M577" s="2" t="n"/>
      <c r="N577" s="2" t="n">
        <v>8</v>
      </c>
      <c r="O577" s="2" t="n">
        <v>30</v>
      </c>
      <c r="P577" s="2" t="n">
        <v>28</v>
      </c>
      <c r="Q577" s="2" t="n">
        <v>30</v>
      </c>
      <c r="R577" s="2" t="n">
        <v>8</v>
      </c>
      <c r="S577" s="2" t="n">
        <v>95</v>
      </c>
      <c r="T577" s="2" t="n">
        <v>24</v>
      </c>
      <c r="U577" s="2" t="n"/>
      <c r="V577" s="2">
        <f>SUM(J577:U577)</f>
        <v/>
      </c>
      <c r="W577" s="2" t="n"/>
      <c r="X577" s="2" t="n">
        <v>446</v>
      </c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>
        <v>446</v>
      </c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>
        <f>IF(F577=1,V577*2,IF(F577=2,V577*F577*2,IF(F577&gt;2,F577*2*V577)))</f>
        <v/>
      </c>
      <c r="AW577" s="2">
        <f>SUM(W577:AU577)</f>
        <v/>
      </c>
    </row>
    <row r="578">
      <c r="A578" s="2" t="inlineStr">
        <is>
          <t>A14-D1-N044</t>
        </is>
      </c>
      <c r="B578" s="3" t="inlineStr">
        <is>
          <t>DOJC-MM-LC/PC-LC/PC</t>
        </is>
      </c>
      <c r="C578" s="2" t="inlineStr">
        <is>
          <t>920000802, 20M</t>
        </is>
      </c>
      <c r="D578" s="2" t="inlineStr">
        <is>
          <t>om1</t>
        </is>
      </c>
      <c r="E578" s="2" t="inlineStr">
        <is>
          <t>2.0mm</t>
        </is>
      </c>
      <c r="F578" s="2" t="n">
        <v>2</v>
      </c>
      <c r="G578" s="2" t="n">
        <v>20</v>
      </c>
      <c r="H578" s="2" t="inlineStr">
        <is>
          <t>LC/PC</t>
        </is>
      </c>
      <c r="I578" s="2" t="inlineStr">
        <is>
          <t>LC/PC</t>
        </is>
      </c>
      <c r="J578" s="2" t="n"/>
      <c r="K578" s="2" t="n"/>
      <c r="L578" s="2" t="n"/>
      <c r="M578" s="2" t="n"/>
      <c r="N578" s="2" t="n"/>
      <c r="O578" s="2" t="n">
        <v>11</v>
      </c>
      <c r="P578" s="2" t="n">
        <v>10</v>
      </c>
      <c r="Q578" s="2" t="n">
        <v>51</v>
      </c>
      <c r="R578" s="2" t="n">
        <v>30</v>
      </c>
      <c r="S578" s="2" t="n">
        <v>20</v>
      </c>
      <c r="T578" s="2" t="n">
        <v>4</v>
      </c>
      <c r="U578" s="2" t="n"/>
      <c r="V578" s="2">
        <f>SUM(J578:U578)</f>
        <v/>
      </c>
      <c r="W578" s="2" t="n"/>
      <c r="X578" s="2" t="n">
        <v>252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>
        <v>252</v>
      </c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>
        <f>IF(F578=1,V578*2,IF(F578=2,V578*F578*2,IF(F578&gt;2,F578*2*V578)))</f>
        <v/>
      </c>
      <c r="AW578" s="2">
        <f>SUM(W578:AU578)</f>
        <v/>
      </c>
    </row>
    <row r="579">
      <c r="A579" s="2" t="inlineStr">
        <is>
          <t>A14-D1-N048</t>
        </is>
      </c>
      <c r="B579" s="3" t="inlineStr">
        <is>
          <t>DOJC-MM-LC/PC-LC/PC</t>
        </is>
      </c>
      <c r="C579" s="2" t="inlineStr">
        <is>
          <t>920000807, 25M</t>
        </is>
      </c>
      <c r="D579" s="2" t="inlineStr">
        <is>
          <t>om1</t>
        </is>
      </c>
      <c r="E579" s="2" t="inlineStr">
        <is>
          <t>2.0mm</t>
        </is>
      </c>
      <c r="F579" s="2" t="n">
        <v>2</v>
      </c>
      <c r="G579" s="2" t="n">
        <v>25</v>
      </c>
      <c r="H579" s="2" t="inlineStr">
        <is>
          <t>LC/PC</t>
        </is>
      </c>
      <c r="I579" s="2" t="inlineStr">
        <is>
          <t>LC/PC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>
        <v>27</v>
      </c>
      <c r="R579" s="2" t="n">
        <v>63</v>
      </c>
      <c r="S579" s="2" t="n"/>
      <c r="T579" s="2" t="n">
        <v>6</v>
      </c>
      <c r="U579" s="2" t="n"/>
      <c r="V579" s="2">
        <f>SUM(J579:U579)</f>
        <v/>
      </c>
      <c r="W579" s="2" t="n"/>
      <c r="X579" s="2" t="n">
        <v>192</v>
      </c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>
        <v>192</v>
      </c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>
        <f>IF(F579=1,V579*2,IF(F579=2,V579*F579*2,IF(F579&gt;2,F579*2*V579)))</f>
        <v/>
      </c>
      <c r="AW579" s="2">
        <f>SUM(W579:AU579)</f>
        <v/>
      </c>
    </row>
    <row r="580">
      <c r="A580" s="2" t="inlineStr">
        <is>
          <t>A14-D1-N052</t>
        </is>
      </c>
      <c r="B580" s="3" t="inlineStr">
        <is>
          <t>DOJC-MM-LC/PC-LC/PC</t>
        </is>
      </c>
      <c r="C580" s="2" t="inlineStr">
        <is>
          <t>920000785, 3M</t>
        </is>
      </c>
      <c r="D580" s="2" t="inlineStr">
        <is>
          <t>om1</t>
        </is>
      </c>
      <c r="E580" s="2" t="inlineStr">
        <is>
          <t>2.0mm</t>
        </is>
      </c>
      <c r="F580" s="2" t="n">
        <v>2</v>
      </c>
      <c r="G580" s="2" t="n">
        <v>3</v>
      </c>
      <c r="H580" s="2" t="inlineStr">
        <is>
          <t>LC/PC</t>
        </is>
      </c>
      <c r="I580" s="2" t="inlineStr">
        <is>
          <t>LC/PC</t>
        </is>
      </c>
      <c r="J580" s="2" t="n">
        <v>50</v>
      </c>
      <c r="K580" s="2" t="n"/>
      <c r="L580" s="2" t="n"/>
      <c r="M580" s="2" t="n"/>
      <c r="N580" s="2" t="n"/>
      <c r="O580" s="2" t="n"/>
      <c r="P580" s="2" t="n"/>
      <c r="Q580" s="2" t="n">
        <v>5</v>
      </c>
      <c r="R580" s="2" t="n"/>
      <c r="S580" s="2" t="n">
        <v>78</v>
      </c>
      <c r="T580" s="2" t="n">
        <v>7</v>
      </c>
      <c r="U580" s="2" t="n"/>
      <c r="V580" s="2">
        <f>SUM(J580:U580)</f>
        <v/>
      </c>
      <c r="W580" s="2" t="n"/>
      <c r="X580" s="2" t="n">
        <v>280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>
        <v>280</v>
      </c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>
        <f>IF(F580=1,V580*2,IF(F580=2,V580*F580*2,IF(F580&gt;2,F580*2*V580)))</f>
        <v/>
      </c>
      <c r="AW580" s="2">
        <f>SUM(W580:AU580)</f>
        <v/>
      </c>
    </row>
    <row r="581">
      <c r="A581" s="2" t="inlineStr">
        <is>
          <t>A14-D1-N057</t>
        </is>
      </c>
      <c r="B581" s="3" t="inlineStr">
        <is>
          <t>DOJC-MM-LC/PC-LC/PC</t>
        </is>
      </c>
      <c r="C581" s="2" t="inlineStr">
        <is>
          <t>920000787, 5M</t>
        </is>
      </c>
      <c r="D581" s="2" t="inlineStr">
        <is>
          <t>om1</t>
        </is>
      </c>
      <c r="E581" s="2" t="inlineStr">
        <is>
          <t>2.0mm</t>
        </is>
      </c>
      <c r="F581" s="2" t="n">
        <v>2</v>
      </c>
      <c r="G581" s="2" t="n">
        <v>5</v>
      </c>
      <c r="H581" s="2" t="inlineStr">
        <is>
          <t>LC/PC</t>
        </is>
      </c>
      <c r="I581" s="2" t="inlineStr">
        <is>
          <t>LC/PC</t>
        </is>
      </c>
      <c r="J581" s="2" t="n"/>
      <c r="K581" s="2" t="n"/>
      <c r="L581" s="2" t="n"/>
      <c r="M581" s="2" t="n"/>
      <c r="N581" s="2" t="n"/>
      <c r="O581" s="2" t="n"/>
      <c r="P581" s="2" t="n">
        <v>37</v>
      </c>
      <c r="Q581" s="2" t="n">
        <v>22</v>
      </c>
      <c r="R581" s="2" t="n">
        <v>30</v>
      </c>
      <c r="S581" s="2" t="n">
        <v>50</v>
      </c>
      <c r="T581" s="2" t="n"/>
      <c r="U581" s="2" t="n"/>
      <c r="V581" s="2">
        <f>SUM(J581:U581)</f>
        <v/>
      </c>
      <c r="W581" s="2" t="n"/>
      <c r="X581" s="2" t="n">
        <v>278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>
        <v>278</v>
      </c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>
        <f>IF(F581=1,V581*2,IF(F581=2,V581*F581*2,IF(F581&gt;2,F581*2*V581)))</f>
        <v/>
      </c>
      <c r="AW581" s="2">
        <f>SUM(W581:AU581)</f>
        <v/>
      </c>
    </row>
    <row r="582">
      <c r="A582" s="2" t="inlineStr">
        <is>
          <t>A14-D3-N008</t>
        </is>
      </c>
      <c r="B582" s="3" t="inlineStr">
        <is>
          <t>DOJC-MM(OM3)-LC/PC-LC/PC</t>
        </is>
      </c>
      <c r="C582" s="2" t="inlineStr">
        <is>
          <t>10M</t>
        </is>
      </c>
      <c r="D582" s="2" t="inlineStr">
        <is>
          <t>om3</t>
        </is>
      </c>
      <c r="E582" s="2" t="inlineStr">
        <is>
          <t>2.0mm</t>
        </is>
      </c>
      <c r="F582" s="2" t="n">
        <v>2</v>
      </c>
      <c r="G582" s="2" t="n">
        <v>10</v>
      </c>
      <c r="H582" s="2" t="inlineStr">
        <is>
          <t>LC/PC</t>
        </is>
      </c>
      <c r="I582" s="2" t="inlineStr">
        <is>
          <t>LC/PC</t>
        </is>
      </c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>
        <v>30</v>
      </c>
      <c r="U582" s="2" t="n">
        <v>10</v>
      </c>
      <c r="V582" s="2">
        <f>SUM(J582:U582)</f>
        <v/>
      </c>
      <c r="W582" s="2" t="n"/>
      <c r="X582" s="2" t="n">
        <v>80</v>
      </c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>
        <v>80</v>
      </c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>
        <f>IF(F582=1,V582*2,IF(F582=2,V582*F582*2,IF(F582&gt;2,F582*2*V582)))</f>
        <v/>
      </c>
      <c r="AW582" s="2">
        <f>SUM(W582:AU582)</f>
        <v/>
      </c>
    </row>
    <row r="583">
      <c r="A583" s="2" t="inlineStr">
        <is>
          <t>A14-D3-N010</t>
        </is>
      </c>
      <c r="B583" s="3" t="inlineStr">
        <is>
          <t>DOJC-MM(OM3)-LC/PC-LC/PC</t>
        </is>
      </c>
      <c r="C583" s="2" t="inlineStr">
        <is>
          <t>15M</t>
        </is>
      </c>
      <c r="D583" s="2" t="inlineStr">
        <is>
          <t>om3</t>
        </is>
      </c>
      <c r="E583" s="2" t="inlineStr">
        <is>
          <t>2.0mm</t>
        </is>
      </c>
      <c r="F583" s="2" t="n">
        <v>2</v>
      </c>
      <c r="G583" s="2" t="n">
        <v>15</v>
      </c>
      <c r="H583" s="2" t="inlineStr">
        <is>
          <t>LC/PC</t>
        </is>
      </c>
      <c r="I583" s="2" t="inlineStr">
        <is>
          <t>LC/PC</t>
        </is>
      </c>
      <c r="J583" s="2" t="n"/>
      <c r="K583" s="2" t="n"/>
      <c r="L583" s="2" t="n"/>
      <c r="M583" s="2" t="n"/>
      <c r="N583" s="2" t="n"/>
      <c r="O583" s="2" t="n"/>
      <c r="P583" s="2" t="n"/>
      <c r="Q583" s="2" t="n">
        <v>4</v>
      </c>
      <c r="R583" s="2" t="n"/>
      <c r="S583" s="2" t="n"/>
      <c r="T583" s="2" t="n">
        <v>9</v>
      </c>
      <c r="U583" s="2" t="n"/>
      <c r="V583" s="2">
        <f>SUM(J583:U583)</f>
        <v/>
      </c>
      <c r="W583" s="2" t="n"/>
      <c r="X583" s="2" t="n">
        <v>26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>
        <v>26</v>
      </c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>
        <f>IF(F583=1,V583*2,IF(F583=2,V583*F583*2,IF(F583&gt;2,F583*2*V583)))</f>
        <v/>
      </c>
      <c r="AW583" s="2">
        <f>SUM(W583:AU583)</f>
        <v/>
      </c>
    </row>
    <row r="584">
      <c r="A584" s="2" t="inlineStr">
        <is>
          <t>A14-D3-N011</t>
        </is>
      </c>
      <c r="B584" s="3" t="inlineStr">
        <is>
          <t>DOJC-MM(OM3)-LC/PC-LC/PC</t>
        </is>
      </c>
      <c r="C584" s="2" t="inlineStr">
        <is>
          <t>20M</t>
        </is>
      </c>
      <c r="D584" s="2" t="inlineStr">
        <is>
          <t>om3</t>
        </is>
      </c>
      <c r="E584" s="2" t="inlineStr">
        <is>
          <t>2.0mm</t>
        </is>
      </c>
      <c r="F584" s="2" t="n">
        <v>2</v>
      </c>
      <c r="G584" s="2" t="n">
        <v>20</v>
      </c>
      <c r="H584" s="2" t="inlineStr">
        <is>
          <t>LC/PC</t>
        </is>
      </c>
      <c r="I584" s="2" t="inlineStr">
        <is>
          <t>LC/PC</t>
        </is>
      </c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>
        <v>15</v>
      </c>
      <c r="U584" s="2" t="n"/>
      <c r="V584" s="2">
        <f>SUM(J584:U584)</f>
        <v/>
      </c>
      <c r="W584" s="2" t="n"/>
      <c r="X584" s="2" t="n">
        <v>30</v>
      </c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>
        <v>30</v>
      </c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>
        <f>IF(F584=1,V584*2,IF(F584=2,V584*F584*2,IF(F584&gt;2,F584*2*V584)))</f>
        <v/>
      </c>
      <c r="AW584" s="2">
        <f>SUM(W584:AU584)</f>
        <v/>
      </c>
    </row>
    <row r="585">
      <c r="A585" s="2" t="inlineStr">
        <is>
          <t>A14-D3-N016</t>
        </is>
      </c>
      <c r="B585" s="3" t="inlineStr">
        <is>
          <t>DOJC-MM(OM3)-LC/PC-LC/PC</t>
        </is>
      </c>
      <c r="C585" s="2" t="inlineStr">
        <is>
          <t>25M</t>
        </is>
      </c>
      <c r="D585" s="2" t="inlineStr">
        <is>
          <t>om3</t>
        </is>
      </c>
      <c r="E585" s="2" t="inlineStr">
        <is>
          <t>2.0mm</t>
        </is>
      </c>
      <c r="F585" s="2" t="n">
        <v>2</v>
      </c>
      <c r="G585" s="2" t="n">
        <v>25</v>
      </c>
      <c r="H585" s="2" t="inlineStr">
        <is>
          <t>LC/PC</t>
        </is>
      </c>
      <c r="I585" s="2" t="inlineStr">
        <is>
          <t>LC/PC</t>
        </is>
      </c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>
        <v>5</v>
      </c>
      <c r="U585" s="2" t="n"/>
      <c r="V585" s="2">
        <f>SUM(J585:U585)</f>
        <v/>
      </c>
      <c r="W585" s="2" t="n"/>
      <c r="X585" s="2" t="n">
        <v>10</v>
      </c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>
        <v>10</v>
      </c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>
        <f>IF(F585=1,V585*2,IF(F585=2,V585*F585*2,IF(F585&gt;2,F585*2*V585)))</f>
        <v/>
      </c>
      <c r="AW585" s="2">
        <f>SUM(W585:AU585)</f>
        <v/>
      </c>
    </row>
    <row r="586">
      <c r="A586" s="2" t="inlineStr">
        <is>
          <t>A14-D3-N025</t>
        </is>
      </c>
      <c r="B586" s="3" t="inlineStr">
        <is>
          <t>DOJC-MM(OM3)-LC/PC-LC/PC</t>
        </is>
      </c>
      <c r="C586" s="2" t="inlineStr">
        <is>
          <t>5M</t>
        </is>
      </c>
      <c r="D586" s="2" t="inlineStr">
        <is>
          <t>om3</t>
        </is>
      </c>
      <c r="E586" s="2" t="inlineStr">
        <is>
          <t>2.0mm</t>
        </is>
      </c>
      <c r="F586" s="2" t="n">
        <v>2</v>
      </c>
      <c r="G586" s="2" t="n">
        <v>5</v>
      </c>
      <c r="H586" s="2" t="inlineStr">
        <is>
          <t>LC/PC</t>
        </is>
      </c>
      <c r="I586" s="2" t="inlineStr">
        <is>
          <t>LC/PC</t>
        </is>
      </c>
      <c r="J586" s="2" t="n"/>
      <c r="K586" s="2" t="n"/>
      <c r="L586" s="2" t="n"/>
      <c r="M586" s="2" t="n"/>
      <c r="N586" s="2" t="n">
        <v>16</v>
      </c>
      <c r="O586" s="2" t="n"/>
      <c r="P586" s="2" t="n"/>
      <c r="Q586" s="2" t="n">
        <v>119</v>
      </c>
      <c r="R586" s="2" t="n"/>
      <c r="S586" s="2" t="n"/>
      <c r="T586" s="2" t="n"/>
      <c r="U586" s="2" t="n"/>
      <c r="V586" s="2">
        <f>SUM(J586:U586)</f>
        <v/>
      </c>
      <c r="W586" s="2" t="n"/>
      <c r="X586" s="2" t="n">
        <v>270</v>
      </c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>
        <v>270</v>
      </c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>
        <f>IF(F586=1,V586*2,IF(F586=2,V586*F586*2,IF(F586&gt;2,F586*2*V586)))</f>
        <v/>
      </c>
      <c r="AW586" s="2">
        <f>SUM(W586:AU586)</f>
        <v/>
      </c>
    </row>
    <row r="587">
      <c r="A587" s="2" t="inlineStr">
        <is>
          <t>A14-DA-N663</t>
        </is>
      </c>
      <c r="B587" s="3" t="inlineStr">
        <is>
          <t>DOJC-SM-LC/PC-LC/PC</t>
        </is>
      </c>
      <c r="C587" s="2" t="inlineStr">
        <is>
          <t>10M_적색케이블</t>
        </is>
      </c>
      <c r="D587" s="2" t="inlineStr">
        <is>
          <t>a1-적</t>
        </is>
      </c>
      <c r="E587" s="2" t="inlineStr">
        <is>
          <t>2.0mm</t>
        </is>
      </c>
      <c r="F587" s="2" t="n">
        <v>2</v>
      </c>
      <c r="G587" s="2" t="n">
        <v>10</v>
      </c>
      <c r="H587" s="2" t="inlineStr">
        <is>
          <t>LC/PC</t>
        </is>
      </c>
      <c r="I587" s="2" t="inlineStr">
        <is>
          <t>LC/PC</t>
        </is>
      </c>
      <c r="J587" s="2" t="n"/>
      <c r="K587" s="2" t="n"/>
      <c r="L587" s="2" t="n"/>
      <c r="M587" s="2" t="n">
        <v>20</v>
      </c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>
        <f>SUM(J587:U587)</f>
        <v/>
      </c>
      <c r="W587" s="2" t="n">
        <v>40</v>
      </c>
      <c r="X587" s="2" t="n">
        <v>40</v>
      </c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>
        <f>IF(F587=1,V587*2,IF(F587=2,V587*F587*2,IF(F587&gt;2,F587*2*V587)))</f>
        <v/>
      </c>
      <c r="AW587" s="2">
        <f>SUM(W587:AU587)</f>
        <v/>
      </c>
    </row>
    <row r="588">
      <c r="A588" s="2" t="inlineStr">
        <is>
          <t>A14-DB-N105</t>
        </is>
      </c>
      <c r="B588" s="3" t="inlineStr">
        <is>
          <t>DOJC-SM-FC/APC-FC/APC</t>
        </is>
      </c>
      <c r="C588" s="2" t="inlineStr">
        <is>
          <t>908040657, 10M, B3, 2.0mm</t>
        </is>
      </c>
      <c r="D588" s="2" t="inlineStr">
        <is>
          <t>b3</t>
        </is>
      </c>
      <c r="E588" s="2" t="inlineStr">
        <is>
          <t>2.0mm</t>
        </is>
      </c>
      <c r="F588" s="2" t="n">
        <v>2</v>
      </c>
      <c r="G588" s="2" t="n">
        <v>10</v>
      </c>
      <c r="H588" s="2" t="inlineStr">
        <is>
          <t>FC/APC</t>
        </is>
      </c>
      <c r="I588" s="2" t="inlineStr">
        <is>
          <t>FC/APC</t>
        </is>
      </c>
      <c r="J588" s="2" t="n"/>
      <c r="K588" s="2" t="n"/>
      <c r="L588" s="2" t="n">
        <v>5</v>
      </c>
      <c r="M588" s="2" t="n">
        <v>4</v>
      </c>
      <c r="N588" s="2" t="n"/>
      <c r="O588" s="2" t="n"/>
      <c r="P588" s="2" t="n"/>
      <c r="Q588" s="2" t="n">
        <v>10</v>
      </c>
      <c r="R588" s="2" t="n"/>
      <c r="S588" s="2" t="n"/>
      <c r="T588" s="2" t="n">
        <v>10</v>
      </c>
      <c r="U588" s="2" t="n">
        <v>4</v>
      </c>
      <c r="V588" s="2">
        <f>SUM(J588:U588)</f>
        <v/>
      </c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>
        <v>66</v>
      </c>
      <c r="AH588" s="2" t="n">
        <v>66</v>
      </c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>
        <f>IF(F588=1,V588*2,IF(F588=2,V588*F588*2,IF(F588&gt;2,F588*2*V588)))</f>
        <v/>
      </c>
      <c r="AW588" s="2">
        <f>SUM(W588:AU588)</f>
        <v/>
      </c>
    </row>
    <row r="589">
      <c r="A589" s="2" t="inlineStr">
        <is>
          <t>A14-DB-N107</t>
        </is>
      </c>
      <c r="B589" s="3" t="inlineStr">
        <is>
          <t>DOJC-SM-FC/APC-FC/APC</t>
        </is>
      </c>
      <c r="C589" s="2" t="inlineStr">
        <is>
          <t>908040662, 15M, B3, 2.0mm</t>
        </is>
      </c>
      <c r="D589" s="2" t="inlineStr">
        <is>
          <t>b3</t>
        </is>
      </c>
      <c r="E589" s="2" t="inlineStr">
        <is>
          <t>2.0mm</t>
        </is>
      </c>
      <c r="F589" s="2" t="n">
        <v>2</v>
      </c>
      <c r="G589" s="2" t="n">
        <v>15</v>
      </c>
      <c r="H589" s="2" t="inlineStr">
        <is>
          <t>FC/APC</t>
        </is>
      </c>
      <c r="I589" s="2" t="inlineStr">
        <is>
          <t>FC/APC</t>
        </is>
      </c>
      <c r="J589" s="2" t="n"/>
      <c r="K589" s="2" t="n"/>
      <c r="L589" s="2" t="n"/>
      <c r="M589" s="2" t="n">
        <v>4</v>
      </c>
      <c r="N589" s="2" t="n"/>
      <c r="O589" s="2" t="n"/>
      <c r="P589" s="2" t="n"/>
      <c r="Q589" s="2" t="n"/>
      <c r="R589" s="2" t="n"/>
      <c r="S589" s="2" t="n"/>
      <c r="T589" s="2" t="n">
        <v>5</v>
      </c>
      <c r="U589" s="2" t="n">
        <v>20</v>
      </c>
      <c r="V589" s="2">
        <f>SUM(J589:U589)</f>
        <v/>
      </c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>
        <v>58</v>
      </c>
      <c r="AH589" s="2" t="n">
        <v>58</v>
      </c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>
        <f>IF(F589=1,V589*2,IF(F589=2,V589*F589*2,IF(F589&gt;2,F589*2*V589)))</f>
        <v/>
      </c>
      <c r="AW589" s="2">
        <f>SUM(W589:AU589)</f>
        <v/>
      </c>
    </row>
    <row r="590">
      <c r="A590" s="2" t="inlineStr">
        <is>
          <t>A14-DB-N110</t>
        </is>
      </c>
      <c r="B590" s="3" t="inlineStr">
        <is>
          <t>DOJC-SM-FC/APC-FC/APC</t>
        </is>
      </c>
      <c r="C590" s="2" t="inlineStr">
        <is>
          <t>908040667, 20M, B3, 2.0mm</t>
        </is>
      </c>
      <c r="D590" s="2" t="inlineStr">
        <is>
          <t>b3</t>
        </is>
      </c>
      <c r="E590" s="2" t="inlineStr">
        <is>
          <t>2.0mm</t>
        </is>
      </c>
      <c r="F590" s="2" t="n">
        <v>2</v>
      </c>
      <c r="G590" s="2" t="n">
        <v>20</v>
      </c>
      <c r="H590" s="2" t="inlineStr">
        <is>
          <t>FC/APC</t>
        </is>
      </c>
      <c r="I590" s="2" t="inlineStr">
        <is>
          <t>FC/APC</t>
        </is>
      </c>
      <c r="J590" s="2" t="n"/>
      <c r="K590" s="2" t="n"/>
      <c r="L590" s="2" t="n"/>
      <c r="M590" s="2" t="n"/>
      <c r="N590" s="2" t="n"/>
      <c r="O590" s="2" t="n">
        <v>20</v>
      </c>
      <c r="P590" s="2" t="n"/>
      <c r="Q590" s="2" t="n"/>
      <c r="R590" s="2" t="n">
        <v>5</v>
      </c>
      <c r="S590" s="2" t="n"/>
      <c r="T590" s="2" t="n"/>
      <c r="U590" s="2" t="n">
        <v>20</v>
      </c>
      <c r="V590" s="2">
        <f>SUM(J590:U590)</f>
        <v/>
      </c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>
        <v>90</v>
      </c>
      <c r="AH590" s="2" t="n">
        <v>90</v>
      </c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>
        <f>IF(F590=1,V590*2,IF(F590=2,V590*F590*2,IF(F590&gt;2,F590*2*V590)))</f>
        <v/>
      </c>
      <c r="AW590" s="2">
        <f>SUM(W590:AU590)</f>
        <v/>
      </c>
    </row>
    <row r="591">
      <c r="A591" s="2" t="inlineStr">
        <is>
          <t>A14-DB-N140</t>
        </is>
      </c>
      <c r="B591" s="3" t="inlineStr">
        <is>
          <t>DOJC-SM-FC/PC-FC/PC</t>
        </is>
      </c>
      <c r="C591" s="2" t="inlineStr">
        <is>
          <t>908040597, 10M, B3, 2.0mm</t>
        </is>
      </c>
      <c r="D591" s="2" t="inlineStr">
        <is>
          <t>b3</t>
        </is>
      </c>
      <c r="E591" s="2" t="inlineStr">
        <is>
          <t>2.0mm</t>
        </is>
      </c>
      <c r="F591" s="2" t="n">
        <v>2</v>
      </c>
      <c r="G591" s="2" t="n">
        <v>10</v>
      </c>
      <c r="H591" s="2" t="inlineStr">
        <is>
          <t>FC/PC</t>
        </is>
      </c>
      <c r="I591" s="2" t="inlineStr">
        <is>
          <t>FC/PC</t>
        </is>
      </c>
      <c r="J591" s="2" t="n">
        <v>10</v>
      </c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>
        <v>10</v>
      </c>
      <c r="V591" s="2">
        <f>SUM(J591:U591)</f>
        <v/>
      </c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>
        <v>40</v>
      </c>
      <c r="AF591" s="2" t="n">
        <v>40</v>
      </c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>
        <f>IF(F591=1,V591*2,IF(F591=2,V591*F591*2,IF(F591&gt;2,F591*2*V591)))</f>
        <v/>
      </c>
      <c r="AW591" s="2">
        <f>SUM(W591:AU591)</f>
        <v/>
      </c>
    </row>
    <row r="592">
      <c r="A592" s="2" t="inlineStr">
        <is>
          <t>A14-DB-N143</t>
        </is>
      </c>
      <c r="B592" s="3" t="inlineStr">
        <is>
          <t>DOJC-SM-FC/PC-FC/PC</t>
        </is>
      </c>
      <c r="C592" s="2" t="inlineStr">
        <is>
          <t>908040602, 15M, B3, 2.0mm</t>
        </is>
      </c>
      <c r="D592" s="2" t="inlineStr">
        <is>
          <t>b3</t>
        </is>
      </c>
      <c r="E592" s="2" t="inlineStr">
        <is>
          <t>2.0mm</t>
        </is>
      </c>
      <c r="F592" s="2" t="n">
        <v>2</v>
      </c>
      <c r="G592" s="2" t="n">
        <v>15</v>
      </c>
      <c r="H592" s="2" t="inlineStr">
        <is>
          <t>FC/PC</t>
        </is>
      </c>
      <c r="I592" s="2" t="inlineStr">
        <is>
          <t>FC/PC</t>
        </is>
      </c>
      <c r="J592" s="2" t="n">
        <v>10</v>
      </c>
      <c r="K592" s="2" t="n"/>
      <c r="L592" s="2" t="n"/>
      <c r="M592" s="2" t="n"/>
      <c r="N592" s="2" t="n"/>
      <c r="O592" s="2" t="n"/>
      <c r="P592" s="2" t="n">
        <v>30</v>
      </c>
      <c r="Q592" s="2" t="n">
        <v>10</v>
      </c>
      <c r="R592" s="2" t="n"/>
      <c r="S592" s="2" t="n"/>
      <c r="T592" s="2" t="n"/>
      <c r="U592" s="2" t="n"/>
      <c r="V592" s="2">
        <f>SUM(J592:U592)</f>
        <v/>
      </c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>
        <v>100</v>
      </c>
      <c r="AF592" s="2" t="n">
        <v>100</v>
      </c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>
        <f>IF(F592=1,V592*2,IF(F592=2,V592*F592*2,IF(F592&gt;2,F592*2*V592)))</f>
        <v/>
      </c>
      <c r="AW592" s="2">
        <f>SUM(W592:AU592)</f>
        <v/>
      </c>
    </row>
    <row r="593">
      <c r="A593" s="2" t="inlineStr">
        <is>
          <t>A14-DB-N157</t>
        </is>
      </c>
      <c r="B593" s="3" t="inlineStr">
        <is>
          <t>DOJC-SM-LC/PC-FC/APC</t>
        </is>
      </c>
      <c r="C593" s="2" t="inlineStr">
        <is>
          <t>908040532, 10M, B3, 2.0mm</t>
        </is>
      </c>
      <c r="D593" s="2" t="inlineStr">
        <is>
          <t>b3</t>
        </is>
      </c>
      <c r="E593" s="2" t="inlineStr">
        <is>
          <t>2.0mm</t>
        </is>
      </c>
      <c r="F593" s="2" t="n">
        <v>2</v>
      </c>
      <c r="G593" s="2" t="n">
        <v>10</v>
      </c>
      <c r="H593" s="2" t="inlineStr">
        <is>
          <t>LC/PC</t>
        </is>
      </c>
      <c r="I593" s="2" t="inlineStr">
        <is>
          <t>FC/APC</t>
        </is>
      </c>
      <c r="J593" s="2" t="n"/>
      <c r="K593" s="2" t="n">
        <v>119</v>
      </c>
      <c r="L593" s="2" t="n">
        <v>110</v>
      </c>
      <c r="M593" s="2" t="n">
        <v>95</v>
      </c>
      <c r="N593" s="2" t="n"/>
      <c r="O593" s="2" t="n"/>
      <c r="P593" s="2" t="n"/>
      <c r="Q593" s="2" t="n"/>
      <c r="R593" s="2" t="n">
        <v>10</v>
      </c>
      <c r="S593" s="2" t="n">
        <v>67</v>
      </c>
      <c r="T593" s="2" t="n">
        <v>5</v>
      </c>
      <c r="U593" s="2" t="n"/>
      <c r="V593" s="2">
        <f>SUM(J593:U593)</f>
        <v/>
      </c>
      <c r="W593" s="2" t="n">
        <v>812</v>
      </c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>
        <v>812</v>
      </c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>
        <f>IF(F593=1,V593*2,IF(F593=2,V593*F593*2,IF(F593&gt;2,F593*2*V593)))</f>
        <v/>
      </c>
      <c r="AW593" s="2">
        <f>SUM(W593:AU593)</f>
        <v/>
      </c>
    </row>
    <row r="594">
      <c r="A594" s="2" t="inlineStr">
        <is>
          <t>A14-DB-N161</t>
        </is>
      </c>
      <c r="B594" s="3" t="inlineStr">
        <is>
          <t>DOJC-SM-LC/PC-FC/APC</t>
        </is>
      </c>
      <c r="C594" s="2" t="inlineStr">
        <is>
          <t>908040891, 15M, B3, 2.0mm</t>
        </is>
      </c>
      <c r="D594" s="2" t="inlineStr">
        <is>
          <t>b3</t>
        </is>
      </c>
      <c r="E594" s="2" t="inlineStr">
        <is>
          <t>2.0mm</t>
        </is>
      </c>
      <c r="F594" s="2" t="n">
        <v>2</v>
      </c>
      <c r="G594" s="2" t="n">
        <v>15</v>
      </c>
      <c r="H594" s="2" t="inlineStr">
        <is>
          <t>LC/PC</t>
        </is>
      </c>
      <c r="I594" s="2" t="inlineStr">
        <is>
          <t>FC/APC</t>
        </is>
      </c>
      <c r="J594" s="2" t="n">
        <v>4</v>
      </c>
      <c r="K594" s="2" t="n">
        <v>347</v>
      </c>
      <c r="L594" s="2" t="n">
        <v>6</v>
      </c>
      <c r="M594" s="2" t="n">
        <v>120</v>
      </c>
      <c r="N594" s="2" t="n"/>
      <c r="O594" s="2" t="n"/>
      <c r="P594" s="2" t="n"/>
      <c r="Q594" s="2" t="n"/>
      <c r="R594" s="2" t="n"/>
      <c r="S594" s="2" t="n">
        <v>77</v>
      </c>
      <c r="T594" s="2" t="n">
        <v>60</v>
      </c>
      <c r="U594" s="2" t="n"/>
      <c r="V594" s="2">
        <f>SUM(J594:U594)</f>
        <v/>
      </c>
      <c r="W594" s="2" t="n">
        <v>1228</v>
      </c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>
        <v>1228</v>
      </c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>
        <f>IF(F594=1,V594*2,IF(F594=2,V594*F594*2,IF(F594&gt;2,F594*2*V594)))</f>
        <v/>
      </c>
      <c r="AW594" s="2">
        <f>SUM(W594:AU594)</f>
        <v/>
      </c>
    </row>
    <row r="595">
      <c r="A595" s="2" t="inlineStr">
        <is>
          <t>A14-DB-N166</t>
        </is>
      </c>
      <c r="B595" s="3" t="inlineStr">
        <is>
          <t>DOJC-SM-LC/PC-FC/APC</t>
        </is>
      </c>
      <c r="C595" s="2" t="inlineStr">
        <is>
          <t>908040896, 20M, B3, 2.0mm</t>
        </is>
      </c>
      <c r="D595" s="2" t="inlineStr">
        <is>
          <t>b3</t>
        </is>
      </c>
      <c r="E595" s="2" t="inlineStr">
        <is>
          <t>2.0mm</t>
        </is>
      </c>
      <c r="F595" s="2" t="n">
        <v>2</v>
      </c>
      <c r="G595" s="2" t="n">
        <v>20</v>
      </c>
      <c r="H595" s="2" t="inlineStr">
        <is>
          <t>LC/PC</t>
        </is>
      </c>
      <c r="I595" s="2" t="inlineStr">
        <is>
          <t>FC/APC</t>
        </is>
      </c>
      <c r="J595" s="2" t="n"/>
      <c r="K595" s="2" t="n">
        <v>2</v>
      </c>
      <c r="L595" s="2" t="n">
        <v>102</v>
      </c>
      <c r="M595" s="2" t="n">
        <v>90</v>
      </c>
      <c r="N595" s="2" t="n"/>
      <c r="O595" s="2" t="n"/>
      <c r="P595" s="2" t="n"/>
      <c r="Q595" s="2" t="n"/>
      <c r="R595" s="2" t="n"/>
      <c r="S595" s="2" t="n">
        <v>36</v>
      </c>
      <c r="T595" s="2" t="n">
        <v>35</v>
      </c>
      <c r="U595" s="2" t="n"/>
      <c r="V595" s="2">
        <f>SUM(J595:U595)</f>
        <v/>
      </c>
      <c r="W595" s="2" t="n">
        <v>530</v>
      </c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>
        <v>530</v>
      </c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>
        <f>IF(F595=1,V595*2,IF(F595=2,V595*F595*2,IF(F595&gt;2,F595*2*V595)))</f>
        <v/>
      </c>
      <c r="AW595" s="2">
        <f>SUM(W595:AU595)</f>
        <v/>
      </c>
    </row>
    <row r="596">
      <c r="A596" s="2" t="inlineStr">
        <is>
          <t>A14-DB-N170</t>
        </is>
      </c>
      <c r="B596" s="3" t="inlineStr">
        <is>
          <t>DOJC-SM-LC/PC-FC/APC</t>
        </is>
      </c>
      <c r="C596" s="2" t="inlineStr">
        <is>
          <t>908040901, 25M, B3, 2.0mm</t>
        </is>
      </c>
      <c r="D596" s="2" t="inlineStr">
        <is>
          <t>b3</t>
        </is>
      </c>
      <c r="E596" s="2" t="inlineStr">
        <is>
          <t>2.0mm</t>
        </is>
      </c>
      <c r="F596" s="2" t="n">
        <v>2</v>
      </c>
      <c r="G596" s="2" t="n">
        <v>25</v>
      </c>
      <c r="H596" s="2" t="inlineStr">
        <is>
          <t>LC/PC</t>
        </is>
      </c>
      <c r="I596" s="2" t="inlineStr">
        <is>
          <t>FC/APC</t>
        </is>
      </c>
      <c r="J596" s="2" t="n"/>
      <c r="K596" s="2" t="n">
        <v>129</v>
      </c>
      <c r="L596" s="2" t="n"/>
      <c r="M596" s="2" t="n">
        <v>17</v>
      </c>
      <c r="N596" s="2" t="n">
        <v>27</v>
      </c>
      <c r="O596" s="2" t="n"/>
      <c r="P596" s="2" t="n"/>
      <c r="Q596" s="2" t="n"/>
      <c r="R596" s="2" t="n"/>
      <c r="S596" s="2" t="n"/>
      <c r="T596" s="2" t="n"/>
      <c r="U596" s="2" t="n"/>
      <c r="V596" s="2">
        <f>SUM(J596:U596)</f>
        <v/>
      </c>
      <c r="W596" s="2" t="n">
        <v>346</v>
      </c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>
        <v>346</v>
      </c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>
        <f>IF(F596=1,V596*2,IF(F596=2,V596*F596*2,IF(F596&gt;2,F596*2*V596)))</f>
        <v/>
      </c>
      <c r="AW596" s="2">
        <f>SUM(W596:AU596)</f>
        <v/>
      </c>
    </row>
    <row r="597">
      <c r="A597" s="2" t="inlineStr">
        <is>
          <t>A14-DB-N173</t>
        </is>
      </c>
      <c r="B597" s="3" t="inlineStr">
        <is>
          <t>DOJC-SM-LC/PC-FC/APC</t>
        </is>
      </c>
      <c r="C597" s="2" t="inlineStr">
        <is>
          <t>908040906, 30M, B3, 2.0mm</t>
        </is>
      </c>
      <c r="D597" s="2" t="inlineStr">
        <is>
          <t>b3</t>
        </is>
      </c>
      <c r="E597" s="2" t="inlineStr">
        <is>
          <t>2.0mm</t>
        </is>
      </c>
      <c r="F597" s="2" t="n">
        <v>2</v>
      </c>
      <c r="G597" s="2" t="n">
        <v>30</v>
      </c>
      <c r="H597" s="2" t="inlineStr">
        <is>
          <t>LC/PC</t>
        </is>
      </c>
      <c r="I597" s="2" t="inlineStr">
        <is>
          <t>FC/APC</t>
        </is>
      </c>
      <c r="J597" s="2" t="n"/>
      <c r="K597" s="2" t="n"/>
      <c r="L597" s="2" t="n">
        <v>4</v>
      </c>
      <c r="M597" s="2" t="n">
        <v>40</v>
      </c>
      <c r="N597" s="2" t="n">
        <v>10</v>
      </c>
      <c r="O597" s="2" t="n"/>
      <c r="P597" s="2" t="n"/>
      <c r="Q597" s="2" t="n"/>
      <c r="R597" s="2" t="n"/>
      <c r="S597" s="2" t="n"/>
      <c r="T597" s="2" t="n"/>
      <c r="U597" s="2" t="n">
        <v>2</v>
      </c>
      <c r="V597" s="2">
        <f>SUM(J597:U597)</f>
        <v/>
      </c>
      <c r="W597" s="2" t="n">
        <v>112</v>
      </c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>
        <v>112</v>
      </c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>
        <f>IF(F597=1,V597*2,IF(F597=2,V597*F597*2,IF(F597&gt;2,F597*2*V597)))</f>
        <v/>
      </c>
      <c r="AW597" s="2">
        <f>SUM(W597:AU597)</f>
        <v/>
      </c>
    </row>
    <row r="598">
      <c r="A598" s="2" t="inlineStr">
        <is>
          <t>A14-DB-N174</t>
        </is>
      </c>
      <c r="B598" s="3" t="inlineStr">
        <is>
          <t>DOJC-SM-LC/PC-FC/APC</t>
        </is>
      </c>
      <c r="C598" s="2" t="inlineStr">
        <is>
          <t>35M, B3, 2.0mm</t>
        </is>
      </c>
      <c r="D598" s="2" t="inlineStr">
        <is>
          <t>b3</t>
        </is>
      </c>
      <c r="E598" s="2" t="inlineStr">
        <is>
          <t>2.0mm</t>
        </is>
      </c>
      <c r="F598" s="2" t="n">
        <v>2</v>
      </c>
      <c r="G598" s="2" t="n">
        <v>35</v>
      </c>
      <c r="H598" s="2" t="inlineStr">
        <is>
          <t>LC/PC</t>
        </is>
      </c>
      <c r="I598" s="2" t="inlineStr">
        <is>
          <t>FC/APC</t>
        </is>
      </c>
      <c r="J598" s="2" t="n">
        <v>5</v>
      </c>
      <c r="K598" s="2" t="n"/>
      <c r="L598" s="2" t="n">
        <v>20</v>
      </c>
      <c r="M598" s="2" t="n">
        <v>20</v>
      </c>
      <c r="N598" s="2" t="n">
        <v>12</v>
      </c>
      <c r="O598" s="2" t="n"/>
      <c r="P598" s="2" t="n">
        <v>5</v>
      </c>
      <c r="Q598" s="2" t="n"/>
      <c r="R598" s="2" t="n"/>
      <c r="S598" s="2" t="n"/>
      <c r="T598" s="2" t="n"/>
      <c r="U598" s="2" t="n"/>
      <c r="V598" s="2">
        <f>SUM(J598:U598)</f>
        <v/>
      </c>
      <c r="W598" s="2" t="n">
        <v>124</v>
      </c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>
        <v>124</v>
      </c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>
        <f>IF(F598=1,V598*2,IF(F598=2,V598*F598*2,IF(F598&gt;2,F598*2*V598)))</f>
        <v/>
      </c>
      <c r="AW598" s="2">
        <f>SUM(W598:AU598)</f>
        <v/>
      </c>
    </row>
    <row r="599">
      <c r="A599" s="2" t="inlineStr">
        <is>
          <t>A14-DB-N175</t>
        </is>
      </c>
      <c r="B599" s="3" t="inlineStr">
        <is>
          <t>DOJC-SM-LC/PC-FC/APC</t>
        </is>
      </c>
      <c r="C599" s="2" t="inlineStr">
        <is>
          <t>908040523, 3M, B3, 3.0mm</t>
        </is>
      </c>
      <c r="D599" s="2" t="inlineStr">
        <is>
          <t>b3</t>
        </is>
      </c>
      <c r="E599" s="2" t="inlineStr">
        <is>
          <t>3.0mm</t>
        </is>
      </c>
      <c r="F599" s="2" t="n">
        <v>2</v>
      </c>
      <c r="G599" s="2" t="n">
        <v>3</v>
      </c>
      <c r="H599" s="2" t="inlineStr">
        <is>
          <t>LC/PC</t>
        </is>
      </c>
      <c r="I599" s="2" t="inlineStr">
        <is>
          <t>FC/APC</t>
        </is>
      </c>
      <c r="J599" s="2" t="n"/>
      <c r="K599" s="2" t="n"/>
      <c r="L599" s="2" t="n">
        <v>10</v>
      </c>
      <c r="M599" s="2" t="n"/>
      <c r="N599" s="2" t="n">
        <v>10</v>
      </c>
      <c r="O599" s="2" t="n">
        <v>20</v>
      </c>
      <c r="P599" s="2" t="n"/>
      <c r="Q599" s="2" t="n"/>
      <c r="R599" s="2" t="n"/>
      <c r="S599" s="2" t="n"/>
      <c r="T599" s="2" t="n"/>
      <c r="U599" s="2" t="n"/>
      <c r="V599" s="2">
        <f>SUM(J599:U599)</f>
        <v/>
      </c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>
        <v>80</v>
      </c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>
        <v>80</v>
      </c>
      <c r="AV599" s="2">
        <f>IF(F599=1,V599*2,IF(F599=2,V599*F599*2,IF(F599&gt;2,F599*2*V599)))</f>
        <v/>
      </c>
      <c r="AW599" s="2">
        <f>SUM(W599:AU599)</f>
        <v/>
      </c>
    </row>
    <row r="600">
      <c r="A600" s="2" t="inlineStr">
        <is>
          <t>A14-DB-N176</t>
        </is>
      </c>
      <c r="B600" s="3" t="inlineStr">
        <is>
          <t>DOJC-SM-LC/PC-FC/APC</t>
        </is>
      </c>
      <c r="C600" s="2" t="inlineStr">
        <is>
          <t>40M, B3, 2.0mm</t>
        </is>
      </c>
      <c r="D600" s="2" t="inlineStr">
        <is>
          <t>b3</t>
        </is>
      </c>
      <c r="E600" s="2" t="inlineStr">
        <is>
          <t>2.0mm</t>
        </is>
      </c>
      <c r="F600" s="2" t="n">
        <v>2</v>
      </c>
      <c r="G600" s="2" t="n">
        <v>40</v>
      </c>
      <c r="H600" s="2" t="inlineStr">
        <is>
          <t>LC/PC</t>
        </is>
      </c>
      <c r="I600" s="2" t="inlineStr">
        <is>
          <t>FC/APC</t>
        </is>
      </c>
      <c r="J600" s="2" t="n">
        <v>4</v>
      </c>
      <c r="K600" s="2" t="n"/>
      <c r="L600" s="2" t="n"/>
      <c r="M600" s="2" t="n"/>
      <c r="N600" s="2" t="n">
        <v>10</v>
      </c>
      <c r="O600" s="2" t="n"/>
      <c r="P600" s="2" t="n">
        <v>2</v>
      </c>
      <c r="Q600" s="2" t="n"/>
      <c r="R600" s="2" t="n"/>
      <c r="S600" s="2" t="n"/>
      <c r="T600" s="2" t="n"/>
      <c r="U600" s="2" t="n"/>
      <c r="V600" s="2">
        <f>SUM(J600:U600)</f>
        <v/>
      </c>
      <c r="W600" s="2" t="n">
        <v>32</v>
      </c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>
        <v>32</v>
      </c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>
        <f>IF(F600=1,V600*2,IF(F600=2,V600*F600*2,IF(F600&gt;2,F600*2*V600)))</f>
        <v/>
      </c>
      <c r="AW600" s="2">
        <f>SUM(W600:AU600)</f>
        <v/>
      </c>
    </row>
    <row r="601">
      <c r="A601" s="2" t="inlineStr">
        <is>
          <t>A14-DB-N177</t>
        </is>
      </c>
      <c r="B601" s="3" t="inlineStr">
        <is>
          <t>DOJC-SM-LC/PC-FC/APC</t>
        </is>
      </c>
      <c r="C601" s="2" t="inlineStr">
        <is>
          <t>45M, B3, 2.0mm</t>
        </is>
      </c>
      <c r="D601" s="2" t="inlineStr">
        <is>
          <t>b3</t>
        </is>
      </c>
      <c r="E601" s="2" t="inlineStr">
        <is>
          <t>2.0mm</t>
        </is>
      </c>
      <c r="F601" s="2" t="n">
        <v>2</v>
      </c>
      <c r="G601" s="2" t="n">
        <v>45</v>
      </c>
      <c r="H601" s="2" t="inlineStr">
        <is>
          <t>LC/PC</t>
        </is>
      </c>
      <c r="I601" s="2" t="inlineStr">
        <is>
          <t>FC/APC</t>
        </is>
      </c>
      <c r="J601" s="2" t="n">
        <v>9</v>
      </c>
      <c r="K601" s="2" t="n"/>
      <c r="L601" s="2" t="n"/>
      <c r="M601" s="2" t="n"/>
      <c r="N601" s="2" t="n">
        <v>10</v>
      </c>
      <c r="O601" s="2" t="n"/>
      <c r="P601" s="2" t="n"/>
      <c r="Q601" s="2" t="n">
        <v>5</v>
      </c>
      <c r="R601" s="2" t="n">
        <v>6</v>
      </c>
      <c r="S601" s="2" t="n"/>
      <c r="T601" s="2" t="n"/>
      <c r="U601" s="2" t="n"/>
      <c r="V601" s="2">
        <f>SUM(J601:U601)</f>
        <v/>
      </c>
      <c r="W601" s="2" t="n">
        <v>60</v>
      </c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>
        <v>60</v>
      </c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>
        <f>IF(F601=1,V601*2,IF(F601=2,V601*F601*2,IF(F601&gt;2,F601*2*V601)))</f>
        <v/>
      </c>
      <c r="AW601" s="2">
        <f>SUM(W601:AU601)</f>
        <v/>
      </c>
    </row>
    <row r="602">
      <c r="A602" s="2" t="inlineStr">
        <is>
          <t>A14-DB-N179</t>
        </is>
      </c>
      <c r="B602" s="3" t="inlineStr">
        <is>
          <t>DOJC-SM-LC/PC-FC/APC</t>
        </is>
      </c>
      <c r="C602" s="2" t="inlineStr">
        <is>
          <t>50M, B3, 2.0mm</t>
        </is>
      </c>
      <c r="D602" s="2" t="inlineStr">
        <is>
          <t>b3</t>
        </is>
      </c>
      <c r="E602" s="2" t="inlineStr">
        <is>
          <t>2.0mm</t>
        </is>
      </c>
      <c r="F602" s="2" t="n">
        <v>2</v>
      </c>
      <c r="G602" s="2" t="n">
        <v>50</v>
      </c>
      <c r="H602" s="2" t="inlineStr">
        <is>
          <t>LC/PC</t>
        </is>
      </c>
      <c r="I602" s="2" t="inlineStr">
        <is>
          <t>FC/APC</t>
        </is>
      </c>
      <c r="J602" s="2" t="n"/>
      <c r="K602" s="2" t="n"/>
      <c r="L602" s="2" t="n"/>
      <c r="M602" s="2" t="n"/>
      <c r="N602" s="2" t="n"/>
      <c r="O602" s="2" t="n"/>
      <c r="P602" s="2" t="n"/>
      <c r="Q602" s="2" t="n">
        <v>12</v>
      </c>
      <c r="R602" s="2" t="n"/>
      <c r="S602" s="2" t="n"/>
      <c r="T602" s="2" t="n"/>
      <c r="U602" s="2" t="n"/>
      <c r="V602" s="2">
        <f>SUM(J602:U602)</f>
        <v/>
      </c>
      <c r="W602" s="2" t="n">
        <v>24</v>
      </c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>
        <v>24</v>
      </c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>
        <f>IF(F602=1,V602*2,IF(F602=2,V602*F602*2,IF(F602&gt;2,F602*2*V602)))</f>
        <v/>
      </c>
      <c r="AW602" s="2">
        <f>SUM(W602:AU602)</f>
        <v/>
      </c>
    </row>
    <row r="603">
      <c r="A603" s="2" t="inlineStr">
        <is>
          <t>A14-DB-N181</t>
        </is>
      </c>
      <c r="B603" s="3" t="inlineStr">
        <is>
          <t>DOJC-SM-LC/PC-FC/APC</t>
        </is>
      </c>
      <c r="C603" s="2" t="inlineStr">
        <is>
          <t>908040527, 5M, B3, 3.0mm</t>
        </is>
      </c>
      <c r="D603" s="2" t="inlineStr">
        <is>
          <t>b3</t>
        </is>
      </c>
      <c r="E603" s="2" t="inlineStr">
        <is>
          <t>3.0mm</t>
        </is>
      </c>
      <c r="F603" s="2" t="n">
        <v>2</v>
      </c>
      <c r="G603" s="2" t="n">
        <v>5</v>
      </c>
      <c r="H603" s="2" t="inlineStr">
        <is>
          <t>LC/PC</t>
        </is>
      </c>
      <c r="I603" s="2" t="inlineStr">
        <is>
          <t>FC/APC</t>
        </is>
      </c>
      <c r="J603" s="2" t="n"/>
      <c r="K603" s="2" t="n"/>
      <c r="L603" s="2" t="n"/>
      <c r="M603" s="2" t="n"/>
      <c r="N603" s="2" t="n"/>
      <c r="O603" s="2" t="n"/>
      <c r="P603" s="2" t="n"/>
      <c r="Q603" s="2" t="n">
        <v>10</v>
      </c>
      <c r="R603" s="2" t="n">
        <v>10</v>
      </c>
      <c r="S603" s="2" t="n"/>
      <c r="T603" s="2" t="n">
        <v>1</v>
      </c>
      <c r="U603" s="2" t="n">
        <v>3</v>
      </c>
      <c r="V603" s="2">
        <f>SUM(J603:U603)</f>
        <v/>
      </c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>
        <v>48</v>
      </c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>
        <v>48</v>
      </c>
      <c r="AV603" s="2">
        <f>IF(F603=1,V603*2,IF(F603=2,V603*F603*2,IF(F603&gt;2,F603*2*V603)))</f>
        <v/>
      </c>
      <c r="AW603" s="2">
        <f>SUM(W603:AU603)</f>
        <v/>
      </c>
    </row>
    <row r="604">
      <c r="A604" s="2" t="inlineStr">
        <is>
          <t>A14-DB-N187</t>
        </is>
      </c>
      <c r="B604" s="3" t="inlineStr">
        <is>
          <t>DOJC-SM-LC/PC-FC/APC</t>
        </is>
      </c>
      <c r="C604" s="2" t="inlineStr">
        <is>
          <t>908040529, 7M, B3, 2.0mm</t>
        </is>
      </c>
      <c r="D604" s="2" t="inlineStr">
        <is>
          <t>b3</t>
        </is>
      </c>
      <c r="E604" s="2" t="inlineStr">
        <is>
          <t>2.0mm</t>
        </is>
      </c>
      <c r="F604" s="2" t="n">
        <v>2</v>
      </c>
      <c r="G604" s="2" t="n">
        <v>7</v>
      </c>
      <c r="H604" s="2" t="inlineStr">
        <is>
          <t>LC/PC</t>
        </is>
      </c>
      <c r="I604" s="2" t="inlineStr">
        <is>
          <t>FC/APC</t>
        </is>
      </c>
      <c r="J604" s="2" t="n"/>
      <c r="K604" s="2" t="n"/>
      <c r="L604" s="2" t="n">
        <v>7</v>
      </c>
      <c r="M604" s="2" t="n"/>
      <c r="N604" s="2" t="n">
        <v>6</v>
      </c>
      <c r="O604" s="2" t="n"/>
      <c r="P604" s="2" t="n"/>
      <c r="Q604" s="2" t="n">
        <v>13</v>
      </c>
      <c r="R604" s="2" t="n"/>
      <c r="S604" s="2" t="n"/>
      <c r="T604" s="2" t="n">
        <v>5</v>
      </c>
      <c r="U604" s="2" t="n"/>
      <c r="V604" s="2">
        <f>SUM(J604:U604)</f>
        <v/>
      </c>
      <c r="W604" s="2" t="n">
        <v>62</v>
      </c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>
        <v>62</v>
      </c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>
        <f>IF(F604=1,V604*2,IF(F604=2,V604*F604*2,IF(F604&gt;2,F604*2*V604)))</f>
        <v/>
      </c>
      <c r="AW604" s="2">
        <f>SUM(W604:AU604)</f>
        <v/>
      </c>
    </row>
    <row r="605">
      <c r="A605" s="2" t="inlineStr">
        <is>
          <t>A14-DB-N189</t>
        </is>
      </c>
      <c r="B605" s="3" t="inlineStr">
        <is>
          <t>DOJC-SM-LC/PC-FC/APC</t>
        </is>
      </c>
      <c r="C605" s="2" t="inlineStr">
        <is>
          <t>908040530, 8M, B3, 2.0mm</t>
        </is>
      </c>
      <c r="D605" s="2" t="inlineStr">
        <is>
          <t>b3</t>
        </is>
      </c>
      <c r="E605" s="2" t="inlineStr">
        <is>
          <t>2.0mm</t>
        </is>
      </c>
      <c r="F605" s="2" t="n">
        <v>2</v>
      </c>
      <c r="G605" s="2" t="n">
        <v>8</v>
      </c>
      <c r="H605" s="2" t="inlineStr">
        <is>
          <t>LC/PC</t>
        </is>
      </c>
      <c r="I605" s="2" t="inlineStr">
        <is>
          <t>FC/APC</t>
        </is>
      </c>
      <c r="J605" s="2" t="n"/>
      <c r="K605" s="2" t="n">
        <v>20</v>
      </c>
      <c r="L605" s="2" t="n"/>
      <c r="M605" s="2" t="n"/>
      <c r="N605" s="2" t="n"/>
      <c r="O605" s="2" t="n"/>
      <c r="P605" s="2" t="n">
        <v>10</v>
      </c>
      <c r="Q605" s="2" t="n"/>
      <c r="R605" s="2" t="n"/>
      <c r="S605" s="2" t="n"/>
      <c r="T605" s="2" t="n"/>
      <c r="U605" s="2" t="n"/>
      <c r="V605" s="2">
        <f>SUM(J605:U605)</f>
        <v/>
      </c>
      <c r="W605" s="2" t="n">
        <v>60</v>
      </c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>
        <v>60</v>
      </c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>
        <f>IF(F605=1,V605*2,IF(F605=2,V605*F605*2,IF(F605&gt;2,F605*2*V605)))</f>
        <v/>
      </c>
      <c r="AW605" s="2">
        <f>SUM(W605:AU605)</f>
        <v/>
      </c>
    </row>
    <row r="606">
      <c r="A606" s="2" t="inlineStr">
        <is>
          <t>A14-DB-N192</t>
        </is>
      </c>
      <c r="B606" s="3" t="inlineStr">
        <is>
          <t>DOJC-SM-LC/PC-FC/PC</t>
        </is>
      </c>
      <c r="C606" s="2" t="inlineStr">
        <is>
          <t>908040722, 10M, B3, 2.0mm</t>
        </is>
      </c>
      <c r="D606" s="2" t="inlineStr">
        <is>
          <t>b3</t>
        </is>
      </c>
      <c r="E606" s="2" t="inlineStr">
        <is>
          <t>2.0mm</t>
        </is>
      </c>
      <c r="F606" s="2" t="n">
        <v>2</v>
      </c>
      <c r="G606" s="2" t="n">
        <v>10</v>
      </c>
      <c r="H606" s="2" t="inlineStr">
        <is>
          <t>LC/PC</t>
        </is>
      </c>
      <c r="I606" s="2" t="inlineStr">
        <is>
          <t>FC/PC</t>
        </is>
      </c>
      <c r="J606" s="2" t="n"/>
      <c r="K606" s="2" t="n">
        <v>73</v>
      </c>
      <c r="L606" s="2" t="n">
        <v>50</v>
      </c>
      <c r="M606" s="2" t="n">
        <v>15</v>
      </c>
      <c r="N606" s="2" t="n"/>
      <c r="O606" s="2" t="n"/>
      <c r="P606" s="2" t="n"/>
      <c r="Q606" s="2" t="n">
        <v>20</v>
      </c>
      <c r="R606" s="2" t="n">
        <v>80</v>
      </c>
      <c r="S606" s="2" t="n"/>
      <c r="T606" s="2" t="n"/>
      <c r="U606" s="2" t="n"/>
      <c r="V606" s="2">
        <f>SUM(J606:U606)</f>
        <v/>
      </c>
      <c r="W606" s="2" t="n">
        <v>476</v>
      </c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>
        <v>476</v>
      </c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>
        <f>IF(F606=1,V606*2,IF(F606=2,V606*F606*2,IF(F606&gt;2,F606*2*V606)))</f>
        <v/>
      </c>
      <c r="AW606" s="2">
        <f>SUM(W606:AU606)</f>
        <v/>
      </c>
    </row>
    <row r="607">
      <c r="A607" s="2" t="inlineStr">
        <is>
          <t>A14-DB-N196</t>
        </is>
      </c>
      <c r="B607" s="3" t="inlineStr">
        <is>
          <t>DOJC-SM-LC/PC-FC/PC</t>
        </is>
      </c>
      <c r="C607" s="2" t="inlineStr">
        <is>
          <t>908040727, 15M, B3, 2.0mm</t>
        </is>
      </c>
      <c r="D607" s="2" t="inlineStr">
        <is>
          <t>b3</t>
        </is>
      </c>
      <c r="E607" s="2" t="inlineStr">
        <is>
          <t>2.0mm</t>
        </is>
      </c>
      <c r="F607" s="2" t="n">
        <v>2</v>
      </c>
      <c r="G607" s="2" t="n">
        <v>15</v>
      </c>
      <c r="H607" s="2" t="inlineStr">
        <is>
          <t>LC/PC</t>
        </is>
      </c>
      <c r="I607" s="2" t="inlineStr">
        <is>
          <t>FC/PC</t>
        </is>
      </c>
      <c r="J607" s="2" t="n"/>
      <c r="K607" s="2" t="n">
        <v>187</v>
      </c>
      <c r="L607" s="2" t="n">
        <v>130</v>
      </c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>
        <f>SUM(J607:U607)</f>
        <v/>
      </c>
      <c r="W607" s="2" t="n">
        <v>634</v>
      </c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>
        <v>634</v>
      </c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>
        <f>IF(F607=1,V607*2,IF(F607=2,V607*F607*2,IF(F607&gt;2,F607*2*V607)))</f>
        <v/>
      </c>
      <c r="AW607" s="2">
        <f>SUM(W607:AU607)</f>
        <v/>
      </c>
    </row>
    <row r="608">
      <c r="A608" s="2" t="inlineStr">
        <is>
          <t>A14-DB-N199</t>
        </is>
      </c>
      <c r="B608" s="3" t="inlineStr">
        <is>
          <t>DOJC-SM-LC/PC-FC/PC</t>
        </is>
      </c>
      <c r="C608" s="2" t="inlineStr">
        <is>
          <t>908040732, 20M, B3, 2.0mm</t>
        </is>
      </c>
      <c r="D608" s="2" t="inlineStr">
        <is>
          <t>b3</t>
        </is>
      </c>
      <c r="E608" s="2" t="inlineStr">
        <is>
          <t>2.0mm</t>
        </is>
      </c>
      <c r="F608" s="2" t="n">
        <v>2</v>
      </c>
      <c r="G608" s="2" t="n">
        <v>20</v>
      </c>
      <c r="H608" s="2" t="inlineStr">
        <is>
          <t>LC/PC</t>
        </is>
      </c>
      <c r="I608" s="2" t="inlineStr">
        <is>
          <t>FC/PC</t>
        </is>
      </c>
      <c r="J608" s="2" t="n"/>
      <c r="K608" s="2" t="n">
        <v>199</v>
      </c>
      <c r="L608" s="2" t="n">
        <v>40</v>
      </c>
      <c r="M608" s="2" t="n">
        <v>5</v>
      </c>
      <c r="N608" s="2" t="n"/>
      <c r="O608" s="2" t="n"/>
      <c r="P608" s="2" t="n"/>
      <c r="Q608" s="2" t="n"/>
      <c r="R608" s="2" t="n">
        <v>30</v>
      </c>
      <c r="S608" s="2" t="n"/>
      <c r="T608" s="2" t="n">
        <v>15</v>
      </c>
      <c r="U608" s="2" t="n"/>
      <c r="V608" s="2">
        <f>SUM(J608:U608)</f>
        <v/>
      </c>
      <c r="W608" s="2" t="n">
        <v>578</v>
      </c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>
        <v>578</v>
      </c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>
        <f>IF(F608=1,V608*2,IF(F608=2,V608*F608*2,IF(F608&gt;2,F608*2*V608)))</f>
        <v/>
      </c>
      <c r="AW608" s="2">
        <f>SUM(W608:AU608)</f>
        <v/>
      </c>
    </row>
    <row r="609">
      <c r="A609" s="2" t="inlineStr">
        <is>
          <t>A14-DB-N202</t>
        </is>
      </c>
      <c r="B609" s="3" t="inlineStr">
        <is>
          <t>DOJC-SM-LC/PC-FC/PC</t>
        </is>
      </c>
      <c r="C609" s="2" t="inlineStr">
        <is>
          <t>908040853, 25M, B3, 2.0mm</t>
        </is>
      </c>
      <c r="D609" s="2" t="inlineStr">
        <is>
          <t>b3</t>
        </is>
      </c>
      <c r="E609" s="2" t="inlineStr">
        <is>
          <t>2.0mm</t>
        </is>
      </c>
      <c r="F609" s="2" t="n">
        <v>2</v>
      </c>
      <c r="G609" s="2" t="n">
        <v>25</v>
      </c>
      <c r="H609" s="2" t="inlineStr">
        <is>
          <t>LC/PC</t>
        </is>
      </c>
      <c r="I609" s="2" t="inlineStr">
        <is>
          <t>FC/PC</t>
        </is>
      </c>
      <c r="J609" s="2" t="n"/>
      <c r="K609" s="2" t="n">
        <v>40</v>
      </c>
      <c r="L609" s="2" t="n">
        <v>37</v>
      </c>
      <c r="M609" s="2" t="n"/>
      <c r="N609" s="2" t="n">
        <v>20</v>
      </c>
      <c r="O609" s="2" t="n"/>
      <c r="P609" s="2" t="n"/>
      <c r="Q609" s="2" t="n"/>
      <c r="R609" s="2" t="n"/>
      <c r="S609" s="2" t="n">
        <v>1</v>
      </c>
      <c r="T609" s="2" t="n"/>
      <c r="U609" s="2" t="n"/>
      <c r="V609" s="2">
        <f>SUM(J609:U609)</f>
        <v/>
      </c>
      <c r="W609" s="2" t="n">
        <v>196</v>
      </c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>
        <v>196</v>
      </c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>
        <f>IF(F609=1,V609*2,IF(F609=2,V609*F609*2,IF(F609&gt;2,F609*2*V609)))</f>
        <v/>
      </c>
      <c r="AW609" s="2">
        <f>SUM(W609:AU609)</f>
        <v/>
      </c>
    </row>
    <row r="610">
      <c r="A610" s="2" t="inlineStr">
        <is>
          <t>A14-DB-N205</t>
        </is>
      </c>
      <c r="B610" s="3" t="inlineStr">
        <is>
          <t>DOJC-SM-LC/PC-FC/PC</t>
        </is>
      </c>
      <c r="C610" s="2" t="inlineStr">
        <is>
          <t>908040858, 30M, B3, 2.0mm</t>
        </is>
      </c>
      <c r="D610" s="2" t="inlineStr">
        <is>
          <t>b3</t>
        </is>
      </c>
      <c r="E610" s="2" t="inlineStr">
        <is>
          <t>2.0mm</t>
        </is>
      </c>
      <c r="F610" s="2" t="n">
        <v>2</v>
      </c>
      <c r="G610" s="2" t="n">
        <v>30</v>
      </c>
      <c r="H610" s="2" t="inlineStr">
        <is>
          <t>LC/PC</t>
        </is>
      </c>
      <c r="I610" s="2" t="inlineStr">
        <is>
          <t>FC/PC</t>
        </is>
      </c>
      <c r="J610" s="2" t="n"/>
      <c r="K610" s="2" t="n">
        <v>20</v>
      </c>
      <c r="L610" s="2" t="n">
        <v>20</v>
      </c>
      <c r="M610" s="2" t="n"/>
      <c r="N610" s="2" t="n">
        <v>10</v>
      </c>
      <c r="O610" s="2" t="n"/>
      <c r="P610" s="2" t="n">
        <v>20</v>
      </c>
      <c r="Q610" s="2" t="n">
        <v>5</v>
      </c>
      <c r="R610" s="2" t="n">
        <v>30</v>
      </c>
      <c r="S610" s="2" t="n"/>
      <c r="T610" s="2" t="n">
        <v>10</v>
      </c>
      <c r="U610" s="2" t="n">
        <v>2</v>
      </c>
      <c r="V610" s="2">
        <f>SUM(J610:U610)</f>
        <v/>
      </c>
      <c r="W610" s="2" t="n">
        <v>234</v>
      </c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>
        <v>234</v>
      </c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>
        <f>IF(F610=1,V610*2,IF(F610=2,V610*F610*2,IF(F610&gt;2,F610*2*V610)))</f>
        <v/>
      </c>
      <c r="AW610" s="2">
        <f>SUM(W610:AU610)</f>
        <v/>
      </c>
    </row>
    <row r="611">
      <c r="A611" s="2" t="inlineStr">
        <is>
          <t>A14-DB-N206</t>
        </is>
      </c>
      <c r="B611" s="3" t="inlineStr">
        <is>
          <t>DOJC-SM-LC/PC-FC/PC</t>
        </is>
      </c>
      <c r="C611" s="2" t="inlineStr">
        <is>
          <t>35M, B3, 2.0mm</t>
        </is>
      </c>
      <c r="D611" s="2" t="inlineStr">
        <is>
          <t>b3</t>
        </is>
      </c>
      <c r="E611" s="2" t="inlineStr">
        <is>
          <t>2.0mm</t>
        </is>
      </c>
      <c r="F611" s="2" t="n">
        <v>2</v>
      </c>
      <c r="G611" s="2" t="n">
        <v>35</v>
      </c>
      <c r="H611" s="2" t="inlineStr">
        <is>
          <t>LC/PC</t>
        </is>
      </c>
      <c r="I611" s="2" t="inlineStr">
        <is>
          <t>FC/PC</t>
        </is>
      </c>
      <c r="J611" s="2" t="n"/>
      <c r="K611" s="2" t="n"/>
      <c r="L611" s="2" t="n"/>
      <c r="M611" s="2" t="n"/>
      <c r="N611" s="2" t="n"/>
      <c r="O611" s="2" t="n"/>
      <c r="P611" s="2" t="n"/>
      <c r="Q611" s="2" t="n">
        <v>50</v>
      </c>
      <c r="R611" s="2" t="n">
        <v>5</v>
      </c>
      <c r="S611" s="2" t="n"/>
      <c r="T611" s="2" t="n"/>
      <c r="U611" s="2" t="n"/>
      <c r="V611" s="2">
        <f>SUM(J611:U611)</f>
        <v/>
      </c>
      <c r="W611" s="2" t="n">
        <v>110</v>
      </c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>
        <v>110</v>
      </c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>
        <f>IF(F611=1,V611*2,IF(F611=2,V611*F611*2,IF(F611&gt;2,F611*2*V611)))</f>
        <v/>
      </c>
      <c r="AW611" s="2">
        <f>SUM(W611:AU611)</f>
        <v/>
      </c>
    </row>
    <row r="612">
      <c r="A612" s="2" t="inlineStr">
        <is>
          <t>A14-DB-N208</t>
        </is>
      </c>
      <c r="B612" s="3" t="inlineStr">
        <is>
          <t>DOJC-SM-LC/PC-FC/PC</t>
        </is>
      </c>
      <c r="C612" s="2" t="inlineStr">
        <is>
          <t>40M, B3, 2.0mm</t>
        </is>
      </c>
      <c r="D612" s="2" t="inlineStr">
        <is>
          <t>b3</t>
        </is>
      </c>
      <c r="E612" s="2" t="inlineStr">
        <is>
          <t>2.0mm</t>
        </is>
      </c>
      <c r="F612" s="2" t="n">
        <v>2</v>
      </c>
      <c r="G612" s="2" t="n">
        <v>40</v>
      </c>
      <c r="H612" s="2" t="inlineStr">
        <is>
          <t>LC/PC</t>
        </is>
      </c>
      <c r="I612" s="2" t="inlineStr">
        <is>
          <t>FC/PC</t>
        </is>
      </c>
      <c r="J612" s="2" t="n"/>
      <c r="K612" s="2" t="n">
        <v>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>
        <v>4</v>
      </c>
      <c r="U612" s="2" t="n"/>
      <c r="V612" s="2">
        <f>SUM(J612:U612)</f>
        <v/>
      </c>
      <c r="W612" s="2" t="n">
        <v>18</v>
      </c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>
        <v>18</v>
      </c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>
        <f>IF(F612=1,V612*2,IF(F612=2,V612*F612*2,IF(F612&gt;2,F612*2*V612)))</f>
        <v/>
      </c>
      <c r="AW612" s="2">
        <f>SUM(W612:AU612)</f>
        <v/>
      </c>
    </row>
    <row r="613">
      <c r="A613" s="2" t="inlineStr">
        <is>
          <t>A14-DB-N223</t>
        </is>
      </c>
      <c r="B613" s="3" t="inlineStr">
        <is>
          <t>DOJC-SM-LC/PC-LC/PC</t>
        </is>
      </c>
      <c r="C613" s="2" t="inlineStr">
        <is>
          <t>908041006, 10M, B3, 2.0mm</t>
        </is>
      </c>
      <c r="D613" s="2" t="inlineStr">
        <is>
          <t>b3</t>
        </is>
      </c>
      <c r="E613" s="2" t="inlineStr">
        <is>
          <t>2.0mm</t>
        </is>
      </c>
      <c r="F613" s="2" t="n">
        <v>2</v>
      </c>
      <c r="G613" s="2" t="n">
        <v>10</v>
      </c>
      <c r="H613" s="2" t="inlineStr">
        <is>
          <t>LC/PC</t>
        </is>
      </c>
      <c r="I613" s="2" t="inlineStr">
        <is>
          <t>LC/PC</t>
        </is>
      </c>
      <c r="J613" s="2" t="n"/>
      <c r="K613" s="2" t="n"/>
      <c r="L613" s="2" t="n"/>
      <c r="M613" s="2" t="n"/>
      <c r="N613" s="2" t="n">
        <v>598</v>
      </c>
      <c r="O613" s="2" t="n">
        <v>297</v>
      </c>
      <c r="P613" s="2" t="n">
        <v>538</v>
      </c>
      <c r="Q613" s="2" t="n">
        <v>20</v>
      </c>
      <c r="R613" s="2" t="n"/>
      <c r="S613" s="2" t="n"/>
      <c r="T613" s="2" t="n">
        <v>587</v>
      </c>
      <c r="U613" s="2" t="n">
        <v>330</v>
      </c>
      <c r="V613" s="2">
        <f>SUM(J613:U613)</f>
        <v/>
      </c>
      <c r="W613" s="2" t="n">
        <v>4740</v>
      </c>
      <c r="X613" s="2" t="n">
        <v>4740</v>
      </c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>
        <f>IF(F613=1,V613*2,IF(F613=2,V613*F613*2,IF(F613&gt;2,F613*2*V613)))</f>
        <v/>
      </c>
      <c r="AW613" s="2">
        <f>SUM(W613:AU613)</f>
        <v/>
      </c>
    </row>
    <row r="614">
      <c r="A614" s="2" t="inlineStr">
        <is>
          <t>A14-DB-N225</t>
        </is>
      </c>
      <c r="B614" s="3" t="inlineStr">
        <is>
          <t>DOJC-SM-LC/PC-LC/PC</t>
        </is>
      </c>
      <c r="C614" s="2" t="inlineStr">
        <is>
          <t>908040694, 12M, B3, 2.0mm</t>
        </is>
      </c>
      <c r="D614" s="2" t="inlineStr">
        <is>
          <t>b3</t>
        </is>
      </c>
      <c r="E614" s="2" t="inlineStr">
        <is>
          <t>2.0mm</t>
        </is>
      </c>
      <c r="F614" s="2" t="n">
        <v>2</v>
      </c>
      <c r="G614" s="2" t="n">
        <v>12</v>
      </c>
      <c r="H614" s="2" t="inlineStr">
        <is>
          <t>LC/PC</t>
        </is>
      </c>
      <c r="I614" s="2" t="inlineStr">
        <is>
          <t>LC/PC</t>
        </is>
      </c>
      <c r="J614" s="2" t="n">
        <v>10</v>
      </c>
      <c r="K614" s="2" t="n">
        <v>10</v>
      </c>
      <c r="L614" s="2" t="n">
        <v>20</v>
      </c>
      <c r="M614" s="2" t="n"/>
      <c r="N614" s="2" t="n">
        <v>30</v>
      </c>
      <c r="O614" s="2" t="n">
        <v>40</v>
      </c>
      <c r="P614" s="2" t="n"/>
      <c r="Q614" s="2" t="n"/>
      <c r="R614" s="2" t="n"/>
      <c r="S614" s="2" t="n">
        <v>10</v>
      </c>
      <c r="T614" s="2" t="n"/>
      <c r="U614" s="2" t="n"/>
      <c r="V614" s="2">
        <f>SUM(J614:U614)</f>
        <v/>
      </c>
      <c r="W614" s="2" t="n">
        <v>240</v>
      </c>
      <c r="X614" s="2" t="n">
        <v>240</v>
      </c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>
        <f>IF(F614=1,V614*2,IF(F614=2,V614*F614*2,IF(F614&gt;2,F614*2*V614)))</f>
        <v/>
      </c>
      <c r="AW614" s="2">
        <f>SUM(W614:AU614)</f>
        <v/>
      </c>
    </row>
    <row r="615">
      <c r="A615" s="2" t="inlineStr">
        <is>
          <t>A14-DB-N226</t>
        </is>
      </c>
      <c r="B615" s="3" t="inlineStr">
        <is>
          <t>DOJC-SM-LC/PC-LC/PC</t>
        </is>
      </c>
      <c r="C615" s="2" t="inlineStr">
        <is>
          <t>908040695, 13M, B3, 2.0mm</t>
        </is>
      </c>
      <c r="D615" s="2" t="inlineStr">
        <is>
          <t>b3</t>
        </is>
      </c>
      <c r="E615" s="2" t="inlineStr">
        <is>
          <t>2.0mm</t>
        </is>
      </c>
      <c r="F615" s="2" t="n">
        <v>2</v>
      </c>
      <c r="G615" s="2" t="n">
        <v>13</v>
      </c>
      <c r="H615" s="2" t="inlineStr">
        <is>
          <t>LC/PC</t>
        </is>
      </c>
      <c r="I615" s="2" t="inlineStr">
        <is>
          <t>LC/PC</t>
        </is>
      </c>
      <c r="J615" s="2" t="n"/>
      <c r="K615" s="2" t="n"/>
      <c r="L615" s="2" t="n"/>
      <c r="M615" s="2" t="n"/>
      <c r="N615" s="2" t="n">
        <v>10</v>
      </c>
      <c r="O615" s="2" t="n">
        <v>88</v>
      </c>
      <c r="P615" s="2" t="n">
        <v>4</v>
      </c>
      <c r="Q615" s="2" t="n"/>
      <c r="R615" s="2" t="n">
        <v>10</v>
      </c>
      <c r="S615" s="2" t="n">
        <v>33</v>
      </c>
      <c r="T615" s="2" t="n"/>
      <c r="U615" s="2" t="n">
        <v>10</v>
      </c>
      <c r="V615" s="2">
        <f>SUM(J615:U615)</f>
        <v/>
      </c>
      <c r="W615" s="2" t="n">
        <v>310</v>
      </c>
      <c r="X615" s="2" t="n">
        <v>310</v>
      </c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>
        <f>IF(F615=1,V615*2,IF(F615=2,V615*F615*2,IF(F615&gt;2,F615*2*V615)))</f>
        <v/>
      </c>
      <c r="AW615" s="2">
        <f>SUM(W615:AU615)</f>
        <v/>
      </c>
    </row>
    <row r="616">
      <c r="A616" s="2" t="inlineStr">
        <is>
          <t>A14-DB-N228</t>
        </is>
      </c>
      <c r="B616" s="3" t="inlineStr">
        <is>
          <t>DOJC-SM-LC/PC-LC/PC</t>
        </is>
      </c>
      <c r="C616" s="2" t="inlineStr">
        <is>
          <t>908040697, 15M, B3, 2.0mm</t>
        </is>
      </c>
      <c r="D616" s="2" t="inlineStr">
        <is>
          <t>b3</t>
        </is>
      </c>
      <c r="E616" s="2" t="inlineStr">
        <is>
          <t>2.0mm</t>
        </is>
      </c>
      <c r="F616" s="2" t="n">
        <v>2</v>
      </c>
      <c r="G616" s="2" t="n">
        <v>15</v>
      </c>
      <c r="H616" s="2" t="inlineStr">
        <is>
          <t>LC/PC</t>
        </is>
      </c>
      <c r="I616" s="2" t="inlineStr">
        <is>
          <t>LC/PC</t>
        </is>
      </c>
      <c r="J616" s="2" t="n"/>
      <c r="K616" s="2" t="n"/>
      <c r="L616" s="2" t="n"/>
      <c r="M616" s="2" t="n"/>
      <c r="N616" s="2" t="n"/>
      <c r="O616" s="2" t="n"/>
      <c r="P616" s="2" t="n"/>
      <c r="Q616" s="2" t="n">
        <v>3</v>
      </c>
      <c r="R616" s="2" t="n">
        <v>34</v>
      </c>
      <c r="S616" s="2" t="n"/>
      <c r="T616" s="2" t="n">
        <v>347</v>
      </c>
      <c r="U616" s="2" t="n"/>
      <c r="V616" s="2">
        <f>SUM(J616:U616)</f>
        <v/>
      </c>
      <c r="W616" s="2" t="n">
        <v>768</v>
      </c>
      <c r="X616" s="2" t="n">
        <v>768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>
        <f>IF(F616=1,V616*2,IF(F616=2,V616*F616*2,IF(F616&gt;2,F616*2*V616)))</f>
        <v/>
      </c>
      <c r="AW616" s="2">
        <f>SUM(W616:AU616)</f>
        <v/>
      </c>
    </row>
    <row r="617">
      <c r="A617" s="2" t="inlineStr">
        <is>
          <t>A14-DB-N233</t>
        </is>
      </c>
      <c r="B617" s="3" t="inlineStr">
        <is>
          <t>DOJC-SM-LC/PC-LC/PC</t>
        </is>
      </c>
      <c r="C617" s="2" t="inlineStr">
        <is>
          <t>908040998, 1M, B3, 3.0mm</t>
        </is>
      </c>
      <c r="D617" s="2" t="inlineStr">
        <is>
          <t>b3</t>
        </is>
      </c>
      <c r="E617" s="2" t="inlineStr">
        <is>
          <t>3.0mm</t>
        </is>
      </c>
      <c r="F617" s="2" t="n">
        <v>2</v>
      </c>
      <c r="G617" s="2" t="n">
        <v>1</v>
      </c>
      <c r="H617" s="2" t="inlineStr">
        <is>
          <t>LC/PC</t>
        </is>
      </c>
      <c r="I617" s="2" t="inlineStr">
        <is>
          <t>LC/PC</t>
        </is>
      </c>
      <c r="J617" s="2" t="n">
        <v>40</v>
      </c>
      <c r="K617" s="2" t="n"/>
      <c r="L617" s="2" t="n">
        <v>20</v>
      </c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>
        <f>SUM(J617:U617)</f>
        <v/>
      </c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>
        <v>120</v>
      </c>
      <c r="AK617" s="2" t="n">
        <v>120</v>
      </c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>
        <f>IF(F617=1,V617*2,IF(F617=2,V617*F617*2,IF(F617&gt;2,F617*2*V617)))</f>
        <v/>
      </c>
      <c r="AW617" s="2">
        <f>SUM(W617:AU617)</f>
        <v/>
      </c>
    </row>
    <row r="618">
      <c r="A618" s="2" t="inlineStr">
        <is>
          <t>A14-DB-N234</t>
        </is>
      </c>
      <c r="B618" s="3" t="inlineStr">
        <is>
          <t>DOJC-SM-LC/PC-LC/PC</t>
        </is>
      </c>
      <c r="C618" s="2" t="inlineStr">
        <is>
          <t>908040702, 20M, B3, 2.0mm</t>
        </is>
      </c>
      <c r="D618" s="2" t="inlineStr">
        <is>
          <t>b3</t>
        </is>
      </c>
      <c r="E618" s="2" t="inlineStr">
        <is>
          <t>2.0mm</t>
        </is>
      </c>
      <c r="F618" s="2" t="n">
        <v>2</v>
      </c>
      <c r="G618" s="2" t="n">
        <v>20</v>
      </c>
      <c r="H618" s="2" t="inlineStr">
        <is>
          <t>LC/PC</t>
        </is>
      </c>
      <c r="I618" s="2" t="inlineStr">
        <is>
          <t>LC/PC</t>
        </is>
      </c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>
        <v>67</v>
      </c>
      <c r="T618" s="2" t="n">
        <v>151</v>
      </c>
      <c r="U618" s="2" t="n"/>
      <c r="V618" s="2">
        <f>SUM(J618:U618)</f>
        <v/>
      </c>
      <c r="W618" s="2" t="n">
        <v>436</v>
      </c>
      <c r="X618" s="2" t="n">
        <v>436</v>
      </c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>
        <f>IF(F618=1,V618*2,IF(F618=2,V618*F618*2,IF(F618&gt;2,F618*2*V618)))</f>
        <v/>
      </c>
      <c r="AW618" s="2">
        <f>SUM(W618:AU618)</f>
        <v/>
      </c>
    </row>
    <row r="619">
      <c r="A619" s="2" t="inlineStr">
        <is>
          <t>A14-DB-N237</t>
        </is>
      </c>
      <c r="B619" s="3" t="inlineStr">
        <is>
          <t>DOJC-SM-LC/PC-LC/PC</t>
        </is>
      </c>
      <c r="C619" s="2" t="inlineStr">
        <is>
          <t>908040707, 25M, B3, 2.0mm</t>
        </is>
      </c>
      <c r="D619" s="2" t="inlineStr">
        <is>
          <t>b3</t>
        </is>
      </c>
      <c r="E619" s="2" t="inlineStr">
        <is>
          <t>2.0mm</t>
        </is>
      </c>
      <c r="F619" s="2" t="n">
        <v>2</v>
      </c>
      <c r="G619" s="2" t="n">
        <v>25</v>
      </c>
      <c r="H619" s="2" t="inlineStr">
        <is>
          <t>LC/PC</t>
        </is>
      </c>
      <c r="I619" s="2" t="inlineStr">
        <is>
          <t>LC/PC</t>
        </is>
      </c>
      <c r="J619" s="2" t="n"/>
      <c r="K619" s="2" t="n">
        <v>20</v>
      </c>
      <c r="L619" s="2" t="n"/>
      <c r="M619" s="2" t="n"/>
      <c r="N619" s="2" t="n"/>
      <c r="O619" s="2" t="n"/>
      <c r="P619" s="2" t="n"/>
      <c r="Q619" s="2" t="n"/>
      <c r="R619" s="2" t="n">
        <v>133</v>
      </c>
      <c r="S619" s="2" t="n">
        <v>235</v>
      </c>
      <c r="T619" s="2" t="n">
        <v>90</v>
      </c>
      <c r="U619" s="2" t="n"/>
      <c r="V619" s="2">
        <f>SUM(J619:U619)</f>
        <v/>
      </c>
      <c r="W619" s="2" t="n">
        <v>956</v>
      </c>
      <c r="X619" s="2" t="n">
        <v>956</v>
      </c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>
        <f>IF(F619=1,V619*2,IF(F619=2,V619*F619*2,IF(F619&gt;2,F619*2*V619)))</f>
        <v/>
      </c>
      <c r="AW619" s="2">
        <f>SUM(W619:AU619)</f>
        <v/>
      </c>
    </row>
    <row r="620">
      <c r="A620" s="2" t="inlineStr">
        <is>
          <t>A14-DB-N240</t>
        </is>
      </c>
      <c r="B620" s="3" t="inlineStr">
        <is>
          <t>DOJC-SM-LC/PC-LC/PC</t>
        </is>
      </c>
      <c r="C620" s="2" t="inlineStr">
        <is>
          <t>908040999, 2M, B3, 3.0mm</t>
        </is>
      </c>
      <c r="D620" s="2" t="inlineStr">
        <is>
          <t>b3</t>
        </is>
      </c>
      <c r="E620" s="2" t="inlineStr">
        <is>
          <t>3.0mm</t>
        </is>
      </c>
      <c r="F620" s="2" t="n">
        <v>2</v>
      </c>
      <c r="G620" s="2" t="n">
        <v>2</v>
      </c>
      <c r="H620" s="2" t="inlineStr">
        <is>
          <t>LC/PC</t>
        </is>
      </c>
      <c r="I620" s="2" t="inlineStr">
        <is>
          <t>LC/PC</t>
        </is>
      </c>
      <c r="J620" s="2" t="n"/>
      <c r="K620" s="2" t="n">
        <v>46</v>
      </c>
      <c r="L620" s="2" t="n"/>
      <c r="M620" s="2" t="n">
        <v>27</v>
      </c>
      <c r="N620" s="2" t="n"/>
      <c r="O620" s="2" t="n">
        <v>75</v>
      </c>
      <c r="P620" s="2" t="n">
        <v>190</v>
      </c>
      <c r="Q620" s="2" t="n">
        <v>80</v>
      </c>
      <c r="R620" s="2" t="n"/>
      <c r="S620" s="2" t="n"/>
      <c r="T620" s="2" t="n"/>
      <c r="U620" s="2" t="n"/>
      <c r="V620" s="2">
        <f>SUM(J620:U620)</f>
        <v/>
      </c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>
        <v>836</v>
      </c>
      <c r="AK620" s="2" t="n">
        <v>836</v>
      </c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>
        <f>IF(F620=1,V620*2,IF(F620=2,V620*F620*2,IF(F620&gt;2,F620*2*V620)))</f>
        <v/>
      </c>
      <c r="AW620" s="2">
        <f>SUM(W620:AU620)</f>
        <v/>
      </c>
    </row>
    <row r="621">
      <c r="A621" s="2" t="inlineStr">
        <is>
          <t>A14-DB-N241</t>
        </is>
      </c>
      <c r="B621" s="3" t="inlineStr">
        <is>
          <t>DOJC-SM-LC/PC-LC/PC</t>
        </is>
      </c>
      <c r="C621" s="2" t="inlineStr">
        <is>
          <t>908040712, 30M, B3, 2.0mm</t>
        </is>
      </c>
      <c r="D621" s="2" t="inlineStr">
        <is>
          <t>b3</t>
        </is>
      </c>
      <c r="E621" s="2" t="inlineStr">
        <is>
          <t>2.0mm</t>
        </is>
      </c>
      <c r="F621" s="2" t="n">
        <v>2</v>
      </c>
      <c r="G621" s="2" t="n">
        <v>30</v>
      </c>
      <c r="H621" s="2" t="inlineStr">
        <is>
          <t>LC/PC</t>
        </is>
      </c>
      <c r="I621" s="2" t="inlineStr">
        <is>
          <t>LC/PC</t>
        </is>
      </c>
      <c r="J621" s="2" t="n"/>
      <c r="K621" s="2" t="n"/>
      <c r="L621" s="2" t="n"/>
      <c r="M621" s="2" t="n"/>
      <c r="N621" s="2" t="n"/>
      <c r="O621" s="2" t="n"/>
      <c r="P621" s="2" t="n">
        <v>21</v>
      </c>
      <c r="Q621" s="2" t="n">
        <v>137</v>
      </c>
      <c r="R621" s="2" t="n">
        <v>60</v>
      </c>
      <c r="S621" s="2" t="n">
        <v>63</v>
      </c>
      <c r="T621" s="2" t="n">
        <v>4</v>
      </c>
      <c r="U621" s="2" t="n"/>
      <c r="V621" s="2">
        <f>SUM(J621:U621)</f>
        <v/>
      </c>
      <c r="W621" s="2" t="n">
        <v>570</v>
      </c>
      <c r="X621" s="2" t="n">
        <v>570</v>
      </c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>
        <f>IF(F621=1,V621*2,IF(F621=2,V621*F621*2,IF(F621&gt;2,F621*2*V621)))</f>
        <v/>
      </c>
      <c r="AW621" s="2">
        <f>SUM(W621:AU621)</f>
        <v/>
      </c>
    </row>
    <row r="622">
      <c r="A622" s="2" t="inlineStr">
        <is>
          <t>A14-DB-N243</t>
        </is>
      </c>
      <c r="B622" s="3" t="inlineStr">
        <is>
          <t>DOJC-SM-LC/PC-LC/PC</t>
        </is>
      </c>
      <c r="C622" s="2" t="inlineStr">
        <is>
          <t>920000726, 35M, B3, 2.0mm</t>
        </is>
      </c>
      <c r="D622" s="2" t="inlineStr">
        <is>
          <t>b3</t>
        </is>
      </c>
      <c r="E622" s="2" t="inlineStr">
        <is>
          <t>2.0mm</t>
        </is>
      </c>
      <c r="F622" s="2" t="n">
        <v>2</v>
      </c>
      <c r="G622" s="2" t="n">
        <v>35</v>
      </c>
      <c r="H622" s="2" t="inlineStr">
        <is>
          <t>LC/PC</t>
        </is>
      </c>
      <c r="I622" s="2" t="inlineStr">
        <is>
          <t>LC/PC</t>
        </is>
      </c>
      <c r="J622" s="2" t="n">
        <v>18</v>
      </c>
      <c r="K622" s="2" t="n"/>
      <c r="L622" s="2" t="n">
        <v>16</v>
      </c>
      <c r="M622" s="2" t="n">
        <v>158</v>
      </c>
      <c r="N622" s="2" t="n">
        <v>13</v>
      </c>
      <c r="O622" s="2" t="n">
        <v>20</v>
      </c>
      <c r="P622" s="2" t="n">
        <v>20</v>
      </c>
      <c r="Q622" s="2" t="n">
        <v>90</v>
      </c>
      <c r="R622" s="2" t="n">
        <v>12</v>
      </c>
      <c r="S622" s="2" t="n">
        <v>30</v>
      </c>
      <c r="T622" s="2" t="n">
        <v>50</v>
      </c>
      <c r="U622" s="2" t="n"/>
      <c r="V622" s="2">
        <f>SUM(J622:U622)</f>
        <v/>
      </c>
      <c r="W622" s="2" t="n">
        <v>854</v>
      </c>
      <c r="X622" s="2" t="n">
        <v>854</v>
      </c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>
        <f>IF(F622=1,V622*2,IF(F622=2,V622*F622*2,IF(F622&gt;2,F622*2*V622)))</f>
        <v/>
      </c>
      <c r="AW622" s="2">
        <f>SUM(W622:AU622)</f>
        <v/>
      </c>
    </row>
    <row r="623">
      <c r="A623" s="2" t="inlineStr">
        <is>
          <t>A14-DB-N244</t>
        </is>
      </c>
      <c r="B623" s="3" t="inlineStr">
        <is>
          <t>DOJC-SM-LC/PC-LC/PC</t>
        </is>
      </c>
      <c r="C623" s="2" t="inlineStr">
        <is>
          <t>908040997, 3M, B3, 3.0mm</t>
        </is>
      </c>
      <c r="D623" s="2" t="inlineStr">
        <is>
          <t>b3</t>
        </is>
      </c>
      <c r="E623" s="2" t="inlineStr">
        <is>
          <t>3.0mm</t>
        </is>
      </c>
      <c r="F623" s="2" t="n">
        <v>2</v>
      </c>
      <c r="G623" s="2" t="n">
        <v>3</v>
      </c>
      <c r="H623" s="2" t="inlineStr">
        <is>
          <t>LC/PC</t>
        </is>
      </c>
      <c r="I623" s="2" t="inlineStr">
        <is>
          <t>LC/PC</t>
        </is>
      </c>
      <c r="J623" s="2" t="n"/>
      <c r="K623" s="2" t="n">
        <v>120</v>
      </c>
      <c r="L623" s="2" t="n">
        <v>220</v>
      </c>
      <c r="M623" s="2" t="n">
        <v>382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>
        <f>SUM(J623:U623)</f>
        <v/>
      </c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>
        <v>1444</v>
      </c>
      <c r="AK623" s="2" t="n">
        <v>1444</v>
      </c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>
        <f>IF(F623=1,V623*2,IF(F623=2,V623*F623*2,IF(F623&gt;2,F623*2*V623)))</f>
        <v/>
      </c>
      <c r="AW623" s="2">
        <f>SUM(W623:AU623)</f>
        <v/>
      </c>
    </row>
    <row r="624">
      <c r="A624" s="2" t="inlineStr">
        <is>
          <t>A14-DB-N246</t>
        </is>
      </c>
      <c r="B624" s="3" t="inlineStr">
        <is>
          <t>DOJC-SM-LC/PC-LC/PC</t>
        </is>
      </c>
      <c r="C624" s="2" t="inlineStr">
        <is>
          <t>920000727, 40M, B3, 2.0mm</t>
        </is>
      </c>
      <c r="D624" s="2" t="inlineStr">
        <is>
          <t>b3</t>
        </is>
      </c>
      <c r="E624" s="2" t="inlineStr">
        <is>
          <t>2.0mm</t>
        </is>
      </c>
      <c r="F624" s="2" t="n">
        <v>2</v>
      </c>
      <c r="G624" s="2" t="n">
        <v>40</v>
      </c>
      <c r="H624" s="2" t="inlineStr">
        <is>
          <t>LC/PC</t>
        </is>
      </c>
      <c r="I624" s="2" t="inlineStr">
        <is>
          <t>LC/PC</t>
        </is>
      </c>
      <c r="J624" s="2" t="n">
        <v>10</v>
      </c>
      <c r="K624" s="2" t="n">
        <v>56</v>
      </c>
      <c r="L624" s="2" t="n"/>
      <c r="M624" s="2" t="n"/>
      <c r="N624" s="2" t="n">
        <v>47</v>
      </c>
      <c r="O624" s="2" t="n">
        <v>20</v>
      </c>
      <c r="P624" s="2" t="n">
        <v>10</v>
      </c>
      <c r="Q624" s="2" t="n">
        <v>20</v>
      </c>
      <c r="R624" s="2" t="n">
        <v>10</v>
      </c>
      <c r="S624" s="2" t="n">
        <v>6</v>
      </c>
      <c r="T624" s="2" t="n">
        <v>34</v>
      </c>
      <c r="U624" s="2" t="n"/>
      <c r="V624" s="2">
        <f>SUM(J624:U624)</f>
        <v/>
      </c>
      <c r="W624" s="2" t="n">
        <v>426</v>
      </c>
      <c r="X624" s="2" t="n">
        <v>426</v>
      </c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>
        <f>IF(F624=1,V624*2,IF(F624=2,V624*F624*2,IF(F624&gt;2,F624*2*V624)))</f>
        <v/>
      </c>
      <c r="AW624" s="2">
        <f>SUM(W624:AU624)</f>
        <v/>
      </c>
    </row>
    <row r="625">
      <c r="A625" s="2" t="inlineStr">
        <is>
          <t>A14-DB-N247</t>
        </is>
      </c>
      <c r="B625" s="3" t="inlineStr">
        <is>
          <t>DOJC-SM-LC/PC-LC/PC</t>
        </is>
      </c>
      <c r="C625" s="2" t="inlineStr">
        <is>
          <t>45M, B3, 2.0mm</t>
        </is>
      </c>
      <c r="D625" s="2" t="inlineStr">
        <is>
          <t>b3</t>
        </is>
      </c>
      <c r="E625" s="2" t="inlineStr">
        <is>
          <t>2.0mm</t>
        </is>
      </c>
      <c r="F625" s="2" t="n">
        <v>2</v>
      </c>
      <c r="G625" s="2" t="n">
        <v>45</v>
      </c>
      <c r="H625" s="2" t="inlineStr">
        <is>
          <t>LC/PC</t>
        </is>
      </c>
      <c r="I625" s="2" t="inlineStr">
        <is>
          <t>LC/PC</t>
        </is>
      </c>
      <c r="J625" s="2" t="n"/>
      <c r="K625" s="2" t="n"/>
      <c r="L625" s="2" t="n"/>
      <c r="M625" s="2" t="n"/>
      <c r="N625" s="2" t="n">
        <v>20</v>
      </c>
      <c r="O625" s="2" t="n">
        <v>10</v>
      </c>
      <c r="P625" s="2" t="n"/>
      <c r="Q625" s="2" t="n"/>
      <c r="R625" s="2" t="n">
        <v>24</v>
      </c>
      <c r="S625" s="2" t="n">
        <v>4</v>
      </c>
      <c r="T625" s="2" t="n">
        <v>6</v>
      </c>
      <c r="U625" s="2" t="n">
        <v>10</v>
      </c>
      <c r="V625" s="2">
        <f>SUM(J625:U625)</f>
        <v/>
      </c>
      <c r="W625" s="2" t="n">
        <v>148</v>
      </c>
      <c r="X625" s="2" t="n">
        <v>148</v>
      </c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>
        <f>IF(F625=1,V625*2,IF(F625=2,V625*F625*2,IF(F625&gt;2,F625*2*V625)))</f>
        <v/>
      </c>
      <c r="AW625" s="2">
        <f>SUM(W625:AU625)</f>
        <v/>
      </c>
    </row>
    <row r="626">
      <c r="A626" s="2" t="inlineStr">
        <is>
          <t>A14-DB-N248</t>
        </is>
      </c>
      <c r="B626" s="3" t="inlineStr">
        <is>
          <t>DOJC-SM-LC/PC-LC/PC</t>
        </is>
      </c>
      <c r="C626" s="2" t="inlineStr">
        <is>
          <t>908041000, 4M, B3, 3.0mm</t>
        </is>
      </c>
      <c r="D626" s="2" t="inlineStr">
        <is>
          <t>b3</t>
        </is>
      </c>
      <c r="E626" s="2" t="inlineStr">
        <is>
          <t>3.0mm</t>
        </is>
      </c>
      <c r="F626" s="2" t="n">
        <v>2</v>
      </c>
      <c r="G626" s="2" t="n">
        <v>4</v>
      </c>
      <c r="H626" s="2" t="inlineStr">
        <is>
          <t>LC/PC</t>
        </is>
      </c>
      <c r="I626" s="2" t="inlineStr">
        <is>
          <t>LC/PC</t>
        </is>
      </c>
      <c r="J626" s="2" t="n"/>
      <c r="K626" s="2" t="n"/>
      <c r="L626" s="2" t="n"/>
      <c r="M626" s="2" t="n"/>
      <c r="N626" s="2" t="n">
        <v>17</v>
      </c>
      <c r="O626" s="2" t="n">
        <v>30</v>
      </c>
      <c r="P626" s="2" t="n"/>
      <c r="Q626" s="2" t="n">
        <v>60</v>
      </c>
      <c r="R626" s="2" t="n">
        <v>120</v>
      </c>
      <c r="S626" s="2" t="n"/>
      <c r="T626" s="2" t="n"/>
      <c r="U626" s="2" t="n">
        <v>20</v>
      </c>
      <c r="V626" s="2">
        <f>SUM(J626:U626)</f>
        <v/>
      </c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>
        <v>494</v>
      </c>
      <c r="AK626" s="2" t="n">
        <v>494</v>
      </c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>
        <f>IF(F626=1,V626*2,IF(F626=2,V626*F626*2,IF(F626&gt;2,F626*2*V626)))</f>
        <v/>
      </c>
      <c r="AW626" s="2">
        <f>SUM(W626:AU626)</f>
        <v/>
      </c>
    </row>
    <row r="627">
      <c r="A627" s="2" t="inlineStr">
        <is>
          <t>A14-DB-N249</t>
        </is>
      </c>
      <c r="B627" s="3" t="inlineStr">
        <is>
          <t>DOJC-SM-LC/PC-LC/PC</t>
        </is>
      </c>
      <c r="C627" s="2" t="inlineStr">
        <is>
          <t>50M, B3, 2.0mm</t>
        </is>
      </c>
      <c r="D627" s="2" t="inlineStr">
        <is>
          <t>b3</t>
        </is>
      </c>
      <c r="E627" s="2" t="inlineStr">
        <is>
          <t>2.0mm</t>
        </is>
      </c>
      <c r="F627" s="2" t="n">
        <v>2</v>
      </c>
      <c r="G627" s="2" t="n">
        <v>50</v>
      </c>
      <c r="H627" s="2" t="inlineStr">
        <is>
          <t>LC/PC</t>
        </is>
      </c>
      <c r="I627" s="2" t="inlineStr">
        <is>
          <t>LC/PC</t>
        </is>
      </c>
      <c r="J627" s="2" t="n"/>
      <c r="K627" s="2" t="n">
        <v>22</v>
      </c>
      <c r="L627" s="2" t="n"/>
      <c r="M627" s="2" t="n"/>
      <c r="N627" s="2" t="n">
        <v>10</v>
      </c>
      <c r="O627" s="2" t="n">
        <v>10</v>
      </c>
      <c r="P627" s="2" t="n"/>
      <c r="Q627" s="2" t="n"/>
      <c r="R627" s="2" t="n">
        <v>4</v>
      </c>
      <c r="S627" s="2" t="n">
        <v>4</v>
      </c>
      <c r="T627" s="2" t="n"/>
      <c r="U627" s="2" t="n"/>
      <c r="V627" s="2">
        <f>SUM(J627:U627)</f>
        <v/>
      </c>
      <c r="W627" s="2" t="n">
        <v>100</v>
      </c>
      <c r="X627" s="2" t="n">
        <v>100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>
        <f>IF(F627=1,V627*2,IF(F627=2,V627*F627*2,IF(F627&gt;2,F627*2*V627)))</f>
        <v/>
      </c>
      <c r="AW627" s="2">
        <f>SUM(W627:AU627)</f>
        <v/>
      </c>
    </row>
    <row r="628">
      <c r="A628" s="2" t="inlineStr">
        <is>
          <t>A14-DB-N252</t>
        </is>
      </c>
      <c r="B628" s="3" t="inlineStr">
        <is>
          <t>DOJC-SM-LC/PC-LC/PC</t>
        </is>
      </c>
      <c r="C628" s="2" t="inlineStr">
        <is>
          <t>55M, B3, 2.0mm</t>
        </is>
      </c>
      <c r="D628" s="2" t="inlineStr">
        <is>
          <t>b3</t>
        </is>
      </c>
      <c r="E628" s="2" t="inlineStr">
        <is>
          <t>2.0mm</t>
        </is>
      </c>
      <c r="F628" s="2" t="n">
        <v>2</v>
      </c>
      <c r="G628" s="2" t="n">
        <v>55</v>
      </c>
      <c r="H628" s="2" t="inlineStr">
        <is>
          <t>LC/PC</t>
        </is>
      </c>
      <c r="I628" s="2" t="inlineStr">
        <is>
          <t>LC/PC</t>
        </is>
      </c>
      <c r="J628" s="2" t="n"/>
      <c r="K628" s="2" t="n"/>
      <c r="L628" s="2" t="n"/>
      <c r="M628" s="2" t="n"/>
      <c r="N628" s="2" t="n">
        <v>10</v>
      </c>
      <c r="O628" s="2" t="n"/>
      <c r="P628" s="2" t="n"/>
      <c r="Q628" s="2" t="n"/>
      <c r="R628" s="2" t="n"/>
      <c r="S628" s="2" t="n"/>
      <c r="T628" s="2" t="n"/>
      <c r="U628" s="2" t="n"/>
      <c r="V628" s="2">
        <f>SUM(J628:U628)</f>
        <v/>
      </c>
      <c r="W628" s="2" t="n">
        <v>20</v>
      </c>
      <c r="X628" s="2" t="n">
        <v>20</v>
      </c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>
        <f>IF(F628=1,V628*2,IF(F628=2,V628*F628*2,IF(F628&gt;2,F628*2*V628)))</f>
        <v/>
      </c>
      <c r="AW628" s="2">
        <f>SUM(W628:AU628)</f>
        <v/>
      </c>
    </row>
    <row r="629">
      <c r="A629" s="2" t="inlineStr">
        <is>
          <t>A14-DB-N253</t>
        </is>
      </c>
      <c r="B629" s="3" t="inlineStr">
        <is>
          <t>DOJC-SM-LC/PC-LC/PC</t>
        </is>
      </c>
      <c r="C629" s="2" t="inlineStr">
        <is>
          <t>908041001, 5M, B3, 3.0mm</t>
        </is>
      </c>
      <c r="D629" s="2" t="inlineStr">
        <is>
          <t>b3</t>
        </is>
      </c>
      <c r="E629" s="2" t="inlineStr">
        <is>
          <t>3.0mm</t>
        </is>
      </c>
      <c r="F629" s="2" t="n">
        <v>2</v>
      </c>
      <c r="G629" s="2" t="n">
        <v>5</v>
      </c>
      <c r="H629" s="2" t="inlineStr">
        <is>
          <t>LC/PC</t>
        </is>
      </c>
      <c r="I629" s="2" t="inlineStr">
        <is>
          <t>LC/PC</t>
        </is>
      </c>
      <c r="J629" s="2" t="n">
        <v>9</v>
      </c>
      <c r="K629" s="2" t="n">
        <v>10</v>
      </c>
      <c r="L629" s="2" t="n"/>
      <c r="M629" s="2" t="n"/>
      <c r="N629" s="2" t="n"/>
      <c r="O629" s="2" t="n"/>
      <c r="P629" s="2" t="n">
        <v>160</v>
      </c>
      <c r="Q629" s="2" t="n">
        <v>35</v>
      </c>
      <c r="R629" s="2" t="n">
        <v>55</v>
      </c>
      <c r="S629" s="2" t="n">
        <v>68</v>
      </c>
      <c r="T629" s="2" t="n"/>
      <c r="U629" s="2" t="n"/>
      <c r="V629" s="2">
        <f>SUM(J629:U629)</f>
        <v/>
      </c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>
        <v>674</v>
      </c>
      <c r="AK629" s="2" t="n">
        <v>674</v>
      </c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>
        <f>IF(F629=1,V629*2,IF(F629=2,V629*F629*2,IF(F629&gt;2,F629*2*V629)))</f>
        <v/>
      </c>
      <c r="AW629" s="2">
        <f>SUM(W629:AU629)</f>
        <v/>
      </c>
    </row>
    <row r="630">
      <c r="A630" s="2" t="inlineStr">
        <is>
          <t>A14-DB-N254</t>
        </is>
      </c>
      <c r="B630" s="3" t="inlineStr">
        <is>
          <t>DOJC-SM-LC/PC-LC/PC</t>
        </is>
      </c>
      <c r="C630" s="2" t="inlineStr">
        <is>
          <t>60M, B3, 2.0mm</t>
        </is>
      </c>
      <c r="D630" s="2" t="inlineStr">
        <is>
          <t>b3</t>
        </is>
      </c>
      <c r="E630" s="2" t="inlineStr">
        <is>
          <t>2.0mm</t>
        </is>
      </c>
      <c r="F630" s="2" t="n">
        <v>2</v>
      </c>
      <c r="G630" s="2" t="n">
        <v>60</v>
      </c>
      <c r="H630" s="2" t="inlineStr">
        <is>
          <t>LC/PC</t>
        </is>
      </c>
      <c r="I630" s="2" t="inlineStr">
        <is>
          <t>LC/PC</t>
        </is>
      </c>
      <c r="J630" s="2" t="n"/>
      <c r="K630" s="2" t="n"/>
      <c r="L630" s="2" t="n"/>
      <c r="M630" s="2" t="n"/>
      <c r="N630" s="2" t="n">
        <v>4</v>
      </c>
      <c r="O630" s="2" t="n"/>
      <c r="P630" s="2" t="n"/>
      <c r="Q630" s="2" t="n"/>
      <c r="R630" s="2" t="n">
        <v>4</v>
      </c>
      <c r="S630" s="2" t="n">
        <v>4</v>
      </c>
      <c r="T630" s="2" t="n"/>
      <c r="U630" s="2" t="n"/>
      <c r="V630" s="2">
        <f>SUM(J630:U630)</f>
        <v/>
      </c>
      <c r="W630" s="2" t="n">
        <v>24</v>
      </c>
      <c r="X630" s="2" t="n">
        <v>24</v>
      </c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>
        <f>IF(F630=1,V630*2,IF(F630=2,V630*F630*2,IF(F630&gt;2,F630*2*V630)))</f>
        <v/>
      </c>
      <c r="AW630" s="2">
        <f>SUM(W630:AU630)</f>
        <v/>
      </c>
    </row>
    <row r="631">
      <c r="A631" s="2" t="inlineStr">
        <is>
          <t>A14-DB-N256</t>
        </is>
      </c>
      <c r="B631" s="3" t="inlineStr">
        <is>
          <t>DOJC-SM-LC/PC-LC/PC</t>
        </is>
      </c>
      <c r="C631" s="2" t="inlineStr">
        <is>
          <t>908041002, 6M, B3, 2.0mm</t>
        </is>
      </c>
      <c r="D631" s="2" t="inlineStr">
        <is>
          <t>b3</t>
        </is>
      </c>
      <c r="E631" s="2" t="inlineStr">
        <is>
          <t>2.0mm</t>
        </is>
      </c>
      <c r="F631" s="2" t="n">
        <v>2</v>
      </c>
      <c r="G631" s="2" t="n">
        <v>6</v>
      </c>
      <c r="H631" s="2" t="inlineStr">
        <is>
          <t>LC/PC</t>
        </is>
      </c>
      <c r="I631" s="2" t="inlineStr">
        <is>
          <t>LC/PC</t>
        </is>
      </c>
      <c r="J631" s="2" t="n">
        <v>53</v>
      </c>
      <c r="K631" s="2" t="n"/>
      <c r="L631" s="2" t="n">
        <v>20</v>
      </c>
      <c r="M631" s="2" t="n"/>
      <c r="N631" s="2" t="n"/>
      <c r="O631" s="2" t="n"/>
      <c r="P631" s="2" t="n">
        <v>30</v>
      </c>
      <c r="Q631" s="2" t="n">
        <v>13</v>
      </c>
      <c r="R631" s="2" t="n"/>
      <c r="S631" s="2" t="n"/>
      <c r="T631" s="2" t="n"/>
      <c r="U631" s="2" t="n"/>
      <c r="V631" s="2">
        <f>SUM(J631:U631)</f>
        <v/>
      </c>
      <c r="W631" s="2" t="n">
        <v>232</v>
      </c>
      <c r="X631" s="2" t="n">
        <v>232</v>
      </c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>
        <f>IF(F631=1,V631*2,IF(F631=2,V631*F631*2,IF(F631&gt;2,F631*2*V631)))</f>
        <v/>
      </c>
      <c r="AW631" s="2">
        <f>SUM(W631:AU631)</f>
        <v/>
      </c>
    </row>
    <row r="632">
      <c r="A632" s="2" t="inlineStr">
        <is>
          <t>A14-DB-N258</t>
        </is>
      </c>
      <c r="B632" s="3" t="inlineStr">
        <is>
          <t>DOJC-SM-LC/PC-LC/PC</t>
        </is>
      </c>
      <c r="C632" s="2" t="inlineStr">
        <is>
          <t>908041003, 7M, B3, 2.0mm</t>
        </is>
      </c>
      <c r="D632" s="2" t="inlineStr">
        <is>
          <t>b3</t>
        </is>
      </c>
      <c r="E632" s="2" t="inlineStr">
        <is>
          <t>2.0mm</t>
        </is>
      </c>
      <c r="F632" s="2" t="n">
        <v>2</v>
      </c>
      <c r="G632" s="2" t="n">
        <v>7</v>
      </c>
      <c r="H632" s="2" t="inlineStr">
        <is>
          <t>LC/PC</t>
        </is>
      </c>
      <c r="I632" s="2" t="inlineStr">
        <is>
          <t>LC/PC</t>
        </is>
      </c>
      <c r="J632" s="2" t="n"/>
      <c r="K632" s="2" t="n"/>
      <c r="L632" s="2" t="n"/>
      <c r="M632" s="2" t="n"/>
      <c r="N632" s="2" t="n">
        <v>78</v>
      </c>
      <c r="O632" s="2" t="n">
        <v>20</v>
      </c>
      <c r="P632" s="2" t="n">
        <v>122</v>
      </c>
      <c r="Q632" s="2" t="n"/>
      <c r="R632" s="2" t="n"/>
      <c r="S632" s="2" t="n"/>
      <c r="T632" s="2" t="n">
        <v>17</v>
      </c>
      <c r="U632" s="2" t="n"/>
      <c r="V632" s="2">
        <f>SUM(J632:U632)</f>
        <v/>
      </c>
      <c r="W632" s="2" t="n">
        <v>474</v>
      </c>
      <c r="X632" s="2" t="n">
        <v>474</v>
      </c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>
        <f>IF(F632=1,V632*2,IF(F632=2,V632*F632*2,IF(F632&gt;2,F632*2*V632)))</f>
        <v/>
      </c>
      <c r="AW632" s="2">
        <f>SUM(W632:AU632)</f>
        <v/>
      </c>
    </row>
    <row r="633">
      <c r="A633" s="2" t="inlineStr">
        <is>
          <t>A14-DB-N260</t>
        </is>
      </c>
      <c r="B633" s="3" t="inlineStr">
        <is>
          <t>DOJC-SM-LC/PC-LC/PC</t>
        </is>
      </c>
      <c r="C633" s="2" t="inlineStr">
        <is>
          <t>908041004, 8M, B3, 2.0mm</t>
        </is>
      </c>
      <c r="D633" s="2" t="inlineStr">
        <is>
          <t>b3</t>
        </is>
      </c>
      <c r="E633" s="2" t="inlineStr">
        <is>
          <t>2.0mm</t>
        </is>
      </c>
      <c r="F633" s="2" t="n">
        <v>2</v>
      </c>
      <c r="G633" s="2" t="n">
        <v>8</v>
      </c>
      <c r="H633" s="2" t="inlineStr">
        <is>
          <t>LC/PC</t>
        </is>
      </c>
      <c r="I633" s="2" t="inlineStr">
        <is>
          <t>LC/PC</t>
        </is>
      </c>
      <c r="J633" s="2" t="n">
        <v>64</v>
      </c>
      <c r="K633" s="2" t="n">
        <v>14</v>
      </c>
      <c r="L633" s="2" t="n"/>
      <c r="M633" s="2" t="n"/>
      <c r="N633" s="2" t="n">
        <v>45</v>
      </c>
      <c r="O633" s="2" t="n"/>
      <c r="P633" s="2" t="n">
        <v>20</v>
      </c>
      <c r="Q633" s="2" t="n"/>
      <c r="R633" s="2" t="n">
        <v>30</v>
      </c>
      <c r="S633" s="2" t="n">
        <v>30</v>
      </c>
      <c r="T633" s="2" t="n">
        <v>130</v>
      </c>
      <c r="U633" s="2" t="n">
        <v>130</v>
      </c>
      <c r="V633" s="2">
        <f>SUM(J633:U633)</f>
        <v/>
      </c>
      <c r="W633" s="2" t="n">
        <v>926</v>
      </c>
      <c r="X633" s="2" t="n">
        <v>926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>
        <f>IF(F633=1,V633*2,IF(F633=2,V633*F633*2,IF(F633&gt;2,F633*2*V633)))</f>
        <v/>
      </c>
      <c r="AW633" s="2">
        <f>SUM(W633:AU633)</f>
        <v/>
      </c>
    </row>
    <row r="634">
      <c r="A634" s="2" t="inlineStr">
        <is>
          <t>A14-DB-N263</t>
        </is>
      </c>
      <c r="B634" s="3" t="inlineStr">
        <is>
          <t>DOJC-SM-LC/PC-SC/APC</t>
        </is>
      </c>
      <c r="C634" s="2" t="inlineStr">
        <is>
          <t>908040916, 10M, B3, 2.0mm</t>
        </is>
      </c>
      <c r="D634" s="2" t="inlineStr">
        <is>
          <t>b3</t>
        </is>
      </c>
      <c r="E634" s="2" t="inlineStr">
        <is>
          <t>2.0mm</t>
        </is>
      </c>
      <c r="F634" s="2" t="n">
        <v>2</v>
      </c>
      <c r="G634" s="2" t="n">
        <v>10</v>
      </c>
      <c r="H634" s="2" t="inlineStr">
        <is>
          <t>LC/PC</t>
        </is>
      </c>
      <c r="I634" s="2" t="inlineStr">
        <is>
          <t>SC/APC</t>
        </is>
      </c>
      <c r="J634" s="2" t="n"/>
      <c r="K634" s="2" t="n">
        <v>11</v>
      </c>
      <c r="L634" s="2" t="n">
        <v>70</v>
      </c>
      <c r="M634" s="2" t="n">
        <v>54</v>
      </c>
      <c r="N634" s="2" t="n">
        <v>65</v>
      </c>
      <c r="O634" s="2" t="n"/>
      <c r="P634" s="2" t="n">
        <v>33</v>
      </c>
      <c r="Q634" s="2" t="n"/>
      <c r="R634" s="2" t="n"/>
      <c r="S634" s="2" t="n"/>
      <c r="T634" s="2" t="n"/>
      <c r="U634" s="2" t="n"/>
      <c r="V634" s="2">
        <f>SUM(J634:U634)</f>
        <v/>
      </c>
      <c r="W634" s="2" t="n">
        <v>466</v>
      </c>
      <c r="X634" s="2" t="n"/>
      <c r="Y634" s="2" t="n"/>
      <c r="Z634" s="2" t="n"/>
      <c r="AA634" s="2" t="n"/>
      <c r="AB634" s="2" t="n"/>
      <c r="AC634" s="2" t="n"/>
      <c r="AD634" s="2" t="n">
        <v>466</v>
      </c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>
        <f>IF(F634=1,V634*2,IF(F634=2,V634*F634*2,IF(F634&gt;2,F634*2*V634)))</f>
        <v/>
      </c>
      <c r="AW634" s="2">
        <f>SUM(W634:AU634)</f>
        <v/>
      </c>
    </row>
    <row r="635">
      <c r="A635" s="2" t="inlineStr">
        <is>
          <t>A14-DB-N266</t>
        </is>
      </c>
      <c r="B635" s="3" t="inlineStr">
        <is>
          <t>DOJC-SM-LC/PC-SC/APC</t>
        </is>
      </c>
      <c r="C635" s="2" t="inlineStr">
        <is>
          <t>908040921, 15M, B3, 2.0mm</t>
        </is>
      </c>
      <c r="D635" s="2" t="inlineStr">
        <is>
          <t>b3</t>
        </is>
      </c>
      <c r="E635" s="2" t="inlineStr">
        <is>
          <t>2.0mm</t>
        </is>
      </c>
      <c r="F635" s="2" t="n">
        <v>2</v>
      </c>
      <c r="G635" s="2" t="n">
        <v>15</v>
      </c>
      <c r="H635" s="2" t="inlineStr">
        <is>
          <t>LC/PC</t>
        </is>
      </c>
      <c r="I635" s="2" t="inlineStr">
        <is>
          <t>SC/APC</t>
        </is>
      </c>
      <c r="J635" s="2" t="n">
        <v>10</v>
      </c>
      <c r="K635" s="2" t="n"/>
      <c r="L635" s="2" t="n">
        <v>46</v>
      </c>
      <c r="M635" s="2" t="n">
        <v>45</v>
      </c>
      <c r="N635" s="2" t="n">
        <v>90</v>
      </c>
      <c r="O635" s="2" t="n"/>
      <c r="P635" s="2" t="n">
        <v>25</v>
      </c>
      <c r="Q635" s="2" t="n"/>
      <c r="R635" s="2" t="n"/>
      <c r="S635" s="2" t="n">
        <v>20</v>
      </c>
      <c r="T635" s="2" t="n">
        <v>1</v>
      </c>
      <c r="U635" s="2" t="n"/>
      <c r="V635" s="2">
        <f>SUM(J635:U635)</f>
        <v/>
      </c>
      <c r="W635" s="2" t="n">
        <v>474</v>
      </c>
      <c r="X635" s="2" t="n"/>
      <c r="Y635" s="2" t="n"/>
      <c r="Z635" s="2" t="n"/>
      <c r="AA635" s="2" t="n"/>
      <c r="AB635" s="2" t="n"/>
      <c r="AC635" s="2" t="n"/>
      <c r="AD635" s="2" t="n">
        <v>474</v>
      </c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>
        <f>IF(F635=1,V635*2,IF(F635=2,V635*F635*2,IF(F635&gt;2,F635*2*V635)))</f>
        <v/>
      </c>
      <c r="AW635" s="2">
        <f>SUM(W635:AU635)</f>
        <v/>
      </c>
    </row>
    <row r="636">
      <c r="A636" s="2" t="inlineStr">
        <is>
          <t>A14-DB-N267</t>
        </is>
      </c>
      <c r="B636" s="3" t="inlineStr">
        <is>
          <t>DOJC-SM-LC/PC-SC/APC</t>
        </is>
      </c>
      <c r="C636" s="2" t="inlineStr">
        <is>
          <t>908040908, 1M, B3, 3.0mm</t>
        </is>
      </c>
      <c r="D636" s="2" t="inlineStr">
        <is>
          <t>b3</t>
        </is>
      </c>
      <c r="E636" s="2" t="inlineStr">
        <is>
          <t>3.0mm</t>
        </is>
      </c>
      <c r="F636" s="2" t="n">
        <v>2</v>
      </c>
      <c r="G636" s="2" t="n">
        <v>1</v>
      </c>
      <c r="H636" s="2" t="inlineStr">
        <is>
          <t>LC/PC</t>
        </is>
      </c>
      <c r="I636" s="2" t="inlineStr">
        <is>
          <t>SC/APC</t>
        </is>
      </c>
      <c r="J636" s="2" t="n">
        <v>48</v>
      </c>
      <c r="K636" s="2" t="n">
        <v>70</v>
      </c>
      <c r="L636" s="2" t="n"/>
      <c r="M636" s="2" t="n"/>
      <c r="N636" s="2" t="n"/>
      <c r="O636" s="2" t="n">
        <v>50</v>
      </c>
      <c r="P636" s="2" t="n">
        <v>30</v>
      </c>
      <c r="Q636" s="2" t="n"/>
      <c r="R636" s="2" t="n">
        <v>50</v>
      </c>
      <c r="S636" s="2" t="n"/>
      <c r="T636" s="2" t="n"/>
      <c r="U636" s="2" t="n">
        <v>30</v>
      </c>
      <c r="V636" s="2">
        <f>SUM(J636:U636)</f>
        <v/>
      </c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>
        <v>556</v>
      </c>
      <c r="AK636" s="2" t="n"/>
      <c r="AL636" s="2" t="n"/>
      <c r="AM636" s="2" t="n"/>
      <c r="AN636" s="2" t="n"/>
      <c r="AO636" s="2" t="n"/>
      <c r="AP636" s="2" t="n"/>
      <c r="AQ636" s="2" t="n">
        <v>556</v>
      </c>
      <c r="AR636" s="2" t="n"/>
      <c r="AS636" s="2" t="n"/>
      <c r="AT636" s="2" t="n"/>
      <c r="AU636" s="2" t="n"/>
      <c r="AV636" s="2">
        <f>IF(F636=1,V636*2,IF(F636=2,V636*F636*2,IF(F636&gt;2,F636*2*V636)))</f>
        <v/>
      </c>
      <c r="AW636" s="2">
        <f>SUM(W636:AU636)</f>
        <v/>
      </c>
    </row>
    <row r="637">
      <c r="A637" s="2" t="inlineStr">
        <is>
          <t>A14-DB-N268</t>
        </is>
      </c>
      <c r="B637" s="3" t="inlineStr">
        <is>
          <t>DOJC-SM-LC/PC-SC/APC</t>
        </is>
      </c>
      <c r="C637" s="2" t="inlineStr">
        <is>
          <t>908040926, 20M, B3, 2.0mm</t>
        </is>
      </c>
      <c r="D637" s="2" t="inlineStr">
        <is>
          <t>b3</t>
        </is>
      </c>
      <c r="E637" s="2" t="inlineStr">
        <is>
          <t>2.0mm</t>
        </is>
      </c>
      <c r="F637" s="2" t="n">
        <v>2</v>
      </c>
      <c r="G637" s="2" t="n">
        <v>20</v>
      </c>
      <c r="H637" s="2" t="inlineStr">
        <is>
          <t>LC/PC</t>
        </is>
      </c>
      <c r="I637" s="2" t="inlineStr">
        <is>
          <t>SC/APC</t>
        </is>
      </c>
      <c r="J637" s="2" t="n"/>
      <c r="K637" s="2" t="n">
        <v>100</v>
      </c>
      <c r="L637" s="2" t="n">
        <v>10</v>
      </c>
      <c r="M637" s="2" t="n">
        <v>21</v>
      </c>
      <c r="N637" s="2" t="n">
        <v>20</v>
      </c>
      <c r="O637" s="2" t="n">
        <v>4</v>
      </c>
      <c r="P637" s="2" t="n">
        <v>33</v>
      </c>
      <c r="Q637" s="2" t="n">
        <v>20</v>
      </c>
      <c r="R637" s="2" t="n">
        <v>14</v>
      </c>
      <c r="S637" s="2" t="n">
        <v>30</v>
      </c>
      <c r="T637" s="2" t="n"/>
      <c r="U637" s="2" t="n"/>
      <c r="V637" s="2">
        <f>SUM(J637:U637)</f>
        <v/>
      </c>
      <c r="W637" s="2" t="n">
        <v>504</v>
      </c>
      <c r="X637" s="2" t="n"/>
      <c r="Y637" s="2" t="n"/>
      <c r="Z637" s="2" t="n"/>
      <c r="AA637" s="2" t="n"/>
      <c r="AB637" s="2" t="n"/>
      <c r="AC637" s="2" t="n"/>
      <c r="AD637" s="2" t="n">
        <v>504</v>
      </c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>
        <f>IF(F637=1,V637*2,IF(F637=2,V637*F637*2,IF(F637&gt;2,F637*2*V637)))</f>
        <v/>
      </c>
      <c r="AW637" s="2">
        <f>SUM(W637:AU637)</f>
        <v/>
      </c>
    </row>
    <row r="638">
      <c r="A638" s="2" t="inlineStr">
        <is>
          <t>A14-DB-N270</t>
        </is>
      </c>
      <c r="B638" s="3" t="inlineStr">
        <is>
          <t>DOJC-SM-LC/PC-SC/APC</t>
        </is>
      </c>
      <c r="C638" s="2" t="inlineStr">
        <is>
          <t>908040931, 25M, B3, 2.0mm</t>
        </is>
      </c>
      <c r="D638" s="2" t="inlineStr">
        <is>
          <t>b3</t>
        </is>
      </c>
      <c r="E638" s="2" t="inlineStr">
        <is>
          <t>2.0mm</t>
        </is>
      </c>
      <c r="F638" s="2" t="n">
        <v>2</v>
      </c>
      <c r="G638" s="2" t="n">
        <v>25</v>
      </c>
      <c r="H638" s="2" t="inlineStr">
        <is>
          <t>LC/PC</t>
        </is>
      </c>
      <c r="I638" s="2" t="inlineStr">
        <is>
          <t>SC/APC</t>
        </is>
      </c>
      <c r="J638" s="2" t="n"/>
      <c r="K638" s="2" t="n"/>
      <c r="L638" s="2" t="n"/>
      <c r="M638" s="2" t="n"/>
      <c r="N638" s="2" t="n"/>
      <c r="O638" s="2" t="n">
        <v>4</v>
      </c>
      <c r="P638" s="2" t="n">
        <v>22</v>
      </c>
      <c r="Q638" s="2" t="n"/>
      <c r="R638" s="2" t="n"/>
      <c r="S638" s="2" t="n"/>
      <c r="T638" s="2" t="n"/>
      <c r="U638" s="2" t="n"/>
      <c r="V638" s="2">
        <f>SUM(J638:U638)</f>
        <v/>
      </c>
      <c r="W638" s="2" t="n">
        <v>52</v>
      </c>
      <c r="X638" s="2" t="n"/>
      <c r="Y638" s="2" t="n"/>
      <c r="Z638" s="2" t="n"/>
      <c r="AA638" s="2" t="n"/>
      <c r="AB638" s="2" t="n"/>
      <c r="AC638" s="2" t="n"/>
      <c r="AD638" s="2" t="n">
        <v>52</v>
      </c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>
        <f>IF(F638=1,V638*2,IF(F638=2,V638*F638*2,IF(F638&gt;2,F638*2*V638)))</f>
        <v/>
      </c>
      <c r="AW638" s="2">
        <f>SUM(W638:AU638)</f>
        <v/>
      </c>
    </row>
    <row r="639">
      <c r="A639" s="2" t="inlineStr">
        <is>
          <t>A14-DB-N271</t>
        </is>
      </c>
      <c r="B639" s="3" t="inlineStr">
        <is>
          <t>DOJC-SM-LC/PC-SC/APC</t>
        </is>
      </c>
      <c r="C639" s="2" t="inlineStr">
        <is>
          <t>908040909, 2M, B3, 3.0mm</t>
        </is>
      </c>
      <c r="D639" s="2" t="inlineStr">
        <is>
          <t>b3</t>
        </is>
      </c>
      <c r="E639" s="2" t="inlineStr">
        <is>
          <t>3.0mm</t>
        </is>
      </c>
      <c r="F639" s="2" t="n">
        <v>2</v>
      </c>
      <c r="G639" s="2" t="n">
        <v>2</v>
      </c>
      <c r="H639" s="2" t="inlineStr">
        <is>
          <t>LC/PC</t>
        </is>
      </c>
      <c r="I639" s="2" t="inlineStr">
        <is>
          <t>SC/APC</t>
        </is>
      </c>
      <c r="J639" s="2" t="n"/>
      <c r="K639" s="2" t="n"/>
      <c r="L639" s="2" t="n">
        <v>53</v>
      </c>
      <c r="M639" s="2" t="n">
        <v>40</v>
      </c>
      <c r="N639" s="2" t="n">
        <v>30</v>
      </c>
      <c r="O639" s="2" t="n">
        <v>12</v>
      </c>
      <c r="P639" s="2" t="n">
        <v>89</v>
      </c>
      <c r="Q639" s="2" t="n">
        <v>30</v>
      </c>
      <c r="R639" s="2" t="n"/>
      <c r="S639" s="2" t="n">
        <v>17</v>
      </c>
      <c r="T639" s="2" t="n"/>
      <c r="U639" s="2" t="n"/>
      <c r="V639" s="2">
        <f>SUM(J639:U639)</f>
        <v/>
      </c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>
        <v>542</v>
      </c>
      <c r="AK639" s="2" t="n"/>
      <c r="AL639" s="2" t="n"/>
      <c r="AM639" s="2" t="n"/>
      <c r="AN639" s="2" t="n"/>
      <c r="AO639" s="2" t="n"/>
      <c r="AP639" s="2" t="n"/>
      <c r="AQ639" s="2" t="n">
        <v>542</v>
      </c>
      <c r="AR639" s="2" t="n"/>
      <c r="AS639" s="2" t="n"/>
      <c r="AT639" s="2" t="n"/>
      <c r="AU639" s="2" t="n"/>
      <c r="AV639" s="2">
        <f>IF(F639=1,V639*2,IF(F639=2,V639*F639*2,IF(F639&gt;2,F639*2*V639)))</f>
        <v/>
      </c>
      <c r="AW639" s="2">
        <f>SUM(W639:AU639)</f>
        <v/>
      </c>
    </row>
    <row r="640">
      <c r="A640" s="2" t="inlineStr">
        <is>
          <t>A14-DB-N272</t>
        </is>
      </c>
      <c r="B640" s="3" t="inlineStr">
        <is>
          <t>DOJC-SM-LC/PC-SC/APC</t>
        </is>
      </c>
      <c r="C640" s="2" t="inlineStr">
        <is>
          <t>908040936, 30M, B3, 2.0mm</t>
        </is>
      </c>
      <c r="D640" s="2" t="inlineStr">
        <is>
          <t>b3</t>
        </is>
      </c>
      <c r="E640" s="2" t="inlineStr">
        <is>
          <t>2.0mm</t>
        </is>
      </c>
      <c r="F640" s="2" t="n">
        <v>2</v>
      </c>
      <c r="G640" s="2" t="n">
        <v>30</v>
      </c>
      <c r="H640" s="2" t="inlineStr">
        <is>
          <t>LC/PC</t>
        </is>
      </c>
      <c r="I640" s="2" t="inlineStr">
        <is>
          <t>SC/APC</t>
        </is>
      </c>
      <c r="J640" s="2" t="n"/>
      <c r="K640" s="2" t="n"/>
      <c r="L640" s="2" t="n"/>
      <c r="M640" s="2" t="n"/>
      <c r="N640" s="2" t="n"/>
      <c r="O640" s="2" t="n"/>
      <c r="P640" s="2" t="n">
        <v>46</v>
      </c>
      <c r="Q640" s="2" t="n"/>
      <c r="R640" s="2" t="n">
        <v>2</v>
      </c>
      <c r="S640" s="2" t="n"/>
      <c r="T640" s="2" t="n"/>
      <c r="U640" s="2" t="n">
        <v>4</v>
      </c>
      <c r="V640" s="2">
        <f>SUM(J640:U640)</f>
        <v/>
      </c>
      <c r="W640" s="2" t="n">
        <v>104</v>
      </c>
      <c r="X640" s="2" t="n"/>
      <c r="Y640" s="2" t="n"/>
      <c r="Z640" s="2" t="n"/>
      <c r="AA640" s="2" t="n"/>
      <c r="AB640" s="2" t="n"/>
      <c r="AC640" s="2" t="n"/>
      <c r="AD640" s="2" t="n">
        <v>104</v>
      </c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>
        <f>IF(F640=1,V640*2,IF(F640=2,V640*F640*2,IF(F640&gt;2,F640*2*V640)))</f>
        <v/>
      </c>
      <c r="AW640" s="2">
        <f>SUM(W640:AU640)</f>
        <v/>
      </c>
    </row>
    <row r="641">
      <c r="A641" s="2" t="inlineStr">
        <is>
          <t>A14-DB-N273</t>
        </is>
      </c>
      <c r="B641" s="3" t="inlineStr">
        <is>
          <t>DOJC-SM-LC/PC-SC/APC</t>
        </is>
      </c>
      <c r="C641" s="2" t="inlineStr">
        <is>
          <t>35M, B3, 2.0mm</t>
        </is>
      </c>
      <c r="D641" s="2" t="inlineStr">
        <is>
          <t>b3</t>
        </is>
      </c>
      <c r="E641" s="2" t="inlineStr">
        <is>
          <t>2.0mm</t>
        </is>
      </c>
      <c r="F641" s="2" t="n">
        <v>2</v>
      </c>
      <c r="G641" s="2" t="n">
        <v>35</v>
      </c>
      <c r="H641" s="2" t="inlineStr">
        <is>
          <t>LC/PC</t>
        </is>
      </c>
      <c r="I641" s="2" t="inlineStr">
        <is>
          <t>SC/APC</t>
        </is>
      </c>
      <c r="J641" s="2" t="n"/>
      <c r="K641" s="2" t="n"/>
      <c r="L641" s="2" t="n"/>
      <c r="M641" s="2" t="n"/>
      <c r="N641" s="2" t="n"/>
      <c r="O641" s="2" t="n"/>
      <c r="P641" s="2" t="n">
        <v>2</v>
      </c>
      <c r="Q641" s="2" t="n"/>
      <c r="R641" s="2" t="n"/>
      <c r="S641" s="2" t="n"/>
      <c r="T641" s="2" t="n"/>
      <c r="U641" s="2" t="n"/>
      <c r="V641" s="2">
        <f>SUM(J641:U641)</f>
        <v/>
      </c>
      <c r="W641" s="2" t="n">
        <v>4</v>
      </c>
      <c r="X641" s="2" t="n"/>
      <c r="Y641" s="2" t="n"/>
      <c r="Z641" s="2" t="n"/>
      <c r="AA641" s="2" t="n"/>
      <c r="AB641" s="2" t="n"/>
      <c r="AC641" s="2" t="n"/>
      <c r="AD641" s="2" t="n">
        <v>4</v>
      </c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>
        <f>IF(F641=1,V641*2,IF(F641=2,V641*F641*2,IF(F641&gt;2,F641*2*V641)))</f>
        <v/>
      </c>
      <c r="AW641" s="2">
        <f>SUM(W641:AU641)</f>
        <v/>
      </c>
    </row>
    <row r="642">
      <c r="A642" s="2" t="inlineStr">
        <is>
          <t>A14-DB-N274</t>
        </is>
      </c>
      <c r="B642" s="3" t="inlineStr">
        <is>
          <t>DOJC-SM-LC/PC-SC/APC</t>
        </is>
      </c>
      <c r="C642" s="2" t="inlineStr">
        <is>
          <t>908040907, 3M, B3, 3.0mm</t>
        </is>
      </c>
      <c r="D642" s="2" t="inlineStr">
        <is>
          <t>b3</t>
        </is>
      </c>
      <c r="E642" s="2" t="inlineStr">
        <is>
          <t>3.0mm</t>
        </is>
      </c>
      <c r="F642" s="2" t="n">
        <v>2</v>
      </c>
      <c r="G642" s="2" t="n">
        <v>3</v>
      </c>
      <c r="H642" s="2" t="inlineStr">
        <is>
          <t>LC/PC</t>
        </is>
      </c>
      <c r="I642" s="2" t="inlineStr">
        <is>
          <t>SC/APC</t>
        </is>
      </c>
      <c r="J642" s="2" t="n">
        <v>50</v>
      </c>
      <c r="K642" s="2" t="n">
        <v>208</v>
      </c>
      <c r="L642" s="2" t="n">
        <v>27</v>
      </c>
      <c r="M642" s="2" t="n">
        <v>60</v>
      </c>
      <c r="N642" s="2" t="n">
        <v>20</v>
      </c>
      <c r="O642" s="2" t="n"/>
      <c r="P642" s="2" t="n"/>
      <c r="Q642" s="2" t="n">
        <v>10</v>
      </c>
      <c r="R642" s="2" t="n"/>
      <c r="S642" s="2" t="n">
        <v>214</v>
      </c>
      <c r="T642" s="2" t="n">
        <v>60</v>
      </c>
      <c r="U642" s="2" t="n"/>
      <c r="V642" s="2">
        <f>SUM(J642:U642)</f>
        <v/>
      </c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>
        <v>1298</v>
      </c>
      <c r="AK642" s="2" t="n"/>
      <c r="AL642" s="2" t="n"/>
      <c r="AM642" s="2" t="n"/>
      <c r="AN642" s="2" t="n"/>
      <c r="AO642" s="2" t="n"/>
      <c r="AP642" s="2" t="n"/>
      <c r="AQ642" s="2" t="n">
        <v>1298</v>
      </c>
      <c r="AR642" s="2" t="n"/>
      <c r="AS642" s="2" t="n"/>
      <c r="AT642" s="2" t="n"/>
      <c r="AU642" s="2" t="n"/>
      <c r="AV642" s="2">
        <f>IF(F642=1,V642*2,IF(F642=2,V642*F642*2,IF(F642&gt;2,F642*2*V642)))</f>
        <v/>
      </c>
      <c r="AW642" s="2">
        <f>SUM(W642:AU642)</f>
        <v/>
      </c>
    </row>
    <row r="643">
      <c r="A643" s="2" t="inlineStr">
        <is>
          <t>A14-DB-N277</t>
        </is>
      </c>
      <c r="B643" s="3" t="inlineStr">
        <is>
          <t>DOJC-SM-LC/PC-SC/APC</t>
        </is>
      </c>
      <c r="C643" s="2" t="inlineStr">
        <is>
          <t>908040911, 5M, B3, 3.0mm</t>
        </is>
      </c>
      <c r="D643" s="2" t="inlineStr">
        <is>
          <t>b3</t>
        </is>
      </c>
      <c r="E643" s="2" t="inlineStr">
        <is>
          <t>3.0mm</t>
        </is>
      </c>
      <c r="F643" s="2" t="n">
        <v>2</v>
      </c>
      <c r="G643" s="2" t="n">
        <v>5</v>
      </c>
      <c r="H643" s="2" t="inlineStr">
        <is>
          <t>LC/PC</t>
        </is>
      </c>
      <c r="I643" s="2" t="inlineStr">
        <is>
          <t>SC/APC</t>
        </is>
      </c>
      <c r="J643" s="2" t="n"/>
      <c r="K643" s="2" t="n"/>
      <c r="L643" s="2" t="n"/>
      <c r="M643" s="2" t="n"/>
      <c r="N643" s="2" t="n"/>
      <c r="O643" s="2" t="n">
        <v>20</v>
      </c>
      <c r="P643" s="2" t="n">
        <v>30</v>
      </c>
      <c r="Q643" s="2" t="n"/>
      <c r="R643" s="2" t="n">
        <v>20</v>
      </c>
      <c r="S643" s="2" t="n"/>
      <c r="T643" s="2" t="n"/>
      <c r="U643" s="2" t="n"/>
      <c r="V643" s="2">
        <f>SUM(J643:U643)</f>
        <v/>
      </c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>
        <v>140</v>
      </c>
      <c r="AK643" s="2" t="n"/>
      <c r="AL643" s="2" t="n"/>
      <c r="AM643" s="2" t="n"/>
      <c r="AN643" s="2" t="n"/>
      <c r="AO643" s="2" t="n"/>
      <c r="AP643" s="2" t="n"/>
      <c r="AQ643" s="2" t="n">
        <v>140</v>
      </c>
      <c r="AR643" s="2" t="n"/>
      <c r="AS643" s="2" t="n"/>
      <c r="AT643" s="2" t="n"/>
      <c r="AU643" s="2" t="n"/>
      <c r="AV643" s="2">
        <f>IF(F643=1,V643*2,IF(F643=2,V643*F643*2,IF(F643&gt;2,F643*2*V643)))</f>
        <v/>
      </c>
      <c r="AW643" s="2">
        <f>SUM(W643:AU643)</f>
        <v/>
      </c>
    </row>
    <row r="644">
      <c r="A644" s="2" t="inlineStr">
        <is>
          <t>A14-DB-N279</t>
        </is>
      </c>
      <c r="B644" s="3" t="inlineStr">
        <is>
          <t>DOJC-SM-LC/PC-SC/APC</t>
        </is>
      </c>
      <c r="C644" s="2" t="inlineStr">
        <is>
          <t>908040913, 7M, B3, 2.0mm</t>
        </is>
      </c>
      <c r="D644" s="2" t="inlineStr">
        <is>
          <t>b3</t>
        </is>
      </c>
      <c r="E644" s="2" t="inlineStr">
        <is>
          <t>2.0mm</t>
        </is>
      </c>
      <c r="F644" s="2" t="n">
        <v>2</v>
      </c>
      <c r="G644" s="2" t="n">
        <v>7</v>
      </c>
      <c r="H644" s="2" t="inlineStr">
        <is>
          <t>LC/PC</t>
        </is>
      </c>
      <c r="I644" s="2" t="inlineStr">
        <is>
          <t>SC/APC</t>
        </is>
      </c>
      <c r="J644" s="2" t="n"/>
      <c r="K644" s="2" t="n">
        <v>50</v>
      </c>
      <c r="L644" s="2" t="n">
        <v>30</v>
      </c>
      <c r="M644" s="2" t="n"/>
      <c r="N644" s="2" t="n"/>
      <c r="O644" s="2" t="n"/>
      <c r="P644" s="2" t="n">
        <v>30</v>
      </c>
      <c r="Q644" s="2" t="n"/>
      <c r="R644" s="2" t="n"/>
      <c r="S644" s="2" t="n"/>
      <c r="T644" s="2" t="n"/>
      <c r="U644" s="2" t="n"/>
      <c r="V644" s="2">
        <f>SUM(J644:U644)</f>
        <v/>
      </c>
      <c r="W644" s="2" t="n">
        <v>220</v>
      </c>
      <c r="X644" s="2" t="n"/>
      <c r="Y644" s="2" t="n"/>
      <c r="Z644" s="2" t="n"/>
      <c r="AA644" s="2" t="n"/>
      <c r="AB644" s="2" t="n"/>
      <c r="AC644" s="2" t="n"/>
      <c r="AD644" s="2" t="n">
        <v>220</v>
      </c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>
        <f>IF(F644=1,V644*2,IF(F644=2,V644*F644*2,IF(F644&gt;2,F644*2*V644)))</f>
        <v/>
      </c>
      <c r="AW644" s="2">
        <f>SUM(W644:AU644)</f>
        <v/>
      </c>
    </row>
    <row r="645">
      <c r="A645" s="2" t="inlineStr">
        <is>
          <t>A14-DB-N284</t>
        </is>
      </c>
      <c r="B645" s="3" t="inlineStr">
        <is>
          <t>DOJC-SM-LC/PC-SC/PC</t>
        </is>
      </c>
      <c r="C645" s="2" t="inlineStr">
        <is>
          <t>908040868, 10M, B3, 2.0mm</t>
        </is>
      </c>
      <c r="D645" s="2" t="inlineStr">
        <is>
          <t>b3</t>
        </is>
      </c>
      <c r="E645" s="2" t="inlineStr">
        <is>
          <t>2.0mm</t>
        </is>
      </c>
      <c r="F645" s="2" t="n">
        <v>2</v>
      </c>
      <c r="G645" s="2" t="n">
        <v>10</v>
      </c>
      <c r="H645" s="2" t="inlineStr">
        <is>
          <t>LC/PC</t>
        </is>
      </c>
      <c r="I645" s="2" t="inlineStr">
        <is>
          <t>SC/PC</t>
        </is>
      </c>
      <c r="J645" s="2" t="n">
        <v>300</v>
      </c>
      <c r="K645" s="2" t="n"/>
      <c r="L645" s="2" t="n"/>
      <c r="M645" s="2" t="n">
        <v>61</v>
      </c>
      <c r="N645" s="2" t="n">
        <v>40</v>
      </c>
      <c r="O645" s="2" t="n">
        <v>11</v>
      </c>
      <c r="P645" s="2" t="n"/>
      <c r="Q645" s="2" t="n"/>
      <c r="R645" s="2" t="n"/>
      <c r="S645" s="2" t="n"/>
      <c r="T645" s="2" t="n">
        <v>121</v>
      </c>
      <c r="U645" s="2" t="n"/>
      <c r="V645" s="2">
        <f>SUM(J645:U645)</f>
        <v/>
      </c>
      <c r="W645" s="2" t="n">
        <v>1066</v>
      </c>
      <c r="X645" s="2" t="n"/>
      <c r="Y645" s="2" t="n"/>
      <c r="Z645" s="2" t="n"/>
      <c r="AA645" s="2" t="n"/>
      <c r="AB645" s="2" t="n">
        <v>1066</v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>
        <f>IF(F645=1,V645*2,IF(F645=2,V645*F645*2,IF(F645&gt;2,F645*2*V645)))</f>
        <v/>
      </c>
      <c r="AW645" s="2">
        <f>SUM(W645:AU645)</f>
        <v/>
      </c>
    </row>
    <row r="646">
      <c r="A646" s="2" t="inlineStr">
        <is>
          <t>A14-DB-N286</t>
        </is>
      </c>
      <c r="B646" s="3" t="inlineStr">
        <is>
          <t>DOJC-SM-LC/PC-SC/PC</t>
        </is>
      </c>
      <c r="C646" s="2" t="inlineStr">
        <is>
          <t>908040870, 12M, B3, 2.0mm</t>
        </is>
      </c>
      <c r="D646" s="2" t="inlineStr">
        <is>
          <t>b3</t>
        </is>
      </c>
      <c r="E646" s="2" t="inlineStr">
        <is>
          <t>2.0mm</t>
        </is>
      </c>
      <c r="F646" s="2" t="n">
        <v>2</v>
      </c>
      <c r="G646" s="2" t="n">
        <v>12</v>
      </c>
      <c r="H646" s="2" t="inlineStr">
        <is>
          <t>LC/PC</t>
        </is>
      </c>
      <c r="I646" s="2" t="inlineStr">
        <is>
          <t>SC/PC</t>
        </is>
      </c>
      <c r="J646" s="2" t="n">
        <v>20</v>
      </c>
      <c r="K646" s="2" t="n"/>
      <c r="L646" s="2" t="n"/>
      <c r="M646" s="2" t="n"/>
      <c r="N646" s="2" t="n"/>
      <c r="O646" s="2" t="n"/>
      <c r="P646" s="2" t="n"/>
      <c r="Q646" s="2" t="n"/>
      <c r="R646" s="2" t="n">
        <v>40</v>
      </c>
      <c r="S646" s="2" t="n"/>
      <c r="T646" s="2" t="n">
        <v>80</v>
      </c>
      <c r="U646" s="2" t="n"/>
      <c r="V646" s="2">
        <f>SUM(J646:U646)</f>
        <v/>
      </c>
      <c r="W646" s="2" t="n">
        <v>280</v>
      </c>
      <c r="X646" s="2" t="n"/>
      <c r="Y646" s="2" t="n"/>
      <c r="Z646" s="2" t="n"/>
      <c r="AA646" s="2" t="n"/>
      <c r="AB646" s="2" t="n">
        <v>280</v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>
        <f>IF(F646=1,V646*2,IF(F646=2,V646*F646*2,IF(F646&gt;2,F646*2*V646)))</f>
        <v/>
      </c>
      <c r="AW646" s="2">
        <f>SUM(W646:AU646)</f>
        <v/>
      </c>
    </row>
    <row r="647">
      <c r="A647" s="2" t="inlineStr">
        <is>
          <t>A14-DB-N289</t>
        </is>
      </c>
      <c r="B647" s="3" t="inlineStr">
        <is>
          <t>DOJC-SM-LC/PC-SC/PC</t>
        </is>
      </c>
      <c r="C647" s="2" t="inlineStr">
        <is>
          <t>908040873, 15M, B3, 2.0mm</t>
        </is>
      </c>
      <c r="D647" s="2" t="inlineStr">
        <is>
          <t>b3</t>
        </is>
      </c>
      <c r="E647" s="2" t="inlineStr">
        <is>
          <t>2.0mm</t>
        </is>
      </c>
      <c r="F647" s="2" t="n">
        <v>2</v>
      </c>
      <c r="G647" s="2" t="n">
        <v>15</v>
      </c>
      <c r="H647" s="2" t="inlineStr">
        <is>
          <t>LC/PC</t>
        </is>
      </c>
      <c r="I647" s="2" t="inlineStr">
        <is>
          <t>SC/PC</t>
        </is>
      </c>
      <c r="J647" s="2" t="n"/>
      <c r="K647" s="2" t="n">
        <v>110</v>
      </c>
      <c r="L647" s="2" t="n">
        <v>140</v>
      </c>
      <c r="M647" s="2" t="n">
        <v>308</v>
      </c>
      <c r="N647" s="2" t="n"/>
      <c r="O647" s="2" t="n"/>
      <c r="P647" s="2" t="n"/>
      <c r="Q647" s="2" t="n"/>
      <c r="R647" s="2" t="n"/>
      <c r="S647" s="2" t="n">
        <v>48</v>
      </c>
      <c r="T647" s="2" t="n">
        <v>119</v>
      </c>
      <c r="U647" s="2" t="n"/>
      <c r="V647" s="2">
        <f>SUM(J647:U647)</f>
        <v/>
      </c>
      <c r="W647" s="2" t="n">
        <v>1450</v>
      </c>
      <c r="X647" s="2" t="n"/>
      <c r="Y647" s="2" t="n"/>
      <c r="Z647" s="2" t="n"/>
      <c r="AA647" s="2" t="n"/>
      <c r="AB647" s="2" t="n">
        <v>1450</v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>
        <f>IF(F647=1,V647*2,IF(F647=2,V647*F647*2,IF(F647&gt;2,F647*2*V647)))</f>
        <v/>
      </c>
      <c r="AW647" s="2">
        <f>SUM(W647:AU647)</f>
        <v/>
      </c>
    </row>
    <row r="648">
      <c r="A648" s="2" t="inlineStr">
        <is>
          <t>A14-DB-N292</t>
        </is>
      </c>
      <c r="B648" s="3" t="inlineStr">
        <is>
          <t>DOJC-SM-LC/PC-SC/PC</t>
        </is>
      </c>
      <c r="C648" s="2" t="inlineStr">
        <is>
          <t>18M, B3, 2.0mm</t>
        </is>
      </c>
      <c r="D648" s="2" t="inlineStr">
        <is>
          <t>b3</t>
        </is>
      </c>
      <c r="E648" s="2" t="inlineStr">
        <is>
          <t>2.0mm</t>
        </is>
      </c>
      <c r="F648" s="2" t="n">
        <v>2</v>
      </c>
      <c r="G648" s="2" t="n">
        <v>18</v>
      </c>
      <c r="H648" s="2" t="inlineStr">
        <is>
          <t>LC/PC</t>
        </is>
      </c>
      <c r="I648" s="2" t="inlineStr">
        <is>
          <t>SC/PC</t>
        </is>
      </c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>
        <v>20</v>
      </c>
      <c r="S648" s="2" t="n"/>
      <c r="T648" s="2" t="n"/>
      <c r="U648" s="2" t="n"/>
      <c r="V648" s="2">
        <f>SUM(J648:U648)</f>
        <v/>
      </c>
      <c r="W648" s="2" t="n">
        <v>40</v>
      </c>
      <c r="X648" s="2" t="n"/>
      <c r="Y648" s="2" t="n"/>
      <c r="Z648" s="2" t="n"/>
      <c r="AA648" s="2" t="n"/>
      <c r="AB648" s="2" t="n">
        <v>40</v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>
        <f>IF(F648=1,V648*2,IF(F648=2,V648*F648*2,IF(F648&gt;2,F648*2*V648)))</f>
        <v/>
      </c>
      <c r="AW648" s="2">
        <f>SUM(W648:AU648)</f>
        <v/>
      </c>
    </row>
    <row r="649">
      <c r="A649" s="2" t="inlineStr">
        <is>
          <t>A14-DB-N295</t>
        </is>
      </c>
      <c r="B649" s="3" t="inlineStr">
        <is>
          <t>DOJC-SM-LC/PC-SC/PC</t>
        </is>
      </c>
      <c r="C649" s="2" t="inlineStr">
        <is>
          <t>908040878, 20M, B3, 2.0mm</t>
        </is>
      </c>
      <c r="D649" s="2" t="inlineStr">
        <is>
          <t>b3</t>
        </is>
      </c>
      <c r="E649" s="2" t="inlineStr">
        <is>
          <t>2.0mm</t>
        </is>
      </c>
      <c r="F649" s="2" t="n">
        <v>2</v>
      </c>
      <c r="G649" s="2" t="n">
        <v>20</v>
      </c>
      <c r="H649" s="2" t="inlineStr">
        <is>
          <t>LC/PC</t>
        </is>
      </c>
      <c r="I649" s="2" t="inlineStr">
        <is>
          <t>SC/PC</t>
        </is>
      </c>
      <c r="J649" s="2" t="n"/>
      <c r="K649" s="2" t="n"/>
      <c r="L649" s="2" t="n"/>
      <c r="M649" s="2" t="n"/>
      <c r="N649" s="2" t="n">
        <v>59</v>
      </c>
      <c r="O649" s="2" t="n"/>
      <c r="P649" s="2" t="n"/>
      <c r="Q649" s="2" t="n"/>
      <c r="R649" s="2" t="n"/>
      <c r="S649" s="2" t="n">
        <v>48</v>
      </c>
      <c r="T649" s="2" t="n">
        <v>50</v>
      </c>
      <c r="U649" s="2" t="n"/>
      <c r="V649" s="2">
        <f>SUM(J649:U649)</f>
        <v/>
      </c>
      <c r="W649" s="2" t="n">
        <v>314</v>
      </c>
      <c r="X649" s="2" t="n"/>
      <c r="Y649" s="2" t="n"/>
      <c r="Z649" s="2" t="n"/>
      <c r="AA649" s="2" t="n"/>
      <c r="AB649" s="2" t="n">
        <v>314</v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>
        <f>IF(F649=1,V649*2,IF(F649=2,V649*F649*2,IF(F649&gt;2,F649*2*V649)))</f>
        <v/>
      </c>
      <c r="AW649" s="2">
        <f>SUM(W649:AU649)</f>
        <v/>
      </c>
    </row>
    <row r="650">
      <c r="A650" s="2" t="inlineStr">
        <is>
          <t>A14-DB-N300</t>
        </is>
      </c>
      <c r="B650" s="3" t="inlineStr">
        <is>
          <t>DOJC-SM-LC/PC-SC/PC</t>
        </is>
      </c>
      <c r="C650" s="2" t="inlineStr">
        <is>
          <t>908040883, 25M, B3, 2.0mm</t>
        </is>
      </c>
      <c r="D650" s="2" t="inlineStr">
        <is>
          <t>b3</t>
        </is>
      </c>
      <c r="E650" s="2" t="inlineStr">
        <is>
          <t>2.0mm</t>
        </is>
      </c>
      <c r="F650" s="2" t="n">
        <v>2</v>
      </c>
      <c r="G650" s="2" t="n">
        <v>25</v>
      </c>
      <c r="H650" s="2" t="inlineStr">
        <is>
          <t>LC/PC</t>
        </is>
      </c>
      <c r="I650" s="2" t="inlineStr">
        <is>
          <t>SC/PC</t>
        </is>
      </c>
      <c r="J650" s="2" t="n"/>
      <c r="K650" s="2" t="n"/>
      <c r="L650" s="2" t="n"/>
      <c r="M650" s="2" t="n"/>
      <c r="N650" s="2" t="n"/>
      <c r="O650" s="2" t="n">
        <v>24</v>
      </c>
      <c r="P650" s="2" t="n">
        <v>75</v>
      </c>
      <c r="Q650" s="2" t="n"/>
      <c r="R650" s="2" t="n"/>
      <c r="S650" s="2" t="n">
        <v>51</v>
      </c>
      <c r="T650" s="2" t="n">
        <v>30</v>
      </c>
      <c r="U650" s="2" t="n">
        <v>16</v>
      </c>
      <c r="V650" s="2">
        <f>SUM(J650:U650)</f>
        <v/>
      </c>
      <c r="W650" s="2" t="n">
        <v>392</v>
      </c>
      <c r="X650" s="2" t="n"/>
      <c r="Y650" s="2" t="n"/>
      <c r="Z650" s="2" t="n"/>
      <c r="AA650" s="2" t="n"/>
      <c r="AB650" s="2" t="n">
        <v>392</v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>
        <f>IF(F650=1,V650*2,IF(F650=2,V650*F650*2,IF(F650&gt;2,F650*2*V650)))</f>
        <v/>
      </c>
      <c r="AW650" s="2">
        <f>SUM(W650:AU650)</f>
        <v/>
      </c>
    </row>
    <row r="651">
      <c r="A651" s="2" t="inlineStr">
        <is>
          <t>A14-DB-N303</t>
        </is>
      </c>
      <c r="B651" s="3" t="inlineStr">
        <is>
          <t>DOJC-SM-LC/PC-SC/PC</t>
        </is>
      </c>
      <c r="C651" s="2" t="inlineStr">
        <is>
          <t>908040861, 2M, B3, 3.0mm</t>
        </is>
      </c>
      <c r="D651" s="2" t="inlineStr">
        <is>
          <t>b3</t>
        </is>
      </c>
      <c r="E651" s="2" t="inlineStr">
        <is>
          <t>3.0mm</t>
        </is>
      </c>
      <c r="F651" s="2" t="n">
        <v>2</v>
      </c>
      <c r="G651" s="2" t="n">
        <v>2</v>
      </c>
      <c r="H651" s="2" t="inlineStr">
        <is>
          <t>LC/PC</t>
        </is>
      </c>
      <c r="I651" s="2" t="inlineStr">
        <is>
          <t>SC/PC</t>
        </is>
      </c>
      <c r="J651" s="2" t="n"/>
      <c r="K651" s="2" t="n"/>
      <c r="L651" s="2" t="n"/>
      <c r="M651" s="2" t="n"/>
      <c r="N651" s="2" t="n"/>
      <c r="O651" s="2" t="n">
        <v>18</v>
      </c>
      <c r="P651" s="2" t="n">
        <v>53</v>
      </c>
      <c r="Q651" s="2" t="n"/>
      <c r="R651" s="2" t="n"/>
      <c r="S651" s="2" t="n"/>
      <c r="T651" s="2" t="n"/>
      <c r="U651" s="2" t="n"/>
      <c r="V651" s="2">
        <f>SUM(J651:U651)</f>
        <v/>
      </c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>
        <v>142</v>
      </c>
      <c r="AK651" s="2" t="n"/>
      <c r="AL651" s="2" t="n"/>
      <c r="AM651" s="2" t="n"/>
      <c r="AN651" s="2" t="n"/>
      <c r="AO651" s="2" t="n">
        <v>142</v>
      </c>
      <c r="AP651" s="2" t="n"/>
      <c r="AQ651" s="2" t="n"/>
      <c r="AR651" s="2" t="n"/>
      <c r="AS651" s="2" t="n"/>
      <c r="AT651" s="2" t="n"/>
      <c r="AU651" s="2" t="n"/>
      <c r="AV651" s="2">
        <f>IF(F651=1,V651*2,IF(F651=2,V651*F651*2,IF(F651&gt;2,F651*2*V651)))</f>
        <v/>
      </c>
      <c r="AW651" s="2">
        <f>SUM(W651:AU651)</f>
        <v/>
      </c>
    </row>
    <row r="652">
      <c r="A652" s="2" t="inlineStr">
        <is>
          <t>A14-DB-N304</t>
        </is>
      </c>
      <c r="B652" s="3" t="inlineStr">
        <is>
          <t>DOJC-SM-LC/PC-SC/PC</t>
        </is>
      </c>
      <c r="C652" s="2" t="inlineStr">
        <is>
          <t>908040888, 30M, B3, 2.0mm</t>
        </is>
      </c>
      <c r="D652" s="2" t="inlineStr">
        <is>
          <t>b3</t>
        </is>
      </c>
      <c r="E652" s="2" t="inlineStr">
        <is>
          <t>2.0mm</t>
        </is>
      </c>
      <c r="F652" s="2" t="n">
        <v>2</v>
      </c>
      <c r="G652" s="2" t="n">
        <v>30</v>
      </c>
      <c r="H652" s="2" t="inlineStr">
        <is>
          <t>LC/PC</t>
        </is>
      </c>
      <c r="I652" s="2" t="inlineStr">
        <is>
          <t>SC/PC</t>
        </is>
      </c>
      <c r="J652" s="2" t="n">
        <v>15</v>
      </c>
      <c r="K652" s="2" t="n">
        <v>20</v>
      </c>
      <c r="L652" s="2" t="n">
        <v>70</v>
      </c>
      <c r="M652" s="2" t="n"/>
      <c r="N652" s="2" t="n"/>
      <c r="O652" s="2" t="n">
        <v>30</v>
      </c>
      <c r="P652" s="2" t="n">
        <v>15</v>
      </c>
      <c r="Q652" s="2" t="n">
        <v>4</v>
      </c>
      <c r="R652" s="2" t="n">
        <v>77</v>
      </c>
      <c r="S652" s="2" t="n">
        <v>10</v>
      </c>
      <c r="T652" s="2" t="n">
        <v>10</v>
      </c>
      <c r="U652" s="2" t="n">
        <v>6</v>
      </c>
      <c r="V652" s="2">
        <f>SUM(J652:U652)</f>
        <v/>
      </c>
      <c r="W652" s="2" t="n">
        <v>514</v>
      </c>
      <c r="X652" s="2" t="n"/>
      <c r="Y652" s="2" t="n"/>
      <c r="Z652" s="2" t="n"/>
      <c r="AA652" s="2" t="n"/>
      <c r="AB652" s="2" t="n">
        <v>514</v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>
        <f>IF(F652=1,V652*2,IF(F652=2,V652*F652*2,IF(F652&gt;2,F652*2*V652)))</f>
        <v/>
      </c>
      <c r="AW652" s="2">
        <f>SUM(W652:AU652)</f>
        <v/>
      </c>
    </row>
    <row r="653">
      <c r="A653" s="2" t="inlineStr">
        <is>
          <t>A14-DB-N307</t>
        </is>
      </c>
      <c r="B653" s="3" t="inlineStr">
        <is>
          <t>DOJC-SM-LC/PC-SC/PC</t>
        </is>
      </c>
      <c r="C653" s="2" t="inlineStr">
        <is>
          <t>908040859, 3M, B3, 3.0mm</t>
        </is>
      </c>
      <c r="D653" s="2" t="inlineStr">
        <is>
          <t>b3</t>
        </is>
      </c>
      <c r="E653" s="2" t="inlineStr">
        <is>
          <t>3.0mm</t>
        </is>
      </c>
      <c r="F653" s="2" t="n">
        <v>2</v>
      </c>
      <c r="G653" s="2" t="n">
        <v>3</v>
      </c>
      <c r="H653" s="2" t="inlineStr">
        <is>
          <t>LC/PC</t>
        </is>
      </c>
      <c r="I653" s="2" t="inlineStr">
        <is>
          <t>SC/PC</t>
        </is>
      </c>
      <c r="J653" s="2" t="n"/>
      <c r="K653" s="2" t="n">
        <v>50</v>
      </c>
      <c r="L653" s="2" t="n">
        <v>18</v>
      </c>
      <c r="M653" s="2" t="n"/>
      <c r="N653" s="2" t="n">
        <v>50</v>
      </c>
      <c r="O653" s="2" t="n"/>
      <c r="P653" s="2" t="n">
        <v>175</v>
      </c>
      <c r="Q653" s="2" t="n">
        <v>60</v>
      </c>
      <c r="R653" s="2" t="n">
        <v>9</v>
      </c>
      <c r="S653" s="2" t="n"/>
      <c r="T653" s="2" t="n"/>
      <c r="U653" s="2" t="n"/>
      <c r="V653" s="2">
        <f>SUM(J653:U653)</f>
        <v/>
      </c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>
        <v>724</v>
      </c>
      <c r="AK653" s="2" t="n"/>
      <c r="AL653" s="2" t="n"/>
      <c r="AM653" s="2" t="n"/>
      <c r="AN653" s="2" t="n"/>
      <c r="AO653" s="2" t="n">
        <v>724</v>
      </c>
      <c r="AP653" s="2" t="n"/>
      <c r="AQ653" s="2" t="n"/>
      <c r="AR653" s="2" t="n"/>
      <c r="AS653" s="2" t="n"/>
      <c r="AT653" s="2" t="n"/>
      <c r="AU653" s="2" t="n"/>
      <c r="AV653" s="2">
        <f>IF(F653=1,V653*2,IF(F653=2,V653*F653*2,IF(F653&gt;2,F653*2*V653)))</f>
        <v/>
      </c>
      <c r="AW653" s="2">
        <f>SUM(W653:AU653)</f>
        <v/>
      </c>
    </row>
    <row r="654">
      <c r="A654" s="2" t="inlineStr">
        <is>
          <t>A14-DB-N308</t>
        </is>
      </c>
      <c r="B654" s="3" t="inlineStr">
        <is>
          <t>DOJC-SM-LC/PC-SC/PC</t>
        </is>
      </c>
      <c r="C654" s="2" t="inlineStr">
        <is>
          <t>920000729, 40M, B3, 2.0mm</t>
        </is>
      </c>
      <c r="D654" s="2" t="inlineStr">
        <is>
          <t>b3</t>
        </is>
      </c>
      <c r="E654" s="2" t="inlineStr">
        <is>
          <t>2.0mm</t>
        </is>
      </c>
      <c r="F654" s="2" t="n">
        <v>2</v>
      </c>
      <c r="G654" s="2" t="n">
        <v>40</v>
      </c>
      <c r="H654" s="2" t="inlineStr">
        <is>
          <t>LC/PC</t>
        </is>
      </c>
      <c r="I654" s="2" t="inlineStr">
        <is>
          <t>SC/PC</t>
        </is>
      </c>
      <c r="J654" s="2" t="n">
        <v>10</v>
      </c>
      <c r="K654" s="2" t="n"/>
      <c r="L654" s="2" t="n"/>
      <c r="M654" s="2" t="n">
        <v>10</v>
      </c>
      <c r="N654" s="2" t="n"/>
      <c r="O654" s="2" t="n">
        <v>12</v>
      </c>
      <c r="P654" s="2" t="n"/>
      <c r="Q654" s="2" t="n">
        <v>10</v>
      </c>
      <c r="R654" s="2" t="n"/>
      <c r="S654" s="2" t="n"/>
      <c r="T654" s="2" t="n">
        <v>14</v>
      </c>
      <c r="U654" s="2" t="n"/>
      <c r="V654" s="2">
        <f>SUM(J654:U654)</f>
        <v/>
      </c>
      <c r="W654" s="2" t="n">
        <v>112</v>
      </c>
      <c r="X654" s="2" t="n"/>
      <c r="Y654" s="2" t="n"/>
      <c r="Z654" s="2" t="n"/>
      <c r="AA654" s="2" t="n"/>
      <c r="AB654" s="2" t="n">
        <v>112</v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>
        <f>IF(F654=1,V654*2,IF(F654=2,V654*F654*2,IF(F654&gt;2,F654*2*V654)))</f>
        <v/>
      </c>
      <c r="AW654" s="2">
        <f>SUM(W654:AU654)</f>
        <v/>
      </c>
    </row>
    <row r="655">
      <c r="A655" s="2" t="inlineStr">
        <is>
          <t>A14-DB-N310</t>
        </is>
      </c>
      <c r="B655" s="3" t="inlineStr">
        <is>
          <t>DOJC-SM-LC/PC-SC/PC</t>
        </is>
      </c>
      <c r="C655" s="2" t="inlineStr">
        <is>
          <t>908040862, 4M, B3, 3.0mm</t>
        </is>
      </c>
      <c r="D655" s="2" t="inlineStr">
        <is>
          <t>b3</t>
        </is>
      </c>
      <c r="E655" s="2" t="inlineStr">
        <is>
          <t>3.0mm</t>
        </is>
      </c>
      <c r="F655" s="2" t="n">
        <v>2</v>
      </c>
      <c r="G655" s="2" t="n">
        <v>4</v>
      </c>
      <c r="H655" s="2" t="inlineStr">
        <is>
          <t>LC/PC</t>
        </is>
      </c>
      <c r="I655" s="2" t="inlineStr">
        <is>
          <t>SC/PC</t>
        </is>
      </c>
      <c r="J655" s="2" t="n"/>
      <c r="K655" s="2" t="n"/>
      <c r="L655" s="2" t="n"/>
      <c r="M655" s="2" t="n">
        <v>20</v>
      </c>
      <c r="N655" s="2" t="n">
        <v>10</v>
      </c>
      <c r="O655" s="2" t="n">
        <v>40</v>
      </c>
      <c r="P655" s="2" t="n"/>
      <c r="Q655" s="2" t="n"/>
      <c r="R655" s="2" t="n">
        <v>40</v>
      </c>
      <c r="S655" s="2" t="n"/>
      <c r="T655" s="2" t="n"/>
      <c r="U655" s="2" t="n">
        <v>20</v>
      </c>
      <c r="V655" s="2">
        <f>SUM(J655:U655)</f>
        <v/>
      </c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>
        <v>260</v>
      </c>
      <c r="AK655" s="2" t="n"/>
      <c r="AL655" s="2" t="n"/>
      <c r="AM655" s="2" t="n"/>
      <c r="AN655" s="2" t="n"/>
      <c r="AO655" s="2" t="n">
        <v>260</v>
      </c>
      <c r="AP655" s="2" t="n"/>
      <c r="AQ655" s="2" t="n"/>
      <c r="AR655" s="2" t="n"/>
      <c r="AS655" s="2" t="n"/>
      <c r="AT655" s="2" t="n"/>
      <c r="AU655" s="2" t="n"/>
      <c r="AV655" s="2">
        <f>IF(F655=1,V655*2,IF(F655=2,V655*F655*2,IF(F655&gt;2,F655*2*V655)))</f>
        <v/>
      </c>
      <c r="AW655" s="2">
        <f>SUM(W655:AU655)</f>
        <v/>
      </c>
    </row>
    <row r="656">
      <c r="A656" s="2" t="inlineStr">
        <is>
          <t>A14-DB-N313</t>
        </is>
      </c>
      <c r="B656" s="3" t="inlineStr">
        <is>
          <t>DOJC-SM-LC/PC-SC/PC</t>
        </is>
      </c>
      <c r="C656" s="2" t="inlineStr">
        <is>
          <t>908040863, 5M, B3, 3.0mm</t>
        </is>
      </c>
      <c r="D656" s="2" t="inlineStr">
        <is>
          <t>b3</t>
        </is>
      </c>
      <c r="E656" s="2" t="inlineStr">
        <is>
          <t>3.0mm</t>
        </is>
      </c>
      <c r="F656" s="2" t="n">
        <v>2</v>
      </c>
      <c r="G656" s="2" t="n">
        <v>5</v>
      </c>
      <c r="H656" s="2" t="inlineStr">
        <is>
          <t>LC/PC</t>
        </is>
      </c>
      <c r="I656" s="2" t="inlineStr">
        <is>
          <t>SC/PC</t>
        </is>
      </c>
      <c r="J656" s="2" t="n"/>
      <c r="K656" s="2" t="n"/>
      <c r="L656" s="2" t="n">
        <v>5</v>
      </c>
      <c r="M656" s="2" t="n"/>
      <c r="N656" s="2" t="n"/>
      <c r="O656" s="2" t="n"/>
      <c r="P656" s="2" t="n">
        <v>25</v>
      </c>
      <c r="Q656" s="2" t="n">
        <v>31</v>
      </c>
      <c r="R656" s="2" t="n">
        <v>20</v>
      </c>
      <c r="S656" s="2" t="n"/>
      <c r="T656" s="2" t="n"/>
      <c r="U656" s="2" t="n"/>
      <c r="V656" s="2">
        <f>SUM(J656:U656)</f>
        <v/>
      </c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>
        <v>162</v>
      </c>
      <c r="AK656" s="2" t="n"/>
      <c r="AL656" s="2" t="n"/>
      <c r="AM656" s="2" t="n"/>
      <c r="AN656" s="2" t="n"/>
      <c r="AO656" s="2" t="n">
        <v>162</v>
      </c>
      <c r="AP656" s="2" t="n"/>
      <c r="AQ656" s="2" t="n"/>
      <c r="AR656" s="2" t="n"/>
      <c r="AS656" s="2" t="n"/>
      <c r="AT656" s="2" t="n"/>
      <c r="AU656" s="2" t="n"/>
      <c r="AV656" s="2">
        <f>IF(F656=1,V656*2,IF(F656=2,V656*F656*2,IF(F656&gt;2,F656*2*V656)))</f>
        <v/>
      </c>
      <c r="AW656" s="2">
        <f>SUM(W656:AU656)</f>
        <v/>
      </c>
    </row>
    <row r="657">
      <c r="A657" s="2" t="inlineStr">
        <is>
          <t>A14-DB-N316</t>
        </is>
      </c>
      <c r="B657" s="3" t="inlineStr">
        <is>
          <t>DOJC-SM-LC/PC-SC/PC</t>
        </is>
      </c>
      <c r="C657" s="2" t="inlineStr">
        <is>
          <t>908040864, 6M, B3, 2.0mm</t>
        </is>
      </c>
      <c r="D657" s="2" t="inlineStr">
        <is>
          <t>b3</t>
        </is>
      </c>
      <c r="E657" s="2" t="inlineStr">
        <is>
          <t>2.0mm</t>
        </is>
      </c>
      <c r="F657" s="2" t="n">
        <v>2</v>
      </c>
      <c r="G657" s="2" t="n">
        <v>6</v>
      </c>
      <c r="H657" s="2" t="inlineStr">
        <is>
          <t>LC/PC</t>
        </is>
      </c>
      <c r="I657" s="2" t="inlineStr">
        <is>
          <t>SC/PC</t>
        </is>
      </c>
      <c r="J657" s="2" t="n">
        <v>10</v>
      </c>
      <c r="K657" s="2" t="n"/>
      <c r="L657" s="2" t="n"/>
      <c r="M657" s="2" t="n"/>
      <c r="N657" s="2" t="n"/>
      <c r="O657" s="2" t="n"/>
      <c r="P657" s="2" t="n">
        <v>40</v>
      </c>
      <c r="Q657" s="2" t="n"/>
      <c r="R657" s="2" t="n"/>
      <c r="S657" s="2" t="n"/>
      <c r="T657" s="2" t="n"/>
      <c r="U657" s="2" t="n"/>
      <c r="V657" s="2">
        <f>SUM(J657:U657)</f>
        <v/>
      </c>
      <c r="W657" s="2" t="n">
        <v>100</v>
      </c>
      <c r="X657" s="2" t="n"/>
      <c r="Y657" s="2" t="n"/>
      <c r="Z657" s="2" t="n"/>
      <c r="AA657" s="2" t="n"/>
      <c r="AB657" s="2" t="n">
        <v>100</v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>
        <f>IF(F657=1,V657*2,IF(F657=2,V657*F657*2,IF(F657&gt;2,F657*2*V657)))</f>
        <v/>
      </c>
      <c r="AW657" s="2">
        <f>SUM(W657:AU657)</f>
        <v/>
      </c>
    </row>
    <row r="658">
      <c r="A658" s="2" t="inlineStr">
        <is>
          <t>A14-DB-N318</t>
        </is>
      </c>
      <c r="B658" s="3" t="inlineStr">
        <is>
          <t>DOJC-SM-LC/PC-SC/PC</t>
        </is>
      </c>
      <c r="C658" s="2" t="inlineStr">
        <is>
          <t>908040865, 7M, B3, 2.0mm</t>
        </is>
      </c>
      <c r="D658" s="2" t="inlineStr">
        <is>
          <t>b3</t>
        </is>
      </c>
      <c r="E658" s="2" t="inlineStr">
        <is>
          <t>2.0mm</t>
        </is>
      </c>
      <c r="F658" s="2" t="n">
        <v>2</v>
      </c>
      <c r="G658" s="2" t="n">
        <v>7</v>
      </c>
      <c r="H658" s="2" t="inlineStr">
        <is>
          <t>LC/PC</t>
        </is>
      </c>
      <c r="I658" s="2" t="inlineStr">
        <is>
          <t>SC/PC</t>
        </is>
      </c>
      <c r="J658" s="2" t="n">
        <v>200</v>
      </c>
      <c r="K658" s="2" t="n"/>
      <c r="L658" s="2" t="n"/>
      <c r="M658" s="2" t="n"/>
      <c r="N658" s="2" t="n">
        <v>15</v>
      </c>
      <c r="O658" s="2" t="n"/>
      <c r="P658" s="2" t="n">
        <v>30</v>
      </c>
      <c r="Q658" s="2" t="n">
        <v>35</v>
      </c>
      <c r="R658" s="2" t="n">
        <v>10</v>
      </c>
      <c r="S658" s="2" t="n"/>
      <c r="T658" s="2" t="n">
        <v>60</v>
      </c>
      <c r="U658" s="2" t="n"/>
      <c r="V658" s="2">
        <f>SUM(J658:U658)</f>
        <v/>
      </c>
      <c r="W658" s="2" t="n">
        <v>700</v>
      </c>
      <c r="X658" s="2" t="n"/>
      <c r="Y658" s="2" t="n"/>
      <c r="Z658" s="2" t="n"/>
      <c r="AA658" s="2" t="n"/>
      <c r="AB658" s="2" t="n">
        <v>700</v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>
        <f>IF(F658=1,V658*2,IF(F658=2,V658*F658*2,IF(F658&gt;2,F658*2*V658)))</f>
        <v/>
      </c>
      <c r="AW658" s="2">
        <f>SUM(W658:AU658)</f>
        <v/>
      </c>
    </row>
    <row r="659">
      <c r="A659" s="2" t="inlineStr">
        <is>
          <t>A14-DB-N320</t>
        </is>
      </c>
      <c r="B659" s="3" t="inlineStr">
        <is>
          <t>DOJC-SM-LC/PC-SC/PC</t>
        </is>
      </c>
      <c r="C659" s="2" t="inlineStr">
        <is>
          <t>908040866, 8M, B3, 2.0mm</t>
        </is>
      </c>
      <c r="D659" s="2" t="inlineStr">
        <is>
          <t>b3</t>
        </is>
      </c>
      <c r="E659" s="2" t="inlineStr">
        <is>
          <t>2.0mm</t>
        </is>
      </c>
      <c r="F659" s="2" t="n">
        <v>2</v>
      </c>
      <c r="G659" s="2" t="n">
        <v>8</v>
      </c>
      <c r="H659" s="2" t="inlineStr">
        <is>
          <t>LC/PC</t>
        </is>
      </c>
      <c r="I659" s="2" t="inlineStr">
        <is>
          <t>SC/PC</t>
        </is>
      </c>
      <c r="J659" s="2" t="n">
        <v>10</v>
      </c>
      <c r="K659" s="2" t="n">
        <v>124</v>
      </c>
      <c r="L659" s="2" t="n">
        <v>160</v>
      </c>
      <c r="M659" s="2" t="n"/>
      <c r="N659" s="2" t="n">
        <v>20</v>
      </c>
      <c r="O659" s="2" t="n"/>
      <c r="P659" s="2" t="n">
        <v>20</v>
      </c>
      <c r="Q659" s="2" t="n"/>
      <c r="R659" s="2" t="n">
        <v>20</v>
      </c>
      <c r="S659" s="2" t="n"/>
      <c r="T659" s="2" t="n">
        <v>20</v>
      </c>
      <c r="U659" s="2" t="n"/>
      <c r="V659" s="2">
        <f>SUM(J659:U659)</f>
        <v/>
      </c>
      <c r="W659" s="2" t="n">
        <v>748</v>
      </c>
      <c r="X659" s="2" t="n"/>
      <c r="Y659" s="2" t="n"/>
      <c r="Z659" s="2" t="n"/>
      <c r="AA659" s="2" t="n"/>
      <c r="AB659" s="2" t="n">
        <v>748</v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>
        <f>IF(F659=1,V659*2,IF(F659=2,V659*F659*2,IF(F659&gt;2,F659*2*V659)))</f>
        <v/>
      </c>
      <c r="AW659" s="2">
        <f>SUM(W659:AU659)</f>
        <v/>
      </c>
    </row>
    <row r="660">
      <c r="A660" s="2" t="inlineStr">
        <is>
          <t>A14-DB-N379</t>
        </is>
      </c>
      <c r="B660" s="3" t="inlineStr">
        <is>
          <t>DOJC-SM-SC/APC-SC/APC</t>
        </is>
      </c>
      <c r="C660" s="2" t="inlineStr">
        <is>
          <t>908040567, 10M, B3, 2.0mm</t>
        </is>
      </c>
      <c r="D660" s="2" t="inlineStr">
        <is>
          <t>b3</t>
        </is>
      </c>
      <c r="E660" s="2" t="inlineStr">
        <is>
          <t>2.0mm</t>
        </is>
      </c>
      <c r="F660" s="2" t="n">
        <v>2</v>
      </c>
      <c r="G660" s="2" t="n">
        <v>10</v>
      </c>
      <c r="H660" s="2" t="inlineStr">
        <is>
          <t>SC/APC</t>
        </is>
      </c>
      <c r="I660" s="2" t="inlineStr">
        <is>
          <t>SC/APC</t>
        </is>
      </c>
      <c r="J660" s="2" t="n"/>
      <c r="K660" s="2" t="n"/>
      <c r="L660" s="2" t="n"/>
      <c r="M660" s="2" t="n"/>
      <c r="N660" s="2" t="n"/>
      <c r="O660" s="2" t="n"/>
      <c r="P660" s="2" t="n">
        <v>30</v>
      </c>
      <c r="Q660" s="2" t="n"/>
      <c r="R660" s="2" t="n">
        <v>20</v>
      </c>
      <c r="S660" s="2" t="n"/>
      <c r="T660" s="2" t="n">
        <v>20</v>
      </c>
      <c r="U660" s="2" t="n"/>
      <c r="V660" s="2">
        <f>SUM(J660:U660)</f>
        <v/>
      </c>
      <c r="W660" s="2" t="n"/>
      <c r="X660" s="2" t="n"/>
      <c r="Y660" s="2" t="n"/>
      <c r="Z660" s="2" t="n"/>
      <c r="AA660" s="2" t="n"/>
      <c r="AB660" s="2" t="n"/>
      <c r="AC660" s="2" t="n">
        <v>140</v>
      </c>
      <c r="AD660" s="2" t="n">
        <v>140</v>
      </c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>
        <f>IF(F660=1,V660*2,IF(F660=2,V660*F660*2,IF(F660&gt;2,F660*2*V660)))</f>
        <v/>
      </c>
      <c r="AW660" s="2">
        <f>SUM(W660:AU660)</f>
        <v/>
      </c>
    </row>
    <row r="661">
      <c r="A661" s="2" t="inlineStr">
        <is>
          <t>A14-DB-N381</t>
        </is>
      </c>
      <c r="B661" s="3" t="inlineStr">
        <is>
          <t>DOJC-SM-SC/APC-SC/APC</t>
        </is>
      </c>
      <c r="C661" s="2" t="inlineStr">
        <is>
          <t>908040572, 15M, B3, 2.0mm</t>
        </is>
      </c>
      <c r="D661" s="2" t="inlineStr">
        <is>
          <t>b3</t>
        </is>
      </c>
      <c r="E661" s="2" t="inlineStr">
        <is>
          <t>2.0mm</t>
        </is>
      </c>
      <c r="F661" s="2" t="n">
        <v>2</v>
      </c>
      <c r="G661" s="2" t="n">
        <v>15</v>
      </c>
      <c r="H661" s="2" t="inlineStr">
        <is>
          <t>SC/APC</t>
        </is>
      </c>
      <c r="I661" s="2" t="inlineStr">
        <is>
          <t>SC/APC</t>
        </is>
      </c>
      <c r="J661" s="2" t="n"/>
      <c r="K661" s="2" t="n"/>
      <c r="L661" s="2" t="n"/>
      <c r="M661" s="2" t="n"/>
      <c r="N661" s="2" t="n"/>
      <c r="O661" s="2" t="n">
        <v>10</v>
      </c>
      <c r="P661" s="2" t="n">
        <v>20</v>
      </c>
      <c r="Q661" s="2" t="n"/>
      <c r="R661" s="2" t="n">
        <v>20</v>
      </c>
      <c r="S661" s="2" t="n"/>
      <c r="T661" s="2" t="n">
        <v>10</v>
      </c>
      <c r="U661" s="2" t="n"/>
      <c r="V661" s="2">
        <f>SUM(J661:U661)</f>
        <v/>
      </c>
      <c r="W661" s="2" t="n"/>
      <c r="X661" s="2" t="n"/>
      <c r="Y661" s="2" t="n"/>
      <c r="Z661" s="2" t="n"/>
      <c r="AA661" s="2" t="n"/>
      <c r="AB661" s="2" t="n"/>
      <c r="AC661" s="2" t="n">
        <v>120</v>
      </c>
      <c r="AD661" s="2" t="n">
        <v>120</v>
      </c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>
        <f>IF(F661=1,V661*2,IF(F661=2,V661*F661*2,IF(F661&gt;2,F661*2*V661)))</f>
        <v/>
      </c>
      <c r="AW661" s="2">
        <f>SUM(W661:AU661)</f>
        <v/>
      </c>
    </row>
    <row r="662">
      <c r="A662" s="2" t="inlineStr">
        <is>
          <t>A14-DB-N383</t>
        </is>
      </c>
      <c r="B662" s="3" t="inlineStr">
        <is>
          <t>DOJC-SM-SC/APC-SC/APC</t>
        </is>
      </c>
      <c r="C662" s="2" t="inlineStr">
        <is>
          <t>908040577, 20M, B3, 2.0mm</t>
        </is>
      </c>
      <c r="D662" s="2" t="inlineStr">
        <is>
          <t>b3</t>
        </is>
      </c>
      <c r="E662" s="2" t="inlineStr">
        <is>
          <t>2.0mm</t>
        </is>
      </c>
      <c r="F662" s="2" t="n">
        <v>2</v>
      </c>
      <c r="G662" s="2" t="n">
        <v>20</v>
      </c>
      <c r="H662" s="2" t="inlineStr">
        <is>
          <t>SC/APC</t>
        </is>
      </c>
      <c r="I662" s="2" t="inlineStr">
        <is>
          <t>SC/APC</t>
        </is>
      </c>
      <c r="J662" s="2" t="n"/>
      <c r="K662" s="2" t="n"/>
      <c r="L662" s="2" t="n"/>
      <c r="M662" s="2" t="n"/>
      <c r="N662" s="2" t="n"/>
      <c r="O662" s="2" t="n">
        <v>17</v>
      </c>
      <c r="P662" s="2" t="n"/>
      <c r="Q662" s="2" t="n"/>
      <c r="R662" s="2" t="n"/>
      <c r="S662" s="2" t="n"/>
      <c r="T662" s="2" t="n">
        <v>10</v>
      </c>
      <c r="U662" s="2" t="n"/>
      <c r="V662" s="2">
        <f>SUM(J662:U662)</f>
        <v/>
      </c>
      <c r="W662" s="2" t="n"/>
      <c r="X662" s="2" t="n"/>
      <c r="Y662" s="2" t="n"/>
      <c r="Z662" s="2" t="n"/>
      <c r="AA662" s="2" t="n"/>
      <c r="AB662" s="2" t="n"/>
      <c r="AC662" s="2" t="n">
        <v>54</v>
      </c>
      <c r="AD662" s="2" t="n">
        <v>54</v>
      </c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>
        <f>IF(F662=1,V662*2,IF(F662=2,V662*F662*2,IF(F662&gt;2,F662*2*V662)))</f>
        <v/>
      </c>
      <c r="AW662" s="2">
        <f>SUM(W662:AU662)</f>
        <v/>
      </c>
    </row>
    <row r="663">
      <c r="A663" s="2" t="inlineStr">
        <is>
          <t>A14-DB-N388</t>
        </is>
      </c>
      <c r="B663" s="3" t="inlineStr">
        <is>
          <t>DOJC-SM-SC/APC-SC/APC</t>
        </is>
      </c>
      <c r="C663" s="2" t="inlineStr">
        <is>
          <t>908040558, 3M, B3, 3.0mm</t>
        </is>
      </c>
      <c r="D663" s="2" t="inlineStr">
        <is>
          <t>b3</t>
        </is>
      </c>
      <c r="E663" s="2" t="inlineStr">
        <is>
          <t>3.0mm</t>
        </is>
      </c>
      <c r="F663" s="2" t="n">
        <v>2</v>
      </c>
      <c r="G663" s="2" t="n">
        <v>3</v>
      </c>
      <c r="H663" s="2" t="inlineStr">
        <is>
          <t>SC/APC</t>
        </is>
      </c>
      <c r="I663" s="2" t="inlineStr">
        <is>
          <t>SC/APC</t>
        </is>
      </c>
      <c r="J663" s="2" t="n"/>
      <c r="K663" s="2" t="n">
        <v>152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>
        <f>SUM(J663:U663)</f>
        <v/>
      </c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>
        <v>304</v>
      </c>
      <c r="AQ663" s="2" t="n">
        <v>304</v>
      </c>
      <c r="AR663" s="2" t="n"/>
      <c r="AS663" s="2" t="n"/>
      <c r="AT663" s="2" t="n"/>
      <c r="AU663" s="2" t="n"/>
      <c r="AV663" s="2">
        <f>IF(F663=1,V663*2,IF(F663=2,V663*F663*2,IF(F663&gt;2,F663*2*V663)))</f>
        <v/>
      </c>
      <c r="AW663" s="2">
        <f>SUM(W663:AU663)</f>
        <v/>
      </c>
    </row>
    <row r="664">
      <c r="A664" s="2" t="inlineStr">
        <is>
          <t>A14-DB-N392</t>
        </is>
      </c>
      <c r="B664" s="3" t="inlineStr">
        <is>
          <t>DOJC-SM-SC/APC-SC/APC</t>
        </is>
      </c>
      <c r="C664" s="2" t="inlineStr">
        <is>
          <t>908040562, 5M, B3, 3.0mm</t>
        </is>
      </c>
      <c r="D664" s="2" t="inlineStr">
        <is>
          <t>b3</t>
        </is>
      </c>
      <c r="E664" s="2" t="inlineStr">
        <is>
          <t>3.0mm</t>
        </is>
      </c>
      <c r="F664" s="2" t="n">
        <v>2</v>
      </c>
      <c r="G664" s="2" t="n">
        <v>5</v>
      </c>
      <c r="H664" s="2" t="inlineStr">
        <is>
          <t>SC/APC</t>
        </is>
      </c>
      <c r="I664" s="2" t="inlineStr">
        <is>
          <t>SC/APC</t>
        </is>
      </c>
      <c r="J664" s="2" t="n"/>
      <c r="K664" s="2" t="n"/>
      <c r="L664" s="2" t="n">
        <v>40</v>
      </c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>
        <f>SUM(J664:U664)</f>
        <v/>
      </c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>
        <v>80</v>
      </c>
      <c r="AQ664" s="2" t="n">
        <v>80</v>
      </c>
      <c r="AR664" s="2" t="n"/>
      <c r="AS664" s="2" t="n"/>
      <c r="AT664" s="2" t="n"/>
      <c r="AU664" s="2" t="n"/>
      <c r="AV664" s="2">
        <f>IF(F664=1,V664*2,IF(F664=2,V664*F664*2,IF(F664&gt;2,F664*2*V664)))</f>
        <v/>
      </c>
      <c r="AW664" s="2">
        <f>SUM(W664:AU664)</f>
        <v/>
      </c>
    </row>
    <row r="665">
      <c r="A665" s="2" t="inlineStr">
        <is>
          <t>A14-DB-N396</t>
        </is>
      </c>
      <c r="B665" s="3" t="inlineStr">
        <is>
          <t>DOJC-SM-SC/PC-FC/APC</t>
        </is>
      </c>
      <c r="C665" s="2" t="inlineStr">
        <is>
          <t>908040442, 10M, B3, 2.0mm</t>
        </is>
      </c>
      <c r="D665" s="2" t="inlineStr">
        <is>
          <t>b3</t>
        </is>
      </c>
      <c r="E665" s="2" t="inlineStr">
        <is>
          <t>2.0mm</t>
        </is>
      </c>
      <c r="F665" s="2" t="n">
        <v>2</v>
      </c>
      <c r="G665" s="2" t="n">
        <v>10</v>
      </c>
      <c r="H665" s="2" t="inlineStr">
        <is>
          <t>SC/PC</t>
        </is>
      </c>
      <c r="I665" s="2" t="inlineStr">
        <is>
          <t>FC/APC</t>
        </is>
      </c>
      <c r="J665" s="2" t="n"/>
      <c r="K665" s="2" t="n">
        <v>21</v>
      </c>
      <c r="L665" s="2" t="n">
        <v>40</v>
      </c>
      <c r="M665" s="2" t="n"/>
      <c r="N665" s="2" t="n"/>
      <c r="O665" s="2" t="n"/>
      <c r="P665" s="2" t="n">
        <v>10</v>
      </c>
      <c r="Q665" s="2" t="n"/>
      <c r="R665" s="2" t="n">
        <v>12</v>
      </c>
      <c r="S665" s="2" t="n">
        <v>20</v>
      </c>
      <c r="T665" s="2" t="n">
        <v>60</v>
      </c>
      <c r="U665" s="2" t="n"/>
      <c r="V665" s="2">
        <f>SUM(J665:U665)</f>
        <v/>
      </c>
      <c r="W665" s="2" t="n"/>
      <c r="X665" s="2" t="n"/>
      <c r="Y665" s="2" t="n"/>
      <c r="Z665" s="2" t="n"/>
      <c r="AA665" s="2" t="n">
        <v>326</v>
      </c>
      <c r="AB665" s="2" t="n"/>
      <c r="AC665" s="2" t="n"/>
      <c r="AD665" s="2" t="n"/>
      <c r="AE665" s="2" t="n"/>
      <c r="AF665" s="2" t="n"/>
      <c r="AG665" s="2" t="n"/>
      <c r="AH665" s="2" t="n">
        <v>326</v>
      </c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>
        <f>IF(F665=1,V665*2,IF(F665=2,V665*F665*2,IF(F665&gt;2,F665*2*V665)))</f>
        <v/>
      </c>
      <c r="AW665" s="2">
        <f>SUM(W665:AU665)</f>
        <v/>
      </c>
    </row>
    <row r="666">
      <c r="A666" s="2" t="inlineStr">
        <is>
          <t>A14-DB-N398</t>
        </is>
      </c>
      <c r="B666" s="3" t="inlineStr">
        <is>
          <t>DOJC-SM-SC/PC-FC/APC</t>
        </is>
      </c>
      <c r="C666" s="2" t="inlineStr">
        <is>
          <t>12M, B3, 2.0mm</t>
        </is>
      </c>
      <c r="D666" s="2" t="inlineStr">
        <is>
          <t>b3</t>
        </is>
      </c>
      <c r="E666" s="2" t="inlineStr">
        <is>
          <t>2.0mm</t>
        </is>
      </c>
      <c r="F666" s="2" t="n">
        <v>2</v>
      </c>
      <c r="G666" s="2" t="n">
        <v>12</v>
      </c>
      <c r="H666" s="2" t="inlineStr">
        <is>
          <t>SC/PC</t>
        </is>
      </c>
      <c r="I666" s="2" t="inlineStr">
        <is>
          <t>FC/APC</t>
        </is>
      </c>
      <c r="J666" s="2" t="n"/>
      <c r="K666" s="2" t="n">
        <v>10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>
        <f>SUM(J666:U666)</f>
        <v/>
      </c>
      <c r="W666" s="2" t="n"/>
      <c r="X666" s="2" t="n"/>
      <c r="Y666" s="2" t="n"/>
      <c r="Z666" s="2" t="n"/>
      <c r="AA666" s="2" t="n">
        <v>20</v>
      </c>
      <c r="AB666" s="2" t="n"/>
      <c r="AC666" s="2" t="n"/>
      <c r="AD666" s="2" t="n"/>
      <c r="AE666" s="2" t="n"/>
      <c r="AF666" s="2" t="n"/>
      <c r="AG666" s="2" t="n"/>
      <c r="AH666" s="2" t="n">
        <v>20</v>
      </c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>
        <f>IF(F666=1,V666*2,IF(F666=2,V666*F666*2,IF(F666&gt;2,F666*2*V666)))</f>
        <v/>
      </c>
      <c r="AW666" s="2">
        <f>SUM(W666:AU666)</f>
        <v/>
      </c>
    </row>
    <row r="667">
      <c r="A667" s="2" t="inlineStr">
        <is>
          <t>A14-DB-N400</t>
        </is>
      </c>
      <c r="B667" s="3" t="inlineStr">
        <is>
          <t>DOJC-SM-SC/PC-FC/APC</t>
        </is>
      </c>
      <c r="C667" s="2" t="inlineStr">
        <is>
          <t>908040447, 15M, B3, 2.0mm</t>
        </is>
      </c>
      <c r="D667" s="2" t="inlineStr">
        <is>
          <t>b3</t>
        </is>
      </c>
      <c r="E667" s="2" t="inlineStr">
        <is>
          <t>2.0mm</t>
        </is>
      </c>
      <c r="F667" s="2" t="n">
        <v>2</v>
      </c>
      <c r="G667" s="2" t="n">
        <v>15</v>
      </c>
      <c r="H667" s="2" t="inlineStr">
        <is>
          <t>SC/PC</t>
        </is>
      </c>
      <c r="I667" s="2" t="inlineStr">
        <is>
          <t>FC/APC</t>
        </is>
      </c>
      <c r="J667" s="2" t="n"/>
      <c r="K667" s="2" t="n"/>
      <c r="L667" s="2" t="n">
        <v>44</v>
      </c>
      <c r="M667" s="2" t="n"/>
      <c r="N667" s="2" t="n"/>
      <c r="O667" s="2" t="n"/>
      <c r="P667" s="2" t="n"/>
      <c r="Q667" s="2" t="n"/>
      <c r="R667" s="2" t="n"/>
      <c r="S667" s="2" t="n">
        <v>10</v>
      </c>
      <c r="T667" s="2" t="n">
        <v>70</v>
      </c>
      <c r="U667" s="2" t="n">
        <v>70</v>
      </c>
      <c r="V667" s="2">
        <f>SUM(J667:U667)</f>
        <v/>
      </c>
      <c r="W667" s="2" t="n"/>
      <c r="X667" s="2" t="n"/>
      <c r="Y667" s="2" t="n"/>
      <c r="Z667" s="2" t="n"/>
      <c r="AA667" s="2" t="n">
        <v>388</v>
      </c>
      <c r="AB667" s="2" t="n"/>
      <c r="AC667" s="2" t="n"/>
      <c r="AD667" s="2" t="n"/>
      <c r="AE667" s="2" t="n"/>
      <c r="AF667" s="2" t="n"/>
      <c r="AG667" s="2" t="n"/>
      <c r="AH667" s="2" t="n">
        <v>388</v>
      </c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>
        <f>IF(F667=1,V667*2,IF(F667=2,V667*F667*2,IF(F667&gt;2,F667*2*V667)))</f>
        <v/>
      </c>
      <c r="AW667" s="2">
        <f>SUM(W667:AU667)</f>
        <v/>
      </c>
    </row>
    <row r="668">
      <c r="A668" s="2" t="inlineStr">
        <is>
          <t>A14-DB-N404</t>
        </is>
      </c>
      <c r="B668" s="3" t="inlineStr">
        <is>
          <t>DOJC-SM-SC/PC-FC/APC</t>
        </is>
      </c>
      <c r="C668" s="2" t="inlineStr">
        <is>
          <t>908040452, 20M, B3, 2.0mm</t>
        </is>
      </c>
      <c r="D668" s="2" t="inlineStr">
        <is>
          <t>b3</t>
        </is>
      </c>
      <c r="E668" s="2" t="inlineStr">
        <is>
          <t>2.0mm</t>
        </is>
      </c>
      <c r="F668" s="2" t="n">
        <v>2</v>
      </c>
      <c r="G668" s="2" t="n">
        <v>20</v>
      </c>
      <c r="H668" s="2" t="inlineStr">
        <is>
          <t>SC/PC</t>
        </is>
      </c>
      <c r="I668" s="2" t="inlineStr">
        <is>
          <t>FC/APC</t>
        </is>
      </c>
      <c r="J668" s="2" t="n"/>
      <c r="K668" s="2" t="n"/>
      <c r="L668" s="2" t="n">
        <v>30</v>
      </c>
      <c r="M668" s="2" t="n">
        <v>8</v>
      </c>
      <c r="N668" s="2" t="n"/>
      <c r="O668" s="2" t="n">
        <v>65</v>
      </c>
      <c r="P668" s="2" t="n">
        <v>20</v>
      </c>
      <c r="Q668" s="2" t="n"/>
      <c r="R668" s="2" t="n">
        <v>3</v>
      </c>
      <c r="S668" s="2" t="n"/>
      <c r="T668" s="2" t="n">
        <v>46</v>
      </c>
      <c r="U668" s="2" t="n">
        <v>10</v>
      </c>
      <c r="V668" s="2">
        <f>SUM(J668:U668)</f>
        <v/>
      </c>
      <c r="W668" s="2" t="n"/>
      <c r="X668" s="2" t="n"/>
      <c r="Y668" s="2" t="n"/>
      <c r="Z668" s="2" t="n"/>
      <c r="AA668" s="2" t="n">
        <v>364</v>
      </c>
      <c r="AB668" s="2" t="n"/>
      <c r="AC668" s="2" t="n"/>
      <c r="AD668" s="2" t="n"/>
      <c r="AE668" s="2" t="n"/>
      <c r="AF668" s="2" t="n"/>
      <c r="AG668" s="2" t="n"/>
      <c r="AH668" s="2" t="n">
        <v>364</v>
      </c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>
        <f>IF(F668=1,V668*2,IF(F668=2,V668*F668*2,IF(F668&gt;2,F668*2*V668)))</f>
        <v/>
      </c>
      <c r="AW668" s="2">
        <f>SUM(W668:AU668)</f>
        <v/>
      </c>
    </row>
    <row r="669">
      <c r="A669" s="2" t="inlineStr">
        <is>
          <t>A14-DB-N407</t>
        </is>
      </c>
      <c r="B669" s="3" t="inlineStr">
        <is>
          <t>DOJC-SM-SC/PC-FC/APC</t>
        </is>
      </c>
      <c r="C669" s="2" t="inlineStr">
        <is>
          <t>908040457, 25M, B3, 2.0mm</t>
        </is>
      </c>
      <c r="D669" s="2" t="inlineStr">
        <is>
          <t>b3</t>
        </is>
      </c>
      <c r="E669" s="2" t="inlineStr">
        <is>
          <t>2.0mm</t>
        </is>
      </c>
      <c r="F669" s="2" t="n">
        <v>2</v>
      </c>
      <c r="G669" s="2" t="n">
        <v>25</v>
      </c>
      <c r="H669" s="2" t="inlineStr">
        <is>
          <t>SC/PC</t>
        </is>
      </c>
      <c r="I669" s="2" t="inlineStr">
        <is>
          <t>FC/APC</t>
        </is>
      </c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>
        <v>34</v>
      </c>
      <c r="S669" s="2" t="n">
        <v>28</v>
      </c>
      <c r="T669" s="2" t="n">
        <v>36</v>
      </c>
      <c r="U669" s="2" t="n">
        <v>22</v>
      </c>
      <c r="V669" s="2">
        <f>SUM(J669:U669)</f>
        <v/>
      </c>
      <c r="W669" s="2" t="n"/>
      <c r="X669" s="2" t="n"/>
      <c r="Y669" s="2" t="n"/>
      <c r="Z669" s="2" t="n"/>
      <c r="AA669" s="2" t="n">
        <v>240</v>
      </c>
      <c r="AB669" s="2" t="n"/>
      <c r="AC669" s="2" t="n"/>
      <c r="AD669" s="2" t="n"/>
      <c r="AE669" s="2" t="n"/>
      <c r="AF669" s="2" t="n"/>
      <c r="AG669" s="2" t="n"/>
      <c r="AH669" s="2" t="n">
        <v>240</v>
      </c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>
        <f>IF(F669=1,V669*2,IF(F669=2,V669*F669*2,IF(F669&gt;2,F669*2*V669)))</f>
        <v/>
      </c>
      <c r="AW669" s="2">
        <f>SUM(W669:AU669)</f>
        <v/>
      </c>
    </row>
    <row r="670">
      <c r="A670" s="2" t="inlineStr">
        <is>
          <t>A14-DB-N409</t>
        </is>
      </c>
      <c r="B670" s="3" t="inlineStr">
        <is>
          <t>DOJC-SM-SC/PC-FC/APC</t>
        </is>
      </c>
      <c r="C670" s="2" t="inlineStr">
        <is>
          <t>908040462, 30M, B3, 2.0mm</t>
        </is>
      </c>
      <c r="D670" s="2" t="inlineStr">
        <is>
          <t>b3</t>
        </is>
      </c>
      <c r="E670" s="2" t="inlineStr">
        <is>
          <t>2.0mm</t>
        </is>
      </c>
      <c r="F670" s="2" t="n">
        <v>2</v>
      </c>
      <c r="G670" s="2" t="n">
        <v>30</v>
      </c>
      <c r="H670" s="2" t="inlineStr">
        <is>
          <t>SC/PC</t>
        </is>
      </c>
      <c r="I670" s="2" t="inlineStr">
        <is>
          <t>FC/APC</t>
        </is>
      </c>
      <c r="J670" s="2" t="n"/>
      <c r="K670" s="2" t="n">
        <v>6</v>
      </c>
      <c r="L670" s="2" t="n">
        <v>10</v>
      </c>
      <c r="M670" s="2" t="n"/>
      <c r="N670" s="2" t="n"/>
      <c r="O670" s="2" t="n"/>
      <c r="P670" s="2" t="n"/>
      <c r="Q670" s="2" t="n"/>
      <c r="R670" s="2" t="n">
        <v>45</v>
      </c>
      <c r="S670" s="2" t="n"/>
      <c r="T670" s="2" t="n">
        <v>10</v>
      </c>
      <c r="U670" s="2" t="n">
        <v>2</v>
      </c>
      <c r="V670" s="2">
        <f>SUM(J670:U670)</f>
        <v/>
      </c>
      <c r="W670" s="2" t="n"/>
      <c r="X670" s="2" t="n"/>
      <c r="Y670" s="2" t="n"/>
      <c r="Z670" s="2" t="n"/>
      <c r="AA670" s="2" t="n">
        <v>146</v>
      </c>
      <c r="AB670" s="2" t="n"/>
      <c r="AC670" s="2" t="n"/>
      <c r="AD670" s="2" t="n"/>
      <c r="AE670" s="2" t="n"/>
      <c r="AF670" s="2" t="n"/>
      <c r="AG670" s="2" t="n"/>
      <c r="AH670" s="2" t="n">
        <v>146</v>
      </c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>
        <f>IF(F670=1,V670*2,IF(F670=2,V670*F670*2,IF(F670&gt;2,F670*2*V670)))</f>
        <v/>
      </c>
      <c r="AW670" s="2">
        <f>SUM(W670:AU670)</f>
        <v/>
      </c>
    </row>
    <row r="671">
      <c r="A671" s="2" t="inlineStr">
        <is>
          <t>A14-DB-N411</t>
        </is>
      </c>
      <c r="B671" s="3" t="inlineStr">
        <is>
          <t>DOJC-SM-SC/PC-FC/APC</t>
        </is>
      </c>
      <c r="C671" s="2" t="inlineStr">
        <is>
          <t>35M, B3, 2.0mm</t>
        </is>
      </c>
      <c r="D671" s="2" t="inlineStr">
        <is>
          <t>b3</t>
        </is>
      </c>
      <c r="E671" s="2" t="inlineStr">
        <is>
          <t>2.0mm</t>
        </is>
      </c>
      <c r="F671" s="2" t="n">
        <v>2</v>
      </c>
      <c r="G671" s="2" t="n">
        <v>35</v>
      </c>
      <c r="H671" s="2" t="inlineStr">
        <is>
          <t>SC/PC</t>
        </is>
      </c>
      <c r="I671" s="2" t="inlineStr">
        <is>
          <t>FC/APC</t>
        </is>
      </c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>
        <v>6</v>
      </c>
      <c r="S671" s="2" t="n"/>
      <c r="T671" s="2" t="n"/>
      <c r="U671" s="2" t="n"/>
      <c r="V671" s="2">
        <f>SUM(J671:U671)</f>
        <v/>
      </c>
      <c r="W671" s="2" t="n"/>
      <c r="X671" s="2" t="n"/>
      <c r="Y671" s="2" t="n"/>
      <c r="Z671" s="2" t="n"/>
      <c r="AA671" s="2" t="n">
        <v>12</v>
      </c>
      <c r="AB671" s="2" t="n"/>
      <c r="AC671" s="2" t="n"/>
      <c r="AD671" s="2" t="n"/>
      <c r="AE671" s="2" t="n"/>
      <c r="AF671" s="2" t="n"/>
      <c r="AG671" s="2" t="n"/>
      <c r="AH671" s="2" t="n">
        <v>12</v>
      </c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>
        <f>IF(F671=1,V671*2,IF(F671=2,V671*F671*2,IF(F671&gt;2,F671*2*V671)))</f>
        <v/>
      </c>
      <c r="AW671" s="2">
        <f>SUM(W671:AU671)</f>
        <v/>
      </c>
    </row>
    <row r="672">
      <c r="A672" s="2" t="inlineStr">
        <is>
          <t>A14-DB-N412</t>
        </is>
      </c>
      <c r="B672" s="3" t="inlineStr">
        <is>
          <t>DOJC-SM-SC/PC-FC/APC</t>
        </is>
      </c>
      <c r="C672" s="2" t="inlineStr">
        <is>
          <t>908040433, 3M, B3, 3.0mm</t>
        </is>
      </c>
      <c r="D672" s="2" t="inlineStr">
        <is>
          <t>b3</t>
        </is>
      </c>
      <c r="E672" s="2" t="inlineStr">
        <is>
          <t>3.0mm</t>
        </is>
      </c>
      <c r="F672" s="2" t="n">
        <v>2</v>
      </c>
      <c r="G672" s="2" t="n">
        <v>3</v>
      </c>
      <c r="H672" s="2" t="inlineStr">
        <is>
          <t>SC/PC</t>
        </is>
      </c>
      <c r="I672" s="2" t="inlineStr">
        <is>
          <t>FC/APC</t>
        </is>
      </c>
      <c r="J672" s="2" t="n"/>
      <c r="K672" s="2" t="n"/>
      <c r="L672" s="2" t="n"/>
      <c r="M672" s="2" t="n">
        <v>15</v>
      </c>
      <c r="N672" s="2" t="n">
        <v>10</v>
      </c>
      <c r="O672" s="2" t="n"/>
      <c r="P672" s="2" t="n"/>
      <c r="Q672" s="2" t="n"/>
      <c r="R672" s="2" t="n"/>
      <c r="S672" s="2" t="n"/>
      <c r="T672" s="2" t="n"/>
      <c r="U672" s="2" t="n"/>
      <c r="V672" s="2">
        <f>SUM(J672:U672)</f>
        <v/>
      </c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>
        <v>50</v>
      </c>
      <c r="AO672" s="2" t="n"/>
      <c r="AP672" s="2" t="n"/>
      <c r="AQ672" s="2" t="n"/>
      <c r="AR672" s="2" t="n"/>
      <c r="AS672" s="2" t="n"/>
      <c r="AT672" s="2" t="n"/>
      <c r="AU672" s="2" t="n">
        <v>50</v>
      </c>
      <c r="AV672" s="2">
        <f>IF(F672=1,V672*2,IF(F672=2,V672*F672*2,IF(F672&gt;2,F672*2*V672)))</f>
        <v/>
      </c>
      <c r="AW672" s="2">
        <f>SUM(W672:AU672)</f>
        <v/>
      </c>
    </row>
    <row r="673">
      <c r="A673" s="2" t="inlineStr">
        <is>
          <t>A14-DB-N418</t>
        </is>
      </c>
      <c r="B673" s="3" t="inlineStr">
        <is>
          <t>DOJC-SM-SC/PC-FC/APC</t>
        </is>
      </c>
      <c r="C673" s="2" t="inlineStr">
        <is>
          <t>908040437, 5M, B3, 3.0mm</t>
        </is>
      </c>
      <c r="D673" s="2" t="inlineStr">
        <is>
          <t>b3</t>
        </is>
      </c>
      <c r="E673" s="2" t="inlineStr">
        <is>
          <t>3.0mm</t>
        </is>
      </c>
      <c r="F673" s="2" t="n">
        <v>2</v>
      </c>
      <c r="G673" s="2" t="n">
        <v>5</v>
      </c>
      <c r="H673" s="2" t="inlineStr">
        <is>
          <t>SC/PC</t>
        </is>
      </c>
      <c r="I673" s="2" t="inlineStr">
        <is>
          <t>FC/APC</t>
        </is>
      </c>
      <c r="J673" s="2" t="n"/>
      <c r="K673" s="2" t="n">
        <v>5</v>
      </c>
      <c r="L673" s="2" t="n"/>
      <c r="M673" s="2" t="n"/>
      <c r="N673" s="2" t="n"/>
      <c r="O673" s="2" t="n"/>
      <c r="P673" s="2" t="n">
        <v>5</v>
      </c>
      <c r="Q673" s="2" t="n"/>
      <c r="R673" s="2" t="n"/>
      <c r="S673" s="2" t="n"/>
      <c r="T673" s="2" t="n"/>
      <c r="U673" s="2" t="n"/>
      <c r="V673" s="2">
        <f>SUM(J673:U673)</f>
        <v/>
      </c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>
        <v>20</v>
      </c>
      <c r="AO673" s="2" t="n"/>
      <c r="AP673" s="2" t="n"/>
      <c r="AQ673" s="2" t="n"/>
      <c r="AR673" s="2" t="n"/>
      <c r="AS673" s="2" t="n"/>
      <c r="AT673" s="2" t="n"/>
      <c r="AU673" s="2" t="n">
        <v>20</v>
      </c>
      <c r="AV673" s="2">
        <f>IF(F673=1,V673*2,IF(F673=2,V673*F673*2,IF(F673&gt;2,F673*2*V673)))</f>
        <v/>
      </c>
      <c r="AW673" s="2">
        <f>SUM(W673:AU673)</f>
        <v/>
      </c>
    </row>
    <row r="674">
      <c r="A674" s="2" t="inlineStr">
        <is>
          <t>A14-DB-N424</t>
        </is>
      </c>
      <c r="B674" s="3" t="inlineStr">
        <is>
          <t>DOJC-SM-SC/PC-FC/APC</t>
        </is>
      </c>
      <c r="C674" s="2" t="inlineStr">
        <is>
          <t>908040440, 8M, B3, 2.0mm</t>
        </is>
      </c>
      <c r="D674" s="2" t="inlineStr">
        <is>
          <t>b3</t>
        </is>
      </c>
      <c r="E674" s="2" t="inlineStr">
        <is>
          <t>2.0mm</t>
        </is>
      </c>
      <c r="F674" s="2" t="n">
        <v>2</v>
      </c>
      <c r="G674" s="2" t="n">
        <v>8</v>
      </c>
      <c r="H674" s="2" t="inlineStr">
        <is>
          <t>SC/PC</t>
        </is>
      </c>
      <c r="I674" s="2" t="inlineStr">
        <is>
          <t>FC/APC</t>
        </is>
      </c>
      <c r="J674" s="2" t="n"/>
      <c r="K674" s="2" t="n"/>
      <c r="L674" s="2" t="n"/>
      <c r="M674" s="2" t="n"/>
      <c r="N674" s="2" t="n"/>
      <c r="O674" s="2" t="n">
        <v>20</v>
      </c>
      <c r="P674" s="2" t="n">
        <v>10</v>
      </c>
      <c r="Q674" s="2" t="n"/>
      <c r="R674" s="2" t="n"/>
      <c r="S674" s="2" t="n"/>
      <c r="T674" s="2" t="n"/>
      <c r="U674" s="2" t="n"/>
      <c r="V674" s="2">
        <f>SUM(J674:U674)</f>
        <v/>
      </c>
      <c r="W674" s="2" t="n"/>
      <c r="X674" s="2" t="n"/>
      <c r="Y674" s="2" t="n"/>
      <c r="Z674" s="2" t="n"/>
      <c r="AA674" s="2" t="n">
        <v>60</v>
      </c>
      <c r="AB674" s="2" t="n"/>
      <c r="AC674" s="2" t="n"/>
      <c r="AD674" s="2" t="n"/>
      <c r="AE674" s="2" t="n"/>
      <c r="AF674" s="2" t="n"/>
      <c r="AG674" s="2" t="n"/>
      <c r="AH674" s="2" t="n">
        <v>60</v>
      </c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>
        <f>IF(F674=1,V674*2,IF(F674=2,V674*F674*2,IF(F674&gt;2,F674*2*V674)))</f>
        <v/>
      </c>
      <c r="AW674" s="2">
        <f>SUM(W674:AU674)</f>
        <v/>
      </c>
    </row>
    <row r="675">
      <c r="A675" s="2" t="inlineStr">
        <is>
          <t>A14-DB-N426</t>
        </is>
      </c>
      <c r="B675" s="3" t="inlineStr">
        <is>
          <t>DOJC-SM-SC/PC-FC/PC</t>
        </is>
      </c>
      <c r="C675" s="2" t="inlineStr">
        <is>
          <t>908040687, 10M, B3, 2.0mm</t>
        </is>
      </c>
      <c r="D675" s="2" t="inlineStr">
        <is>
          <t>b3</t>
        </is>
      </c>
      <c r="E675" s="2" t="inlineStr">
        <is>
          <t>2.0mm</t>
        </is>
      </c>
      <c r="F675" s="2" t="n">
        <v>2</v>
      </c>
      <c r="G675" s="2" t="n">
        <v>10</v>
      </c>
      <c r="H675" s="2" t="inlineStr">
        <is>
          <t>SC/PC</t>
        </is>
      </c>
      <c r="I675" s="2" t="inlineStr">
        <is>
          <t>FC/PC</t>
        </is>
      </c>
      <c r="J675" s="2" t="n"/>
      <c r="K675" s="2" t="n"/>
      <c r="L675" s="2" t="n">
        <v>5</v>
      </c>
      <c r="M675" s="2" t="n"/>
      <c r="N675" s="2" t="n"/>
      <c r="O675" s="2" t="n"/>
      <c r="P675" s="2" t="n"/>
      <c r="Q675" s="2" t="n">
        <v>35</v>
      </c>
      <c r="R675" s="2" t="n"/>
      <c r="S675" s="2" t="n">
        <v>5</v>
      </c>
      <c r="T675" s="2" t="n"/>
      <c r="U675" s="2" t="n"/>
      <c r="V675" s="2">
        <f>SUM(J675:U675)</f>
        <v/>
      </c>
      <c r="W675" s="2" t="n"/>
      <c r="X675" s="2" t="n"/>
      <c r="Y675" s="2" t="n"/>
      <c r="Z675" s="2" t="n"/>
      <c r="AA675" s="2" t="n">
        <v>90</v>
      </c>
      <c r="AB675" s="2" t="n"/>
      <c r="AC675" s="2" t="n"/>
      <c r="AD675" s="2" t="n"/>
      <c r="AE675" s="2" t="n"/>
      <c r="AF675" s="2" t="n">
        <v>90</v>
      </c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>
        <f>IF(F675=1,V675*2,IF(F675=2,V675*F675*2,IF(F675&gt;2,F675*2*V675)))</f>
        <v/>
      </c>
      <c r="AW675" s="2">
        <f>SUM(W675:AU675)</f>
        <v/>
      </c>
    </row>
    <row r="676">
      <c r="A676" s="2" t="inlineStr">
        <is>
          <t>A14-DB-N429</t>
        </is>
      </c>
      <c r="B676" s="3" t="inlineStr">
        <is>
          <t>DOJC-SM-SC/PC-FC/PC</t>
        </is>
      </c>
      <c r="C676" s="2" t="inlineStr">
        <is>
          <t>908040692, 15M, B3, 2.0mm</t>
        </is>
      </c>
      <c r="D676" s="2" t="inlineStr">
        <is>
          <t>b3</t>
        </is>
      </c>
      <c r="E676" s="2" t="inlineStr">
        <is>
          <t>2.0mm</t>
        </is>
      </c>
      <c r="F676" s="2" t="n">
        <v>2</v>
      </c>
      <c r="G676" s="2" t="n">
        <v>15</v>
      </c>
      <c r="H676" s="2" t="inlineStr">
        <is>
          <t>SC/PC</t>
        </is>
      </c>
      <c r="I676" s="2" t="inlineStr">
        <is>
          <t>FC/PC</t>
        </is>
      </c>
      <c r="J676" s="2" t="n"/>
      <c r="K676" s="2" t="n"/>
      <c r="L676" s="2" t="n">
        <v>42</v>
      </c>
      <c r="M676" s="2" t="n">
        <v>20</v>
      </c>
      <c r="N676" s="2" t="n">
        <v>30</v>
      </c>
      <c r="O676" s="2" t="n"/>
      <c r="P676" s="2" t="n">
        <v>1</v>
      </c>
      <c r="Q676" s="2" t="n">
        <v>5</v>
      </c>
      <c r="R676" s="2" t="n">
        <v>48</v>
      </c>
      <c r="S676" s="2" t="n"/>
      <c r="T676" s="2" t="n"/>
      <c r="U676" s="2" t="n"/>
      <c r="V676" s="2">
        <f>SUM(J676:U676)</f>
        <v/>
      </c>
      <c r="W676" s="2" t="n"/>
      <c r="X676" s="2" t="n"/>
      <c r="Y676" s="2" t="n"/>
      <c r="Z676" s="2" t="n"/>
      <c r="AA676" s="2" t="n">
        <v>292</v>
      </c>
      <c r="AB676" s="2" t="n"/>
      <c r="AC676" s="2" t="n"/>
      <c r="AD676" s="2" t="n"/>
      <c r="AE676" s="2" t="n"/>
      <c r="AF676" s="2" t="n">
        <v>292</v>
      </c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>
        <f>IF(F676=1,V676*2,IF(F676=2,V676*F676*2,IF(F676&gt;2,F676*2*V676)))</f>
        <v/>
      </c>
      <c r="AW676" s="2">
        <f>SUM(W676:AU676)</f>
        <v/>
      </c>
    </row>
    <row r="677">
      <c r="A677" s="2" t="inlineStr">
        <is>
          <t>A14-DB-N430</t>
        </is>
      </c>
      <c r="B677" s="3" t="inlineStr">
        <is>
          <t>DOJC-SM-SC/PC-FC/PC</t>
        </is>
      </c>
      <c r="C677" s="2" t="inlineStr">
        <is>
          <t>908040422, 20M, B3, 2.0mm</t>
        </is>
      </c>
      <c r="D677" s="2" t="inlineStr">
        <is>
          <t>b3</t>
        </is>
      </c>
      <c r="E677" s="2" t="inlineStr">
        <is>
          <t>2.0mm</t>
        </is>
      </c>
      <c r="F677" s="2" t="n">
        <v>2</v>
      </c>
      <c r="G677" s="2" t="n">
        <v>20</v>
      </c>
      <c r="H677" s="2" t="inlineStr">
        <is>
          <t>SC/PC</t>
        </is>
      </c>
      <c r="I677" s="2" t="inlineStr">
        <is>
          <t>FC/PC</t>
        </is>
      </c>
      <c r="J677" s="2" t="n"/>
      <c r="K677" s="2" t="n"/>
      <c r="L677" s="2" t="n"/>
      <c r="M677" s="2" t="n"/>
      <c r="N677" s="2" t="n"/>
      <c r="O677" s="2" t="n"/>
      <c r="P677" s="2" t="n">
        <v>12</v>
      </c>
      <c r="Q677" s="2" t="n">
        <v>5</v>
      </c>
      <c r="R677" s="2" t="n">
        <v>35</v>
      </c>
      <c r="S677" s="2" t="n"/>
      <c r="T677" s="2" t="n"/>
      <c r="U677" s="2" t="n"/>
      <c r="V677" s="2">
        <f>SUM(J677:U677)</f>
        <v/>
      </c>
      <c r="W677" s="2" t="n"/>
      <c r="X677" s="2" t="n"/>
      <c r="Y677" s="2" t="n"/>
      <c r="Z677" s="2" t="n"/>
      <c r="AA677" s="2" t="n">
        <v>104</v>
      </c>
      <c r="AB677" s="2" t="n"/>
      <c r="AC677" s="2" t="n"/>
      <c r="AD677" s="2" t="n"/>
      <c r="AE677" s="2" t="n"/>
      <c r="AF677" s="2" t="n">
        <v>104</v>
      </c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>
        <f>IF(F677=1,V677*2,IF(F677=2,V677*F677*2,IF(F677&gt;2,F677*2*V677)))</f>
        <v/>
      </c>
      <c r="AW677" s="2">
        <f>SUM(W677:AU677)</f>
        <v/>
      </c>
    </row>
    <row r="678">
      <c r="A678" s="2" t="inlineStr">
        <is>
          <t>A14-DB-N444</t>
        </is>
      </c>
      <c r="B678" s="3" t="inlineStr">
        <is>
          <t>DOJC-SM-SC/PC-SC/APC</t>
        </is>
      </c>
      <c r="C678" s="2" t="inlineStr">
        <is>
          <t>908040537, 10M, B3, 2.0mm</t>
        </is>
      </c>
      <c r="D678" s="2" t="inlineStr">
        <is>
          <t>b3</t>
        </is>
      </c>
      <c r="E678" s="2" t="inlineStr">
        <is>
          <t>2.0mm</t>
        </is>
      </c>
      <c r="F678" s="2" t="n">
        <v>2</v>
      </c>
      <c r="G678" s="2" t="n">
        <v>10</v>
      </c>
      <c r="H678" s="2" t="inlineStr">
        <is>
          <t>SC/PC</t>
        </is>
      </c>
      <c r="I678" s="2" t="inlineStr">
        <is>
          <t>SC/APC</t>
        </is>
      </c>
      <c r="J678" s="2" t="n">
        <v>200</v>
      </c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>
        <f>SUM(J678:U678)</f>
        <v/>
      </c>
      <c r="W678" s="2" t="n"/>
      <c r="X678" s="2" t="n"/>
      <c r="Y678" s="2" t="n"/>
      <c r="Z678" s="2" t="n"/>
      <c r="AA678" s="2" t="n">
        <v>400</v>
      </c>
      <c r="AB678" s="2" t="n"/>
      <c r="AC678" s="2" t="n"/>
      <c r="AD678" s="2" t="n">
        <v>400</v>
      </c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>
        <f>IF(F678=1,V678*2,IF(F678=2,V678*F678*2,IF(F678&gt;2,F678*2*V678)))</f>
        <v/>
      </c>
      <c r="AW678" s="2">
        <f>SUM(W678:AU678)</f>
        <v/>
      </c>
    </row>
    <row r="679">
      <c r="A679" s="2" t="inlineStr">
        <is>
          <t>A14-DB-N447</t>
        </is>
      </c>
      <c r="B679" s="3" t="inlineStr">
        <is>
          <t>DOJC-SM-SC/PC-SC/APC</t>
        </is>
      </c>
      <c r="C679" s="2" t="inlineStr">
        <is>
          <t>908040542, 15M, B3, 2.0mm</t>
        </is>
      </c>
      <c r="D679" s="2" t="inlineStr">
        <is>
          <t>b3</t>
        </is>
      </c>
      <c r="E679" s="2" t="inlineStr">
        <is>
          <t>2.0mm</t>
        </is>
      </c>
      <c r="F679" s="2" t="n">
        <v>2</v>
      </c>
      <c r="G679" s="2" t="n">
        <v>15</v>
      </c>
      <c r="H679" s="2" t="inlineStr">
        <is>
          <t>SC/PC</t>
        </is>
      </c>
      <c r="I679" s="2" t="inlineStr">
        <is>
          <t>SC/APC</t>
        </is>
      </c>
      <c r="J679" s="2" t="n">
        <v>210</v>
      </c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>
        <f>SUM(J679:U679)</f>
        <v/>
      </c>
      <c r="W679" s="2" t="n"/>
      <c r="X679" s="2" t="n"/>
      <c r="Y679" s="2" t="n"/>
      <c r="Z679" s="2" t="n"/>
      <c r="AA679" s="2" t="n">
        <v>420</v>
      </c>
      <c r="AB679" s="2" t="n"/>
      <c r="AC679" s="2" t="n"/>
      <c r="AD679" s="2" t="n">
        <v>420</v>
      </c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>
        <f>IF(F679=1,V679*2,IF(F679=2,V679*F679*2,IF(F679&gt;2,F679*2*V679)))</f>
        <v/>
      </c>
      <c r="AW679" s="2">
        <f>SUM(W679:AU679)</f>
        <v/>
      </c>
    </row>
    <row r="680">
      <c r="A680" s="2" t="inlineStr">
        <is>
          <t>A14-DB-N448</t>
        </is>
      </c>
      <c r="B680" s="3" t="inlineStr">
        <is>
          <t>DOJC-SM-SC/PC-SC/APC</t>
        </is>
      </c>
      <c r="C680" s="2" t="inlineStr">
        <is>
          <t>908040252, 1M, B3, 3.0mm</t>
        </is>
      </c>
      <c r="D680" s="2" t="inlineStr">
        <is>
          <t>b3</t>
        </is>
      </c>
      <c r="E680" s="2" t="inlineStr">
        <is>
          <t>3.0mm</t>
        </is>
      </c>
      <c r="F680" s="2" t="n">
        <v>2</v>
      </c>
      <c r="G680" s="2" t="n">
        <v>1</v>
      </c>
      <c r="H680" s="2" t="inlineStr">
        <is>
          <t>SC/PC</t>
        </is>
      </c>
      <c r="I680" s="2" t="inlineStr">
        <is>
          <t>SC/APC</t>
        </is>
      </c>
      <c r="J680" s="2" t="n"/>
      <c r="K680" s="2" t="n"/>
      <c r="L680" s="2" t="n">
        <v>20</v>
      </c>
      <c r="M680" s="2" t="n"/>
      <c r="N680" s="2" t="n"/>
      <c r="O680" s="2" t="n"/>
      <c r="P680" s="2" t="n">
        <v>20</v>
      </c>
      <c r="Q680" s="2" t="n"/>
      <c r="R680" s="2" t="n"/>
      <c r="S680" s="2" t="n"/>
      <c r="T680" s="2" t="n"/>
      <c r="U680" s="2" t="n"/>
      <c r="V680" s="2">
        <f>SUM(J680:U680)</f>
        <v/>
      </c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>
        <v>80</v>
      </c>
      <c r="AO680" s="2" t="n"/>
      <c r="AP680" s="2" t="n"/>
      <c r="AQ680" s="2" t="n">
        <v>80</v>
      </c>
      <c r="AR680" s="2" t="n"/>
      <c r="AS680" s="2" t="n"/>
      <c r="AT680" s="2" t="n"/>
      <c r="AU680" s="2" t="n"/>
      <c r="AV680" s="2">
        <f>IF(F680=1,V680*2,IF(F680=2,V680*F680*2,IF(F680&gt;2,F680*2*V680)))</f>
        <v/>
      </c>
      <c r="AW680" s="2">
        <f>SUM(W680:AU680)</f>
        <v/>
      </c>
    </row>
    <row r="681">
      <c r="A681" s="2" t="inlineStr">
        <is>
          <t>A14-DB-N449</t>
        </is>
      </c>
      <c r="B681" s="3" t="inlineStr">
        <is>
          <t>DOJC-SM-SC/PC-SC/APC</t>
        </is>
      </c>
      <c r="C681" s="2" t="inlineStr">
        <is>
          <t>908040547, 20M, B3, 2.0mm</t>
        </is>
      </c>
      <c r="D681" s="2" t="inlineStr">
        <is>
          <t>b3</t>
        </is>
      </c>
      <c r="E681" s="2" t="inlineStr">
        <is>
          <t>2.0mm</t>
        </is>
      </c>
      <c r="F681" s="2" t="n">
        <v>2</v>
      </c>
      <c r="G681" s="2" t="n">
        <v>20</v>
      </c>
      <c r="H681" s="2" t="inlineStr">
        <is>
          <t>SC/PC</t>
        </is>
      </c>
      <c r="I681" s="2" t="inlineStr">
        <is>
          <t>SC/APC</t>
        </is>
      </c>
      <c r="J681" s="2" t="n"/>
      <c r="K681" s="2" t="n"/>
      <c r="L681" s="2" t="n">
        <v>20</v>
      </c>
      <c r="M681" s="2" t="n">
        <v>10</v>
      </c>
      <c r="N681" s="2" t="n"/>
      <c r="O681" s="2" t="n"/>
      <c r="P681" s="2" t="n"/>
      <c r="Q681" s="2" t="n"/>
      <c r="R681" s="2" t="n"/>
      <c r="S681" s="2" t="n">
        <v>20</v>
      </c>
      <c r="T681" s="2" t="n"/>
      <c r="U681" s="2" t="n"/>
      <c r="V681" s="2">
        <f>SUM(J681:U681)</f>
        <v/>
      </c>
      <c r="W681" s="2" t="n"/>
      <c r="X681" s="2" t="n"/>
      <c r="Y681" s="2" t="n"/>
      <c r="Z681" s="2" t="n"/>
      <c r="AA681" s="2" t="n">
        <v>100</v>
      </c>
      <c r="AB681" s="2" t="n"/>
      <c r="AC681" s="2" t="n"/>
      <c r="AD681" s="2" t="n">
        <v>100</v>
      </c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>
        <f>IF(F681=1,V681*2,IF(F681=2,V681*F681*2,IF(F681&gt;2,F681*2*V681)))</f>
        <v/>
      </c>
      <c r="AW681" s="2">
        <f>SUM(W681:AU681)</f>
        <v/>
      </c>
    </row>
    <row r="682">
      <c r="A682" s="2" t="inlineStr">
        <is>
          <t>A14-DB-N451</t>
        </is>
      </c>
      <c r="B682" s="3" t="inlineStr">
        <is>
          <t>DOJC-SM-SC/PC-SC/APC</t>
        </is>
      </c>
      <c r="C682" s="2" t="inlineStr">
        <is>
          <t>908040253, 2M, B3, 3.0mm</t>
        </is>
      </c>
      <c r="D682" s="2" t="inlineStr">
        <is>
          <t>b3</t>
        </is>
      </c>
      <c r="E682" s="2" t="inlineStr">
        <is>
          <t>3.0mm</t>
        </is>
      </c>
      <c r="F682" s="2" t="n">
        <v>2</v>
      </c>
      <c r="G682" s="2" t="n">
        <v>2</v>
      </c>
      <c r="H682" s="2" t="inlineStr">
        <is>
          <t>SC/PC</t>
        </is>
      </c>
      <c r="I682" s="2" t="inlineStr">
        <is>
          <t>SC/APC</t>
        </is>
      </c>
      <c r="J682" s="2" t="n"/>
      <c r="K682" s="2" t="n">
        <v>35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>
        <f>SUM(J682:U682)</f>
        <v/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>
        <v>70</v>
      </c>
      <c r="AO682" s="2" t="n"/>
      <c r="AP682" s="2" t="n"/>
      <c r="AQ682" s="2" t="n">
        <v>70</v>
      </c>
      <c r="AR682" s="2" t="n"/>
      <c r="AS682" s="2" t="n"/>
      <c r="AT682" s="2" t="n"/>
      <c r="AU682" s="2" t="n"/>
      <c r="AV682" s="2">
        <f>IF(F682=1,V682*2,IF(F682=2,V682*F682*2,IF(F682&gt;2,F682*2*V682)))</f>
        <v/>
      </c>
      <c r="AW682" s="2">
        <f>SUM(W682:AU682)</f>
        <v/>
      </c>
    </row>
    <row r="683">
      <c r="A683" s="2" t="inlineStr">
        <is>
          <t>A14-DB-N455</t>
        </is>
      </c>
      <c r="B683" s="3" t="inlineStr">
        <is>
          <t>DOJC-SM-SC/PC-SC/APC</t>
        </is>
      </c>
      <c r="C683" s="2" t="inlineStr">
        <is>
          <t>908040251, 3M, B3, 3.0mm</t>
        </is>
      </c>
      <c r="D683" s="2" t="inlineStr">
        <is>
          <t>b3</t>
        </is>
      </c>
      <c r="E683" s="2" t="inlineStr">
        <is>
          <t>3.0mm</t>
        </is>
      </c>
      <c r="F683" s="2" t="n">
        <v>2</v>
      </c>
      <c r="G683" s="2" t="n">
        <v>3</v>
      </c>
      <c r="H683" s="2" t="inlineStr">
        <is>
          <t>SC/PC</t>
        </is>
      </c>
      <c r="I683" s="2" t="inlineStr">
        <is>
          <t>SC/APC</t>
        </is>
      </c>
      <c r="J683" s="2" t="n">
        <v>210</v>
      </c>
      <c r="K683" s="2" t="n"/>
      <c r="L683" s="2" t="n"/>
      <c r="M683" s="2" t="n"/>
      <c r="N683" s="2" t="n">
        <v>30</v>
      </c>
      <c r="O683" s="2" t="n">
        <v>50</v>
      </c>
      <c r="P683" s="2" t="n">
        <v>25</v>
      </c>
      <c r="Q683" s="2" t="n">
        <v>460</v>
      </c>
      <c r="R683" s="2" t="n">
        <v>30</v>
      </c>
      <c r="S683" s="2" t="n"/>
      <c r="T683" s="2" t="n">
        <v>120</v>
      </c>
      <c r="U683" s="2" t="n"/>
      <c r="V683" s="2">
        <f>SUM(J683:U683)</f>
        <v/>
      </c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>
        <v>1850</v>
      </c>
      <c r="AO683" s="2" t="n"/>
      <c r="AP683" s="2" t="n"/>
      <c r="AQ683" s="2" t="n">
        <v>1850</v>
      </c>
      <c r="AR683" s="2" t="n"/>
      <c r="AS683" s="2" t="n"/>
      <c r="AT683" s="2" t="n"/>
      <c r="AU683" s="2" t="n"/>
      <c r="AV683" s="2">
        <f>IF(F683=1,V683*2,IF(F683=2,V683*F683*2,IF(F683&gt;2,F683*2*V683)))</f>
        <v/>
      </c>
      <c r="AW683" s="2">
        <f>SUM(W683:AU683)</f>
        <v/>
      </c>
    </row>
    <row r="684">
      <c r="A684" s="2" t="inlineStr">
        <is>
          <t>A14-DB-N458</t>
        </is>
      </c>
      <c r="B684" s="3" t="inlineStr">
        <is>
          <t>DOJC-SM-SC/PC-SC/APC</t>
        </is>
      </c>
      <c r="C684" s="2" t="inlineStr">
        <is>
          <t>908040254, 4M, B3, 3.0mm</t>
        </is>
      </c>
      <c r="D684" s="2" t="inlineStr">
        <is>
          <t>b3</t>
        </is>
      </c>
      <c r="E684" s="2" t="inlineStr">
        <is>
          <t>3.0mm</t>
        </is>
      </c>
      <c r="F684" s="2" t="n">
        <v>2</v>
      </c>
      <c r="G684" s="2" t="n">
        <v>4</v>
      </c>
      <c r="H684" s="2" t="inlineStr">
        <is>
          <t>SC/PC</t>
        </is>
      </c>
      <c r="I684" s="2" t="inlineStr">
        <is>
          <t>SC/APC</t>
        </is>
      </c>
      <c r="J684" s="2" t="n"/>
      <c r="K684" s="2" t="n"/>
      <c r="L684" s="2" t="n">
        <v>20</v>
      </c>
      <c r="M684" s="2" t="n"/>
      <c r="N684" s="2" t="n"/>
      <c r="O684" s="2" t="n"/>
      <c r="P684" s="2" t="n"/>
      <c r="Q684" s="2" t="n"/>
      <c r="R684" s="2" t="n">
        <v>60</v>
      </c>
      <c r="S684" s="2" t="n"/>
      <c r="T684" s="2" t="n"/>
      <c r="U684" s="2" t="n"/>
      <c r="V684" s="2">
        <f>SUM(J684:U684)</f>
        <v/>
      </c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>
        <v>160</v>
      </c>
      <c r="AO684" s="2" t="n"/>
      <c r="AP684" s="2" t="n"/>
      <c r="AQ684" s="2" t="n">
        <v>160</v>
      </c>
      <c r="AR684" s="2" t="n"/>
      <c r="AS684" s="2" t="n"/>
      <c r="AT684" s="2" t="n"/>
      <c r="AU684" s="2" t="n"/>
      <c r="AV684" s="2">
        <f>IF(F684=1,V684*2,IF(F684=2,V684*F684*2,IF(F684&gt;2,F684*2*V684)))</f>
        <v/>
      </c>
      <c r="AW684" s="2">
        <f>SUM(W684:AU684)</f>
        <v/>
      </c>
    </row>
    <row r="685">
      <c r="A685" s="2" t="inlineStr">
        <is>
          <t>A14-DB-N461</t>
        </is>
      </c>
      <c r="B685" s="3" t="inlineStr">
        <is>
          <t>DOJC-SM-SC/PC-SC/APC</t>
        </is>
      </c>
      <c r="C685" s="2" t="inlineStr">
        <is>
          <t>908040257, 7M, B3, 2.0mm</t>
        </is>
      </c>
      <c r="D685" s="2" t="inlineStr">
        <is>
          <t>b3</t>
        </is>
      </c>
      <c r="E685" s="2" t="inlineStr">
        <is>
          <t>2.0mm</t>
        </is>
      </c>
      <c r="F685" s="2" t="n">
        <v>2</v>
      </c>
      <c r="G685" s="2" t="n">
        <v>7</v>
      </c>
      <c r="H685" s="2" t="inlineStr">
        <is>
          <t>SC/PC</t>
        </is>
      </c>
      <c r="I685" s="2" t="inlineStr">
        <is>
          <t>SC/APC</t>
        </is>
      </c>
      <c r="J685" s="2" t="n"/>
      <c r="K685" s="2" t="n">
        <v>10</v>
      </c>
      <c r="L685" s="2" t="n">
        <v>20</v>
      </c>
      <c r="M685" s="2" t="n"/>
      <c r="N685" s="2" t="n"/>
      <c r="O685" s="2" t="n"/>
      <c r="P685" s="2" t="n"/>
      <c r="Q685" s="2" t="n">
        <v>20</v>
      </c>
      <c r="R685" s="2" t="n">
        <v>40</v>
      </c>
      <c r="S685" s="2" t="n"/>
      <c r="T685" s="2" t="n"/>
      <c r="U685" s="2" t="n"/>
      <c r="V685" s="2">
        <f>SUM(J685:U685)</f>
        <v/>
      </c>
      <c r="W685" s="2" t="n"/>
      <c r="X685" s="2" t="n"/>
      <c r="Y685" s="2" t="n"/>
      <c r="Z685" s="2" t="n"/>
      <c r="AA685" s="2" t="n">
        <v>180</v>
      </c>
      <c r="AB685" s="2" t="n"/>
      <c r="AC685" s="2" t="n"/>
      <c r="AD685" s="2" t="n">
        <v>180</v>
      </c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>
        <f>IF(F685=1,V685*2,IF(F685=2,V685*F685*2,IF(F685&gt;2,F685*2*V685)))</f>
        <v/>
      </c>
      <c r="AW685" s="2">
        <f>SUM(W685:AU685)</f>
        <v/>
      </c>
    </row>
    <row r="686">
      <c r="A686" s="2" t="inlineStr">
        <is>
          <t>A14-DB-N464</t>
        </is>
      </c>
      <c r="B686" s="3" t="inlineStr">
        <is>
          <t>DOJC-SM-SC/PC-SC/PC</t>
        </is>
      </c>
      <c r="C686" s="2" t="inlineStr">
        <is>
          <t>908040230, 10M, B3, 2.0mm</t>
        </is>
      </c>
      <c r="D686" s="2" t="inlineStr">
        <is>
          <t>b3</t>
        </is>
      </c>
      <c r="E686" s="2" t="inlineStr">
        <is>
          <t>2.0mm</t>
        </is>
      </c>
      <c r="F686" s="2" t="n">
        <v>2</v>
      </c>
      <c r="G686" s="2" t="n">
        <v>10</v>
      </c>
      <c r="H686" s="2" t="inlineStr">
        <is>
          <t>SC/PC</t>
        </is>
      </c>
      <c r="I686" s="2" t="inlineStr">
        <is>
          <t>SC/PC</t>
        </is>
      </c>
      <c r="J686" s="2" t="n">
        <v>200</v>
      </c>
      <c r="K686" s="2" t="n"/>
      <c r="L686" s="2" t="n"/>
      <c r="M686" s="2" t="n"/>
      <c r="N686" s="2" t="n"/>
      <c r="O686" s="2" t="n"/>
      <c r="P686" s="2" t="n"/>
      <c r="Q686" s="2" t="n">
        <v>17</v>
      </c>
      <c r="R686" s="2" t="n">
        <v>130</v>
      </c>
      <c r="S686" s="2" t="n">
        <v>76</v>
      </c>
      <c r="T686" s="2" t="n">
        <v>50</v>
      </c>
      <c r="U686" s="2" t="n"/>
      <c r="V686" s="2">
        <f>SUM(J686:U686)</f>
        <v/>
      </c>
      <c r="W686" s="2" t="n"/>
      <c r="X686" s="2" t="n"/>
      <c r="Y686" s="2" t="n"/>
      <c r="Z686" s="2" t="n"/>
      <c r="AA686" s="2" t="n">
        <v>946</v>
      </c>
      <c r="AB686" s="2" t="n">
        <v>946</v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>
        <f>IF(F686=1,V686*2,IF(F686=2,V686*F686*2,IF(F686&gt;2,F686*2*V686)))</f>
        <v/>
      </c>
      <c r="AW686" s="2">
        <f>SUM(W686:AU686)</f>
        <v/>
      </c>
    </row>
    <row r="687">
      <c r="A687" s="2" t="inlineStr">
        <is>
          <t>A14-DB-N466</t>
        </is>
      </c>
      <c r="B687" s="3" t="inlineStr">
        <is>
          <t>DOJC-SM-SC/PC-SC/PC</t>
        </is>
      </c>
      <c r="C687" s="2" t="inlineStr">
        <is>
          <t>908040235, 15M, B3, 2.0mm</t>
        </is>
      </c>
      <c r="D687" s="2" t="inlineStr">
        <is>
          <t>b3</t>
        </is>
      </c>
      <c r="E687" s="2" t="inlineStr">
        <is>
          <t>2.0mm</t>
        </is>
      </c>
      <c r="F687" s="2" t="n">
        <v>2</v>
      </c>
      <c r="G687" s="2" t="n">
        <v>15</v>
      </c>
      <c r="H687" s="2" t="inlineStr">
        <is>
          <t>SC/PC</t>
        </is>
      </c>
      <c r="I687" s="2" t="inlineStr">
        <is>
          <t>SC/PC</t>
        </is>
      </c>
      <c r="J687" s="2" t="n">
        <v>200</v>
      </c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>
        <v>44</v>
      </c>
      <c r="U687" s="2" t="n"/>
      <c r="V687" s="2">
        <f>SUM(J687:U687)</f>
        <v/>
      </c>
      <c r="W687" s="2" t="n"/>
      <c r="X687" s="2" t="n"/>
      <c r="Y687" s="2" t="n"/>
      <c r="Z687" s="2" t="n"/>
      <c r="AA687" s="2" t="n">
        <v>488</v>
      </c>
      <c r="AB687" s="2" t="n">
        <v>488</v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>
        <f>IF(F687=1,V687*2,IF(F687=2,V687*F687*2,IF(F687&gt;2,F687*2*V687)))</f>
        <v/>
      </c>
      <c r="AW687" s="2">
        <f>SUM(W687:AU687)</f>
        <v/>
      </c>
    </row>
    <row r="688">
      <c r="A688" s="2" t="inlineStr">
        <is>
          <t>A14-DB-N467</t>
        </is>
      </c>
      <c r="B688" s="3" t="inlineStr">
        <is>
          <t>DOJC-SM-SC/PC-SC/PC</t>
        </is>
      </c>
      <c r="C688" s="2" t="inlineStr">
        <is>
          <t>908040222, 1M, B3, 3.0mm</t>
        </is>
      </c>
      <c r="D688" s="2" t="inlineStr">
        <is>
          <t>b3</t>
        </is>
      </c>
      <c r="E688" s="2" t="inlineStr">
        <is>
          <t>3.0mm</t>
        </is>
      </c>
      <c r="F688" s="2" t="n">
        <v>2</v>
      </c>
      <c r="G688" s="2" t="n">
        <v>1</v>
      </c>
      <c r="H688" s="2" t="inlineStr">
        <is>
          <t>SC/PC</t>
        </is>
      </c>
      <c r="I688" s="2" t="inlineStr">
        <is>
          <t>SC/PC</t>
        </is>
      </c>
      <c r="J688" s="2" t="n">
        <v>100</v>
      </c>
      <c r="K688" s="2" t="n">
        <v>60</v>
      </c>
      <c r="L688" s="2" t="n">
        <v>200</v>
      </c>
      <c r="M688" s="2" t="n">
        <v>100</v>
      </c>
      <c r="N688" s="2" t="n"/>
      <c r="O688" s="2" t="n">
        <v>30</v>
      </c>
      <c r="P688" s="2" t="n">
        <v>180</v>
      </c>
      <c r="Q688" s="2" t="n">
        <v>30</v>
      </c>
      <c r="R688" s="2" t="n"/>
      <c r="S688" s="2" t="n">
        <v>20</v>
      </c>
      <c r="T688" s="2" t="n"/>
      <c r="U688" s="2" t="n"/>
      <c r="V688" s="2">
        <f>SUM(J688:U688)</f>
        <v/>
      </c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>
        <v>1440</v>
      </c>
      <c r="AO688" s="2" t="n">
        <v>1440</v>
      </c>
      <c r="AP688" s="2" t="n"/>
      <c r="AQ688" s="2" t="n"/>
      <c r="AR688" s="2" t="n"/>
      <c r="AS688" s="2" t="n"/>
      <c r="AT688" s="2" t="n"/>
      <c r="AU688" s="2" t="n"/>
      <c r="AV688" s="2">
        <f>IF(F688=1,V688*2,IF(F688=2,V688*F688*2,IF(F688&gt;2,F688*2*V688)))</f>
        <v/>
      </c>
      <c r="AW688" s="2">
        <f>SUM(W688:AU688)</f>
        <v/>
      </c>
    </row>
    <row r="689">
      <c r="A689" s="2" t="inlineStr">
        <is>
          <t>A14-DB-N468</t>
        </is>
      </c>
      <c r="B689" s="3" t="inlineStr">
        <is>
          <t>DOJC-SM-SC/PC-SC/PC</t>
        </is>
      </c>
      <c r="C689" s="2" t="inlineStr">
        <is>
          <t>908040240, 20M, B3, 2.0mm</t>
        </is>
      </c>
      <c r="D689" s="2" t="inlineStr">
        <is>
          <t>b3</t>
        </is>
      </c>
      <c r="E689" s="2" t="inlineStr">
        <is>
          <t>2.0mm</t>
        </is>
      </c>
      <c r="F689" s="2" t="n">
        <v>2</v>
      </c>
      <c r="G689" s="2" t="n">
        <v>20</v>
      </c>
      <c r="H689" s="2" t="inlineStr">
        <is>
          <t>SC/PC</t>
        </is>
      </c>
      <c r="I689" s="2" t="inlineStr">
        <is>
          <t>SC/PC</t>
        </is>
      </c>
      <c r="J689" s="2" t="n"/>
      <c r="K689" s="2" t="n">
        <v>15</v>
      </c>
      <c r="L689" s="2" t="n">
        <v>40</v>
      </c>
      <c r="M689" s="2" t="n"/>
      <c r="N689" s="2" t="n">
        <v>5</v>
      </c>
      <c r="O689" s="2" t="n">
        <v>10</v>
      </c>
      <c r="P689" s="2" t="n">
        <v>25</v>
      </c>
      <c r="Q689" s="2" t="n">
        <v>85</v>
      </c>
      <c r="R689" s="2" t="n"/>
      <c r="S689" s="2" t="n">
        <v>8</v>
      </c>
      <c r="T689" s="2" t="n">
        <v>23</v>
      </c>
      <c r="U689" s="2" t="n">
        <v>20</v>
      </c>
      <c r="V689" s="2">
        <f>SUM(J689:U689)</f>
        <v/>
      </c>
      <c r="W689" s="2" t="n"/>
      <c r="X689" s="2" t="n"/>
      <c r="Y689" s="2" t="n"/>
      <c r="Z689" s="2" t="n"/>
      <c r="AA689" s="2" t="n">
        <v>462</v>
      </c>
      <c r="AB689" s="2" t="n">
        <v>462</v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>
        <f>IF(F689=1,V689*2,IF(F689=2,V689*F689*2,IF(F689&gt;2,F689*2*V689)))</f>
        <v/>
      </c>
      <c r="AW689" s="2">
        <f>SUM(W689:AU689)</f>
        <v/>
      </c>
    </row>
    <row r="690">
      <c r="A690" s="2" t="inlineStr">
        <is>
          <t>A14-DB-N470</t>
        </is>
      </c>
      <c r="B690" s="3" t="inlineStr">
        <is>
          <t>DOJC-SM-SC/PC-SC/PC</t>
        </is>
      </c>
      <c r="C690" s="2" t="inlineStr">
        <is>
          <t>908040245, 25M, B3, 2.0mm</t>
        </is>
      </c>
      <c r="D690" s="2" t="inlineStr">
        <is>
          <t>b3</t>
        </is>
      </c>
      <c r="E690" s="2" t="inlineStr">
        <is>
          <t>2.0mm</t>
        </is>
      </c>
      <c r="F690" s="2" t="n">
        <v>2</v>
      </c>
      <c r="G690" s="2" t="n">
        <v>25</v>
      </c>
      <c r="H690" s="2" t="inlineStr">
        <is>
          <t>SC/PC</t>
        </is>
      </c>
      <c r="I690" s="2" t="inlineStr">
        <is>
          <t>SC/PC</t>
        </is>
      </c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>
        <v>23</v>
      </c>
      <c r="U690" s="2" t="n"/>
      <c r="V690" s="2">
        <f>SUM(J690:U690)</f>
        <v/>
      </c>
      <c r="W690" s="2" t="n"/>
      <c r="X690" s="2" t="n"/>
      <c r="Y690" s="2" t="n"/>
      <c r="Z690" s="2" t="n"/>
      <c r="AA690" s="2" t="n">
        <v>46</v>
      </c>
      <c r="AB690" s="2" t="n">
        <v>46</v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>
        <f>IF(F690=1,V690*2,IF(F690=2,V690*F690*2,IF(F690&gt;2,F690*2*V690)))</f>
        <v/>
      </c>
      <c r="AW690" s="2">
        <f>SUM(W690:AU690)</f>
        <v/>
      </c>
    </row>
    <row r="691">
      <c r="A691" s="2" t="inlineStr">
        <is>
          <t>A14-DB-N471</t>
        </is>
      </c>
      <c r="B691" s="3" t="inlineStr">
        <is>
          <t>DOJC-SM-SC/PC-SC/PC</t>
        </is>
      </c>
      <c r="C691" s="2" t="inlineStr">
        <is>
          <t>908040223, 2M, B3, 3.0mm</t>
        </is>
      </c>
      <c r="D691" s="2" t="inlineStr">
        <is>
          <t>b3</t>
        </is>
      </c>
      <c r="E691" s="2" t="inlineStr">
        <is>
          <t>3.0mm</t>
        </is>
      </c>
      <c r="F691" s="2" t="n">
        <v>2</v>
      </c>
      <c r="G691" s="2" t="n">
        <v>2</v>
      </c>
      <c r="H691" s="2" t="inlineStr">
        <is>
          <t>SC/PC</t>
        </is>
      </c>
      <c r="I691" s="2" t="inlineStr">
        <is>
          <t>SC/PC</t>
        </is>
      </c>
      <c r="J691" s="2" t="n"/>
      <c r="K691" s="2" t="n">
        <v>30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>
        <f>SUM(J691:U691)</f>
        <v/>
      </c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>
        <v>60</v>
      </c>
      <c r="AO691" s="2" t="n">
        <v>60</v>
      </c>
      <c r="AP691" s="2" t="n"/>
      <c r="AQ691" s="2" t="n"/>
      <c r="AR691" s="2" t="n"/>
      <c r="AS691" s="2" t="n"/>
      <c r="AT691" s="2" t="n"/>
      <c r="AU691" s="2" t="n"/>
      <c r="AV691" s="2">
        <f>IF(F691=1,V691*2,IF(F691=2,V691*F691*2,IF(F691&gt;2,F691*2*V691)))</f>
        <v/>
      </c>
      <c r="AW691" s="2">
        <f>SUM(W691:AU691)</f>
        <v/>
      </c>
    </row>
    <row r="692">
      <c r="A692" s="2" t="inlineStr">
        <is>
          <t>A14-DB-N472</t>
        </is>
      </c>
      <c r="B692" s="3" t="inlineStr">
        <is>
          <t>DOJC-SM-SC/PC-SC/PC</t>
        </is>
      </c>
      <c r="C692" s="2" t="inlineStr">
        <is>
          <t>908040250, 30M, B3, 2.0mm</t>
        </is>
      </c>
      <c r="D692" s="2" t="inlineStr">
        <is>
          <t>b3</t>
        </is>
      </c>
      <c r="E692" s="2" t="inlineStr">
        <is>
          <t>2.0mm</t>
        </is>
      </c>
      <c r="F692" s="2" t="n">
        <v>2</v>
      </c>
      <c r="G692" s="2" t="n">
        <v>30</v>
      </c>
      <c r="H692" s="2" t="inlineStr">
        <is>
          <t>SC/PC</t>
        </is>
      </c>
      <c r="I692" s="2" t="inlineStr">
        <is>
          <t>SC/PC</t>
        </is>
      </c>
      <c r="J692" s="2" t="n"/>
      <c r="K692" s="2" t="n"/>
      <c r="L692" s="2" t="n">
        <v>10</v>
      </c>
      <c r="M692" s="2" t="n"/>
      <c r="N692" s="2" t="n">
        <v>35</v>
      </c>
      <c r="O692" s="2" t="n"/>
      <c r="P692" s="2" t="n">
        <v>5</v>
      </c>
      <c r="Q692" s="2" t="n">
        <v>1</v>
      </c>
      <c r="R692" s="2" t="n">
        <v>10</v>
      </c>
      <c r="S692" s="2" t="n">
        <v>10</v>
      </c>
      <c r="T692" s="2" t="n"/>
      <c r="U692" s="2" t="n">
        <v>1</v>
      </c>
      <c r="V692" s="2">
        <f>SUM(J692:U692)</f>
        <v/>
      </c>
      <c r="W692" s="2" t="n"/>
      <c r="X692" s="2" t="n"/>
      <c r="Y692" s="2" t="n"/>
      <c r="Z692" s="2" t="n"/>
      <c r="AA692" s="2" t="n">
        <v>144</v>
      </c>
      <c r="AB692" s="2" t="n">
        <v>144</v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>
        <f>IF(F692=1,V692*2,IF(F692=2,V692*F692*2,IF(F692&gt;2,F692*2*V692)))</f>
        <v/>
      </c>
      <c r="AW692" s="2">
        <f>SUM(W692:AU692)</f>
        <v/>
      </c>
    </row>
    <row r="693">
      <c r="A693" s="2" t="inlineStr">
        <is>
          <t>A14-DB-N474</t>
        </is>
      </c>
      <c r="B693" s="3" t="inlineStr">
        <is>
          <t>DOJC-SM-SC/PC-SC/PC</t>
        </is>
      </c>
      <c r="C693" s="2" t="inlineStr">
        <is>
          <t>908040221, 3M, B3, 3.0mm</t>
        </is>
      </c>
      <c r="D693" s="2" t="inlineStr">
        <is>
          <t>b3</t>
        </is>
      </c>
      <c r="E693" s="2" t="inlineStr">
        <is>
          <t>3.0mm</t>
        </is>
      </c>
      <c r="F693" s="2" t="n">
        <v>2</v>
      </c>
      <c r="G693" s="2" t="n">
        <v>3</v>
      </c>
      <c r="H693" s="2" t="inlineStr">
        <is>
          <t>SC/PC</t>
        </is>
      </c>
      <c r="I693" s="2" t="inlineStr">
        <is>
          <t>SC/PC</t>
        </is>
      </c>
      <c r="J693" s="2" t="n">
        <v>270</v>
      </c>
      <c r="K693" s="2" t="n"/>
      <c r="L693" s="2" t="n">
        <v>300</v>
      </c>
      <c r="M693" s="2" t="n">
        <v>100</v>
      </c>
      <c r="N693" s="2" t="n">
        <v>300</v>
      </c>
      <c r="O693" s="2" t="n"/>
      <c r="P693" s="2" t="n"/>
      <c r="Q693" s="2" t="n"/>
      <c r="R693" s="2" t="n">
        <v>46</v>
      </c>
      <c r="S693" s="2" t="n">
        <v>10</v>
      </c>
      <c r="T693" s="2" t="n">
        <v>50</v>
      </c>
      <c r="U693" s="2" t="n"/>
      <c r="V693" s="2">
        <f>SUM(J693:U693)</f>
        <v/>
      </c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>
        <v>2152</v>
      </c>
      <c r="AO693" s="2" t="n">
        <v>2152</v>
      </c>
      <c r="AP693" s="2" t="n"/>
      <c r="AQ693" s="2" t="n"/>
      <c r="AR693" s="2" t="n"/>
      <c r="AS693" s="2" t="n"/>
      <c r="AT693" s="2" t="n"/>
      <c r="AU693" s="2" t="n"/>
      <c r="AV693" s="2">
        <f>IF(F693=1,V693*2,IF(F693=2,V693*F693*2,IF(F693&gt;2,F693*2*V693)))</f>
        <v/>
      </c>
      <c r="AW693" s="2">
        <f>SUM(W693:AU693)</f>
        <v/>
      </c>
    </row>
    <row r="694">
      <c r="A694" s="2" t="inlineStr">
        <is>
          <t>A14-DB-N487</t>
        </is>
      </c>
      <c r="B694" s="3" t="inlineStr">
        <is>
          <t>DOJC-SM-SC/PC-SC/PC</t>
        </is>
      </c>
      <c r="C694" s="2" t="inlineStr">
        <is>
          <t>908040228, 8M, B3, 2.0mm</t>
        </is>
      </c>
      <c r="D694" s="2" t="inlineStr">
        <is>
          <t>b3</t>
        </is>
      </c>
      <c r="E694" s="2" t="inlineStr">
        <is>
          <t>2.0mm</t>
        </is>
      </c>
      <c r="F694" s="2" t="n">
        <v>2</v>
      </c>
      <c r="G694" s="2" t="n">
        <v>8</v>
      </c>
      <c r="H694" s="2" t="inlineStr">
        <is>
          <t>SC/PC</t>
        </is>
      </c>
      <c r="I694" s="2" t="inlineStr">
        <is>
          <t>SC/PC</t>
        </is>
      </c>
      <c r="J694" s="2" t="n">
        <v>20</v>
      </c>
      <c r="K694" s="2" t="n"/>
      <c r="L694" s="2" t="n"/>
      <c r="M694" s="2" t="n">
        <v>25</v>
      </c>
      <c r="N694" s="2" t="n"/>
      <c r="O694" s="2" t="n">
        <v>90</v>
      </c>
      <c r="P694" s="2" t="n">
        <v>10</v>
      </c>
      <c r="Q694" s="2" t="n"/>
      <c r="R694" s="2" t="n">
        <v>60</v>
      </c>
      <c r="S694" s="2" t="n"/>
      <c r="T694" s="2" t="n">
        <v>2</v>
      </c>
      <c r="U694" s="2" t="n"/>
      <c r="V694" s="2">
        <f>SUM(J694:U694)</f>
        <v/>
      </c>
      <c r="W694" s="2" t="n"/>
      <c r="X694" s="2" t="n"/>
      <c r="Y694" s="2" t="n"/>
      <c r="Z694" s="2" t="n"/>
      <c r="AA694" s="2" t="n">
        <v>414</v>
      </c>
      <c r="AB694" s="2" t="n">
        <v>414</v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>
        <f>IF(F694=1,V694*2,IF(F694=2,V694*F694*2,IF(F694&gt;2,F694*2*V694)))</f>
        <v/>
      </c>
      <c r="AW694" s="2">
        <f>SUM(W694:AU694)</f>
        <v/>
      </c>
    </row>
    <row r="695">
      <c r="A695" s="2" t="inlineStr">
        <is>
          <t>A14-DB-N488</t>
        </is>
      </c>
      <c r="B695" s="3" t="inlineStr">
        <is>
          <t>DOJC-SM-SC/PC-SC/PC</t>
        </is>
      </c>
      <c r="C695" s="2" t="inlineStr">
        <is>
          <t>11M, B3, 2.0mm</t>
        </is>
      </c>
      <c r="D695" s="2" t="inlineStr">
        <is>
          <t>b3</t>
        </is>
      </c>
      <c r="E695" s="2" t="inlineStr">
        <is>
          <t>2.0mm</t>
        </is>
      </c>
      <c r="F695" s="2" t="n">
        <v>2</v>
      </c>
      <c r="G695" s="2" t="n">
        <v>11</v>
      </c>
      <c r="H695" s="2" t="inlineStr">
        <is>
          <t>SC/PC</t>
        </is>
      </c>
      <c r="I695" s="2" t="inlineStr">
        <is>
          <t>SC/PC</t>
        </is>
      </c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>
        <v>2</v>
      </c>
      <c r="U695" s="2" t="n"/>
      <c r="V695" s="2">
        <f>SUM(J695:U695)</f>
        <v/>
      </c>
      <c r="W695" s="2" t="n"/>
      <c r="X695" s="2" t="n"/>
      <c r="Y695" s="2" t="n"/>
      <c r="Z695" s="2" t="n"/>
      <c r="AA695" s="2" t="n">
        <v>4</v>
      </c>
      <c r="AB695" s="2" t="n">
        <v>4</v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>
        <f>IF(F695=1,V695*2,IF(F695=2,V695*F695*2,IF(F695&gt;2,F695*2*V695)))</f>
        <v/>
      </c>
      <c r="AW695" s="2">
        <f>SUM(W695:AU695)</f>
        <v/>
      </c>
    </row>
    <row r="696">
      <c r="A696" s="2" t="inlineStr">
        <is>
          <t>A14-DB-N489</t>
        </is>
      </c>
      <c r="B696" s="3" t="inlineStr">
        <is>
          <t>DOJC-SM-SC/PC-SC/PC</t>
        </is>
      </c>
      <c r="C696" s="2" t="inlineStr">
        <is>
          <t>16M, B3, 2.0mm</t>
        </is>
      </c>
      <c r="D696" s="2" t="inlineStr">
        <is>
          <t>b3</t>
        </is>
      </c>
      <c r="E696" s="2" t="inlineStr">
        <is>
          <t>2.0mm</t>
        </is>
      </c>
      <c r="F696" s="2" t="n">
        <v>2</v>
      </c>
      <c r="G696" s="2" t="n">
        <v>16</v>
      </c>
      <c r="H696" s="2" t="inlineStr">
        <is>
          <t>SC/PC</t>
        </is>
      </c>
      <c r="I696" s="2" t="inlineStr">
        <is>
          <t>SC/PC</t>
        </is>
      </c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>
        <v>2</v>
      </c>
      <c r="U696" s="2" t="n"/>
      <c r="V696" s="2">
        <f>SUM(J696:U696)</f>
        <v/>
      </c>
      <c r="W696" s="2" t="n"/>
      <c r="X696" s="2" t="n"/>
      <c r="Y696" s="2" t="n"/>
      <c r="Z696" s="2" t="n"/>
      <c r="AA696" s="2" t="n">
        <v>4</v>
      </c>
      <c r="AB696" s="2" t="n">
        <v>4</v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>
        <f>IF(F696=1,V696*2,IF(F696=2,V696*F696*2,IF(F696&gt;2,F696*2*V696)))</f>
        <v/>
      </c>
      <c r="AW696" s="2">
        <f>SUM(W696:AU696)</f>
        <v/>
      </c>
    </row>
    <row r="697">
      <c r="A697" s="2" t="inlineStr">
        <is>
          <t>A14-DB-N490</t>
        </is>
      </c>
      <c r="B697" s="3" t="inlineStr">
        <is>
          <t>DOJC-SM-SC/PC-SC/PC</t>
        </is>
      </c>
      <c r="C697" s="2" t="inlineStr">
        <is>
          <t>21M, B3, 2.0mm</t>
        </is>
      </c>
      <c r="D697" s="2" t="inlineStr">
        <is>
          <t>b3</t>
        </is>
      </c>
      <c r="E697" s="2" t="inlineStr">
        <is>
          <t>2.0mm</t>
        </is>
      </c>
      <c r="F697" s="2" t="n">
        <v>2</v>
      </c>
      <c r="G697" s="2" t="n">
        <v>21</v>
      </c>
      <c r="H697" s="2" t="inlineStr">
        <is>
          <t>SC/PC</t>
        </is>
      </c>
      <c r="I697" s="2" t="inlineStr">
        <is>
          <t>SC/PC</t>
        </is>
      </c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>
        <v>2</v>
      </c>
      <c r="U697" s="2" t="n"/>
      <c r="V697" s="2">
        <f>SUM(J697:U697)</f>
        <v/>
      </c>
      <c r="W697" s="2" t="n"/>
      <c r="X697" s="2" t="n"/>
      <c r="Y697" s="2" t="n"/>
      <c r="Z697" s="2" t="n"/>
      <c r="AA697" s="2" t="n">
        <v>4</v>
      </c>
      <c r="AB697" s="2" t="n">
        <v>4</v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>
        <f>IF(F697=1,V697*2,IF(F697=2,V697*F697*2,IF(F697&gt;2,F697*2*V697)))</f>
        <v/>
      </c>
      <c r="AW697" s="2">
        <f>SUM(W697:AU697)</f>
        <v/>
      </c>
    </row>
    <row r="698">
      <c r="A698" s="2" t="inlineStr">
        <is>
          <t>A14-DB-N491</t>
        </is>
      </c>
      <c r="B698" s="3" t="inlineStr">
        <is>
          <t>DOJC-SM-SC/PC-SC/PC</t>
        </is>
      </c>
      <c r="C698" s="2" t="inlineStr">
        <is>
          <t>23M, B3, 2.0mm</t>
        </is>
      </c>
      <c r="D698" s="2" t="inlineStr">
        <is>
          <t>b3</t>
        </is>
      </c>
      <c r="E698" s="2" t="inlineStr">
        <is>
          <t>2.0mm</t>
        </is>
      </c>
      <c r="F698" s="2" t="n">
        <v>2</v>
      </c>
      <c r="G698" s="2" t="n">
        <v>23</v>
      </c>
      <c r="H698" s="2" t="inlineStr">
        <is>
          <t>SC/PC</t>
        </is>
      </c>
      <c r="I698" s="2" t="inlineStr">
        <is>
          <t>SC/PC</t>
        </is>
      </c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>
        <v>3</v>
      </c>
      <c r="U698" s="2" t="n"/>
      <c r="V698" s="2">
        <f>SUM(J698:U698)</f>
        <v/>
      </c>
      <c r="W698" s="2" t="n"/>
      <c r="X698" s="2" t="n"/>
      <c r="Y698" s="2" t="n"/>
      <c r="Z698" s="2" t="n"/>
      <c r="AA698" s="2" t="n">
        <v>6</v>
      </c>
      <c r="AB698" s="2" t="n">
        <v>6</v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>
        <f>IF(F698=1,V698*2,IF(F698=2,V698*F698*2,IF(F698&gt;2,F698*2*V698)))</f>
        <v/>
      </c>
      <c r="AW698" s="2">
        <f>SUM(W698:AU698)</f>
        <v/>
      </c>
    </row>
    <row r="699">
      <c r="A699" s="2" t="inlineStr">
        <is>
          <t>A14-DB-N492</t>
        </is>
      </c>
      <c r="B699" s="3" t="inlineStr">
        <is>
          <t>DOJC-SM-SC/PC-SC/PC</t>
        </is>
      </c>
      <c r="C699" s="2" t="inlineStr">
        <is>
          <t>27M, B3, 2.0mm</t>
        </is>
      </c>
      <c r="D699" s="2" t="inlineStr">
        <is>
          <t>b3</t>
        </is>
      </c>
      <c r="E699" s="2" t="inlineStr">
        <is>
          <t>2.0mm</t>
        </is>
      </c>
      <c r="F699" s="2" t="n">
        <v>2</v>
      </c>
      <c r="G699" s="2" t="n">
        <v>27</v>
      </c>
      <c r="H699" s="2" t="inlineStr">
        <is>
          <t>SC/PC</t>
        </is>
      </c>
      <c r="I699" s="2" t="inlineStr">
        <is>
          <t>SC/PC</t>
        </is>
      </c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>
        <v>1</v>
      </c>
      <c r="U699" s="2" t="n"/>
      <c r="V699" s="2">
        <f>SUM(J699:U699)</f>
        <v/>
      </c>
      <c r="W699" s="2" t="n"/>
      <c r="X699" s="2" t="n"/>
      <c r="Y699" s="2" t="n"/>
      <c r="Z699" s="2" t="n"/>
      <c r="AA699" s="2" t="n">
        <v>2</v>
      </c>
      <c r="AB699" s="2" t="n">
        <v>2</v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>
        <f>IF(F699=1,V699*2,IF(F699=2,V699*F699*2,IF(F699&gt;2,F699*2*V699)))</f>
        <v/>
      </c>
      <c r="AW699" s="2">
        <f>SUM(W699:AU699)</f>
        <v/>
      </c>
    </row>
    <row r="700">
      <c r="A700" s="2" t="inlineStr">
        <is>
          <t>A14-DB-N540</t>
        </is>
      </c>
      <c r="B700" s="3" t="inlineStr">
        <is>
          <t>DOJC-SM-LC/APC-LC/APC</t>
        </is>
      </c>
      <c r="C700" s="2" t="inlineStr">
        <is>
          <t>930003860, 15M, B3, 2.0mm</t>
        </is>
      </c>
      <c r="D700" s="2" t="inlineStr">
        <is>
          <t>b3</t>
        </is>
      </c>
      <c r="E700" s="2" t="inlineStr">
        <is>
          <t>2.0mm</t>
        </is>
      </c>
      <c r="F700" s="2" t="n">
        <v>2</v>
      </c>
      <c r="G700" s="2" t="n">
        <v>15</v>
      </c>
      <c r="H700" s="2" t="inlineStr">
        <is>
          <t>LC/APC</t>
        </is>
      </c>
      <c r="I700" s="2" t="inlineStr">
        <is>
          <t>LC/APC</t>
        </is>
      </c>
      <c r="J700" s="2" t="n"/>
      <c r="K700" s="2" t="n"/>
      <c r="L700" s="2" t="n"/>
      <c r="M700" s="2" t="n"/>
      <c r="N700" s="2" t="n"/>
      <c r="O700" s="2" t="n"/>
      <c r="P700" s="2" t="n"/>
      <c r="Q700" s="2" t="n">
        <v>30</v>
      </c>
      <c r="R700" s="2" t="n"/>
      <c r="S700" s="2" t="n">
        <v>15</v>
      </c>
      <c r="T700" s="2" t="n"/>
      <c r="U700" s="2" t="n"/>
      <c r="V700" s="2">
        <f>SUM(J700:U700)</f>
        <v/>
      </c>
      <c r="W700" s="2" t="n"/>
      <c r="X700" s="2" t="n"/>
      <c r="Y700" s="2" t="n">
        <v>90</v>
      </c>
      <c r="Z700" s="2" t="n">
        <v>90</v>
      </c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>
        <f>IF(F700=1,V700*2,IF(F700=2,V700*F700*2,IF(F700&gt;2,F700*2*V700)))</f>
        <v/>
      </c>
      <c r="AW700" s="2">
        <f>SUM(W700:AU700)</f>
        <v/>
      </c>
    </row>
    <row r="701">
      <c r="A701" s="2" t="inlineStr">
        <is>
          <t>A14-DB-N541</t>
        </is>
      </c>
      <c r="B701" s="3" t="inlineStr">
        <is>
          <t>DOJC-SM-LC/APC-LC/APC</t>
        </is>
      </c>
      <c r="C701" s="2" t="inlineStr">
        <is>
          <t>930003861, 20M, B3, 2.0mm</t>
        </is>
      </c>
      <c r="D701" s="2" t="inlineStr">
        <is>
          <t>b3</t>
        </is>
      </c>
      <c r="E701" s="2" t="inlineStr">
        <is>
          <t>2.0mm</t>
        </is>
      </c>
      <c r="F701" s="2" t="n">
        <v>2</v>
      </c>
      <c r="G701" s="2" t="n">
        <v>20</v>
      </c>
      <c r="H701" s="2" t="inlineStr">
        <is>
          <t>LC/APC</t>
        </is>
      </c>
      <c r="I701" s="2" t="inlineStr">
        <is>
          <t>LC/APC</t>
        </is>
      </c>
      <c r="J701" s="2" t="n"/>
      <c r="K701" s="2" t="n"/>
      <c r="L701" s="2" t="n"/>
      <c r="M701" s="2" t="n"/>
      <c r="N701" s="2" t="n"/>
      <c r="O701" s="2" t="n"/>
      <c r="P701" s="2" t="n">
        <v>30</v>
      </c>
      <c r="Q701" s="2" t="n"/>
      <c r="R701" s="2" t="n"/>
      <c r="S701" s="2" t="n">
        <v>10</v>
      </c>
      <c r="T701" s="2" t="n"/>
      <c r="U701" s="2" t="n"/>
      <c r="V701" s="2">
        <f>SUM(J701:U701)</f>
        <v/>
      </c>
      <c r="W701" s="2" t="n"/>
      <c r="X701" s="2" t="n"/>
      <c r="Y701" s="2" t="n">
        <v>80</v>
      </c>
      <c r="Z701" s="2" t="n">
        <v>80</v>
      </c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>
        <f>IF(F701=1,V701*2,IF(F701=2,V701*F701*2,IF(F701&gt;2,F701*2*V701)))</f>
        <v/>
      </c>
      <c r="AW701" s="2">
        <f>SUM(W701:AU701)</f>
        <v/>
      </c>
    </row>
    <row r="702">
      <c r="A702" s="2" t="inlineStr">
        <is>
          <t>A14-DB-N542</t>
        </is>
      </c>
      <c r="B702" s="3" t="inlineStr">
        <is>
          <t>DOJC-SM-LC/APC-LC/APC</t>
        </is>
      </c>
      <c r="C702" s="2" t="inlineStr">
        <is>
          <t>25M, B3, 2.0mm</t>
        </is>
      </c>
      <c r="D702" s="2" t="inlineStr">
        <is>
          <t>b3</t>
        </is>
      </c>
      <c r="E702" s="2" t="inlineStr">
        <is>
          <t>2.0mm</t>
        </is>
      </c>
      <c r="F702" s="2" t="n">
        <v>2</v>
      </c>
      <c r="G702" s="2" t="n">
        <v>25</v>
      </c>
      <c r="H702" s="2" t="inlineStr">
        <is>
          <t>LC/APC</t>
        </is>
      </c>
      <c r="I702" s="2" t="inlineStr">
        <is>
          <t>LC/APC</t>
        </is>
      </c>
      <c r="J702" s="2" t="n"/>
      <c r="K702" s="2" t="n"/>
      <c r="L702" s="2" t="n"/>
      <c r="M702" s="2" t="n"/>
      <c r="N702" s="2" t="n">
        <v>20</v>
      </c>
      <c r="O702" s="2" t="n"/>
      <c r="P702" s="2" t="n">
        <v>35</v>
      </c>
      <c r="Q702" s="2" t="n"/>
      <c r="R702" s="2" t="n"/>
      <c r="S702" s="2" t="n"/>
      <c r="T702" s="2" t="n"/>
      <c r="U702" s="2" t="n"/>
      <c r="V702" s="2">
        <f>SUM(J702:U702)</f>
        <v/>
      </c>
      <c r="W702" s="2" t="n"/>
      <c r="X702" s="2" t="n"/>
      <c r="Y702" s="2" t="n">
        <v>110</v>
      </c>
      <c r="Z702" s="2" t="n">
        <v>110</v>
      </c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>
        <f>IF(F702=1,V702*2,IF(F702=2,V702*F702*2,IF(F702&gt;2,F702*2*V702)))</f>
        <v/>
      </c>
      <c r="AW702" s="2">
        <f>SUM(W702:AU702)</f>
        <v/>
      </c>
    </row>
    <row r="703">
      <c r="A703" s="2" t="inlineStr">
        <is>
          <t>A14-DB-N609</t>
        </is>
      </c>
      <c r="B703" s="3" t="inlineStr">
        <is>
          <t>DOJC-SM-LC/PC-LC/APC</t>
        </is>
      </c>
      <c r="C703" s="2" t="inlineStr">
        <is>
          <t>10M, B3, 2.0mm</t>
        </is>
      </c>
      <c r="D703" s="2" t="inlineStr">
        <is>
          <t>b3</t>
        </is>
      </c>
      <c r="E703" s="2" t="inlineStr">
        <is>
          <t>2.0mm</t>
        </is>
      </c>
      <c r="F703" s="2" t="n">
        <v>2</v>
      </c>
      <c r="G703" s="2" t="n">
        <v>10</v>
      </c>
      <c r="H703" s="2" t="inlineStr">
        <is>
          <t>LC/PC</t>
        </is>
      </c>
      <c r="I703" s="2" t="inlineStr">
        <is>
          <t>LC/APC</t>
        </is>
      </c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>
        <v>7</v>
      </c>
      <c r="S703" s="2" t="n"/>
      <c r="T703" s="2" t="n"/>
      <c r="U703" s="2" t="n"/>
      <c r="V703" s="2">
        <f>SUM(J703:U703)</f>
        <v/>
      </c>
      <c r="W703" s="2" t="n">
        <v>14</v>
      </c>
      <c r="X703" s="2" t="n"/>
      <c r="Y703" s="2" t="n"/>
      <c r="Z703" s="2" t="n">
        <v>14</v>
      </c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>
        <f>IF(F703=1,V703*2,IF(F703=2,V703*F703*2,IF(F703&gt;2,F703*2*V703)))</f>
        <v/>
      </c>
      <c r="AW703" s="2">
        <f>SUM(W703:AU703)</f>
        <v/>
      </c>
    </row>
    <row r="704">
      <c r="A704" s="2" t="inlineStr">
        <is>
          <t>A14-DB-N610</t>
        </is>
      </c>
      <c r="B704" s="3" t="inlineStr">
        <is>
          <t>DOJC-SM-LC/PC-LC/APC</t>
        </is>
      </c>
      <c r="C704" s="2" t="inlineStr">
        <is>
          <t>15M, B3, 2.0mm</t>
        </is>
      </c>
      <c r="D704" s="2" t="inlineStr">
        <is>
          <t>b3</t>
        </is>
      </c>
      <c r="E704" s="2" t="inlineStr">
        <is>
          <t>2.0mm</t>
        </is>
      </c>
      <c r="F704" s="2" t="n">
        <v>2</v>
      </c>
      <c r="G704" s="2" t="n">
        <v>15</v>
      </c>
      <c r="H704" s="2" t="inlineStr">
        <is>
          <t>LC/PC</t>
        </is>
      </c>
      <c r="I704" s="2" t="inlineStr">
        <is>
          <t>LC/APC</t>
        </is>
      </c>
      <c r="J704" s="2" t="n"/>
      <c r="K704" s="2" t="n"/>
      <c r="L704" s="2" t="n"/>
      <c r="M704" s="2" t="n"/>
      <c r="N704" s="2" t="n">
        <v>10</v>
      </c>
      <c r="O704" s="2" t="n"/>
      <c r="P704" s="2" t="n"/>
      <c r="Q704" s="2" t="n"/>
      <c r="R704" s="2" t="n">
        <v>5</v>
      </c>
      <c r="S704" s="2" t="n"/>
      <c r="T704" s="2" t="n"/>
      <c r="U704" s="2" t="n"/>
      <c r="V704" s="2">
        <f>SUM(J704:U704)</f>
        <v/>
      </c>
      <c r="W704" s="2" t="n">
        <v>30</v>
      </c>
      <c r="X704" s="2" t="n"/>
      <c r="Y704" s="2" t="n"/>
      <c r="Z704" s="2" t="n">
        <v>30</v>
      </c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>
        <f>IF(F704=1,V704*2,IF(F704=2,V704*F704*2,IF(F704&gt;2,F704*2*V704)))</f>
        <v/>
      </c>
      <c r="AW704" s="2">
        <f>SUM(W704:AU704)</f>
        <v/>
      </c>
    </row>
    <row r="705">
      <c r="A705" s="2" t="inlineStr">
        <is>
          <t>A14-DB-N611</t>
        </is>
      </c>
      <c r="B705" s="3" t="inlineStr">
        <is>
          <t>DOJC-SM-LC/PC-LC/APC</t>
        </is>
      </c>
      <c r="C705" s="2" t="inlineStr">
        <is>
          <t>20M, B3, 2.0mm</t>
        </is>
      </c>
      <c r="D705" s="2" t="inlineStr">
        <is>
          <t>b3</t>
        </is>
      </c>
      <c r="E705" s="2" t="inlineStr">
        <is>
          <t>2.0mm</t>
        </is>
      </c>
      <c r="F705" s="2" t="n">
        <v>2</v>
      </c>
      <c r="G705" s="2" t="n">
        <v>20</v>
      </c>
      <c r="H705" s="2" t="inlineStr">
        <is>
          <t>LC/PC</t>
        </is>
      </c>
      <c r="I705" s="2" t="inlineStr">
        <is>
          <t>LC/APC</t>
        </is>
      </c>
      <c r="J705" s="2" t="n"/>
      <c r="K705" s="2" t="n"/>
      <c r="L705" s="2" t="n"/>
      <c r="M705" s="2" t="n"/>
      <c r="N705" s="2" t="n">
        <v>10</v>
      </c>
      <c r="O705" s="2" t="n"/>
      <c r="P705" s="2" t="n">
        <v>55</v>
      </c>
      <c r="Q705" s="2" t="n"/>
      <c r="R705" s="2" t="n">
        <v>10</v>
      </c>
      <c r="S705" s="2" t="n"/>
      <c r="T705" s="2" t="n"/>
      <c r="U705" s="2" t="n"/>
      <c r="V705" s="2">
        <f>SUM(J705:U705)</f>
        <v/>
      </c>
      <c r="W705" s="2" t="n">
        <v>150</v>
      </c>
      <c r="X705" s="2" t="n"/>
      <c r="Y705" s="2" t="n"/>
      <c r="Z705" s="2" t="n">
        <v>150</v>
      </c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>
        <f>IF(F705=1,V705*2,IF(F705=2,V705*F705*2,IF(F705&gt;2,F705*2*V705)))</f>
        <v/>
      </c>
      <c r="AW705" s="2">
        <f>SUM(W705:AU705)</f>
        <v/>
      </c>
    </row>
    <row r="706">
      <c r="A706" s="2" t="inlineStr">
        <is>
          <t>A14-DB-N612</t>
        </is>
      </c>
      <c r="B706" s="3" t="inlineStr">
        <is>
          <t>DOJC-SM-LC/PC-LC/APC</t>
        </is>
      </c>
      <c r="C706" s="2" t="inlineStr">
        <is>
          <t>25M, B3, 2.0mm</t>
        </is>
      </c>
      <c r="D706" s="2" t="inlineStr">
        <is>
          <t>b3</t>
        </is>
      </c>
      <c r="E706" s="2" t="inlineStr">
        <is>
          <t>2.0mm</t>
        </is>
      </c>
      <c r="F706" s="2" t="n">
        <v>2</v>
      </c>
      <c r="G706" s="2" t="n">
        <v>25</v>
      </c>
      <c r="H706" s="2" t="inlineStr">
        <is>
          <t>LC/PC</t>
        </is>
      </c>
      <c r="I706" s="2" t="inlineStr">
        <is>
          <t>LC/APC</t>
        </is>
      </c>
      <c r="J706" s="2" t="n"/>
      <c r="K706" s="2" t="n"/>
      <c r="L706" s="2" t="n"/>
      <c r="M706" s="2" t="n"/>
      <c r="N706" s="2" t="n">
        <v>10</v>
      </c>
      <c r="O706" s="2" t="n"/>
      <c r="P706" s="2" t="n">
        <v>5</v>
      </c>
      <c r="Q706" s="2" t="n"/>
      <c r="R706" s="2" t="n"/>
      <c r="S706" s="2" t="n"/>
      <c r="T706" s="2" t="n"/>
      <c r="U706" s="2" t="n"/>
      <c r="V706" s="2">
        <f>SUM(J706:U706)</f>
        <v/>
      </c>
      <c r="W706" s="2" t="n">
        <v>30</v>
      </c>
      <c r="X706" s="2" t="n"/>
      <c r="Y706" s="2" t="n"/>
      <c r="Z706" s="2" t="n">
        <v>30</v>
      </c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>
        <f>IF(F706=1,V706*2,IF(F706=2,V706*F706*2,IF(F706&gt;2,F706*2*V706)))</f>
        <v/>
      </c>
      <c r="AW706" s="2">
        <f>SUM(W706:AU706)</f>
        <v/>
      </c>
    </row>
    <row r="707">
      <c r="A707" s="2" t="inlineStr">
        <is>
          <t>A14-DB-N613</t>
        </is>
      </c>
      <c r="B707" s="3" t="inlineStr">
        <is>
          <t>DOJC-SM-LC/PC-LC/APC</t>
        </is>
      </c>
      <c r="C707" s="2" t="inlineStr">
        <is>
          <t>30M, B3, 2.0mm</t>
        </is>
      </c>
      <c r="D707" s="2" t="inlineStr">
        <is>
          <t>b3</t>
        </is>
      </c>
      <c r="E707" s="2" t="inlineStr">
        <is>
          <t>2.0mm</t>
        </is>
      </c>
      <c r="F707" s="2" t="n">
        <v>2</v>
      </c>
      <c r="G707" s="2" t="n">
        <v>30</v>
      </c>
      <c r="H707" s="2" t="inlineStr">
        <is>
          <t>LC/PC</t>
        </is>
      </c>
      <c r="I707" s="2" t="inlineStr">
        <is>
          <t>LC/APC</t>
        </is>
      </c>
      <c r="J707" s="2" t="n"/>
      <c r="K707" s="2" t="n"/>
      <c r="L707" s="2" t="n">
        <v>10</v>
      </c>
      <c r="M707" s="2" t="n"/>
      <c r="N707" s="2" t="n"/>
      <c r="O707" s="2" t="n"/>
      <c r="P707" s="2" t="n">
        <v>20</v>
      </c>
      <c r="Q707" s="2" t="n"/>
      <c r="R707" s="2" t="n"/>
      <c r="S707" s="2" t="n"/>
      <c r="T707" s="2" t="n"/>
      <c r="U707" s="2" t="n"/>
      <c r="V707" s="2">
        <f>SUM(J707:U707)</f>
        <v/>
      </c>
      <c r="W707" s="2" t="n">
        <v>60</v>
      </c>
      <c r="X707" s="2" t="n"/>
      <c r="Y707" s="2" t="n"/>
      <c r="Z707" s="2" t="n">
        <v>60</v>
      </c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>
        <f>IF(F707=1,V707*2,IF(F707=2,V707*F707*2,IF(F707&gt;2,F707*2*V707)))</f>
        <v/>
      </c>
      <c r="AW707" s="2">
        <f>SUM(W707:AU707)</f>
        <v/>
      </c>
    </row>
    <row r="708">
      <c r="A708" s="2" t="inlineStr">
        <is>
          <t>A14-DB-N676</t>
        </is>
      </c>
      <c r="B708" s="3" t="inlineStr">
        <is>
          <t>DOJC-SM-LC/PC-FC/PC</t>
        </is>
      </c>
      <c r="C708" s="2" t="inlineStr">
        <is>
          <t>45M, B3, 2.0mm</t>
        </is>
      </c>
      <c r="D708" s="2" t="inlineStr">
        <is>
          <t>b3</t>
        </is>
      </c>
      <c r="E708" s="2" t="inlineStr">
        <is>
          <t>2.0mm</t>
        </is>
      </c>
      <c r="F708" s="2" t="n">
        <v>2</v>
      </c>
      <c r="G708" s="2" t="n">
        <v>45</v>
      </c>
      <c r="H708" s="2" t="inlineStr">
        <is>
          <t>LC/PC</t>
        </is>
      </c>
      <c r="I708" s="2" t="inlineStr">
        <is>
          <t>FC/PC</t>
        </is>
      </c>
      <c r="J708" s="2" t="n">
        <v>4</v>
      </c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>
        <f>SUM(J708:U708)</f>
        <v/>
      </c>
      <c r="W708" s="2" t="n">
        <v>8</v>
      </c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>
        <v>8</v>
      </c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>
        <f>IF(F708=1,V708*2,IF(F708=2,V708*F708*2,IF(F708&gt;2,F708*2*V708)))</f>
        <v/>
      </c>
      <c r="AW708" s="2">
        <f>SUM(W708:AU708)</f>
        <v/>
      </c>
    </row>
    <row r="709">
      <c r="A709" s="2" t="inlineStr">
        <is>
          <t>A14-DB-N679</t>
        </is>
      </c>
      <c r="B709" s="3" t="inlineStr">
        <is>
          <t>SOJC-SM-SC/PC-SC/PC</t>
        </is>
      </c>
      <c r="C709" s="2" t="inlineStr">
        <is>
          <t>0.3M, B3, 3.0mm</t>
        </is>
      </c>
      <c r="D709" s="2" t="inlineStr">
        <is>
          <t>b3</t>
        </is>
      </c>
      <c r="E709" s="2" t="inlineStr">
        <is>
          <t>3.0mm</t>
        </is>
      </c>
      <c r="F709" s="2" t="n">
        <v>1</v>
      </c>
      <c r="G709" s="2" t="n">
        <v>0.3</v>
      </c>
      <c r="H709" s="2" t="inlineStr">
        <is>
          <t>SC/PC</t>
        </is>
      </c>
      <c r="I709" s="2" t="inlineStr">
        <is>
          <t>SC/PC</t>
        </is>
      </c>
      <c r="J709" s="2" t="n"/>
      <c r="K709" s="2" t="n"/>
      <c r="L709" s="2" t="n"/>
      <c r="M709" s="2" t="n"/>
      <c r="N709" s="2" t="n"/>
      <c r="O709" s="2" t="n"/>
      <c r="P709" s="2" t="n">
        <v>30</v>
      </c>
      <c r="Q709" s="2" t="n"/>
      <c r="R709" s="2" t="n"/>
      <c r="S709" s="2" t="n"/>
      <c r="T709" s="2" t="n"/>
      <c r="U709" s="2" t="n"/>
      <c r="V709" s="2">
        <f>SUM(J709:U709)</f>
        <v/>
      </c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>
        <v>60</v>
      </c>
      <c r="AO709" s="2" t="n"/>
      <c r="AP709" s="2" t="n"/>
      <c r="AQ709" s="2" t="n"/>
      <c r="AR709" s="2" t="n"/>
      <c r="AS709" s="2" t="n"/>
      <c r="AT709" s="2" t="n"/>
      <c r="AU709" s="2" t="n"/>
      <c r="AV709" s="2">
        <f>IF(F709=1,V709*2,IF(F709=2,V709*F709*2,IF(F709&gt;2,F709*2*V709)))</f>
        <v/>
      </c>
      <c r="AW709" s="2">
        <f>SUM(W709:AU709)</f>
        <v/>
      </c>
    </row>
    <row r="710">
      <c r="A710" s="2" t="inlineStr">
        <is>
          <t>A14-DB-N906</t>
        </is>
      </c>
      <c r="B710" s="3" t="inlineStr">
        <is>
          <t>DOJC-SM-LC/PC-SC/PC</t>
        </is>
      </c>
      <c r="C710" s="2" t="inlineStr">
        <is>
          <t>28M, B3, 2.0mm</t>
        </is>
      </c>
      <c r="D710" s="2" t="inlineStr">
        <is>
          <t>b3</t>
        </is>
      </c>
      <c r="E710" s="2" t="inlineStr">
        <is>
          <t>2.0mm</t>
        </is>
      </c>
      <c r="F710" s="2" t="n">
        <v>2</v>
      </c>
      <c r="G710" s="2" t="n">
        <v>28</v>
      </c>
      <c r="H710" s="2" t="inlineStr">
        <is>
          <t>LC/PC</t>
        </is>
      </c>
      <c r="I710" s="2" t="inlineStr">
        <is>
          <t>SC/PC</t>
        </is>
      </c>
      <c r="J710" s="2" t="n"/>
      <c r="K710" s="2" t="n"/>
      <c r="L710" s="2" t="n"/>
      <c r="M710" s="2" t="n"/>
      <c r="N710" s="2" t="n"/>
      <c r="O710" s="2" t="n">
        <v>2</v>
      </c>
      <c r="P710" s="2" t="n"/>
      <c r="Q710" s="2" t="n"/>
      <c r="R710" s="2" t="n"/>
      <c r="S710" s="2" t="n"/>
      <c r="T710" s="2" t="n"/>
      <c r="U710" s="2" t="n"/>
      <c r="V710" s="2">
        <f>SUM(J710:U710)</f>
        <v/>
      </c>
      <c r="W710" s="2" t="n">
        <v>4</v>
      </c>
      <c r="X710" s="2" t="n"/>
      <c r="Y710" s="2" t="n"/>
      <c r="Z710" s="2" t="n"/>
      <c r="AA710" s="2" t="n"/>
      <c r="AB710" s="2" t="n">
        <v>4</v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>
        <f>IF(F710=1,V710*2,IF(F710=2,V710*F710*2,IF(F710&gt;2,F710*2*V710)))</f>
        <v/>
      </c>
      <c r="AW710" s="2">
        <f>SUM(W710:AU710)</f>
        <v/>
      </c>
    </row>
    <row r="711">
      <c r="A711" s="2" t="inlineStr">
        <is>
          <t>A14-DB-N907</t>
        </is>
      </c>
      <c r="B711" s="3" t="inlineStr">
        <is>
          <t>DOJC-SM-LC/PC-SC/PC</t>
        </is>
      </c>
      <c r="C711" s="2" t="inlineStr">
        <is>
          <t>23M, B3, 2.0mm</t>
        </is>
      </c>
      <c r="D711" s="2" t="inlineStr">
        <is>
          <t>b3</t>
        </is>
      </c>
      <c r="E711" s="2" t="inlineStr">
        <is>
          <t>2.0mm</t>
        </is>
      </c>
      <c r="F711" s="2" t="n">
        <v>2</v>
      </c>
      <c r="G711" s="2" t="n">
        <v>23</v>
      </c>
      <c r="H711" s="2" t="inlineStr">
        <is>
          <t>LC/PC</t>
        </is>
      </c>
      <c r="I711" s="2" t="inlineStr">
        <is>
          <t>SC/PC</t>
        </is>
      </c>
      <c r="J711" s="2" t="n"/>
      <c r="K711" s="2" t="n"/>
      <c r="L711" s="2" t="n"/>
      <c r="M711" s="2" t="n"/>
      <c r="N711" s="2" t="n"/>
      <c r="O711" s="2" t="n">
        <v>17</v>
      </c>
      <c r="P711" s="2" t="n"/>
      <c r="Q711" s="2" t="n"/>
      <c r="R711" s="2" t="n"/>
      <c r="S711" s="2" t="n"/>
      <c r="T711" s="2" t="n"/>
      <c r="U711" s="2" t="n"/>
      <c r="V711" s="2">
        <f>SUM(J711:U711)</f>
        <v/>
      </c>
      <c r="W711" s="2" t="n">
        <v>34</v>
      </c>
      <c r="X711" s="2" t="n"/>
      <c r="Y711" s="2" t="n"/>
      <c r="Z711" s="2" t="n"/>
      <c r="AA711" s="2" t="n"/>
      <c r="AB711" s="2" t="n">
        <v>34</v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>
        <f>IF(F711=1,V711*2,IF(F711=2,V711*F711*2,IF(F711&gt;2,F711*2*V711)))</f>
        <v/>
      </c>
      <c r="AW711" s="2">
        <f>SUM(W711:AU711)</f>
        <v/>
      </c>
    </row>
    <row r="712">
      <c r="A712" s="2" t="inlineStr">
        <is>
          <t>A14-DB-N908</t>
        </is>
      </c>
      <c r="B712" s="3" t="inlineStr">
        <is>
          <t>DOJC-SM-LC/PC-FC/PC</t>
        </is>
      </c>
      <c r="C712" s="2" t="inlineStr">
        <is>
          <t>70M, B3, 2.0mm</t>
        </is>
      </c>
      <c r="D712" s="2" t="inlineStr">
        <is>
          <t>b3</t>
        </is>
      </c>
      <c r="E712" s="2" t="inlineStr">
        <is>
          <t>2.0mm</t>
        </is>
      </c>
      <c r="F712" s="2" t="n">
        <v>2</v>
      </c>
      <c r="G712" s="2" t="n">
        <v>70</v>
      </c>
      <c r="H712" s="2" t="inlineStr">
        <is>
          <t>LC/PC</t>
        </is>
      </c>
      <c r="I712" s="2" t="inlineStr">
        <is>
          <t>FC/PC</t>
        </is>
      </c>
      <c r="J712" s="2" t="n"/>
      <c r="K712" s="2" t="n"/>
      <c r="L712" s="2" t="n"/>
      <c r="M712" s="2" t="n"/>
      <c r="N712" s="2" t="n"/>
      <c r="O712" s="2" t="n">
        <v>2</v>
      </c>
      <c r="P712" s="2" t="n"/>
      <c r="Q712" s="2" t="n"/>
      <c r="R712" s="2" t="n"/>
      <c r="S712" s="2" t="n"/>
      <c r="T712" s="2" t="n"/>
      <c r="U712" s="2" t="n"/>
      <c r="V712" s="2">
        <f>SUM(J712:U712)</f>
        <v/>
      </c>
      <c r="W712" s="2" t="n">
        <v>4</v>
      </c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>
        <v>4</v>
      </c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>
        <f>IF(F712=1,V712*2,IF(F712=2,V712*F712*2,IF(F712&gt;2,F712*2*V712)))</f>
        <v/>
      </c>
      <c r="AW712" s="2">
        <f>SUM(W712:AU712)</f>
        <v/>
      </c>
    </row>
    <row r="713">
      <c r="A713" s="2" t="inlineStr">
        <is>
          <t>A14-DB-N909</t>
        </is>
      </c>
      <c r="B713" s="3" t="inlineStr">
        <is>
          <t>DOJC-SM-SC/PC-FC/APC</t>
        </is>
      </c>
      <c r="C713" s="2" t="inlineStr">
        <is>
          <t>75M, B3, 2.0mm</t>
        </is>
      </c>
      <c r="D713" s="2" t="inlineStr">
        <is>
          <t>b3</t>
        </is>
      </c>
      <c r="E713" s="2" t="inlineStr">
        <is>
          <t>2.0mm</t>
        </is>
      </c>
      <c r="F713" s="2" t="n">
        <v>2</v>
      </c>
      <c r="G713" s="2" t="n">
        <v>75</v>
      </c>
      <c r="H713" s="2" t="inlineStr">
        <is>
          <t>SC/PC</t>
        </is>
      </c>
      <c r="I713" s="2" t="inlineStr">
        <is>
          <t>FC/APC</t>
        </is>
      </c>
      <c r="J713" s="2" t="n"/>
      <c r="K713" s="2" t="n"/>
      <c r="L713" s="2" t="n"/>
      <c r="M713" s="2" t="n"/>
      <c r="N713" s="2" t="n"/>
      <c r="O713" s="2" t="n">
        <v>12</v>
      </c>
      <c r="P713" s="2" t="n"/>
      <c r="Q713" s="2" t="n"/>
      <c r="R713" s="2" t="n"/>
      <c r="S713" s="2" t="n"/>
      <c r="T713" s="2" t="n"/>
      <c r="U713" s="2" t="n"/>
      <c r="V713" s="2">
        <f>SUM(J713:U713)</f>
        <v/>
      </c>
      <c r="W713" s="2" t="n"/>
      <c r="X713" s="2" t="n"/>
      <c r="Y713" s="2" t="n"/>
      <c r="Z713" s="2" t="n"/>
      <c r="AA713" s="2" t="n">
        <v>24</v>
      </c>
      <c r="AB713" s="2" t="n"/>
      <c r="AC713" s="2" t="n"/>
      <c r="AD713" s="2" t="n"/>
      <c r="AE713" s="2" t="n"/>
      <c r="AF713" s="2" t="n"/>
      <c r="AG713" s="2" t="n"/>
      <c r="AH713" s="2" t="n">
        <v>24</v>
      </c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>
        <f>IF(F713=1,V713*2,IF(F713=2,V713*F713*2,IF(F713&gt;2,F713*2*V713)))</f>
        <v/>
      </c>
      <c r="AW713" s="2">
        <f>SUM(W713:AU713)</f>
        <v/>
      </c>
    </row>
    <row r="714">
      <c r="A714" s="2" t="inlineStr">
        <is>
          <t>A14-DB-NA55</t>
        </is>
      </c>
      <c r="B714" s="3" t="inlineStr">
        <is>
          <t>DOJC-SM-LC/APC-FC/PC</t>
        </is>
      </c>
      <c r="C714" s="2" t="inlineStr">
        <is>
          <t>20M, B3, 2.0mm</t>
        </is>
      </c>
      <c r="D714" s="2" t="inlineStr">
        <is>
          <t>b3</t>
        </is>
      </c>
      <c r="E714" s="2" t="inlineStr">
        <is>
          <t>2.0mm</t>
        </is>
      </c>
      <c r="F714" s="2" t="n">
        <v>2</v>
      </c>
      <c r="G714" s="2" t="n">
        <v>20</v>
      </c>
      <c r="H714" s="2" t="inlineStr">
        <is>
          <t>LC/APC</t>
        </is>
      </c>
      <c r="I714" s="2" t="inlineStr">
        <is>
          <t>FC/PC</t>
        </is>
      </c>
      <c r="J714" s="2" t="n"/>
      <c r="K714" s="2" t="n"/>
      <c r="L714" s="2" t="n"/>
      <c r="M714" s="2" t="n"/>
      <c r="N714" s="2" t="n"/>
      <c r="O714" s="2" t="n"/>
      <c r="P714" s="2" t="n">
        <v>20</v>
      </c>
      <c r="Q714" s="2" t="n"/>
      <c r="R714" s="2" t="n"/>
      <c r="S714" s="2" t="n"/>
      <c r="T714" s="2" t="n"/>
      <c r="U714" s="2" t="n"/>
      <c r="V714" s="2">
        <f>SUM(J714:U714)</f>
        <v/>
      </c>
      <c r="W714" s="2" t="n"/>
      <c r="X714" s="2" t="n"/>
      <c r="Y714" s="2" t="n">
        <v>40</v>
      </c>
      <c r="Z714" s="2" t="n"/>
      <c r="AA714" s="2" t="n"/>
      <c r="AB714" s="2" t="n"/>
      <c r="AC714" s="2" t="n"/>
      <c r="AD714" s="2" t="n"/>
      <c r="AE714" s="2" t="n"/>
      <c r="AF714" s="2" t="n">
        <v>40</v>
      </c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>
        <f>IF(F714=1,V714*2,IF(F714=2,V714*F714*2,IF(F714&gt;2,F714*2*V714)))</f>
        <v/>
      </c>
      <c r="AW714" s="2">
        <f>SUM(W714:AU714)</f>
        <v/>
      </c>
    </row>
    <row r="715">
      <c r="A715" s="2" t="inlineStr">
        <is>
          <t>A14-DB-NA56</t>
        </is>
      </c>
      <c r="B715" s="3" t="inlineStr">
        <is>
          <t>DOJC-SM-LC/APC-FC/PC</t>
        </is>
      </c>
      <c r="C715" s="2" t="inlineStr">
        <is>
          <t>15M, B3, 2.0mm</t>
        </is>
      </c>
      <c r="D715" s="2" t="inlineStr">
        <is>
          <t>b3</t>
        </is>
      </c>
      <c r="E715" s="2" t="inlineStr">
        <is>
          <t>2.0mm</t>
        </is>
      </c>
      <c r="F715" s="2" t="n">
        <v>2</v>
      </c>
      <c r="G715" s="2" t="n">
        <v>15</v>
      </c>
      <c r="H715" s="2" t="inlineStr">
        <is>
          <t>LC/APC</t>
        </is>
      </c>
      <c r="I715" s="2" t="inlineStr">
        <is>
          <t>FC/PC</t>
        </is>
      </c>
      <c r="J715" s="2" t="n">
        <v>5</v>
      </c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>
        <f>SUM(J715:U715)</f>
        <v/>
      </c>
      <c r="W715" s="2" t="n"/>
      <c r="X715" s="2" t="n"/>
      <c r="Y715" s="2" t="n">
        <v>10</v>
      </c>
      <c r="Z715" s="2" t="n"/>
      <c r="AA715" s="2" t="n"/>
      <c r="AB715" s="2" t="n"/>
      <c r="AC715" s="2" t="n"/>
      <c r="AD715" s="2" t="n"/>
      <c r="AE715" s="2" t="n"/>
      <c r="AF715" s="2" t="n">
        <v>10</v>
      </c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>
        <f>IF(F715=1,V715*2,IF(F715=2,V715*F715*2,IF(F715&gt;2,F715*2*V715)))</f>
        <v/>
      </c>
      <c r="AW715" s="2">
        <f>SUM(W715:AU715)</f>
        <v/>
      </c>
    </row>
    <row r="716">
      <c r="A716" s="2" t="inlineStr">
        <is>
          <t>A14-DB-NAN9</t>
        </is>
      </c>
      <c r="B716" s="3" t="inlineStr">
        <is>
          <t>DOJC-SM-LC/APC-FC/APC</t>
        </is>
      </c>
      <c r="C716" s="2" t="inlineStr">
        <is>
          <t>20M, B3, 2.0mm</t>
        </is>
      </c>
      <c r="D716" s="2" t="inlineStr">
        <is>
          <t>b3</t>
        </is>
      </c>
      <c r="E716" s="2" t="inlineStr">
        <is>
          <t>2.0mm</t>
        </is>
      </c>
      <c r="F716" s="2" t="n">
        <v>2</v>
      </c>
      <c r="G716" s="2" t="n">
        <v>20</v>
      </c>
      <c r="H716" s="2" t="inlineStr">
        <is>
          <t>LC/APC</t>
        </is>
      </c>
      <c r="I716" s="2" t="inlineStr">
        <is>
          <t>FC/APC</t>
        </is>
      </c>
      <c r="J716" s="2" t="n"/>
      <c r="K716" s="2" t="n"/>
      <c r="L716" s="2" t="n"/>
      <c r="M716" s="2" t="n"/>
      <c r="N716" s="2" t="n">
        <v>20</v>
      </c>
      <c r="O716" s="2" t="n"/>
      <c r="P716" s="2" t="n">
        <v>20</v>
      </c>
      <c r="Q716" s="2" t="n">
        <v>5</v>
      </c>
      <c r="R716" s="2" t="n"/>
      <c r="S716" s="2" t="n"/>
      <c r="T716" s="2" t="n"/>
      <c r="U716" s="2" t="n"/>
      <c r="V716" s="2">
        <f>SUM(J716:U716)</f>
        <v/>
      </c>
      <c r="W716" s="2" t="n"/>
      <c r="X716" s="2" t="n"/>
      <c r="Y716" s="2" t="n">
        <v>90</v>
      </c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>
        <v>90</v>
      </c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>
        <f>IF(F716=1,V716*2,IF(F716=2,V716*F716*2,IF(F716&gt;2,F716*2*V716)))</f>
        <v/>
      </c>
      <c r="AW716" s="2">
        <f>SUM(W716:AU716)</f>
        <v/>
      </c>
    </row>
    <row r="717">
      <c r="A717" s="2" t="inlineStr">
        <is>
          <t>A14-DB-ND33</t>
        </is>
      </c>
      <c r="B717" s="3" t="inlineStr">
        <is>
          <t>DOJC-SM-LC/PC-LC/APC</t>
        </is>
      </c>
      <c r="C717" s="2" t="inlineStr">
        <is>
          <t>2M, B3, 2.0mm</t>
        </is>
      </c>
      <c r="D717" s="2" t="inlineStr">
        <is>
          <t>b3</t>
        </is>
      </c>
      <c r="E717" s="2" t="inlineStr">
        <is>
          <t>2.0mm</t>
        </is>
      </c>
      <c r="F717" s="2" t="n">
        <v>2</v>
      </c>
      <c r="G717" s="2" t="n">
        <v>2</v>
      </c>
      <c r="H717" s="2" t="inlineStr">
        <is>
          <t>LC/PC</t>
        </is>
      </c>
      <c r="I717" s="2" t="inlineStr">
        <is>
          <t>LC/APC</t>
        </is>
      </c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>
        <v>5</v>
      </c>
      <c r="S717" s="2" t="n"/>
      <c r="T717" s="2" t="n"/>
      <c r="U717" s="2" t="n"/>
      <c r="V717" s="2">
        <f>SUM(J717:U717)</f>
        <v/>
      </c>
      <c r="W717" s="2" t="n">
        <v>10</v>
      </c>
      <c r="X717" s="2" t="n"/>
      <c r="Y717" s="2" t="n"/>
      <c r="Z717" s="2" t="n">
        <v>10</v>
      </c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>
        <f>IF(F717=1,V717*2,IF(F717=2,V717*F717*2,IF(F717&gt;2,F717*2*V717)))</f>
        <v/>
      </c>
      <c r="AW717" s="2">
        <f>SUM(W717:AU717)</f>
        <v/>
      </c>
    </row>
    <row r="718">
      <c r="A718" s="2" t="inlineStr">
        <is>
          <t>A14-M-LP/LP-B-N-001</t>
        </is>
      </c>
      <c r="B718" s="3" t="inlineStr">
        <is>
          <t>MOJC-SM-12C-LC/PC-LC/PC</t>
        </is>
      </c>
      <c r="C718" s="2" t="inlineStr">
        <is>
          <t>920001090, 3M, B3</t>
        </is>
      </c>
      <c r="D718" s="2" t="inlineStr">
        <is>
          <t>b3-12c</t>
        </is>
      </c>
      <c r="E718" s="2" t="inlineStr">
        <is>
          <t>2.0mm</t>
        </is>
      </c>
      <c r="F718" s="2" t="n">
        <v>12</v>
      </c>
      <c r="G718" s="2" t="n">
        <v>3</v>
      </c>
      <c r="H718" s="2" t="inlineStr">
        <is>
          <t>LC/PC</t>
        </is>
      </c>
      <c r="I718" s="2" t="inlineStr">
        <is>
          <t>LC/PC</t>
        </is>
      </c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>
        <v>5</v>
      </c>
      <c r="T718" s="2" t="n"/>
      <c r="U718" s="2" t="n"/>
      <c r="V718" s="2">
        <f>SUM(J718:U718)</f>
        <v/>
      </c>
      <c r="W718" s="2" t="n">
        <v>120</v>
      </c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>
        <f>IF(F718=1,V718*2,IF(F718=2,V718*F718*2,IF(F718&gt;2,F718*2*V718)))</f>
        <v/>
      </c>
      <c r="AW718" s="2">
        <f>SUM(W718:AU718)</f>
        <v/>
      </c>
    </row>
    <row r="719">
      <c r="A719" s="2" t="inlineStr">
        <is>
          <t>A14-M-LP/LP-B-N-002</t>
        </is>
      </c>
      <c r="B719" s="3" t="inlineStr">
        <is>
          <t>MOJC-SM-12C-LC/PC-LC/PC</t>
        </is>
      </c>
      <c r="C719" s="2" t="inlineStr">
        <is>
          <t>930003871, 10M, B3</t>
        </is>
      </c>
      <c r="D719" s="2" t="inlineStr">
        <is>
          <t>b3-12c</t>
        </is>
      </c>
      <c r="E719" s="2" t="inlineStr">
        <is>
          <t>2.0mm</t>
        </is>
      </c>
      <c r="F719" s="2" t="n">
        <v>12</v>
      </c>
      <c r="G719" s="2" t="n">
        <v>10</v>
      </c>
      <c r="H719" s="2" t="inlineStr">
        <is>
          <t>LC/PC</t>
        </is>
      </c>
      <c r="I719" s="2" t="inlineStr">
        <is>
          <t>LC/PC</t>
        </is>
      </c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>
        <v>6</v>
      </c>
      <c r="S719" s="2" t="n">
        <v>24</v>
      </c>
      <c r="T719" s="2" t="n"/>
      <c r="U719" s="2" t="n"/>
      <c r="V719" s="2">
        <f>SUM(J719:U719)</f>
        <v/>
      </c>
      <c r="W719" s="2" t="n">
        <v>720</v>
      </c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>
        <f>IF(F719=1,V719*2,IF(F719=2,V719*F719*2,IF(F719&gt;2,F719*2*V719)))</f>
        <v/>
      </c>
      <c r="AW719" s="2">
        <f>SUM(W719:AU719)</f>
        <v/>
      </c>
    </row>
    <row r="720">
      <c r="A720" s="2" t="inlineStr">
        <is>
          <t>A14-M-LP/LP-B-N-003</t>
        </is>
      </c>
      <c r="B720" s="3" t="inlineStr">
        <is>
          <t>MOJC-SM-12C-LC/PC-LC/PC</t>
        </is>
      </c>
      <c r="C720" s="2" t="inlineStr">
        <is>
          <t>930003872, 20M, B3</t>
        </is>
      </c>
      <c r="D720" s="2" t="inlineStr">
        <is>
          <t>b3-12c</t>
        </is>
      </c>
      <c r="E720" s="2" t="inlineStr">
        <is>
          <t>2.0mm</t>
        </is>
      </c>
      <c r="F720" s="2" t="n">
        <v>12</v>
      </c>
      <c r="G720" s="2" t="n">
        <v>20</v>
      </c>
      <c r="H720" s="2" t="inlineStr">
        <is>
          <t>LC/PC</t>
        </is>
      </c>
      <c r="I720" s="2" t="inlineStr">
        <is>
          <t>LC/PC</t>
        </is>
      </c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>
        <v>6</v>
      </c>
      <c r="S720" s="2" t="n"/>
      <c r="T720" s="2" t="n"/>
      <c r="U720" s="2" t="n"/>
      <c r="V720" s="2">
        <f>SUM(J720:U720)</f>
        <v/>
      </c>
      <c r="W720" s="2" t="n">
        <v>144</v>
      </c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>
        <f>IF(F720=1,V720*2,IF(F720=2,V720*F720*2,IF(F720&gt;2,F720*2*V720)))</f>
        <v/>
      </c>
      <c r="AW720" s="2">
        <f>SUM(W720:AU720)</f>
        <v/>
      </c>
    </row>
    <row r="721">
      <c r="A721" s="2" t="inlineStr">
        <is>
          <t>A14-M-SA/LP-B-N-001</t>
        </is>
      </c>
      <c r="B721" s="3" t="inlineStr">
        <is>
          <t>MOJC-SM-12C-SC/APC-LC/PC</t>
        </is>
      </c>
      <c r="C721" s="2" t="inlineStr">
        <is>
          <t>920000552, 10M, B3</t>
        </is>
      </c>
      <c r="D721" s="2" t="inlineStr">
        <is>
          <t>b3-12c</t>
        </is>
      </c>
      <c r="E721" s="2" t="inlineStr">
        <is>
          <t>2.0mm</t>
        </is>
      </c>
      <c r="F721" s="2" t="n">
        <v>12</v>
      </c>
      <c r="G721" s="2" t="n">
        <v>10</v>
      </c>
      <c r="H721" s="2" t="inlineStr">
        <is>
          <t>SC/APC</t>
        </is>
      </c>
      <c r="I721" s="2" t="inlineStr">
        <is>
          <t>LC/PC</t>
        </is>
      </c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>
        <v>1</v>
      </c>
      <c r="V721" s="2">
        <f>SUM(J721:U721)</f>
        <v/>
      </c>
      <c r="W721" s="2" t="n">
        <v>12</v>
      </c>
      <c r="X721" s="2" t="n"/>
      <c r="Y721" s="2" t="n"/>
      <c r="Z721" s="2" t="n"/>
      <c r="AA721" s="2" t="n"/>
      <c r="AB721" s="2" t="n"/>
      <c r="AC721" s="2" t="n">
        <v>12</v>
      </c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>
        <f>IF(F721=1,V721*2,IF(F721=2,V721*F721*2,IF(F721&gt;2,F721*2*V721)))</f>
        <v/>
      </c>
      <c r="AW721" s="2">
        <f>SUM(W721:AU721)</f>
        <v/>
      </c>
    </row>
    <row r="722">
      <c r="A722" s="2" t="inlineStr">
        <is>
          <t>A14-M-SP/SP-B-N-003</t>
        </is>
      </c>
      <c r="B722" s="3" t="inlineStr">
        <is>
          <t>MOJC-SM-12C-SC/PC-SC/PC</t>
        </is>
      </c>
      <c r="C722" s="2" t="inlineStr">
        <is>
          <t>908040793, 3M, B3</t>
        </is>
      </c>
      <c r="D722" s="2" t="inlineStr">
        <is>
          <t>b3-12c</t>
        </is>
      </c>
      <c r="E722" s="2" t="inlineStr">
        <is>
          <t>2.0mm</t>
        </is>
      </c>
      <c r="F722" s="2" t="n">
        <v>12</v>
      </c>
      <c r="G722" s="2" t="n">
        <v>3</v>
      </c>
      <c r="H722" s="2" t="inlineStr">
        <is>
          <t>SC/PC</t>
        </is>
      </c>
      <c r="I722" s="2" t="inlineStr">
        <is>
          <t>SC/PC</t>
        </is>
      </c>
      <c r="J722" s="2" t="n"/>
      <c r="K722" s="2" t="n"/>
      <c r="L722" s="2" t="n">
        <v>29</v>
      </c>
      <c r="M722" s="2" t="n">
        <v>105</v>
      </c>
      <c r="N722" s="2" t="n"/>
      <c r="O722" s="2" t="n">
        <v>79</v>
      </c>
      <c r="P722" s="2" t="n">
        <v>40</v>
      </c>
      <c r="Q722" s="2" t="n"/>
      <c r="R722" s="2" t="n">
        <v>4</v>
      </c>
      <c r="S722" s="2" t="n">
        <v>10</v>
      </c>
      <c r="T722" s="2" t="n"/>
      <c r="U722" s="2" t="n"/>
      <c r="V722" s="2">
        <f>SUM(J722:U722)</f>
        <v/>
      </c>
      <c r="W722" s="2" t="n"/>
      <c r="X722" s="2" t="n"/>
      <c r="Y722" s="2" t="n"/>
      <c r="Z722" s="2" t="n"/>
      <c r="AA722" s="2" t="n">
        <v>6408</v>
      </c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>
        <f>IF(F722=1,V722*2,IF(F722=2,V722*F722*2,IF(F722&gt;2,F722*2*V722)))</f>
        <v/>
      </c>
      <c r="AW722" s="2">
        <f>SUM(W722:AU722)</f>
        <v/>
      </c>
    </row>
    <row r="723">
      <c r="A723" s="2" t="inlineStr">
        <is>
          <t>A14-M-SP/SP-B-N-004</t>
        </is>
      </c>
      <c r="B723" s="3" t="inlineStr">
        <is>
          <t>MOJC-SM-12C-SC/PC-SC/PC</t>
        </is>
      </c>
      <c r="C723" s="2" t="inlineStr">
        <is>
          <t>908040796, 4M, B3</t>
        </is>
      </c>
      <c r="D723" s="2" t="inlineStr">
        <is>
          <t>b3-12c</t>
        </is>
      </c>
      <c r="E723" s="2" t="inlineStr">
        <is>
          <t>2.0mm</t>
        </is>
      </c>
      <c r="F723" s="2" t="n">
        <v>12</v>
      </c>
      <c r="G723" s="2" t="n">
        <v>4</v>
      </c>
      <c r="H723" s="2" t="inlineStr">
        <is>
          <t>SC/PC</t>
        </is>
      </c>
      <c r="I723" s="2" t="inlineStr">
        <is>
          <t>SC/PC</t>
        </is>
      </c>
      <c r="J723" s="2" t="n"/>
      <c r="K723" s="2" t="n">
        <v>56</v>
      </c>
      <c r="L723" s="2" t="n">
        <v>33</v>
      </c>
      <c r="M723" s="2" t="n">
        <v>2</v>
      </c>
      <c r="N723" s="2" t="n"/>
      <c r="O723" s="2" t="n"/>
      <c r="P723" s="2" t="n">
        <v>6</v>
      </c>
      <c r="Q723" s="2" t="n">
        <v>21</v>
      </c>
      <c r="R723" s="2" t="n"/>
      <c r="S723" s="2" t="n"/>
      <c r="T723" s="2" t="n"/>
      <c r="U723" s="2" t="n"/>
      <c r="V723" s="2">
        <f>SUM(J723:U723)</f>
        <v/>
      </c>
      <c r="W723" s="2" t="n"/>
      <c r="X723" s="2" t="n"/>
      <c r="Y723" s="2" t="n"/>
      <c r="Z723" s="2" t="n"/>
      <c r="AA723" s="2" t="n">
        <v>2832</v>
      </c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>
        <f>IF(F723=1,V723*2,IF(F723=2,V723*F723*2,IF(F723&gt;2,F723*2*V723)))</f>
        <v/>
      </c>
      <c r="AW723" s="2">
        <f>SUM(W723:AU723)</f>
        <v/>
      </c>
    </row>
    <row r="724">
      <c r="A724" s="2" t="inlineStr">
        <is>
          <t>A14-M-SP/SP-B-N-005</t>
        </is>
      </c>
      <c r="B724" s="3" t="inlineStr">
        <is>
          <t>MOJC-SM-12C-SC/PC-SC/PC</t>
        </is>
      </c>
      <c r="C724" s="2" t="inlineStr">
        <is>
          <t>908040797, 5M, B3</t>
        </is>
      </c>
      <c r="D724" s="2" t="inlineStr">
        <is>
          <t>b3-12c</t>
        </is>
      </c>
      <c r="E724" s="2" t="inlineStr">
        <is>
          <t>2.0mm</t>
        </is>
      </c>
      <c r="F724" s="2" t="n">
        <v>12</v>
      </c>
      <c r="G724" s="2" t="n">
        <v>5</v>
      </c>
      <c r="H724" s="2" t="inlineStr">
        <is>
          <t>SC/PC</t>
        </is>
      </c>
      <c r="I724" s="2" t="inlineStr">
        <is>
          <t>SC/PC</t>
        </is>
      </c>
      <c r="J724" s="2" t="n">
        <v>20</v>
      </c>
      <c r="K724" s="2" t="n">
        <v>30</v>
      </c>
      <c r="L724" s="2" t="n">
        <v>29</v>
      </c>
      <c r="M724" s="2" t="n">
        <v>4</v>
      </c>
      <c r="N724" s="2" t="n"/>
      <c r="O724" s="2" t="n">
        <v>1</v>
      </c>
      <c r="P724" s="2" t="n"/>
      <c r="Q724" s="2" t="n"/>
      <c r="R724" s="2" t="n"/>
      <c r="S724" s="2" t="n">
        <v>8</v>
      </c>
      <c r="T724" s="2" t="n"/>
      <c r="U724" s="2" t="n"/>
      <c r="V724" s="2">
        <f>SUM(J724:U724)</f>
        <v/>
      </c>
      <c r="W724" s="2" t="n"/>
      <c r="X724" s="2" t="n"/>
      <c r="Y724" s="2" t="n"/>
      <c r="Z724" s="2" t="n"/>
      <c r="AA724" s="2" t="n">
        <v>2208</v>
      </c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>
        <f>IF(F724=1,V724*2,IF(F724=2,V724*F724*2,IF(F724&gt;2,F724*2*V724)))</f>
        <v/>
      </c>
      <c r="AW724" s="2">
        <f>SUM(W724:AU724)</f>
        <v/>
      </c>
    </row>
    <row r="725">
      <c r="A725" s="2" t="inlineStr">
        <is>
          <t>A14-M-SP/SP-B-N-006</t>
        </is>
      </c>
      <c r="B725" s="3" t="inlineStr">
        <is>
          <t>MOJC-SM-12C-SC/PC-SC/PC</t>
        </is>
      </c>
      <c r="C725" s="2" t="inlineStr">
        <is>
          <t>908040798, 6M, B3</t>
        </is>
      </c>
      <c r="D725" s="2" t="inlineStr">
        <is>
          <t>b3-12c</t>
        </is>
      </c>
      <c r="E725" s="2" t="inlineStr">
        <is>
          <t>2.0mm</t>
        </is>
      </c>
      <c r="F725" s="2" t="n">
        <v>12</v>
      </c>
      <c r="G725" s="2" t="n">
        <v>6</v>
      </c>
      <c r="H725" s="2" t="inlineStr">
        <is>
          <t>SC/PC</t>
        </is>
      </c>
      <c r="I725" s="2" t="inlineStr">
        <is>
          <t>SC/PC</t>
        </is>
      </c>
      <c r="J725" s="2" t="n"/>
      <c r="K725" s="2" t="n">
        <v>34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>
        <v>58</v>
      </c>
      <c r="V725" s="2">
        <f>SUM(J725:U725)</f>
        <v/>
      </c>
      <c r="W725" s="2" t="n"/>
      <c r="X725" s="2" t="n"/>
      <c r="Y725" s="2" t="n"/>
      <c r="Z725" s="2" t="n"/>
      <c r="AA725" s="2" t="n">
        <v>2208</v>
      </c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>
        <f>IF(F725=1,V725*2,IF(F725=2,V725*F725*2,IF(F725&gt;2,F725*2*V725)))</f>
        <v/>
      </c>
      <c r="AW725" s="2">
        <f>SUM(W725:AU725)</f>
        <v/>
      </c>
    </row>
    <row r="726">
      <c r="A726" s="2" t="inlineStr">
        <is>
          <t>A14-M-SP/SP-B-N-007</t>
        </is>
      </c>
      <c r="B726" s="3" t="inlineStr">
        <is>
          <t>MOJC-SM-12C-SC/PC-SC/PC</t>
        </is>
      </c>
      <c r="C726" s="2" t="inlineStr">
        <is>
          <t>908040799, 7M, B3</t>
        </is>
      </c>
      <c r="D726" s="2" t="inlineStr">
        <is>
          <t>b3-12c</t>
        </is>
      </c>
      <c r="E726" s="2" t="inlineStr">
        <is>
          <t>2.0mm</t>
        </is>
      </c>
      <c r="F726" s="2" t="n">
        <v>12</v>
      </c>
      <c r="G726" s="2" t="n">
        <v>7</v>
      </c>
      <c r="H726" s="2" t="inlineStr">
        <is>
          <t>SC/PC</t>
        </is>
      </c>
      <c r="I726" s="2" t="inlineStr">
        <is>
          <t>SC/PC</t>
        </is>
      </c>
      <c r="J726" s="2" t="n">
        <v>95</v>
      </c>
      <c r="K726" s="2" t="n"/>
      <c r="L726" s="2" t="n">
        <v>36</v>
      </c>
      <c r="M726" s="2" t="n">
        <v>34</v>
      </c>
      <c r="N726" s="2" t="n">
        <v>5</v>
      </c>
      <c r="O726" s="2" t="n"/>
      <c r="P726" s="2" t="n"/>
      <c r="Q726" s="2" t="n">
        <v>56</v>
      </c>
      <c r="R726" s="2" t="n"/>
      <c r="S726" s="2" t="n"/>
      <c r="T726" s="2" t="n"/>
      <c r="U726" s="2" t="n"/>
      <c r="V726" s="2">
        <f>SUM(J726:U726)</f>
        <v/>
      </c>
      <c r="W726" s="2" t="n"/>
      <c r="X726" s="2" t="n"/>
      <c r="Y726" s="2" t="n"/>
      <c r="Z726" s="2" t="n"/>
      <c r="AA726" s="2" t="n">
        <v>5424</v>
      </c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>
        <f>IF(F726=1,V726*2,IF(F726=2,V726*F726*2,IF(F726&gt;2,F726*2*V726)))</f>
        <v/>
      </c>
      <c r="AW726" s="2">
        <f>SUM(W726:AU726)</f>
        <v/>
      </c>
    </row>
    <row r="727">
      <c r="A727" s="2" t="inlineStr">
        <is>
          <t>A14-M-SP/SP-B-N-008</t>
        </is>
      </c>
      <c r="B727" s="3" t="inlineStr">
        <is>
          <t>MOJC-SM-12C-SC/PC-SC/PC</t>
        </is>
      </c>
      <c r="C727" s="2" t="inlineStr">
        <is>
          <t>908040800, 8M, B3</t>
        </is>
      </c>
      <c r="D727" s="2" t="inlineStr">
        <is>
          <t>b3-12c</t>
        </is>
      </c>
      <c r="E727" s="2" t="inlineStr">
        <is>
          <t>2.0mm</t>
        </is>
      </c>
      <c r="F727" s="2" t="n">
        <v>12</v>
      </c>
      <c r="G727" s="2" t="n">
        <v>8</v>
      </c>
      <c r="H727" s="2" t="inlineStr">
        <is>
          <t>SC/PC</t>
        </is>
      </c>
      <c r="I727" s="2" t="inlineStr">
        <is>
          <t>SC/PC</t>
        </is>
      </c>
      <c r="J727" s="2" t="n">
        <v>10</v>
      </c>
      <c r="K727" s="2" t="n"/>
      <c r="L727" s="2" t="n"/>
      <c r="M727" s="2" t="n">
        <v>70</v>
      </c>
      <c r="N727" s="2" t="n">
        <v>7</v>
      </c>
      <c r="O727" s="2" t="n"/>
      <c r="P727" s="2" t="n"/>
      <c r="Q727" s="2" t="n"/>
      <c r="R727" s="2" t="n"/>
      <c r="S727" s="2" t="n">
        <v>23</v>
      </c>
      <c r="T727" s="2" t="n">
        <v>50</v>
      </c>
      <c r="U727" s="2" t="n">
        <v>50</v>
      </c>
      <c r="V727" s="2">
        <f>SUM(J727:U727)</f>
        <v/>
      </c>
      <c r="W727" s="2" t="n"/>
      <c r="X727" s="2" t="n"/>
      <c r="Y727" s="2" t="n"/>
      <c r="Z727" s="2" t="n"/>
      <c r="AA727" s="2" t="n">
        <v>5040</v>
      </c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>
        <f>IF(F727=1,V727*2,IF(F727=2,V727*F727*2,IF(F727&gt;2,F727*2*V727)))</f>
        <v/>
      </c>
      <c r="AW727" s="2">
        <f>SUM(W727:AU727)</f>
        <v/>
      </c>
    </row>
    <row r="728">
      <c r="A728" s="2" t="inlineStr">
        <is>
          <t>A14-M-SP/SP-B-N-011</t>
        </is>
      </c>
      <c r="B728" s="3" t="inlineStr">
        <is>
          <t>MOJC-SM-12C-SC/PC-SC/PC</t>
        </is>
      </c>
      <c r="C728" s="2" t="inlineStr">
        <is>
          <t>908040804, 12M, B3</t>
        </is>
      </c>
      <c r="D728" s="2" t="inlineStr">
        <is>
          <t>b3-12c</t>
        </is>
      </c>
      <c r="E728" s="2" t="inlineStr">
        <is>
          <t>2.0mm</t>
        </is>
      </c>
      <c r="F728" s="2" t="n">
        <v>12</v>
      </c>
      <c r="G728" s="2" t="n">
        <v>12</v>
      </c>
      <c r="H728" s="2" t="inlineStr">
        <is>
          <t>SC/PC</t>
        </is>
      </c>
      <c r="I728" s="2" t="inlineStr">
        <is>
          <t>SC/PC</t>
        </is>
      </c>
      <c r="J728" s="2" t="n">
        <v>10</v>
      </c>
      <c r="K728" s="2" t="n"/>
      <c r="L728" s="2" t="n"/>
      <c r="M728" s="2" t="n">
        <v>10</v>
      </c>
      <c r="N728" s="2" t="n"/>
      <c r="O728" s="2" t="n"/>
      <c r="P728" s="2" t="n"/>
      <c r="Q728" s="2" t="n"/>
      <c r="R728" s="2" t="n"/>
      <c r="S728" s="2" t="n"/>
      <c r="T728" s="2" t="n">
        <v>21</v>
      </c>
      <c r="U728" s="2" t="n"/>
      <c r="V728" s="2">
        <f>SUM(J728:U728)</f>
        <v/>
      </c>
      <c r="W728" s="2" t="n"/>
      <c r="X728" s="2" t="n"/>
      <c r="Y728" s="2" t="n"/>
      <c r="Z728" s="2" t="n"/>
      <c r="AA728" s="2" t="n">
        <v>984</v>
      </c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>
        <f>IF(F728=1,V728*2,IF(F728=2,V728*F728*2,IF(F728&gt;2,F728*2*V728)))</f>
        <v/>
      </c>
      <c r="AW728" s="2">
        <f>SUM(W728:AU728)</f>
        <v/>
      </c>
    </row>
    <row r="729">
      <c r="A729" s="2" t="inlineStr">
        <is>
          <t>A14-M-SP/SP-B-N-012</t>
        </is>
      </c>
      <c r="B729" s="3" t="inlineStr">
        <is>
          <t>MOJC-SM-12C-SC/PC-SC/PC</t>
        </is>
      </c>
      <c r="C729" s="2" t="inlineStr">
        <is>
          <t>908040807, 15M, B3</t>
        </is>
      </c>
      <c r="D729" s="2" t="inlineStr">
        <is>
          <t>b3-12c</t>
        </is>
      </c>
      <c r="E729" s="2" t="inlineStr">
        <is>
          <t>2.0mm</t>
        </is>
      </c>
      <c r="F729" s="2" t="n">
        <v>12</v>
      </c>
      <c r="G729" s="2" t="n">
        <v>15</v>
      </c>
      <c r="H729" s="2" t="inlineStr">
        <is>
          <t>SC/PC</t>
        </is>
      </c>
      <c r="I729" s="2" t="inlineStr">
        <is>
          <t>SC/PC</t>
        </is>
      </c>
      <c r="J729" s="2" t="n">
        <v>20</v>
      </c>
      <c r="K729" s="2" t="n">
        <v>14</v>
      </c>
      <c r="L729" s="2" t="n"/>
      <c r="M729" s="2" t="n">
        <v>20</v>
      </c>
      <c r="N729" s="2" t="n"/>
      <c r="O729" s="2" t="n">
        <v>20</v>
      </c>
      <c r="P729" s="2" t="n">
        <v>16</v>
      </c>
      <c r="Q729" s="2" t="n">
        <v>5</v>
      </c>
      <c r="R729" s="2" t="n"/>
      <c r="S729" s="2" t="n">
        <v>10</v>
      </c>
      <c r="T729" s="2" t="n">
        <v>28</v>
      </c>
      <c r="U729" s="2" t="n">
        <v>10</v>
      </c>
      <c r="V729" s="2">
        <f>SUM(J729:U729)</f>
        <v/>
      </c>
      <c r="W729" s="2" t="n"/>
      <c r="X729" s="2" t="n"/>
      <c r="Y729" s="2" t="n"/>
      <c r="Z729" s="2" t="n"/>
      <c r="AA729" s="2" t="n">
        <v>3432</v>
      </c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>
        <f>IF(F729=1,V729*2,IF(F729=2,V729*F729*2,IF(F729&gt;2,F729*2*V729)))</f>
        <v/>
      </c>
      <c r="AW729" s="2">
        <f>SUM(W729:AU729)</f>
        <v/>
      </c>
    </row>
    <row r="730">
      <c r="A730" s="2" t="inlineStr">
        <is>
          <t>A14-M-SP/SP-B-N-013</t>
        </is>
      </c>
      <c r="B730" s="3" t="inlineStr">
        <is>
          <t>MOJC-SM-12C-SC/PC-SC/PC</t>
        </is>
      </c>
      <c r="C730" s="2" t="inlineStr">
        <is>
          <t>908040812, 20M, B3</t>
        </is>
      </c>
      <c r="D730" s="2" t="inlineStr">
        <is>
          <t>b3-12c</t>
        </is>
      </c>
      <c r="E730" s="2" t="inlineStr">
        <is>
          <t>2.0mm</t>
        </is>
      </c>
      <c r="F730" s="2" t="n">
        <v>12</v>
      </c>
      <c r="G730" s="2" t="n">
        <v>20</v>
      </c>
      <c r="H730" s="2" t="inlineStr">
        <is>
          <t>SC/PC</t>
        </is>
      </c>
      <c r="I730" s="2" t="inlineStr">
        <is>
          <t>SC/PC</t>
        </is>
      </c>
      <c r="J730" s="2" t="n"/>
      <c r="K730" s="2" t="n"/>
      <c r="L730" s="2" t="n"/>
      <c r="M730" s="2" t="n"/>
      <c r="N730" s="2" t="n"/>
      <c r="O730" s="2" t="n"/>
      <c r="P730" s="2" t="n">
        <v>23</v>
      </c>
      <c r="Q730" s="2" t="n"/>
      <c r="R730" s="2" t="n"/>
      <c r="S730" s="2" t="n"/>
      <c r="T730" s="2" t="n"/>
      <c r="U730" s="2" t="n"/>
      <c r="V730" s="2">
        <f>SUM(J730:U730)</f>
        <v/>
      </c>
      <c r="W730" s="2" t="n"/>
      <c r="X730" s="2" t="n"/>
      <c r="Y730" s="2" t="n"/>
      <c r="Z730" s="2" t="n"/>
      <c r="AA730" s="2" t="n">
        <v>552</v>
      </c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>
        <f>IF(F730=1,V730*2,IF(F730=2,V730*F730*2,IF(F730&gt;2,F730*2*V730)))</f>
        <v/>
      </c>
      <c r="AW730" s="2">
        <f>SUM(W730:AU730)</f>
        <v/>
      </c>
    </row>
    <row r="731">
      <c r="A731" s="2" t="inlineStr">
        <is>
          <t>A14-M-SP/SP-B-N-016</t>
        </is>
      </c>
      <c r="B731" s="3" t="inlineStr">
        <is>
          <t>MOJC-SM-24C-SC/PC-SC/PC</t>
        </is>
      </c>
      <c r="C731" s="2" t="inlineStr">
        <is>
          <t>920001114, 3M, B3</t>
        </is>
      </c>
      <c r="D731" s="2" t="inlineStr">
        <is>
          <t>b3-24c</t>
        </is>
      </c>
      <c r="E731" s="2" t="inlineStr">
        <is>
          <t>2.0mm</t>
        </is>
      </c>
      <c r="F731" s="2" t="n">
        <v>24</v>
      </c>
      <c r="G731" s="2" t="n">
        <v>3</v>
      </c>
      <c r="H731" s="2" t="inlineStr">
        <is>
          <t>SC/PC</t>
        </is>
      </c>
      <c r="I731" s="2" t="inlineStr">
        <is>
          <t>SC/PC</t>
        </is>
      </c>
      <c r="J731" s="2" t="n"/>
      <c r="K731" s="2" t="n"/>
      <c r="L731" s="2" t="n"/>
      <c r="M731" s="2" t="n">
        <v>3</v>
      </c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>
        <f>SUM(J731:U731)</f>
        <v/>
      </c>
      <c r="W731" s="2" t="n"/>
      <c r="X731" s="2" t="n"/>
      <c r="Y731" s="2" t="n"/>
      <c r="Z731" s="2" t="n"/>
      <c r="AA731" s="2" t="n">
        <v>144</v>
      </c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>
        <f>IF(F731=1,V731*2,IF(F731=2,V731*F731*2,IF(F731&gt;2,F731*2*V731)))</f>
        <v/>
      </c>
      <c r="AW731" s="2">
        <f>SUM(W731:AU731)</f>
        <v/>
      </c>
    </row>
    <row r="732">
      <c r="A732" s="2" t="inlineStr">
        <is>
          <t>A14-M-SP/SP-B-N-021</t>
        </is>
      </c>
      <c r="B732" s="3" t="inlineStr">
        <is>
          <t>MOJC-SM-6C-SC/PC-SC/PC</t>
        </is>
      </c>
      <c r="C732" s="2" t="inlineStr">
        <is>
          <t>920000155, 3M, B3</t>
        </is>
      </c>
      <c r="D732" s="2" t="inlineStr">
        <is>
          <t>b3-6c</t>
        </is>
      </c>
      <c r="E732" s="2" t="inlineStr">
        <is>
          <t>2.0mm</t>
        </is>
      </c>
      <c r="F732" s="2" t="n">
        <v>6</v>
      </c>
      <c r="G732" s="2" t="n">
        <v>3</v>
      </c>
      <c r="H732" s="2" t="inlineStr">
        <is>
          <t>SC/PC</t>
        </is>
      </c>
      <c r="I732" s="2" t="inlineStr">
        <is>
          <t>SC/PC</t>
        </is>
      </c>
      <c r="J732" s="2" t="n"/>
      <c r="K732" s="2" t="n"/>
      <c r="L732" s="2" t="n">
        <v>3</v>
      </c>
      <c r="M732" s="2" t="n">
        <v>6</v>
      </c>
      <c r="N732" s="2" t="n">
        <v>14</v>
      </c>
      <c r="O732" s="2" t="n">
        <v>12</v>
      </c>
      <c r="P732" s="2" t="n">
        <v>12</v>
      </c>
      <c r="Q732" s="2" t="n"/>
      <c r="R732" s="2" t="n"/>
      <c r="S732" s="2" t="n">
        <v>30</v>
      </c>
      <c r="T732" s="2" t="n"/>
      <c r="U732" s="2" t="n"/>
      <c r="V732" s="2">
        <f>SUM(J732:U732)</f>
        <v/>
      </c>
      <c r="W732" s="2" t="n"/>
      <c r="X732" s="2" t="n"/>
      <c r="Y732" s="2" t="n"/>
      <c r="Z732" s="2" t="n"/>
      <c r="AA732" s="2" t="n">
        <v>924</v>
      </c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>
        <f>IF(F732=1,V732*2,IF(F732=2,V732*F732*2,IF(F732&gt;2,F732*2*V732)))</f>
        <v/>
      </c>
      <c r="AW732" s="2">
        <f>SUM(W732:AU732)</f>
        <v/>
      </c>
    </row>
    <row r="733">
      <c r="A733" s="2" t="inlineStr">
        <is>
          <t>A14-M-SP/SP-B-N-022</t>
        </is>
      </c>
      <c r="B733" s="3" t="inlineStr">
        <is>
          <t>MOJC-SM-6C-SC/PC-SC/PC</t>
        </is>
      </c>
      <c r="C733" s="2" t="inlineStr">
        <is>
          <t>920000156, 4M, B3</t>
        </is>
      </c>
      <c r="D733" s="2" t="inlineStr">
        <is>
          <t>b3-6c</t>
        </is>
      </c>
      <c r="E733" s="2" t="inlineStr">
        <is>
          <t>2.0mm</t>
        </is>
      </c>
      <c r="F733" s="2" t="n">
        <v>6</v>
      </c>
      <c r="G733" s="2" t="n">
        <v>4</v>
      </c>
      <c r="H733" s="2" t="inlineStr">
        <is>
          <t>SC/PC</t>
        </is>
      </c>
      <c r="I733" s="2" t="inlineStr">
        <is>
          <t>SC/PC</t>
        </is>
      </c>
      <c r="J733" s="2" t="n"/>
      <c r="K733" s="2" t="n">
        <v>10</v>
      </c>
      <c r="L733" s="2" t="n">
        <v>4</v>
      </c>
      <c r="M733" s="2" t="n"/>
      <c r="N733" s="2" t="n"/>
      <c r="O733" s="2" t="n"/>
      <c r="P733" s="2" t="n"/>
      <c r="Q733" s="2" t="n">
        <v>21</v>
      </c>
      <c r="R733" s="2" t="n"/>
      <c r="S733" s="2" t="n"/>
      <c r="T733" s="2" t="n"/>
      <c r="U733" s="2" t="n"/>
      <c r="V733" s="2">
        <f>SUM(J733:U733)</f>
        <v/>
      </c>
      <c r="W733" s="2" t="n"/>
      <c r="X733" s="2" t="n"/>
      <c r="Y733" s="2" t="n"/>
      <c r="Z733" s="2" t="n"/>
      <c r="AA733" s="2" t="n">
        <v>420</v>
      </c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>
        <f>IF(F733=1,V733*2,IF(F733=2,V733*F733*2,IF(F733&gt;2,F733*2*V733)))</f>
        <v/>
      </c>
      <c r="AW733" s="2">
        <f>SUM(W733:AU733)</f>
        <v/>
      </c>
    </row>
    <row r="734">
      <c r="A734" s="2" t="inlineStr">
        <is>
          <t>A14-M-SP/SP-B-N-023</t>
        </is>
      </c>
      <c r="B734" s="3" t="inlineStr">
        <is>
          <t>MOJC-SM-6C-SC/PC-SC/PC</t>
        </is>
      </c>
      <c r="C734" s="2" t="inlineStr">
        <is>
          <t>920000157, 5M, B3</t>
        </is>
      </c>
      <c r="D734" s="2" t="inlineStr">
        <is>
          <t>b3-6c</t>
        </is>
      </c>
      <c r="E734" s="2" t="inlineStr">
        <is>
          <t>2.0mm</t>
        </is>
      </c>
      <c r="F734" s="2" t="n">
        <v>6</v>
      </c>
      <c r="G734" s="2" t="n">
        <v>5</v>
      </c>
      <c r="H734" s="2" t="inlineStr">
        <is>
          <t>SC/PC</t>
        </is>
      </c>
      <c r="I734" s="2" t="inlineStr">
        <is>
          <t>SC/PC</t>
        </is>
      </c>
      <c r="J734" s="2" t="n">
        <v>150</v>
      </c>
      <c r="K734" s="2" t="n">
        <v>64</v>
      </c>
      <c r="L734" s="2" t="n">
        <v>32</v>
      </c>
      <c r="M734" s="2" t="n"/>
      <c r="N734" s="2" t="n"/>
      <c r="O734" s="2" t="n">
        <v>1</v>
      </c>
      <c r="P734" s="2" t="n"/>
      <c r="Q734" s="2" t="n"/>
      <c r="R734" s="2" t="n"/>
      <c r="S734" s="2" t="n">
        <v>4</v>
      </c>
      <c r="T734" s="2" t="n"/>
      <c r="U734" s="2" t="n"/>
      <c r="V734" s="2">
        <f>SUM(J734:U734)</f>
        <v/>
      </c>
      <c r="W734" s="2" t="n"/>
      <c r="X734" s="2" t="n"/>
      <c r="Y734" s="2" t="n"/>
      <c r="Z734" s="2" t="n"/>
      <c r="AA734" s="2" t="n">
        <v>3012</v>
      </c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>
        <f>IF(F734=1,V734*2,IF(F734=2,V734*F734*2,IF(F734&gt;2,F734*2*V734)))</f>
        <v/>
      </c>
      <c r="AW734" s="2">
        <f>SUM(W734:AU734)</f>
        <v/>
      </c>
    </row>
    <row r="735">
      <c r="A735" s="2" t="inlineStr">
        <is>
          <t>A14-M-SP/SP-B-N-024</t>
        </is>
      </c>
      <c r="B735" s="3" t="inlineStr">
        <is>
          <t>MOJC-SM-6C-SC/PC-SC/PC</t>
        </is>
      </c>
      <c r="C735" s="2" t="inlineStr">
        <is>
          <t>920000159, 7M, B3</t>
        </is>
      </c>
      <c r="D735" s="2" t="inlineStr">
        <is>
          <t>b3-6c</t>
        </is>
      </c>
      <c r="E735" s="2" t="inlineStr">
        <is>
          <t>2.0mm</t>
        </is>
      </c>
      <c r="F735" s="2" t="n">
        <v>6</v>
      </c>
      <c r="G735" s="2" t="n">
        <v>7</v>
      </c>
      <c r="H735" s="2" t="inlineStr">
        <is>
          <t>SC/PC</t>
        </is>
      </c>
      <c r="I735" s="2" t="inlineStr">
        <is>
          <t>SC/PC</t>
        </is>
      </c>
      <c r="J735" s="2" t="n"/>
      <c r="K735" s="2" t="n"/>
      <c r="L735" s="2" t="n">
        <v>42</v>
      </c>
      <c r="M735" s="2" t="n"/>
      <c r="N735" s="2" t="n"/>
      <c r="O735" s="2" t="n"/>
      <c r="P735" s="2" t="n"/>
      <c r="Q735" s="2" t="n">
        <v>26</v>
      </c>
      <c r="R735" s="2" t="n"/>
      <c r="S735" s="2" t="n"/>
      <c r="T735" s="2" t="n"/>
      <c r="U735" s="2" t="n"/>
      <c r="V735" s="2">
        <f>SUM(J735:U735)</f>
        <v/>
      </c>
      <c r="W735" s="2" t="n"/>
      <c r="X735" s="2" t="n"/>
      <c r="Y735" s="2" t="n"/>
      <c r="Z735" s="2" t="n"/>
      <c r="AA735" s="2" t="n">
        <v>816</v>
      </c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>
        <f>IF(F735=1,V735*2,IF(F735=2,V735*F735*2,IF(F735&gt;2,F735*2*V735)))</f>
        <v/>
      </c>
      <c r="AW735" s="2">
        <f>SUM(W735:AU735)</f>
        <v/>
      </c>
    </row>
    <row r="736">
      <c r="A736" s="2" t="inlineStr">
        <is>
          <t>A14-M-SP/SP-B-N-025</t>
        </is>
      </c>
      <c r="B736" s="3" t="inlineStr">
        <is>
          <t>MOJC-SM-6C-SC/PC-SC/PC</t>
        </is>
      </c>
      <c r="C736" s="2" t="inlineStr">
        <is>
          <t>920000160, 8M, B3</t>
        </is>
      </c>
      <c r="D736" s="2" t="inlineStr">
        <is>
          <t>b3-6c</t>
        </is>
      </c>
      <c r="E736" s="2" t="inlineStr">
        <is>
          <t>2.0mm</t>
        </is>
      </c>
      <c r="F736" s="2" t="n">
        <v>6</v>
      </c>
      <c r="G736" s="2" t="n">
        <v>8</v>
      </c>
      <c r="H736" s="2" t="inlineStr">
        <is>
          <t>SC/PC</t>
        </is>
      </c>
      <c r="I736" s="2" t="inlineStr">
        <is>
          <t>SC/PC</t>
        </is>
      </c>
      <c r="J736" s="2" t="n"/>
      <c r="K736" s="2" t="n"/>
      <c r="L736" s="2" t="n">
        <v>50</v>
      </c>
      <c r="M736" s="2" t="n"/>
      <c r="N736" s="2" t="n"/>
      <c r="O736" s="2" t="n"/>
      <c r="P736" s="2" t="n"/>
      <c r="Q736" s="2" t="n"/>
      <c r="R736" s="2" t="n"/>
      <c r="S736" s="2" t="n">
        <v>30</v>
      </c>
      <c r="T736" s="2" t="n">
        <v>15</v>
      </c>
      <c r="U736" s="2" t="n"/>
      <c r="V736" s="2">
        <f>SUM(J736:U736)</f>
        <v/>
      </c>
      <c r="W736" s="2" t="n"/>
      <c r="X736" s="2" t="n"/>
      <c r="Y736" s="2" t="n"/>
      <c r="Z736" s="2" t="n"/>
      <c r="AA736" s="2" t="n">
        <v>1140</v>
      </c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>
        <f>IF(F736=1,V736*2,IF(F736=2,V736*F736*2,IF(F736&gt;2,F736*2*V736)))</f>
        <v/>
      </c>
      <c r="AW736" s="2">
        <f>SUM(W736:AU736)</f>
        <v/>
      </c>
    </row>
    <row r="737">
      <c r="A737" s="2" t="inlineStr">
        <is>
          <t>A14-M-SP/SP-B-N-026</t>
        </is>
      </c>
      <c r="B737" s="3" t="inlineStr">
        <is>
          <t>MOJC-SM-6C-SC/PC-SC/PC</t>
        </is>
      </c>
      <c r="C737" s="2" t="inlineStr">
        <is>
          <t>920000162, 10M, B3</t>
        </is>
      </c>
      <c r="D737" s="2" t="inlineStr">
        <is>
          <t>b3-6c</t>
        </is>
      </c>
      <c r="E737" s="2" t="inlineStr">
        <is>
          <t>2.0mm</t>
        </is>
      </c>
      <c r="F737" s="2" t="n">
        <v>6</v>
      </c>
      <c r="G737" s="2" t="n">
        <v>10</v>
      </c>
      <c r="H737" s="2" t="inlineStr">
        <is>
          <t>SC/PC</t>
        </is>
      </c>
      <c r="I737" s="2" t="inlineStr">
        <is>
          <t>SC/PC</t>
        </is>
      </c>
      <c r="J737" s="2" t="n"/>
      <c r="K737" s="2" t="n">
        <v>20</v>
      </c>
      <c r="L737" s="2" t="n">
        <v>50</v>
      </c>
      <c r="M737" s="2" t="n"/>
      <c r="N737" s="2" t="n"/>
      <c r="O737" s="2" t="n"/>
      <c r="P737" s="2" t="n">
        <v>50</v>
      </c>
      <c r="Q737" s="2" t="n">
        <v>5</v>
      </c>
      <c r="R737" s="2" t="n">
        <v>25</v>
      </c>
      <c r="S737" s="2" t="n">
        <v>40</v>
      </c>
      <c r="T737" s="2" t="n"/>
      <c r="U737" s="2" t="n"/>
      <c r="V737" s="2">
        <f>SUM(J737:U737)</f>
        <v/>
      </c>
      <c r="W737" s="2" t="n"/>
      <c r="X737" s="2" t="n"/>
      <c r="Y737" s="2" t="n"/>
      <c r="Z737" s="2" t="n"/>
      <c r="AA737" s="2" t="n">
        <v>2280</v>
      </c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>
        <f>IF(F737=1,V737*2,IF(F737=2,V737*F737*2,IF(F737&gt;2,F737*2*V737)))</f>
        <v/>
      </c>
      <c r="AW737" s="2">
        <f>SUM(W737:AU737)</f>
        <v/>
      </c>
    </row>
    <row r="738">
      <c r="A738" s="2" t="inlineStr">
        <is>
          <t>A14-M-SP/SP-B-N-027</t>
        </is>
      </c>
      <c r="B738" s="3" t="inlineStr">
        <is>
          <t>MOJC-SM-6C-SC/PC-SC/PC</t>
        </is>
      </c>
      <c r="C738" s="2" t="inlineStr">
        <is>
          <t>920000167, 15M, B3</t>
        </is>
      </c>
      <c r="D738" s="2" t="inlineStr">
        <is>
          <t>b3-6c</t>
        </is>
      </c>
      <c r="E738" s="2" t="inlineStr">
        <is>
          <t>2.0mm</t>
        </is>
      </c>
      <c r="F738" s="2" t="n">
        <v>6</v>
      </c>
      <c r="G738" s="2" t="n">
        <v>15</v>
      </c>
      <c r="H738" s="2" t="inlineStr">
        <is>
          <t>SC/PC</t>
        </is>
      </c>
      <c r="I738" s="2" t="inlineStr">
        <is>
          <t>SC/PC</t>
        </is>
      </c>
      <c r="J738" s="2" t="n"/>
      <c r="K738" s="2" t="n">
        <v>15</v>
      </c>
      <c r="L738" s="2" t="n"/>
      <c r="M738" s="2" t="n">
        <v>10</v>
      </c>
      <c r="N738" s="2" t="n"/>
      <c r="O738" s="2" t="n"/>
      <c r="P738" s="2" t="n"/>
      <c r="Q738" s="2" t="n"/>
      <c r="R738" s="2" t="n"/>
      <c r="S738" s="2" t="n"/>
      <c r="T738" s="2" t="n">
        <v>3</v>
      </c>
      <c r="U738" s="2" t="n"/>
      <c r="V738" s="2">
        <f>SUM(J738:U738)</f>
        <v/>
      </c>
      <c r="W738" s="2" t="n"/>
      <c r="X738" s="2" t="n"/>
      <c r="Y738" s="2" t="n"/>
      <c r="Z738" s="2" t="n"/>
      <c r="AA738" s="2" t="n">
        <v>336</v>
      </c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>
        <f>IF(F738=1,V738*2,IF(F738=2,V738*F738*2,IF(F738&gt;2,F738*2*V738)))</f>
        <v/>
      </c>
      <c r="AW738" s="2">
        <f>SUM(W738:AU738)</f>
        <v/>
      </c>
    </row>
    <row r="739">
      <c r="A739" s="2" t="inlineStr">
        <is>
          <t>A14-M-SP/SP-B-N-031</t>
        </is>
      </c>
      <c r="B739" s="3" t="inlineStr">
        <is>
          <t>MOJC-SM-6C-SC/PC-SC/PC</t>
        </is>
      </c>
      <c r="C739" s="2" t="inlineStr">
        <is>
          <t>920000158, 6M, B3</t>
        </is>
      </c>
      <c r="D739" s="2" t="inlineStr">
        <is>
          <t>b3-6c</t>
        </is>
      </c>
      <c r="E739" s="2" t="inlineStr">
        <is>
          <t>2.0mm</t>
        </is>
      </c>
      <c r="F739" s="2" t="n">
        <v>6</v>
      </c>
      <c r="G739" s="2" t="n">
        <v>6</v>
      </c>
      <c r="H739" s="2" t="inlineStr">
        <is>
          <t>SC/PC</t>
        </is>
      </c>
      <c r="I739" s="2" t="inlineStr">
        <is>
          <t>SC/PC</t>
        </is>
      </c>
      <c r="J739" s="2" t="n"/>
      <c r="K739" s="2" t="n">
        <v>40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>
        <v>54</v>
      </c>
      <c r="V739" s="2">
        <f>SUM(J739:U739)</f>
        <v/>
      </c>
      <c r="W739" s="2" t="n"/>
      <c r="X739" s="2" t="n"/>
      <c r="Y739" s="2" t="n"/>
      <c r="Z739" s="2" t="n"/>
      <c r="AA739" s="2" t="n">
        <v>1128</v>
      </c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>
        <f>IF(F739=1,V739*2,IF(F739=2,V739*F739*2,IF(F739&gt;2,F739*2*V739)))</f>
        <v/>
      </c>
      <c r="AW739" s="2">
        <f>SUM(W739:AU739)</f>
        <v/>
      </c>
    </row>
    <row r="740">
      <c r="A740" s="2" t="inlineStr">
        <is>
          <t>A14-MB-N043</t>
        </is>
      </c>
      <c r="B740" s="3" t="inlineStr">
        <is>
          <t>MOJC-SM-12C-SC/PC-SC/PC</t>
        </is>
      </c>
      <c r="C740" s="2" t="inlineStr">
        <is>
          <t>908040802, 10M, B3</t>
        </is>
      </c>
      <c r="D740" s="2" t="inlineStr">
        <is>
          <t>b3-12c</t>
        </is>
      </c>
      <c r="E740" s="2" t="inlineStr">
        <is>
          <t>2.0mm</t>
        </is>
      </c>
      <c r="F740" s="2" t="n">
        <v>12</v>
      </c>
      <c r="G740" s="2" t="n">
        <v>10</v>
      </c>
      <c r="H740" s="2" t="inlineStr">
        <is>
          <t>SC/PC</t>
        </is>
      </c>
      <c r="I740" s="2" t="inlineStr">
        <is>
          <t>SC/PC</t>
        </is>
      </c>
      <c r="J740" s="2" t="n">
        <v>52</v>
      </c>
      <c r="K740" s="2" t="n"/>
      <c r="L740" s="2" t="n"/>
      <c r="M740" s="2" t="n">
        <v>87</v>
      </c>
      <c r="N740" s="2" t="n"/>
      <c r="O740" s="2" t="n">
        <v>55</v>
      </c>
      <c r="P740" s="2" t="n"/>
      <c r="Q740" s="2" t="n">
        <v>15</v>
      </c>
      <c r="R740" s="2" t="n">
        <v>40</v>
      </c>
      <c r="S740" s="2" t="n">
        <v>30</v>
      </c>
      <c r="T740" s="2" t="n">
        <v>40</v>
      </c>
      <c r="U740" s="2" t="n">
        <v>8</v>
      </c>
      <c r="V740" s="2">
        <f>SUM(J740:U740)</f>
        <v/>
      </c>
      <c r="W740" s="2" t="n"/>
      <c r="X740" s="2" t="n"/>
      <c r="Y740" s="2" t="n"/>
      <c r="Z740" s="2" t="n"/>
      <c r="AA740" s="2" t="n">
        <v>7848</v>
      </c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>
        <f>IF(F740=1,V740*2,IF(F740=2,V740*F740*2,IF(F740&gt;2,F740*2*V740)))</f>
        <v/>
      </c>
      <c r="AW740" s="2">
        <f>SUM(W740:AU740)</f>
        <v/>
      </c>
    </row>
    <row r="741">
      <c r="A741" s="2" t="inlineStr">
        <is>
          <t>A14-MB-N078</t>
        </is>
      </c>
      <c r="B741" s="3" t="inlineStr">
        <is>
          <t>MOJC-SM-6C-SC/PC-SC/PC</t>
        </is>
      </c>
      <c r="C741" s="2" t="inlineStr">
        <is>
          <t>12M, B3</t>
        </is>
      </c>
      <c r="D741" s="2" t="inlineStr">
        <is>
          <t>b3-6c</t>
        </is>
      </c>
      <c r="E741" s="2" t="inlineStr">
        <is>
          <t>2.0mm</t>
        </is>
      </c>
      <c r="F741" s="2" t="n">
        <v>6</v>
      </c>
      <c r="G741" s="2" t="n">
        <v>12</v>
      </c>
      <c r="H741" s="2" t="inlineStr">
        <is>
          <t>SC/PC</t>
        </is>
      </c>
      <c r="I741" s="2" t="inlineStr">
        <is>
          <t>SC/PC</t>
        </is>
      </c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>
        <v>15</v>
      </c>
      <c r="U741" s="2" t="n"/>
      <c r="V741" s="2">
        <f>SUM(J741:U741)</f>
        <v/>
      </c>
      <c r="W741" s="2" t="n"/>
      <c r="X741" s="2" t="n"/>
      <c r="Y741" s="2" t="n"/>
      <c r="Z741" s="2" t="n"/>
      <c r="AA741" s="2" t="n">
        <v>180</v>
      </c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>
        <f>IF(F741=1,V741*2,IF(F741=2,V741*F741*2,IF(F741&gt;2,F741*2*V741)))</f>
        <v/>
      </c>
      <c r="AW741" s="2">
        <f>SUM(W741:AU741)</f>
        <v/>
      </c>
    </row>
    <row r="742">
      <c r="A742" s="2" t="inlineStr">
        <is>
          <t>A14-S-LP/FA-B-N-006</t>
        </is>
      </c>
      <c r="B742" s="3" t="inlineStr">
        <is>
          <t>SOJC-SM-LC/PC-FC/APC</t>
        </is>
      </c>
      <c r="C742" s="2" t="inlineStr">
        <is>
          <t>930001517, 30M, B3, 2.0mm</t>
        </is>
      </c>
      <c r="D742" s="2" t="inlineStr">
        <is>
          <t>b3</t>
        </is>
      </c>
      <c r="E742" s="2" t="inlineStr">
        <is>
          <t>2.0mm</t>
        </is>
      </c>
      <c r="F742" s="2" t="n">
        <v>1</v>
      </c>
      <c r="G742" s="2" t="n">
        <v>30</v>
      </c>
      <c r="H742" s="2" t="inlineStr">
        <is>
          <t>LC/PC</t>
        </is>
      </c>
      <c r="I742" s="2" t="inlineStr">
        <is>
          <t>FC/APC</t>
        </is>
      </c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>
        <v>10</v>
      </c>
      <c r="U742" s="2" t="n"/>
      <c r="V742" s="2">
        <f>SUM(J742:U742)</f>
        <v/>
      </c>
      <c r="W742" s="2" t="n">
        <v>10</v>
      </c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>
        <v>10</v>
      </c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>
        <f>IF(F742=1,V742*2,IF(F742=2,V742*F742*2,IF(F742&gt;2,F742*2*V742)))</f>
        <v/>
      </c>
      <c r="AW742" s="2">
        <f>SUM(W742:AU742)</f>
        <v/>
      </c>
    </row>
    <row r="743">
      <c r="A743" s="2" t="inlineStr">
        <is>
          <t>A14-S-LP/FA-B-N-008</t>
        </is>
      </c>
      <c r="B743" s="3" t="inlineStr">
        <is>
          <t>SOJC-SM-LC/PC-FC/APC</t>
        </is>
      </c>
      <c r="C743" s="2" t="inlineStr">
        <is>
          <t>920001071, 3M, B3, 3.0mm</t>
        </is>
      </c>
      <c r="D743" s="2" t="inlineStr">
        <is>
          <t>b3</t>
        </is>
      </c>
      <c r="E743" s="2" t="inlineStr">
        <is>
          <t>3.0mm</t>
        </is>
      </c>
      <c r="F743" s="2" t="n">
        <v>1</v>
      </c>
      <c r="G743" s="2" t="n">
        <v>3</v>
      </c>
      <c r="H743" s="2" t="inlineStr">
        <is>
          <t>LC/PC</t>
        </is>
      </c>
      <c r="I743" s="2" t="inlineStr">
        <is>
          <t>FC/APC</t>
        </is>
      </c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>
        <v>10</v>
      </c>
      <c r="U743" s="2" t="n"/>
      <c r="V743" s="2">
        <f>SUM(J743:U743)</f>
        <v/>
      </c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>
        <v>10</v>
      </c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>
        <v>10</v>
      </c>
      <c r="AU743" s="2" t="n"/>
      <c r="AV743" s="2">
        <f>IF(F743=1,V743*2,IF(F743=2,V743*F743*2,IF(F743&gt;2,F743*2*V743)))</f>
        <v/>
      </c>
      <c r="AW743" s="2">
        <f>SUM(W743:AU743)</f>
        <v/>
      </c>
    </row>
    <row r="744">
      <c r="A744" s="2" t="inlineStr">
        <is>
          <t>A14-S-LP/FA-B-N-013</t>
        </is>
      </c>
      <c r="B744" s="3" t="inlineStr">
        <is>
          <t>SOJC-SM-LC/PC-FC/APC</t>
        </is>
      </c>
      <c r="C744" s="2" t="inlineStr">
        <is>
          <t>930001503, 8M, B3, 2.0mm</t>
        </is>
      </c>
      <c r="D744" s="2" t="inlineStr">
        <is>
          <t>b3</t>
        </is>
      </c>
      <c r="E744" s="2" t="inlineStr">
        <is>
          <t>2.0mm</t>
        </is>
      </c>
      <c r="F744" s="2" t="n">
        <v>1</v>
      </c>
      <c r="G744" s="2" t="n">
        <v>8</v>
      </c>
      <c r="H744" s="2" t="inlineStr">
        <is>
          <t>LC/PC</t>
        </is>
      </c>
      <c r="I744" s="2" t="inlineStr">
        <is>
          <t>FC/APC</t>
        </is>
      </c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>
        <v>20</v>
      </c>
      <c r="U744" s="2" t="n"/>
      <c r="V744" s="2">
        <f>SUM(J744:U744)</f>
        <v/>
      </c>
      <c r="W744" s="2" t="n">
        <v>20</v>
      </c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>
        <v>20</v>
      </c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>
        <f>IF(F744=1,V744*2,IF(F744=2,V744*F744*2,IF(F744&gt;2,F744*2*V744)))</f>
        <v/>
      </c>
      <c r="AW744" s="2">
        <f>SUM(W744:AU744)</f>
        <v/>
      </c>
    </row>
    <row r="745">
      <c r="A745" s="2" t="inlineStr">
        <is>
          <t>A14-S-LP/FP-B-N-007</t>
        </is>
      </c>
      <c r="B745" s="3" t="inlineStr">
        <is>
          <t>SOJC-SM-LC/PC-FC/PC</t>
        </is>
      </c>
      <c r="C745" s="2" t="inlineStr">
        <is>
          <t>908040160, 30M, B3, 2.0mm</t>
        </is>
      </c>
      <c r="D745" s="2" t="inlineStr">
        <is>
          <t>b3</t>
        </is>
      </c>
      <c r="E745" s="2" t="inlineStr">
        <is>
          <t>2.0mm</t>
        </is>
      </c>
      <c r="F745" s="2" t="n">
        <v>1</v>
      </c>
      <c r="G745" s="2" t="n">
        <v>30</v>
      </c>
      <c r="H745" s="2" t="inlineStr">
        <is>
          <t>LC/PC</t>
        </is>
      </c>
      <c r="I745" s="2" t="inlineStr">
        <is>
          <t>FC/PC</t>
        </is>
      </c>
      <c r="J745" s="2" t="n">
        <v>5</v>
      </c>
      <c r="K745" s="2" t="n">
        <v>20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>
        <f>SUM(J745:U745)</f>
        <v/>
      </c>
      <c r="W745" s="2" t="n">
        <v>25</v>
      </c>
      <c r="X745" s="2" t="n"/>
      <c r="Y745" s="2" t="n"/>
      <c r="Z745" s="2" t="n"/>
      <c r="AA745" s="2" t="n"/>
      <c r="AB745" s="2" t="n"/>
      <c r="AC745" s="2" t="n"/>
      <c r="AD745" s="2" t="n"/>
      <c r="AE745" s="2" t="n">
        <v>25</v>
      </c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>
        <f>IF(F745=1,V745*2,IF(F745=2,V745*F745*2,IF(F745&gt;2,F745*2*V745)))</f>
        <v/>
      </c>
      <c r="AW745" s="2">
        <f>SUM(W745:AU745)</f>
        <v/>
      </c>
    </row>
    <row r="746">
      <c r="A746" s="2" t="inlineStr">
        <is>
          <t>A14-S-LP/FP-B-N-010</t>
        </is>
      </c>
      <c r="B746" s="3" t="inlineStr">
        <is>
          <t>SOJC-SM-LC/PC-FC/PC</t>
        </is>
      </c>
      <c r="C746" s="2" t="inlineStr">
        <is>
          <t>908040294, 5M, B3, 3.0mm</t>
        </is>
      </c>
      <c r="D746" s="2" t="inlineStr">
        <is>
          <t>b3</t>
        </is>
      </c>
      <c r="E746" s="2" t="inlineStr">
        <is>
          <t>3.0mm</t>
        </is>
      </c>
      <c r="F746" s="2" t="n">
        <v>1</v>
      </c>
      <c r="G746" s="2" t="n">
        <v>5</v>
      </c>
      <c r="H746" s="2" t="inlineStr">
        <is>
          <t>LC/PC</t>
        </is>
      </c>
      <c r="I746" s="2" t="inlineStr">
        <is>
          <t>FC/PC</t>
        </is>
      </c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>
        <v>30</v>
      </c>
      <c r="V746" s="2">
        <f>SUM(J746:U746)</f>
        <v/>
      </c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>
        <v>30</v>
      </c>
      <c r="AK746" s="2" t="n"/>
      <c r="AL746" s="2" t="n"/>
      <c r="AM746" s="2" t="n"/>
      <c r="AN746" s="2" t="n"/>
      <c r="AO746" s="2" t="n"/>
      <c r="AP746" s="2" t="n"/>
      <c r="AQ746" s="2" t="n"/>
      <c r="AR746" s="2" t="n">
        <v>30</v>
      </c>
      <c r="AS746" s="2" t="n"/>
      <c r="AT746" s="2" t="n"/>
      <c r="AU746" s="2" t="n"/>
      <c r="AV746" s="2">
        <f>IF(F746=1,V746*2,IF(F746=2,V746*F746*2,IF(F746&gt;2,F746*2*V746)))</f>
        <v/>
      </c>
      <c r="AW746" s="2">
        <f>SUM(W746:AU746)</f>
        <v/>
      </c>
    </row>
    <row r="747">
      <c r="A747" s="2" t="inlineStr">
        <is>
          <t>A14-S-LP/FP-B-N-012</t>
        </is>
      </c>
      <c r="B747" s="3" t="inlineStr">
        <is>
          <t>SOJC-SM-LC/PC-FC/PC</t>
        </is>
      </c>
      <c r="C747" s="2" t="inlineStr">
        <is>
          <t>908040296, 7M, B3, 2.0mm</t>
        </is>
      </c>
      <c r="D747" s="2" t="inlineStr">
        <is>
          <t>b3</t>
        </is>
      </c>
      <c r="E747" s="2" t="inlineStr">
        <is>
          <t>2.0mm</t>
        </is>
      </c>
      <c r="F747" s="2" t="n">
        <v>1</v>
      </c>
      <c r="G747" s="2" t="n">
        <v>7</v>
      </c>
      <c r="H747" s="2" t="inlineStr">
        <is>
          <t>LC/PC</t>
        </is>
      </c>
      <c r="I747" s="2" t="inlineStr">
        <is>
          <t>FC/PC</t>
        </is>
      </c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>
        <v>30</v>
      </c>
      <c r="V747" s="2">
        <f>SUM(J747:U747)</f>
        <v/>
      </c>
      <c r="W747" s="2" t="n">
        <v>30</v>
      </c>
      <c r="X747" s="2" t="n"/>
      <c r="Y747" s="2" t="n"/>
      <c r="Z747" s="2" t="n"/>
      <c r="AA747" s="2" t="n"/>
      <c r="AB747" s="2" t="n"/>
      <c r="AC747" s="2" t="n"/>
      <c r="AD747" s="2" t="n"/>
      <c r="AE747" s="2" t="n">
        <v>30</v>
      </c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>
        <f>IF(F747=1,V747*2,IF(F747=2,V747*F747*2,IF(F747&gt;2,F747*2*V747)))</f>
        <v/>
      </c>
      <c r="AW747" s="2">
        <f>SUM(W747:AU747)</f>
        <v/>
      </c>
    </row>
    <row r="748">
      <c r="A748" s="2" t="inlineStr">
        <is>
          <t>A14-S-LP/SP-1-N-001</t>
        </is>
      </c>
      <c r="B748" s="3" t="inlineStr">
        <is>
          <t>SOJC-MM-LC/PC-SC/PC</t>
        </is>
      </c>
      <c r="C748" s="2" t="inlineStr">
        <is>
          <t>908040200, 10M</t>
        </is>
      </c>
      <c r="D748" s="2" t="inlineStr">
        <is>
          <t>om1</t>
        </is>
      </c>
      <c r="E748" s="2" t="inlineStr">
        <is>
          <t>2.0mm</t>
        </is>
      </c>
      <c r="F748" s="2" t="n">
        <v>1</v>
      </c>
      <c r="G748" s="2" t="n">
        <v>10</v>
      </c>
      <c r="H748" s="2" t="inlineStr">
        <is>
          <t>LC/PC</t>
        </is>
      </c>
      <c r="I748" s="2" t="inlineStr">
        <is>
          <t>SC/PC</t>
        </is>
      </c>
      <c r="J748" s="2" t="n"/>
      <c r="K748" s="2" t="n">
        <v>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>
        <f>SUM(J748:U748)</f>
        <v/>
      </c>
      <c r="W748" s="2" t="n"/>
      <c r="X748" s="2" t="n"/>
      <c r="Y748" s="2" t="n"/>
      <c r="Z748" s="2" t="n"/>
      <c r="AA748" s="2" t="n">
        <v>5</v>
      </c>
      <c r="AB748" s="2" t="n"/>
      <c r="AC748" s="2" t="n"/>
      <c r="AD748" s="2" t="n"/>
      <c r="AE748" s="2" t="n"/>
      <c r="AF748" s="2" t="n"/>
      <c r="AG748" s="2" t="n"/>
      <c r="AH748" s="2" t="n"/>
      <c r="AI748" s="2" t="n">
        <v>5</v>
      </c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>
        <f>IF(F748=1,V748*2,IF(F748=2,V748*F748*2,IF(F748&gt;2,F748*2*V748)))</f>
        <v/>
      </c>
      <c r="AW748" s="2">
        <f>SUM(W748:AU748)</f>
        <v/>
      </c>
    </row>
    <row r="749">
      <c r="A749" s="2" t="inlineStr">
        <is>
          <t>A14-S-LP/SP-1-N-002</t>
        </is>
      </c>
      <c r="B749" s="3" t="inlineStr">
        <is>
          <t>SOJC-MM-LC/PC-SC/PC</t>
        </is>
      </c>
      <c r="C749" s="2" t="inlineStr">
        <is>
          <t>908040205, 15M</t>
        </is>
      </c>
      <c r="D749" s="2" t="inlineStr">
        <is>
          <t>om1</t>
        </is>
      </c>
      <c r="E749" s="2" t="inlineStr">
        <is>
          <t>2.0mm</t>
        </is>
      </c>
      <c r="F749" s="2" t="n">
        <v>1</v>
      </c>
      <c r="G749" s="2" t="n">
        <v>15</v>
      </c>
      <c r="H749" s="2" t="inlineStr">
        <is>
          <t>LC/PC</t>
        </is>
      </c>
      <c r="I749" s="2" t="inlineStr">
        <is>
          <t>SC/PC</t>
        </is>
      </c>
      <c r="J749" s="2" t="n"/>
      <c r="K749" s="2" t="n">
        <v>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>
        <f>SUM(J749:U749)</f>
        <v/>
      </c>
      <c r="W749" s="2" t="n"/>
      <c r="X749" s="2" t="n"/>
      <c r="Y749" s="2" t="n"/>
      <c r="Z749" s="2" t="n"/>
      <c r="AA749" s="2" t="n">
        <v>5</v>
      </c>
      <c r="AB749" s="2" t="n"/>
      <c r="AC749" s="2" t="n"/>
      <c r="AD749" s="2" t="n"/>
      <c r="AE749" s="2" t="n"/>
      <c r="AF749" s="2" t="n"/>
      <c r="AG749" s="2" t="n"/>
      <c r="AH749" s="2" t="n"/>
      <c r="AI749" s="2" t="n">
        <v>5</v>
      </c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>
        <f>IF(F749=1,V749*2,IF(F749=2,V749*F749*2,IF(F749&gt;2,F749*2*V749)))</f>
        <v/>
      </c>
      <c r="AW749" s="2">
        <f>SUM(W749:AU749)</f>
        <v/>
      </c>
    </row>
    <row r="750">
      <c r="A750" s="2" t="inlineStr">
        <is>
          <t>A14-S-LP/SP-1-N-010</t>
        </is>
      </c>
      <c r="B750" s="3" t="inlineStr">
        <is>
          <t>SOJC-MM-LC/PC-SC/PC</t>
        </is>
      </c>
      <c r="C750" s="2" t="inlineStr">
        <is>
          <t>908040192, 1M</t>
        </is>
      </c>
      <c r="D750" s="2" t="inlineStr">
        <is>
          <t>om1</t>
        </is>
      </c>
      <c r="E750" s="2" t="inlineStr">
        <is>
          <t>2.0mm</t>
        </is>
      </c>
      <c r="F750" s="2" t="n">
        <v>1</v>
      </c>
      <c r="G750" s="2" t="n">
        <v>1</v>
      </c>
      <c r="H750" s="2" t="inlineStr">
        <is>
          <t>LC/PC</t>
        </is>
      </c>
      <c r="I750" s="2" t="inlineStr">
        <is>
          <t>SC/PC</t>
        </is>
      </c>
      <c r="J750" s="2" t="n"/>
      <c r="K750" s="2" t="n"/>
      <c r="L750" s="2" t="n">
        <v>3</v>
      </c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>
        <f>SUM(J750:U750)</f>
        <v/>
      </c>
      <c r="W750" s="2" t="n"/>
      <c r="X750" s="2" t="n"/>
      <c r="Y750" s="2" t="n"/>
      <c r="Z750" s="2" t="n"/>
      <c r="AA750" s="2" t="n">
        <v>3</v>
      </c>
      <c r="AB750" s="2" t="n"/>
      <c r="AC750" s="2" t="n"/>
      <c r="AD750" s="2" t="n"/>
      <c r="AE750" s="2" t="n"/>
      <c r="AF750" s="2" t="n"/>
      <c r="AG750" s="2" t="n"/>
      <c r="AH750" s="2" t="n"/>
      <c r="AI750" s="2" t="n">
        <v>3</v>
      </c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>
        <f>IF(F750=1,V750*2,IF(F750=2,V750*F750*2,IF(F750&gt;2,F750*2*V750)))</f>
        <v/>
      </c>
      <c r="AW750" s="2">
        <f>SUM(W750:AU750)</f>
        <v/>
      </c>
    </row>
    <row r="751">
      <c r="A751" s="2" t="inlineStr">
        <is>
          <t>A14-S-LP/SP-B-N-002</t>
        </is>
      </c>
      <c r="B751" s="3" t="inlineStr">
        <is>
          <t>SOJC-SM-LC/PC-SC/PC</t>
        </is>
      </c>
      <c r="C751" s="2" t="inlineStr">
        <is>
          <t>908040174, 14M, B3, 2.0mm</t>
        </is>
      </c>
      <c r="D751" s="2" t="inlineStr">
        <is>
          <t>b3</t>
        </is>
      </c>
      <c r="E751" s="2" t="inlineStr">
        <is>
          <t>2.0mm</t>
        </is>
      </c>
      <c r="F751" s="2" t="n">
        <v>1</v>
      </c>
      <c r="G751" s="2" t="n">
        <v>14</v>
      </c>
      <c r="H751" s="2" t="inlineStr">
        <is>
          <t>LC/PC</t>
        </is>
      </c>
      <c r="I751" s="2" t="inlineStr">
        <is>
          <t>SC/PC</t>
        </is>
      </c>
      <c r="J751" s="2" t="n"/>
      <c r="K751" s="2" t="n"/>
      <c r="L751" s="2" t="n"/>
      <c r="M751" s="2" t="n"/>
      <c r="N751" s="2" t="n"/>
      <c r="O751" s="2" t="n">
        <v>18</v>
      </c>
      <c r="P751" s="2" t="n"/>
      <c r="Q751" s="2" t="n"/>
      <c r="R751" s="2" t="n">
        <v>60</v>
      </c>
      <c r="S751" s="2" t="n"/>
      <c r="T751" s="2" t="n"/>
      <c r="U751" s="2" t="n"/>
      <c r="V751" s="2">
        <f>SUM(J751:U751)</f>
        <v/>
      </c>
      <c r="W751" s="2" t="n">
        <v>78</v>
      </c>
      <c r="X751" s="2" t="n"/>
      <c r="Y751" s="2" t="n"/>
      <c r="Z751" s="2" t="n"/>
      <c r="AA751" s="2" t="n">
        <v>78</v>
      </c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>
        <f>IF(F751=1,V751*2,IF(F751=2,V751*F751*2,IF(F751&gt;2,F751*2*V751)))</f>
        <v/>
      </c>
      <c r="AW751" s="2">
        <f>SUM(W751:AU751)</f>
        <v/>
      </c>
    </row>
    <row r="752">
      <c r="A752" s="2" t="inlineStr">
        <is>
          <t>A14-S-LP/SP-B-N-010</t>
        </is>
      </c>
      <c r="B752" s="3" t="inlineStr">
        <is>
          <t>SOJC-SM-LC/PC-SC/PC</t>
        </is>
      </c>
      <c r="C752" s="2" t="inlineStr">
        <is>
          <t>908040164, 4M, B3, 3.0mm</t>
        </is>
      </c>
      <c r="D752" s="2" t="inlineStr">
        <is>
          <t>b3</t>
        </is>
      </c>
      <c r="E752" s="2" t="inlineStr">
        <is>
          <t>3.0mm</t>
        </is>
      </c>
      <c r="F752" s="2" t="n">
        <v>1</v>
      </c>
      <c r="G752" s="2" t="n">
        <v>4</v>
      </c>
      <c r="H752" s="2" t="inlineStr">
        <is>
          <t>LC/PC</t>
        </is>
      </c>
      <c r="I752" s="2" t="inlineStr">
        <is>
          <t>SC/PC</t>
        </is>
      </c>
      <c r="J752" s="2" t="n"/>
      <c r="K752" s="2" t="n"/>
      <c r="L752" s="2" t="n"/>
      <c r="M752" s="2" t="n"/>
      <c r="N752" s="2" t="n"/>
      <c r="O752" s="2" t="n">
        <v>100</v>
      </c>
      <c r="P752" s="2" t="n">
        <v>200</v>
      </c>
      <c r="Q752" s="2" t="n"/>
      <c r="R752" s="2" t="n"/>
      <c r="S752" s="2" t="n"/>
      <c r="T752" s="2" t="n"/>
      <c r="U752" s="2" t="n"/>
      <c r="V752" s="2">
        <f>SUM(J752:U752)</f>
        <v/>
      </c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>
        <v>300</v>
      </c>
      <c r="AK752" s="2" t="n"/>
      <c r="AL752" s="2" t="n"/>
      <c r="AM752" s="2" t="n"/>
      <c r="AN752" s="2" t="n">
        <v>300</v>
      </c>
      <c r="AO752" s="2" t="n"/>
      <c r="AP752" s="2" t="n"/>
      <c r="AQ752" s="2" t="n"/>
      <c r="AR752" s="2" t="n"/>
      <c r="AS752" s="2" t="n"/>
      <c r="AT752" s="2" t="n"/>
      <c r="AU752" s="2" t="n"/>
      <c r="AV752" s="2">
        <f>IF(F752=1,V752*2,IF(F752=2,V752*F752*2,IF(F752&gt;2,F752*2*V752)))</f>
        <v/>
      </c>
      <c r="AW752" s="2">
        <f>SUM(W752:AU752)</f>
        <v/>
      </c>
    </row>
    <row r="753">
      <c r="A753" s="2" t="inlineStr">
        <is>
          <t>A14-S-SA/FA-B-N-001</t>
        </is>
      </c>
      <c r="B753" s="3" t="inlineStr">
        <is>
          <t>SOJC-SM-SC/APC-FC/APC</t>
        </is>
      </c>
      <c r="C753" s="2" t="inlineStr">
        <is>
          <t>908040379, 10M, B3, 2.0mm</t>
        </is>
      </c>
      <c r="D753" s="2" t="inlineStr">
        <is>
          <t>b3</t>
        </is>
      </c>
      <c r="E753" s="2" t="inlineStr">
        <is>
          <t>2.0mm</t>
        </is>
      </c>
      <c r="F753" s="2" t="n">
        <v>1</v>
      </c>
      <c r="G753" s="2" t="n">
        <v>10</v>
      </c>
      <c r="H753" s="2" t="inlineStr">
        <is>
          <t>SC/APC</t>
        </is>
      </c>
      <c r="I753" s="2" t="inlineStr">
        <is>
          <t>FC/APC</t>
        </is>
      </c>
      <c r="J753" s="2" t="n"/>
      <c r="K753" s="2" t="n"/>
      <c r="L753" s="2" t="n"/>
      <c r="M753" s="2" t="n"/>
      <c r="N753" s="2" t="n"/>
      <c r="O753" s="2" t="n"/>
      <c r="P753" s="2" t="n"/>
      <c r="Q753" s="2" t="n">
        <v>15</v>
      </c>
      <c r="R753" s="2" t="n"/>
      <c r="S753" s="2" t="n"/>
      <c r="T753" s="2" t="n"/>
      <c r="U753" s="2" t="n"/>
      <c r="V753" s="2">
        <f>SUM(J753:U753)</f>
        <v/>
      </c>
      <c r="W753" s="2" t="n"/>
      <c r="X753" s="2" t="n"/>
      <c r="Y753" s="2" t="n"/>
      <c r="Z753" s="2" t="n"/>
      <c r="AA753" s="2" t="n"/>
      <c r="AB753" s="2" t="n"/>
      <c r="AC753" s="2" t="n">
        <v>15</v>
      </c>
      <c r="AD753" s="2" t="n"/>
      <c r="AE753" s="2" t="n"/>
      <c r="AF753" s="2" t="n"/>
      <c r="AG753" s="2" t="n">
        <v>15</v>
      </c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>
        <f>IF(F753=1,V753*2,IF(F753=2,V753*F753*2,IF(F753&gt;2,F753*2*V753)))</f>
        <v/>
      </c>
      <c r="AW753" s="2">
        <f>SUM(W753:AU753)</f>
        <v/>
      </c>
    </row>
    <row r="754">
      <c r="A754" s="2" t="inlineStr">
        <is>
          <t>A14-S-SA/FA-B-N-003</t>
        </is>
      </c>
      <c r="B754" s="3" t="inlineStr">
        <is>
          <t>SOJC-SM-SC/APC-FC/APC</t>
        </is>
      </c>
      <c r="C754" s="2" t="inlineStr">
        <is>
          <t>908040384, 15M, B3, 2.0mm</t>
        </is>
      </c>
      <c r="D754" s="2" t="inlineStr">
        <is>
          <t>b3</t>
        </is>
      </c>
      <c r="E754" s="2" t="inlineStr">
        <is>
          <t>2.0mm</t>
        </is>
      </c>
      <c r="F754" s="2" t="n">
        <v>1</v>
      </c>
      <c r="G754" s="2" t="n">
        <v>15</v>
      </c>
      <c r="H754" s="2" t="inlineStr">
        <is>
          <t>SC/APC</t>
        </is>
      </c>
      <c r="I754" s="2" t="inlineStr">
        <is>
          <t>FC/APC</t>
        </is>
      </c>
      <c r="J754" s="2" t="n"/>
      <c r="K754" s="2" t="n"/>
      <c r="L754" s="2" t="n"/>
      <c r="M754" s="2" t="n"/>
      <c r="N754" s="2" t="n"/>
      <c r="O754" s="2" t="n">
        <v>10</v>
      </c>
      <c r="P754" s="2" t="n"/>
      <c r="Q754" s="2" t="n"/>
      <c r="R754" s="2" t="n"/>
      <c r="S754" s="2" t="n"/>
      <c r="T754" s="2" t="n"/>
      <c r="U754" s="2" t="n"/>
      <c r="V754" s="2">
        <f>SUM(J754:U754)</f>
        <v/>
      </c>
      <c r="W754" s="2" t="n"/>
      <c r="X754" s="2" t="n"/>
      <c r="Y754" s="2" t="n"/>
      <c r="Z754" s="2" t="n"/>
      <c r="AA754" s="2" t="n"/>
      <c r="AB754" s="2" t="n"/>
      <c r="AC754" s="2" t="n">
        <v>10</v>
      </c>
      <c r="AD754" s="2" t="n"/>
      <c r="AE754" s="2" t="n"/>
      <c r="AF754" s="2" t="n"/>
      <c r="AG754" s="2" t="n">
        <v>10</v>
      </c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>
        <f>IF(F754=1,V754*2,IF(F754=2,V754*F754*2,IF(F754&gt;2,F754*2*V754)))</f>
        <v/>
      </c>
      <c r="AW754" s="2">
        <f>SUM(W754:AU754)</f>
        <v/>
      </c>
    </row>
    <row r="755">
      <c r="A755" s="2" t="inlineStr">
        <is>
          <t>A14-S-SA/FA-B-N-006</t>
        </is>
      </c>
      <c r="B755" s="3" t="inlineStr">
        <is>
          <t>SOJC-SM-SC/APC-FC/APC</t>
        </is>
      </c>
      <c r="C755" s="2" t="inlineStr">
        <is>
          <t>908040389, 20M, B3, 2.0mm</t>
        </is>
      </c>
      <c r="D755" s="2" t="inlineStr">
        <is>
          <t>b3</t>
        </is>
      </c>
      <c r="E755" s="2" t="inlineStr">
        <is>
          <t>2.0mm</t>
        </is>
      </c>
      <c r="F755" s="2" t="n">
        <v>1</v>
      </c>
      <c r="G755" s="2" t="n">
        <v>20</v>
      </c>
      <c r="H755" s="2" t="inlineStr">
        <is>
          <t>SC/APC</t>
        </is>
      </c>
      <c r="I755" s="2" t="inlineStr">
        <is>
          <t>FC/APC</t>
        </is>
      </c>
      <c r="J755" s="2" t="n"/>
      <c r="K755" s="2" t="n"/>
      <c r="L755" s="2" t="n"/>
      <c r="M755" s="2" t="n">
        <v>10</v>
      </c>
      <c r="N755" s="2" t="n">
        <v>25</v>
      </c>
      <c r="O755" s="2" t="n">
        <v>30</v>
      </c>
      <c r="P755" s="2" t="n"/>
      <c r="Q755" s="2" t="n">
        <v>35</v>
      </c>
      <c r="R755" s="2" t="n"/>
      <c r="S755" s="2" t="n"/>
      <c r="T755" s="2" t="n"/>
      <c r="U755" s="2" t="n"/>
      <c r="V755" s="2">
        <f>SUM(J755:U755)</f>
        <v/>
      </c>
      <c r="W755" s="2" t="n"/>
      <c r="X755" s="2" t="n"/>
      <c r="Y755" s="2" t="n"/>
      <c r="Z755" s="2" t="n"/>
      <c r="AA755" s="2" t="n"/>
      <c r="AB755" s="2" t="n"/>
      <c r="AC755" s="2" t="n">
        <v>100</v>
      </c>
      <c r="AD755" s="2" t="n"/>
      <c r="AE755" s="2" t="n"/>
      <c r="AF755" s="2" t="n"/>
      <c r="AG755" s="2" t="n">
        <v>100</v>
      </c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>
        <f>IF(F755=1,V755*2,IF(F755=2,V755*F755*2,IF(F755&gt;2,F755*2*V755)))</f>
        <v/>
      </c>
      <c r="AW755" s="2">
        <f>SUM(W755:AU755)</f>
        <v/>
      </c>
    </row>
    <row r="756">
      <c r="A756" s="2" t="inlineStr">
        <is>
          <t>A14-S-SA/SA-B-N-012</t>
        </is>
      </c>
      <c r="B756" s="3" t="inlineStr">
        <is>
          <t>SOJC-SM-SC/APC-SC/APC</t>
        </is>
      </c>
      <c r="C756" s="2" t="inlineStr">
        <is>
          <t>908041456, 7M, B3, 2.0mm</t>
        </is>
      </c>
      <c r="D756" s="2" t="inlineStr">
        <is>
          <t>b3</t>
        </is>
      </c>
      <c r="E756" s="2" t="inlineStr">
        <is>
          <t>2.0mm</t>
        </is>
      </c>
      <c r="F756" s="2" t="n">
        <v>1</v>
      </c>
      <c r="G756" s="2" t="n">
        <v>7</v>
      </c>
      <c r="H756" s="2" t="inlineStr">
        <is>
          <t>SC/APC</t>
        </is>
      </c>
      <c r="I756" s="2" t="inlineStr">
        <is>
          <t>SC/APC</t>
        </is>
      </c>
      <c r="J756" s="2" t="n"/>
      <c r="K756" s="2" t="n"/>
      <c r="L756" s="2" t="n">
        <v>5</v>
      </c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>
        <f>SUM(J756:U756)</f>
        <v/>
      </c>
      <c r="W756" s="2" t="n"/>
      <c r="X756" s="2" t="n"/>
      <c r="Y756" s="2" t="n"/>
      <c r="Z756" s="2" t="n"/>
      <c r="AA756" s="2" t="n"/>
      <c r="AB756" s="2" t="n"/>
      <c r="AC756" s="2" t="n">
        <v>10</v>
      </c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>
        <f>IF(F756=1,V756*2,IF(F756=2,V756*F756*2,IF(F756&gt;2,F756*2*V756)))</f>
        <v/>
      </c>
      <c r="AW756" s="2">
        <f>SUM(W756:AU756)</f>
        <v/>
      </c>
    </row>
    <row r="757">
      <c r="A757" s="2" t="inlineStr">
        <is>
          <t>A14-S-SP/FA-B-N-008</t>
        </is>
      </c>
      <c r="B757" s="3" t="inlineStr">
        <is>
          <t>SOJC-SM-SC/PC-FC/APC</t>
        </is>
      </c>
      <c r="C757" s="2" t="inlineStr">
        <is>
          <t>908040339, 30M, B3, 2.0mm</t>
        </is>
      </c>
      <c r="D757" s="2" t="inlineStr">
        <is>
          <t>b3</t>
        </is>
      </c>
      <c r="E757" s="2" t="inlineStr">
        <is>
          <t>2.0mm</t>
        </is>
      </c>
      <c r="F757" s="2" t="n">
        <v>1</v>
      </c>
      <c r="G757" s="2" t="n">
        <v>30</v>
      </c>
      <c r="H757" s="2" t="inlineStr">
        <is>
          <t>SC/PC</t>
        </is>
      </c>
      <c r="I757" s="2" t="inlineStr">
        <is>
          <t>FC/APC</t>
        </is>
      </c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>
        <v>10</v>
      </c>
      <c r="T757" s="2" t="n">
        <v>10</v>
      </c>
      <c r="U757" s="2" t="n"/>
      <c r="V757" s="2">
        <f>SUM(J757:U757)</f>
        <v/>
      </c>
      <c r="W757" s="2" t="n"/>
      <c r="X757" s="2" t="n"/>
      <c r="Y757" s="2" t="n"/>
      <c r="Z757" s="2" t="n"/>
      <c r="AA757" s="2" t="n">
        <v>20</v>
      </c>
      <c r="AB757" s="2" t="n"/>
      <c r="AC757" s="2" t="n"/>
      <c r="AD757" s="2" t="n"/>
      <c r="AE757" s="2" t="n"/>
      <c r="AF757" s="2" t="n"/>
      <c r="AG757" s="2" t="n">
        <v>20</v>
      </c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>
        <f>IF(F757=1,V757*2,IF(F757=2,V757*F757*2,IF(F757&gt;2,F757*2*V757)))</f>
        <v/>
      </c>
      <c r="AW757" s="2">
        <f>SUM(W757:AU757)</f>
        <v/>
      </c>
    </row>
    <row r="758">
      <c r="A758" s="2" t="inlineStr">
        <is>
          <t>A14-S-SP/FA-B-N-012</t>
        </is>
      </c>
      <c r="B758" s="3" t="inlineStr">
        <is>
          <t>SOJC-SM-SC/PC-FC/APC</t>
        </is>
      </c>
      <c r="C758" s="2" t="inlineStr">
        <is>
          <t>908040315, 6M, B3, 2.0mm</t>
        </is>
      </c>
      <c r="D758" s="2" t="inlineStr">
        <is>
          <t>b3</t>
        </is>
      </c>
      <c r="E758" s="2" t="inlineStr">
        <is>
          <t>2.0mm</t>
        </is>
      </c>
      <c r="F758" s="2" t="n">
        <v>1</v>
      </c>
      <c r="G758" s="2" t="n">
        <v>6</v>
      </c>
      <c r="H758" s="2" t="inlineStr">
        <is>
          <t>SC/PC</t>
        </is>
      </c>
      <c r="I758" s="2" t="inlineStr">
        <is>
          <t>FC/APC</t>
        </is>
      </c>
      <c r="J758" s="2" t="n"/>
      <c r="K758" s="2" t="n"/>
      <c r="L758" s="2" t="n"/>
      <c r="M758" s="2" t="n"/>
      <c r="N758" s="2" t="n"/>
      <c r="O758" s="2" t="n"/>
      <c r="P758" s="2" t="n">
        <v>10</v>
      </c>
      <c r="Q758" s="2" t="n"/>
      <c r="R758" s="2" t="n"/>
      <c r="S758" s="2" t="n"/>
      <c r="T758" s="2" t="n"/>
      <c r="U758" s="2" t="n"/>
      <c r="V758" s="2">
        <f>SUM(J758:U758)</f>
        <v/>
      </c>
      <c r="W758" s="2" t="n"/>
      <c r="X758" s="2" t="n"/>
      <c r="Y758" s="2" t="n"/>
      <c r="Z758" s="2" t="n"/>
      <c r="AA758" s="2" t="n">
        <v>10</v>
      </c>
      <c r="AB758" s="2" t="n"/>
      <c r="AC758" s="2" t="n"/>
      <c r="AD758" s="2" t="n"/>
      <c r="AE758" s="2" t="n"/>
      <c r="AF758" s="2" t="n"/>
      <c r="AG758" s="2" t="n">
        <v>10</v>
      </c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>
        <f>IF(F758=1,V758*2,IF(F758=2,V758*F758*2,IF(F758&gt;2,F758*2*V758)))</f>
        <v/>
      </c>
      <c r="AW758" s="2">
        <f>SUM(W758:AU758)</f>
        <v/>
      </c>
    </row>
    <row r="759">
      <c r="A759" s="2" t="inlineStr">
        <is>
          <t>A14-S-SP/FP-1-N-001</t>
        </is>
      </c>
      <c r="B759" s="3" t="inlineStr">
        <is>
          <t>SOJC-MM-SC/PC-FC/PC</t>
        </is>
      </c>
      <c r="C759" s="2" t="inlineStr">
        <is>
          <t>908040401, 1M</t>
        </is>
      </c>
      <c r="D759" s="2" t="inlineStr">
        <is>
          <t>om1</t>
        </is>
      </c>
      <c r="E759" s="2" t="inlineStr">
        <is>
          <t>2.0mm</t>
        </is>
      </c>
      <c r="F759" s="2" t="n">
        <v>1</v>
      </c>
      <c r="G759" s="2" t="n">
        <v>1</v>
      </c>
      <c r="H759" s="2" t="inlineStr">
        <is>
          <t>SC/PC</t>
        </is>
      </c>
      <c r="I759" s="2" t="inlineStr">
        <is>
          <t>FC/PC</t>
        </is>
      </c>
      <c r="J759" s="2" t="n"/>
      <c r="K759" s="2" t="n"/>
      <c r="L759" s="2" t="n">
        <v>3</v>
      </c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>
        <f>SUM(J759:U759)</f>
        <v/>
      </c>
      <c r="W759" s="2" t="n"/>
      <c r="X759" s="2" t="n"/>
      <c r="Y759" s="2" t="n"/>
      <c r="Z759" s="2" t="n"/>
      <c r="AA759" s="2" t="n">
        <v>3</v>
      </c>
      <c r="AB759" s="2" t="n"/>
      <c r="AC759" s="2" t="n"/>
      <c r="AD759" s="2" t="n"/>
      <c r="AE759" s="2" t="n">
        <v>3</v>
      </c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>
        <f>IF(F759=1,V759*2,IF(F759=2,V759*F759*2,IF(F759&gt;2,F759*2*V759)))</f>
        <v/>
      </c>
      <c r="AW759" s="2">
        <f>SUM(W759:AU759)</f>
        <v/>
      </c>
    </row>
    <row r="760">
      <c r="A760" s="2" t="inlineStr">
        <is>
          <t>A14-S-SP/FP-B-N-003</t>
        </is>
      </c>
      <c r="B760" s="3" t="inlineStr">
        <is>
          <t>SOJC-SM-SC/PC-FC/PC</t>
        </is>
      </c>
      <c r="C760" s="2" t="inlineStr">
        <is>
          <t>908041372, 1M, B3, 3.0mm</t>
        </is>
      </c>
      <c r="D760" s="2" t="inlineStr">
        <is>
          <t>b3</t>
        </is>
      </c>
      <c r="E760" s="2" t="inlineStr">
        <is>
          <t>3.0mm</t>
        </is>
      </c>
      <c r="F760" s="2" t="n">
        <v>1</v>
      </c>
      <c r="G760" s="2" t="n">
        <v>1</v>
      </c>
      <c r="H760" s="2" t="inlineStr">
        <is>
          <t>SC/PC</t>
        </is>
      </c>
      <c r="I760" s="2" t="inlineStr">
        <is>
          <t>FC/PC</t>
        </is>
      </c>
      <c r="J760" s="2" t="n"/>
      <c r="K760" s="2" t="n"/>
      <c r="L760" s="2" t="n">
        <v>3</v>
      </c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>
        <f>SUM(J760:U760)</f>
        <v/>
      </c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>
        <v>3</v>
      </c>
      <c r="AO760" s="2" t="n"/>
      <c r="AP760" s="2" t="n"/>
      <c r="AQ760" s="2" t="n"/>
      <c r="AR760" s="2" t="n">
        <v>3</v>
      </c>
      <c r="AS760" s="2" t="n"/>
      <c r="AT760" s="2" t="n"/>
      <c r="AU760" s="2" t="n"/>
      <c r="AV760" s="2">
        <f>IF(F760=1,V760*2,IF(F760=2,V760*F760*2,IF(F760&gt;2,F760*2*V760)))</f>
        <v/>
      </c>
      <c r="AW760" s="2">
        <f>SUM(W760:AU760)</f>
        <v/>
      </c>
    </row>
    <row r="761">
      <c r="A761" s="2" t="inlineStr">
        <is>
          <t>A14-S-SP/FP-B-N-008</t>
        </is>
      </c>
      <c r="B761" s="3" t="inlineStr">
        <is>
          <t>SOJC-SM-SC/PC-FC/PC</t>
        </is>
      </c>
      <c r="C761" s="2" t="inlineStr">
        <is>
          <t>908041371, 3M, B3, 3.0mm</t>
        </is>
      </c>
      <c r="D761" s="2" t="inlineStr">
        <is>
          <t>b3</t>
        </is>
      </c>
      <c r="E761" s="2" t="inlineStr">
        <is>
          <t>3.0mm</t>
        </is>
      </c>
      <c r="F761" s="2" t="n">
        <v>1</v>
      </c>
      <c r="G761" s="2" t="n">
        <v>3</v>
      </c>
      <c r="H761" s="2" t="inlineStr">
        <is>
          <t>SC/PC</t>
        </is>
      </c>
      <c r="I761" s="2" t="inlineStr">
        <is>
          <t>FC/PC</t>
        </is>
      </c>
      <c r="J761" s="2" t="n">
        <v>50</v>
      </c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>
        <f>SUM(J761:U761)</f>
        <v/>
      </c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>
        <v>50</v>
      </c>
      <c r="AO761" s="2" t="n"/>
      <c r="AP761" s="2" t="n"/>
      <c r="AQ761" s="2" t="n"/>
      <c r="AR761" s="2" t="n">
        <v>50</v>
      </c>
      <c r="AS761" s="2" t="n"/>
      <c r="AT761" s="2" t="n"/>
      <c r="AU761" s="2" t="n"/>
      <c r="AV761" s="2">
        <f>IF(F761=1,V761*2,IF(F761=2,V761*F761*2,IF(F761&gt;2,F761*2*V761)))</f>
        <v/>
      </c>
      <c r="AW761" s="2">
        <f>SUM(W761:AU761)</f>
        <v/>
      </c>
    </row>
    <row r="762">
      <c r="A762" s="2" t="inlineStr">
        <is>
          <t>A14-S-SP/SA-B-N-013</t>
        </is>
      </c>
      <c r="B762" s="3" t="inlineStr">
        <is>
          <t>SOJC-SM-SC/PC-SC/APC</t>
        </is>
      </c>
      <c r="C762" s="2" t="inlineStr">
        <is>
          <t>908041426, 7M, B3, 2.0mm</t>
        </is>
      </c>
      <c r="D762" s="2" t="inlineStr">
        <is>
          <t>b3</t>
        </is>
      </c>
      <c r="E762" s="2" t="inlineStr">
        <is>
          <t>2.0mm</t>
        </is>
      </c>
      <c r="F762" s="2" t="n">
        <v>1</v>
      </c>
      <c r="G762" s="2" t="n">
        <v>7</v>
      </c>
      <c r="H762" s="2" t="inlineStr">
        <is>
          <t>SC/PC</t>
        </is>
      </c>
      <c r="I762" s="2" t="inlineStr">
        <is>
          <t>SC/APC</t>
        </is>
      </c>
      <c r="J762" s="2" t="n"/>
      <c r="K762" s="2" t="n"/>
      <c r="L762" s="2" t="n"/>
      <c r="M762" s="2" t="n"/>
      <c r="N762" s="2" t="n"/>
      <c r="O762" s="2" t="n"/>
      <c r="P762" s="2" t="n"/>
      <c r="Q762" s="2" t="n">
        <v>15</v>
      </c>
      <c r="R762" s="2" t="n"/>
      <c r="S762" s="2" t="n"/>
      <c r="T762" s="2" t="n"/>
      <c r="U762" s="2" t="n"/>
      <c r="V762" s="2">
        <f>SUM(J762:U762)</f>
        <v/>
      </c>
      <c r="W762" s="2" t="n"/>
      <c r="X762" s="2" t="n"/>
      <c r="Y762" s="2" t="n"/>
      <c r="Z762" s="2" t="n"/>
      <c r="AA762" s="2" t="n">
        <v>15</v>
      </c>
      <c r="AB762" s="2" t="n"/>
      <c r="AC762" s="2" t="n">
        <v>15</v>
      </c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>
        <f>IF(F762=1,V762*2,IF(F762=2,V762*F762*2,IF(F762&gt;2,F762*2*V762)))</f>
        <v/>
      </c>
      <c r="AW762" s="2">
        <f>SUM(W762:AU762)</f>
        <v/>
      </c>
    </row>
    <row r="763">
      <c r="A763" s="2" t="inlineStr">
        <is>
          <t>A14-S-SP/SP-B-N-007</t>
        </is>
      </c>
      <c r="B763" s="3" t="inlineStr">
        <is>
          <t>SOJC-SM-SC/PC-SC/PC</t>
        </is>
      </c>
      <c r="C763" s="2" t="inlineStr">
        <is>
          <t>908041419, 30M, B3, 2.0mm</t>
        </is>
      </c>
      <c r="D763" s="2" t="inlineStr">
        <is>
          <t>b3</t>
        </is>
      </c>
      <c r="E763" s="2" t="inlineStr">
        <is>
          <t>2.0mm</t>
        </is>
      </c>
      <c r="F763" s="2" t="n">
        <v>1</v>
      </c>
      <c r="G763" s="2" t="n">
        <v>30</v>
      </c>
      <c r="H763" s="2" t="inlineStr">
        <is>
          <t>SC/PC</t>
        </is>
      </c>
      <c r="I763" s="2" t="inlineStr">
        <is>
          <t>SC/PC</t>
        </is>
      </c>
      <c r="J763" s="2" t="n"/>
      <c r="K763" s="2" t="n"/>
      <c r="L763" s="2" t="n"/>
      <c r="M763" s="2" t="n"/>
      <c r="N763" s="2" t="n"/>
      <c r="O763" s="2" t="n"/>
      <c r="P763" s="2" t="n"/>
      <c r="Q763" s="2" t="n">
        <v>1</v>
      </c>
      <c r="R763" s="2" t="n"/>
      <c r="S763" s="2" t="n"/>
      <c r="T763" s="2" t="n"/>
      <c r="U763" s="2" t="n">
        <v>10</v>
      </c>
      <c r="V763" s="2">
        <f>SUM(J763:U763)</f>
        <v/>
      </c>
      <c r="W763" s="2" t="n"/>
      <c r="X763" s="2" t="n"/>
      <c r="Y763" s="2" t="n"/>
      <c r="Z763" s="2" t="n"/>
      <c r="AA763" s="2" t="n">
        <v>22</v>
      </c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>
        <f>IF(F763=1,V763*2,IF(F763=2,V763*F763*2,IF(F763&gt;2,F763*2*V763)))</f>
        <v/>
      </c>
      <c r="AW763" s="2">
        <f>SUM(W763:AU763)</f>
        <v/>
      </c>
    </row>
    <row r="764">
      <c r="A764" s="2" t="inlineStr">
        <is>
          <t>A14-SB-N018</t>
        </is>
      </c>
      <c r="B764" s="3" t="inlineStr">
        <is>
          <t>SOJC-MM-SC/PC-SC/PC</t>
        </is>
      </c>
      <c r="C764" s="2" t="inlineStr">
        <is>
          <t>908040111, 3M</t>
        </is>
      </c>
      <c r="D764" s="2" t="inlineStr">
        <is>
          <t>om1</t>
        </is>
      </c>
      <c r="E764" s="2" t="inlineStr">
        <is>
          <t>2.0mm</t>
        </is>
      </c>
      <c r="F764" s="2" t="n">
        <v>1</v>
      </c>
      <c r="G764" s="2" t="n">
        <v>3</v>
      </c>
      <c r="H764" s="2" t="inlineStr">
        <is>
          <t>SC/PC</t>
        </is>
      </c>
      <c r="I764" s="2" t="inlineStr">
        <is>
          <t>SC/PC</t>
        </is>
      </c>
      <c r="J764" s="2" t="n"/>
      <c r="K764" s="2" t="n">
        <v>150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>
        <f>SUM(J764:U764)</f>
        <v/>
      </c>
      <c r="W764" s="2" t="n"/>
      <c r="X764" s="2" t="n"/>
      <c r="Y764" s="2" t="n"/>
      <c r="Z764" s="2" t="n"/>
      <c r="AA764" s="2" t="n">
        <v>300</v>
      </c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>
        <f>IF(F764=1,V764*2,IF(F764=2,V764*F764*2,IF(F764&gt;2,F764*2*V764)))</f>
        <v/>
      </c>
      <c r="AW764" s="2">
        <f>SUM(W764:AU764)</f>
        <v/>
      </c>
    </row>
    <row r="765">
      <c r="A765" s="2" t="inlineStr">
        <is>
          <t>A14-SB-N022</t>
        </is>
      </c>
      <c r="B765" s="3" t="inlineStr">
        <is>
          <t>SOJC-SM-FC/APC-FC/APC</t>
        </is>
      </c>
      <c r="C765" s="2" t="inlineStr">
        <is>
          <t>908041355, 15M, B3, 2.0mm</t>
        </is>
      </c>
      <c r="D765" s="2" t="inlineStr">
        <is>
          <t>b3</t>
        </is>
      </c>
      <c r="E765" s="2" t="inlineStr">
        <is>
          <t>2.0mm</t>
        </is>
      </c>
      <c r="F765" s="2" t="n">
        <v>1</v>
      </c>
      <c r="G765" s="2" t="n">
        <v>15</v>
      </c>
      <c r="H765" s="2" t="inlineStr">
        <is>
          <t>FC/APC</t>
        </is>
      </c>
      <c r="I765" s="2" t="inlineStr">
        <is>
          <t>FC/APC</t>
        </is>
      </c>
      <c r="J765" s="2" t="n"/>
      <c r="K765" s="2" t="n"/>
      <c r="L765" s="2" t="n"/>
      <c r="M765" s="2" t="n"/>
      <c r="N765" s="2" t="n"/>
      <c r="O765" s="2" t="n">
        <v>10</v>
      </c>
      <c r="P765" s="2" t="n"/>
      <c r="Q765" s="2" t="n"/>
      <c r="R765" s="2" t="n"/>
      <c r="S765" s="2" t="n"/>
      <c r="T765" s="2" t="n"/>
      <c r="U765" s="2" t="n"/>
      <c r="V765" s="2">
        <f>SUM(J765:U765)</f>
        <v/>
      </c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>
        <v>20</v>
      </c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>
        <f>IF(F765=1,V765*2,IF(F765=2,V765*F765*2,IF(F765&gt;2,F765*2*V765)))</f>
        <v/>
      </c>
      <c r="AW765" s="2">
        <f>SUM(W765:AU765)</f>
        <v/>
      </c>
    </row>
    <row r="766">
      <c r="A766" s="2" t="inlineStr">
        <is>
          <t>A14-SB-N048</t>
        </is>
      </c>
      <c r="B766" s="3" t="inlineStr">
        <is>
          <t>SOJC-SM-LC/PC-FC/APC</t>
        </is>
      </c>
      <c r="C766" s="2" t="inlineStr">
        <is>
          <t>930001505, 10M, B3, 2.0mm</t>
        </is>
      </c>
      <c r="D766" s="2" t="inlineStr">
        <is>
          <t>b3</t>
        </is>
      </c>
      <c r="E766" s="2" t="inlineStr">
        <is>
          <t>2.0mm</t>
        </is>
      </c>
      <c r="F766" s="2" t="n">
        <v>1</v>
      </c>
      <c r="G766" s="2" t="n">
        <v>10</v>
      </c>
      <c r="H766" s="2" t="inlineStr">
        <is>
          <t>LC/PC</t>
        </is>
      </c>
      <c r="I766" s="2" t="inlineStr">
        <is>
          <t>FC/APC</t>
        </is>
      </c>
      <c r="J766" s="2" t="n">
        <v>30</v>
      </c>
      <c r="K766" s="2" t="n"/>
      <c r="L766" s="2" t="n">
        <v>7</v>
      </c>
      <c r="M766" s="2" t="n">
        <v>30</v>
      </c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>
        <f>SUM(J766:U766)</f>
        <v/>
      </c>
      <c r="W766" s="2" t="n">
        <v>67</v>
      </c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>
        <v>67</v>
      </c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>
        <f>IF(F766=1,V766*2,IF(F766=2,V766*F766*2,IF(F766&gt;2,F766*2*V766)))</f>
        <v/>
      </c>
      <c r="AW766" s="2">
        <f>SUM(W766:AU766)</f>
        <v/>
      </c>
    </row>
    <row r="767">
      <c r="A767" s="2" t="inlineStr">
        <is>
          <t>A14-SB-N050</t>
        </is>
      </c>
      <c r="B767" s="3" t="inlineStr">
        <is>
          <t>SOJC-SM-LC/PC-FC/APC</t>
        </is>
      </c>
      <c r="C767" s="2" t="inlineStr">
        <is>
          <t>13M, B3, 2.0mm</t>
        </is>
      </c>
      <c r="D767" s="2" t="inlineStr">
        <is>
          <t>b3</t>
        </is>
      </c>
      <c r="E767" s="2" t="inlineStr">
        <is>
          <t>2.0mm</t>
        </is>
      </c>
      <c r="F767" s="2" t="n">
        <v>1</v>
      </c>
      <c r="G767" s="2" t="n">
        <v>13</v>
      </c>
      <c r="H767" s="2" t="inlineStr">
        <is>
          <t>LC/PC</t>
        </is>
      </c>
      <c r="I767" s="2" t="inlineStr">
        <is>
          <t>FC/APC</t>
        </is>
      </c>
      <c r="J767" s="2" t="n"/>
      <c r="K767" s="2" t="n"/>
      <c r="L767" s="2" t="n"/>
      <c r="M767" s="2" t="n"/>
      <c r="N767" s="2" t="n"/>
      <c r="O767" s="2" t="n">
        <v>30</v>
      </c>
      <c r="P767" s="2" t="n"/>
      <c r="Q767" s="2" t="n"/>
      <c r="R767" s="2" t="n"/>
      <c r="S767" s="2" t="n"/>
      <c r="T767" s="2" t="n"/>
      <c r="U767" s="2" t="n"/>
      <c r="V767" s="2">
        <f>SUM(J767:U767)</f>
        <v/>
      </c>
      <c r="W767" s="2" t="n">
        <v>30</v>
      </c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>
        <v>30</v>
      </c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>
        <f>IF(F767=1,V767*2,IF(F767=2,V767*F767*2,IF(F767&gt;2,F767*2*V767)))</f>
        <v/>
      </c>
      <c r="AW767" s="2">
        <f>SUM(W767:AU767)</f>
        <v/>
      </c>
    </row>
    <row r="768">
      <c r="A768" s="2" t="inlineStr">
        <is>
          <t>A14-SB-N052</t>
        </is>
      </c>
      <c r="B768" s="3" t="inlineStr">
        <is>
          <t>SOJC-SM-LC/PC-FC/APC</t>
        </is>
      </c>
      <c r="C768" s="2" t="inlineStr">
        <is>
          <t>930001510, 15M, B3, 2.0mm</t>
        </is>
      </c>
      <c r="D768" s="2" t="inlineStr">
        <is>
          <t>b3</t>
        </is>
      </c>
      <c r="E768" s="2" t="inlineStr">
        <is>
          <t>2.0mm</t>
        </is>
      </c>
      <c r="F768" s="2" t="n">
        <v>1</v>
      </c>
      <c r="G768" s="2" t="n">
        <v>15</v>
      </c>
      <c r="H768" s="2" t="inlineStr">
        <is>
          <t>LC/PC</t>
        </is>
      </c>
      <c r="I768" s="2" t="inlineStr">
        <is>
          <t>FC/APC</t>
        </is>
      </c>
      <c r="J768" s="2" t="n">
        <v>100</v>
      </c>
      <c r="K768" s="2" t="n"/>
      <c r="L768" s="2" t="n">
        <v>2</v>
      </c>
      <c r="M768" s="2" t="n">
        <v>55</v>
      </c>
      <c r="N768" s="2" t="n">
        <v>22</v>
      </c>
      <c r="O768" s="2" t="n">
        <v>30</v>
      </c>
      <c r="P768" s="2" t="n"/>
      <c r="Q768" s="2" t="n"/>
      <c r="R768" s="2" t="n"/>
      <c r="S768" s="2" t="n"/>
      <c r="T768" s="2" t="n"/>
      <c r="U768" s="2" t="n"/>
      <c r="V768" s="2">
        <f>SUM(J768:U768)</f>
        <v/>
      </c>
      <c r="W768" s="2" t="n">
        <v>209</v>
      </c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>
        <v>209</v>
      </c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>
        <f>IF(F768=1,V768*2,IF(F768=2,V768*F768*2,IF(F768&gt;2,F768*2*V768)))</f>
        <v/>
      </c>
      <c r="AW768" s="2">
        <f>SUM(W768:AU768)</f>
        <v/>
      </c>
    </row>
    <row r="769">
      <c r="A769" s="2" t="inlineStr">
        <is>
          <t>A14-SB-N056</t>
        </is>
      </c>
      <c r="B769" s="3" t="inlineStr">
        <is>
          <t>SOJC-SM-LC/PC-FC/APC</t>
        </is>
      </c>
      <c r="C769" s="2" t="inlineStr">
        <is>
          <t>930001515, 20M, B3, 2.0mm</t>
        </is>
      </c>
      <c r="D769" s="2" t="inlineStr">
        <is>
          <t>b3</t>
        </is>
      </c>
      <c r="E769" s="2" t="inlineStr">
        <is>
          <t>2.0mm</t>
        </is>
      </c>
      <c r="F769" s="2" t="n">
        <v>1</v>
      </c>
      <c r="G769" s="2" t="n">
        <v>20</v>
      </c>
      <c r="H769" s="2" t="inlineStr">
        <is>
          <t>LC/PC</t>
        </is>
      </c>
      <c r="I769" s="2" t="inlineStr">
        <is>
          <t>FC/APC</t>
        </is>
      </c>
      <c r="J769" s="2" t="n"/>
      <c r="K769" s="2" t="n">
        <v>9</v>
      </c>
      <c r="L769" s="2" t="n">
        <v>5</v>
      </c>
      <c r="M769" s="2" t="n">
        <v>30</v>
      </c>
      <c r="N769" s="2" t="n"/>
      <c r="O769" s="2" t="n">
        <v>20</v>
      </c>
      <c r="P769" s="2" t="n"/>
      <c r="Q769" s="2" t="n"/>
      <c r="R769" s="2" t="n"/>
      <c r="S769" s="2" t="n">
        <v>10</v>
      </c>
      <c r="T769" s="2" t="n"/>
      <c r="U769" s="2" t="n"/>
      <c r="V769" s="2">
        <f>SUM(J769:U769)</f>
        <v/>
      </c>
      <c r="W769" s="2" t="n">
        <v>74</v>
      </c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>
        <v>74</v>
      </c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>
        <f>IF(F769=1,V769*2,IF(F769=2,V769*F769*2,IF(F769&gt;2,F769*2*V769)))</f>
        <v/>
      </c>
      <c r="AW769" s="2">
        <f>SUM(W769:AU769)</f>
        <v/>
      </c>
    </row>
    <row r="770">
      <c r="A770" s="2" t="inlineStr">
        <is>
          <t>A14-SB-N068</t>
        </is>
      </c>
      <c r="B770" s="3" t="inlineStr">
        <is>
          <t>SOJC-SM-LC/PC-FC/PC</t>
        </is>
      </c>
      <c r="C770" s="2" t="inlineStr">
        <is>
          <t>908040140, 10M, B3, 2.0mm</t>
        </is>
      </c>
      <c r="D770" s="2" t="inlineStr">
        <is>
          <t>b3</t>
        </is>
      </c>
      <c r="E770" s="2" t="inlineStr">
        <is>
          <t>2.0mm</t>
        </is>
      </c>
      <c r="F770" s="2" t="n">
        <v>1</v>
      </c>
      <c r="G770" s="2" t="n">
        <v>10</v>
      </c>
      <c r="H770" s="2" t="inlineStr">
        <is>
          <t>LC/PC</t>
        </is>
      </c>
      <c r="I770" s="2" t="inlineStr">
        <is>
          <t>FC/PC</t>
        </is>
      </c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>
        <v>27</v>
      </c>
      <c r="V770" s="2">
        <f>SUM(J770:U770)</f>
        <v/>
      </c>
      <c r="W770" s="2" t="n">
        <v>27</v>
      </c>
      <c r="X770" s="2" t="n"/>
      <c r="Y770" s="2" t="n"/>
      <c r="Z770" s="2" t="n"/>
      <c r="AA770" s="2" t="n"/>
      <c r="AB770" s="2" t="n"/>
      <c r="AC770" s="2" t="n"/>
      <c r="AD770" s="2" t="n"/>
      <c r="AE770" s="2" t="n">
        <v>27</v>
      </c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>
        <f>IF(F770=1,V770*2,IF(F770=2,V770*F770*2,IF(F770&gt;2,F770*2*V770)))</f>
        <v/>
      </c>
      <c r="AW770" s="2">
        <f>SUM(W770:AU770)</f>
        <v/>
      </c>
    </row>
    <row r="771">
      <c r="A771" s="2" t="inlineStr">
        <is>
          <t>A14-SB-N071</t>
        </is>
      </c>
      <c r="B771" s="3" t="inlineStr">
        <is>
          <t>SOJC-SM-LC/PC-FC/PC</t>
        </is>
      </c>
      <c r="C771" s="2" t="inlineStr">
        <is>
          <t>908040150, 20M, B3, 2.0mm</t>
        </is>
      </c>
      <c r="D771" s="2" t="inlineStr">
        <is>
          <t>b3</t>
        </is>
      </c>
      <c r="E771" s="2" t="inlineStr">
        <is>
          <t>2.0mm</t>
        </is>
      </c>
      <c r="F771" s="2" t="n">
        <v>1</v>
      </c>
      <c r="G771" s="2" t="n">
        <v>20</v>
      </c>
      <c r="H771" s="2" t="inlineStr">
        <is>
          <t>LC/PC</t>
        </is>
      </c>
      <c r="I771" s="2" t="inlineStr">
        <is>
          <t>FC/PC</t>
        </is>
      </c>
      <c r="J771" s="2" t="n">
        <v>50</v>
      </c>
      <c r="K771" s="2" t="n"/>
      <c r="L771" s="2" t="n"/>
      <c r="M771" s="2" t="n"/>
      <c r="N771" s="2" t="n">
        <v>10</v>
      </c>
      <c r="O771" s="2" t="n"/>
      <c r="P771" s="2" t="n"/>
      <c r="Q771" s="2" t="n"/>
      <c r="R771" s="2" t="n"/>
      <c r="S771" s="2" t="n"/>
      <c r="T771" s="2" t="n"/>
      <c r="U771" s="2" t="n"/>
      <c r="V771" s="2">
        <f>SUM(J771:U771)</f>
        <v/>
      </c>
      <c r="W771" s="2" t="n">
        <v>60</v>
      </c>
      <c r="X771" s="2" t="n"/>
      <c r="Y771" s="2" t="n"/>
      <c r="Z771" s="2" t="n"/>
      <c r="AA771" s="2" t="n"/>
      <c r="AB771" s="2" t="n"/>
      <c r="AC771" s="2" t="n"/>
      <c r="AD771" s="2" t="n"/>
      <c r="AE771" s="2" t="n">
        <v>60</v>
      </c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>
        <f>IF(F771=1,V771*2,IF(F771=2,V771*F771*2,IF(F771&gt;2,F771*2*V771)))</f>
        <v/>
      </c>
      <c r="AW771" s="2">
        <f>SUM(W771:AU771)</f>
        <v/>
      </c>
    </row>
    <row r="772">
      <c r="A772" s="2" t="inlineStr">
        <is>
          <t>A14-SB-N080</t>
        </is>
      </c>
      <c r="B772" s="3" t="inlineStr">
        <is>
          <t>SOJC-SM-LC/PC-LC/APC</t>
        </is>
      </c>
      <c r="C772" s="2" t="inlineStr">
        <is>
          <t>15M, B3, 2.0mm</t>
        </is>
      </c>
      <c r="D772" s="2" t="inlineStr">
        <is>
          <t>b3</t>
        </is>
      </c>
      <c r="E772" s="2" t="inlineStr">
        <is>
          <t>2.0mm</t>
        </is>
      </c>
      <c r="F772" s="2" t="n">
        <v>1</v>
      </c>
      <c r="G772" s="2" t="n">
        <v>15</v>
      </c>
      <c r="H772" s="2" t="inlineStr">
        <is>
          <t>LC/PC</t>
        </is>
      </c>
      <c r="I772" s="2" t="inlineStr">
        <is>
          <t>LC/APC</t>
        </is>
      </c>
      <c r="J772" s="2" t="n">
        <v>8</v>
      </c>
      <c r="K772" s="2" t="n"/>
      <c r="L772" s="2" t="n">
        <v>10</v>
      </c>
      <c r="M772" s="2" t="n">
        <v>10</v>
      </c>
      <c r="N772" s="2" t="n"/>
      <c r="O772" s="2" t="n">
        <v>10</v>
      </c>
      <c r="P772" s="2" t="n">
        <v>6</v>
      </c>
      <c r="Q772" s="2" t="n"/>
      <c r="R772" s="2" t="n">
        <v>4</v>
      </c>
      <c r="S772" s="2" t="n"/>
      <c r="T772" s="2" t="n"/>
      <c r="U772" s="2" t="n">
        <v>10</v>
      </c>
      <c r="V772" s="2">
        <f>SUM(J772:U772)</f>
        <v/>
      </c>
      <c r="W772" s="2" t="n">
        <v>58</v>
      </c>
      <c r="X772" s="2" t="n"/>
      <c r="Y772" s="2" t="n">
        <v>58</v>
      </c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>
        <f>IF(F772=1,V772*2,IF(F772=2,V772*F772*2,IF(F772&gt;2,F772*2*V772)))</f>
        <v/>
      </c>
      <c r="AW772" s="2">
        <f>SUM(W772:AU772)</f>
        <v/>
      </c>
    </row>
    <row r="773">
      <c r="A773" s="2" t="inlineStr">
        <is>
          <t>A14-SB-N081</t>
        </is>
      </c>
      <c r="B773" s="3" t="inlineStr">
        <is>
          <t>SOJC-SM-LC/PC-LC/APC</t>
        </is>
      </c>
      <c r="C773" s="2" t="inlineStr">
        <is>
          <t>20M, B3, 2.0mm</t>
        </is>
      </c>
      <c r="D773" s="2" t="inlineStr">
        <is>
          <t>b3</t>
        </is>
      </c>
      <c r="E773" s="2" t="inlineStr">
        <is>
          <t>2.0mm</t>
        </is>
      </c>
      <c r="F773" s="2" t="n">
        <v>1</v>
      </c>
      <c r="G773" s="2" t="n">
        <v>20</v>
      </c>
      <c r="H773" s="2" t="inlineStr">
        <is>
          <t>LC/PC</t>
        </is>
      </c>
      <c r="I773" s="2" t="inlineStr">
        <is>
          <t>LC/APC</t>
        </is>
      </c>
      <c r="J773" s="2" t="n"/>
      <c r="K773" s="2" t="n"/>
      <c r="L773" s="2" t="n">
        <v>10</v>
      </c>
      <c r="M773" s="2" t="n"/>
      <c r="N773" s="2" t="n"/>
      <c r="O773" s="2" t="n">
        <v>10</v>
      </c>
      <c r="P773" s="2" t="n">
        <v>16</v>
      </c>
      <c r="Q773" s="2" t="n">
        <v>3</v>
      </c>
      <c r="R773" s="2" t="n"/>
      <c r="S773" s="2" t="n"/>
      <c r="T773" s="2" t="n"/>
      <c r="U773" s="2" t="n">
        <v>5</v>
      </c>
      <c r="V773" s="2">
        <f>SUM(J773:U773)</f>
        <v/>
      </c>
      <c r="W773" s="2" t="n">
        <v>44</v>
      </c>
      <c r="X773" s="2" t="n"/>
      <c r="Y773" s="2" t="n">
        <v>44</v>
      </c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>
        <f>IF(F773=1,V773*2,IF(F773=2,V773*F773*2,IF(F773&gt;2,F773*2*V773)))</f>
        <v/>
      </c>
      <c r="AW773" s="2">
        <f>SUM(W773:AU773)</f>
        <v/>
      </c>
    </row>
    <row r="774">
      <c r="A774" s="2" t="inlineStr">
        <is>
          <t>A14-SB-N082</t>
        </is>
      </c>
      <c r="B774" s="3" t="inlineStr">
        <is>
          <t>SOJC-SM-LC/PC-LC/APC</t>
        </is>
      </c>
      <c r="C774" s="2" t="inlineStr">
        <is>
          <t>25M, B3, 2.0mm</t>
        </is>
      </c>
      <c r="D774" s="2" t="inlineStr">
        <is>
          <t>b3</t>
        </is>
      </c>
      <c r="E774" s="2" t="inlineStr">
        <is>
          <t>2.0mm</t>
        </is>
      </c>
      <c r="F774" s="2" t="n">
        <v>1</v>
      </c>
      <c r="G774" s="2" t="n">
        <v>25</v>
      </c>
      <c r="H774" s="2" t="inlineStr">
        <is>
          <t>LC/PC</t>
        </is>
      </c>
      <c r="I774" s="2" t="inlineStr">
        <is>
          <t>LC/APC</t>
        </is>
      </c>
      <c r="J774" s="2" t="n"/>
      <c r="K774" s="2" t="n"/>
      <c r="L774" s="2" t="n"/>
      <c r="M774" s="2" t="n"/>
      <c r="N774" s="2" t="n"/>
      <c r="O774" s="2" t="n"/>
      <c r="P774" s="2" t="n">
        <v>10</v>
      </c>
      <c r="Q774" s="2" t="n"/>
      <c r="R774" s="2" t="n">
        <v>1</v>
      </c>
      <c r="S774" s="2" t="n"/>
      <c r="T774" s="2" t="n"/>
      <c r="U774" s="2" t="n"/>
      <c r="V774" s="2">
        <f>SUM(J774:U774)</f>
        <v/>
      </c>
      <c r="W774" s="2" t="n">
        <v>11</v>
      </c>
      <c r="X774" s="2" t="n"/>
      <c r="Y774" s="2" t="n">
        <v>11</v>
      </c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>
        <f>IF(F774=1,V774*2,IF(F774=2,V774*F774*2,IF(F774&gt;2,F774*2*V774)))</f>
        <v/>
      </c>
      <c r="AW774" s="2">
        <f>SUM(W774:AU774)</f>
        <v/>
      </c>
    </row>
    <row r="775">
      <c r="A775" s="2" t="inlineStr">
        <is>
          <t>A14-SB-N086</t>
        </is>
      </c>
      <c r="B775" s="3" t="inlineStr">
        <is>
          <t>SOJC-SM-LC/PC-LC/PC</t>
        </is>
      </c>
      <c r="C775" s="2" t="inlineStr">
        <is>
          <t>908040269, 10M, B3, 2.0mm</t>
        </is>
      </c>
      <c r="D775" s="2" t="inlineStr">
        <is>
          <t>b3</t>
        </is>
      </c>
      <c r="E775" s="2" t="inlineStr">
        <is>
          <t>2.0mm</t>
        </is>
      </c>
      <c r="F775" s="2" t="n">
        <v>1</v>
      </c>
      <c r="G775" s="2" t="n">
        <v>10</v>
      </c>
      <c r="H775" s="2" t="inlineStr">
        <is>
          <t>LC/PC</t>
        </is>
      </c>
      <c r="I775" s="2" t="inlineStr">
        <is>
          <t>LC/PC</t>
        </is>
      </c>
      <c r="J775" s="2" t="n">
        <v>100</v>
      </c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>
        <v>363</v>
      </c>
      <c r="T775" s="2" t="n">
        <v>50</v>
      </c>
      <c r="U775" s="2" t="n"/>
      <c r="V775" s="2">
        <f>SUM(J775:U775)</f>
        <v/>
      </c>
      <c r="W775" s="2" t="n">
        <v>1026</v>
      </c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>
        <f>IF(F775=1,V775*2,IF(F775=2,V775*F775*2,IF(F775&gt;2,F775*2*V775)))</f>
        <v/>
      </c>
      <c r="AW775" s="2">
        <f>SUM(W775:AU775)</f>
        <v/>
      </c>
    </row>
    <row r="776">
      <c r="A776" s="2" t="inlineStr">
        <is>
          <t>A14-SB-N088</t>
        </is>
      </c>
      <c r="B776" s="3" t="inlineStr">
        <is>
          <t>SOJC-SM-LC/PC-LC/PC</t>
        </is>
      </c>
      <c r="C776" s="2" t="inlineStr">
        <is>
          <t>13M, B3, 2.0mm</t>
        </is>
      </c>
      <c r="D776" s="2" t="inlineStr">
        <is>
          <t>b3</t>
        </is>
      </c>
      <c r="E776" s="2" t="inlineStr">
        <is>
          <t>2.0mm</t>
        </is>
      </c>
      <c r="F776" s="2" t="n">
        <v>1</v>
      </c>
      <c r="G776" s="2" t="n">
        <v>13</v>
      </c>
      <c r="H776" s="2" t="inlineStr">
        <is>
          <t>LC/PC</t>
        </is>
      </c>
      <c r="I776" s="2" t="inlineStr">
        <is>
          <t>LC/PC</t>
        </is>
      </c>
      <c r="J776" s="2" t="n"/>
      <c r="K776" s="2" t="n">
        <v>10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>
        <v>10</v>
      </c>
      <c r="V776" s="2">
        <f>SUM(J776:U776)</f>
        <v/>
      </c>
      <c r="W776" s="2" t="n">
        <v>40</v>
      </c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>
        <f>IF(F776=1,V776*2,IF(F776=2,V776*F776*2,IF(F776&gt;2,F776*2*V776)))</f>
        <v/>
      </c>
      <c r="AW776" s="2">
        <f>SUM(W776:AU776)</f>
        <v/>
      </c>
    </row>
    <row r="777">
      <c r="A777" s="2" t="inlineStr">
        <is>
          <t>A14-SB-N089</t>
        </is>
      </c>
      <c r="B777" s="3" t="inlineStr">
        <is>
          <t>SOJC-SM-LC/PC-LC/PC</t>
        </is>
      </c>
      <c r="C777" s="2" t="inlineStr">
        <is>
          <t>908040274, 15M, B3, 2.0mm</t>
        </is>
      </c>
      <c r="D777" s="2" t="inlineStr">
        <is>
          <t>b3</t>
        </is>
      </c>
      <c r="E777" s="2" t="inlineStr">
        <is>
          <t>2.0mm</t>
        </is>
      </c>
      <c r="F777" s="2" t="n">
        <v>1</v>
      </c>
      <c r="G777" s="2" t="n">
        <v>15</v>
      </c>
      <c r="H777" s="2" t="inlineStr">
        <is>
          <t>LC/PC</t>
        </is>
      </c>
      <c r="I777" s="2" t="inlineStr">
        <is>
          <t>LC/PC</t>
        </is>
      </c>
      <c r="J777" s="2" t="n"/>
      <c r="K777" s="2" t="n"/>
      <c r="L777" s="2" t="n"/>
      <c r="M777" s="2" t="n"/>
      <c r="N777" s="2" t="n"/>
      <c r="O777" s="2" t="n"/>
      <c r="P777" s="2" t="n">
        <v>22</v>
      </c>
      <c r="Q777" s="2" t="n">
        <v>150</v>
      </c>
      <c r="R777" s="2" t="n">
        <v>30</v>
      </c>
      <c r="S777" s="2" t="n">
        <v>60</v>
      </c>
      <c r="T777" s="2" t="n">
        <v>550</v>
      </c>
      <c r="U777" s="2" t="n"/>
      <c r="V777" s="2">
        <f>SUM(J777:U777)</f>
        <v/>
      </c>
      <c r="W777" s="2" t="n">
        <v>1624</v>
      </c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>
        <f>IF(F777=1,V777*2,IF(F777=2,V777*F777*2,IF(F777&gt;2,F777*2*V777)))</f>
        <v/>
      </c>
      <c r="AW777" s="2">
        <f>SUM(W777:AU777)</f>
        <v/>
      </c>
    </row>
    <row r="778">
      <c r="A778" s="2" t="inlineStr">
        <is>
          <t>A14-SB-N092</t>
        </is>
      </c>
      <c r="B778" s="3" t="inlineStr">
        <is>
          <t>SOJC-SM-LC/PC-LC/PC</t>
        </is>
      </c>
      <c r="C778" s="2" t="inlineStr">
        <is>
          <t>18M, B3, 2.0mm</t>
        </is>
      </c>
      <c r="D778" s="2" t="inlineStr">
        <is>
          <t>b3</t>
        </is>
      </c>
      <c r="E778" s="2" t="inlineStr">
        <is>
          <t>2.0mm</t>
        </is>
      </c>
      <c r="F778" s="2" t="n">
        <v>1</v>
      </c>
      <c r="G778" s="2" t="n">
        <v>18</v>
      </c>
      <c r="H778" s="2" t="inlineStr">
        <is>
          <t>LC/PC</t>
        </is>
      </c>
      <c r="I778" s="2" t="inlineStr">
        <is>
          <t>LC/PC</t>
        </is>
      </c>
      <c r="J778" s="2" t="n"/>
      <c r="K778" s="2" t="n"/>
      <c r="L778" s="2" t="n"/>
      <c r="M778" s="2" t="n"/>
      <c r="N778" s="2" t="n"/>
      <c r="O778" s="2" t="n"/>
      <c r="P778" s="2" t="n">
        <v>56</v>
      </c>
      <c r="Q778" s="2" t="n"/>
      <c r="R778" s="2" t="n"/>
      <c r="S778" s="2" t="n"/>
      <c r="T778" s="2" t="n"/>
      <c r="U778" s="2" t="n"/>
      <c r="V778" s="2">
        <f>SUM(J778:U778)</f>
        <v/>
      </c>
      <c r="W778" s="2" t="n">
        <v>112</v>
      </c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>
        <f>IF(F778=1,V778*2,IF(F778=2,V778*F778*2,IF(F778&gt;2,F778*2*V778)))</f>
        <v/>
      </c>
      <c r="AW778" s="2">
        <f>SUM(W778:AU778)</f>
        <v/>
      </c>
    </row>
    <row r="779">
      <c r="A779" s="2" t="inlineStr">
        <is>
          <t>A14-SB-N093</t>
        </is>
      </c>
      <c r="B779" s="3" t="inlineStr">
        <is>
          <t>SOJC-SM-LC/PC-LC/PC</t>
        </is>
      </c>
      <c r="C779" s="2" t="inlineStr">
        <is>
          <t>908040261, 1M, B3, 3.0mm</t>
        </is>
      </c>
      <c r="D779" s="2" t="inlineStr">
        <is>
          <t>b3</t>
        </is>
      </c>
      <c r="E779" s="2" t="inlineStr">
        <is>
          <t>3.0mm</t>
        </is>
      </c>
      <c r="F779" s="2" t="n">
        <v>1</v>
      </c>
      <c r="G779" s="2" t="n">
        <v>1</v>
      </c>
      <c r="H779" s="2" t="inlineStr">
        <is>
          <t>LC/PC</t>
        </is>
      </c>
      <c r="I779" s="2" t="inlineStr">
        <is>
          <t>LC/PC</t>
        </is>
      </c>
      <c r="J779" s="2" t="n"/>
      <c r="K779" s="2" t="n"/>
      <c r="L779" s="2" t="n"/>
      <c r="M779" s="2" t="n">
        <v>30</v>
      </c>
      <c r="N779" s="2" t="n">
        <v>28</v>
      </c>
      <c r="O779" s="2" t="n"/>
      <c r="P779" s="2" t="n">
        <v>70</v>
      </c>
      <c r="Q779" s="2" t="n"/>
      <c r="R779" s="2" t="n"/>
      <c r="S779" s="2" t="n">
        <v>50</v>
      </c>
      <c r="T779" s="2" t="n"/>
      <c r="U779" s="2" t="n"/>
      <c r="V779" s="2">
        <f>SUM(J779:U779)</f>
        <v/>
      </c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>
        <v>356</v>
      </c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>
        <f>IF(F779=1,V779*2,IF(F779=2,V779*F779*2,IF(F779&gt;2,F779*2*V779)))</f>
        <v/>
      </c>
      <c r="AW779" s="2">
        <f>SUM(W779:AU779)</f>
        <v/>
      </c>
    </row>
    <row r="780">
      <c r="A780" s="2" t="inlineStr">
        <is>
          <t>A14-SB-N094</t>
        </is>
      </c>
      <c r="B780" s="3" t="inlineStr">
        <is>
          <t>SOJC-SM-LC/PC-LC/PC</t>
        </is>
      </c>
      <c r="C780" s="2" t="inlineStr">
        <is>
          <t>908040279, 20M, B3, 2.0mm</t>
        </is>
      </c>
      <c r="D780" s="2" t="inlineStr">
        <is>
          <t>b3</t>
        </is>
      </c>
      <c r="E780" s="2" t="inlineStr">
        <is>
          <t>2.0mm</t>
        </is>
      </c>
      <c r="F780" s="2" t="n">
        <v>1</v>
      </c>
      <c r="G780" s="2" t="n">
        <v>20</v>
      </c>
      <c r="H780" s="2" t="inlineStr">
        <is>
          <t>LC/PC</t>
        </is>
      </c>
      <c r="I780" s="2" t="inlineStr">
        <is>
          <t>LC/PC</t>
        </is>
      </c>
      <c r="J780" s="2" t="n"/>
      <c r="K780" s="2" t="n"/>
      <c r="L780" s="2" t="n">
        <v>5</v>
      </c>
      <c r="M780" s="2" t="n"/>
      <c r="N780" s="2" t="n"/>
      <c r="O780" s="2" t="n"/>
      <c r="P780" s="2" t="n"/>
      <c r="Q780" s="2" t="n"/>
      <c r="R780" s="2" t="n"/>
      <c r="S780" s="2" t="n"/>
      <c r="T780" s="2" t="n">
        <v>12</v>
      </c>
      <c r="U780" s="2" t="n"/>
      <c r="V780" s="2">
        <f>SUM(J780:U780)</f>
        <v/>
      </c>
      <c r="W780" s="2" t="n">
        <v>34</v>
      </c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>
        <f>IF(F780=1,V780*2,IF(F780=2,V780*F780*2,IF(F780&gt;2,F780*2*V780)))</f>
        <v/>
      </c>
      <c r="AW780" s="2">
        <f>SUM(W780:AU780)</f>
        <v/>
      </c>
    </row>
    <row r="781">
      <c r="A781" s="2" t="inlineStr">
        <is>
          <t>A14-SB-N096</t>
        </is>
      </c>
      <c r="B781" s="3" t="inlineStr">
        <is>
          <t>SOJC-SM-LC/PC-LC/PC</t>
        </is>
      </c>
      <c r="C781" s="2" t="inlineStr">
        <is>
          <t>908040284, 25M, B3, 2.0mm</t>
        </is>
      </c>
      <c r="D781" s="2" t="inlineStr">
        <is>
          <t>b3</t>
        </is>
      </c>
      <c r="E781" s="2" t="inlineStr">
        <is>
          <t>2.0mm</t>
        </is>
      </c>
      <c r="F781" s="2" t="n">
        <v>1</v>
      </c>
      <c r="G781" s="2" t="n">
        <v>25</v>
      </c>
      <c r="H781" s="2" t="inlineStr">
        <is>
          <t>LC/PC</t>
        </is>
      </c>
      <c r="I781" s="2" t="inlineStr">
        <is>
          <t>LC/PC</t>
        </is>
      </c>
      <c r="J781" s="2" t="n"/>
      <c r="K781" s="2" t="n"/>
      <c r="L781" s="2" t="n">
        <v>2</v>
      </c>
      <c r="M781" s="2" t="n"/>
      <c r="N781" s="2" t="n">
        <v>2</v>
      </c>
      <c r="O781" s="2" t="n"/>
      <c r="P781" s="2" t="n"/>
      <c r="Q781" s="2" t="n"/>
      <c r="R781" s="2" t="n"/>
      <c r="S781" s="2" t="n">
        <v>30</v>
      </c>
      <c r="T781" s="2" t="n">
        <v>155</v>
      </c>
      <c r="U781" s="2" t="n"/>
      <c r="V781" s="2">
        <f>SUM(J781:U781)</f>
        <v/>
      </c>
      <c r="W781" s="2" t="n">
        <v>378</v>
      </c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>
        <f>IF(F781=1,V781*2,IF(F781=2,V781*F781*2,IF(F781&gt;2,F781*2*V781)))</f>
        <v/>
      </c>
      <c r="AW781" s="2">
        <f>SUM(W781:AU781)</f>
        <v/>
      </c>
    </row>
    <row r="782">
      <c r="A782" s="2" t="inlineStr">
        <is>
          <t>A14-SB-N097</t>
        </is>
      </c>
      <c r="B782" s="3" t="inlineStr">
        <is>
          <t>SOJC-SM-LC/PC-LC/PC</t>
        </is>
      </c>
      <c r="C782" s="2" t="inlineStr">
        <is>
          <t>908040262, 2M, B3, 3.0mm</t>
        </is>
      </c>
      <c r="D782" s="2" t="inlineStr">
        <is>
          <t>b3</t>
        </is>
      </c>
      <c r="E782" s="2" t="inlineStr">
        <is>
          <t>3.0mm</t>
        </is>
      </c>
      <c r="F782" s="2" t="n">
        <v>1</v>
      </c>
      <c r="G782" s="2" t="n">
        <v>2</v>
      </c>
      <c r="H782" s="2" t="inlineStr">
        <is>
          <t>LC/PC</t>
        </is>
      </c>
      <c r="I782" s="2" t="inlineStr">
        <is>
          <t>LC/PC</t>
        </is>
      </c>
      <c r="J782" s="2" t="n"/>
      <c r="K782" s="2" t="n"/>
      <c r="L782" s="2" t="n"/>
      <c r="M782" s="2" t="n"/>
      <c r="N782" s="2" t="n"/>
      <c r="O782" s="2" t="n"/>
      <c r="P782" s="2" t="n"/>
      <c r="Q782" s="2" t="n">
        <v>16</v>
      </c>
      <c r="R782" s="2" t="n"/>
      <c r="S782" s="2" t="n"/>
      <c r="T782" s="2" t="n"/>
      <c r="U782" s="2" t="n"/>
      <c r="V782" s="2">
        <f>SUM(J782:U782)</f>
        <v/>
      </c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>
        <v>32</v>
      </c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>
        <f>IF(F782=1,V782*2,IF(F782=2,V782*F782*2,IF(F782&gt;2,F782*2*V782)))</f>
        <v/>
      </c>
      <c r="AW782" s="2">
        <f>SUM(W782:AU782)</f>
        <v/>
      </c>
    </row>
    <row r="783">
      <c r="A783" s="2" t="inlineStr">
        <is>
          <t>A14-SB-N098</t>
        </is>
      </c>
      <c r="B783" s="3" t="inlineStr">
        <is>
          <t>SOJC-SM-LC/PC-LC/PC</t>
        </is>
      </c>
      <c r="C783" s="2" t="inlineStr">
        <is>
          <t>908040289, 30M, B3, 2.0mm</t>
        </is>
      </c>
      <c r="D783" s="2" t="inlineStr">
        <is>
          <t>b3</t>
        </is>
      </c>
      <c r="E783" s="2" t="inlineStr">
        <is>
          <t>2.0mm</t>
        </is>
      </c>
      <c r="F783" s="2" t="n">
        <v>1</v>
      </c>
      <c r="G783" s="2" t="n">
        <v>30</v>
      </c>
      <c r="H783" s="2" t="inlineStr">
        <is>
          <t>LC/PC</t>
        </is>
      </c>
      <c r="I783" s="2" t="inlineStr">
        <is>
          <t>LC/PC</t>
        </is>
      </c>
      <c r="J783" s="2" t="n"/>
      <c r="K783" s="2" t="n"/>
      <c r="L783" s="2" t="n"/>
      <c r="M783" s="2" t="n"/>
      <c r="N783" s="2" t="n"/>
      <c r="O783" s="2" t="n"/>
      <c r="P783" s="2" t="n">
        <v>13</v>
      </c>
      <c r="Q783" s="2" t="n"/>
      <c r="R783" s="2" t="n"/>
      <c r="S783" s="2" t="n"/>
      <c r="T783" s="2" t="n">
        <v>10</v>
      </c>
      <c r="U783" s="2" t="n">
        <v>2</v>
      </c>
      <c r="V783" s="2">
        <f>SUM(J783:U783)</f>
        <v/>
      </c>
      <c r="W783" s="2" t="n">
        <v>50</v>
      </c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>
        <f>IF(F783=1,V783*2,IF(F783=2,V783*F783*2,IF(F783&gt;2,F783*2*V783)))</f>
        <v/>
      </c>
      <c r="AW783" s="2">
        <f>SUM(W783:AU783)</f>
        <v/>
      </c>
    </row>
    <row r="784">
      <c r="A784" s="2" t="inlineStr">
        <is>
          <t>A14-SB-N104</t>
        </is>
      </c>
      <c r="B784" s="3" t="inlineStr">
        <is>
          <t>SOJC-SM-LC/PC-LC/PC</t>
        </is>
      </c>
      <c r="C784" s="2" t="inlineStr">
        <is>
          <t>908040264, 5M, B3, 3.0mm</t>
        </is>
      </c>
      <c r="D784" s="2" t="inlineStr">
        <is>
          <t>b3</t>
        </is>
      </c>
      <c r="E784" s="2" t="inlineStr">
        <is>
          <t>3.0mm</t>
        </is>
      </c>
      <c r="F784" s="2" t="n">
        <v>1</v>
      </c>
      <c r="G784" s="2" t="n">
        <v>5</v>
      </c>
      <c r="H784" s="2" t="inlineStr">
        <is>
          <t>LC/PC</t>
        </is>
      </c>
      <c r="I784" s="2" t="inlineStr">
        <is>
          <t>LC/PC</t>
        </is>
      </c>
      <c r="J784" s="2" t="n"/>
      <c r="K784" s="2" t="n">
        <v>140</v>
      </c>
      <c r="L784" s="2" t="n"/>
      <c r="M784" s="2" t="n"/>
      <c r="N784" s="2" t="n"/>
      <c r="O784" s="2" t="n"/>
      <c r="P784" s="2" t="n"/>
      <c r="Q784" s="2" t="n"/>
      <c r="R784" s="2" t="n">
        <v>21</v>
      </c>
      <c r="S784" s="2" t="n"/>
      <c r="T784" s="2" t="n"/>
      <c r="U784" s="2" t="n"/>
      <c r="V784" s="2">
        <f>SUM(J784:U784)</f>
        <v/>
      </c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>
        <v>322</v>
      </c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>
        <f>IF(F784=1,V784*2,IF(F784=2,V784*F784*2,IF(F784&gt;2,F784*2*V784)))</f>
        <v/>
      </c>
      <c r="AW784" s="2">
        <f>SUM(W784:AU784)</f>
        <v/>
      </c>
    </row>
    <row r="785">
      <c r="A785" s="2" t="inlineStr">
        <is>
          <t>A14-SB-N105</t>
        </is>
      </c>
      <c r="B785" s="3" t="inlineStr">
        <is>
          <t>SOJC-SM-LC/PC-LC/PC</t>
        </is>
      </c>
      <c r="C785" s="2" t="inlineStr">
        <is>
          <t>908040265, 6M, B3, 2.0mm</t>
        </is>
      </c>
      <c r="D785" s="2" t="inlineStr">
        <is>
          <t>b3</t>
        </is>
      </c>
      <c r="E785" s="2" t="inlineStr">
        <is>
          <t>2.0mm</t>
        </is>
      </c>
      <c r="F785" s="2" t="n">
        <v>1</v>
      </c>
      <c r="G785" s="2" t="n">
        <v>6</v>
      </c>
      <c r="H785" s="2" t="inlineStr">
        <is>
          <t>LC/PC</t>
        </is>
      </c>
      <c r="I785" s="2" t="inlineStr">
        <is>
          <t>LC/PC</t>
        </is>
      </c>
      <c r="J785" s="2" t="n">
        <v>20</v>
      </c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>
        <f>SUM(J785:U785)</f>
        <v/>
      </c>
      <c r="W785" s="2" t="n">
        <v>40</v>
      </c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>
        <f>IF(F785=1,V785*2,IF(F785=2,V785*F785*2,IF(F785&gt;2,F785*2*V785)))</f>
        <v/>
      </c>
      <c r="AW785" s="2">
        <f>SUM(W785:AU785)</f>
        <v/>
      </c>
    </row>
    <row r="786">
      <c r="A786" s="2" t="inlineStr">
        <is>
          <t>A14-SB-N106</t>
        </is>
      </c>
      <c r="B786" s="3" t="inlineStr">
        <is>
          <t>SOJC-SM-LC/PC-LC/PC</t>
        </is>
      </c>
      <c r="C786" s="2" t="inlineStr">
        <is>
          <t>908040266, 7M, B3, 2.0mm</t>
        </is>
      </c>
      <c r="D786" s="2" t="inlineStr">
        <is>
          <t>b3</t>
        </is>
      </c>
      <c r="E786" s="2" t="inlineStr">
        <is>
          <t>2.0mm</t>
        </is>
      </c>
      <c r="F786" s="2" t="n">
        <v>1</v>
      </c>
      <c r="G786" s="2" t="n">
        <v>7</v>
      </c>
      <c r="H786" s="2" t="inlineStr">
        <is>
          <t>LC/PC</t>
        </is>
      </c>
      <c r="I786" s="2" t="inlineStr">
        <is>
          <t>LC/PC</t>
        </is>
      </c>
      <c r="J786" s="2" t="n">
        <v>10</v>
      </c>
      <c r="K786" s="2" t="n">
        <v>20</v>
      </c>
      <c r="L786" s="2" t="n"/>
      <c r="M786" s="2" t="n"/>
      <c r="N786" s="2" t="n"/>
      <c r="O786" s="2" t="n">
        <v>20</v>
      </c>
      <c r="P786" s="2" t="n"/>
      <c r="Q786" s="2" t="n"/>
      <c r="R786" s="2" t="n"/>
      <c r="S786" s="2" t="n">
        <v>200</v>
      </c>
      <c r="T786" s="2" t="n"/>
      <c r="U786" s="2" t="n"/>
      <c r="V786" s="2">
        <f>SUM(J786:U786)</f>
        <v/>
      </c>
      <c r="W786" s="2" t="n">
        <v>500</v>
      </c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>
        <f>IF(F786=1,V786*2,IF(F786=2,V786*F786*2,IF(F786&gt;2,F786*2*V786)))</f>
        <v/>
      </c>
      <c r="AW786" s="2">
        <f>SUM(W786:AU786)</f>
        <v/>
      </c>
    </row>
    <row r="787">
      <c r="A787" s="2" t="inlineStr">
        <is>
          <t>A14-SB-N114</t>
        </is>
      </c>
      <c r="B787" s="3" t="inlineStr">
        <is>
          <t>SOJC-SM-LC/PC-SC/APC</t>
        </is>
      </c>
      <c r="C787" s="2" t="inlineStr">
        <is>
          <t>920000749, 15M, B3, 2.0mm</t>
        </is>
      </c>
      <c r="D787" s="2" t="inlineStr">
        <is>
          <t>b3</t>
        </is>
      </c>
      <c r="E787" s="2" t="inlineStr">
        <is>
          <t>2.0mm</t>
        </is>
      </c>
      <c r="F787" s="2" t="n">
        <v>1</v>
      </c>
      <c r="G787" s="2" t="n">
        <v>15</v>
      </c>
      <c r="H787" s="2" t="inlineStr">
        <is>
          <t>LC/PC</t>
        </is>
      </c>
      <c r="I787" s="2" t="inlineStr">
        <is>
          <t>SC/APC</t>
        </is>
      </c>
      <c r="J787" s="2" t="n">
        <v>100</v>
      </c>
      <c r="K787" s="2" t="n"/>
      <c r="L787" s="2" t="n"/>
      <c r="M787" s="2" t="n">
        <v>50</v>
      </c>
      <c r="N787" s="2" t="n"/>
      <c r="O787" s="2" t="n">
        <v>20</v>
      </c>
      <c r="P787" s="2" t="n"/>
      <c r="Q787" s="2" t="n"/>
      <c r="R787" s="2" t="n"/>
      <c r="S787" s="2" t="n"/>
      <c r="T787" s="2" t="n"/>
      <c r="U787" s="2" t="n">
        <v>10</v>
      </c>
      <c r="V787" s="2">
        <f>SUM(J787:U787)</f>
        <v/>
      </c>
      <c r="W787" s="2" t="n">
        <v>180</v>
      </c>
      <c r="X787" s="2" t="n"/>
      <c r="Y787" s="2" t="n"/>
      <c r="Z787" s="2" t="n"/>
      <c r="AA787" s="2" t="n"/>
      <c r="AB787" s="2" t="n"/>
      <c r="AC787" s="2" t="n">
        <v>180</v>
      </c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>
        <f>IF(F787=1,V787*2,IF(F787=2,V787*F787*2,IF(F787&gt;2,F787*2*V787)))</f>
        <v/>
      </c>
      <c r="AW787" s="2">
        <f>SUM(W787:AU787)</f>
        <v/>
      </c>
    </row>
    <row r="788">
      <c r="A788" s="2" t="inlineStr">
        <is>
          <t>A14-SB-N117</t>
        </is>
      </c>
      <c r="B788" s="3" t="inlineStr">
        <is>
          <t>SOJC-SM-LC/PC-SC/APC</t>
        </is>
      </c>
      <c r="C788" s="2" t="inlineStr">
        <is>
          <t>920000754, 20M, B3, 2.0mm</t>
        </is>
      </c>
      <c r="D788" s="2" t="inlineStr">
        <is>
          <t>b3</t>
        </is>
      </c>
      <c r="E788" s="2" t="inlineStr">
        <is>
          <t>2.0mm</t>
        </is>
      </c>
      <c r="F788" s="2" t="n">
        <v>1</v>
      </c>
      <c r="G788" s="2" t="n">
        <v>20</v>
      </c>
      <c r="H788" s="2" t="inlineStr">
        <is>
          <t>LC/PC</t>
        </is>
      </c>
      <c r="I788" s="2" t="inlineStr">
        <is>
          <t>SC/APC</t>
        </is>
      </c>
      <c r="J788" s="2" t="n">
        <v>50</v>
      </c>
      <c r="K788" s="2" t="n">
        <v>4</v>
      </c>
      <c r="L788" s="2" t="n"/>
      <c r="M788" s="2" t="n"/>
      <c r="N788" s="2" t="n"/>
      <c r="O788" s="2" t="n">
        <v>28</v>
      </c>
      <c r="P788" s="2" t="n"/>
      <c r="Q788" s="2" t="n"/>
      <c r="R788" s="2" t="n"/>
      <c r="S788" s="2" t="n"/>
      <c r="T788" s="2" t="n"/>
      <c r="U788" s="2" t="n"/>
      <c r="V788" s="2">
        <f>SUM(J788:U788)</f>
        <v/>
      </c>
      <c r="W788" s="2" t="n">
        <v>82</v>
      </c>
      <c r="X788" s="2" t="n"/>
      <c r="Y788" s="2" t="n"/>
      <c r="Z788" s="2" t="n"/>
      <c r="AA788" s="2" t="n"/>
      <c r="AB788" s="2" t="n"/>
      <c r="AC788" s="2" t="n">
        <v>82</v>
      </c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>
        <f>IF(F788=1,V788*2,IF(F788=2,V788*F788*2,IF(F788&gt;2,F788*2*V788)))</f>
        <v/>
      </c>
      <c r="AW788" s="2">
        <f>SUM(W788:AU788)</f>
        <v/>
      </c>
    </row>
    <row r="789">
      <c r="A789" s="2" t="inlineStr">
        <is>
          <t>A14-SB-N120</t>
        </is>
      </c>
      <c r="B789" s="3" t="inlineStr">
        <is>
          <t>SOJC-SM-LC/PC-SC/APC</t>
        </is>
      </c>
      <c r="C789" s="2" t="inlineStr">
        <is>
          <t>920000764, 30M, B3, 2.0mm</t>
        </is>
      </c>
      <c r="D789" s="2" t="inlineStr">
        <is>
          <t>b3</t>
        </is>
      </c>
      <c r="E789" s="2" t="inlineStr">
        <is>
          <t>2.0mm</t>
        </is>
      </c>
      <c r="F789" s="2" t="n">
        <v>1</v>
      </c>
      <c r="G789" s="2" t="n">
        <v>30</v>
      </c>
      <c r="H789" s="2" t="inlineStr">
        <is>
          <t>LC/PC</t>
        </is>
      </c>
      <c r="I789" s="2" t="inlineStr">
        <is>
          <t>SC/APC</t>
        </is>
      </c>
      <c r="J789" s="2" t="n"/>
      <c r="K789" s="2" t="n"/>
      <c r="L789" s="2" t="n"/>
      <c r="M789" s="2" t="n">
        <v>30</v>
      </c>
      <c r="N789" s="2" t="n"/>
      <c r="O789" s="2" t="n"/>
      <c r="P789" s="2" t="n"/>
      <c r="Q789" s="2" t="n"/>
      <c r="R789" s="2" t="n">
        <v>101</v>
      </c>
      <c r="S789" s="2" t="n"/>
      <c r="T789" s="2" t="n"/>
      <c r="U789" s="2" t="n"/>
      <c r="V789" s="2">
        <f>SUM(J789:U789)</f>
        <v/>
      </c>
      <c r="W789" s="2" t="n">
        <v>131</v>
      </c>
      <c r="X789" s="2" t="n"/>
      <c r="Y789" s="2" t="n"/>
      <c r="Z789" s="2" t="n"/>
      <c r="AA789" s="2" t="n"/>
      <c r="AB789" s="2" t="n"/>
      <c r="AC789" s="2" t="n">
        <v>131</v>
      </c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>
        <f>IF(F789=1,V789*2,IF(F789=2,V789*F789*2,IF(F789&gt;2,F789*2*V789)))</f>
        <v/>
      </c>
      <c r="AW789" s="2">
        <f>SUM(W789:AU789)</f>
        <v/>
      </c>
    </row>
    <row r="790">
      <c r="A790" s="2" t="inlineStr">
        <is>
          <t>A14-SB-N121</t>
        </is>
      </c>
      <c r="B790" s="3" t="inlineStr">
        <is>
          <t>SOJC-SM-LC/PC-SC/APC</t>
        </is>
      </c>
      <c r="C790" s="2" t="inlineStr">
        <is>
          <t>920000737, 3M, B3, 3.0mm</t>
        </is>
      </c>
      <c r="D790" s="2" t="inlineStr">
        <is>
          <t>b3</t>
        </is>
      </c>
      <c r="E790" s="2" t="inlineStr">
        <is>
          <t>3.0mm</t>
        </is>
      </c>
      <c r="F790" s="2" t="n">
        <v>1</v>
      </c>
      <c r="G790" s="2" t="n">
        <v>3</v>
      </c>
      <c r="H790" s="2" t="inlineStr">
        <is>
          <t>LC/PC</t>
        </is>
      </c>
      <c r="I790" s="2" t="inlineStr">
        <is>
          <t>SC/APC</t>
        </is>
      </c>
      <c r="J790" s="2" t="n"/>
      <c r="K790" s="2" t="n"/>
      <c r="L790" s="2" t="n">
        <v>15</v>
      </c>
      <c r="M790" s="2" t="n">
        <v>10</v>
      </c>
      <c r="N790" s="2" t="n"/>
      <c r="O790" s="2" t="n"/>
      <c r="P790" s="2" t="n"/>
      <c r="Q790" s="2" t="n"/>
      <c r="R790" s="2" t="n">
        <v>15</v>
      </c>
      <c r="S790" s="2" t="n"/>
      <c r="T790" s="2" t="n"/>
      <c r="U790" s="2" t="n"/>
      <c r="V790" s="2">
        <f>SUM(J790:U790)</f>
        <v/>
      </c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>
        <v>40</v>
      </c>
      <c r="AK790" s="2" t="n"/>
      <c r="AL790" s="2" t="n"/>
      <c r="AM790" s="2" t="n"/>
      <c r="AN790" s="2" t="n"/>
      <c r="AO790" s="2" t="n"/>
      <c r="AP790" s="2" t="n">
        <v>40</v>
      </c>
      <c r="AQ790" s="2" t="n"/>
      <c r="AR790" s="2" t="n"/>
      <c r="AS790" s="2" t="n"/>
      <c r="AT790" s="2" t="n"/>
      <c r="AU790" s="2" t="n"/>
      <c r="AV790" s="2">
        <f>IF(F790=1,V790*2,IF(F790=2,V790*F790*2,IF(F790&gt;2,F790*2*V790)))</f>
        <v/>
      </c>
      <c r="AW790" s="2">
        <f>SUM(W790:AU790)</f>
        <v/>
      </c>
    </row>
    <row r="791">
      <c r="A791" s="2" t="inlineStr">
        <is>
          <t>A14-SB-N130</t>
        </is>
      </c>
      <c r="B791" s="3" t="inlineStr">
        <is>
          <t>SOJC-SM-LC/PC-SC/PC</t>
        </is>
      </c>
      <c r="C791" s="2" t="inlineStr">
        <is>
          <t>908040170, 10M, B3, 2.0mm</t>
        </is>
      </c>
      <c r="D791" s="2" t="inlineStr">
        <is>
          <t>b3</t>
        </is>
      </c>
      <c r="E791" s="2" t="inlineStr">
        <is>
          <t>2.0mm</t>
        </is>
      </c>
      <c r="F791" s="2" t="n">
        <v>1</v>
      </c>
      <c r="G791" s="2" t="n">
        <v>10</v>
      </c>
      <c r="H791" s="2" t="inlineStr">
        <is>
          <t>LC/PC</t>
        </is>
      </c>
      <c r="I791" s="2" t="inlineStr">
        <is>
          <t>SC/PC</t>
        </is>
      </c>
      <c r="J791" s="2" t="n">
        <v>50</v>
      </c>
      <c r="K791" s="2" t="n"/>
      <c r="L791" s="2" t="n"/>
      <c r="M791" s="2" t="n"/>
      <c r="N791" s="2" t="n"/>
      <c r="O791" s="2" t="n">
        <v>475</v>
      </c>
      <c r="P791" s="2" t="n">
        <v>30</v>
      </c>
      <c r="Q791" s="2" t="n">
        <v>20</v>
      </c>
      <c r="R791" s="2" t="n">
        <v>32</v>
      </c>
      <c r="S791" s="2" t="n">
        <v>50</v>
      </c>
      <c r="T791" s="2" t="n">
        <v>180</v>
      </c>
      <c r="U791" s="2" t="n"/>
      <c r="V791" s="2">
        <f>SUM(J791:U791)</f>
        <v/>
      </c>
      <c r="W791" s="2" t="n">
        <v>837</v>
      </c>
      <c r="X791" s="2" t="n"/>
      <c r="Y791" s="2" t="n"/>
      <c r="Z791" s="2" t="n"/>
      <c r="AA791" s="2" t="n">
        <v>837</v>
      </c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>
        <f>IF(F791=1,V791*2,IF(F791=2,V791*F791*2,IF(F791&gt;2,F791*2*V791)))</f>
        <v/>
      </c>
      <c r="AW791" s="2">
        <f>SUM(W791:AU791)</f>
        <v/>
      </c>
    </row>
    <row r="792">
      <c r="A792" s="2" t="inlineStr">
        <is>
          <t>A14-SB-N132</t>
        </is>
      </c>
      <c r="B792" s="3" t="inlineStr">
        <is>
          <t>SOJC-SM-LC/PC-SC/PC</t>
        </is>
      </c>
      <c r="C792" s="2" t="inlineStr">
        <is>
          <t>12M, B3, 2.0mm</t>
        </is>
      </c>
      <c r="D792" s="2" t="inlineStr">
        <is>
          <t>b3</t>
        </is>
      </c>
      <c r="E792" s="2" t="inlineStr">
        <is>
          <t>2.0mm</t>
        </is>
      </c>
      <c r="F792" s="2" t="n">
        <v>1</v>
      </c>
      <c r="G792" s="2" t="n">
        <v>12</v>
      </c>
      <c r="H792" s="2" t="inlineStr">
        <is>
          <t>LC/PC</t>
        </is>
      </c>
      <c r="I792" s="2" t="inlineStr">
        <is>
          <t>SC/PC</t>
        </is>
      </c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>
        <v>5</v>
      </c>
      <c r="U792" s="2" t="n">
        <v>20</v>
      </c>
      <c r="V792" s="2">
        <f>SUM(J792:U792)</f>
        <v/>
      </c>
      <c r="W792" s="2" t="n">
        <v>25</v>
      </c>
      <c r="X792" s="2" t="n"/>
      <c r="Y792" s="2" t="n"/>
      <c r="Z792" s="2" t="n"/>
      <c r="AA792" s="2" t="n">
        <v>25</v>
      </c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>
        <f>IF(F792=1,V792*2,IF(F792=2,V792*F792*2,IF(F792&gt;2,F792*2*V792)))</f>
        <v/>
      </c>
      <c r="AW792" s="2">
        <f>SUM(W792:AU792)</f>
        <v/>
      </c>
    </row>
    <row r="793">
      <c r="A793" s="2" t="inlineStr">
        <is>
          <t>A14-SB-N134</t>
        </is>
      </c>
      <c r="B793" s="3" t="inlineStr">
        <is>
          <t>SOJC-SM-LC/PC-SC/PC</t>
        </is>
      </c>
      <c r="C793" s="2" t="inlineStr">
        <is>
          <t>15M, B3, 2.0mm</t>
        </is>
      </c>
      <c r="D793" s="2" t="inlineStr">
        <is>
          <t>b3</t>
        </is>
      </c>
      <c r="E793" s="2" t="inlineStr">
        <is>
          <t>2.0mm</t>
        </is>
      </c>
      <c r="F793" s="2" t="n">
        <v>1</v>
      </c>
      <c r="G793" s="2" t="n">
        <v>15</v>
      </c>
      <c r="H793" s="2" t="inlineStr">
        <is>
          <t>LC/PC</t>
        </is>
      </c>
      <c r="I793" s="2" t="inlineStr">
        <is>
          <t>SC/PC</t>
        </is>
      </c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>
        <v>100</v>
      </c>
      <c r="U793" s="2" t="n"/>
      <c r="V793" s="2">
        <f>SUM(J793:U793)</f>
        <v/>
      </c>
      <c r="W793" s="2" t="n">
        <v>100</v>
      </c>
      <c r="X793" s="2" t="n"/>
      <c r="Y793" s="2" t="n"/>
      <c r="Z793" s="2" t="n"/>
      <c r="AA793" s="2" t="n">
        <v>100</v>
      </c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>
        <f>IF(F793=1,V793*2,IF(F793=2,V793*F793*2,IF(F793&gt;2,F793*2*V793)))</f>
        <v/>
      </c>
      <c r="AW793" s="2">
        <f>SUM(W793:AU793)</f>
        <v/>
      </c>
    </row>
    <row r="794">
      <c r="A794" s="2" t="inlineStr">
        <is>
          <t>A14-SB-N138</t>
        </is>
      </c>
      <c r="B794" s="3" t="inlineStr">
        <is>
          <t>SOJC-SM-LC/PC-SC/PC</t>
        </is>
      </c>
      <c r="C794" s="2" t="inlineStr">
        <is>
          <t>908040162, 1M, B3, 3.0mm</t>
        </is>
      </c>
      <c r="D794" s="2" t="inlineStr">
        <is>
          <t>b3</t>
        </is>
      </c>
      <c r="E794" s="2" t="inlineStr">
        <is>
          <t>3.0mm</t>
        </is>
      </c>
      <c r="F794" s="2" t="n">
        <v>1</v>
      </c>
      <c r="G794" s="2" t="n">
        <v>1</v>
      </c>
      <c r="H794" s="2" t="inlineStr">
        <is>
          <t>LC/PC</t>
        </is>
      </c>
      <c r="I794" s="2" t="inlineStr">
        <is>
          <t>SC/PC</t>
        </is>
      </c>
      <c r="J794" s="2" t="n"/>
      <c r="K794" s="2" t="n"/>
      <c r="L794" s="2" t="n"/>
      <c r="M794" s="2" t="n">
        <v>3</v>
      </c>
      <c r="N794" s="2" t="n">
        <v>6</v>
      </c>
      <c r="O794" s="2" t="n">
        <v>100</v>
      </c>
      <c r="P794" s="2" t="n">
        <v>200</v>
      </c>
      <c r="Q794" s="2" t="n"/>
      <c r="R794" s="2" t="n"/>
      <c r="S794" s="2" t="n"/>
      <c r="T794" s="2" t="n"/>
      <c r="U794" s="2" t="n"/>
      <c r="V794" s="2">
        <f>SUM(J794:U794)</f>
        <v/>
      </c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>
        <v>309</v>
      </c>
      <c r="AK794" s="2" t="n"/>
      <c r="AL794" s="2" t="n"/>
      <c r="AM794" s="2" t="n"/>
      <c r="AN794" s="2" t="n">
        <v>309</v>
      </c>
      <c r="AO794" s="2" t="n"/>
      <c r="AP794" s="2" t="n"/>
      <c r="AQ794" s="2" t="n"/>
      <c r="AR794" s="2" t="n"/>
      <c r="AS794" s="2" t="n"/>
      <c r="AT794" s="2" t="n"/>
      <c r="AU794" s="2" t="n"/>
      <c r="AV794" s="2">
        <f>IF(F794=1,V794*2,IF(F794=2,V794*F794*2,IF(F794&gt;2,F794*2*V794)))</f>
        <v/>
      </c>
      <c r="AW794" s="2">
        <f>SUM(W794:AU794)</f>
        <v/>
      </c>
    </row>
    <row r="795">
      <c r="A795" s="2" t="inlineStr">
        <is>
          <t>A14-SB-N139</t>
        </is>
      </c>
      <c r="B795" s="3" t="inlineStr">
        <is>
          <t>SOJC-SM-LC/PC-SC/PC</t>
        </is>
      </c>
      <c r="C795" s="2" t="inlineStr">
        <is>
          <t>908040180, 20M, B3, 2.0mm</t>
        </is>
      </c>
      <c r="D795" s="2" t="inlineStr">
        <is>
          <t>b3</t>
        </is>
      </c>
      <c r="E795" s="2" t="inlineStr">
        <is>
          <t>2.0mm</t>
        </is>
      </c>
      <c r="F795" s="2" t="n">
        <v>1</v>
      </c>
      <c r="G795" s="2" t="n">
        <v>20</v>
      </c>
      <c r="H795" s="2" t="inlineStr">
        <is>
          <t>LC/PC</t>
        </is>
      </c>
      <c r="I795" s="2" t="inlineStr">
        <is>
          <t>SC/PC</t>
        </is>
      </c>
      <c r="J795" s="2" t="n"/>
      <c r="K795" s="2" t="n"/>
      <c r="L795" s="2" t="n"/>
      <c r="M795" s="2" t="n"/>
      <c r="N795" s="2" t="n"/>
      <c r="O795" s="2" t="n"/>
      <c r="P795" s="2" t="n">
        <v>24</v>
      </c>
      <c r="Q795" s="2" t="n">
        <v>30</v>
      </c>
      <c r="R795" s="2" t="n"/>
      <c r="S795" s="2" t="n"/>
      <c r="T795" s="2" t="n"/>
      <c r="U795" s="2" t="n"/>
      <c r="V795" s="2">
        <f>SUM(J795:U795)</f>
        <v/>
      </c>
      <c r="W795" s="2" t="n">
        <v>54</v>
      </c>
      <c r="X795" s="2" t="n"/>
      <c r="Y795" s="2" t="n"/>
      <c r="Z795" s="2" t="n"/>
      <c r="AA795" s="2" t="n">
        <v>54</v>
      </c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>
        <f>IF(F795=1,V795*2,IF(F795=2,V795*F795*2,IF(F795&gt;2,F795*2*V795)))</f>
        <v/>
      </c>
      <c r="AW795" s="2">
        <f>SUM(W795:AU795)</f>
        <v/>
      </c>
    </row>
    <row r="796">
      <c r="A796" s="2" t="inlineStr">
        <is>
          <t>A14-SB-N141</t>
        </is>
      </c>
      <c r="B796" s="3" t="inlineStr">
        <is>
          <t>SOJC-SM-LC/PC-SC/PC</t>
        </is>
      </c>
      <c r="C796" s="2" t="inlineStr">
        <is>
          <t>908040185, 25M, B3, 2.0mm</t>
        </is>
      </c>
      <c r="D796" s="2" t="inlineStr">
        <is>
          <t>b3</t>
        </is>
      </c>
      <c r="E796" s="2" t="inlineStr">
        <is>
          <t>2.0mm</t>
        </is>
      </c>
      <c r="F796" s="2" t="n">
        <v>1</v>
      </c>
      <c r="G796" s="2" t="n">
        <v>25</v>
      </c>
      <c r="H796" s="2" t="inlineStr">
        <is>
          <t>LC/PC</t>
        </is>
      </c>
      <c r="I796" s="2" t="inlineStr">
        <is>
          <t>SC/PC</t>
        </is>
      </c>
      <c r="J796" s="2" t="n">
        <v>14</v>
      </c>
      <c r="K796" s="2" t="n"/>
      <c r="L796" s="2" t="n">
        <v>25</v>
      </c>
      <c r="M796" s="2" t="n"/>
      <c r="N796" s="2" t="n"/>
      <c r="O796" s="2" t="n">
        <v>5</v>
      </c>
      <c r="P796" s="2" t="n"/>
      <c r="Q796" s="2" t="n">
        <v>25</v>
      </c>
      <c r="R796" s="2" t="n">
        <v>40</v>
      </c>
      <c r="S796" s="2" t="n"/>
      <c r="T796" s="2" t="n">
        <v>10</v>
      </c>
      <c r="U796" s="2" t="n">
        <v>1</v>
      </c>
      <c r="V796" s="2">
        <f>SUM(J796:U796)</f>
        <v/>
      </c>
      <c r="W796" s="2" t="n">
        <v>120</v>
      </c>
      <c r="X796" s="2" t="n"/>
      <c r="Y796" s="2" t="n"/>
      <c r="Z796" s="2" t="n"/>
      <c r="AA796" s="2" t="n">
        <v>120</v>
      </c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>
        <f>IF(F796=1,V796*2,IF(F796=2,V796*F796*2,IF(F796&gt;2,F796*2*V796)))</f>
        <v/>
      </c>
      <c r="AW796" s="2">
        <f>SUM(W796:AU796)</f>
        <v/>
      </c>
    </row>
    <row r="797">
      <c r="A797" s="2" t="inlineStr">
        <is>
          <t>A14-SB-N143</t>
        </is>
      </c>
      <c r="B797" s="3" t="inlineStr">
        <is>
          <t>SOJC-SM-LC/PC-SC/PC</t>
        </is>
      </c>
      <c r="C797" s="2" t="inlineStr">
        <is>
          <t>908040163, 2M, B3, 3.0mm</t>
        </is>
      </c>
      <c r="D797" s="2" t="inlineStr">
        <is>
          <t>b3</t>
        </is>
      </c>
      <c r="E797" s="2" t="inlineStr">
        <is>
          <t>3.0mm</t>
        </is>
      </c>
      <c r="F797" s="2" t="n">
        <v>1</v>
      </c>
      <c r="G797" s="2" t="n">
        <v>2</v>
      </c>
      <c r="H797" s="2" t="inlineStr">
        <is>
          <t>LC/PC</t>
        </is>
      </c>
      <c r="I797" s="2" t="inlineStr">
        <is>
          <t>SC/PC</t>
        </is>
      </c>
      <c r="J797" s="2" t="n"/>
      <c r="K797" s="2" t="n"/>
      <c r="L797" s="2" t="n"/>
      <c r="M797" s="2" t="n"/>
      <c r="N797" s="2" t="n"/>
      <c r="O797" s="2" t="n">
        <v>90</v>
      </c>
      <c r="P797" s="2" t="n"/>
      <c r="Q797" s="2" t="n"/>
      <c r="R797" s="2" t="n"/>
      <c r="S797" s="2" t="n"/>
      <c r="T797" s="2" t="n">
        <v>20</v>
      </c>
      <c r="U797" s="2" t="n"/>
      <c r="V797" s="2">
        <f>SUM(J797:U797)</f>
        <v/>
      </c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>
        <v>110</v>
      </c>
      <c r="AK797" s="2" t="n"/>
      <c r="AL797" s="2" t="n"/>
      <c r="AM797" s="2" t="n"/>
      <c r="AN797" s="2" t="n">
        <v>110</v>
      </c>
      <c r="AO797" s="2" t="n"/>
      <c r="AP797" s="2" t="n"/>
      <c r="AQ797" s="2" t="n"/>
      <c r="AR797" s="2" t="n"/>
      <c r="AS797" s="2" t="n"/>
      <c r="AT797" s="2" t="n"/>
      <c r="AU797" s="2" t="n"/>
      <c r="AV797" s="2">
        <f>IF(F797=1,V797*2,IF(F797=2,V797*F797*2,IF(F797&gt;2,F797*2*V797)))</f>
        <v/>
      </c>
      <c r="AW797" s="2">
        <f>SUM(W797:AU797)</f>
        <v/>
      </c>
    </row>
    <row r="798">
      <c r="A798" s="2" t="inlineStr">
        <is>
          <t>A14-SB-N144</t>
        </is>
      </c>
      <c r="B798" s="3" t="inlineStr">
        <is>
          <t>SOJC-SM-LC/PC-SC/PC</t>
        </is>
      </c>
      <c r="C798" s="2" t="inlineStr">
        <is>
          <t>908040190, 30M, B3, 2.0mm</t>
        </is>
      </c>
      <c r="D798" s="2" t="inlineStr">
        <is>
          <t>b3</t>
        </is>
      </c>
      <c r="E798" s="2" t="inlineStr">
        <is>
          <t>2.0mm</t>
        </is>
      </c>
      <c r="F798" s="2" t="n">
        <v>1</v>
      </c>
      <c r="G798" s="2" t="n">
        <v>30</v>
      </c>
      <c r="H798" s="2" t="inlineStr">
        <is>
          <t>LC/PC</t>
        </is>
      </c>
      <c r="I798" s="2" t="inlineStr">
        <is>
          <t>SC/PC</t>
        </is>
      </c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>
        <v>5</v>
      </c>
      <c r="S798" s="2" t="n"/>
      <c r="T798" s="2" t="n">
        <v>35</v>
      </c>
      <c r="U798" s="2" t="n">
        <v>2</v>
      </c>
      <c r="V798" s="2">
        <f>SUM(J798:U798)</f>
        <v/>
      </c>
      <c r="W798" s="2" t="n">
        <v>42</v>
      </c>
      <c r="X798" s="2" t="n"/>
      <c r="Y798" s="2" t="n"/>
      <c r="Z798" s="2" t="n"/>
      <c r="AA798" s="2" t="n">
        <v>42</v>
      </c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>
        <f>IF(F798=1,V798*2,IF(F798=2,V798*F798*2,IF(F798&gt;2,F798*2*V798)))</f>
        <v/>
      </c>
      <c r="AW798" s="2">
        <f>SUM(W798:AU798)</f>
        <v/>
      </c>
    </row>
    <row r="799">
      <c r="A799" s="2" t="inlineStr">
        <is>
          <t>A14-SB-N146</t>
        </is>
      </c>
      <c r="B799" s="3" t="inlineStr">
        <is>
          <t>SOJC-SM-LC/PC-SC/PC</t>
        </is>
      </c>
      <c r="C799" s="2" t="inlineStr">
        <is>
          <t>908040161, 3M, B3, 3.0mm</t>
        </is>
      </c>
      <c r="D799" s="2" t="inlineStr">
        <is>
          <t>b3</t>
        </is>
      </c>
      <c r="E799" s="2" t="inlineStr">
        <is>
          <t>3.0mm</t>
        </is>
      </c>
      <c r="F799" s="2" t="n">
        <v>1</v>
      </c>
      <c r="G799" s="2" t="n">
        <v>3</v>
      </c>
      <c r="H799" s="2" t="inlineStr">
        <is>
          <t>LC/PC</t>
        </is>
      </c>
      <c r="I799" s="2" t="inlineStr">
        <is>
          <t>SC/PC</t>
        </is>
      </c>
      <c r="J799" s="2" t="n"/>
      <c r="K799" s="2" t="n">
        <v>20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>
        <f>SUM(J799:U799)</f>
        <v/>
      </c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>
        <v>20</v>
      </c>
      <c r="AK799" s="2" t="n"/>
      <c r="AL799" s="2" t="n"/>
      <c r="AM799" s="2" t="n"/>
      <c r="AN799" s="2" t="n">
        <v>20</v>
      </c>
      <c r="AO799" s="2" t="n"/>
      <c r="AP799" s="2" t="n"/>
      <c r="AQ799" s="2" t="n"/>
      <c r="AR799" s="2" t="n"/>
      <c r="AS799" s="2" t="n"/>
      <c r="AT799" s="2" t="n"/>
      <c r="AU799" s="2" t="n"/>
      <c r="AV799" s="2">
        <f>IF(F799=1,V799*2,IF(F799=2,V799*F799*2,IF(F799&gt;2,F799*2*V799)))</f>
        <v/>
      </c>
      <c r="AW799" s="2">
        <f>SUM(W799:AU799)</f>
        <v/>
      </c>
    </row>
    <row r="800">
      <c r="A800" s="2" t="inlineStr">
        <is>
          <t>A14-SB-N149</t>
        </is>
      </c>
      <c r="B800" s="3" t="inlineStr">
        <is>
          <t>SOJC-SM-LC/PC-SC/PC</t>
        </is>
      </c>
      <c r="C800" s="2" t="inlineStr">
        <is>
          <t>908040166, 6M, B3, 2.0mm</t>
        </is>
      </c>
      <c r="D800" s="2" t="inlineStr">
        <is>
          <t>b3</t>
        </is>
      </c>
      <c r="E800" s="2" t="inlineStr">
        <is>
          <t>2.0mm</t>
        </is>
      </c>
      <c r="F800" s="2" t="n">
        <v>1</v>
      </c>
      <c r="G800" s="2" t="n">
        <v>6</v>
      </c>
      <c r="H800" s="2" t="inlineStr">
        <is>
          <t>LC/PC</t>
        </is>
      </c>
      <c r="I800" s="2" t="inlineStr">
        <is>
          <t>SC/PC</t>
        </is>
      </c>
      <c r="J800" s="2" t="n"/>
      <c r="K800" s="2" t="n"/>
      <c r="L800" s="2" t="n"/>
      <c r="M800" s="2" t="n"/>
      <c r="N800" s="2" t="n"/>
      <c r="O800" s="2" t="n"/>
      <c r="P800" s="2" t="n">
        <v>30</v>
      </c>
      <c r="Q800" s="2" t="n"/>
      <c r="R800" s="2" t="n"/>
      <c r="S800" s="2" t="n">
        <v>20</v>
      </c>
      <c r="T800" s="2" t="n"/>
      <c r="U800" s="2" t="n">
        <v>10</v>
      </c>
      <c r="V800" s="2">
        <f>SUM(J800:U800)</f>
        <v/>
      </c>
      <c r="W800" s="2" t="n">
        <v>60</v>
      </c>
      <c r="X800" s="2" t="n"/>
      <c r="Y800" s="2" t="n"/>
      <c r="Z800" s="2" t="n"/>
      <c r="AA800" s="2" t="n">
        <v>60</v>
      </c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>
        <f>IF(F800=1,V800*2,IF(F800=2,V800*F800*2,IF(F800&gt;2,F800*2*V800)))</f>
        <v/>
      </c>
      <c r="AW800" s="2">
        <f>SUM(W800:AU800)</f>
        <v/>
      </c>
    </row>
    <row r="801">
      <c r="A801" s="2" t="inlineStr">
        <is>
          <t>A14-SB-N151</t>
        </is>
      </c>
      <c r="B801" s="3" t="inlineStr">
        <is>
          <t>SOJC-SM-LC/PC-SC/PC</t>
        </is>
      </c>
      <c r="C801" s="2" t="inlineStr">
        <is>
          <t>908040167, 7M, B3, 2.0mm</t>
        </is>
      </c>
      <c r="D801" s="2" t="inlineStr">
        <is>
          <t>b3</t>
        </is>
      </c>
      <c r="E801" s="2" t="inlineStr">
        <is>
          <t>2.0mm</t>
        </is>
      </c>
      <c r="F801" s="2" t="n">
        <v>1</v>
      </c>
      <c r="G801" s="2" t="n">
        <v>7</v>
      </c>
      <c r="H801" s="2" t="inlineStr">
        <is>
          <t>LC/PC</t>
        </is>
      </c>
      <c r="I801" s="2" t="inlineStr">
        <is>
          <t>SC/PC</t>
        </is>
      </c>
      <c r="J801" s="2" t="n">
        <v>15</v>
      </c>
      <c r="K801" s="2" t="n"/>
      <c r="L801" s="2" t="n"/>
      <c r="M801" s="2" t="n"/>
      <c r="N801" s="2" t="n">
        <v>18</v>
      </c>
      <c r="O801" s="2" t="n">
        <v>15</v>
      </c>
      <c r="P801" s="2" t="n"/>
      <c r="Q801" s="2" t="n"/>
      <c r="R801" s="2" t="n">
        <v>14</v>
      </c>
      <c r="S801" s="2" t="n">
        <v>70</v>
      </c>
      <c r="T801" s="2" t="n">
        <v>40</v>
      </c>
      <c r="U801" s="2" t="n">
        <v>90</v>
      </c>
      <c r="V801" s="2">
        <f>SUM(J801:U801)</f>
        <v/>
      </c>
      <c r="W801" s="2" t="n">
        <v>262</v>
      </c>
      <c r="X801" s="2" t="n"/>
      <c r="Y801" s="2" t="n"/>
      <c r="Z801" s="2" t="n"/>
      <c r="AA801" s="2" t="n">
        <v>262</v>
      </c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>
        <f>IF(F801=1,V801*2,IF(F801=2,V801*F801*2,IF(F801&gt;2,F801*2*V801)))</f>
        <v/>
      </c>
      <c r="AW801" s="2">
        <f>SUM(W801:AU801)</f>
        <v/>
      </c>
    </row>
    <row r="802">
      <c r="A802" s="2" t="inlineStr">
        <is>
          <t>A14-SB-N152</t>
        </is>
      </c>
      <c r="B802" s="3" t="inlineStr">
        <is>
          <t>SOJC-SM-LC/PC-SC/PC</t>
        </is>
      </c>
      <c r="C802" s="2" t="inlineStr">
        <is>
          <t>908040168, 8M, B3, 2.0mm</t>
        </is>
      </c>
      <c r="D802" s="2" t="inlineStr">
        <is>
          <t>b3</t>
        </is>
      </c>
      <c r="E802" s="2" t="inlineStr">
        <is>
          <t>2.0mm</t>
        </is>
      </c>
      <c r="F802" s="2" t="n">
        <v>1</v>
      </c>
      <c r="G802" s="2" t="n">
        <v>8</v>
      </c>
      <c r="H802" s="2" t="inlineStr">
        <is>
          <t>LC/PC</t>
        </is>
      </c>
      <c r="I802" s="2" t="inlineStr">
        <is>
          <t>SC/PC</t>
        </is>
      </c>
      <c r="J802" s="2" t="n"/>
      <c r="K802" s="2" t="n"/>
      <c r="L802" s="2" t="n">
        <v>20</v>
      </c>
      <c r="M802" s="2" t="n"/>
      <c r="N802" s="2" t="n">
        <v>20</v>
      </c>
      <c r="O802" s="2" t="n"/>
      <c r="P802" s="2" t="n"/>
      <c r="Q802" s="2" t="n"/>
      <c r="R802" s="2" t="n"/>
      <c r="S802" s="2" t="n"/>
      <c r="T802" s="2" t="n">
        <v>50</v>
      </c>
      <c r="U802" s="2" t="n">
        <v>50</v>
      </c>
      <c r="V802" s="2">
        <f>SUM(J802:U802)</f>
        <v/>
      </c>
      <c r="W802" s="2" t="n">
        <v>140</v>
      </c>
      <c r="X802" s="2" t="n"/>
      <c r="Y802" s="2" t="n"/>
      <c r="Z802" s="2" t="n"/>
      <c r="AA802" s="2" t="n">
        <v>140</v>
      </c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>
        <f>IF(F802=1,V802*2,IF(F802=2,V802*F802*2,IF(F802&gt;2,F802*2*V802)))</f>
        <v/>
      </c>
      <c r="AW802" s="2">
        <f>SUM(W802:AU802)</f>
        <v/>
      </c>
    </row>
    <row r="803">
      <c r="A803" s="2" t="inlineStr">
        <is>
          <t>A14-SB-N153</t>
        </is>
      </c>
      <c r="B803" s="3" t="inlineStr">
        <is>
          <t>SOJC-SM-LC/PC-SC/PC</t>
        </is>
      </c>
      <c r="C803" s="2" t="inlineStr">
        <is>
          <t>908040169, 9M, B3, 2.0mm</t>
        </is>
      </c>
      <c r="D803" s="2" t="inlineStr">
        <is>
          <t>b3</t>
        </is>
      </c>
      <c r="E803" s="2" t="inlineStr">
        <is>
          <t>2.0mm</t>
        </is>
      </c>
      <c r="F803" s="2" t="n">
        <v>1</v>
      </c>
      <c r="G803" s="2" t="n">
        <v>9</v>
      </c>
      <c r="H803" s="2" t="inlineStr">
        <is>
          <t>LC/PC</t>
        </is>
      </c>
      <c r="I803" s="2" t="inlineStr">
        <is>
          <t>SC/PC</t>
        </is>
      </c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>
        <v>20</v>
      </c>
      <c r="T803" s="2" t="n">
        <v>50</v>
      </c>
      <c r="U803" s="2" t="n">
        <v>70</v>
      </c>
      <c r="V803" s="2">
        <f>SUM(J803:U803)</f>
        <v/>
      </c>
      <c r="W803" s="2" t="n">
        <v>140</v>
      </c>
      <c r="X803" s="2" t="n"/>
      <c r="Y803" s="2" t="n"/>
      <c r="Z803" s="2" t="n"/>
      <c r="AA803" s="2" t="n">
        <v>140</v>
      </c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>
        <f>IF(F803=1,V803*2,IF(F803=2,V803*F803*2,IF(F803&gt;2,F803*2*V803)))</f>
        <v/>
      </c>
      <c r="AW803" s="2">
        <f>SUM(W803:AU803)</f>
        <v/>
      </c>
    </row>
    <row r="804">
      <c r="A804" s="2" t="inlineStr">
        <is>
          <t>A14-SB-N154</t>
        </is>
      </c>
      <c r="B804" s="3" t="inlineStr">
        <is>
          <t>SOJC-SM-LC/PC-SC/PC</t>
        </is>
      </c>
      <c r="C804" s="2" t="inlineStr">
        <is>
          <t>35M, B3, 2.0mm</t>
        </is>
      </c>
      <c r="D804" s="2" t="inlineStr">
        <is>
          <t>b3</t>
        </is>
      </c>
      <c r="E804" s="2" t="inlineStr">
        <is>
          <t>2.0mm</t>
        </is>
      </c>
      <c r="F804" s="2" t="n">
        <v>1</v>
      </c>
      <c r="G804" s="2" t="n">
        <v>35</v>
      </c>
      <c r="H804" s="2" t="inlineStr">
        <is>
          <t>LC/PC</t>
        </is>
      </c>
      <c r="I804" s="2" t="inlineStr">
        <is>
          <t>SC/PC</t>
        </is>
      </c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>
        <v>10</v>
      </c>
      <c r="U804" s="2" t="n">
        <v>48</v>
      </c>
      <c r="V804" s="2">
        <f>SUM(J804:U804)</f>
        <v/>
      </c>
      <c r="W804" s="2" t="n">
        <v>58</v>
      </c>
      <c r="X804" s="2" t="n"/>
      <c r="Y804" s="2" t="n"/>
      <c r="Z804" s="2" t="n"/>
      <c r="AA804" s="2" t="n">
        <v>58</v>
      </c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>
        <f>IF(F804=1,V804*2,IF(F804=2,V804*F804*2,IF(F804&gt;2,F804*2*V804)))</f>
        <v/>
      </c>
      <c r="AW804" s="2">
        <f>SUM(W804:AU804)</f>
        <v/>
      </c>
    </row>
    <row r="805">
      <c r="A805" s="2" t="inlineStr">
        <is>
          <t>A14-SB-N155</t>
        </is>
      </c>
      <c r="B805" s="3" t="inlineStr">
        <is>
          <t>SOJC-SM-LC/PC-SC/PC</t>
        </is>
      </c>
      <c r="C805" s="2" t="inlineStr">
        <is>
          <t>11M, B3, 2.0mm</t>
        </is>
      </c>
      <c r="D805" s="2" t="inlineStr">
        <is>
          <t>b3</t>
        </is>
      </c>
      <c r="E805" s="2" t="inlineStr">
        <is>
          <t>2.0mm</t>
        </is>
      </c>
      <c r="F805" s="2" t="n">
        <v>1</v>
      </c>
      <c r="G805" s="2" t="n">
        <v>11</v>
      </c>
      <c r="H805" s="2" t="inlineStr">
        <is>
          <t>LC/PC</t>
        </is>
      </c>
      <c r="I805" s="2" t="inlineStr">
        <is>
          <t>SC/PC</t>
        </is>
      </c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>
        <v>20</v>
      </c>
      <c r="U805" s="2" t="n">
        <v>30</v>
      </c>
      <c r="V805" s="2">
        <f>SUM(J805:U805)</f>
        <v/>
      </c>
      <c r="W805" s="2" t="n">
        <v>50</v>
      </c>
      <c r="X805" s="2" t="n"/>
      <c r="Y805" s="2" t="n"/>
      <c r="Z805" s="2" t="n"/>
      <c r="AA805" s="2" t="n">
        <v>50</v>
      </c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>
        <f>IF(F805=1,V805*2,IF(F805=2,V805*F805*2,IF(F805&gt;2,F805*2*V805)))</f>
        <v/>
      </c>
      <c r="AW805" s="2">
        <f>SUM(W805:AU805)</f>
        <v/>
      </c>
    </row>
    <row r="806">
      <c r="A806" s="2" t="inlineStr">
        <is>
          <t>A14-SB-N176</t>
        </is>
      </c>
      <c r="B806" s="3" t="inlineStr">
        <is>
          <t>SOJC-SM-SC/APC-SC/APC</t>
        </is>
      </c>
      <c r="C806" s="2" t="inlineStr">
        <is>
          <t>908041459, 10M, B3, 2.0mm</t>
        </is>
      </c>
      <c r="D806" s="2" t="inlineStr">
        <is>
          <t>b3</t>
        </is>
      </c>
      <c r="E806" s="2" t="inlineStr">
        <is>
          <t>2.0mm</t>
        </is>
      </c>
      <c r="F806" s="2" t="n">
        <v>1</v>
      </c>
      <c r="G806" s="2" t="n">
        <v>10</v>
      </c>
      <c r="H806" s="2" t="inlineStr">
        <is>
          <t>SC/APC</t>
        </is>
      </c>
      <c r="I806" s="2" t="inlineStr">
        <is>
          <t>SC/APC</t>
        </is>
      </c>
      <c r="J806" s="2" t="n"/>
      <c r="K806" s="2" t="n"/>
      <c r="L806" s="2" t="n">
        <v>5</v>
      </c>
      <c r="M806" s="2" t="n">
        <v>10</v>
      </c>
      <c r="N806" s="2" t="n">
        <v>12</v>
      </c>
      <c r="O806" s="2" t="n">
        <v>10</v>
      </c>
      <c r="P806" s="2" t="n"/>
      <c r="Q806" s="2" t="n"/>
      <c r="R806" s="2" t="n">
        <v>20</v>
      </c>
      <c r="S806" s="2" t="n"/>
      <c r="T806" s="2" t="n"/>
      <c r="U806" s="2" t="n"/>
      <c r="V806" s="2">
        <f>SUM(J806:U806)</f>
        <v/>
      </c>
      <c r="W806" s="2" t="n"/>
      <c r="X806" s="2" t="n"/>
      <c r="Y806" s="2" t="n"/>
      <c r="Z806" s="2" t="n"/>
      <c r="AA806" s="2" t="n"/>
      <c r="AB806" s="2" t="n"/>
      <c r="AC806" s="2" t="n">
        <v>114</v>
      </c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>
        <f>IF(F806=1,V806*2,IF(F806=2,V806*F806*2,IF(F806&gt;2,F806*2*V806)))</f>
        <v/>
      </c>
      <c r="AW806" s="2">
        <f>SUM(W806:AU806)</f>
        <v/>
      </c>
    </row>
    <row r="807">
      <c r="A807" s="2" t="inlineStr">
        <is>
          <t>A14-SB-N179</t>
        </is>
      </c>
      <c r="B807" s="3" t="inlineStr">
        <is>
          <t>SOJC-SM-SC/APC-SC/APC</t>
        </is>
      </c>
      <c r="C807" s="2" t="inlineStr">
        <is>
          <t>908041464, 15M, B3, 2.0mm</t>
        </is>
      </c>
      <c r="D807" s="2" t="inlineStr">
        <is>
          <t>b3</t>
        </is>
      </c>
      <c r="E807" s="2" t="inlineStr">
        <is>
          <t>2.0mm</t>
        </is>
      </c>
      <c r="F807" s="2" t="n">
        <v>1</v>
      </c>
      <c r="G807" s="2" t="n">
        <v>15</v>
      </c>
      <c r="H807" s="2" t="inlineStr">
        <is>
          <t>SC/APC</t>
        </is>
      </c>
      <c r="I807" s="2" t="inlineStr">
        <is>
          <t>SC/APC</t>
        </is>
      </c>
      <c r="J807" s="2" t="n"/>
      <c r="K807" s="2" t="n"/>
      <c r="L807" s="2" t="n"/>
      <c r="M807" s="2" t="n">
        <v>5</v>
      </c>
      <c r="N807" s="2" t="n"/>
      <c r="O807" s="2" t="n"/>
      <c r="P807" s="2" t="n"/>
      <c r="Q807" s="2" t="n">
        <v>20</v>
      </c>
      <c r="R807" s="2" t="n">
        <v>20</v>
      </c>
      <c r="S807" s="2" t="n"/>
      <c r="T807" s="2" t="n"/>
      <c r="U807" s="2" t="n"/>
      <c r="V807" s="2">
        <f>SUM(J807:U807)</f>
        <v/>
      </c>
      <c r="W807" s="2" t="n"/>
      <c r="X807" s="2" t="n"/>
      <c r="Y807" s="2" t="n"/>
      <c r="Z807" s="2" t="n"/>
      <c r="AA807" s="2" t="n"/>
      <c r="AB807" s="2" t="n"/>
      <c r="AC807" s="2" t="n">
        <v>90</v>
      </c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>
        <f>IF(F807=1,V807*2,IF(F807=2,V807*F807*2,IF(F807&gt;2,F807*2*V807)))</f>
        <v/>
      </c>
      <c r="AW807" s="2">
        <f>SUM(W807:AU807)</f>
        <v/>
      </c>
    </row>
    <row r="808">
      <c r="A808" s="2" t="inlineStr">
        <is>
          <t>A14-SB-N185</t>
        </is>
      </c>
      <c r="B808" s="3" t="inlineStr">
        <is>
          <t>SOJC-SM-SC/APC-SC/APC</t>
        </is>
      </c>
      <c r="C808" s="2" t="inlineStr">
        <is>
          <t>908041450, 3M, B3, 3.0mm</t>
        </is>
      </c>
      <c r="D808" s="2" t="inlineStr">
        <is>
          <t>b3</t>
        </is>
      </c>
      <c r="E808" s="2" t="inlineStr">
        <is>
          <t>3.0mm</t>
        </is>
      </c>
      <c r="F808" s="2" t="n">
        <v>1</v>
      </c>
      <c r="G808" s="2" t="n">
        <v>3</v>
      </c>
      <c r="H808" s="2" t="inlineStr">
        <is>
          <t>SC/APC</t>
        </is>
      </c>
      <c r="I808" s="2" t="inlineStr">
        <is>
          <t>SC/APC</t>
        </is>
      </c>
      <c r="J808" s="2" t="n">
        <v>52</v>
      </c>
      <c r="K808" s="2" t="n">
        <v>340</v>
      </c>
      <c r="L808" s="2" t="n">
        <v>220</v>
      </c>
      <c r="M808" s="2" t="n">
        <v>270</v>
      </c>
      <c r="N808" s="2" t="n">
        <v>50</v>
      </c>
      <c r="O808" s="2" t="n"/>
      <c r="P808" s="2" t="n"/>
      <c r="Q808" s="2" t="n"/>
      <c r="R808" s="2" t="n"/>
      <c r="S808" s="2" t="n"/>
      <c r="T808" s="2" t="n"/>
      <c r="U808" s="2" t="n"/>
      <c r="V808" s="2">
        <f>SUM(J808:U808)</f>
        <v/>
      </c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>
        <v>1864</v>
      </c>
      <c r="AQ808" s="2" t="n"/>
      <c r="AR808" s="2" t="n"/>
      <c r="AS808" s="2" t="n"/>
      <c r="AT808" s="2" t="n"/>
      <c r="AU808" s="2" t="n"/>
      <c r="AV808" s="2">
        <f>IF(F808=1,V808*2,IF(F808=2,V808*F808*2,IF(F808&gt;2,F808*2*V808)))</f>
        <v/>
      </c>
      <c r="AW808" s="2">
        <f>SUM(W808:AU808)</f>
        <v/>
      </c>
    </row>
    <row r="809">
      <c r="A809" s="2" t="inlineStr">
        <is>
          <t>A14-SB-N189</t>
        </is>
      </c>
      <c r="B809" s="3" t="inlineStr">
        <is>
          <t>SOJC-SM-SC/APC-SC/APC</t>
        </is>
      </c>
      <c r="C809" s="2" t="inlineStr">
        <is>
          <t>908041454, 5M, B3, 3.0mm</t>
        </is>
      </c>
      <c r="D809" s="2" t="inlineStr">
        <is>
          <t>b3</t>
        </is>
      </c>
      <c r="E809" s="2" t="inlineStr">
        <is>
          <t>3.0mm</t>
        </is>
      </c>
      <c r="F809" s="2" t="n">
        <v>1</v>
      </c>
      <c r="G809" s="2" t="n">
        <v>5</v>
      </c>
      <c r="H809" s="2" t="inlineStr">
        <is>
          <t>SC/APC</t>
        </is>
      </c>
      <c r="I809" s="2" t="inlineStr">
        <is>
          <t>SC/APC</t>
        </is>
      </c>
      <c r="J809" s="2" t="n"/>
      <c r="K809" s="2" t="n">
        <v>20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>
        <f>SUM(J809:U809)</f>
        <v/>
      </c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>
        <v>40</v>
      </c>
      <c r="AQ809" s="2" t="n"/>
      <c r="AR809" s="2" t="n"/>
      <c r="AS809" s="2" t="n"/>
      <c r="AT809" s="2" t="n"/>
      <c r="AU809" s="2" t="n"/>
      <c r="AV809" s="2">
        <f>IF(F809=1,V809*2,IF(F809=2,V809*F809*2,IF(F809&gt;2,F809*2*V809)))</f>
        <v/>
      </c>
      <c r="AW809" s="2">
        <f>SUM(W809:AU809)</f>
        <v/>
      </c>
    </row>
    <row r="810">
      <c r="A810" s="2" t="inlineStr">
        <is>
          <t>A14-SB-N193</t>
        </is>
      </c>
      <c r="B810" s="3" t="inlineStr">
        <is>
          <t>SOJC-SM-SC/PC-FC/APC</t>
        </is>
      </c>
      <c r="C810" s="2" t="inlineStr">
        <is>
          <t>908040319, 10M, B3, 2.0mm</t>
        </is>
      </c>
      <c r="D810" s="2" t="inlineStr">
        <is>
          <t>b3</t>
        </is>
      </c>
      <c r="E810" s="2" t="inlineStr">
        <is>
          <t>2.0mm</t>
        </is>
      </c>
      <c r="F810" s="2" t="n">
        <v>1</v>
      </c>
      <c r="G810" s="2" t="n">
        <v>10</v>
      </c>
      <c r="H810" s="2" t="inlineStr">
        <is>
          <t>SC/PC</t>
        </is>
      </c>
      <c r="I810" s="2" t="inlineStr">
        <is>
          <t>FC/APC</t>
        </is>
      </c>
      <c r="J810" s="2" t="n"/>
      <c r="K810" s="2" t="n"/>
      <c r="L810" s="2" t="n"/>
      <c r="M810" s="2" t="n"/>
      <c r="N810" s="2" t="n"/>
      <c r="O810" s="2" t="n">
        <v>53</v>
      </c>
      <c r="P810" s="2" t="n"/>
      <c r="Q810" s="2" t="n"/>
      <c r="R810" s="2" t="n">
        <v>16</v>
      </c>
      <c r="S810" s="2" t="n"/>
      <c r="T810" s="2" t="n"/>
      <c r="U810" s="2" t="n"/>
      <c r="V810" s="2">
        <f>SUM(J810:U810)</f>
        <v/>
      </c>
      <c r="W810" s="2" t="n"/>
      <c r="X810" s="2" t="n"/>
      <c r="Y810" s="2" t="n"/>
      <c r="Z810" s="2" t="n"/>
      <c r="AA810" s="2" t="n">
        <v>69</v>
      </c>
      <c r="AB810" s="2" t="n"/>
      <c r="AC810" s="2" t="n"/>
      <c r="AD810" s="2" t="n"/>
      <c r="AE810" s="2" t="n"/>
      <c r="AF810" s="2" t="n"/>
      <c r="AG810" s="2" t="n">
        <v>69</v>
      </c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>
        <f>IF(F810=1,V810*2,IF(F810=2,V810*F810*2,IF(F810&gt;2,F810*2*V810)))</f>
        <v/>
      </c>
      <c r="AW810" s="2">
        <f>SUM(W810:AU810)</f>
        <v/>
      </c>
    </row>
    <row r="811">
      <c r="A811" s="2" t="inlineStr">
        <is>
          <t>A14-SB-N198</t>
        </is>
      </c>
      <c r="B811" s="3" t="inlineStr">
        <is>
          <t>SOJC-SM-SC/PC-FC/APC</t>
        </is>
      </c>
      <c r="C811" s="2" t="inlineStr">
        <is>
          <t>908040324, 15M, B3, 2.0mm</t>
        </is>
      </c>
      <c r="D811" s="2" t="inlineStr">
        <is>
          <t>b3</t>
        </is>
      </c>
      <c r="E811" s="2" t="inlineStr">
        <is>
          <t>2.0mm</t>
        </is>
      </c>
      <c r="F811" s="2" t="n">
        <v>1</v>
      </c>
      <c r="G811" s="2" t="n">
        <v>15</v>
      </c>
      <c r="H811" s="2" t="inlineStr">
        <is>
          <t>SC/PC</t>
        </is>
      </c>
      <c r="I811" s="2" t="inlineStr">
        <is>
          <t>FC/APC</t>
        </is>
      </c>
      <c r="J811" s="2" t="n"/>
      <c r="K811" s="2" t="n"/>
      <c r="L811" s="2" t="n"/>
      <c r="M811" s="2" t="n">
        <v>56</v>
      </c>
      <c r="N811" s="2" t="n"/>
      <c r="O811" s="2" t="n">
        <v>41</v>
      </c>
      <c r="P811" s="2" t="n"/>
      <c r="Q811" s="2" t="n"/>
      <c r="R811" s="2" t="n">
        <v>7</v>
      </c>
      <c r="S811" s="2" t="n">
        <v>40</v>
      </c>
      <c r="T811" s="2" t="n"/>
      <c r="U811" s="2" t="n"/>
      <c r="V811" s="2">
        <f>SUM(J811:U811)</f>
        <v/>
      </c>
      <c r="W811" s="2" t="n"/>
      <c r="X811" s="2" t="n"/>
      <c r="Y811" s="2" t="n"/>
      <c r="Z811" s="2" t="n"/>
      <c r="AA811" s="2" t="n">
        <v>144</v>
      </c>
      <c r="AB811" s="2" t="n"/>
      <c r="AC811" s="2" t="n"/>
      <c r="AD811" s="2" t="n"/>
      <c r="AE811" s="2" t="n"/>
      <c r="AF811" s="2" t="n"/>
      <c r="AG811" s="2" t="n">
        <v>144</v>
      </c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>
        <f>IF(F811=1,V811*2,IF(F811=2,V811*F811*2,IF(F811&gt;2,F811*2*V811)))</f>
        <v/>
      </c>
      <c r="AW811" s="2">
        <f>SUM(W811:AU811)</f>
        <v/>
      </c>
    </row>
    <row r="812">
      <c r="A812" s="2" t="inlineStr">
        <is>
          <t>A14-SB-N200</t>
        </is>
      </c>
      <c r="B812" s="3" t="inlineStr">
        <is>
          <t>SOJC-SM-SC/PC-FC/APC</t>
        </is>
      </c>
      <c r="C812" s="2" t="inlineStr">
        <is>
          <t>908040329, 20M, B3, 2.0mm</t>
        </is>
      </c>
      <c r="D812" s="2" t="inlineStr">
        <is>
          <t>b3</t>
        </is>
      </c>
      <c r="E812" s="2" t="inlineStr">
        <is>
          <t>2.0mm</t>
        </is>
      </c>
      <c r="F812" s="2" t="n">
        <v>1</v>
      </c>
      <c r="G812" s="2" t="n">
        <v>20</v>
      </c>
      <c r="H812" s="2" t="inlineStr">
        <is>
          <t>SC/PC</t>
        </is>
      </c>
      <c r="I812" s="2" t="inlineStr">
        <is>
          <t>FC/APC</t>
        </is>
      </c>
      <c r="J812" s="2" t="n">
        <v>5</v>
      </c>
      <c r="K812" s="2" t="n"/>
      <c r="L812" s="2" t="n"/>
      <c r="M812" s="2" t="n"/>
      <c r="N812" s="2" t="n"/>
      <c r="O812" s="2" t="n">
        <v>26</v>
      </c>
      <c r="P812" s="2" t="n"/>
      <c r="Q812" s="2" t="n"/>
      <c r="R812" s="2" t="n"/>
      <c r="S812" s="2" t="n"/>
      <c r="T812" s="2" t="n">
        <v>10</v>
      </c>
      <c r="U812" s="2" t="n"/>
      <c r="V812" s="2">
        <f>SUM(J812:U812)</f>
        <v/>
      </c>
      <c r="W812" s="2" t="n"/>
      <c r="X812" s="2" t="n"/>
      <c r="Y812" s="2" t="n"/>
      <c r="Z812" s="2" t="n"/>
      <c r="AA812" s="2" t="n">
        <v>41</v>
      </c>
      <c r="AB812" s="2" t="n"/>
      <c r="AC812" s="2" t="n"/>
      <c r="AD812" s="2" t="n"/>
      <c r="AE812" s="2" t="n"/>
      <c r="AF812" s="2" t="n"/>
      <c r="AG812" s="2" t="n">
        <v>41</v>
      </c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>
        <f>IF(F812=1,V812*2,IF(F812=2,V812*F812*2,IF(F812&gt;2,F812*2*V812)))</f>
        <v/>
      </c>
      <c r="AW812" s="2">
        <f>SUM(W812:AU812)</f>
        <v/>
      </c>
    </row>
    <row r="813">
      <c r="A813" s="2" t="inlineStr">
        <is>
          <t>A14-SB-N203</t>
        </is>
      </c>
      <c r="B813" s="3" t="inlineStr">
        <is>
          <t>SOJC-SM-SC/PC-FC/APC</t>
        </is>
      </c>
      <c r="C813" s="2" t="inlineStr">
        <is>
          <t>908040334, 25M, B3, 2.0mm</t>
        </is>
      </c>
      <c r="D813" s="2" t="inlineStr">
        <is>
          <t>b3</t>
        </is>
      </c>
      <c r="E813" s="2" t="inlineStr">
        <is>
          <t>2.0mm</t>
        </is>
      </c>
      <c r="F813" s="2" t="n">
        <v>1</v>
      </c>
      <c r="G813" s="2" t="n">
        <v>25</v>
      </c>
      <c r="H813" s="2" t="inlineStr">
        <is>
          <t>SC/PC</t>
        </is>
      </c>
      <c r="I813" s="2" t="inlineStr">
        <is>
          <t>FC/APC</t>
        </is>
      </c>
      <c r="J813" s="2" t="n"/>
      <c r="K813" s="2" t="n"/>
      <c r="L813" s="2" t="n">
        <v>2</v>
      </c>
      <c r="M813" s="2" t="n">
        <v>10</v>
      </c>
      <c r="N813" s="2" t="n">
        <v>11</v>
      </c>
      <c r="O813" s="2" t="n"/>
      <c r="P813" s="2" t="n"/>
      <c r="Q813" s="2" t="n"/>
      <c r="R813" s="2" t="n"/>
      <c r="S813" s="2" t="n"/>
      <c r="T813" s="2" t="n">
        <v>35</v>
      </c>
      <c r="U813" s="2" t="n">
        <v>26</v>
      </c>
      <c r="V813" s="2">
        <f>SUM(J813:U813)</f>
        <v/>
      </c>
      <c r="W813" s="2" t="n"/>
      <c r="X813" s="2" t="n"/>
      <c r="Y813" s="2" t="n"/>
      <c r="Z813" s="2" t="n"/>
      <c r="AA813" s="2" t="n">
        <v>84</v>
      </c>
      <c r="AB813" s="2" t="n"/>
      <c r="AC813" s="2" t="n"/>
      <c r="AD813" s="2" t="n"/>
      <c r="AE813" s="2" t="n"/>
      <c r="AF813" s="2" t="n"/>
      <c r="AG813" s="2" t="n">
        <v>84</v>
      </c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>
        <f>IF(F813=1,V813*2,IF(F813=2,V813*F813*2,IF(F813&gt;2,F813*2*V813)))</f>
        <v/>
      </c>
      <c r="AW813" s="2">
        <f>SUM(W813:AU813)</f>
        <v/>
      </c>
    </row>
    <row r="814">
      <c r="A814" s="2" t="inlineStr">
        <is>
          <t>A14-SB-N207</t>
        </is>
      </c>
      <c r="B814" s="3" t="inlineStr">
        <is>
          <t>SOJC-SM-SC/PC-FC/APC</t>
        </is>
      </c>
      <c r="C814" s="2" t="inlineStr">
        <is>
          <t>908040310, 3M, B3, 3.0mm</t>
        </is>
      </c>
      <c r="D814" s="2" t="inlineStr">
        <is>
          <t>b3</t>
        </is>
      </c>
      <c r="E814" s="2" t="inlineStr">
        <is>
          <t>3.0mm</t>
        </is>
      </c>
      <c r="F814" s="2" t="n">
        <v>1</v>
      </c>
      <c r="G814" s="2" t="n">
        <v>3</v>
      </c>
      <c r="H814" s="2" t="inlineStr">
        <is>
          <t>SC/PC</t>
        </is>
      </c>
      <c r="I814" s="2" t="inlineStr">
        <is>
          <t>FC/APC</t>
        </is>
      </c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>
        <v>20</v>
      </c>
      <c r="U814" s="2" t="n"/>
      <c r="V814" s="2">
        <f>SUM(J814:U814)</f>
        <v/>
      </c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>
        <v>20</v>
      </c>
      <c r="AO814" s="2" t="n"/>
      <c r="AP814" s="2" t="n"/>
      <c r="AQ814" s="2" t="n"/>
      <c r="AR814" s="2" t="n"/>
      <c r="AS814" s="2" t="n"/>
      <c r="AT814" s="2" t="n">
        <v>20</v>
      </c>
      <c r="AU814" s="2" t="n"/>
      <c r="AV814" s="2">
        <f>IF(F814=1,V814*2,IF(F814=2,V814*F814*2,IF(F814&gt;2,F814*2*V814)))</f>
        <v/>
      </c>
      <c r="AW814" s="2">
        <f>SUM(W814:AU814)</f>
        <v/>
      </c>
    </row>
    <row r="815">
      <c r="A815" s="2" t="inlineStr">
        <is>
          <t>A14-SB-N210</t>
        </is>
      </c>
      <c r="B815" s="3" t="inlineStr">
        <is>
          <t>SOJC-SM-SC/PC-FC/APC</t>
        </is>
      </c>
      <c r="C815" s="2" t="inlineStr">
        <is>
          <t>908040314, 5M, B3, 3.0mm</t>
        </is>
      </c>
      <c r="D815" s="2" t="inlineStr">
        <is>
          <t>b3</t>
        </is>
      </c>
      <c r="E815" s="2" t="inlineStr">
        <is>
          <t>3.0mm</t>
        </is>
      </c>
      <c r="F815" s="2" t="n">
        <v>1</v>
      </c>
      <c r="G815" s="2" t="n">
        <v>5</v>
      </c>
      <c r="H815" s="2" t="inlineStr">
        <is>
          <t>SC/PC</t>
        </is>
      </c>
      <c r="I815" s="2" t="inlineStr">
        <is>
          <t>FC/APC</t>
        </is>
      </c>
      <c r="J815" s="2" t="n">
        <v>10</v>
      </c>
      <c r="K815" s="2" t="n"/>
      <c r="L815" s="2" t="n"/>
      <c r="M815" s="2" t="n">
        <v>20</v>
      </c>
      <c r="N815" s="2" t="n">
        <v>20</v>
      </c>
      <c r="O815" s="2" t="n"/>
      <c r="P815" s="2" t="n"/>
      <c r="Q815" s="2" t="n"/>
      <c r="R815" s="2" t="n"/>
      <c r="S815" s="2" t="n"/>
      <c r="T815" s="2" t="n">
        <v>5</v>
      </c>
      <c r="U815" s="2" t="n"/>
      <c r="V815" s="2">
        <f>SUM(J815:U815)</f>
        <v/>
      </c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>
        <v>55</v>
      </c>
      <c r="AO815" s="2" t="n"/>
      <c r="AP815" s="2" t="n"/>
      <c r="AQ815" s="2" t="n"/>
      <c r="AR815" s="2" t="n"/>
      <c r="AS815" s="2" t="n"/>
      <c r="AT815" s="2" t="n">
        <v>55</v>
      </c>
      <c r="AU815" s="2" t="n"/>
      <c r="AV815" s="2">
        <f>IF(F815=1,V815*2,IF(F815=2,V815*F815*2,IF(F815&gt;2,F815*2*V815)))</f>
        <v/>
      </c>
      <c r="AW815" s="2">
        <f>SUM(W815:AU815)</f>
        <v/>
      </c>
    </row>
    <row r="816">
      <c r="A816" s="2" t="inlineStr">
        <is>
          <t>A14-SB-N215</t>
        </is>
      </c>
      <c r="B816" s="3" t="inlineStr">
        <is>
          <t>SOJC-SM-SC/PC-FC/PC</t>
        </is>
      </c>
      <c r="C816" s="2" t="inlineStr">
        <is>
          <t>908041380, 10M, B3, 2.0mm</t>
        </is>
      </c>
      <c r="D816" s="2" t="inlineStr">
        <is>
          <t>b3</t>
        </is>
      </c>
      <c r="E816" s="2" t="inlineStr">
        <is>
          <t>2.0mm</t>
        </is>
      </c>
      <c r="F816" s="2" t="n">
        <v>1</v>
      </c>
      <c r="G816" s="2" t="n">
        <v>10</v>
      </c>
      <c r="H816" s="2" t="inlineStr">
        <is>
          <t>SC/PC</t>
        </is>
      </c>
      <c r="I816" s="2" t="inlineStr">
        <is>
          <t>FC/PC</t>
        </is>
      </c>
      <c r="J816" s="2" t="n"/>
      <c r="K816" s="2" t="n"/>
      <c r="L816" s="2" t="n">
        <v>20</v>
      </c>
      <c r="M816" s="2" t="n">
        <v>40</v>
      </c>
      <c r="N816" s="2" t="n"/>
      <c r="O816" s="2" t="n"/>
      <c r="P816" s="2" t="n"/>
      <c r="Q816" s="2" t="n">
        <v>20</v>
      </c>
      <c r="R816" s="2" t="n">
        <v>30</v>
      </c>
      <c r="S816" s="2" t="n"/>
      <c r="T816" s="2" t="n"/>
      <c r="U816" s="2" t="n">
        <v>5</v>
      </c>
      <c r="V816" s="2">
        <f>SUM(J816:U816)</f>
        <v/>
      </c>
      <c r="W816" s="2" t="n"/>
      <c r="X816" s="2" t="n"/>
      <c r="Y816" s="2" t="n"/>
      <c r="Z816" s="2" t="n"/>
      <c r="AA816" s="2" t="n">
        <v>115</v>
      </c>
      <c r="AB816" s="2" t="n"/>
      <c r="AC816" s="2" t="n"/>
      <c r="AD816" s="2" t="n"/>
      <c r="AE816" s="2" t="n">
        <v>115</v>
      </c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>
        <f>IF(F816=1,V816*2,IF(F816=2,V816*F816*2,IF(F816&gt;2,F816*2*V816)))</f>
        <v/>
      </c>
      <c r="AW816" s="2">
        <f>SUM(W816:AU816)</f>
        <v/>
      </c>
    </row>
    <row r="817">
      <c r="A817" s="2" t="inlineStr">
        <is>
          <t>A14-SB-N218</t>
        </is>
      </c>
      <c r="B817" s="3" t="inlineStr">
        <is>
          <t>SOJC-SM-SC/PC-FC/PC</t>
        </is>
      </c>
      <c r="C817" s="2" t="inlineStr">
        <is>
          <t>908041385, 15M, B3, 2.0mm</t>
        </is>
      </c>
      <c r="D817" s="2" t="inlineStr">
        <is>
          <t>b3</t>
        </is>
      </c>
      <c r="E817" s="2" t="inlineStr">
        <is>
          <t>2.0mm</t>
        </is>
      </c>
      <c r="F817" s="2" t="n">
        <v>1</v>
      </c>
      <c r="G817" s="2" t="n">
        <v>15</v>
      </c>
      <c r="H817" s="2" t="inlineStr">
        <is>
          <t>SC/PC</t>
        </is>
      </c>
      <c r="I817" s="2" t="inlineStr">
        <is>
          <t>FC/PC</t>
        </is>
      </c>
      <c r="J817" s="2" t="n">
        <v>52</v>
      </c>
      <c r="K817" s="2" t="n"/>
      <c r="L817" s="2" t="n"/>
      <c r="M817" s="2" t="n"/>
      <c r="N817" s="2" t="n">
        <v>20</v>
      </c>
      <c r="O817" s="2" t="n"/>
      <c r="P817" s="2" t="n"/>
      <c r="Q817" s="2" t="n">
        <v>40</v>
      </c>
      <c r="R817" s="2" t="n">
        <v>72</v>
      </c>
      <c r="S817" s="2" t="n"/>
      <c r="T817" s="2" t="n"/>
      <c r="U817" s="2" t="n"/>
      <c r="V817" s="2">
        <f>SUM(J817:U817)</f>
        <v/>
      </c>
      <c r="W817" s="2" t="n"/>
      <c r="X817" s="2" t="n"/>
      <c r="Y817" s="2" t="n"/>
      <c r="Z817" s="2" t="n"/>
      <c r="AA817" s="2" t="n">
        <v>184</v>
      </c>
      <c r="AB817" s="2" t="n"/>
      <c r="AC817" s="2" t="n"/>
      <c r="AD817" s="2" t="n"/>
      <c r="AE817" s="2" t="n">
        <v>184</v>
      </c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>
        <f>IF(F817=1,V817*2,IF(F817=2,V817*F817*2,IF(F817&gt;2,F817*2*V817)))</f>
        <v/>
      </c>
      <c r="AW817" s="2">
        <f>SUM(W817:AU817)</f>
        <v/>
      </c>
    </row>
    <row r="818">
      <c r="A818" s="2" t="inlineStr">
        <is>
          <t>A14-SB-N220</t>
        </is>
      </c>
      <c r="B818" s="3" t="inlineStr">
        <is>
          <t>SOJC-SM-SC/PC-FC/PC</t>
        </is>
      </c>
      <c r="C818" s="2" t="inlineStr">
        <is>
          <t>908040299, 20M, B3, 2.0mm</t>
        </is>
      </c>
      <c r="D818" s="2" t="inlineStr">
        <is>
          <t>b3</t>
        </is>
      </c>
      <c r="E818" s="2" t="inlineStr">
        <is>
          <t>2.0mm</t>
        </is>
      </c>
      <c r="F818" s="2" t="n">
        <v>1</v>
      </c>
      <c r="G818" s="2" t="n">
        <v>20</v>
      </c>
      <c r="H818" s="2" t="inlineStr">
        <is>
          <t>SC/PC</t>
        </is>
      </c>
      <c r="I818" s="2" t="inlineStr">
        <is>
          <t>FC/PC</t>
        </is>
      </c>
      <c r="J818" s="2" t="n"/>
      <c r="K818" s="2" t="n"/>
      <c r="L818" s="2" t="n"/>
      <c r="M818" s="2" t="n">
        <v>23</v>
      </c>
      <c r="N818" s="2" t="n"/>
      <c r="O818" s="2" t="n"/>
      <c r="P818" s="2" t="n"/>
      <c r="Q818" s="2" t="n">
        <v>40</v>
      </c>
      <c r="R818" s="2" t="n">
        <v>50</v>
      </c>
      <c r="S818" s="2" t="n"/>
      <c r="T818" s="2" t="n"/>
      <c r="U818" s="2" t="n"/>
      <c r="V818" s="2">
        <f>SUM(J818:U818)</f>
        <v/>
      </c>
      <c r="W818" s="2" t="n"/>
      <c r="X818" s="2" t="n"/>
      <c r="Y818" s="2" t="n"/>
      <c r="Z818" s="2" t="n"/>
      <c r="AA818" s="2" t="n">
        <v>113</v>
      </c>
      <c r="AB818" s="2" t="n"/>
      <c r="AC818" s="2" t="n"/>
      <c r="AD818" s="2" t="n"/>
      <c r="AE818" s="2" t="n">
        <v>113</v>
      </c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>
        <f>IF(F818=1,V818*2,IF(F818=2,V818*F818*2,IF(F818&gt;2,F818*2*V818)))</f>
        <v/>
      </c>
      <c r="AW818" s="2">
        <f>SUM(W818:AU818)</f>
        <v/>
      </c>
    </row>
    <row r="819">
      <c r="A819" s="2" t="inlineStr">
        <is>
          <t>A14-SB-N221</t>
        </is>
      </c>
      <c r="B819" s="3" t="inlineStr">
        <is>
          <t>SOJC-SM-SC/PC-FC/PC</t>
        </is>
      </c>
      <c r="C819" s="2" t="inlineStr">
        <is>
          <t>908040304, 25M, B3, 2.0mm</t>
        </is>
      </c>
      <c r="D819" s="2" t="inlineStr">
        <is>
          <t>b3</t>
        </is>
      </c>
      <c r="E819" s="2" t="inlineStr">
        <is>
          <t>2.0mm</t>
        </is>
      </c>
      <c r="F819" s="2" t="n">
        <v>1</v>
      </c>
      <c r="G819" s="2" t="n">
        <v>25</v>
      </c>
      <c r="H819" s="2" t="inlineStr">
        <is>
          <t>SC/PC</t>
        </is>
      </c>
      <c r="I819" s="2" t="inlineStr">
        <is>
          <t>FC/PC</t>
        </is>
      </c>
      <c r="J819" s="2" t="n"/>
      <c r="K819" s="2" t="n"/>
      <c r="L819" s="2" t="n"/>
      <c r="M819" s="2" t="n"/>
      <c r="N819" s="2" t="n"/>
      <c r="O819" s="2" t="n"/>
      <c r="P819" s="2" t="n"/>
      <c r="Q819" s="2" t="n">
        <v>30</v>
      </c>
      <c r="R819" s="2" t="n">
        <v>10</v>
      </c>
      <c r="S819" s="2" t="n"/>
      <c r="T819" s="2" t="n"/>
      <c r="U819" s="2" t="n"/>
      <c r="V819" s="2">
        <f>SUM(J819:U819)</f>
        <v/>
      </c>
      <c r="W819" s="2" t="n"/>
      <c r="X819" s="2" t="n"/>
      <c r="Y819" s="2" t="n"/>
      <c r="Z819" s="2" t="n"/>
      <c r="AA819" s="2" t="n">
        <v>40</v>
      </c>
      <c r="AB819" s="2" t="n"/>
      <c r="AC819" s="2" t="n"/>
      <c r="AD819" s="2" t="n"/>
      <c r="AE819" s="2" t="n">
        <v>40</v>
      </c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>
        <f>IF(F819=1,V819*2,IF(F819=2,V819*F819*2,IF(F819&gt;2,F819*2*V819)))</f>
        <v/>
      </c>
      <c r="AW819" s="2">
        <f>SUM(W819:AU819)</f>
        <v/>
      </c>
    </row>
    <row r="820">
      <c r="A820" s="2" t="inlineStr">
        <is>
          <t>A14-SB-N237</t>
        </is>
      </c>
      <c r="B820" s="3" t="inlineStr">
        <is>
          <t>SOJC-SM-SC/PC-SC/APC</t>
        </is>
      </c>
      <c r="C820" s="2" t="inlineStr">
        <is>
          <t>908041434, 15M, B3, 2.0mm</t>
        </is>
      </c>
      <c r="D820" s="2" t="inlineStr">
        <is>
          <t>b3</t>
        </is>
      </c>
      <c r="E820" s="2" t="inlineStr">
        <is>
          <t>2.0mm</t>
        </is>
      </c>
      <c r="F820" s="2" t="n">
        <v>1</v>
      </c>
      <c r="G820" s="2" t="n">
        <v>15</v>
      </c>
      <c r="H820" s="2" t="inlineStr">
        <is>
          <t>SC/PC</t>
        </is>
      </c>
      <c r="I820" s="2" t="inlineStr">
        <is>
          <t>SC/APC</t>
        </is>
      </c>
      <c r="J820" s="2" t="n"/>
      <c r="K820" s="2" t="n"/>
      <c r="L820" s="2" t="n"/>
      <c r="M820" s="2" t="n"/>
      <c r="N820" s="2" t="n"/>
      <c r="O820" s="2" t="n">
        <v>10</v>
      </c>
      <c r="P820" s="2" t="n">
        <v>14</v>
      </c>
      <c r="Q820" s="2" t="n">
        <v>65</v>
      </c>
      <c r="R820" s="2" t="n">
        <v>50</v>
      </c>
      <c r="S820" s="2" t="n"/>
      <c r="T820" s="2" t="n"/>
      <c r="U820" s="2" t="n">
        <v>10</v>
      </c>
      <c r="V820" s="2">
        <f>SUM(J820:U820)</f>
        <v/>
      </c>
      <c r="W820" s="2" t="n"/>
      <c r="X820" s="2" t="n"/>
      <c r="Y820" s="2" t="n"/>
      <c r="Z820" s="2" t="n"/>
      <c r="AA820" s="2" t="n">
        <v>149</v>
      </c>
      <c r="AB820" s="2" t="n"/>
      <c r="AC820" s="2" t="n">
        <v>149</v>
      </c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>
        <f>IF(F820=1,V820*2,IF(F820=2,V820*F820*2,IF(F820&gt;2,F820*2*V820)))</f>
        <v/>
      </c>
      <c r="AW820" s="2">
        <f>SUM(W820:AU820)</f>
        <v/>
      </c>
    </row>
    <row r="821">
      <c r="A821" s="2" t="inlineStr">
        <is>
          <t>A14-SB-N239</t>
        </is>
      </c>
      <c r="B821" s="3" t="inlineStr">
        <is>
          <t>SOJC-SM-SC/PC-SC/APC</t>
        </is>
      </c>
      <c r="C821" s="2" t="inlineStr">
        <is>
          <t>908041421, 1M, B3, 3.0mm</t>
        </is>
      </c>
      <c r="D821" s="2" t="inlineStr">
        <is>
          <t>b3</t>
        </is>
      </c>
      <c r="E821" s="2" t="inlineStr">
        <is>
          <t>3.0mm</t>
        </is>
      </c>
      <c r="F821" s="2" t="n">
        <v>1</v>
      </c>
      <c r="G821" s="2" t="n">
        <v>1</v>
      </c>
      <c r="H821" s="2" t="inlineStr">
        <is>
          <t>SC/PC</t>
        </is>
      </c>
      <c r="I821" s="2" t="inlineStr">
        <is>
          <t>SC/APC</t>
        </is>
      </c>
      <c r="J821" s="2" t="n"/>
      <c r="K821" s="2" t="n"/>
      <c r="L821" s="2" t="n"/>
      <c r="M821" s="2" t="n">
        <v>10</v>
      </c>
      <c r="N821" s="2" t="n"/>
      <c r="O821" s="2" t="n"/>
      <c r="P821" s="2" t="n">
        <v>29</v>
      </c>
      <c r="Q821" s="2" t="n"/>
      <c r="R821" s="2" t="n"/>
      <c r="S821" s="2" t="n"/>
      <c r="T821" s="2" t="n">
        <v>42</v>
      </c>
      <c r="U821" s="2" t="n">
        <v>10</v>
      </c>
      <c r="V821" s="2">
        <f>SUM(J821:U821)</f>
        <v/>
      </c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>
        <v>91</v>
      </c>
      <c r="AO821" s="2" t="n"/>
      <c r="AP821" s="2" t="n">
        <v>91</v>
      </c>
      <c r="AQ821" s="2" t="n"/>
      <c r="AR821" s="2" t="n"/>
      <c r="AS821" s="2" t="n"/>
      <c r="AT821" s="2" t="n"/>
      <c r="AU821" s="2" t="n"/>
      <c r="AV821" s="2">
        <f>IF(F821=1,V821*2,IF(F821=2,V821*F821*2,IF(F821&gt;2,F821*2*V821)))</f>
        <v/>
      </c>
      <c r="AW821" s="2">
        <f>SUM(W821:AU821)</f>
        <v/>
      </c>
    </row>
    <row r="822">
      <c r="A822" s="2" t="inlineStr">
        <is>
          <t>A14-SB-N241</t>
        </is>
      </c>
      <c r="B822" s="3" t="inlineStr">
        <is>
          <t>SOJC-SM-SC/PC-SC/APC</t>
        </is>
      </c>
      <c r="C822" s="2" t="inlineStr">
        <is>
          <t>908041439, 20M, B3, 2.0mm</t>
        </is>
      </c>
      <c r="D822" s="2" t="inlineStr">
        <is>
          <t>b3</t>
        </is>
      </c>
      <c r="E822" s="2" t="inlineStr">
        <is>
          <t>2.0mm</t>
        </is>
      </c>
      <c r="F822" s="2" t="n">
        <v>1</v>
      </c>
      <c r="G822" s="2" t="n">
        <v>20</v>
      </c>
      <c r="H822" s="2" t="inlineStr">
        <is>
          <t>SC/PC</t>
        </is>
      </c>
      <c r="I822" s="2" t="inlineStr">
        <is>
          <t>SC/APC</t>
        </is>
      </c>
      <c r="J822" s="2" t="n"/>
      <c r="K822" s="2" t="n"/>
      <c r="L822" s="2" t="n"/>
      <c r="M822" s="2" t="n">
        <v>5</v>
      </c>
      <c r="N822" s="2" t="n"/>
      <c r="O822" s="2" t="n"/>
      <c r="P822" s="2" t="n"/>
      <c r="Q822" s="2" t="n">
        <v>15</v>
      </c>
      <c r="R822" s="2" t="n">
        <v>14</v>
      </c>
      <c r="S822" s="2" t="n"/>
      <c r="T822" s="2" t="n"/>
      <c r="U822" s="2" t="n"/>
      <c r="V822" s="2">
        <f>SUM(J822:U822)</f>
        <v/>
      </c>
      <c r="W822" s="2" t="n"/>
      <c r="X822" s="2" t="n"/>
      <c r="Y822" s="2" t="n"/>
      <c r="Z822" s="2" t="n"/>
      <c r="AA822" s="2" t="n">
        <v>34</v>
      </c>
      <c r="AB822" s="2" t="n"/>
      <c r="AC822" s="2" t="n">
        <v>34</v>
      </c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>
        <f>IF(F822=1,V822*2,IF(F822=2,V822*F822*2,IF(F822&gt;2,F822*2*V822)))</f>
        <v/>
      </c>
      <c r="AW822" s="2">
        <f>SUM(W822:AU822)</f>
        <v/>
      </c>
    </row>
    <row r="823">
      <c r="A823" s="2" t="inlineStr">
        <is>
          <t>A14-SB-N245</t>
        </is>
      </c>
      <c r="B823" s="3" t="inlineStr">
        <is>
          <t>SOJC-SM-SC/PC-SC/APC</t>
        </is>
      </c>
      <c r="C823" s="2" t="inlineStr">
        <is>
          <t>908041422, 2M, B3, 3.0mm</t>
        </is>
      </c>
      <c r="D823" s="2" t="inlineStr">
        <is>
          <t>b3</t>
        </is>
      </c>
      <c r="E823" s="2" t="inlineStr">
        <is>
          <t>3.0mm</t>
        </is>
      </c>
      <c r="F823" s="2" t="n">
        <v>1</v>
      </c>
      <c r="G823" s="2" t="n">
        <v>2</v>
      </c>
      <c r="H823" s="2" t="inlineStr">
        <is>
          <t>SC/PC</t>
        </is>
      </c>
      <c r="I823" s="2" t="inlineStr">
        <is>
          <t>SC/APC</t>
        </is>
      </c>
      <c r="J823" s="2" t="n">
        <v>50</v>
      </c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>
        <f>SUM(J823:U823)</f>
        <v/>
      </c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>
        <v>50</v>
      </c>
      <c r="AO823" s="2" t="n"/>
      <c r="AP823" s="2" t="n">
        <v>50</v>
      </c>
      <c r="AQ823" s="2" t="n"/>
      <c r="AR823" s="2" t="n"/>
      <c r="AS823" s="2" t="n"/>
      <c r="AT823" s="2" t="n"/>
      <c r="AU823" s="2" t="n"/>
      <c r="AV823" s="2">
        <f>IF(F823=1,V823*2,IF(F823=2,V823*F823*2,IF(F823&gt;2,F823*2*V823)))</f>
        <v/>
      </c>
      <c r="AW823" s="2">
        <f>SUM(W823:AU823)</f>
        <v/>
      </c>
    </row>
    <row r="824">
      <c r="A824" s="2" t="inlineStr">
        <is>
          <t>A14-SB-N249</t>
        </is>
      </c>
      <c r="B824" s="3" t="inlineStr">
        <is>
          <t>SOJC-SM-SC/PC-SC/APC</t>
        </is>
      </c>
      <c r="C824" s="2" t="inlineStr">
        <is>
          <t>908041420, 3M, B3, 3.0mm</t>
        </is>
      </c>
      <c r="D824" s="2" t="inlineStr">
        <is>
          <t>b3</t>
        </is>
      </c>
      <c r="E824" s="2" t="inlineStr">
        <is>
          <t>3.0mm</t>
        </is>
      </c>
      <c r="F824" s="2" t="n">
        <v>1</v>
      </c>
      <c r="G824" s="2" t="n">
        <v>3</v>
      </c>
      <c r="H824" s="2" t="inlineStr">
        <is>
          <t>SC/PC</t>
        </is>
      </c>
      <c r="I824" s="2" t="inlineStr">
        <is>
          <t>SC/APC</t>
        </is>
      </c>
      <c r="J824" s="2" t="n"/>
      <c r="K824" s="2" t="n">
        <v>400</v>
      </c>
      <c r="L824" s="2" t="n">
        <v>414</v>
      </c>
      <c r="M824" s="2" t="n">
        <v>357</v>
      </c>
      <c r="N824" s="2" t="n">
        <v>300</v>
      </c>
      <c r="O824" s="2" t="n"/>
      <c r="P824" s="2" t="n">
        <v>30</v>
      </c>
      <c r="Q824" s="2" t="n"/>
      <c r="R824" s="2" t="n">
        <v>162</v>
      </c>
      <c r="S824" s="2" t="n">
        <v>190</v>
      </c>
      <c r="T824" s="2" t="n">
        <v>200</v>
      </c>
      <c r="U824" s="2" t="n"/>
      <c r="V824" s="2">
        <f>SUM(J824:U824)</f>
        <v/>
      </c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>
        <v>2053</v>
      </c>
      <c r="AO824" s="2" t="n"/>
      <c r="AP824" s="2" t="n">
        <v>2053</v>
      </c>
      <c r="AQ824" s="2" t="n"/>
      <c r="AR824" s="2" t="n"/>
      <c r="AS824" s="2" t="n"/>
      <c r="AT824" s="2" t="n"/>
      <c r="AU824" s="2" t="n"/>
      <c r="AV824" s="2">
        <f>IF(F824=1,V824*2,IF(F824=2,V824*F824*2,IF(F824&gt;2,F824*2*V824)))</f>
        <v/>
      </c>
      <c r="AW824" s="2">
        <f>SUM(W824:AU824)</f>
        <v/>
      </c>
    </row>
    <row r="825">
      <c r="A825" s="2" t="inlineStr">
        <is>
          <t>A14-SB-N258</t>
        </is>
      </c>
      <c r="B825" s="3" t="inlineStr">
        <is>
          <t>SOJC-SM-SC/PC-SC/PC</t>
        </is>
      </c>
      <c r="C825" s="2" t="inlineStr">
        <is>
          <t>908041399, 10M, B3, 2.0mm</t>
        </is>
      </c>
      <c r="D825" s="2" t="inlineStr">
        <is>
          <t>b3</t>
        </is>
      </c>
      <c r="E825" s="2" t="inlineStr">
        <is>
          <t>2.0mm</t>
        </is>
      </c>
      <c r="F825" s="2" t="n">
        <v>1</v>
      </c>
      <c r="G825" s="2" t="n">
        <v>10</v>
      </c>
      <c r="H825" s="2" t="inlineStr">
        <is>
          <t>SC/PC</t>
        </is>
      </c>
      <c r="I825" s="2" t="inlineStr">
        <is>
          <t>SC/PC</t>
        </is>
      </c>
      <c r="J825" s="2" t="n"/>
      <c r="K825" s="2" t="n"/>
      <c r="L825" s="2" t="n"/>
      <c r="M825" s="2" t="n"/>
      <c r="N825" s="2" t="n"/>
      <c r="O825" s="2" t="n">
        <v>255</v>
      </c>
      <c r="P825" s="2" t="n"/>
      <c r="Q825" s="2" t="n"/>
      <c r="R825" s="2" t="n"/>
      <c r="S825" s="2" t="n"/>
      <c r="T825" s="2" t="n">
        <v>51</v>
      </c>
      <c r="U825" s="2" t="n"/>
      <c r="V825" s="2">
        <f>SUM(J825:U825)</f>
        <v/>
      </c>
      <c r="W825" s="2" t="n"/>
      <c r="X825" s="2" t="n"/>
      <c r="Y825" s="2" t="n"/>
      <c r="Z825" s="2" t="n"/>
      <c r="AA825" s="2" t="n">
        <v>612</v>
      </c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>
        <f>IF(F825=1,V825*2,IF(F825=2,V825*F825*2,IF(F825&gt;2,F825*2*V825)))</f>
        <v/>
      </c>
      <c r="AW825" s="2">
        <f>SUM(W825:AU825)</f>
        <v/>
      </c>
    </row>
    <row r="826">
      <c r="A826" s="2" t="inlineStr">
        <is>
          <t>A14-SB-N260</t>
        </is>
      </c>
      <c r="B826" s="3" t="inlineStr">
        <is>
          <t>SOJC-SM-SC/PC-SC/PC</t>
        </is>
      </c>
      <c r="C826" s="2" t="inlineStr">
        <is>
          <t>908041404, 15M, B3, 2.0mm</t>
        </is>
      </c>
      <c r="D826" s="2" t="inlineStr">
        <is>
          <t>b3</t>
        </is>
      </c>
      <c r="E826" s="2" t="inlineStr">
        <is>
          <t>2.0mm</t>
        </is>
      </c>
      <c r="F826" s="2" t="n">
        <v>1</v>
      </c>
      <c r="G826" s="2" t="n">
        <v>15</v>
      </c>
      <c r="H826" s="2" t="inlineStr">
        <is>
          <t>SC/PC</t>
        </is>
      </c>
      <c r="I826" s="2" t="inlineStr">
        <is>
          <t>SC/PC</t>
        </is>
      </c>
      <c r="J826" s="2" t="n"/>
      <c r="K826" s="2" t="n"/>
      <c r="L826" s="2" t="n"/>
      <c r="M826" s="2" t="n"/>
      <c r="N826" s="2" t="n">
        <v>20</v>
      </c>
      <c r="O826" s="2" t="n">
        <v>22</v>
      </c>
      <c r="P826" s="2" t="n"/>
      <c r="Q826" s="2" t="n"/>
      <c r="R826" s="2" t="n"/>
      <c r="S826" s="2" t="n"/>
      <c r="T826" s="2" t="n"/>
      <c r="U826" s="2" t="n">
        <v>6</v>
      </c>
      <c r="V826" s="2">
        <f>SUM(J826:U826)</f>
        <v/>
      </c>
      <c r="W826" s="2" t="n"/>
      <c r="X826" s="2" t="n"/>
      <c r="Y826" s="2" t="n"/>
      <c r="Z826" s="2" t="n"/>
      <c r="AA826" s="2" t="n">
        <v>96</v>
      </c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>
        <f>IF(F826=1,V826*2,IF(F826=2,V826*F826*2,IF(F826&gt;2,F826*2*V826)))</f>
        <v/>
      </c>
      <c r="AW826" s="2">
        <f>SUM(W826:AU826)</f>
        <v/>
      </c>
    </row>
    <row r="827">
      <c r="A827" s="2" t="inlineStr">
        <is>
          <t>A14-SB-N261</t>
        </is>
      </c>
      <c r="B827" s="3" t="inlineStr">
        <is>
          <t>SOJC-SM-SC/PC-SC/PC</t>
        </is>
      </c>
      <c r="C827" s="2" t="inlineStr">
        <is>
          <t>908041391, 1M, B3, 3.0mm</t>
        </is>
      </c>
      <c r="D827" s="2" t="inlineStr">
        <is>
          <t>b3</t>
        </is>
      </c>
      <c r="E827" s="2" t="inlineStr">
        <is>
          <t>3.0mm</t>
        </is>
      </c>
      <c r="F827" s="2" t="n">
        <v>1</v>
      </c>
      <c r="G827" s="2" t="n">
        <v>1</v>
      </c>
      <c r="H827" s="2" t="inlineStr">
        <is>
          <t>SC/PC</t>
        </is>
      </c>
      <c r="I827" s="2" t="inlineStr">
        <is>
          <t>SC/PC</t>
        </is>
      </c>
      <c r="J827" s="2" t="n"/>
      <c r="K827" s="2" t="n"/>
      <c r="L827" s="2" t="n">
        <v>100</v>
      </c>
      <c r="M827" s="2" t="n"/>
      <c r="N827" s="2" t="n">
        <v>500</v>
      </c>
      <c r="O827" s="2" t="n"/>
      <c r="P827" s="2" t="n">
        <v>146</v>
      </c>
      <c r="Q827" s="2" t="n"/>
      <c r="R827" s="2" t="n"/>
      <c r="S827" s="2" t="n"/>
      <c r="T827" s="2" t="n"/>
      <c r="U827" s="2" t="n"/>
      <c r="V827" s="2">
        <f>SUM(J827:U827)</f>
        <v/>
      </c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>
        <v>1492</v>
      </c>
      <c r="AO827" s="2" t="n"/>
      <c r="AP827" s="2" t="n"/>
      <c r="AQ827" s="2" t="n"/>
      <c r="AR827" s="2" t="n"/>
      <c r="AS827" s="2" t="n"/>
      <c r="AT827" s="2" t="n"/>
      <c r="AU827" s="2" t="n"/>
      <c r="AV827" s="2">
        <f>IF(F827=1,V827*2,IF(F827=2,V827*F827*2,IF(F827&gt;2,F827*2*V827)))</f>
        <v/>
      </c>
      <c r="AW827" s="2">
        <f>SUM(W827:AU827)</f>
        <v/>
      </c>
    </row>
    <row r="828">
      <c r="A828" s="2" t="inlineStr">
        <is>
          <t>A14-SB-N263</t>
        </is>
      </c>
      <c r="B828" s="3" t="inlineStr">
        <is>
          <t>SOJC-SM-SC/PC-SC/PC</t>
        </is>
      </c>
      <c r="C828" s="2" t="inlineStr">
        <is>
          <t>908041409, 20M, B3, 2.0mm</t>
        </is>
      </c>
      <c r="D828" s="2" t="inlineStr">
        <is>
          <t>b3</t>
        </is>
      </c>
      <c r="E828" s="2" t="inlineStr">
        <is>
          <t>2.0mm</t>
        </is>
      </c>
      <c r="F828" s="2" t="n">
        <v>1</v>
      </c>
      <c r="G828" s="2" t="n">
        <v>20</v>
      </c>
      <c r="H828" s="2" t="inlineStr">
        <is>
          <t>SC/PC</t>
        </is>
      </c>
      <c r="I828" s="2" t="inlineStr">
        <is>
          <t>SC/PC</t>
        </is>
      </c>
      <c r="J828" s="2" t="n"/>
      <c r="K828" s="2" t="n"/>
      <c r="L828" s="2" t="n"/>
      <c r="M828" s="2" t="n">
        <v>50</v>
      </c>
      <c r="N828" s="2" t="n"/>
      <c r="O828" s="2" t="n">
        <v>20</v>
      </c>
      <c r="P828" s="2" t="n"/>
      <c r="Q828" s="2" t="n"/>
      <c r="R828" s="2" t="n"/>
      <c r="S828" s="2" t="n"/>
      <c r="T828" s="2" t="n">
        <v>9</v>
      </c>
      <c r="U828" s="2" t="n">
        <v>32</v>
      </c>
      <c r="V828" s="2">
        <f>SUM(J828:U828)</f>
        <v/>
      </c>
      <c r="W828" s="2" t="n"/>
      <c r="X828" s="2" t="n"/>
      <c r="Y828" s="2" t="n"/>
      <c r="Z828" s="2" t="n"/>
      <c r="AA828" s="2" t="n">
        <v>222</v>
      </c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>
        <f>IF(F828=1,V828*2,IF(F828=2,V828*F828*2,IF(F828&gt;2,F828*2*V828)))</f>
        <v/>
      </c>
      <c r="AW828" s="2">
        <f>SUM(W828:AU828)</f>
        <v/>
      </c>
    </row>
    <row r="829">
      <c r="A829" s="2" t="inlineStr">
        <is>
          <t>A14-SB-N264</t>
        </is>
      </c>
      <c r="B829" s="3" t="inlineStr">
        <is>
          <t>SOJC-SM-SC/PC-SC/PC</t>
        </is>
      </c>
      <c r="C829" s="2" t="inlineStr">
        <is>
          <t>908041414, 25M, B3, 2.0mm</t>
        </is>
      </c>
      <c r="D829" s="2" t="inlineStr">
        <is>
          <t>b3</t>
        </is>
      </c>
      <c r="E829" s="2" t="inlineStr">
        <is>
          <t>2.0mm</t>
        </is>
      </c>
      <c r="F829" s="2" t="n">
        <v>1</v>
      </c>
      <c r="G829" s="2" t="n">
        <v>25</v>
      </c>
      <c r="H829" s="2" t="inlineStr">
        <is>
          <t>SC/PC</t>
        </is>
      </c>
      <c r="I829" s="2" t="inlineStr">
        <is>
          <t>SC/PC</t>
        </is>
      </c>
      <c r="J829" s="2" t="n"/>
      <c r="K829" s="2" t="n"/>
      <c r="L829" s="2" t="n"/>
      <c r="M829" s="2" t="n">
        <v>10</v>
      </c>
      <c r="N829" s="2" t="n"/>
      <c r="O829" s="2" t="n">
        <v>2</v>
      </c>
      <c r="P829" s="2" t="n"/>
      <c r="Q829" s="2" t="n">
        <v>8</v>
      </c>
      <c r="R829" s="2" t="n"/>
      <c r="S829" s="2" t="n"/>
      <c r="T829" s="2" t="n"/>
      <c r="U829" s="2" t="n"/>
      <c r="V829" s="2">
        <f>SUM(J829:U829)</f>
        <v/>
      </c>
      <c r="W829" s="2" t="n"/>
      <c r="X829" s="2" t="n"/>
      <c r="Y829" s="2" t="n"/>
      <c r="Z829" s="2" t="n"/>
      <c r="AA829" s="2" t="n">
        <v>40</v>
      </c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>
        <f>IF(F829=1,V829*2,IF(F829=2,V829*F829*2,IF(F829&gt;2,F829*2*V829)))</f>
        <v/>
      </c>
      <c r="AW829" s="2">
        <f>SUM(W829:AU829)</f>
        <v/>
      </c>
    </row>
    <row r="830">
      <c r="A830" s="2" t="inlineStr">
        <is>
          <t>A14-SB-N268</t>
        </is>
      </c>
      <c r="B830" s="3" t="inlineStr">
        <is>
          <t>SOJC-SM-SC/PC-SC/PC</t>
        </is>
      </c>
      <c r="C830" s="2" t="inlineStr">
        <is>
          <t>908041390, 3M, B3, 3.0mm</t>
        </is>
      </c>
      <c r="D830" s="2" t="inlineStr">
        <is>
          <t>b3</t>
        </is>
      </c>
      <c r="E830" s="2" t="inlineStr">
        <is>
          <t>3.0mm</t>
        </is>
      </c>
      <c r="F830" s="2" t="n">
        <v>1</v>
      </c>
      <c r="G830" s="2" t="n">
        <v>3</v>
      </c>
      <c r="H830" s="2" t="inlineStr">
        <is>
          <t>SC/PC</t>
        </is>
      </c>
      <c r="I830" s="2" t="inlineStr">
        <is>
          <t>SC/PC</t>
        </is>
      </c>
      <c r="J830" s="2" t="n">
        <v>100</v>
      </c>
      <c r="K830" s="2" t="n">
        <v>100</v>
      </c>
      <c r="L830" s="2" t="n"/>
      <c r="M830" s="2" t="n">
        <v>260</v>
      </c>
      <c r="N830" s="2" t="n">
        <v>700</v>
      </c>
      <c r="O830" s="2" t="n"/>
      <c r="P830" s="2" t="n"/>
      <c r="Q830" s="2" t="n"/>
      <c r="R830" s="2" t="n"/>
      <c r="S830" s="2" t="n"/>
      <c r="T830" s="2" t="n"/>
      <c r="U830" s="2" t="n"/>
      <c r="V830" s="2">
        <f>SUM(J830:U830)</f>
        <v/>
      </c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>
        <v>2320</v>
      </c>
      <c r="AO830" s="2" t="n"/>
      <c r="AP830" s="2" t="n"/>
      <c r="AQ830" s="2" t="n"/>
      <c r="AR830" s="2" t="n"/>
      <c r="AS830" s="2" t="n"/>
      <c r="AT830" s="2" t="n"/>
      <c r="AU830" s="2" t="n"/>
      <c r="AV830" s="2">
        <f>IF(F830=1,V830*2,IF(F830=2,V830*F830*2,IF(F830&gt;2,F830*2*V830)))</f>
        <v/>
      </c>
      <c r="AW830" s="2">
        <f>SUM(W830:AU830)</f>
        <v/>
      </c>
    </row>
    <row r="831">
      <c r="A831" s="2" t="inlineStr">
        <is>
          <t>A14-SB-N271</t>
        </is>
      </c>
      <c r="B831" s="3" t="inlineStr">
        <is>
          <t>SOJC-SM-SC/PC-SC/PC</t>
        </is>
      </c>
      <c r="C831" s="2" t="inlineStr">
        <is>
          <t>908041393, 4M, B3, 3.0mm</t>
        </is>
      </c>
      <c r="D831" s="2" t="inlineStr">
        <is>
          <t>b3</t>
        </is>
      </c>
      <c r="E831" s="2" t="inlineStr">
        <is>
          <t>3.0mm</t>
        </is>
      </c>
      <c r="F831" s="2" t="n">
        <v>1</v>
      </c>
      <c r="G831" s="2" t="n">
        <v>4</v>
      </c>
      <c r="H831" s="2" t="inlineStr">
        <is>
          <t>SC/PC</t>
        </is>
      </c>
      <c r="I831" s="2" t="inlineStr">
        <is>
          <t>SC/PC</t>
        </is>
      </c>
      <c r="J831" s="2" t="n"/>
      <c r="K831" s="2" t="n"/>
      <c r="L831" s="2" t="n"/>
      <c r="M831" s="2" t="n"/>
      <c r="N831" s="2" t="n"/>
      <c r="O831" s="2" t="n"/>
      <c r="P831" s="2" t="n">
        <v>175</v>
      </c>
      <c r="Q831" s="2" t="n"/>
      <c r="R831" s="2" t="n"/>
      <c r="S831" s="2" t="n"/>
      <c r="T831" s="2" t="n"/>
      <c r="U831" s="2" t="n"/>
      <c r="V831" s="2">
        <f>SUM(J831:U831)</f>
        <v/>
      </c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>
        <v>350</v>
      </c>
      <c r="AO831" s="2" t="n"/>
      <c r="AP831" s="2" t="n"/>
      <c r="AQ831" s="2" t="n"/>
      <c r="AR831" s="2" t="n"/>
      <c r="AS831" s="2" t="n"/>
      <c r="AT831" s="2" t="n"/>
      <c r="AU831" s="2" t="n"/>
      <c r="AV831" s="2">
        <f>IF(F831=1,V831*2,IF(F831=2,V831*F831*2,IF(F831&gt;2,F831*2*V831)))</f>
        <v/>
      </c>
      <c r="AW831" s="2">
        <f>SUM(W831:AU831)</f>
        <v/>
      </c>
    </row>
    <row r="832">
      <c r="A832" s="2" t="inlineStr">
        <is>
          <t>A14-SB-N273</t>
        </is>
      </c>
      <c r="B832" s="3" t="inlineStr">
        <is>
          <t>SOJC-SM-SC/PC-SC/PC</t>
        </is>
      </c>
      <c r="C832" s="2" t="inlineStr">
        <is>
          <t>908041396, 7M, B3, 2.0mm</t>
        </is>
      </c>
      <c r="D832" s="2" t="inlineStr">
        <is>
          <t>b3</t>
        </is>
      </c>
      <c r="E832" s="2" t="inlineStr">
        <is>
          <t>2.0mm</t>
        </is>
      </c>
      <c r="F832" s="2" t="n">
        <v>1</v>
      </c>
      <c r="G832" s="2" t="n">
        <v>7</v>
      </c>
      <c r="H832" s="2" t="inlineStr">
        <is>
          <t>SC/PC</t>
        </is>
      </c>
      <c r="I832" s="2" t="inlineStr">
        <is>
          <t>SC/PC</t>
        </is>
      </c>
      <c r="J832" s="2" t="n"/>
      <c r="K832" s="2" t="n"/>
      <c r="L832" s="2" t="n"/>
      <c r="M832" s="2" t="n"/>
      <c r="N832" s="2" t="n"/>
      <c r="O832" s="2" t="n">
        <v>151</v>
      </c>
      <c r="P832" s="2" t="n"/>
      <c r="Q832" s="2" t="n"/>
      <c r="R832" s="2" t="n"/>
      <c r="S832" s="2" t="n"/>
      <c r="T832" s="2" t="n"/>
      <c r="U832" s="2" t="n">
        <v>96</v>
      </c>
      <c r="V832" s="2">
        <f>SUM(J832:U832)</f>
        <v/>
      </c>
      <c r="W832" s="2" t="n"/>
      <c r="X832" s="2" t="n"/>
      <c r="Y832" s="2" t="n"/>
      <c r="Z832" s="2" t="n"/>
      <c r="AA832" s="2" t="n">
        <v>494</v>
      </c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>
        <f>IF(F832=1,V832*2,IF(F832=2,V832*F832*2,IF(F832&gt;2,F832*2*V832)))</f>
        <v/>
      </c>
      <c r="AW832" s="2">
        <f>SUM(W832:AU832)</f>
        <v/>
      </c>
    </row>
    <row r="833">
      <c r="A833" s="2" t="inlineStr">
        <is>
          <t>A14-SB-N285</t>
        </is>
      </c>
      <c r="B833" s="3" t="inlineStr">
        <is>
          <t>SOJC-SM-SC/PC-SC/PC</t>
        </is>
      </c>
      <c r="C833" s="2" t="inlineStr">
        <is>
          <t>908041395, 6M, B3, 2.0mm</t>
        </is>
      </c>
      <c r="D833" s="2" t="inlineStr">
        <is>
          <t>b3</t>
        </is>
      </c>
      <c r="E833" s="2" t="inlineStr">
        <is>
          <t>2.0mm</t>
        </is>
      </c>
      <c r="F833" s="2" t="n">
        <v>1</v>
      </c>
      <c r="G833" s="2" t="n">
        <v>6</v>
      </c>
      <c r="H833" s="2" t="inlineStr">
        <is>
          <t>SC/PC</t>
        </is>
      </c>
      <c r="I833" s="2" t="inlineStr">
        <is>
          <t>SC/PC</t>
        </is>
      </c>
      <c r="J833" s="2" t="n"/>
      <c r="K833" s="2" t="n"/>
      <c r="L833" s="2" t="n"/>
      <c r="M833" s="2" t="n">
        <v>200</v>
      </c>
      <c r="N833" s="2" t="n"/>
      <c r="O833" s="2" t="n"/>
      <c r="P833" s="2" t="n">
        <v>4</v>
      </c>
      <c r="Q833" s="2" t="n"/>
      <c r="R833" s="2" t="n"/>
      <c r="S833" s="2" t="n"/>
      <c r="T833" s="2" t="n"/>
      <c r="U833" s="2" t="n"/>
      <c r="V833" s="2">
        <f>SUM(J833:U833)</f>
        <v/>
      </c>
      <c r="W833" s="2" t="n"/>
      <c r="X833" s="2" t="n"/>
      <c r="Y833" s="2" t="n"/>
      <c r="Z833" s="2" t="n"/>
      <c r="AA833" s="2" t="n">
        <v>408</v>
      </c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>
        <f>IF(F833=1,V833*2,IF(F833=2,V833*F833*2,IF(F833&gt;2,F833*2*V833)))</f>
        <v/>
      </c>
      <c r="AW833" s="2">
        <f>SUM(W833:AU833)</f>
        <v/>
      </c>
    </row>
    <row r="834">
      <c r="A834" s="2" t="inlineStr">
        <is>
          <t>A14-SB-N299</t>
        </is>
      </c>
      <c r="B834" s="3" t="inlineStr">
        <is>
          <t>SOJC-SM-LC/APC-FC/APC</t>
        </is>
      </c>
      <c r="C834" s="2" t="inlineStr">
        <is>
          <t>20M, B3, 2.0mm</t>
        </is>
      </c>
      <c r="D834" s="2" t="inlineStr">
        <is>
          <t>b3</t>
        </is>
      </c>
      <c r="E834" s="2" t="inlineStr">
        <is>
          <t>2.0mm</t>
        </is>
      </c>
      <c r="F834" s="2" t="n">
        <v>1</v>
      </c>
      <c r="G834" s="2" t="n">
        <v>20</v>
      </c>
      <c r="H834" s="2" t="inlineStr">
        <is>
          <t>LC/APC</t>
        </is>
      </c>
      <c r="I834" s="2" t="inlineStr">
        <is>
          <t>FC/APC</t>
        </is>
      </c>
      <c r="J834" s="2" t="n"/>
      <c r="K834" s="2" t="n"/>
      <c r="L834" s="2" t="n"/>
      <c r="M834" s="2" t="n"/>
      <c r="N834" s="2" t="n"/>
      <c r="O834" s="2" t="n">
        <v>10</v>
      </c>
      <c r="P834" s="2" t="n">
        <v>6</v>
      </c>
      <c r="Q834" s="2" t="n"/>
      <c r="R834" s="2" t="n">
        <v>1</v>
      </c>
      <c r="S834" s="2" t="n"/>
      <c r="T834" s="2" t="n"/>
      <c r="U834" s="2" t="n"/>
      <c r="V834" s="2">
        <f>SUM(J834:U834)</f>
        <v/>
      </c>
      <c r="W834" s="2" t="n"/>
      <c r="X834" s="2" t="n"/>
      <c r="Y834" s="2" t="n">
        <v>17</v>
      </c>
      <c r="Z834" s="2" t="n"/>
      <c r="AA834" s="2" t="n"/>
      <c r="AB834" s="2" t="n"/>
      <c r="AC834" s="2" t="n"/>
      <c r="AD834" s="2" t="n"/>
      <c r="AE834" s="2" t="n"/>
      <c r="AF834" s="2" t="n"/>
      <c r="AG834" s="2" t="n">
        <v>17</v>
      </c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>
        <f>IF(F834=1,V834*2,IF(F834=2,V834*F834*2,IF(F834&gt;2,F834*2*V834)))</f>
        <v/>
      </c>
      <c r="AW834" s="2">
        <f>SUM(W834:AU834)</f>
        <v/>
      </c>
    </row>
    <row r="835">
      <c r="A835" s="2" t="inlineStr">
        <is>
          <t>A14-SB-N360</t>
        </is>
      </c>
      <c r="B835" s="3" t="inlineStr">
        <is>
          <t>SOJC-SM-LC/APC-LC/APC</t>
        </is>
      </c>
      <c r="C835" s="2" t="inlineStr">
        <is>
          <t>10M, B3, 2.0mm</t>
        </is>
      </c>
      <c r="D835" s="2" t="inlineStr">
        <is>
          <t>b3</t>
        </is>
      </c>
      <c r="E835" s="2" t="inlineStr">
        <is>
          <t>2.0mm</t>
        </is>
      </c>
      <c r="F835" s="2" t="n">
        <v>1</v>
      </c>
      <c r="G835" s="2" t="n">
        <v>10</v>
      </c>
      <c r="H835" s="2" t="inlineStr">
        <is>
          <t>LC/APC</t>
        </is>
      </c>
      <c r="I835" s="2" t="inlineStr">
        <is>
          <t>LC/APC</t>
        </is>
      </c>
      <c r="J835" s="2" t="n"/>
      <c r="K835" s="2" t="n"/>
      <c r="L835" s="2" t="n"/>
      <c r="M835" s="2" t="n"/>
      <c r="N835" s="2" t="n"/>
      <c r="O835" s="2" t="n"/>
      <c r="P835" s="2" t="n">
        <v>20</v>
      </c>
      <c r="Q835" s="2" t="n"/>
      <c r="R835" s="2" t="n"/>
      <c r="S835" s="2" t="n"/>
      <c r="T835" s="2" t="n"/>
      <c r="U835" s="2" t="n"/>
      <c r="V835" s="2">
        <f>SUM(J835:U835)</f>
        <v/>
      </c>
      <c r="W835" s="2" t="n"/>
      <c r="X835" s="2" t="n"/>
      <c r="Y835" s="2" t="n">
        <v>40</v>
      </c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>
        <f>IF(F835=1,V835*2,IF(F835=2,V835*F835*2,IF(F835&gt;2,F835*2*V835)))</f>
        <v/>
      </c>
      <c r="AW835" s="2">
        <f>SUM(W835:AU835)</f>
        <v/>
      </c>
    </row>
    <row r="836">
      <c r="A836" s="2" t="inlineStr">
        <is>
          <t>A14-SB-N361</t>
        </is>
      </c>
      <c r="B836" s="3" t="inlineStr">
        <is>
          <t>SOJC-SM-LC/APC-FC/APC</t>
        </is>
      </c>
      <c r="C836" s="2" t="inlineStr">
        <is>
          <t>10M, B3, 2.0mm</t>
        </is>
      </c>
      <c r="D836" s="2" t="inlineStr">
        <is>
          <t>b3</t>
        </is>
      </c>
      <c r="E836" s="2" t="inlineStr">
        <is>
          <t>2.0mm</t>
        </is>
      </c>
      <c r="F836" s="2" t="n">
        <v>1</v>
      </c>
      <c r="G836" s="2" t="n">
        <v>10</v>
      </c>
      <c r="H836" s="2" t="inlineStr">
        <is>
          <t>LC/APC</t>
        </is>
      </c>
      <c r="I836" s="2" t="inlineStr">
        <is>
          <t>FC/APC</t>
        </is>
      </c>
      <c r="J836" s="2" t="n"/>
      <c r="K836" s="2" t="n"/>
      <c r="L836" s="2" t="n"/>
      <c r="M836" s="2" t="n"/>
      <c r="N836" s="2" t="n"/>
      <c r="O836" s="2" t="n"/>
      <c r="P836" s="2" t="n">
        <v>15</v>
      </c>
      <c r="Q836" s="2" t="n"/>
      <c r="R836" s="2" t="n"/>
      <c r="S836" s="2" t="n"/>
      <c r="T836" s="2" t="n"/>
      <c r="U836" s="2" t="n"/>
      <c r="V836" s="2">
        <f>SUM(J836:U836)</f>
        <v/>
      </c>
      <c r="W836" s="2" t="n"/>
      <c r="X836" s="2" t="n"/>
      <c r="Y836" s="2" t="n">
        <v>15</v>
      </c>
      <c r="Z836" s="2" t="n"/>
      <c r="AA836" s="2" t="n"/>
      <c r="AB836" s="2" t="n"/>
      <c r="AC836" s="2" t="n"/>
      <c r="AD836" s="2" t="n"/>
      <c r="AE836" s="2" t="n"/>
      <c r="AF836" s="2" t="n"/>
      <c r="AG836" s="2" t="n">
        <v>15</v>
      </c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>
        <f>IF(F836=1,V836*2,IF(F836=2,V836*F836*2,IF(F836&gt;2,F836*2*V836)))</f>
        <v/>
      </c>
      <c r="AW836" s="2">
        <f>SUM(W836:AU836)</f>
        <v/>
      </c>
    </row>
    <row r="837">
      <c r="A837" s="2" t="inlineStr">
        <is>
          <t>A14-SB-N453</t>
        </is>
      </c>
      <c r="B837" s="3" t="inlineStr">
        <is>
          <t>SOJC-SM-LC/APC-SC/PC</t>
        </is>
      </c>
      <c r="C837" s="2" t="inlineStr">
        <is>
          <t>1M, B3, 3.0mm</t>
        </is>
      </c>
      <c r="D837" s="2" t="inlineStr">
        <is>
          <t>b3</t>
        </is>
      </c>
      <c r="E837" s="2" t="inlineStr">
        <is>
          <t>3.0mm</t>
        </is>
      </c>
      <c r="F837" s="2" t="n">
        <v>1</v>
      </c>
      <c r="G837" s="2" t="n">
        <v>1</v>
      </c>
      <c r="H837" s="2" t="inlineStr">
        <is>
          <t>LC/APC</t>
        </is>
      </c>
      <c r="I837" s="2" t="inlineStr">
        <is>
          <t>SC/PC</t>
        </is>
      </c>
      <c r="J837" s="2" t="n"/>
      <c r="K837" s="2" t="n"/>
      <c r="L837" s="2" t="n"/>
      <c r="M837" s="2" t="n"/>
      <c r="N837" s="2" t="n"/>
      <c r="O837" s="2" t="n"/>
      <c r="P837" s="2" t="n"/>
      <c r="Q837" s="2" t="n">
        <v>10</v>
      </c>
      <c r="R837" s="2" t="n"/>
      <c r="S837" s="2" t="n"/>
      <c r="T837" s="2" t="n"/>
      <c r="U837" s="2" t="n"/>
      <c r="V837" s="2">
        <f>SUM(J837:U837)</f>
        <v/>
      </c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>
        <v>10</v>
      </c>
      <c r="AM837" s="2" t="n"/>
      <c r="AN837" s="2" t="n">
        <v>10</v>
      </c>
      <c r="AO837" s="2" t="n"/>
      <c r="AP837" s="2" t="n"/>
      <c r="AQ837" s="2" t="n"/>
      <c r="AR837" s="2" t="n"/>
      <c r="AS837" s="2" t="n"/>
      <c r="AT837" s="2" t="n"/>
      <c r="AU837" s="2" t="n"/>
      <c r="AV837" s="2">
        <f>IF(F837=1,V837*2,IF(F837=2,V837*F837*2,IF(F837&gt;2,F837*2*V837)))</f>
        <v/>
      </c>
      <c r="AW837" s="2">
        <f>SUM(W837:AU837)</f>
        <v/>
      </c>
    </row>
    <row r="838">
      <c r="A838" s="2" t="inlineStr">
        <is>
          <t>A14-SB-N486</t>
        </is>
      </c>
      <c r="B838" s="3" t="inlineStr">
        <is>
          <t>SOJC-SM-LC/PC-LC/PC</t>
        </is>
      </c>
      <c r="C838" s="2" t="inlineStr">
        <is>
          <t>11M, B3, 2.0mm</t>
        </is>
      </c>
      <c r="D838" s="2" t="inlineStr">
        <is>
          <t>b3</t>
        </is>
      </c>
      <c r="E838" s="2" t="inlineStr">
        <is>
          <t>2.0mm</t>
        </is>
      </c>
      <c r="F838" s="2" t="n">
        <v>1</v>
      </c>
      <c r="G838" s="2" t="n">
        <v>11</v>
      </c>
      <c r="H838" s="2" t="inlineStr">
        <is>
          <t>LC/PC</t>
        </is>
      </c>
      <c r="I838" s="2" t="inlineStr">
        <is>
          <t>LC/PC</t>
        </is>
      </c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>
        <v>10</v>
      </c>
      <c r="T838" s="2" t="n"/>
      <c r="U838" s="2" t="n"/>
      <c r="V838" s="2">
        <f>SUM(J838:U838)</f>
        <v/>
      </c>
      <c r="W838" s="2" t="n">
        <v>20</v>
      </c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>
        <f>IF(F838=1,V838*2,IF(F838=2,V838*F838*2,IF(F838&gt;2,F838*2*V838)))</f>
        <v/>
      </c>
      <c r="AW838" s="2">
        <f>SUM(W838:AU838)</f>
        <v/>
      </c>
    </row>
    <row r="839">
      <c r="A839" s="2" t="inlineStr">
        <is>
          <t>A14-SB-N645</t>
        </is>
      </c>
      <c r="B839" s="3" t="inlineStr">
        <is>
          <t>SOJC-SM-LC/PC-FC/PC</t>
        </is>
      </c>
      <c r="C839" s="2" t="inlineStr">
        <is>
          <t>13M, B3, 2.0mm</t>
        </is>
      </c>
      <c r="D839" s="2" t="inlineStr">
        <is>
          <t>b3</t>
        </is>
      </c>
      <c r="E839" s="2" t="inlineStr">
        <is>
          <t>2.0mm</t>
        </is>
      </c>
      <c r="F839" s="2" t="n">
        <v>1</v>
      </c>
      <c r="G839" s="2" t="n">
        <v>13</v>
      </c>
      <c r="H839" s="2" t="inlineStr">
        <is>
          <t>LC/PC</t>
        </is>
      </c>
      <c r="I839" s="2" t="inlineStr">
        <is>
          <t>FC/PC</t>
        </is>
      </c>
      <c r="J839" s="2" t="n"/>
      <c r="K839" s="2" t="n">
        <v>10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>
        <f>SUM(J839:U839)</f>
        <v/>
      </c>
      <c r="W839" s="2" t="n">
        <v>10</v>
      </c>
      <c r="X839" s="2" t="n"/>
      <c r="Y839" s="2" t="n"/>
      <c r="Z839" s="2" t="n"/>
      <c r="AA839" s="2" t="n"/>
      <c r="AB839" s="2" t="n"/>
      <c r="AC839" s="2" t="n"/>
      <c r="AD839" s="2" t="n"/>
      <c r="AE839" s="2" t="n">
        <v>10</v>
      </c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>
        <f>IF(F839=1,V839*2,IF(F839=2,V839*F839*2,IF(F839&gt;2,F839*2*V839)))</f>
        <v/>
      </c>
      <c r="AW839" s="2">
        <f>SUM(W839:AU839)</f>
        <v/>
      </c>
    </row>
    <row r="840">
      <c r="A840" s="2" t="inlineStr">
        <is>
          <t>A14-SB-N660</t>
        </is>
      </c>
      <c r="B840" s="3" t="inlineStr">
        <is>
          <t>SOJC-SM-LC/PC-LC/PC</t>
        </is>
      </c>
      <c r="C840" s="2" t="inlineStr">
        <is>
          <t>35M, B3, 2mm</t>
        </is>
      </c>
      <c r="D840" s="2" t="inlineStr">
        <is>
          <t>b3</t>
        </is>
      </c>
      <c r="E840" s="2" t="inlineStr">
        <is>
          <t>2.0mm</t>
        </is>
      </c>
      <c r="F840" s="2" t="n">
        <v>1</v>
      </c>
      <c r="G840" s="2" t="n">
        <v>35</v>
      </c>
      <c r="H840" s="2" t="inlineStr">
        <is>
          <t>LC/PC</t>
        </is>
      </c>
      <c r="I840" s="2" t="inlineStr">
        <is>
          <t>LC/PC</t>
        </is>
      </c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>
        <v>4</v>
      </c>
      <c r="V840" s="2">
        <f>SUM(J840:U840)</f>
        <v/>
      </c>
      <c r="W840" s="2" t="n">
        <v>8</v>
      </c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>
        <f>IF(F840=1,V840*2,IF(F840=2,V840*F840*2,IF(F840&gt;2,F840*2*V840)))</f>
        <v/>
      </c>
      <c r="AW840" s="2">
        <f>SUM(W840:AU840)</f>
        <v/>
      </c>
    </row>
    <row r="841">
      <c r="A841" s="2" t="inlineStr">
        <is>
          <t>A14-SB-N834</t>
        </is>
      </c>
      <c r="B841" s="3" t="inlineStr">
        <is>
          <t>SOJC-SM-LC/APC-FC/APC</t>
        </is>
      </c>
      <c r="C841" s="2" t="inlineStr">
        <is>
          <t>15M, B3, 2.0mm</t>
        </is>
      </c>
      <c r="D841" s="2" t="inlineStr">
        <is>
          <t>b3</t>
        </is>
      </c>
      <c r="E841" s="2" t="inlineStr">
        <is>
          <t>2.0mm</t>
        </is>
      </c>
      <c r="F841" s="2" t="n">
        <v>1</v>
      </c>
      <c r="G841" s="2" t="n">
        <v>15</v>
      </c>
      <c r="H841" s="2" t="inlineStr">
        <is>
          <t>LC/APC</t>
        </is>
      </c>
      <c r="I841" s="2" t="inlineStr">
        <is>
          <t>FC/APC</t>
        </is>
      </c>
      <c r="J841" s="2" t="n"/>
      <c r="K841" s="2" t="n"/>
      <c r="L841" s="2" t="n"/>
      <c r="M841" s="2" t="n"/>
      <c r="N841" s="2" t="n"/>
      <c r="O841" s="2" t="n">
        <v>10</v>
      </c>
      <c r="P841" s="2" t="n">
        <v>17</v>
      </c>
      <c r="Q841" s="2" t="n"/>
      <c r="R841" s="2" t="n"/>
      <c r="S841" s="2" t="n"/>
      <c r="T841" s="2" t="n"/>
      <c r="U841" s="2" t="n"/>
      <c r="V841" s="2">
        <f>SUM(J841:U841)</f>
        <v/>
      </c>
      <c r="W841" s="2" t="n"/>
      <c r="X841" s="2" t="n"/>
      <c r="Y841" s="2" t="n">
        <v>27</v>
      </c>
      <c r="Z841" s="2" t="n"/>
      <c r="AA841" s="2" t="n"/>
      <c r="AB841" s="2" t="n"/>
      <c r="AC841" s="2" t="n"/>
      <c r="AD841" s="2" t="n"/>
      <c r="AE841" s="2" t="n"/>
      <c r="AF841" s="2" t="n"/>
      <c r="AG841" s="2" t="n">
        <v>27</v>
      </c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>
        <f>IF(F841=1,V841*2,IF(F841=2,V841*F841*2,IF(F841&gt;2,F841*2*V841)))</f>
        <v/>
      </c>
      <c r="AW841" s="2">
        <f>SUM(W841:AU841)</f>
        <v/>
      </c>
    </row>
    <row r="842">
      <c r="A842" s="2" t="inlineStr">
        <is>
          <t>A14-SB-N836</t>
        </is>
      </c>
      <c r="B842" s="3" t="inlineStr">
        <is>
          <t>SOJC-SM-LC/APC-FC/PC</t>
        </is>
      </c>
      <c r="C842" s="2" t="inlineStr">
        <is>
          <t>20M, B3, 2.0mm</t>
        </is>
      </c>
      <c r="D842" s="2" t="inlineStr">
        <is>
          <t>b3</t>
        </is>
      </c>
      <c r="E842" s="2" t="inlineStr">
        <is>
          <t>2.0mm</t>
        </is>
      </c>
      <c r="F842" s="2" t="n">
        <v>1</v>
      </c>
      <c r="G842" s="2" t="n">
        <v>20</v>
      </c>
      <c r="H842" s="2" t="inlineStr">
        <is>
          <t>LC/APC</t>
        </is>
      </c>
      <c r="I842" s="2" t="inlineStr">
        <is>
          <t>FC/PC</t>
        </is>
      </c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>
        <v>1</v>
      </c>
      <c r="S842" s="2" t="n"/>
      <c r="T842" s="2" t="n"/>
      <c r="U842" s="2" t="n"/>
      <c r="V842" s="2">
        <f>SUM(J842:U842)</f>
        <v/>
      </c>
      <c r="W842" s="2" t="n"/>
      <c r="X842" s="2" t="n"/>
      <c r="Y842" s="2" t="n">
        <v>1</v>
      </c>
      <c r="Z842" s="2" t="n"/>
      <c r="AA842" s="2" t="n"/>
      <c r="AB842" s="2" t="n"/>
      <c r="AC842" s="2" t="n"/>
      <c r="AD842" s="2" t="n"/>
      <c r="AE842" s="2" t="n">
        <v>1</v>
      </c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>
        <f>IF(F842=1,V842*2,IF(F842=2,V842*F842*2,IF(F842&gt;2,F842*2*V842)))</f>
        <v/>
      </c>
      <c r="AW842" s="2">
        <f>SUM(W842:AU842)</f>
        <v/>
      </c>
    </row>
    <row r="843">
      <c r="A843" s="2" t="inlineStr">
        <is>
          <t>A14-SB-N843</t>
        </is>
      </c>
      <c r="B843" s="3" t="inlineStr">
        <is>
          <t>SOJC-SM-LC/APC-LC/APC</t>
        </is>
      </c>
      <c r="C843" s="2" t="inlineStr">
        <is>
          <t>15M, B3, 2.0mm</t>
        </is>
      </c>
      <c r="D843" s="2" t="inlineStr">
        <is>
          <t>b3</t>
        </is>
      </c>
      <c r="E843" s="2" t="inlineStr">
        <is>
          <t>2.0mm</t>
        </is>
      </c>
      <c r="F843" s="2" t="n">
        <v>1</v>
      </c>
      <c r="G843" s="2" t="n">
        <v>15</v>
      </c>
      <c r="H843" s="2" t="inlineStr">
        <is>
          <t>LC/APC</t>
        </is>
      </c>
      <c r="I843" s="2" t="inlineStr">
        <is>
          <t>LC/APC</t>
        </is>
      </c>
      <c r="J843" s="2" t="n"/>
      <c r="K843" s="2" t="n"/>
      <c r="L843" s="2" t="n"/>
      <c r="M843" s="2" t="n"/>
      <c r="N843" s="2" t="n"/>
      <c r="O843" s="2" t="n"/>
      <c r="P843" s="2" t="n">
        <v>20</v>
      </c>
      <c r="Q843" s="2" t="n"/>
      <c r="R843" s="2" t="n"/>
      <c r="S843" s="2" t="n"/>
      <c r="T843" s="2" t="n"/>
      <c r="U843" s="2" t="n"/>
      <c r="V843" s="2">
        <f>SUM(J843:U843)</f>
        <v/>
      </c>
      <c r="W843" s="2" t="n"/>
      <c r="X843" s="2" t="n"/>
      <c r="Y843" s="2" t="n">
        <v>40</v>
      </c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>
        <f>IF(F843=1,V843*2,IF(F843=2,V843*F843*2,IF(F843&gt;2,F843*2*V843)))</f>
        <v/>
      </c>
      <c r="AW843" s="2">
        <f>SUM(W843:AU843)</f>
        <v/>
      </c>
    </row>
    <row r="844">
      <c r="A844" s="2" t="inlineStr">
        <is>
          <t>A14-SB-N860</t>
        </is>
      </c>
      <c r="B844" s="3" t="inlineStr">
        <is>
          <t>SOJC-SM-LC/PC-LC/APC</t>
        </is>
      </c>
      <c r="C844" s="2" t="inlineStr">
        <is>
          <t>10M, B3, 2.0mm</t>
        </is>
      </c>
      <c r="D844" s="2" t="inlineStr">
        <is>
          <t>b3</t>
        </is>
      </c>
      <c r="E844" s="2" t="inlineStr">
        <is>
          <t>2.0mm</t>
        </is>
      </c>
      <c r="F844" s="2" t="n">
        <v>1</v>
      </c>
      <c r="G844" s="2" t="n">
        <v>10</v>
      </c>
      <c r="H844" s="2" t="inlineStr">
        <is>
          <t>LC/PC</t>
        </is>
      </c>
      <c r="I844" s="2" t="inlineStr">
        <is>
          <t>LC/APC</t>
        </is>
      </c>
      <c r="J844" s="2" t="n"/>
      <c r="K844" s="2" t="n"/>
      <c r="L844" s="2" t="n"/>
      <c r="M844" s="2" t="n"/>
      <c r="N844" s="2" t="n"/>
      <c r="O844" s="2" t="n"/>
      <c r="P844" s="2" t="n">
        <v>27</v>
      </c>
      <c r="Q844" s="2" t="n"/>
      <c r="R844" s="2" t="n">
        <v>6</v>
      </c>
      <c r="S844" s="2" t="n"/>
      <c r="T844" s="2" t="n"/>
      <c r="U844" s="2" t="n">
        <v>5</v>
      </c>
      <c r="V844" s="2">
        <f>SUM(J844:U844)</f>
        <v/>
      </c>
      <c r="W844" s="2" t="n">
        <v>38</v>
      </c>
      <c r="X844" s="2" t="n"/>
      <c r="Y844" s="2" t="n">
        <v>38</v>
      </c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>
        <f>IF(F844=1,V844*2,IF(F844=2,V844*F844*2,IF(F844&gt;2,F844*2*V844)))</f>
        <v/>
      </c>
      <c r="AW844" s="2">
        <f>SUM(W844:AU844)</f>
        <v/>
      </c>
    </row>
    <row r="845">
      <c r="A845" s="2" t="inlineStr">
        <is>
          <t>A14-SB-N975</t>
        </is>
      </c>
      <c r="B845" s="3" t="inlineStr">
        <is>
          <t>SOJC-SM-LC/PC-SC/APC</t>
        </is>
      </c>
      <c r="C845" s="2" t="inlineStr">
        <is>
          <t>35M, B3, 2.0mm</t>
        </is>
      </c>
      <c r="D845" s="2" t="inlineStr">
        <is>
          <t>b3</t>
        </is>
      </c>
      <c r="E845" s="2" t="inlineStr">
        <is>
          <t>2.0mm</t>
        </is>
      </c>
      <c r="F845" s="2" t="n">
        <v>1</v>
      </c>
      <c r="G845" s="2" t="n">
        <v>35</v>
      </c>
      <c r="H845" s="2" t="inlineStr">
        <is>
          <t>LC/PC</t>
        </is>
      </c>
      <c r="I845" s="2" t="inlineStr">
        <is>
          <t>SC/APC</t>
        </is>
      </c>
      <c r="J845" s="2" t="n"/>
      <c r="K845" s="2" t="n"/>
      <c r="L845" s="2" t="n"/>
      <c r="M845" s="2" t="n">
        <v>30</v>
      </c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>
        <f>SUM(J845:U845)</f>
        <v/>
      </c>
      <c r="W845" s="2" t="n">
        <v>30</v>
      </c>
      <c r="X845" s="2" t="n"/>
      <c r="Y845" s="2" t="n"/>
      <c r="Z845" s="2" t="n"/>
      <c r="AA845" s="2" t="n"/>
      <c r="AB845" s="2" t="n"/>
      <c r="AC845" s="2" t="n">
        <v>30</v>
      </c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>
        <f>IF(F845=1,V845*2,IF(F845=2,V845*F845*2,IF(F845&gt;2,F845*2*V845)))</f>
        <v/>
      </c>
      <c r="AW845" s="2">
        <f>SUM(W845:AU845)</f>
        <v/>
      </c>
    </row>
    <row r="846">
      <c r="A846" s="2" t="inlineStr">
        <is>
          <t>A14-SB-N987</t>
        </is>
      </c>
      <c r="B846" s="3" t="inlineStr">
        <is>
          <t>SOJC-SM-LC/PC-LC/APC</t>
        </is>
      </c>
      <c r="C846" s="2" t="inlineStr">
        <is>
          <t>15M, B3, 2mm</t>
        </is>
      </c>
      <c r="D846" s="2" t="inlineStr">
        <is>
          <t>b3</t>
        </is>
      </c>
      <c r="E846" s="2" t="inlineStr">
        <is>
          <t>2.0mm</t>
        </is>
      </c>
      <c r="F846" s="2" t="n">
        <v>1</v>
      </c>
      <c r="G846" s="2" t="n">
        <v>15</v>
      </c>
      <c r="H846" s="2" t="inlineStr">
        <is>
          <t>LC/PC</t>
        </is>
      </c>
      <c r="I846" s="2" t="inlineStr">
        <is>
          <t>LC/APC</t>
        </is>
      </c>
      <c r="J846" s="2" t="n"/>
      <c r="K846" s="2" t="n"/>
      <c r="L846" s="2" t="n"/>
      <c r="M846" s="2" t="n"/>
      <c r="N846" s="2" t="n"/>
      <c r="O846" s="2" t="n"/>
      <c r="P846" s="2" t="n">
        <v>20</v>
      </c>
      <c r="Q846" s="2" t="n"/>
      <c r="R846" s="2" t="n"/>
      <c r="S846" s="2" t="n"/>
      <c r="T846" s="2" t="n"/>
      <c r="U846" s="2" t="n"/>
      <c r="V846" s="2">
        <f>SUM(J846:U846)</f>
        <v/>
      </c>
      <c r="W846" s="2" t="n">
        <v>20</v>
      </c>
      <c r="X846" s="2" t="n"/>
      <c r="Y846" s="2" t="n">
        <v>20</v>
      </c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>
        <f>IF(F846=1,V846*2,IF(F846=2,V846*F846*2,IF(F846&gt;2,F846*2*V846)))</f>
        <v/>
      </c>
      <c r="AW846" s="2">
        <f>SUM(W846:AU846)</f>
        <v/>
      </c>
    </row>
    <row r="847">
      <c r="A847" s="2" t="inlineStr">
        <is>
          <t>A14-SB-NA32</t>
        </is>
      </c>
      <c r="B847" s="3" t="inlineStr">
        <is>
          <t>SOJC-SM-SC/PC-SC/PC</t>
        </is>
      </c>
      <c r="C847" s="2" t="inlineStr">
        <is>
          <t>0.5M, B3, 2.0mm</t>
        </is>
      </c>
      <c r="D847" s="2" t="inlineStr">
        <is>
          <t>b3</t>
        </is>
      </c>
      <c r="E847" s="2" t="inlineStr">
        <is>
          <t>2.0mm</t>
        </is>
      </c>
      <c r="F847" s="2" t="n">
        <v>1</v>
      </c>
      <c r="G847" s="2" t="n">
        <v>0.5</v>
      </c>
      <c r="H847" s="2" t="inlineStr">
        <is>
          <t>SC/PC</t>
        </is>
      </c>
      <c r="I847" s="2" t="inlineStr">
        <is>
          <t>SC/PC</t>
        </is>
      </c>
      <c r="J847" s="2" t="n"/>
      <c r="K847" s="2" t="n"/>
      <c r="L847" s="2" t="n"/>
      <c r="M847" s="2" t="n">
        <v>100</v>
      </c>
      <c r="N847" s="2" t="n"/>
      <c r="O847" s="2" t="n"/>
      <c r="P847" s="2" t="n"/>
      <c r="Q847" s="2" t="n"/>
      <c r="R847" s="2" t="n">
        <v>50</v>
      </c>
      <c r="S847" s="2" t="n"/>
      <c r="T847" s="2" t="n"/>
      <c r="U847" s="2" t="n"/>
      <c r="V847" s="2">
        <f>SUM(J847:U847)</f>
        <v/>
      </c>
      <c r="W847" s="2" t="n"/>
      <c r="X847" s="2" t="n"/>
      <c r="Y847" s="2" t="n"/>
      <c r="Z847" s="2" t="n"/>
      <c r="AA847" s="2" t="n">
        <v>300</v>
      </c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>
        <f>IF(F847=1,V847*2,IF(F847=2,V847*F847*2,IF(F847&gt;2,F847*2*V847)))</f>
        <v/>
      </c>
      <c r="AW847" s="2">
        <f>SUM(W847:AU847)</f>
        <v/>
      </c>
    </row>
    <row r="848">
      <c r="A848" s="2" t="inlineStr">
        <is>
          <t>A14-SB-NA38</t>
        </is>
      </c>
      <c r="B848" s="3" t="inlineStr">
        <is>
          <t>SOJC-SM-LC/APC-FC/APC</t>
        </is>
      </c>
      <c r="C848" s="2" t="inlineStr">
        <is>
          <t>35M, B3, 2.0mm</t>
        </is>
      </c>
      <c r="D848" s="2" t="inlineStr">
        <is>
          <t>b3</t>
        </is>
      </c>
      <c r="E848" s="2" t="inlineStr">
        <is>
          <t>2.0mm</t>
        </is>
      </c>
      <c r="F848" s="2" t="n">
        <v>1</v>
      </c>
      <c r="G848" s="2" t="n">
        <v>35</v>
      </c>
      <c r="H848" s="2" t="inlineStr">
        <is>
          <t>LC/APC</t>
        </is>
      </c>
      <c r="I848" s="2" t="inlineStr">
        <is>
          <t>FC/APC</t>
        </is>
      </c>
      <c r="J848" s="2" t="n"/>
      <c r="K848" s="2" t="n"/>
      <c r="L848" s="2" t="n"/>
      <c r="M848" s="2" t="n"/>
      <c r="N848" s="2" t="n"/>
      <c r="O848" s="2" t="n"/>
      <c r="P848" s="2" t="n">
        <v>2</v>
      </c>
      <c r="Q848" s="2" t="n"/>
      <c r="R848" s="2" t="n"/>
      <c r="S848" s="2" t="n"/>
      <c r="T848" s="2" t="n"/>
      <c r="U848" s="2" t="n"/>
      <c r="V848" s="2">
        <f>SUM(J848:U848)</f>
        <v/>
      </c>
      <c r="W848" s="2" t="n"/>
      <c r="X848" s="2" t="n"/>
      <c r="Y848" s="2" t="n">
        <v>2</v>
      </c>
      <c r="Z848" s="2" t="n"/>
      <c r="AA848" s="2" t="n"/>
      <c r="AB848" s="2" t="n"/>
      <c r="AC848" s="2" t="n"/>
      <c r="AD848" s="2" t="n"/>
      <c r="AE848" s="2" t="n"/>
      <c r="AF848" s="2" t="n"/>
      <c r="AG848" s="2" t="n">
        <v>2</v>
      </c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>
        <f>IF(F848=1,V848*2,IF(F848=2,V848*F848*2,IF(F848&gt;2,F848*2*V848)))</f>
        <v/>
      </c>
      <c r="AW848" s="2">
        <f>SUM(W848:AU848)</f>
        <v/>
      </c>
    </row>
    <row r="849">
      <c r="A849" s="2" t="inlineStr">
        <is>
          <t>A14-SB-NA38</t>
        </is>
      </c>
      <c r="B849" s="3" t="inlineStr">
        <is>
          <t>SOJC-SM-​LC/APC-FC/APC</t>
        </is>
      </c>
      <c r="C849" s="2" t="inlineStr">
        <is>
          <t>35M, B3, 2.0mm</t>
        </is>
      </c>
      <c r="D849" s="2" t="inlineStr">
        <is>
          <t>b3</t>
        </is>
      </c>
      <c r="E849" s="2" t="inlineStr">
        <is>
          <t>2.0mm</t>
        </is>
      </c>
      <c r="F849" s="2" t="n">
        <v>1</v>
      </c>
      <c r="G849" s="2" t="n">
        <v>35</v>
      </c>
      <c r="H849" s="2" t="inlineStr">
        <is>
          <t>LC/APC</t>
        </is>
      </c>
      <c r="I849" s="2" t="inlineStr">
        <is>
          <t>FC/APC</t>
        </is>
      </c>
      <c r="J849" s="2" t="n"/>
      <c r="K849" s="2" t="n"/>
      <c r="L849" s="2" t="n"/>
      <c r="M849" s="2" t="n"/>
      <c r="N849" s="2" t="n"/>
      <c r="O849" s="2" t="n"/>
      <c r="P849" s="2" t="n">
        <v>10</v>
      </c>
      <c r="Q849" s="2" t="n"/>
      <c r="R849" s="2" t="n"/>
      <c r="S849" s="2" t="n"/>
      <c r="T849" s="2" t="n"/>
      <c r="U849" s="2" t="n"/>
      <c r="V849" s="2">
        <f>SUM(J849:U849)</f>
        <v/>
      </c>
      <c r="W849" s="2" t="n"/>
      <c r="X849" s="2" t="n"/>
      <c r="Y849" s="2" t="n">
        <v>10</v>
      </c>
      <c r="Z849" s="2" t="n"/>
      <c r="AA849" s="2" t="n"/>
      <c r="AB849" s="2" t="n"/>
      <c r="AC849" s="2" t="n"/>
      <c r="AD849" s="2" t="n"/>
      <c r="AE849" s="2" t="n"/>
      <c r="AF849" s="2" t="n"/>
      <c r="AG849" s="2" t="n">
        <v>10</v>
      </c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>
        <f>IF(F849=1,V849*2,IF(F849=2,V849*F849*2,IF(F849&gt;2,F849*2*V849)))</f>
        <v/>
      </c>
      <c r="AW849" s="2">
        <f>SUM(W849:AU849)</f>
        <v/>
      </c>
    </row>
    <row r="850">
      <c r="A850" s="2" t="inlineStr">
        <is>
          <t>A14-SB-NA39</t>
        </is>
      </c>
      <c r="B850" s="3" t="inlineStr">
        <is>
          <t>SOJC-SM-​LC/APC-FC/APC</t>
        </is>
      </c>
      <c r="C850" s="2" t="inlineStr">
        <is>
          <t>40M, B3, 2.0mm</t>
        </is>
      </c>
      <c r="D850" s="2" t="inlineStr">
        <is>
          <t>b3</t>
        </is>
      </c>
      <c r="E850" s="2" t="inlineStr">
        <is>
          <t>2.0mm</t>
        </is>
      </c>
      <c r="F850" s="2" t="n">
        <v>1</v>
      </c>
      <c r="G850" s="2" t="n">
        <v>40</v>
      </c>
      <c r="H850" s="2" t="inlineStr">
        <is>
          <t>LC/APC</t>
        </is>
      </c>
      <c r="I850" s="2" t="inlineStr">
        <is>
          <t>FC/APC</t>
        </is>
      </c>
      <c r="J850" s="2" t="n"/>
      <c r="K850" s="2" t="n"/>
      <c r="L850" s="2" t="n"/>
      <c r="M850" s="2" t="n"/>
      <c r="N850" s="2" t="n"/>
      <c r="O850" s="2" t="n"/>
      <c r="P850" s="2" t="n">
        <v>10</v>
      </c>
      <c r="Q850" s="2" t="n"/>
      <c r="R850" s="2" t="n"/>
      <c r="S850" s="2" t="n"/>
      <c r="T850" s="2" t="n"/>
      <c r="U850" s="2" t="n"/>
      <c r="V850" s="2">
        <f>SUM(J850:U850)</f>
        <v/>
      </c>
      <c r="W850" s="2" t="n"/>
      <c r="X850" s="2" t="n"/>
      <c r="Y850" s="2" t="n">
        <v>10</v>
      </c>
      <c r="Z850" s="2" t="n"/>
      <c r="AA850" s="2" t="n"/>
      <c r="AB850" s="2" t="n"/>
      <c r="AC850" s="2" t="n"/>
      <c r="AD850" s="2" t="n"/>
      <c r="AE850" s="2" t="n"/>
      <c r="AF850" s="2" t="n"/>
      <c r="AG850" s="2" t="n">
        <v>10</v>
      </c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>
        <f>IF(F850=1,V850*2,IF(F850=2,V850*F850*2,IF(F850&gt;2,F850*2*V850)))</f>
        <v/>
      </c>
      <c r="AW850" s="2">
        <f>SUM(W850:AU850)</f>
        <v/>
      </c>
    </row>
    <row r="851">
      <c r="A851" s="2" t="inlineStr">
        <is>
          <t>A14-SB-NA40</t>
        </is>
      </c>
      <c r="B851" s="3" t="inlineStr">
        <is>
          <t>SOJC-SM-SC/PC-ST/PC</t>
        </is>
      </c>
      <c r="C851" s="2" t="inlineStr">
        <is>
          <t>3M, B3, 2.0mm</t>
        </is>
      </c>
      <c r="D851" s="2" t="inlineStr">
        <is>
          <t>b3</t>
        </is>
      </c>
      <c r="E851" s="2" t="inlineStr">
        <is>
          <t>2.0mm</t>
        </is>
      </c>
      <c r="F851" s="2" t="n">
        <v>1</v>
      </c>
      <c r="G851" s="2" t="n">
        <v>3</v>
      </c>
      <c r="H851" s="2" t="inlineStr">
        <is>
          <t>SC/PC</t>
        </is>
      </c>
      <c r="I851" s="2" t="inlineStr">
        <is>
          <t>SC/PC</t>
        </is>
      </c>
      <c r="J851" s="2" t="n"/>
      <c r="K851" s="2" t="n"/>
      <c r="L851" s="2" t="n"/>
      <c r="M851" s="2" t="n"/>
      <c r="N851" s="2" t="n"/>
      <c r="O851" s="2" t="n"/>
      <c r="P851" s="2" t="n"/>
      <c r="Q851" s="2" t="n">
        <v>2</v>
      </c>
      <c r="R851" s="2" t="n"/>
      <c r="S851" s="2" t="n"/>
      <c r="T851" s="2" t="n"/>
      <c r="U851" s="2" t="n"/>
      <c r="V851" s="2">
        <f>SUM(J851:U851)</f>
        <v/>
      </c>
      <c r="W851" s="2" t="n"/>
      <c r="X851" s="2" t="n"/>
      <c r="Y851" s="2" t="n"/>
      <c r="Z851" s="2" t="n"/>
      <c r="AA851" s="2" t="n">
        <v>4</v>
      </c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>
        <f>IF(F851=1,V851*2,IF(F851=2,V851*F851*2,IF(F851&gt;2,F851*2*V851)))</f>
        <v/>
      </c>
      <c r="AW851" s="2">
        <f>SUM(W851:AU851)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2026-04-24T05:41:29Z</dcterms:created>
  <dcterms:modified xmlns:dcterms="http://purl.org/dc/terms/" xmlns:xsi="http://www.w3.org/2001/XMLSchema-instance" xsi:type="dcterms:W3CDTF">2026-04-24T05:41:41Z</dcterms:modified>
</cp:coreProperties>
</file>
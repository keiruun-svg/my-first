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블 사용내역" sheetId="1" state="visible" r:id="rId1"/>
    <sheet xmlns:r="http://schemas.openxmlformats.org/officeDocument/2006/relationships" name="하우징 사용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595959"/>
      <sz val="8"/>
    </font>
    <font>
      <name val="Arial"/>
      <color rgb="00C00000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151"/>
      </patternFill>
    </fill>
    <fill>
      <patternFill patternType="solid">
        <fgColor rgb="002F5597"/>
      </patternFill>
    </fill>
    <fill>
      <patternFill patternType="solid">
        <fgColor rgb="002E75B6"/>
      </patternFill>
    </fill>
    <fill>
      <patternFill patternType="solid">
        <fgColor rgb="00155480"/>
      </patternFill>
    </fill>
    <fill>
      <patternFill patternType="solid">
        <fgColor rgb="007030A0"/>
      </patternFill>
    </fill>
    <fill>
      <patternFill patternType="solid">
        <fgColor rgb="00375623"/>
      </patternFill>
    </fill>
    <fill>
      <patternFill patternType="solid">
        <fgColor rgb="00595959"/>
      </patternFill>
    </fill>
    <fill>
      <patternFill patternType="solid">
        <fgColor rgb="00F5F5F5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right" vertical="center"/>
    </xf>
    <xf numFmtId="0" fontId="0" fillId="10" borderId="1" pivotButton="0" quotePrefix="0" xfId="0"/>
    <xf numFmtId="0" fontId="4" fillId="1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6" customWidth="1" min="4" max="4"/>
    <col width="3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4" customWidth="1" min="15" max="15"/>
    <col width="14" customWidth="1" min="16" max="16"/>
    <col width="10" customWidth="1" min="17" max="17"/>
    <col width="20" customWidth="1" min="18" max="18"/>
  </cols>
  <sheetData>
    <row r="1" ht="24" customHeight="1">
      <c r="A1" s="1" t="inlineStr">
        <is>
          <t>2023~2025년 케이블 생산자재 사용내역 (ROW 데이터 자동 생성)</t>
        </is>
      </c>
    </row>
    <row r="2" ht="18" customHeight="1">
      <c r="A2" s="2" t="inlineStr">
        <is>
          <t>기본정보</t>
        </is>
      </c>
      <c r="F2" s="3" t="inlineStr">
        <is>
          <t>23년</t>
        </is>
      </c>
      <c r="H2" s="4" t="inlineStr">
        <is>
          <t>24년</t>
        </is>
      </c>
      <c r="J2" s="5" t="inlineStr">
        <is>
          <t>25년</t>
        </is>
      </c>
      <c r="L2" s="6" t="inlineStr">
        <is>
          <t>현재고</t>
        </is>
      </c>
      <c r="M2" s="6" t="inlineStr">
        <is>
          <t>기발주</t>
        </is>
      </c>
      <c r="N2" s="7" t="inlineStr">
        <is>
          <t>3개년 분석</t>
        </is>
      </c>
      <c r="P2" s="8" t="inlineStr">
        <is>
          <t>구매처</t>
        </is>
      </c>
      <c r="Q2" s="8" t="inlineStr">
        <is>
          <t>리드타임</t>
        </is>
      </c>
      <c r="R2" s="8" t="inlineStr">
        <is>
          <t>비고</t>
        </is>
      </c>
    </row>
    <row r="3" ht="40" customHeight="1">
      <c r="A3" s="9" t="inlineStr">
        <is>
          <t>NO</t>
        </is>
      </c>
      <c r="B3" s="9" t="inlineStr">
        <is>
          <t>파이</t>
        </is>
      </c>
      <c r="C3" s="9" t="inlineStr">
        <is>
          <t>케이블종류</t>
        </is>
      </c>
      <c r="D3" s="9" t="inlineStr">
        <is>
          <t>품번</t>
        </is>
      </c>
      <c r="E3" s="9" t="inlineStr">
        <is>
          <t>품명</t>
        </is>
      </c>
      <c r="F3" s="10" t="inlineStr">
        <is>
          <t>연간(m)</t>
        </is>
      </c>
      <c r="G3" s="10" t="inlineStr">
        <is>
          <t>피크(m)</t>
        </is>
      </c>
      <c r="H3" s="11" t="inlineStr">
        <is>
          <t>연간(m)</t>
        </is>
      </c>
      <c r="I3" s="11" t="inlineStr">
        <is>
          <t>피크(m)</t>
        </is>
      </c>
      <c r="J3" s="12" t="inlineStr">
        <is>
          <t>연간(m)</t>
        </is>
      </c>
      <c r="K3" s="12" t="inlineStr">
        <is>
          <t>피크(m)</t>
        </is>
      </c>
      <c r="L3" s="13" t="inlineStr">
        <is>
          <t>현재고(m)</t>
        </is>
      </c>
      <c r="M3" s="13" t="inlineStr">
        <is>
          <t>기발주(m)</t>
        </is>
      </c>
      <c r="N3" s="14" t="inlineStr">
        <is>
          <t>3개년평균(m)</t>
        </is>
      </c>
      <c r="O3" s="14" t="inlineStr">
        <is>
          <t>3개년피크평균(m)</t>
        </is>
      </c>
      <c r="P3" s="15" t="inlineStr">
        <is>
          <t>구매처</t>
        </is>
      </c>
      <c r="Q3" s="15" t="inlineStr">
        <is>
          <t>리드타임(일)</t>
        </is>
      </c>
      <c r="R3" s="15" t="inlineStr">
        <is>
          <t>비고</t>
        </is>
      </c>
    </row>
    <row r="4" ht="17" customHeight="1">
      <c r="A4" s="16" t="n">
        <v>1</v>
      </c>
      <c r="B4" s="17" t="inlineStr">
        <is>
          <t>2.0mm</t>
        </is>
      </c>
      <c r="C4" s="17" t="inlineStr">
        <is>
          <t>A1-12C</t>
        </is>
      </c>
      <c r="D4" s="17" t="inlineStr">
        <is>
          <t>P14-RM-4204C</t>
        </is>
      </c>
      <c r="E4" s="17" t="inlineStr">
        <is>
          <t>DISTRIBUTION CABLE G657A1 (12C)</t>
        </is>
      </c>
      <c r="F4" s="18" t="n">
        <v>1860</v>
      </c>
      <c r="G4" s="18" t="n">
        <v>750</v>
      </c>
      <c r="H4" s="18" t="n">
        <v>2735</v>
      </c>
      <c r="I4" s="18" t="n">
        <v>770</v>
      </c>
      <c r="J4" s="18" t="n">
        <v>908</v>
      </c>
      <c r="K4" s="18" t="n">
        <v>380</v>
      </c>
      <c r="L4" s="18" t="n">
        <v>7000</v>
      </c>
      <c r="M4" s="19" t="n"/>
      <c r="N4" s="18">
        <f>ROUND(AVERAGE(F4,H4,J4),0)</f>
        <v/>
      </c>
      <c r="O4" s="18">
        <f>ROUND(AVERAGE(G4,I4,K4),0)</f>
        <v/>
      </c>
      <c r="P4" s="17" t="inlineStr">
        <is>
          <t>CFOFC</t>
        </is>
      </c>
      <c r="Q4" s="16" t="inlineStr">
        <is>
          <t>40일</t>
        </is>
      </c>
      <c r="R4" s="20" t="inlineStr"/>
    </row>
    <row r="5" ht="17" customHeight="1">
      <c r="A5" s="21" t="n">
        <v>2</v>
      </c>
      <c r="B5" s="22" t="inlineStr">
        <is>
          <t>2.0mm</t>
        </is>
      </c>
      <c r="C5" s="22" t="inlineStr">
        <is>
          <t>A1-16C</t>
        </is>
      </c>
      <c r="D5" s="22" t="inlineStr">
        <is>
          <t>P14-RM-4205C</t>
        </is>
      </c>
      <c r="E5" s="22" t="inlineStr">
        <is>
          <t>DISTRIBUTION CABLE G657A1 (16C)</t>
        </is>
      </c>
      <c r="F5" s="23" t="n">
        <v>2360</v>
      </c>
      <c r="G5" s="23" t="n">
        <v>995</v>
      </c>
      <c r="H5" s="23" t="n">
        <v>2190</v>
      </c>
      <c r="I5" s="23" t="n">
        <v>740</v>
      </c>
      <c r="J5" s="23" t="n">
        <v>1031</v>
      </c>
      <c r="K5" s="23" t="n">
        <v>320</v>
      </c>
      <c r="L5" s="23" t="n">
        <v>1700</v>
      </c>
      <c r="M5" s="24" t="n"/>
      <c r="N5" s="23">
        <f>ROUND(AVERAGE(F5,H5,J5),0)</f>
        <v/>
      </c>
      <c r="O5" s="23">
        <f>ROUND(AVERAGE(G5,I5,K5),0)</f>
        <v/>
      </c>
      <c r="P5" s="22" t="inlineStr">
        <is>
          <t>CFOFC</t>
        </is>
      </c>
      <c r="Q5" s="21" t="inlineStr">
        <is>
          <t>40일</t>
        </is>
      </c>
      <c r="R5" s="25" t="inlineStr"/>
    </row>
    <row r="6" ht="17" customHeight="1">
      <c r="A6" s="16" t="n">
        <v>3</v>
      </c>
      <c r="B6" s="17" t="inlineStr">
        <is>
          <t>2.0mm</t>
        </is>
      </c>
      <c r="C6" s="17" t="inlineStr">
        <is>
          <t>A1-20C</t>
        </is>
      </c>
      <c r="D6" s="17" t="inlineStr">
        <is>
          <t>P14-RM-4206</t>
        </is>
      </c>
      <c r="E6" s="17" t="inlineStr">
        <is>
          <t>DISTRIBUTION CABLE G657A1 (20C)</t>
        </is>
      </c>
      <c r="F6" s="18" t="n">
        <v>890</v>
      </c>
      <c r="G6" s="18" t="n">
        <v>400</v>
      </c>
      <c r="H6" s="18" t="n">
        <v>1010</v>
      </c>
      <c r="I6" s="18" t="n">
        <v>560</v>
      </c>
      <c r="J6" s="18" t="n">
        <v>85</v>
      </c>
      <c r="K6" s="18" t="n">
        <v>70</v>
      </c>
      <c r="L6" s="18" t="n">
        <v>800</v>
      </c>
      <c r="M6" s="19" t="n"/>
      <c r="N6" s="18">
        <f>ROUND(AVERAGE(F6,H6,J6),0)</f>
        <v/>
      </c>
      <c r="O6" s="18">
        <f>ROUND(AVERAGE(G6,I6,K6),0)</f>
        <v/>
      </c>
      <c r="P6" s="17" t="inlineStr">
        <is>
          <t>CFOFC</t>
        </is>
      </c>
      <c r="Q6" s="16" t="inlineStr">
        <is>
          <t>40일</t>
        </is>
      </c>
      <c r="R6" s="20" t="inlineStr"/>
    </row>
    <row r="7" ht="17" customHeight="1">
      <c r="A7" s="21" t="n">
        <v>4</v>
      </c>
      <c r="B7" s="22" t="inlineStr">
        <is>
          <t>2.0mm</t>
        </is>
      </c>
      <c r="C7" s="22" t="inlineStr">
        <is>
          <t>A1-24C</t>
        </is>
      </c>
      <c r="D7" s="22" t="inlineStr">
        <is>
          <t>P14-RM-4207</t>
        </is>
      </c>
      <c r="E7" s="22" t="inlineStr">
        <is>
          <t>DISTRIBUTION CABLE G657A1 (24C)</t>
        </is>
      </c>
      <c r="F7" s="23" t="n">
        <v>284</v>
      </c>
      <c r="G7" s="23" t="n">
        <v>224</v>
      </c>
      <c r="H7" s="23" t="n"/>
      <c r="I7" s="23" t="n"/>
      <c r="J7" s="23" t="n"/>
      <c r="K7" s="23" t="n"/>
      <c r="L7" s="23" t="n">
        <v>5600</v>
      </c>
      <c r="M7" s="24" t="n"/>
      <c r="N7" s="23">
        <f>ROUND(AVERAGE(F7,H7,J7),0)</f>
        <v/>
      </c>
      <c r="O7" s="23">
        <f>ROUND(AVERAGE(G7,I7,K7),0)</f>
        <v/>
      </c>
      <c r="P7" s="22" t="inlineStr">
        <is>
          <t>CFOFC</t>
        </is>
      </c>
      <c r="Q7" s="21" t="inlineStr">
        <is>
          <t>40일</t>
        </is>
      </c>
      <c r="R7" s="25" t="inlineStr"/>
    </row>
    <row r="8" ht="17" customHeight="1">
      <c r="A8" s="16" t="n">
        <v>5</v>
      </c>
      <c r="B8" s="17" t="inlineStr">
        <is>
          <t>2.0mm</t>
        </is>
      </c>
      <c r="C8" s="17" t="inlineStr">
        <is>
          <t>A1-4C</t>
        </is>
      </c>
      <c r="D8" s="17" t="inlineStr">
        <is>
          <t>P14-RM-4201C</t>
        </is>
      </c>
      <c r="E8" s="17" t="inlineStr">
        <is>
          <t>DISTRIBUTION CABLE G657A1 (4C)</t>
        </is>
      </c>
      <c r="F8" s="18" t="n"/>
      <c r="G8" s="18" t="n"/>
      <c r="H8" s="18" t="n">
        <v>235</v>
      </c>
      <c r="I8" s="18" t="n">
        <v>235</v>
      </c>
      <c r="J8" s="18" t="n">
        <v>2000</v>
      </c>
      <c r="K8" s="18" t="n">
        <v>1175</v>
      </c>
      <c r="L8" s="18" t="n">
        <v>1500</v>
      </c>
      <c r="M8" s="19" t="n"/>
      <c r="N8" s="18">
        <f>ROUND(AVERAGE(F8,H8,J8),0)</f>
        <v/>
      </c>
      <c r="O8" s="18">
        <f>ROUND(AVERAGE(G8,I8,K8),0)</f>
        <v/>
      </c>
      <c r="P8" s="17" t="inlineStr">
        <is>
          <t>CFOFC</t>
        </is>
      </c>
      <c r="Q8" s="16" t="inlineStr">
        <is>
          <t>40일</t>
        </is>
      </c>
      <c r="R8" s="20" t="inlineStr">
        <is>
          <t>※ 참고파일 기준</t>
        </is>
      </c>
    </row>
    <row r="9" ht="17" customHeight="1">
      <c r="A9" s="21" t="n">
        <v>6</v>
      </c>
      <c r="B9" s="22" t="inlineStr">
        <is>
          <t>2.0mm</t>
        </is>
      </c>
      <c r="C9" s="22" t="inlineStr">
        <is>
          <t>A1-8C</t>
        </is>
      </c>
      <c r="D9" s="22" t="inlineStr">
        <is>
          <t>P14-RM-4203C</t>
        </is>
      </c>
      <c r="E9" s="22" t="inlineStr">
        <is>
          <t>DISTRIBUTION CABLE G657A1 (8C)</t>
        </is>
      </c>
      <c r="F9" s="23" t="n">
        <v>1363</v>
      </c>
      <c r="G9" s="23" t="n">
        <v>600</v>
      </c>
      <c r="H9" s="23" t="n">
        <v>1813</v>
      </c>
      <c r="I9" s="23" t="n">
        <v>680</v>
      </c>
      <c r="J9" s="23" t="n">
        <v>6717</v>
      </c>
      <c r="K9" s="23" t="n">
        <v>3053</v>
      </c>
      <c r="L9" s="23" t="n">
        <v>3000</v>
      </c>
      <c r="M9" s="24" t="n"/>
      <c r="N9" s="23">
        <f>ROUND(AVERAGE(F9,H9,J9),0)</f>
        <v/>
      </c>
      <c r="O9" s="23">
        <f>ROUND(AVERAGE(G9,I9,K9),0)</f>
        <v/>
      </c>
      <c r="P9" s="22" t="inlineStr">
        <is>
          <t>CFOFC</t>
        </is>
      </c>
      <c r="Q9" s="21" t="inlineStr">
        <is>
          <t>40일</t>
        </is>
      </c>
      <c r="R9" s="25" t="inlineStr"/>
    </row>
    <row r="10" ht="17" customHeight="1">
      <c r="A10" s="16" t="n">
        <v>7</v>
      </c>
      <c r="B10" s="17" t="inlineStr">
        <is>
          <t>2.0mm</t>
        </is>
      </c>
      <c r="C10" s="17" t="inlineStr">
        <is>
          <t>A1-DP</t>
        </is>
      </c>
      <c r="D10" s="17" t="inlineStr">
        <is>
          <t>P14-RM-4189R</t>
        </is>
      </c>
      <c r="E10" s="17" t="inlineStr">
        <is>
          <t>OPTICAL CABLE 2.0mm G657A1 DP-SM (YELLOW,황)</t>
        </is>
      </c>
      <c r="F10" s="18" t="n">
        <v>264991</v>
      </c>
      <c r="G10" s="18" t="n">
        <v>42070</v>
      </c>
      <c r="H10" s="18" t="n">
        <v>154527</v>
      </c>
      <c r="I10" s="18" t="n">
        <v>31158</v>
      </c>
      <c r="J10" s="18" t="n">
        <v>303042</v>
      </c>
      <c r="K10" s="18" t="n">
        <v>47130</v>
      </c>
      <c r="L10" s="18" t="n">
        <v>108000</v>
      </c>
      <c r="M10" s="19" t="n"/>
      <c r="N10" s="18">
        <f>ROUND(AVERAGE(F10,H10,J10),0)</f>
        <v/>
      </c>
      <c r="O10" s="18">
        <f>ROUND(AVERAGE(G10,I10,K10),0)</f>
        <v/>
      </c>
      <c r="P10" s="17" t="inlineStr">
        <is>
          <t>HUAMAI</t>
        </is>
      </c>
      <c r="Q10" s="16" t="inlineStr">
        <is>
          <t>60일</t>
        </is>
      </c>
      <c r="R10" s="20" t="inlineStr"/>
    </row>
    <row r="11" ht="17" customHeight="1">
      <c r="A11" s="21" t="n">
        <v>8</v>
      </c>
      <c r="B11" s="22" t="inlineStr">
        <is>
          <t>2.0mm</t>
        </is>
      </c>
      <c r="C11" s="22" t="inlineStr">
        <is>
          <t>A1-SP</t>
        </is>
      </c>
      <c r="D11" s="22" t="inlineStr">
        <is>
          <t>P14-RM-4188</t>
        </is>
      </c>
      <c r="E11" s="22" t="inlineStr">
        <is>
          <t>OPTICAL CABLE 2.0mm G657A1 SP-SM (YELLOW,황)</t>
        </is>
      </c>
      <c r="F11" s="23" t="n">
        <v>245155</v>
      </c>
      <c r="G11" s="23" t="n">
        <v>76202</v>
      </c>
      <c r="H11" s="23" t="n">
        <v>124091</v>
      </c>
      <c r="I11" s="23" t="n">
        <v>25930</v>
      </c>
      <c r="J11" s="23" t="n">
        <v>252405</v>
      </c>
      <c r="K11" s="23" t="n">
        <v>46861</v>
      </c>
      <c r="L11" s="23" t="n">
        <v>40000</v>
      </c>
      <c r="M11" s="24" t="n"/>
      <c r="N11" s="23">
        <f>ROUND(AVERAGE(F11,H11,J11),0)</f>
        <v/>
      </c>
      <c r="O11" s="23">
        <f>ROUND(AVERAGE(G11,I11,K11),0)</f>
        <v/>
      </c>
      <c r="P11" s="22" t="inlineStr">
        <is>
          <t>HUAMAI</t>
        </is>
      </c>
      <c r="Q11" s="21" t="inlineStr">
        <is>
          <t>60일</t>
        </is>
      </c>
      <c r="R11" s="25" t="inlineStr"/>
    </row>
    <row r="12" ht="17" customHeight="1">
      <c r="A12" s="16" t="n">
        <v>9</v>
      </c>
      <c r="B12" s="17" t="inlineStr">
        <is>
          <t>2.0mm</t>
        </is>
      </c>
      <c r="C12" s="17" t="inlineStr">
        <is>
          <t>A1_녹-DP</t>
        </is>
      </c>
      <c r="D12" s="17" t="inlineStr">
        <is>
          <t>P14-RM-4183</t>
        </is>
      </c>
      <c r="E12" s="17" t="inlineStr">
        <is>
          <t>OPTICAL CABLE 2.0mm G657A1 DP-SM (GREEN,녹)</t>
        </is>
      </c>
      <c r="F12" s="18" t="n">
        <v>48355</v>
      </c>
      <c r="G12" s="18" t="n">
        <v>16565</v>
      </c>
      <c r="H12" s="18" t="n">
        <v>61867</v>
      </c>
      <c r="I12" s="18" t="n">
        <v>17362</v>
      </c>
      <c r="J12" s="18" t="n">
        <v>12500</v>
      </c>
      <c r="K12" s="18" t="n">
        <v>6530</v>
      </c>
      <c r="L12" s="18" t="n">
        <v>10000</v>
      </c>
      <c r="M12" s="19" t="n"/>
      <c r="N12" s="18">
        <f>ROUND(AVERAGE(F12,H12,J12),0)</f>
        <v/>
      </c>
      <c r="O12" s="18">
        <f>ROUND(AVERAGE(G12,I12,K12),0)</f>
        <v/>
      </c>
      <c r="P12" s="17" t="inlineStr">
        <is>
          <t>HUAMAI</t>
        </is>
      </c>
      <c r="Q12" s="16" t="inlineStr">
        <is>
          <t>60일</t>
        </is>
      </c>
      <c r="R12" s="20" t="inlineStr"/>
    </row>
    <row r="13" ht="17" customHeight="1">
      <c r="A13" s="21" t="n">
        <v>10</v>
      </c>
      <c r="B13" s="22" t="inlineStr">
        <is>
          <t>2.0mm</t>
        </is>
      </c>
      <c r="C13" s="22" t="inlineStr">
        <is>
          <t>A1_녹-SP</t>
        </is>
      </c>
      <c r="D13" s="22" t="inlineStr">
        <is>
          <t>P14-RM-4184</t>
        </is>
      </c>
      <c r="E13" s="22" t="inlineStr">
        <is>
          <t>OPTICAL CABLE 2.0mm G657A1 SP-SM (GREEN,녹)</t>
        </is>
      </c>
      <c r="F13" s="23" t="n">
        <v>27496</v>
      </c>
      <c r="G13" s="23" t="n">
        <v>12210</v>
      </c>
      <c r="H13" s="23" t="n">
        <v>28481</v>
      </c>
      <c r="I13" s="23" t="n">
        <v>13340</v>
      </c>
      <c r="J13" s="23" t="n">
        <v>400</v>
      </c>
      <c r="K13" s="23" t="n">
        <v>300</v>
      </c>
      <c r="L13" s="23" t="n">
        <v>10000</v>
      </c>
      <c r="M13" s="24" t="n"/>
      <c r="N13" s="23">
        <f>ROUND(AVERAGE(F13,H13,J13),0)</f>
        <v/>
      </c>
      <c r="O13" s="23">
        <f>ROUND(AVERAGE(G13,I13,K13),0)</f>
        <v/>
      </c>
      <c r="P13" s="22" t="inlineStr">
        <is>
          <t>HUAMAI</t>
        </is>
      </c>
      <c r="Q13" s="21" t="inlineStr">
        <is>
          <t>60일</t>
        </is>
      </c>
      <c r="R13" s="25" t="inlineStr"/>
    </row>
    <row r="14" ht="17" customHeight="1">
      <c r="A14" s="16" t="n">
        <v>11</v>
      </c>
      <c r="B14" s="17" t="inlineStr">
        <is>
          <t>2.0mm</t>
        </is>
      </c>
      <c r="C14" s="17" t="inlineStr">
        <is>
          <t>A1_자-DP</t>
        </is>
      </c>
      <c r="D14" s="17" t="inlineStr">
        <is>
          <t>P14-RM-418F</t>
        </is>
      </c>
      <c r="E14" s="17" t="inlineStr">
        <is>
          <t>OPTICAL CABLE 2.0mm G657A1 DP-SM (VIOLET, 자)</t>
        </is>
      </c>
      <c r="F14" s="18" t="n">
        <v>2876</v>
      </c>
      <c r="G14" s="18" t="n">
        <v>1700</v>
      </c>
      <c r="H14" s="18" t="n">
        <v>749</v>
      </c>
      <c r="I14" s="18" t="n">
        <v>749</v>
      </c>
      <c r="J14" s="18" t="n"/>
      <c r="K14" s="18" t="n"/>
      <c r="L14" s="18" t="n">
        <v>1650</v>
      </c>
      <c r="M14" s="19" t="n"/>
      <c r="N14" s="18">
        <f>ROUND(AVERAGE(F14,H14,J14),0)</f>
        <v/>
      </c>
      <c r="O14" s="18">
        <f>ROUND(AVERAGE(G14,I14,K14),0)</f>
        <v/>
      </c>
      <c r="P14" s="17" t="inlineStr">
        <is>
          <t>HUAMAI</t>
        </is>
      </c>
      <c r="Q14" s="16" t="inlineStr">
        <is>
          <t>60일</t>
        </is>
      </c>
      <c r="R14" s="20" t="inlineStr"/>
    </row>
    <row r="15" ht="17" customHeight="1">
      <c r="A15" s="21" t="n">
        <v>12</v>
      </c>
      <c r="B15" s="22" t="inlineStr">
        <is>
          <t>2.0mm</t>
        </is>
      </c>
      <c r="C15" s="22" t="inlineStr">
        <is>
          <t>A1_적-DP</t>
        </is>
      </c>
      <c r="D15" s="22" t="inlineStr">
        <is>
          <t>P14-RM-418CR</t>
        </is>
      </c>
      <c r="E15" s="22" t="inlineStr">
        <is>
          <t>OPTICAL CABLE 2.0mm G657A1 DP-SM (RED,적)</t>
        </is>
      </c>
      <c r="F15" s="23" t="n">
        <v>38608</v>
      </c>
      <c r="G15" s="23" t="n">
        <v>8600</v>
      </c>
      <c r="H15" s="23" t="n">
        <v>20404</v>
      </c>
      <c r="I15" s="23" t="n">
        <v>5193</v>
      </c>
      <c r="J15" s="23" t="n">
        <v>13325</v>
      </c>
      <c r="K15" s="23" t="n">
        <v>6800</v>
      </c>
      <c r="L15" s="23" t="n">
        <v>18000</v>
      </c>
      <c r="M15" s="24" t="n"/>
      <c r="N15" s="23">
        <f>ROUND(AVERAGE(F15,H15,J15),0)</f>
        <v/>
      </c>
      <c r="O15" s="23">
        <f>ROUND(AVERAGE(G15,I15,K15),0)</f>
        <v/>
      </c>
      <c r="P15" s="22" t="inlineStr">
        <is>
          <t>HUAMAI</t>
        </is>
      </c>
      <c r="Q15" s="21" t="inlineStr">
        <is>
          <t>60일</t>
        </is>
      </c>
      <c r="R15" s="25" t="inlineStr"/>
    </row>
    <row r="16" ht="17" customHeight="1">
      <c r="A16" s="16" t="n">
        <v>13</v>
      </c>
      <c r="B16" s="17" t="inlineStr">
        <is>
          <t>2.0mm</t>
        </is>
      </c>
      <c r="C16" s="17" t="inlineStr">
        <is>
          <t>A1_적-SP</t>
        </is>
      </c>
      <c r="D16" s="17" t="inlineStr">
        <is>
          <t>P14-RM-418D</t>
        </is>
      </c>
      <c r="E16" s="17" t="inlineStr">
        <is>
          <t>OPTICAL CABLE 2.0mm G657A1 SP-SM (RED,적)</t>
        </is>
      </c>
      <c r="F16" s="18" t="n">
        <v>350</v>
      </c>
      <c r="G16" s="18" t="n">
        <v>200</v>
      </c>
      <c r="H16" s="18" t="n">
        <v>622</v>
      </c>
      <c r="I16" s="18" t="n">
        <v>600</v>
      </c>
      <c r="J16" s="18" t="n">
        <v>400</v>
      </c>
      <c r="K16" s="18" t="n">
        <v>300</v>
      </c>
      <c r="L16" s="18" t="n">
        <v>16200</v>
      </c>
      <c r="M16" s="19" t="n"/>
      <c r="N16" s="18">
        <f>ROUND(AVERAGE(F16,H16,J16),0)</f>
        <v/>
      </c>
      <c r="O16" s="18">
        <f>ROUND(AVERAGE(G16,I16,K16),0)</f>
        <v/>
      </c>
      <c r="P16" s="17" t="inlineStr">
        <is>
          <t>HUAMAI</t>
        </is>
      </c>
      <c r="Q16" s="16" t="inlineStr">
        <is>
          <t>60일</t>
        </is>
      </c>
      <c r="R16" s="20" t="inlineStr"/>
    </row>
    <row r="17" ht="17" customHeight="1">
      <c r="A17" s="21" t="n">
        <v>14</v>
      </c>
      <c r="B17" s="22" t="inlineStr">
        <is>
          <t>2.0mm</t>
        </is>
      </c>
      <c r="C17" s="22" t="inlineStr">
        <is>
          <t>A1_청-DP</t>
        </is>
      </c>
      <c r="D17" s="22" t="inlineStr">
        <is>
          <t>P14-RM-4181R</t>
        </is>
      </c>
      <c r="E17" s="22" t="inlineStr">
        <is>
          <t>OPTICAL CABLE 2.0mm G657A1 DP-SM (BLUE,청)</t>
        </is>
      </c>
      <c r="F17" s="23" t="n">
        <v>43219</v>
      </c>
      <c r="G17" s="23" t="n">
        <v>9500</v>
      </c>
      <c r="H17" s="23" t="n">
        <v>32680</v>
      </c>
      <c r="I17" s="23" t="n">
        <v>13260</v>
      </c>
      <c r="J17" s="23" t="n">
        <v>47465</v>
      </c>
      <c r="K17" s="23" t="n">
        <v>34050</v>
      </c>
      <c r="L17" s="23" t="n">
        <v>18000</v>
      </c>
      <c r="M17" s="24" t="n"/>
      <c r="N17" s="23">
        <f>ROUND(AVERAGE(F17,H17,J17),0)</f>
        <v/>
      </c>
      <c r="O17" s="23">
        <f>ROUND(AVERAGE(G17,I17,K17),0)</f>
        <v/>
      </c>
      <c r="P17" s="22" t="inlineStr">
        <is>
          <t>HUAMAI</t>
        </is>
      </c>
      <c r="Q17" s="21" t="inlineStr">
        <is>
          <t>60일</t>
        </is>
      </c>
      <c r="R17" s="25" t="inlineStr"/>
    </row>
    <row r="18" ht="17" customHeight="1">
      <c r="A18" s="16" t="n">
        <v>15</v>
      </c>
      <c r="B18" s="17" t="inlineStr">
        <is>
          <t>2.0mm</t>
        </is>
      </c>
      <c r="C18" s="17" t="inlineStr">
        <is>
          <t>A1_청-SP</t>
        </is>
      </c>
      <c r="D18" s="17" t="inlineStr">
        <is>
          <t>P14-RM-4182</t>
        </is>
      </c>
      <c r="E18" s="17" t="inlineStr">
        <is>
          <t>OPTICAL CABLE 2.0mm G657A1 SP-SM (BLUE,청)</t>
        </is>
      </c>
      <c r="F18" s="18" t="n">
        <v>6938</v>
      </c>
      <c r="G18" s="18" t="n">
        <v>6810</v>
      </c>
      <c r="H18" s="18" t="n"/>
      <c r="I18" s="18" t="n"/>
      <c r="J18" s="18" t="n">
        <v>6000</v>
      </c>
      <c r="K18" s="18" t="n">
        <v>3650</v>
      </c>
      <c r="L18" s="18" t="n">
        <v>22000</v>
      </c>
      <c r="M18" s="19" t="n"/>
      <c r="N18" s="18">
        <f>ROUND(AVERAGE(F18,H18,J18),0)</f>
        <v/>
      </c>
      <c r="O18" s="18">
        <f>ROUND(AVERAGE(G18,I18,K18),0)</f>
        <v/>
      </c>
      <c r="P18" s="17" t="inlineStr">
        <is>
          <t>HUAMAI</t>
        </is>
      </c>
      <c r="Q18" s="16" t="inlineStr">
        <is>
          <t>60일</t>
        </is>
      </c>
      <c r="R18" s="20" t="inlineStr"/>
    </row>
    <row r="19" ht="17" customHeight="1">
      <c r="A19" s="21" t="n">
        <v>16</v>
      </c>
      <c r="B19" s="22" t="inlineStr">
        <is>
          <t>2.0mm</t>
        </is>
      </c>
      <c r="C19" s="22" t="inlineStr">
        <is>
          <t>B3-12C</t>
        </is>
      </c>
      <c r="D19" s="22" t="inlineStr">
        <is>
          <t>P14-RM-420B</t>
        </is>
      </c>
      <c r="E19" s="22" t="inlineStr">
        <is>
          <t>DISTRIBUTION CABLE G657 B3 (12C)</t>
        </is>
      </c>
      <c r="F19" s="23" t="n">
        <v>9966</v>
      </c>
      <c r="G19" s="23" t="n">
        <v>2021</v>
      </c>
      <c r="H19" s="23" t="n">
        <v>10851</v>
      </c>
      <c r="I19" s="23" t="n">
        <v>1530</v>
      </c>
      <c r="J19" s="23" t="n">
        <v>12623</v>
      </c>
      <c r="K19" s="23" t="n">
        <v>2431</v>
      </c>
      <c r="L19" s="23" t="n"/>
      <c r="M19" s="24" t="n"/>
      <c r="N19" s="23">
        <f>ROUND(AVERAGE(F19,H19,J19),0)</f>
        <v/>
      </c>
      <c r="O19" s="23">
        <f>ROUND(AVERAGE(G19,I19,K19),0)</f>
        <v/>
      </c>
      <c r="P19" s="22" t="inlineStr">
        <is>
          <t>CFOFC</t>
        </is>
      </c>
      <c r="Q19" s="21" t="inlineStr">
        <is>
          <t>40일</t>
        </is>
      </c>
      <c r="R19" s="25" t="inlineStr"/>
    </row>
    <row r="20" ht="17" customHeight="1">
      <c r="A20" s="16" t="n">
        <v>17</v>
      </c>
      <c r="B20" s="17" t="inlineStr">
        <is>
          <t>2.0mm</t>
        </is>
      </c>
      <c r="C20" s="17" t="inlineStr">
        <is>
          <t>B3-16C</t>
        </is>
      </c>
      <c r="D20" s="17" t="inlineStr">
        <is>
          <t>A1 케이블 혼용</t>
        </is>
      </c>
      <c r="E20" s="17" t="n"/>
      <c r="F20" s="18" t="n">
        <v>123</v>
      </c>
      <c r="G20" s="18" t="n">
        <v>123</v>
      </c>
      <c r="H20" s="18" t="n"/>
      <c r="I20" s="18" t="n"/>
      <c r="J20" s="18" t="n">
        <v>84</v>
      </c>
      <c r="K20" s="18" t="n">
        <v>78</v>
      </c>
      <c r="L20" s="18" t="n"/>
      <c r="M20" s="19" t="n"/>
      <c r="N20" s="18">
        <f>ROUND(AVERAGE(F20,H20,J20),0)</f>
        <v/>
      </c>
      <c r="O20" s="18">
        <f>ROUND(AVERAGE(G20,I20,K20),0)</f>
        <v/>
      </c>
      <c r="P20" s="17" t="inlineStr">
        <is>
          <t>CFOFC</t>
        </is>
      </c>
      <c r="Q20" s="16" t="inlineStr">
        <is>
          <t>40일</t>
        </is>
      </c>
      <c r="R20" s="20" t="inlineStr"/>
    </row>
    <row r="21" ht="17" customHeight="1">
      <c r="A21" s="21" t="n">
        <v>18</v>
      </c>
      <c r="B21" s="22" t="inlineStr">
        <is>
          <t>2.0mm</t>
        </is>
      </c>
      <c r="C21" s="22" t="inlineStr">
        <is>
          <t>B3-24C</t>
        </is>
      </c>
      <c r="D21" s="22" t="inlineStr">
        <is>
          <t>A1 케이블 혼용</t>
        </is>
      </c>
      <c r="E21" s="22" t="n"/>
      <c r="F21" s="23" t="n">
        <v>211</v>
      </c>
      <c r="G21" s="23" t="n">
        <v>121</v>
      </c>
      <c r="H21" s="23" t="n">
        <v>146</v>
      </c>
      <c r="I21" s="23" t="n">
        <v>120</v>
      </c>
      <c r="J21" s="23" t="n">
        <v>9</v>
      </c>
      <c r="K21" s="23" t="n">
        <v>9</v>
      </c>
      <c r="L21" s="23" t="n"/>
      <c r="M21" s="24" t="n"/>
      <c r="N21" s="23">
        <f>ROUND(AVERAGE(F21,H21,J21),0)</f>
        <v/>
      </c>
      <c r="O21" s="23">
        <f>ROUND(AVERAGE(G21,I21,K21),0)</f>
        <v/>
      </c>
      <c r="P21" s="22" t="inlineStr">
        <is>
          <t>CFOFC</t>
        </is>
      </c>
      <c r="Q21" s="21" t="inlineStr">
        <is>
          <t>60일</t>
        </is>
      </c>
      <c r="R21" s="25" t="inlineStr"/>
    </row>
    <row r="22" ht="17" customHeight="1">
      <c r="A22" s="16" t="n">
        <v>19</v>
      </c>
      <c r="B22" s="17" t="inlineStr">
        <is>
          <t>2.0mm</t>
        </is>
      </c>
      <c r="C22" s="17" t="inlineStr">
        <is>
          <t>B3-4C</t>
        </is>
      </c>
      <c r="D22" s="17" t="inlineStr"/>
      <c r="E22" s="17" t="inlineStr"/>
      <c r="F22" s="18" t="n"/>
      <c r="G22" s="18" t="n"/>
      <c r="H22" s="18" t="n">
        <v>235</v>
      </c>
      <c r="I22" s="18" t="n">
        <v>175</v>
      </c>
      <c r="J22" s="18" t="n">
        <v>2000</v>
      </c>
      <c r="K22" s="18" t="n">
        <v>900</v>
      </c>
      <c r="L22" s="18" t="n"/>
      <c r="M22" s="19" t="n"/>
      <c r="N22" s="18">
        <f>ROUND(AVERAGE(F22,H22,J22),0)</f>
        <v/>
      </c>
      <c r="O22" s="18">
        <f>ROUND(AVERAGE(G22,I22,K22),0)</f>
        <v/>
      </c>
      <c r="P22" s="17" t="inlineStr"/>
      <c r="Q22" s="16" t="inlineStr"/>
      <c r="R22" s="26" t="inlineStr">
        <is>
          <t>⚠ 참고파일 매칭 필요</t>
        </is>
      </c>
    </row>
    <row r="23" ht="17" customHeight="1">
      <c r="A23" s="21" t="n">
        <v>20</v>
      </c>
      <c r="B23" s="22" t="inlineStr">
        <is>
          <t>2.0mm</t>
        </is>
      </c>
      <c r="C23" s="22" t="inlineStr">
        <is>
          <t>B3-6C</t>
        </is>
      </c>
      <c r="D23" s="22" t="inlineStr">
        <is>
          <t>P14-RM-420A</t>
        </is>
      </c>
      <c r="E23" s="22" t="inlineStr">
        <is>
          <t>DISTRIBUTION CABLE G657 B3 (6C)</t>
        </is>
      </c>
      <c r="F23" s="23" t="n">
        <v>4421</v>
      </c>
      <c r="G23" s="23" t="n">
        <v>823</v>
      </c>
      <c r="H23" s="23" t="n">
        <v>2383</v>
      </c>
      <c r="I23" s="23" t="n">
        <v>822</v>
      </c>
      <c r="J23" s="23" t="n">
        <v>5929</v>
      </c>
      <c r="K23" s="23" t="n">
        <v>1379</v>
      </c>
      <c r="L23" s="23" t="n"/>
      <c r="M23" s="24" t="n"/>
      <c r="N23" s="23">
        <f>ROUND(AVERAGE(F23,H23,J23),0)</f>
        <v/>
      </c>
      <c r="O23" s="23">
        <f>ROUND(AVERAGE(G23,I23,K23),0)</f>
        <v/>
      </c>
      <c r="P23" s="22" t="inlineStr">
        <is>
          <t>CFOFC</t>
        </is>
      </c>
      <c r="Q23" s="21" t="inlineStr">
        <is>
          <t>40일</t>
        </is>
      </c>
      <c r="R23" s="25" t="inlineStr"/>
    </row>
    <row r="24" ht="17" customHeight="1">
      <c r="A24" s="16" t="n">
        <v>21</v>
      </c>
      <c r="B24" s="17" t="inlineStr">
        <is>
          <t>2.0mm</t>
        </is>
      </c>
      <c r="C24" s="17" t="inlineStr">
        <is>
          <t>B3-8C</t>
        </is>
      </c>
      <c r="D24" s="17" t="inlineStr">
        <is>
          <t>A1 케이블 혼용</t>
        </is>
      </c>
      <c r="E24" s="17" t="n"/>
      <c r="F24" s="18" t="n">
        <v>105</v>
      </c>
      <c r="G24" s="18" t="n">
        <v>105</v>
      </c>
      <c r="H24" s="18" t="n">
        <v>180</v>
      </c>
      <c r="I24" s="18" t="n">
        <v>180</v>
      </c>
      <c r="J24" s="18" t="n"/>
      <c r="K24" s="18" t="n"/>
      <c r="L24" s="18" t="n"/>
      <c r="M24" s="19" t="n"/>
      <c r="N24" s="18">
        <f>ROUND(AVERAGE(F24,H24,J24),0)</f>
        <v/>
      </c>
      <c r="O24" s="18">
        <f>ROUND(AVERAGE(G24,I24,K24),0)</f>
        <v/>
      </c>
      <c r="P24" s="17" t="inlineStr">
        <is>
          <t>CFOFC</t>
        </is>
      </c>
      <c r="Q24" s="16" t="inlineStr">
        <is>
          <t>60일</t>
        </is>
      </c>
      <c r="R24" s="20" t="inlineStr"/>
    </row>
    <row r="25" ht="17" customHeight="1">
      <c r="A25" s="21" t="n">
        <v>22</v>
      </c>
      <c r="B25" s="22" t="inlineStr">
        <is>
          <t>2.0mm</t>
        </is>
      </c>
      <c r="C25" s="22" t="inlineStr">
        <is>
          <t>B3-DP</t>
        </is>
      </c>
      <c r="D25" s="22" t="inlineStr">
        <is>
          <t>P14-RM-418R</t>
        </is>
      </c>
      <c r="E25" s="22" t="inlineStr">
        <is>
          <t>OPTICAL CABLE 2.0mm G657 B3 DP-SM (YELLOW,황)</t>
        </is>
      </c>
      <c r="F25" s="23" t="n">
        <v>245427</v>
      </c>
      <c r="G25" s="23" t="n">
        <v>38190</v>
      </c>
      <c r="H25" s="23" t="n">
        <v>189126</v>
      </c>
      <c r="I25" s="23" t="n">
        <v>31139</v>
      </c>
      <c r="J25" s="23" t="n">
        <v>269766</v>
      </c>
      <c r="K25" s="23" t="n">
        <v>38047</v>
      </c>
      <c r="L25" s="23" t="n">
        <v>38000</v>
      </c>
      <c r="M25" s="24" t="n"/>
      <c r="N25" s="23">
        <f>ROUND(AVERAGE(F25,H25,J25),0)</f>
        <v/>
      </c>
      <c r="O25" s="23">
        <f>ROUND(AVERAGE(G25,I25,K25),0)</f>
        <v/>
      </c>
      <c r="P25" s="22" t="inlineStr">
        <is>
          <t>무송지오씨</t>
        </is>
      </c>
      <c r="Q25" s="21" t="inlineStr">
        <is>
          <t>60일</t>
        </is>
      </c>
      <c r="R25" s="25" t="inlineStr"/>
    </row>
    <row r="26" ht="17" customHeight="1">
      <c r="A26" s="16" t="n">
        <v>23</v>
      </c>
      <c r="B26" s="17" t="inlineStr">
        <is>
          <t>2.0mm</t>
        </is>
      </c>
      <c r="C26" s="17" t="inlineStr">
        <is>
          <t>B3-SP</t>
        </is>
      </c>
      <c r="D26" s="17" t="inlineStr">
        <is>
          <t>P14-RM-418Q</t>
        </is>
      </c>
      <c r="E26" s="17" t="inlineStr">
        <is>
          <t>OPTICAL CABLE 2.0mm G657 B3 SP-SM (YELLOW,황)</t>
        </is>
      </c>
      <c r="F26" s="18" t="n">
        <v>176616</v>
      </c>
      <c r="G26" s="18" t="n">
        <v>27807</v>
      </c>
      <c r="H26" s="18" t="n">
        <v>86711</v>
      </c>
      <c r="I26" s="18" t="n">
        <v>24050</v>
      </c>
      <c r="J26" s="18" t="n">
        <v>103438</v>
      </c>
      <c r="K26" s="18" t="n">
        <v>22050</v>
      </c>
      <c r="L26" s="18" t="n">
        <v>43000</v>
      </c>
      <c r="M26" s="19" t="n"/>
      <c r="N26" s="18">
        <f>ROUND(AVERAGE(F26,H26,J26),0)</f>
        <v/>
      </c>
      <c r="O26" s="18">
        <f>ROUND(AVERAGE(G26,I26,K26),0)</f>
        <v/>
      </c>
      <c r="P26" s="17" t="inlineStr">
        <is>
          <t>무송지오씨</t>
        </is>
      </c>
      <c r="Q26" s="16" t="inlineStr">
        <is>
          <t>60일</t>
        </is>
      </c>
      <c r="R26" s="20" t="inlineStr"/>
    </row>
    <row r="27" ht="17" customHeight="1">
      <c r="A27" s="21" t="n">
        <v>24</v>
      </c>
      <c r="B27" s="22" t="inlineStr">
        <is>
          <t>2.0mm</t>
        </is>
      </c>
      <c r="C27" s="22" t="inlineStr">
        <is>
          <t>OM1-DP</t>
        </is>
      </c>
      <c r="D27" s="22" t="inlineStr">
        <is>
          <t>P14-RM-4185R</t>
        </is>
      </c>
      <c r="E27" s="22" t="inlineStr">
        <is>
          <t>OPTICAL CABLE 2.0mm DP-MM(OM1) (ORANGE,등)</t>
        </is>
      </c>
      <c r="F27" s="23" t="n">
        <v>49884</v>
      </c>
      <c r="G27" s="23" t="n">
        <v>8898</v>
      </c>
      <c r="H27" s="23" t="n">
        <v>49954</v>
      </c>
      <c r="I27" s="23" t="n">
        <v>22855</v>
      </c>
      <c r="J27" s="23" t="n">
        <v>43359</v>
      </c>
      <c r="K27" s="23" t="n">
        <v>7755</v>
      </c>
      <c r="L27" s="23" t="n">
        <v>24000</v>
      </c>
      <c r="M27" s="24" t="n"/>
      <c r="N27" s="23">
        <f>ROUND(AVERAGE(F27,H27,J27),0)</f>
        <v/>
      </c>
      <c r="O27" s="23">
        <f>ROUND(AVERAGE(G27,I27,K27),0)</f>
        <v/>
      </c>
      <c r="P27" s="22" t="inlineStr">
        <is>
          <t>HUAMAI</t>
        </is>
      </c>
      <c r="Q27" s="21" t="inlineStr">
        <is>
          <t>60일</t>
        </is>
      </c>
      <c r="R27" s="25" t="inlineStr"/>
    </row>
    <row r="28" ht="17" customHeight="1">
      <c r="A28" s="16" t="n">
        <v>25</v>
      </c>
      <c r="B28" s="17" t="inlineStr">
        <is>
          <t>2.0mm</t>
        </is>
      </c>
      <c r="C28" s="17" t="inlineStr">
        <is>
          <t>OM1-SP</t>
        </is>
      </c>
      <c r="D28" s="17" t="inlineStr">
        <is>
          <t>P14-RM-418E</t>
        </is>
      </c>
      <c r="E28" s="17" t="inlineStr">
        <is>
          <t>OPTICAL CABLE 2.0mm SP-MM(OM1) (ORANGE,등)</t>
        </is>
      </c>
      <c r="F28" s="18" t="n">
        <v>395</v>
      </c>
      <c r="G28" s="18" t="n">
        <v>180</v>
      </c>
      <c r="H28" s="18" t="n">
        <v>805</v>
      </c>
      <c r="I28" s="18" t="n">
        <v>520</v>
      </c>
      <c r="J28" s="18" t="n">
        <v>581</v>
      </c>
      <c r="K28" s="18" t="n">
        <v>575</v>
      </c>
      <c r="L28" s="18" t="n">
        <v>8000</v>
      </c>
      <c r="M28" s="19" t="n"/>
      <c r="N28" s="18">
        <f>ROUND(AVERAGE(F28,H28,J28),0)</f>
        <v/>
      </c>
      <c r="O28" s="18">
        <f>ROUND(AVERAGE(G28,I28,K28),0)</f>
        <v/>
      </c>
      <c r="P28" s="17" t="inlineStr">
        <is>
          <t>HUAMAI</t>
        </is>
      </c>
      <c r="Q28" s="16" t="inlineStr">
        <is>
          <t>60일</t>
        </is>
      </c>
      <c r="R28" s="20" t="inlineStr"/>
    </row>
    <row r="29" ht="17" customHeight="1">
      <c r="A29" s="21" t="n">
        <v>26</v>
      </c>
      <c r="B29" s="22" t="inlineStr">
        <is>
          <t>2.0mm</t>
        </is>
      </c>
      <c r="C29" s="22" t="inlineStr">
        <is>
          <t>OM3-DP</t>
        </is>
      </c>
      <c r="D29" s="22" t="inlineStr">
        <is>
          <t>P14-RM-418BR</t>
        </is>
      </c>
      <c r="E29" s="22" t="inlineStr">
        <is>
          <t>OPTICAL CABLE 2.0mm DP-MM(OM3) (AQUA,연청)</t>
        </is>
      </c>
      <c r="F29" s="23" t="n">
        <v>29738</v>
      </c>
      <c r="G29" s="23" t="n">
        <v>14136</v>
      </c>
      <c r="H29" s="23" t="n">
        <v>22714</v>
      </c>
      <c r="I29" s="23" t="n">
        <v>6961</v>
      </c>
      <c r="J29" s="23" t="n">
        <v>30932</v>
      </c>
      <c r="K29" s="23" t="n">
        <v>12338</v>
      </c>
      <c r="L29" s="23" t="n">
        <v>24000</v>
      </c>
      <c r="M29" s="24" t="n"/>
      <c r="N29" s="23">
        <f>ROUND(AVERAGE(F29,H29,J29),0)</f>
        <v/>
      </c>
      <c r="O29" s="23">
        <f>ROUND(AVERAGE(G29,I29,K29),0)</f>
        <v/>
      </c>
      <c r="P29" s="22" t="inlineStr">
        <is>
          <t>HUAMAI</t>
        </is>
      </c>
      <c r="Q29" s="21" t="inlineStr">
        <is>
          <t>60일</t>
        </is>
      </c>
      <c r="R29" s="25" t="inlineStr"/>
    </row>
    <row r="30" ht="17" customHeight="1">
      <c r="A30" s="16" t="n">
        <v>27</v>
      </c>
      <c r="B30" s="17" t="inlineStr">
        <is>
          <t>2.0mm</t>
        </is>
      </c>
      <c r="C30" s="17" t="inlineStr">
        <is>
          <t>OM3-SP</t>
        </is>
      </c>
      <c r="D30" s="17" t="inlineStr"/>
      <c r="E30" s="17" t="inlineStr"/>
      <c r="F30" s="18" t="n"/>
      <c r="G30" s="18" t="n"/>
      <c r="H30" s="18" t="n">
        <v>1</v>
      </c>
      <c r="I30" s="18" t="n">
        <v>1</v>
      </c>
      <c r="J30" s="18" t="n"/>
      <c r="K30" s="18" t="n"/>
      <c r="L30" s="18" t="n"/>
      <c r="M30" s="19" t="n"/>
      <c r="N30" s="18">
        <f>ROUND(AVERAGE(F30,H30,J30),0)</f>
        <v/>
      </c>
      <c r="O30" s="18">
        <f>ROUND(AVERAGE(G30,I30,K30),0)</f>
        <v/>
      </c>
      <c r="P30" s="17" t="inlineStr"/>
      <c r="Q30" s="16" t="inlineStr"/>
      <c r="R30" s="26" t="inlineStr">
        <is>
          <t>⚠ 참고파일 매칭 필요</t>
        </is>
      </c>
    </row>
    <row r="31" ht="17" customHeight="1">
      <c r="A31" s="21" t="n">
        <v>28</v>
      </c>
      <c r="B31" s="22" t="inlineStr">
        <is>
          <t>2.0mm</t>
        </is>
      </c>
      <c r="C31" s="22" t="inlineStr">
        <is>
          <t>OM4-DP</t>
        </is>
      </c>
      <c r="D31" s="22" t="inlineStr">
        <is>
          <t>P14-RM-418H</t>
        </is>
      </c>
      <c r="E31" s="22" t="inlineStr">
        <is>
          <t>OPTICAL CABLE 2.0mm DP-MM(OM4)</t>
        </is>
      </c>
      <c r="F31" s="23" t="n">
        <v>511</v>
      </c>
      <c r="G31" s="23" t="n">
        <v>511</v>
      </c>
      <c r="H31" s="23" t="n"/>
      <c r="I31" s="23" t="n"/>
      <c r="J31" s="23" t="n"/>
      <c r="K31" s="23" t="n"/>
      <c r="L31" s="23" t="n">
        <v>100</v>
      </c>
      <c r="M31" s="24" t="n"/>
      <c r="N31" s="23">
        <f>ROUND(AVERAGE(F31,H31,J31),0)</f>
        <v/>
      </c>
      <c r="O31" s="23">
        <f>ROUND(AVERAGE(G31,I31,K31),0)</f>
        <v/>
      </c>
      <c r="P31" s="22" t="inlineStr">
        <is>
          <t>HUAMAI</t>
        </is>
      </c>
      <c r="Q31" s="21" t="inlineStr">
        <is>
          <t>60일</t>
        </is>
      </c>
      <c r="R31" s="25" t="inlineStr">
        <is>
          <t>※ 참고파일 기준</t>
        </is>
      </c>
    </row>
    <row r="32" ht="17" customHeight="1">
      <c r="A32" s="16" t="n">
        <v>29</v>
      </c>
      <c r="B32" s="17" t="inlineStr">
        <is>
          <t>2.0mm</t>
        </is>
      </c>
      <c r="C32" s="17" t="inlineStr">
        <is>
          <t>Optical cable</t>
        </is>
      </c>
      <c r="D32" s="17" t="inlineStr">
        <is>
          <t>P14-RM-4382</t>
        </is>
      </c>
      <c r="E32" s="17" t="inlineStr">
        <is>
          <t>OPTICAL CABLE 5.0mm SM-SP (BLACK)</t>
        </is>
      </c>
      <c r="F32" s="18" t="n">
        <v>41885</v>
      </c>
      <c r="G32" s="18" t="n">
        <v>12000</v>
      </c>
      <c r="H32" s="18" t="n">
        <v>17730</v>
      </c>
      <c r="I32" s="18" t="n">
        <v>4560</v>
      </c>
      <c r="J32" s="18" t="n">
        <v>19880</v>
      </c>
      <c r="K32" s="18" t="n">
        <v>4250</v>
      </c>
      <c r="L32" s="18" t="n"/>
      <c r="M32" s="19" t="n"/>
      <c r="N32" s="18">
        <f>ROUND(AVERAGE(F32,H32,J32),0)</f>
        <v/>
      </c>
      <c r="O32" s="18">
        <f>ROUND(AVERAGE(G32,I32,K32),0)</f>
        <v/>
      </c>
      <c r="P32" s="17" t="inlineStr">
        <is>
          <t>HUAMAI</t>
        </is>
      </c>
      <c r="Q32" s="16" t="inlineStr">
        <is>
          <t>60일</t>
        </is>
      </c>
      <c r="R32" s="20" t="inlineStr"/>
    </row>
    <row r="33" ht="17" customHeight="1">
      <c r="A33" s="21" t="n">
        <v>30</v>
      </c>
      <c r="B33" s="22" t="inlineStr">
        <is>
          <t>2.0mm</t>
        </is>
      </c>
      <c r="C33" s="22" t="inlineStr">
        <is>
          <t>PIGTAIL</t>
        </is>
      </c>
      <c r="D33" s="22" t="inlineStr"/>
      <c r="E33" s="22" t="inlineStr"/>
      <c r="F33" s="23" t="n">
        <v>398</v>
      </c>
      <c r="G33" s="23" t="n">
        <v>362</v>
      </c>
      <c r="H33" s="23" t="n">
        <v>36</v>
      </c>
      <c r="I33" s="23" t="n">
        <v>36</v>
      </c>
      <c r="J33" s="23" t="n">
        <v>679</v>
      </c>
      <c r="K33" s="23" t="n">
        <v>615</v>
      </c>
      <c r="L33" s="23" t="n"/>
      <c r="M33" s="24" t="n"/>
      <c r="N33" s="23">
        <f>ROUND(AVERAGE(F33,H33,J33),0)</f>
        <v/>
      </c>
      <c r="O33" s="23">
        <f>ROUND(AVERAGE(G33,I33,K33),0)</f>
        <v/>
      </c>
      <c r="P33" s="22" t="inlineStr"/>
      <c r="Q33" s="21" t="inlineStr"/>
      <c r="R33" s="26" t="inlineStr">
        <is>
          <t>⚠ 참고파일 매칭 필요</t>
        </is>
      </c>
    </row>
    <row r="34" ht="17" customHeight="1">
      <c r="A34" s="16" t="n">
        <v>31</v>
      </c>
      <c r="B34" s="17" t="inlineStr">
        <is>
          <t>3.0mm</t>
        </is>
      </c>
      <c r="C34" s="17" t="inlineStr">
        <is>
          <t>B3-DP</t>
        </is>
      </c>
      <c r="D34" s="17" t="inlineStr">
        <is>
          <t>P14-RM-4196</t>
        </is>
      </c>
      <c r="E34" s="17" t="inlineStr">
        <is>
          <t>OPTICAL CABLE 3.0mm G657 B3 DP-SM (YELLOW,황)</t>
        </is>
      </c>
      <c r="F34" s="18" t="n">
        <v>2302</v>
      </c>
      <c r="G34" s="18" t="n">
        <v>820</v>
      </c>
      <c r="H34" s="18" t="n">
        <v>8542</v>
      </c>
      <c r="I34" s="18" t="n">
        <v>1318</v>
      </c>
      <c r="J34" s="18" t="n">
        <v>19703</v>
      </c>
      <c r="K34" s="18" t="n">
        <v>2594</v>
      </c>
      <c r="L34" s="18" t="n">
        <v>15000</v>
      </c>
      <c r="M34" s="19" t="n"/>
      <c r="N34" s="18">
        <f>ROUND(AVERAGE(F34,H34,J34),0)</f>
        <v/>
      </c>
      <c r="O34" s="18">
        <f>ROUND(AVERAGE(G34,I34,K34),0)</f>
        <v/>
      </c>
      <c r="P34" s="17" t="inlineStr">
        <is>
          <t>무송지오씨</t>
        </is>
      </c>
      <c r="Q34" s="16" t="inlineStr">
        <is>
          <t>60일</t>
        </is>
      </c>
      <c r="R34" s="20" t="inlineStr"/>
    </row>
    <row r="35" ht="17" customHeight="1">
      <c r="A35" s="21" t="n">
        <v>32</v>
      </c>
      <c r="B35" s="22" t="inlineStr">
        <is>
          <t>3.0mm</t>
        </is>
      </c>
      <c r="C35" s="22" t="inlineStr">
        <is>
          <t>B3-SP</t>
        </is>
      </c>
      <c r="D35" s="22" t="inlineStr">
        <is>
          <t>P14-RM-4195</t>
        </is>
      </c>
      <c r="E35" s="22" t="inlineStr">
        <is>
          <t>OPTICAL CABLE 3.0mm G657 B3 SP-SM (YELLOW,황)</t>
        </is>
      </c>
      <c r="F35" s="23" t="n">
        <v>2330</v>
      </c>
      <c r="G35" s="23" t="n">
        <v>659</v>
      </c>
      <c r="H35" s="23" t="n">
        <v>13225</v>
      </c>
      <c r="I35" s="23" t="n">
        <v>5280</v>
      </c>
      <c r="J35" s="23" t="n">
        <v>17783</v>
      </c>
      <c r="K35" s="23" t="n">
        <v>3784</v>
      </c>
      <c r="L35" s="23" t="n">
        <v>6000</v>
      </c>
      <c r="M35" s="24" t="n"/>
      <c r="N35" s="23">
        <f>ROUND(AVERAGE(F35,H35,J35),0)</f>
        <v/>
      </c>
      <c r="O35" s="23">
        <f>ROUND(AVERAGE(G35,I35,K35),0)</f>
        <v/>
      </c>
      <c r="P35" s="22" t="inlineStr">
        <is>
          <t>무송지오씨</t>
        </is>
      </c>
      <c r="Q35" s="21" t="inlineStr">
        <is>
          <t>60일</t>
        </is>
      </c>
      <c r="R35" s="25" t="inlineStr"/>
    </row>
    <row r="36" ht="17" customHeight="1">
      <c r="A36" s="16" t="n">
        <v>33</v>
      </c>
      <c r="B36" s="17" t="inlineStr">
        <is>
          <t>3.0mm</t>
        </is>
      </c>
      <c r="C36" s="17" t="inlineStr">
        <is>
          <t>DROP</t>
        </is>
      </c>
      <c r="D36" s="17" t="inlineStr">
        <is>
          <t>P14-RM-4191</t>
        </is>
      </c>
      <c r="E36" s="17" t="inlineStr">
        <is>
          <t>DROP OPTICAL CABLE 3.0mm SP- SM (BLACK)</t>
        </is>
      </c>
      <c r="F36" s="18" t="n">
        <v>79149</v>
      </c>
      <c r="G36" s="18" t="n">
        <v>15004</v>
      </c>
      <c r="H36" s="18" t="n">
        <v>57564</v>
      </c>
      <c r="I36" s="18" t="n">
        <v>13350</v>
      </c>
      <c r="J36" s="18" t="n">
        <v>31076</v>
      </c>
      <c r="K36" s="18" t="n">
        <v>7130</v>
      </c>
      <c r="L36" s="18" t="n">
        <v>6000</v>
      </c>
      <c r="M36" s="19" t="n"/>
      <c r="N36" s="18">
        <f>ROUND(AVERAGE(F36,H36,J36),0)</f>
        <v/>
      </c>
      <c r="O36" s="18">
        <f>ROUND(AVERAGE(G36,I36,K36),0)</f>
        <v/>
      </c>
      <c r="P36" s="17" t="inlineStr">
        <is>
          <t>HUAMAI</t>
        </is>
      </c>
      <c r="Q36" s="16" t="inlineStr">
        <is>
          <t>60일</t>
        </is>
      </c>
      <c r="R36" s="20" t="inlineStr"/>
    </row>
    <row r="38" ht="18" customHeight="1">
      <c r="B38" s="27" t="inlineStr">
        <is>
          <t>합  계</t>
        </is>
      </c>
      <c r="F38" s="28">
        <f>SUM(F4:F36)</f>
        <v/>
      </c>
      <c r="G38" s="28">
        <f>SUM(G4:G36)</f>
        <v/>
      </c>
      <c r="H38" s="28">
        <f>SUM(H4:H36)</f>
        <v/>
      </c>
      <c r="I38" s="28">
        <f>SUM(I4:I36)</f>
        <v/>
      </c>
      <c r="J38" s="28">
        <f>SUM(J4:J36)</f>
        <v/>
      </c>
      <c r="K38" s="28">
        <f>SUM(K4:K36)</f>
        <v/>
      </c>
      <c r="N38" s="28">
        <f>SUM(N4:N36)</f>
        <v/>
      </c>
      <c r="O38" s="28">
        <f>SUM(O4:O36)</f>
        <v/>
      </c>
    </row>
  </sheetData>
  <mergeCells count="6">
    <mergeCell ref="F2:G2"/>
    <mergeCell ref="H2:I2"/>
    <mergeCell ref="A2:E2"/>
    <mergeCell ref="J2:K2"/>
    <mergeCell ref="N2:O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6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2" customWidth="1" min="16" max="16"/>
    <col width="14" customWidth="1" min="17" max="17"/>
    <col width="10" customWidth="1" min="18" max="18"/>
    <col width="20" customWidth="1" min="19" max="19"/>
  </cols>
  <sheetData>
    <row r="1" ht="24" customHeight="1">
      <c r="A1" s="1" t="inlineStr">
        <is>
          <t>2023~2025년 하우징 생산자재 사용내역 (ROW 데이터 자동 생성)</t>
        </is>
      </c>
    </row>
    <row r="2" ht="18" customHeight="1">
      <c r="A2" s="2" t="inlineStr">
        <is>
          <t>기본정보</t>
        </is>
      </c>
      <c r="G2" s="3" t="inlineStr">
        <is>
          <t>23년</t>
        </is>
      </c>
      <c r="I2" s="4" t="inlineStr">
        <is>
          <t>24년</t>
        </is>
      </c>
      <c r="K2" s="5" t="inlineStr">
        <is>
          <t>25년</t>
        </is>
      </c>
      <c r="M2" s="6" t="inlineStr">
        <is>
          <t>현재고</t>
        </is>
      </c>
      <c r="N2" s="6" t="inlineStr">
        <is>
          <t>기발주</t>
        </is>
      </c>
      <c r="O2" s="7" t="inlineStr">
        <is>
          <t>3개년 분석</t>
        </is>
      </c>
      <c r="Q2" s="8" t="inlineStr">
        <is>
          <t>구매처</t>
        </is>
      </c>
      <c r="R2" s="8" t="inlineStr">
        <is>
          <t>리드타임</t>
        </is>
      </c>
      <c r="S2" s="8" t="inlineStr">
        <is>
          <t>비고</t>
        </is>
      </c>
    </row>
    <row r="3" ht="40" customHeight="1">
      <c r="A3" s="9" t="inlineStr">
        <is>
          <t>NO</t>
        </is>
      </c>
      <c r="B3" s="9" t="inlineStr">
        <is>
          <t>파이</t>
        </is>
      </c>
      <c r="C3" s="9" t="inlineStr">
        <is>
          <t>하우징타입</t>
        </is>
      </c>
      <c r="D3" s="9" t="inlineStr">
        <is>
          <t>품번</t>
        </is>
      </c>
      <c r="E3" s="9" t="inlineStr">
        <is>
          <t>품명</t>
        </is>
      </c>
      <c r="F3" s="9" t="inlineStr">
        <is>
          <t>구매용도</t>
        </is>
      </c>
      <c r="G3" s="10" t="inlineStr">
        <is>
          <t>연간</t>
        </is>
      </c>
      <c r="H3" s="10" t="inlineStr">
        <is>
          <t>피크</t>
        </is>
      </c>
      <c r="I3" s="11" t="inlineStr">
        <is>
          <t>연간</t>
        </is>
      </c>
      <c r="J3" s="11" t="inlineStr">
        <is>
          <t>피크</t>
        </is>
      </c>
      <c r="K3" s="12" t="inlineStr">
        <is>
          <t>연간</t>
        </is>
      </c>
      <c r="L3" s="12" t="inlineStr">
        <is>
          <t>피크</t>
        </is>
      </c>
      <c r="M3" s="13" t="inlineStr">
        <is>
          <t>현재고</t>
        </is>
      </c>
      <c r="N3" s="13" t="inlineStr">
        <is>
          <t>기발주</t>
        </is>
      </c>
      <c r="O3" s="14" t="inlineStr">
        <is>
          <t>3개년평균</t>
        </is>
      </c>
      <c r="P3" s="14" t="inlineStr">
        <is>
          <t>3개년피크평균</t>
        </is>
      </c>
      <c r="Q3" s="15" t="inlineStr">
        <is>
          <t>구매처</t>
        </is>
      </c>
      <c r="R3" s="15" t="inlineStr">
        <is>
          <t>리드타임(일)</t>
        </is>
      </c>
      <c r="S3" s="15" t="inlineStr">
        <is>
          <t>비고</t>
        </is>
      </c>
    </row>
    <row r="4" ht="17" customHeight="1">
      <c r="A4" s="16" t="n">
        <v>1</v>
      </c>
      <c r="B4" s="16" t="inlineStr">
        <is>
          <t>2.0mm</t>
        </is>
      </c>
      <c r="C4" s="16" t="inlineStr">
        <is>
          <t>FC/APC 녹색</t>
        </is>
      </c>
      <c r="D4" s="17" t="inlineStr">
        <is>
          <t>P14-FS-4227</t>
        </is>
      </c>
      <c r="E4" s="17" t="inlineStr">
        <is>
          <t>OJC HOUSING KIT (OJC FC/APC 2.0 GREEN)</t>
        </is>
      </c>
      <c r="F4" s="29" t="inlineStr">
        <is>
          <t>하우징 본체</t>
        </is>
      </c>
      <c r="G4" s="18" t="n">
        <v>1891</v>
      </c>
      <c r="H4" s="18" t="n">
        <v>494</v>
      </c>
      <c r="I4" s="18" t="n">
        <v>791</v>
      </c>
      <c r="J4" s="18" t="n">
        <v>151</v>
      </c>
      <c r="K4" s="18" t="n">
        <v>1320</v>
      </c>
      <c r="L4" s="18" t="n">
        <v>326</v>
      </c>
      <c r="M4" s="18" t="n">
        <v>2200</v>
      </c>
      <c r="N4" s="18" t="n"/>
      <c r="O4" s="18">
        <f>ROUND(AVERAGE(G4,I4,K4),0)</f>
        <v/>
      </c>
      <c r="P4" s="18">
        <f>ROUND(AVERAGE(H4,J4,L4),0)</f>
        <v/>
      </c>
      <c r="Q4" s="17" t="inlineStr">
        <is>
          <t>FIBERCAN</t>
        </is>
      </c>
      <c r="R4" s="16" t="inlineStr">
        <is>
          <t>60일</t>
        </is>
      </c>
      <c r="S4" s="20" t="inlineStr"/>
    </row>
    <row r="5" ht="17" customHeight="1">
      <c r="A5" s="21" t="n">
        <v>2</v>
      </c>
      <c r="B5" s="21" t="inlineStr">
        <is>
          <t>2.0mm</t>
        </is>
      </c>
      <c r="C5" s="21" t="inlineStr">
        <is>
          <t>FC/APC 적색</t>
        </is>
      </c>
      <c r="D5" s="22" t="inlineStr">
        <is>
          <t>P14-FS-422G</t>
        </is>
      </c>
      <c r="E5" s="22" t="inlineStr">
        <is>
          <t>OJC HOUSING KIT (OJC FC/PC,APC 2.0 RED)</t>
        </is>
      </c>
      <c r="F5" s="30" t="inlineStr">
        <is>
          <t>하우징 본체</t>
        </is>
      </c>
      <c r="G5" s="23" t="n">
        <v>3426</v>
      </c>
      <c r="H5" s="23" t="n">
        <v>608</v>
      </c>
      <c r="I5" s="23" t="n">
        <v>1352</v>
      </c>
      <c r="J5" s="23" t="n">
        <v>304</v>
      </c>
      <c r="K5" s="23" t="n">
        <v>5382</v>
      </c>
      <c r="L5" s="23" t="n">
        <v>1308</v>
      </c>
      <c r="M5" s="23" t="n">
        <v>2400</v>
      </c>
      <c r="N5" s="23" t="n"/>
      <c r="O5" s="23">
        <f>ROUND(AVERAGE(G5,I5,K5),0)</f>
        <v/>
      </c>
      <c r="P5" s="23">
        <f>ROUND(AVERAGE(H5,J5,L5),0)</f>
        <v/>
      </c>
      <c r="Q5" s="22" t="inlineStr">
        <is>
          <t>FIBERCAN</t>
        </is>
      </c>
      <c r="R5" s="21" t="inlineStr">
        <is>
          <t>60일</t>
        </is>
      </c>
      <c r="S5" s="25" t="inlineStr"/>
    </row>
    <row r="6" ht="17" customHeight="1">
      <c r="A6" s="16" t="n">
        <v>3</v>
      </c>
      <c r="B6" s="16" t="inlineStr">
        <is>
          <t>2.0mm</t>
        </is>
      </c>
      <c r="C6" s="16" t="inlineStr">
        <is>
          <t>FC/PC 적색</t>
        </is>
      </c>
      <c r="D6" s="17" t="inlineStr">
        <is>
          <t>P14-FS-422G</t>
        </is>
      </c>
      <c r="E6" s="17" t="inlineStr">
        <is>
          <t>OJC HOUSING KIT (OJC FC/PC,APC 2.0 RED)</t>
        </is>
      </c>
      <c r="F6" s="29" t="inlineStr">
        <is>
          <t>하우징 본체</t>
        </is>
      </c>
      <c r="G6" s="18" t="n">
        <v>2946</v>
      </c>
      <c r="H6" s="18" t="n">
        <v>838</v>
      </c>
      <c r="I6" s="18" t="n">
        <v>722</v>
      </c>
      <c r="J6" s="18" t="n">
        <v>218</v>
      </c>
      <c r="K6" s="18" t="n">
        <v>3318</v>
      </c>
      <c r="L6" s="18" t="n">
        <v>1108</v>
      </c>
      <c r="M6" s="18" t="n">
        <v>2400</v>
      </c>
      <c r="N6" s="18" t="n"/>
      <c r="O6" s="18">
        <f>ROUND(AVERAGE(G6,I6,K6),0)</f>
        <v/>
      </c>
      <c r="P6" s="18">
        <f>ROUND(AVERAGE(H6,J6,L6),0)</f>
        <v/>
      </c>
      <c r="Q6" s="17" t="inlineStr">
        <is>
          <t>FIBERCAN</t>
        </is>
      </c>
      <c r="R6" s="16" t="inlineStr">
        <is>
          <t>60일</t>
        </is>
      </c>
      <c r="S6" s="20" t="inlineStr"/>
    </row>
    <row r="7" ht="17" customHeight="1">
      <c r="A7" s="21" t="n">
        <v>4</v>
      </c>
      <c r="B7" s="21" t="inlineStr">
        <is>
          <t>2.0mm</t>
        </is>
      </c>
      <c r="C7" s="21" t="inlineStr">
        <is>
          <t>FC/PC 흑색</t>
        </is>
      </c>
      <c r="D7" s="22" t="inlineStr">
        <is>
          <t>P14-FS-4229</t>
        </is>
      </c>
      <c r="E7" s="22" t="inlineStr">
        <is>
          <t>OJC HOUSING KIT (OJC FC/PC 2.0 BLACK)</t>
        </is>
      </c>
      <c r="F7" s="30" t="inlineStr">
        <is>
          <t>하우징 본체</t>
        </is>
      </c>
      <c r="G7" s="23" t="n">
        <v>1443</v>
      </c>
      <c r="H7" s="23" t="n">
        <v>372</v>
      </c>
      <c r="I7" s="23" t="n">
        <v>678</v>
      </c>
      <c r="J7" s="23" t="n">
        <v>156</v>
      </c>
      <c r="K7" s="23" t="n">
        <v>1166</v>
      </c>
      <c r="L7" s="23" t="n">
        <v>220</v>
      </c>
      <c r="M7" s="23" t="n">
        <v>4200</v>
      </c>
      <c r="N7" s="23" t="n"/>
      <c r="O7" s="23">
        <f>ROUND(AVERAGE(G7,I7,K7),0)</f>
        <v/>
      </c>
      <c r="P7" s="23">
        <f>ROUND(AVERAGE(H7,J7,L7),0)</f>
        <v/>
      </c>
      <c r="Q7" s="22" t="inlineStr">
        <is>
          <t>FIBERCAN</t>
        </is>
      </c>
      <c r="R7" s="21" t="inlineStr">
        <is>
          <t>60일</t>
        </is>
      </c>
      <c r="S7" s="25" t="inlineStr"/>
    </row>
    <row r="8" ht="17" customHeight="1">
      <c r="A8" s="16" t="n">
        <v>5</v>
      </c>
      <c r="B8" s="16" t="inlineStr">
        <is>
          <t>2.0mm</t>
        </is>
      </c>
      <c r="C8" s="16" t="inlineStr">
        <is>
          <t>LC/APC 녹색</t>
        </is>
      </c>
      <c r="D8" s="17" t="inlineStr">
        <is>
          <t>P14-LS-4224</t>
        </is>
      </c>
      <c r="E8" s="17" t="inlineStr">
        <is>
          <t>OJC HOUSING KIT (OJC LC/APC 2.0 GREEN)</t>
        </is>
      </c>
      <c r="F8" s="29" t="inlineStr">
        <is>
          <t>하우징 본체</t>
        </is>
      </c>
      <c r="G8" s="18" t="n">
        <v>1796</v>
      </c>
      <c r="H8" s="18" t="n">
        <v>664</v>
      </c>
      <c r="I8" s="18" t="n">
        <v>3368</v>
      </c>
      <c r="J8" s="18" t="n">
        <v>791</v>
      </c>
      <c r="K8" s="18" t="n">
        <v>973</v>
      </c>
      <c r="L8" s="18" t="n">
        <v>439</v>
      </c>
      <c r="M8" s="18" t="n">
        <v>10000</v>
      </c>
      <c r="N8" s="18" t="n"/>
      <c r="O8" s="18">
        <f>ROUND(AVERAGE(G8,I8,K8),0)</f>
        <v/>
      </c>
      <c r="P8" s="18">
        <f>ROUND(AVERAGE(H8,J8,L8),0)</f>
        <v/>
      </c>
      <c r="Q8" s="17" t="inlineStr">
        <is>
          <t>FIBERCAN</t>
        </is>
      </c>
      <c r="R8" s="16" t="inlineStr">
        <is>
          <t>60일</t>
        </is>
      </c>
      <c r="S8" s="20" t="inlineStr"/>
    </row>
    <row r="9" ht="17" customHeight="1">
      <c r="A9" s="21" t="n">
        <v>6</v>
      </c>
      <c r="B9" s="21" t="inlineStr">
        <is>
          <t>2.0mm</t>
        </is>
      </c>
      <c r="C9" s="21" t="inlineStr">
        <is>
          <t>LC/APC 적색</t>
        </is>
      </c>
      <c r="D9" s="22" t="inlineStr">
        <is>
          <t>P14-LS-4224</t>
        </is>
      </c>
      <c r="E9" s="22" t="inlineStr">
        <is>
          <t>OJC HOUSING KIT (OJC LC/APC 2.0 GREEN)</t>
        </is>
      </c>
      <c r="F9" s="30" t="inlineStr">
        <is>
          <t>하우징 본체</t>
        </is>
      </c>
      <c r="G9" s="23" t="n">
        <v>344</v>
      </c>
      <c r="H9" s="23" t="n">
        <v>110</v>
      </c>
      <c r="I9" s="23" t="n">
        <v>3344</v>
      </c>
      <c r="J9" s="23" t="n">
        <v>904</v>
      </c>
      <c r="K9" s="23" t="n">
        <v>574</v>
      </c>
      <c r="L9" s="23" t="n">
        <v>290</v>
      </c>
      <c r="M9" s="23" t="n">
        <v>10000</v>
      </c>
      <c r="N9" s="23" t="n"/>
      <c r="O9" s="23">
        <f>ROUND(AVERAGE(G9,I9,K9),0)</f>
        <v/>
      </c>
      <c r="P9" s="23">
        <f>ROUND(AVERAGE(H9,J9,L9),0)</f>
        <v/>
      </c>
      <c r="Q9" s="22" t="inlineStr">
        <is>
          <t>FIBERCAN</t>
        </is>
      </c>
      <c r="R9" s="21" t="inlineStr">
        <is>
          <t>60일</t>
        </is>
      </c>
      <c r="S9" s="25" t="inlineStr"/>
    </row>
    <row r="10" ht="17" customHeight="1">
      <c r="A10" s="16" t="n">
        <v>7</v>
      </c>
      <c r="B10" s="16" t="inlineStr">
        <is>
          <t>2.0mm</t>
        </is>
      </c>
      <c r="C10" s="16" t="inlineStr">
        <is>
          <t>LC/PC 베이지MM</t>
        </is>
      </c>
      <c r="D10" s="17" t="inlineStr">
        <is>
          <t>P14-LM-4226</t>
        </is>
      </c>
      <c r="E10" s="17" t="inlineStr">
        <is>
          <t>OJC HOUSING KIT (OJC LC/PC-MM 2.0 BEIGE)</t>
        </is>
      </c>
      <c r="F10" s="29" t="inlineStr">
        <is>
          <t>하우징 본체</t>
        </is>
      </c>
      <c r="G10" s="18" t="n">
        <v>10495</v>
      </c>
      <c r="H10" s="18" t="n">
        <v>1666</v>
      </c>
      <c r="I10" s="18" t="n">
        <v>8350</v>
      </c>
      <c r="J10" s="18" t="n">
        <v>2302</v>
      </c>
      <c r="K10" s="18" t="n">
        <v>9239</v>
      </c>
      <c r="L10" s="18" t="n">
        <v>2254</v>
      </c>
      <c r="M10" s="18" t="n">
        <v>500</v>
      </c>
      <c r="N10" s="18" t="n">
        <v>2100</v>
      </c>
      <c r="O10" s="18">
        <f>ROUND(AVERAGE(G10,I10,K10),0)</f>
        <v/>
      </c>
      <c r="P10" s="18">
        <f>ROUND(AVERAGE(H10,J10,L10),0)</f>
        <v/>
      </c>
      <c r="Q10" s="17" t="inlineStr">
        <is>
          <t>FIBERCAN</t>
        </is>
      </c>
      <c r="R10" s="16" t="inlineStr">
        <is>
          <t>60일</t>
        </is>
      </c>
      <c r="S10" s="20" t="inlineStr"/>
    </row>
    <row r="11" ht="17" customHeight="1">
      <c r="A11" s="21" t="n">
        <v>8</v>
      </c>
      <c r="B11" s="21" t="inlineStr">
        <is>
          <t>2.0mm</t>
        </is>
      </c>
      <c r="C11" s="21" t="inlineStr">
        <is>
          <t>LC/PC 적색</t>
        </is>
      </c>
      <c r="D11" s="22" t="inlineStr">
        <is>
          <t>P14-LS-422A</t>
        </is>
      </c>
      <c r="E11" s="22" t="inlineStr">
        <is>
          <t>OJC HOUSING KIT (OJC LC/PC 2.0 RED)</t>
        </is>
      </c>
      <c r="F11" s="30" t="inlineStr">
        <is>
          <t>하우징 본체</t>
        </is>
      </c>
      <c r="G11" s="23" t="n">
        <v>81004</v>
      </c>
      <c r="H11" s="23" t="n">
        <v>11126</v>
      </c>
      <c r="I11" s="23" t="n">
        <v>56694</v>
      </c>
      <c r="J11" s="23" t="n">
        <v>9974</v>
      </c>
      <c r="K11" s="23" t="n">
        <v>61884</v>
      </c>
      <c r="L11" s="23" t="n">
        <v>8428</v>
      </c>
      <c r="M11" s="23" t="n">
        <v>33500</v>
      </c>
      <c r="N11" s="23" t="n">
        <v>35000</v>
      </c>
      <c r="O11" s="23">
        <f>ROUND(AVERAGE(G11,I11,K11),0)</f>
        <v/>
      </c>
      <c r="P11" s="23">
        <f>ROUND(AVERAGE(H11,J11,L11),0)</f>
        <v/>
      </c>
      <c r="Q11" s="22" t="inlineStr">
        <is>
          <t>FIBERCAN</t>
        </is>
      </c>
      <c r="R11" s="21" t="inlineStr">
        <is>
          <t>60일</t>
        </is>
      </c>
      <c r="S11" s="25" t="inlineStr"/>
    </row>
    <row r="12" ht="17" customHeight="1">
      <c r="A12" s="16" t="n">
        <v>9</v>
      </c>
      <c r="B12" s="16" t="inlineStr">
        <is>
          <t>2.0mm</t>
        </is>
      </c>
      <c r="C12" s="16" t="inlineStr">
        <is>
          <t>LC/PC 청색</t>
        </is>
      </c>
      <c r="D12" s="17" t="inlineStr">
        <is>
          <t>P14-LS-4228</t>
        </is>
      </c>
      <c r="E12" s="17" t="inlineStr">
        <is>
          <t>OJC HOUSING KIT (OJC LC/PC 2.0 BLUE)</t>
        </is>
      </c>
      <c r="F12" s="29" t="inlineStr">
        <is>
          <t>하우징 본체</t>
        </is>
      </c>
      <c r="G12" s="18" t="n">
        <v>80088</v>
      </c>
      <c r="H12" s="18" t="n">
        <v>10983</v>
      </c>
      <c r="I12" s="18" t="n">
        <v>48303</v>
      </c>
      <c r="J12" s="18" t="n">
        <v>9505</v>
      </c>
      <c r="K12" s="18" t="n">
        <v>76476</v>
      </c>
      <c r="L12" s="18" t="n">
        <v>10842</v>
      </c>
      <c r="M12" s="18" t="n">
        <v>34500</v>
      </c>
      <c r="N12" s="18" t="n"/>
      <c r="O12" s="18">
        <f>ROUND(AVERAGE(G12,I12,K12),0)</f>
        <v/>
      </c>
      <c r="P12" s="18">
        <f>ROUND(AVERAGE(H12,J12,L12),0)</f>
        <v/>
      </c>
      <c r="Q12" s="17" t="inlineStr">
        <is>
          <t>FIBERCAN</t>
        </is>
      </c>
      <c r="R12" s="16" t="inlineStr">
        <is>
          <t>60일</t>
        </is>
      </c>
      <c r="S12" s="20" t="inlineStr"/>
    </row>
    <row r="13" ht="17" customHeight="1">
      <c r="A13" s="21" t="n">
        <v>10</v>
      </c>
      <c r="B13" s="21" t="inlineStr">
        <is>
          <t>2.0mm</t>
        </is>
      </c>
      <c r="C13" s="21" t="inlineStr">
        <is>
          <t>SC/APC 녹색</t>
        </is>
      </c>
      <c r="D13" s="22" t="inlineStr">
        <is>
          <t>N94-1-04075</t>
        </is>
      </c>
      <c r="E13" s="22" t="inlineStr">
        <is>
          <t>SPRING</t>
        </is>
      </c>
      <c r="F13" s="30" t="inlineStr">
        <is>
          <t>스프링</t>
        </is>
      </c>
      <c r="G13" s="23" t="n">
        <v>13562</v>
      </c>
      <c r="H13" s="23" t="n">
        <v>2181</v>
      </c>
      <c r="I13" s="23" t="n">
        <v>12423</v>
      </c>
      <c r="J13" s="23" t="n">
        <v>3542</v>
      </c>
      <c r="K13" s="23" t="n">
        <v>8668</v>
      </c>
      <c r="L13" s="23" t="n">
        <v>1786</v>
      </c>
      <c r="M13" s="23" t="n">
        <v>190000</v>
      </c>
      <c r="N13" s="23" t="n"/>
      <c r="O13" s="23">
        <f>ROUND(AVERAGE(G13,I13,K13),0)</f>
        <v/>
      </c>
      <c r="P13" s="23">
        <f>ROUND(AVERAGE(H13,J13,L13),0)</f>
        <v/>
      </c>
      <c r="Q13" s="22" t="inlineStr">
        <is>
          <t>상영스프링</t>
        </is>
      </c>
      <c r="R13" s="21" t="inlineStr">
        <is>
          <t>30일</t>
        </is>
      </c>
      <c r="S13" s="25" t="inlineStr"/>
    </row>
    <row r="14" ht="17" customHeight="1">
      <c r="A14" s="16" t="n">
        <v>11</v>
      </c>
      <c r="B14" s="16" t="inlineStr">
        <is>
          <t>2.0mm</t>
        </is>
      </c>
      <c r="C14" s="16" t="inlineStr">
        <is>
          <t>SC/APC 적색</t>
        </is>
      </c>
      <c r="D14" s="17" t="inlineStr">
        <is>
          <t>N94-1-04075</t>
        </is>
      </c>
      <c r="E14" s="17" t="inlineStr">
        <is>
          <t>SPRING</t>
        </is>
      </c>
      <c r="F14" s="29" t="inlineStr">
        <is>
          <t>스프링</t>
        </is>
      </c>
      <c r="G14" s="18" t="n">
        <v>11724</v>
      </c>
      <c r="H14" s="18" t="n">
        <v>2808</v>
      </c>
      <c r="I14" s="18" t="n">
        <v>4472</v>
      </c>
      <c r="J14" s="18" t="n">
        <v>1260</v>
      </c>
      <c r="K14" s="18" t="n">
        <v>4280</v>
      </c>
      <c r="L14" s="18" t="n">
        <v>928</v>
      </c>
      <c r="M14" s="18" t="n">
        <v>190000</v>
      </c>
      <c r="N14" s="18" t="n"/>
      <c r="O14" s="18">
        <f>ROUND(AVERAGE(G14,I14,K14),0)</f>
        <v/>
      </c>
      <c r="P14" s="18">
        <f>ROUND(AVERAGE(H14,J14,L14),0)</f>
        <v/>
      </c>
      <c r="Q14" s="17" t="inlineStr">
        <is>
          <t>상영스프링</t>
        </is>
      </c>
      <c r="R14" s="16" t="inlineStr">
        <is>
          <t>30일</t>
        </is>
      </c>
      <c r="S14" s="20" t="inlineStr"/>
    </row>
    <row r="15" ht="17" customHeight="1">
      <c r="A15" s="21" t="n">
        <v>12</v>
      </c>
      <c r="B15" s="21" t="inlineStr">
        <is>
          <t>2.0mm</t>
        </is>
      </c>
      <c r="C15" s="21" t="inlineStr">
        <is>
          <t>SC/PC 적색</t>
        </is>
      </c>
      <c r="D15" s="22" t="inlineStr">
        <is>
          <t>N94-1-04075</t>
        </is>
      </c>
      <c r="E15" s="22" t="inlineStr">
        <is>
          <t>SPRING</t>
        </is>
      </c>
      <c r="F15" s="30" t="inlineStr">
        <is>
          <t>스프링</t>
        </is>
      </c>
      <c r="G15" s="23" t="n">
        <v>28652</v>
      </c>
      <c r="H15" s="23" t="n">
        <v>5226</v>
      </c>
      <c r="I15" s="23" t="n">
        <v>19072</v>
      </c>
      <c r="J15" s="23" t="n">
        <v>2522</v>
      </c>
      <c r="K15" s="23" t="n">
        <v>16450</v>
      </c>
      <c r="L15" s="23" t="n">
        <v>2590</v>
      </c>
      <c r="M15" s="23" t="n">
        <v>190000</v>
      </c>
      <c r="N15" s="23" t="n"/>
      <c r="O15" s="23">
        <f>ROUND(AVERAGE(G15,I15,K15),0)</f>
        <v/>
      </c>
      <c r="P15" s="23">
        <f>ROUND(AVERAGE(H15,J15,L15),0)</f>
        <v/>
      </c>
      <c r="Q15" s="22" t="inlineStr">
        <is>
          <t>상영스프링</t>
        </is>
      </c>
      <c r="R15" s="21" t="inlineStr">
        <is>
          <t>30일</t>
        </is>
      </c>
      <c r="S15" s="25" t="inlineStr"/>
    </row>
    <row r="16" ht="17" customHeight="1">
      <c r="A16" s="16" t="n">
        <v>13</v>
      </c>
      <c r="B16" s="16" t="inlineStr">
        <is>
          <t>2.0mm</t>
        </is>
      </c>
      <c r="C16" s="16" t="inlineStr">
        <is>
          <t>SC/PC 청색</t>
        </is>
      </c>
      <c r="D16" s="17" t="inlineStr">
        <is>
          <t>N94-1-04075</t>
        </is>
      </c>
      <c r="E16" s="17" t="inlineStr">
        <is>
          <t>SPRING</t>
        </is>
      </c>
      <c r="F16" s="29" t="inlineStr">
        <is>
          <t>스프링</t>
        </is>
      </c>
      <c r="G16" s="18" t="n">
        <v>154006</v>
      </c>
      <c r="H16" s="18" t="n">
        <v>19751</v>
      </c>
      <c r="I16" s="18" t="n">
        <v>126611</v>
      </c>
      <c r="J16" s="18" t="n">
        <v>20225</v>
      </c>
      <c r="K16" s="18" t="n">
        <v>137328</v>
      </c>
      <c r="L16" s="18" t="n">
        <v>15780</v>
      </c>
      <c r="M16" s="18" t="n">
        <v>190000</v>
      </c>
      <c r="N16" s="18" t="n"/>
      <c r="O16" s="18">
        <f>ROUND(AVERAGE(G16,I16,K16),0)</f>
        <v/>
      </c>
      <c r="P16" s="18">
        <f>ROUND(AVERAGE(H16,J16,L16),0)</f>
        <v/>
      </c>
      <c r="Q16" s="17" t="inlineStr">
        <is>
          <t>상영스프링</t>
        </is>
      </c>
      <c r="R16" s="16" t="inlineStr">
        <is>
          <t>30일</t>
        </is>
      </c>
      <c r="S16" s="20" t="inlineStr"/>
    </row>
    <row r="17" ht="17" customHeight="1">
      <c r="A17" s="21" t="n">
        <v>14</v>
      </c>
      <c r="B17" s="21" t="inlineStr">
        <is>
          <t>3.0mm</t>
        </is>
      </c>
      <c r="C17" s="21" t="inlineStr">
        <is>
          <t>FC/APC 녹색</t>
        </is>
      </c>
      <c r="D17" s="22" t="inlineStr"/>
      <c r="E17" s="22" t="inlineStr"/>
      <c r="F17" s="30" t="inlineStr"/>
      <c r="G17" s="23" t="n">
        <v>88</v>
      </c>
      <c r="H17" s="23" t="n">
        <v>50</v>
      </c>
      <c r="I17" s="23" t="n">
        <v>220</v>
      </c>
      <c r="J17" s="23" t="n">
        <v>100</v>
      </c>
      <c r="K17" s="23" t="n">
        <v>85</v>
      </c>
      <c r="L17" s="23" t="n">
        <v>35</v>
      </c>
      <c r="M17" s="23" t="n"/>
      <c r="N17" s="23" t="n"/>
      <c r="O17" s="23">
        <f>ROUND(AVERAGE(G17,I17,K17),0)</f>
        <v/>
      </c>
      <c r="P17" s="23">
        <f>ROUND(AVERAGE(H17,J17,L17),0)</f>
        <v/>
      </c>
      <c r="Q17" s="22" t="inlineStr"/>
      <c r="R17" s="21" t="inlineStr"/>
      <c r="S17" s="26" t="inlineStr">
        <is>
          <t>⚠ 참고파일 매칭 필요</t>
        </is>
      </c>
    </row>
    <row r="18" ht="17" customHeight="1">
      <c r="A18" s="16" t="n">
        <v>15</v>
      </c>
      <c r="B18" s="16" t="inlineStr">
        <is>
          <t>3.0mm</t>
        </is>
      </c>
      <c r="C18" s="16" t="inlineStr">
        <is>
          <t>FC/APC 적색</t>
        </is>
      </c>
      <c r="D18" s="17" t="inlineStr"/>
      <c r="E18" s="17" t="inlineStr"/>
      <c r="F18" s="29" t="inlineStr"/>
      <c r="G18" s="18" t="n">
        <v>20</v>
      </c>
      <c r="H18" s="18" t="n">
        <v>20</v>
      </c>
      <c r="I18" s="18" t="n">
        <v>118</v>
      </c>
      <c r="J18" s="18" t="n">
        <v>50</v>
      </c>
      <c r="K18" s="18" t="n">
        <v>242</v>
      </c>
      <c r="L18" s="18" t="n">
        <v>60</v>
      </c>
      <c r="M18" s="18" t="n"/>
      <c r="N18" s="18" t="n"/>
      <c r="O18" s="18">
        <f>ROUND(AVERAGE(G18,I18,K18),0)</f>
        <v/>
      </c>
      <c r="P18" s="18">
        <f>ROUND(AVERAGE(H18,J18,L18),0)</f>
        <v/>
      </c>
      <c r="Q18" s="17" t="inlineStr"/>
      <c r="R18" s="16" t="inlineStr"/>
      <c r="S18" s="26" t="inlineStr">
        <is>
          <t>⚠ 참고파일 매칭 필요</t>
        </is>
      </c>
    </row>
    <row r="19" ht="17" customHeight="1">
      <c r="A19" s="21" t="n">
        <v>16</v>
      </c>
      <c r="B19" s="21" t="inlineStr">
        <is>
          <t>3.0mm</t>
        </is>
      </c>
      <c r="C19" s="21" t="inlineStr">
        <is>
          <t>FC/PC 적색</t>
        </is>
      </c>
      <c r="D19" s="22" t="inlineStr"/>
      <c r="E19" s="22" t="inlineStr"/>
      <c r="F19" s="30" t="inlineStr"/>
      <c r="G19" s="23" t="n"/>
      <c r="H19" s="23" t="n"/>
      <c r="I19" s="23" t="n">
        <v>60</v>
      </c>
      <c r="J19" s="23" t="n">
        <v>36</v>
      </c>
      <c r="K19" s="23" t="n">
        <v>60</v>
      </c>
      <c r="L19" s="23" t="n">
        <v>40</v>
      </c>
      <c r="M19" s="23" t="n"/>
      <c r="N19" s="23" t="n"/>
      <c r="O19" s="23">
        <f>ROUND(AVERAGE(G19,I19,K19),0)</f>
        <v/>
      </c>
      <c r="P19" s="23">
        <f>ROUND(AVERAGE(H19,J19,L19),0)</f>
        <v/>
      </c>
      <c r="Q19" s="22" t="inlineStr"/>
      <c r="R19" s="21" t="inlineStr"/>
      <c r="S19" s="26" t="inlineStr">
        <is>
          <t>⚠ 참고파일 매칭 필요</t>
        </is>
      </c>
    </row>
    <row r="20" ht="17" customHeight="1">
      <c r="A20" s="16" t="n">
        <v>17</v>
      </c>
      <c r="B20" s="16" t="inlineStr">
        <is>
          <t>3.0mm</t>
        </is>
      </c>
      <c r="C20" s="16" t="inlineStr">
        <is>
          <t>FC/PC 흑색</t>
        </is>
      </c>
      <c r="D20" s="17" t="inlineStr"/>
      <c r="E20" s="17" t="inlineStr"/>
      <c r="F20" s="29" t="inlineStr"/>
      <c r="G20" s="18" t="n">
        <v>34</v>
      </c>
      <c r="H20" s="18" t="n">
        <v>30</v>
      </c>
      <c r="I20" s="18" t="n">
        <v>85</v>
      </c>
      <c r="J20" s="18" t="n">
        <v>20</v>
      </c>
      <c r="K20" s="18" t="n">
        <v>119</v>
      </c>
      <c r="L20" s="18" t="n">
        <v>50</v>
      </c>
      <c r="M20" s="18" t="n"/>
      <c r="N20" s="18" t="n"/>
      <c r="O20" s="18">
        <f>ROUND(AVERAGE(G20,I20,K20),0)</f>
        <v/>
      </c>
      <c r="P20" s="18">
        <f>ROUND(AVERAGE(H20,J20,L20),0)</f>
        <v/>
      </c>
      <c r="Q20" s="17" t="inlineStr"/>
      <c r="R20" s="16" t="inlineStr"/>
      <c r="S20" s="26" t="inlineStr">
        <is>
          <t>⚠ 참고파일 매칭 필요</t>
        </is>
      </c>
    </row>
    <row r="21" ht="17" customHeight="1">
      <c r="A21" s="21" t="n">
        <v>18</v>
      </c>
      <c r="B21" s="21" t="inlineStr">
        <is>
          <t>3.0mm</t>
        </is>
      </c>
      <c r="C21" s="21" t="inlineStr">
        <is>
          <t>LC/APC 녹색</t>
        </is>
      </c>
      <c r="D21" s="22" t="inlineStr"/>
      <c r="E21" s="22" t="inlineStr"/>
      <c r="F21" s="30" t="inlineStr"/>
      <c r="G21" s="23" t="n">
        <v>641</v>
      </c>
      <c r="H21" s="23" t="n">
        <v>460</v>
      </c>
      <c r="I21" s="23" t="n">
        <v>1453</v>
      </c>
      <c r="J21" s="23" t="n">
        <v>330</v>
      </c>
      <c r="K21" s="23" t="n">
        <v>290</v>
      </c>
      <c r="L21" s="23" t="n">
        <v>220</v>
      </c>
      <c r="M21" s="23" t="n"/>
      <c r="N21" s="23" t="n"/>
      <c r="O21" s="23">
        <f>ROUND(AVERAGE(G21,I21,K21),0)</f>
        <v/>
      </c>
      <c r="P21" s="23">
        <f>ROUND(AVERAGE(H21,J21,L21),0)</f>
        <v/>
      </c>
      <c r="Q21" s="22" t="inlineStr"/>
      <c r="R21" s="21" t="inlineStr"/>
      <c r="S21" s="26" t="inlineStr">
        <is>
          <t>⚠ 참고파일 매칭 필요</t>
        </is>
      </c>
    </row>
    <row r="22" ht="17" customHeight="1">
      <c r="A22" s="16" t="n">
        <v>19</v>
      </c>
      <c r="B22" s="16" t="inlineStr">
        <is>
          <t>3.0mm</t>
        </is>
      </c>
      <c r="C22" s="16" t="inlineStr">
        <is>
          <t>LC/APC 적색</t>
        </is>
      </c>
      <c r="D22" s="17" t="inlineStr"/>
      <c r="E22" s="17" t="inlineStr"/>
      <c r="F22" s="29" t="inlineStr"/>
      <c r="G22" s="18" t="n">
        <v>556</v>
      </c>
      <c r="H22" s="18" t="n">
        <v>460</v>
      </c>
      <c r="I22" s="18" t="n">
        <v>1438</v>
      </c>
      <c r="J22" s="18" t="n">
        <v>330</v>
      </c>
      <c r="K22" s="18" t="n">
        <v>60</v>
      </c>
      <c r="L22" s="18" t="n">
        <v>40</v>
      </c>
      <c r="M22" s="18" t="n"/>
      <c r="N22" s="18" t="n"/>
      <c r="O22" s="18">
        <f>ROUND(AVERAGE(G22,I22,K22),0)</f>
        <v/>
      </c>
      <c r="P22" s="18">
        <f>ROUND(AVERAGE(H22,J22,L22),0)</f>
        <v/>
      </c>
      <c r="Q22" s="17" t="inlineStr"/>
      <c r="R22" s="16" t="inlineStr"/>
      <c r="S22" s="26" t="inlineStr">
        <is>
          <t>⚠ 참고파일 매칭 필요</t>
        </is>
      </c>
    </row>
    <row r="23" ht="17" customHeight="1">
      <c r="A23" s="21" t="n">
        <v>20</v>
      </c>
      <c r="B23" s="21" t="inlineStr">
        <is>
          <t>3.0mm</t>
        </is>
      </c>
      <c r="C23" s="21" t="inlineStr">
        <is>
          <t>LC/PC 적색</t>
        </is>
      </c>
      <c r="D23" s="22" t="inlineStr"/>
      <c r="E23" s="22" t="inlineStr"/>
      <c r="F23" s="30" t="inlineStr"/>
      <c r="G23" s="23" t="n">
        <v>792</v>
      </c>
      <c r="H23" s="23" t="n">
        <v>300</v>
      </c>
      <c r="I23" s="23" t="n">
        <v>2766</v>
      </c>
      <c r="J23" s="23" t="n">
        <v>610</v>
      </c>
      <c r="K23" s="23" t="n">
        <v>4604</v>
      </c>
      <c r="L23" s="23" t="n">
        <v>968</v>
      </c>
      <c r="M23" s="23" t="n"/>
      <c r="N23" s="23" t="n"/>
      <c r="O23" s="23">
        <f>ROUND(AVERAGE(G23,I23,K23),0)</f>
        <v/>
      </c>
      <c r="P23" s="23">
        <f>ROUND(AVERAGE(H23,J23,L23),0)</f>
        <v/>
      </c>
      <c r="Q23" s="22" t="inlineStr"/>
      <c r="R23" s="21" t="inlineStr"/>
      <c r="S23" s="26" t="inlineStr">
        <is>
          <t>⚠ 참고파일 매칭 필요</t>
        </is>
      </c>
    </row>
    <row r="24" ht="17" customHeight="1">
      <c r="A24" s="16" t="n">
        <v>21</v>
      </c>
      <c r="B24" s="16" t="inlineStr">
        <is>
          <t>3.0mm</t>
        </is>
      </c>
      <c r="C24" s="16" t="inlineStr">
        <is>
          <t>LC/PC 청색</t>
        </is>
      </c>
      <c r="D24" s="17" t="inlineStr"/>
      <c r="E24" s="17" t="inlineStr"/>
      <c r="F24" s="29" t="inlineStr"/>
      <c r="G24" s="18" t="n">
        <v>8071</v>
      </c>
      <c r="H24" s="18" t="n">
        <v>1276</v>
      </c>
      <c r="I24" s="18" t="n">
        <v>11006</v>
      </c>
      <c r="J24" s="18" t="n">
        <v>1755</v>
      </c>
      <c r="K24" s="18" t="n">
        <v>12607</v>
      </c>
      <c r="L24" s="18" t="n">
        <v>2408</v>
      </c>
      <c r="M24" s="18" t="n"/>
      <c r="N24" s="18" t="n"/>
      <c r="O24" s="18">
        <f>ROUND(AVERAGE(G24,I24,K24),0)</f>
        <v/>
      </c>
      <c r="P24" s="18">
        <f>ROUND(AVERAGE(H24,J24,L24),0)</f>
        <v/>
      </c>
      <c r="Q24" s="17" t="inlineStr"/>
      <c r="R24" s="16" t="inlineStr"/>
      <c r="S24" s="26" t="inlineStr">
        <is>
          <t>⚠ 참고파일 매칭 필요</t>
        </is>
      </c>
    </row>
    <row r="25" ht="17" customHeight="1">
      <c r="A25" s="21" t="n">
        <v>22</v>
      </c>
      <c r="B25" s="21" t="inlineStr">
        <is>
          <t>3.0mm</t>
        </is>
      </c>
      <c r="C25" s="21" t="inlineStr">
        <is>
          <t>SC/APC 녹색</t>
        </is>
      </c>
      <c r="D25" s="22" t="inlineStr"/>
      <c r="E25" s="22" t="inlineStr"/>
      <c r="F25" s="30" t="inlineStr"/>
      <c r="G25" s="23" t="n">
        <v>4086</v>
      </c>
      <c r="H25" s="23" t="n">
        <v>1820</v>
      </c>
      <c r="I25" s="23" t="n">
        <v>5367</v>
      </c>
      <c r="J25" s="23" t="n">
        <v>1128</v>
      </c>
      <c r="K25" s="23" t="n">
        <v>6025</v>
      </c>
      <c r="L25" s="23" t="n">
        <v>1449</v>
      </c>
      <c r="M25" s="23" t="n"/>
      <c r="N25" s="23" t="n"/>
      <c r="O25" s="23">
        <f>ROUND(AVERAGE(G25,I25,K25),0)</f>
        <v/>
      </c>
      <c r="P25" s="23">
        <f>ROUND(AVERAGE(H25,J25,L25),0)</f>
        <v/>
      </c>
      <c r="Q25" s="22" t="inlineStr"/>
      <c r="R25" s="21" t="inlineStr"/>
      <c r="S25" s="26" t="inlineStr">
        <is>
          <t>⚠ 참고파일 매칭 필요</t>
        </is>
      </c>
    </row>
    <row r="26" ht="17" customHeight="1">
      <c r="A26" s="16" t="n">
        <v>23</v>
      </c>
      <c r="B26" s="16" t="inlineStr">
        <is>
          <t>3.0mm</t>
        </is>
      </c>
      <c r="C26" s="16" t="inlineStr">
        <is>
          <t>SC/APC 적색</t>
        </is>
      </c>
      <c r="D26" s="17" t="inlineStr"/>
      <c r="E26" s="17" t="inlineStr"/>
      <c r="F26" s="29" t="inlineStr"/>
      <c r="G26" s="18" t="n">
        <v>590</v>
      </c>
      <c r="H26" s="18" t="n">
        <v>188</v>
      </c>
      <c r="I26" s="18" t="n">
        <v>2182</v>
      </c>
      <c r="J26" s="18" t="n">
        <v>604</v>
      </c>
      <c r="K26" s="18" t="n">
        <v>5102</v>
      </c>
      <c r="L26" s="18" t="n">
        <v>1000</v>
      </c>
      <c r="M26" s="18" t="n"/>
      <c r="N26" s="18" t="n"/>
      <c r="O26" s="18">
        <f>ROUND(AVERAGE(G26,I26,K26),0)</f>
        <v/>
      </c>
      <c r="P26" s="18">
        <f>ROUND(AVERAGE(H26,J26,L26),0)</f>
        <v/>
      </c>
      <c r="Q26" s="17" t="inlineStr"/>
      <c r="R26" s="16" t="inlineStr"/>
      <c r="S26" s="26" t="inlineStr">
        <is>
          <t>⚠ 참고파일 매칭 필요</t>
        </is>
      </c>
    </row>
    <row r="27" ht="17" customHeight="1">
      <c r="A27" s="21" t="n">
        <v>24</v>
      </c>
      <c r="B27" s="21" t="inlineStr">
        <is>
          <t>3.0mm</t>
        </is>
      </c>
      <c r="C27" s="21" t="inlineStr">
        <is>
          <t>SC/PC 적색</t>
        </is>
      </c>
      <c r="D27" s="22" t="inlineStr"/>
      <c r="E27" s="22" t="inlineStr"/>
      <c r="F27" s="30" t="inlineStr"/>
      <c r="G27" s="23" t="n">
        <v>402</v>
      </c>
      <c r="H27" s="23" t="n">
        <v>262</v>
      </c>
      <c r="I27" s="23" t="n">
        <v>2304</v>
      </c>
      <c r="J27" s="23" t="n">
        <v>438</v>
      </c>
      <c r="K27" s="23" t="n">
        <v>5328</v>
      </c>
      <c r="L27" s="23" t="n">
        <v>1046</v>
      </c>
      <c r="M27" s="23" t="n"/>
      <c r="N27" s="23" t="n"/>
      <c r="O27" s="23">
        <f>ROUND(AVERAGE(G27,I27,K27),0)</f>
        <v/>
      </c>
      <c r="P27" s="23">
        <f>ROUND(AVERAGE(H27,J27,L27),0)</f>
        <v/>
      </c>
      <c r="Q27" s="22" t="inlineStr"/>
      <c r="R27" s="21" t="inlineStr"/>
      <c r="S27" s="26" t="inlineStr">
        <is>
          <t>⚠ 참고파일 매칭 필요</t>
        </is>
      </c>
    </row>
    <row r="28" ht="17" customHeight="1">
      <c r="A28" s="16" t="n">
        <v>25</v>
      </c>
      <c r="B28" s="16" t="inlineStr">
        <is>
          <t>3.0mm</t>
        </is>
      </c>
      <c r="C28" s="16" t="inlineStr">
        <is>
          <t>SC/PC 청색</t>
        </is>
      </c>
      <c r="D28" s="17" t="inlineStr"/>
      <c r="E28" s="17" t="inlineStr"/>
      <c r="F28" s="29" t="inlineStr"/>
      <c r="G28" s="18" t="n">
        <v>4986</v>
      </c>
      <c r="H28" s="18" t="n">
        <v>1514</v>
      </c>
      <c r="I28" s="18" t="n">
        <v>12809</v>
      </c>
      <c r="J28" s="18" t="n">
        <v>3900</v>
      </c>
      <c r="K28" s="18" t="n">
        <v>14280</v>
      </c>
      <c r="L28" s="18" t="n">
        <v>3521</v>
      </c>
      <c r="M28" s="18" t="n"/>
      <c r="N28" s="18" t="n"/>
      <c r="O28" s="18">
        <f>ROUND(AVERAGE(G28,I28,K28),0)</f>
        <v/>
      </c>
      <c r="P28" s="18">
        <f>ROUND(AVERAGE(H28,J28,L28),0)</f>
        <v/>
      </c>
      <c r="Q28" s="17" t="inlineStr"/>
      <c r="R28" s="16" t="inlineStr"/>
      <c r="S28" s="26" t="inlineStr">
        <is>
          <t>⚠ 참고파일 매칭 필요</t>
        </is>
      </c>
    </row>
    <row r="29" ht="17" customHeight="1">
      <c r="A29" s="21" t="n">
        <v>26</v>
      </c>
      <c r="B29" s="21" t="inlineStr">
        <is>
          <t>0.9mm</t>
        </is>
      </c>
      <c r="C29" s="21" t="inlineStr">
        <is>
          <t>FC/PC 흑색</t>
        </is>
      </c>
      <c r="D29" s="22" t="inlineStr"/>
      <c r="E29" s="22" t="inlineStr"/>
      <c r="F29" s="30" t="inlineStr"/>
      <c r="G29" s="23" t="n">
        <v>30</v>
      </c>
      <c r="H29" s="23" t="n">
        <v>30</v>
      </c>
      <c r="I29" s="23" t="n"/>
      <c r="J29" s="23" t="n"/>
      <c r="K29" s="23" t="n"/>
      <c r="L29" s="23" t="n"/>
      <c r="M29" s="23" t="n"/>
      <c r="N29" s="23" t="n"/>
      <c r="O29" s="23">
        <f>ROUND(AVERAGE(G29,I29,K29),0)</f>
        <v/>
      </c>
      <c r="P29" s="23">
        <f>ROUND(AVERAGE(H29,J29,L29),0)</f>
        <v/>
      </c>
      <c r="Q29" s="22" t="inlineStr"/>
      <c r="R29" s="21" t="inlineStr"/>
      <c r="S29" s="26" t="inlineStr">
        <is>
          <t>⚠ 참고파일 매칭 필요</t>
        </is>
      </c>
    </row>
    <row r="30" ht="17" customHeight="1">
      <c r="A30" s="16" t="n">
        <v>27</v>
      </c>
      <c r="B30" s="16" t="inlineStr">
        <is>
          <t>0.9mm</t>
        </is>
      </c>
      <c r="C30" s="16" t="inlineStr">
        <is>
          <t>LC/APC 녹색</t>
        </is>
      </c>
      <c r="D30" s="17" t="inlineStr"/>
      <c r="E30" s="17" t="inlineStr"/>
      <c r="F30" s="29" t="inlineStr"/>
      <c r="G30" s="18" t="n">
        <v>784</v>
      </c>
      <c r="H30" s="18" t="n">
        <v>520</v>
      </c>
      <c r="I30" s="18" t="n">
        <v>218</v>
      </c>
      <c r="J30" s="18" t="n">
        <v>146</v>
      </c>
      <c r="K30" s="18" t="n">
        <v>72</v>
      </c>
      <c r="L30" s="18" t="n">
        <v>48</v>
      </c>
      <c r="M30" s="18" t="n"/>
      <c r="N30" s="18" t="n"/>
      <c r="O30" s="18">
        <f>ROUND(AVERAGE(G30,I30,K30),0)</f>
        <v/>
      </c>
      <c r="P30" s="18">
        <f>ROUND(AVERAGE(H30,J30,L30),0)</f>
        <v/>
      </c>
      <c r="Q30" s="17" t="inlineStr"/>
      <c r="R30" s="16" t="inlineStr"/>
      <c r="S30" s="26" t="inlineStr">
        <is>
          <t>⚠ 참고파일 매칭 필요</t>
        </is>
      </c>
    </row>
    <row r="31" ht="17" customHeight="1">
      <c r="A31" s="21" t="n">
        <v>28</v>
      </c>
      <c r="B31" s="21" t="inlineStr">
        <is>
          <t>0.9mm</t>
        </is>
      </c>
      <c r="C31" s="21" t="inlineStr">
        <is>
          <t>LC/PC 청색</t>
        </is>
      </c>
      <c r="D31" s="22" t="inlineStr"/>
      <c r="E31" s="22" t="inlineStr"/>
      <c r="F31" s="30" t="inlineStr"/>
      <c r="G31" s="23" t="n">
        <v>2919</v>
      </c>
      <c r="H31" s="23" t="n">
        <v>1078</v>
      </c>
      <c r="I31" s="23" t="n">
        <v>16276</v>
      </c>
      <c r="J31" s="23" t="n">
        <v>6000</v>
      </c>
      <c r="K31" s="23" t="n">
        <v>1440</v>
      </c>
      <c r="L31" s="23" t="n">
        <v>1152</v>
      </c>
      <c r="M31" s="23" t="n"/>
      <c r="N31" s="23" t="n"/>
      <c r="O31" s="23">
        <f>ROUND(AVERAGE(G31,I31,K31),0)</f>
        <v/>
      </c>
      <c r="P31" s="23">
        <f>ROUND(AVERAGE(H31,J31,L31),0)</f>
        <v/>
      </c>
      <c r="Q31" s="22" t="inlineStr"/>
      <c r="R31" s="21" t="inlineStr"/>
      <c r="S31" s="26" t="inlineStr">
        <is>
          <t>⚠ 참고파일 매칭 필요</t>
        </is>
      </c>
    </row>
    <row r="32" ht="17" customHeight="1">
      <c r="A32" s="16" t="n">
        <v>29</v>
      </c>
      <c r="B32" s="16" t="inlineStr">
        <is>
          <t>0.9mm</t>
        </is>
      </c>
      <c r="C32" s="16" t="inlineStr">
        <is>
          <t>SC/APC 녹색</t>
        </is>
      </c>
      <c r="D32" s="17" t="inlineStr"/>
      <c r="E32" s="17" t="inlineStr"/>
      <c r="F32" s="29" t="inlineStr"/>
      <c r="G32" s="18" t="n">
        <v>5576</v>
      </c>
      <c r="H32" s="18" t="n">
        <v>2492</v>
      </c>
      <c r="I32" s="18" t="n">
        <v>4724</v>
      </c>
      <c r="J32" s="18" t="n">
        <v>2604</v>
      </c>
      <c r="K32" s="18" t="n">
        <v>4686</v>
      </c>
      <c r="L32" s="18" t="n">
        <v>3360</v>
      </c>
      <c r="M32" s="18" t="n"/>
      <c r="N32" s="18" t="n"/>
      <c r="O32" s="18">
        <f>ROUND(AVERAGE(G32,I32,K32),0)</f>
        <v/>
      </c>
      <c r="P32" s="18">
        <f>ROUND(AVERAGE(H32,J32,L32),0)</f>
        <v/>
      </c>
      <c r="Q32" s="17" t="inlineStr"/>
      <c r="R32" s="16" t="inlineStr"/>
      <c r="S32" s="26" t="inlineStr">
        <is>
          <t>⚠ 참고파일 매칭 필요</t>
        </is>
      </c>
    </row>
    <row r="33" ht="17" customHeight="1">
      <c r="A33" s="21" t="n">
        <v>30</v>
      </c>
      <c r="B33" s="21" t="inlineStr">
        <is>
          <t>0.9mm</t>
        </is>
      </c>
      <c r="C33" s="21" t="inlineStr">
        <is>
          <t>SC/PC 청색</t>
        </is>
      </c>
      <c r="D33" s="22" t="inlineStr"/>
      <c r="E33" s="22" t="inlineStr"/>
      <c r="F33" s="30" t="inlineStr"/>
      <c r="G33" s="23" t="n">
        <v>13560</v>
      </c>
      <c r="H33" s="23" t="n">
        <v>4596</v>
      </c>
      <c r="I33" s="23" t="n">
        <v>11052</v>
      </c>
      <c r="J33" s="23" t="n">
        <v>3988</v>
      </c>
      <c r="K33" s="23" t="n">
        <v>6123</v>
      </c>
      <c r="L33" s="23" t="n">
        <v>1800</v>
      </c>
      <c r="M33" s="23" t="n"/>
      <c r="N33" s="23" t="n"/>
      <c r="O33" s="23">
        <f>ROUND(AVERAGE(G33,I33,K33),0)</f>
        <v/>
      </c>
      <c r="P33" s="23">
        <f>ROUND(AVERAGE(H33,J33,L33),0)</f>
        <v/>
      </c>
      <c r="Q33" s="22" t="inlineStr"/>
      <c r="R33" s="21" t="inlineStr"/>
      <c r="S33" s="26" t="inlineStr">
        <is>
          <t>⚠ 참고파일 매칭 필요</t>
        </is>
      </c>
    </row>
  </sheetData>
  <mergeCells count="6">
    <mergeCell ref="A2:F2"/>
    <mergeCell ref="O2:P2"/>
    <mergeCell ref="G2:H2"/>
    <mergeCell ref="K2:L2"/>
    <mergeCell ref="I2:J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2026-04-28T06:07:44Z</dcterms:created>
  <dcterms:modified xmlns:dcterms="http://purl.org/dc/terms/" xmlns:xsi="http://www.w3.org/2001/XMLSchema-instance" xsi:type="dcterms:W3CDTF">2026-04-28T06:07:44Z</dcterms:modified>
</cp:coreProperties>
</file>
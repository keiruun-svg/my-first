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년_케이블" sheetId="1" state="visible" r:id="rId1"/>
    <sheet xmlns:r="http://schemas.openxmlformats.org/officeDocument/2006/relationships" name="26년 하우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22" customWidth="1" min="4" max="4"/>
    <col width="8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20" customWidth="1" min="24" max="24"/>
  </cols>
  <sheetData>
    <row r="1" ht="40" customHeight="1">
      <c r="A1" s="1" t="inlineStr">
        <is>
          <t>품목코드</t>
        </is>
      </c>
      <c r="B1" s="1" t="inlineStr">
        <is>
          <t>품목명</t>
        </is>
      </c>
      <c r="C1" s="1" t="inlineStr">
        <is>
          <t>규격명</t>
        </is>
      </c>
      <c r="D1" s="1" t="inlineStr">
        <is>
          <t>케이블 종류</t>
        </is>
      </c>
      <c r="E1" s="1" t="inlineStr">
        <is>
          <t>파이</t>
        </is>
      </c>
      <c r="F1" s="1" t="inlineStr">
        <is>
          <t>코어수</t>
        </is>
      </c>
      <c r="G1" s="1" t="inlineStr">
        <is>
          <t>케이블 길이</t>
        </is>
      </c>
      <c r="H1" s="1" t="inlineStr">
        <is>
          <t>타입 1</t>
        </is>
      </c>
      <c r="I1" s="1" t="inlineStr">
        <is>
          <t>타입2</t>
        </is>
      </c>
      <c r="J1" s="1" t="inlineStr">
        <is>
          <t>26년01월</t>
        </is>
      </c>
      <c r="K1" s="1" t="inlineStr">
        <is>
          <t>26년02월</t>
        </is>
      </c>
      <c r="L1" s="1" t="inlineStr">
        <is>
          <t>26년03월</t>
        </is>
      </c>
      <c r="M1" s="1" t="inlineStr">
        <is>
          <t>26년04월</t>
        </is>
      </c>
      <c r="N1" s="1" t="inlineStr">
        <is>
          <t>26년05월</t>
        </is>
      </c>
      <c r="O1" s="1" t="inlineStr">
        <is>
          <t>26년06월</t>
        </is>
      </c>
      <c r="P1" s="1" t="inlineStr">
        <is>
          <t>26년07월</t>
        </is>
      </c>
      <c r="Q1" s="1" t="inlineStr">
        <is>
          <t>26년08월</t>
        </is>
      </c>
      <c r="R1" s="1" t="inlineStr">
        <is>
          <t>26년09월</t>
        </is>
      </c>
      <c r="S1" s="1" t="inlineStr">
        <is>
          <t>26년10월</t>
        </is>
      </c>
      <c r="T1" s="1" t="inlineStr">
        <is>
          <t>26년11월</t>
        </is>
      </c>
      <c r="U1" s="1" t="inlineStr">
        <is>
          <t>26년12월</t>
        </is>
      </c>
      <c r="V1" s="1" t="inlineStr">
        <is>
          <t>케이블 사용량</t>
        </is>
      </c>
      <c r="W1" s="1" t="inlineStr">
        <is>
          <t>최고제작량</t>
        </is>
      </c>
      <c r="X1" s="1" t="inlineStr">
        <is>
          <t>최고판매 케이블 소요량</t>
        </is>
      </c>
    </row>
    <row r="2">
      <c r="A2" s="2" t="inlineStr">
        <is>
          <t>14-C-005</t>
        </is>
      </c>
      <c r="B2" s="3" t="inlineStr">
        <is>
          <t>DROP-CABLE(LC/PC)</t>
        </is>
      </c>
      <c r="C2" s="2" t="inlineStr">
        <is>
          <t>3M</t>
        </is>
      </c>
      <c r="D2" s="2" t="inlineStr">
        <is>
          <t>drop</t>
        </is>
      </c>
      <c r="E2" s="2" t="inlineStr">
        <is>
          <t>3.0mm</t>
        </is>
      </c>
      <c r="F2" s="2" t="n">
        <v>1</v>
      </c>
      <c r="G2" s="2" t="n">
        <v>3</v>
      </c>
      <c r="H2" s="2" t="inlineStr">
        <is>
          <t>LC/PC</t>
        </is>
      </c>
      <c r="I2" s="2" t="inlineStr">
        <is>
          <t>LC/PC</t>
        </is>
      </c>
      <c r="J2" s="2" t="n">
        <v>50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>
        <f>SUM(J2:U2)*G2</f>
        <v/>
      </c>
      <c r="W2" s="2">
        <f>MAX(J2:U2)</f>
        <v/>
      </c>
      <c r="X2" s="2">
        <f>W2*G2</f>
        <v/>
      </c>
    </row>
    <row r="3">
      <c r="A3" s="2" t="inlineStr">
        <is>
          <t>14-C-006</t>
        </is>
      </c>
      <c r="B3" s="3" t="inlineStr">
        <is>
          <t>DROP-CABLE(LC/PC)</t>
        </is>
      </c>
      <c r="C3" s="2" t="inlineStr">
        <is>
          <t>5M</t>
        </is>
      </c>
      <c r="D3" s="2" t="inlineStr">
        <is>
          <t>drop</t>
        </is>
      </c>
      <c r="E3" s="2" t="inlineStr">
        <is>
          <t>3.0mm</t>
        </is>
      </c>
      <c r="F3" s="2" t="n">
        <v>1</v>
      </c>
      <c r="G3" s="2" t="n">
        <v>5</v>
      </c>
      <c r="H3" s="2" t="inlineStr">
        <is>
          <t>LC/PC</t>
        </is>
      </c>
      <c r="I3" s="2" t="inlineStr">
        <is>
          <t>LC/PC</t>
        </is>
      </c>
      <c r="J3" s="2" t="n"/>
      <c r="K3" s="2" t="n">
        <v>10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>
        <f>SUM(J3:U3)*G3</f>
        <v/>
      </c>
      <c r="W3" s="2">
        <f>MAX(J3:U3)</f>
        <v/>
      </c>
      <c r="X3" s="2">
        <f>W3*G3</f>
        <v/>
      </c>
    </row>
    <row r="4">
      <c r="A4" s="2" t="inlineStr">
        <is>
          <t>14-C-009</t>
        </is>
      </c>
      <c r="B4" s="3" t="inlineStr">
        <is>
          <t>DROP-CABLE(LC/PC-SC/APC)</t>
        </is>
      </c>
      <c r="C4" s="2" t="inlineStr">
        <is>
          <t>10M</t>
        </is>
      </c>
      <c r="D4" s="2" t="inlineStr">
        <is>
          <t>drop</t>
        </is>
      </c>
      <c r="E4" s="2" t="inlineStr">
        <is>
          <t>3.0mm</t>
        </is>
      </c>
      <c r="F4" s="2" t="n">
        <v>1</v>
      </c>
      <c r="G4" s="2" t="n">
        <v>10</v>
      </c>
      <c r="H4" s="2" t="inlineStr">
        <is>
          <t>LC/PC</t>
        </is>
      </c>
      <c r="I4" s="2" t="inlineStr">
        <is>
          <t>SC/APC</t>
        </is>
      </c>
      <c r="J4" s="2" t="n">
        <v>110</v>
      </c>
      <c r="K4" s="2" t="n">
        <v>10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>
        <f>SUM(J4:U4)*G4</f>
        <v/>
      </c>
      <c r="W4" s="2">
        <f>MAX(J4:U4)</f>
        <v/>
      </c>
      <c r="X4" s="2">
        <f>W4*G4</f>
        <v/>
      </c>
    </row>
    <row r="5">
      <c r="A5" s="2" t="inlineStr">
        <is>
          <t>14-C-010</t>
        </is>
      </c>
      <c r="B5" s="3" t="inlineStr">
        <is>
          <t>DROP-CABLE(LC/PC-SC/APC)</t>
        </is>
      </c>
      <c r="C5" s="2" t="inlineStr">
        <is>
          <t>20M</t>
        </is>
      </c>
      <c r="D5" s="2" t="inlineStr">
        <is>
          <t>drop</t>
        </is>
      </c>
      <c r="E5" s="2" t="inlineStr">
        <is>
          <t>3.0mm</t>
        </is>
      </c>
      <c r="F5" s="2" t="n">
        <v>1</v>
      </c>
      <c r="G5" s="2" t="n">
        <v>20</v>
      </c>
      <c r="H5" s="2" t="inlineStr">
        <is>
          <t>LC/PC</t>
        </is>
      </c>
      <c r="I5" s="2" t="inlineStr">
        <is>
          <t>SC/APC</t>
        </is>
      </c>
      <c r="J5" s="2" t="n"/>
      <c r="K5" s="2" t="n">
        <v>10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>
        <f>SUM(J5:U5)*G5</f>
        <v/>
      </c>
      <c r="W5" s="2">
        <f>MAX(J5:U5)</f>
        <v/>
      </c>
      <c r="X5" s="2">
        <f>W5*G5</f>
        <v/>
      </c>
    </row>
    <row r="6">
      <c r="A6" s="2" t="inlineStr">
        <is>
          <t>14-C-013</t>
        </is>
      </c>
      <c r="B6" s="3" t="inlineStr">
        <is>
          <t>DROP-CABLE(SC/APC)</t>
        </is>
      </c>
      <c r="C6" s="2" t="inlineStr">
        <is>
          <t>10M</t>
        </is>
      </c>
      <c r="D6" s="2" t="inlineStr">
        <is>
          <t>drop</t>
        </is>
      </c>
      <c r="E6" s="2" t="inlineStr">
        <is>
          <t>3.0mm</t>
        </is>
      </c>
      <c r="F6" s="2" t="n">
        <v>1</v>
      </c>
      <c r="G6" s="2" t="n">
        <v>10</v>
      </c>
      <c r="H6" s="2" t="inlineStr">
        <is>
          <t>SC/APC</t>
        </is>
      </c>
      <c r="I6" s="2" t="inlineStr">
        <is>
          <t>SC/APC</t>
        </is>
      </c>
      <c r="J6" s="2" t="n">
        <v>5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>
        <f>SUM(J6:U6)*G6</f>
        <v/>
      </c>
      <c r="W6" s="2">
        <f>MAX(J6:U6)</f>
        <v/>
      </c>
      <c r="X6" s="2">
        <f>W6*G6</f>
        <v/>
      </c>
    </row>
    <row r="7">
      <c r="A7" s="2" t="inlineStr">
        <is>
          <t>14-C-024</t>
        </is>
      </c>
      <c r="B7" s="3" t="inlineStr">
        <is>
          <t>DROP-CABLE(SC/APC)</t>
        </is>
      </c>
      <c r="C7" s="2" t="inlineStr">
        <is>
          <t>50M</t>
        </is>
      </c>
      <c r="D7" s="2" t="inlineStr">
        <is>
          <t>drop</t>
        </is>
      </c>
      <c r="E7" s="2" t="inlineStr">
        <is>
          <t>3.0mm</t>
        </is>
      </c>
      <c r="F7" s="2" t="n">
        <v>1</v>
      </c>
      <c r="G7" s="2" t="n">
        <v>50</v>
      </c>
      <c r="H7" s="2" t="inlineStr">
        <is>
          <t>SC/APC</t>
        </is>
      </c>
      <c r="I7" s="2" t="inlineStr">
        <is>
          <t>SC/APC</t>
        </is>
      </c>
      <c r="J7" s="2" t="n"/>
      <c r="K7" s="2" t="n">
        <v>1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>
        <f>SUM(J7:U7)*G7</f>
        <v/>
      </c>
      <c r="W7" s="2">
        <f>MAX(J7:U7)</f>
        <v/>
      </c>
      <c r="X7" s="2">
        <f>W7*G7</f>
        <v/>
      </c>
    </row>
    <row r="8">
      <c r="A8" s="2" t="inlineStr">
        <is>
          <t>14-C-055</t>
        </is>
      </c>
      <c r="B8" s="3" t="inlineStr">
        <is>
          <t>DROP-CABLE(SC/PC)</t>
        </is>
      </c>
      <c r="C8" s="2" t="inlineStr">
        <is>
          <t>3M</t>
        </is>
      </c>
      <c r="D8" s="2" t="inlineStr">
        <is>
          <t>drop</t>
        </is>
      </c>
      <c r="E8" s="2" t="inlineStr">
        <is>
          <t>3.0mm</t>
        </is>
      </c>
      <c r="F8" s="2" t="n">
        <v>1</v>
      </c>
      <c r="G8" s="2" t="n">
        <v>3</v>
      </c>
      <c r="H8" s="2" t="inlineStr">
        <is>
          <t>SC/PC</t>
        </is>
      </c>
      <c r="I8" s="2" t="inlineStr">
        <is>
          <t>SC/PC</t>
        </is>
      </c>
      <c r="J8" s="2" t="n"/>
      <c r="K8" s="2" t="n"/>
      <c r="L8" s="2" t="n">
        <v>20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>
        <f>SUM(J8:U8)*G8</f>
        <v/>
      </c>
      <c r="W8" s="2">
        <f>MAX(J8:U8)</f>
        <v/>
      </c>
      <c r="X8" s="2">
        <f>W8*G8</f>
        <v/>
      </c>
    </row>
    <row r="9">
      <c r="A9" s="2" t="inlineStr">
        <is>
          <t>14-C-094</t>
        </is>
      </c>
      <c r="B9" s="3" t="inlineStr">
        <is>
          <t>DROP-CABLE(SC/PC-SC/APC)</t>
        </is>
      </c>
      <c r="C9" s="2" t="inlineStr">
        <is>
          <t>5M</t>
        </is>
      </c>
      <c r="D9" s="2" t="inlineStr">
        <is>
          <t>drop</t>
        </is>
      </c>
      <c r="E9" s="2" t="inlineStr">
        <is>
          <t>3.0mm</t>
        </is>
      </c>
      <c r="F9" s="2" t="n">
        <v>1</v>
      </c>
      <c r="G9" s="2" t="n">
        <v>5</v>
      </c>
      <c r="H9" s="2" t="inlineStr">
        <is>
          <t>SC/PC</t>
        </is>
      </c>
      <c r="I9" s="2" t="inlineStr">
        <is>
          <t>SC/APC</t>
        </is>
      </c>
      <c r="J9" s="2" t="n">
        <v>10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>
        <f>SUM(J9:U9)*G9</f>
        <v/>
      </c>
      <c r="W9" s="2">
        <f>MAX(J9:U9)</f>
        <v/>
      </c>
      <c r="X9" s="2">
        <f>W9*G9</f>
        <v/>
      </c>
    </row>
    <row r="10">
      <c r="A10" s="2" t="inlineStr">
        <is>
          <t>14-C-130</t>
        </is>
      </c>
      <c r="B10" s="3" t="inlineStr">
        <is>
          <t>DROP-CABLE(LC/PC-SC/APC)</t>
        </is>
      </c>
      <c r="C10" s="2" t="inlineStr">
        <is>
          <t>15M</t>
        </is>
      </c>
      <c r="D10" s="2" t="inlineStr">
        <is>
          <t>drop</t>
        </is>
      </c>
      <c r="E10" s="2" t="inlineStr">
        <is>
          <t>3.0mm</t>
        </is>
      </c>
      <c r="F10" s="2" t="n">
        <v>1</v>
      </c>
      <c r="G10" s="2" t="n">
        <v>15</v>
      </c>
      <c r="H10" s="2" t="inlineStr">
        <is>
          <t>LC/PC</t>
        </is>
      </c>
      <c r="I10" s="2" t="inlineStr">
        <is>
          <t>SC/APC</t>
        </is>
      </c>
      <c r="J10" s="2" t="n">
        <v>110</v>
      </c>
      <c r="K10" s="2" t="n">
        <v>10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>
        <f>SUM(J10:U10)*G10</f>
        <v/>
      </c>
      <c r="W10" s="2">
        <f>MAX(J10:U10)</f>
        <v/>
      </c>
      <c r="X10" s="2">
        <f>W10*G10</f>
        <v/>
      </c>
    </row>
    <row r="11">
      <c r="A11" s="2" t="inlineStr">
        <is>
          <t>14-C-360</t>
        </is>
      </c>
      <c r="B11" s="3" t="inlineStr">
        <is>
          <t>DROP-CABLE(LC/PC-SC/APC)</t>
        </is>
      </c>
      <c r="C11" s="2" t="inlineStr">
        <is>
          <t>3M</t>
        </is>
      </c>
      <c r="D11" s="2" t="inlineStr">
        <is>
          <t>drop</t>
        </is>
      </c>
      <c r="E11" s="2" t="inlineStr">
        <is>
          <t>3.0mm</t>
        </is>
      </c>
      <c r="F11" s="2" t="n">
        <v>1</v>
      </c>
      <c r="G11" s="2" t="n">
        <v>3</v>
      </c>
      <c r="H11" s="2" t="inlineStr">
        <is>
          <t>LC/PC</t>
        </is>
      </c>
      <c r="I11" s="2" t="inlineStr">
        <is>
          <t>SC/APC</t>
        </is>
      </c>
      <c r="J11" s="2" t="n"/>
      <c r="K11" s="2" t="n">
        <v>10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>
        <f>SUM(J11:U11)*G11</f>
        <v/>
      </c>
      <c r="W11" s="2">
        <f>MAX(J11:U11)</f>
        <v/>
      </c>
      <c r="X11" s="2">
        <f>W11*G11</f>
        <v/>
      </c>
    </row>
    <row r="12">
      <c r="A12" s="2" t="inlineStr">
        <is>
          <t>14-C-361</t>
        </is>
      </c>
      <c r="B12" s="3" t="inlineStr">
        <is>
          <t>DROP-CABLE(LC/PC-SC/APC)</t>
        </is>
      </c>
      <c r="C12" s="2" t="inlineStr">
        <is>
          <t>5M</t>
        </is>
      </c>
      <c r="D12" s="2" t="inlineStr">
        <is>
          <t>drop</t>
        </is>
      </c>
      <c r="E12" s="2" t="inlineStr">
        <is>
          <t>3.0mm</t>
        </is>
      </c>
      <c r="F12" s="2" t="n">
        <v>1</v>
      </c>
      <c r="G12" s="2" t="n">
        <v>5</v>
      </c>
      <c r="H12" s="2" t="inlineStr">
        <is>
          <t>LC/PC</t>
        </is>
      </c>
      <c r="I12" s="2" t="inlineStr">
        <is>
          <t>SC/APC</t>
        </is>
      </c>
      <c r="J12" s="2" t="n">
        <v>20</v>
      </c>
      <c r="K12" s="2" t="n">
        <v>10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>
        <f>SUM(J12:U12)*G12</f>
        <v/>
      </c>
      <c r="W12" s="2">
        <f>MAX(J12:U12)</f>
        <v/>
      </c>
      <c r="X12" s="2">
        <f>W12*G12</f>
        <v/>
      </c>
    </row>
    <row r="13">
      <c r="A13" s="2" t="inlineStr">
        <is>
          <t>14-C-407</t>
        </is>
      </c>
      <c r="B13" s="3" t="inlineStr">
        <is>
          <t>Optical Cable Parts,LC/PC-LC/PC-Single mode-40m-2Core</t>
        </is>
      </c>
      <c r="C13" s="2" t="inlineStr">
        <is>
          <t>657A2 , LSZH</t>
        </is>
      </c>
      <c r="D13" s="2" t="inlineStr">
        <is>
          <t>a2</t>
        </is>
      </c>
      <c r="E13" s="2" t="inlineStr">
        <is>
          <t>2.0mm</t>
        </is>
      </c>
      <c r="F13" s="2" t="n">
        <v>2</v>
      </c>
      <c r="G13" s="2" t="n">
        <v>40</v>
      </c>
      <c r="H13" s="2" t="inlineStr">
        <is>
          <t>LC/PC</t>
        </is>
      </c>
      <c r="I13" s="2" t="inlineStr">
        <is>
          <t>LC/PC</t>
        </is>
      </c>
      <c r="J13" s="2" t="n">
        <v>40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>
        <f>SUM(J13:U13)*G13</f>
        <v/>
      </c>
      <c r="W13" s="2">
        <f>MAX(J13:U13)</f>
        <v/>
      </c>
      <c r="X13" s="2">
        <f>W13*G13</f>
        <v/>
      </c>
    </row>
    <row r="14">
      <c r="A14" s="2" t="inlineStr">
        <is>
          <t>14-C-408</t>
        </is>
      </c>
      <c r="B14" s="3" t="inlineStr">
        <is>
          <t>Optical Cable Parts,LC/PC-LC/PC-Single mode-50m-2Core</t>
        </is>
      </c>
      <c r="C14" s="2" t="inlineStr">
        <is>
          <t>657A2 , LSZH</t>
        </is>
      </c>
      <c r="D14" s="2" t="inlineStr">
        <is>
          <t>a2</t>
        </is>
      </c>
      <c r="E14" s="2" t="inlineStr">
        <is>
          <t>2.0mm</t>
        </is>
      </c>
      <c r="F14" s="2" t="n">
        <v>2</v>
      </c>
      <c r="G14" s="2" t="n">
        <v>50</v>
      </c>
      <c r="H14" s="2" t="inlineStr">
        <is>
          <t>LC/PC</t>
        </is>
      </c>
      <c r="I14" s="2" t="inlineStr">
        <is>
          <t>LC/PC</t>
        </is>
      </c>
      <c r="J14" s="2" t="n">
        <v>10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>
        <f>SUM(J14:U14)*G14</f>
        <v/>
      </c>
      <c r="W14" s="2">
        <f>MAX(J14:U14)</f>
        <v/>
      </c>
      <c r="X14" s="2">
        <f>W14*G14</f>
        <v/>
      </c>
    </row>
    <row r="15">
      <c r="A15" s="2" t="inlineStr">
        <is>
          <t>14-C-409</t>
        </is>
      </c>
      <c r="B15" s="3" t="inlineStr">
        <is>
          <t>Optical Cable Parts,LC/PC-LC/PC-Single mode-60m-2Core</t>
        </is>
      </c>
      <c r="C15" s="2" t="inlineStr">
        <is>
          <t>657A2 , LSZH</t>
        </is>
      </c>
      <c r="D15" s="2" t="inlineStr">
        <is>
          <t>a2</t>
        </is>
      </c>
      <c r="E15" s="2" t="inlineStr">
        <is>
          <t>2.0mm</t>
        </is>
      </c>
      <c r="F15" s="2" t="n">
        <v>2</v>
      </c>
      <c r="G15" s="2" t="n">
        <v>60</v>
      </c>
      <c r="H15" s="2" t="inlineStr">
        <is>
          <t>LC/PC</t>
        </is>
      </c>
      <c r="I15" s="2" t="inlineStr">
        <is>
          <t>LC/PC</t>
        </is>
      </c>
      <c r="J15" s="2" t="n">
        <v>10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>
        <f>SUM(J15:U15)*G15</f>
        <v/>
      </c>
      <c r="W15" s="2">
        <f>MAX(J15:U15)</f>
        <v/>
      </c>
      <c r="X15" s="2">
        <f>W15*G15</f>
        <v/>
      </c>
    </row>
    <row r="16">
      <c r="A16" s="2" t="inlineStr">
        <is>
          <t>14-C-425</t>
        </is>
      </c>
      <c r="B16" s="3" t="inlineStr">
        <is>
          <t>DROP-CABLE(LC/PC-SC/APC)</t>
        </is>
      </c>
      <c r="C16" s="2" t="inlineStr">
        <is>
          <t>7M</t>
        </is>
      </c>
      <c r="D16" s="2" t="inlineStr">
        <is>
          <t>drop</t>
        </is>
      </c>
      <c r="E16" s="2" t="inlineStr">
        <is>
          <t>3.0mm</t>
        </is>
      </c>
      <c r="F16" s="2" t="n">
        <v>1</v>
      </c>
      <c r="G16" s="2" t="n">
        <v>7</v>
      </c>
      <c r="H16" s="2" t="inlineStr">
        <is>
          <t>LC/PC</t>
        </is>
      </c>
      <c r="I16" s="2" t="inlineStr">
        <is>
          <t>SC/APC</t>
        </is>
      </c>
      <c r="J16" s="2" t="n"/>
      <c r="K16" s="2" t="n">
        <v>10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>
        <f>SUM(J16:U16)*G16</f>
        <v/>
      </c>
      <c r="W16" s="2">
        <f>MAX(J16:U16)</f>
        <v/>
      </c>
      <c r="X16" s="2">
        <f>W16*G16</f>
        <v/>
      </c>
    </row>
    <row r="17">
      <c r="A17" s="2" t="inlineStr">
        <is>
          <t>14-C-484</t>
        </is>
      </c>
      <c r="B17" s="3" t="inlineStr">
        <is>
          <t>DROP-CABLE(LC/APC)</t>
        </is>
      </c>
      <c r="C17" s="2" t="inlineStr">
        <is>
          <t>10M</t>
        </is>
      </c>
      <c r="D17" s="2" t="inlineStr">
        <is>
          <t>drop</t>
        </is>
      </c>
      <c r="E17" s="2" t="inlineStr">
        <is>
          <t>3.0mm</t>
        </is>
      </c>
      <c r="F17" s="2" t="n">
        <v>1</v>
      </c>
      <c r="G17" s="2" t="n">
        <v>10</v>
      </c>
      <c r="H17" s="2" t="inlineStr">
        <is>
          <t>LC/APC</t>
        </is>
      </c>
      <c r="I17" s="2" t="inlineStr">
        <is>
          <t>LC/APC</t>
        </is>
      </c>
      <c r="J17" s="2" t="n">
        <v>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>
        <f>SUM(J17:U17)*G17</f>
        <v/>
      </c>
      <c r="W17" s="2">
        <f>MAX(J17:U17)</f>
        <v/>
      </c>
      <c r="X17" s="2">
        <f>W17*G17</f>
        <v/>
      </c>
    </row>
    <row r="18">
      <c r="A18" s="2" t="inlineStr">
        <is>
          <t>14-C-515</t>
        </is>
      </c>
      <c r="B18" s="3" t="inlineStr">
        <is>
          <t>Optical Cable Parts,LC/PC-LC/PC-Single mode-20m-1Core</t>
        </is>
      </c>
      <c r="C18" s="2" t="inlineStr">
        <is>
          <t>657A2 , LSZH</t>
        </is>
      </c>
      <c r="D18" s="2" t="inlineStr">
        <is>
          <t>a2</t>
        </is>
      </c>
      <c r="E18" s="2" t="inlineStr">
        <is>
          <t>2.0mm</t>
        </is>
      </c>
      <c r="F18" s="2" t="n">
        <v>1</v>
      </c>
      <c r="G18" s="2" t="n">
        <v>20</v>
      </c>
      <c r="H18" s="2" t="inlineStr">
        <is>
          <t>LC/PC</t>
        </is>
      </c>
      <c r="I18" s="2" t="inlineStr">
        <is>
          <t>LC/PC</t>
        </is>
      </c>
      <c r="J18" s="2" t="n">
        <v>80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>
        <f>SUM(J18:U18)*G18</f>
        <v/>
      </c>
      <c r="W18" s="2">
        <f>MAX(J18:U18)</f>
        <v/>
      </c>
      <c r="X18" s="2">
        <f>W18*G18</f>
        <v/>
      </c>
    </row>
    <row r="19">
      <c r="A19" s="2" t="inlineStr">
        <is>
          <t>14-C-600</t>
        </is>
      </c>
      <c r="B19" s="3" t="inlineStr">
        <is>
          <t>DROP-CABLE(LC/PC)-2C</t>
        </is>
      </c>
      <c r="C19" s="2" t="inlineStr">
        <is>
          <t>20M</t>
        </is>
      </c>
      <c r="D19" s="2" t="inlineStr">
        <is>
          <t>drop</t>
        </is>
      </c>
      <c r="E19" s="2" t="inlineStr">
        <is>
          <t>3.0mm</t>
        </is>
      </c>
      <c r="F19" s="2" t="n">
        <v>2</v>
      </c>
      <c r="G19" s="2" t="n">
        <v>20</v>
      </c>
      <c r="H19" s="2" t="inlineStr">
        <is>
          <t>LC/PC</t>
        </is>
      </c>
      <c r="I19" s="2" t="inlineStr">
        <is>
          <t>LC/PC</t>
        </is>
      </c>
      <c r="J19" s="2" t="n">
        <v>20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>
        <f>SUM(J19:U19)*G19</f>
        <v/>
      </c>
      <c r="W19" s="2">
        <f>MAX(J19:U19)</f>
        <v/>
      </c>
      <c r="X19" s="2">
        <f>W19*G19</f>
        <v/>
      </c>
    </row>
    <row r="20">
      <c r="A20" s="2" t="inlineStr">
        <is>
          <t>14-D-009</t>
        </is>
      </c>
      <c r="B20" s="3" t="inlineStr">
        <is>
          <t>DOJC-MM(OM3)-LC/PC-LC/PC</t>
        </is>
      </c>
      <c r="C20" s="2" t="inlineStr">
        <is>
          <t>12M</t>
        </is>
      </c>
      <c r="D20" s="2" t="inlineStr">
        <is>
          <t>om3</t>
        </is>
      </c>
      <c r="E20" s="2" t="inlineStr">
        <is>
          <t>2.0mm</t>
        </is>
      </c>
      <c r="F20" s="2" t="n">
        <v>2</v>
      </c>
      <c r="G20" s="2" t="n">
        <v>12</v>
      </c>
      <c r="H20" s="2" t="inlineStr">
        <is>
          <t>LC/PC</t>
        </is>
      </c>
      <c r="I20" s="2" t="inlineStr">
        <is>
          <t>LC/PC</t>
        </is>
      </c>
      <c r="J20" s="2" t="n">
        <v>7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>
        <f>SUM(J20:U20)*G20</f>
        <v/>
      </c>
      <c r="W20" s="2">
        <f>MAX(J20:U20)</f>
        <v/>
      </c>
      <c r="X20" s="2">
        <f>W20*G20</f>
        <v/>
      </c>
    </row>
    <row r="21">
      <c r="A21" s="2" t="inlineStr">
        <is>
          <t>14-D-027</t>
        </is>
      </c>
      <c r="B21" s="3" t="inlineStr">
        <is>
          <t>DOJC-MM(OM3)-LC/PC-LC/PC</t>
        </is>
      </c>
      <c r="C21" s="2" t="inlineStr">
        <is>
          <t>7M</t>
        </is>
      </c>
      <c r="D21" s="2" t="inlineStr">
        <is>
          <t>om3</t>
        </is>
      </c>
      <c r="E21" s="2" t="inlineStr">
        <is>
          <t>2.0mm</t>
        </is>
      </c>
      <c r="F21" s="2" t="n">
        <v>2</v>
      </c>
      <c r="G21" s="2" t="n">
        <v>7</v>
      </c>
      <c r="H21" s="2" t="inlineStr">
        <is>
          <t>LC/PC</t>
        </is>
      </c>
      <c r="I21" s="2" t="inlineStr">
        <is>
          <t>LC/PC</t>
        </is>
      </c>
      <c r="J21" s="2" t="n">
        <v>50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>
        <f>SUM(J21:U21)*G21</f>
        <v/>
      </c>
      <c r="W21" s="2">
        <f>MAX(J21:U21)</f>
        <v/>
      </c>
      <c r="X21" s="2">
        <f>W21*G21</f>
        <v/>
      </c>
    </row>
    <row r="22">
      <c r="A22" s="2" t="inlineStr">
        <is>
          <t>14-D-029</t>
        </is>
      </c>
      <c r="B22" s="3" t="inlineStr">
        <is>
          <t>DOJC-MM(OM3)-LC/PC-SC/PC</t>
        </is>
      </c>
      <c r="C22" s="2" t="inlineStr">
        <is>
          <t>10M</t>
        </is>
      </c>
      <c r="D22" s="2" t="inlineStr">
        <is>
          <t>om3</t>
        </is>
      </c>
      <c r="E22" s="2" t="inlineStr">
        <is>
          <t>2.0mm</t>
        </is>
      </c>
      <c r="F22" s="2" t="n">
        <v>2</v>
      </c>
      <c r="G22" s="2" t="n">
        <v>10</v>
      </c>
      <c r="H22" s="2" t="inlineStr">
        <is>
          <t>LC/PC</t>
        </is>
      </c>
      <c r="I22" s="2" t="inlineStr">
        <is>
          <t>SC/PC</t>
        </is>
      </c>
      <c r="J22" s="2" t="n"/>
      <c r="K22" s="2" t="n">
        <v>10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>
        <f>SUM(J22:U22)*G22</f>
        <v/>
      </c>
      <c r="W22" s="2">
        <f>MAX(J22:U22)</f>
        <v/>
      </c>
      <c r="X22" s="2">
        <f>W22*G22</f>
        <v/>
      </c>
    </row>
    <row r="23">
      <c r="A23" s="2" t="inlineStr">
        <is>
          <t>14-D-051</t>
        </is>
      </c>
      <c r="B23" s="3" t="inlineStr">
        <is>
          <t>DOJC-MM-LC/PC-LC/PC</t>
        </is>
      </c>
      <c r="C23" s="2" t="inlineStr">
        <is>
          <t>35M</t>
        </is>
      </c>
      <c r="D23" s="2" t="inlineStr">
        <is>
          <t>om1</t>
        </is>
      </c>
      <c r="E23" s="2" t="inlineStr">
        <is>
          <t>2.0mm</t>
        </is>
      </c>
      <c r="F23" s="2" t="n">
        <v>2</v>
      </c>
      <c r="G23" s="2" t="n">
        <v>35</v>
      </c>
      <c r="H23" s="2" t="inlineStr">
        <is>
          <t>LC/PC</t>
        </is>
      </c>
      <c r="I23" s="2" t="inlineStr">
        <is>
          <t>LC/PC</t>
        </is>
      </c>
      <c r="J23" s="2" t="n"/>
      <c r="K23" s="2" t="n">
        <v>3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>
        <f>SUM(J23:U23)*G23</f>
        <v/>
      </c>
      <c r="W23" s="2">
        <f>MAX(J23:U23)</f>
        <v/>
      </c>
      <c r="X23" s="2">
        <f>W23*G23</f>
        <v/>
      </c>
    </row>
    <row r="24">
      <c r="A24" s="2" t="inlineStr">
        <is>
          <t>14-D-053</t>
        </is>
      </c>
      <c r="B24" s="3" t="inlineStr">
        <is>
          <t>DOJC-MM-LC/PC-LC/PC</t>
        </is>
      </c>
      <c r="C24" s="2" t="inlineStr">
        <is>
          <t>40M</t>
        </is>
      </c>
      <c r="D24" s="2" t="inlineStr">
        <is>
          <t>om1</t>
        </is>
      </c>
      <c r="E24" s="2" t="inlineStr">
        <is>
          <t>2.0mm</t>
        </is>
      </c>
      <c r="F24" s="2" t="n">
        <v>2</v>
      </c>
      <c r="G24" s="2" t="n">
        <v>40</v>
      </c>
      <c r="H24" s="2" t="inlineStr">
        <is>
          <t>LC/PC</t>
        </is>
      </c>
      <c r="I24" s="2" t="inlineStr">
        <is>
          <t>LC/PC</t>
        </is>
      </c>
      <c r="J24" s="2" t="n"/>
      <c r="K24" s="2" t="n">
        <v>7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>
        <f>SUM(J24:U24)*G24</f>
        <v/>
      </c>
      <c r="W24" s="2">
        <f>MAX(J24:U24)</f>
        <v/>
      </c>
      <c r="X24" s="2">
        <f>W24*G24</f>
        <v/>
      </c>
    </row>
    <row r="25">
      <c r="A25" s="2" t="inlineStr">
        <is>
          <t>14-D-054</t>
        </is>
      </c>
      <c r="B25" s="3" t="inlineStr">
        <is>
          <t>DOJC-MM-LC/PC-LC/PC</t>
        </is>
      </c>
      <c r="C25" s="2" t="inlineStr">
        <is>
          <t>45M</t>
        </is>
      </c>
      <c r="D25" s="2" t="inlineStr">
        <is>
          <t>om1</t>
        </is>
      </c>
      <c r="E25" s="2" t="inlineStr">
        <is>
          <t>2.0mm</t>
        </is>
      </c>
      <c r="F25" s="2" t="n">
        <v>2</v>
      </c>
      <c r="G25" s="2" t="n">
        <v>45</v>
      </c>
      <c r="H25" s="2" t="inlineStr">
        <is>
          <t>LC/PC</t>
        </is>
      </c>
      <c r="I25" s="2" t="inlineStr">
        <is>
          <t>LC/PC</t>
        </is>
      </c>
      <c r="J25" s="2" t="n"/>
      <c r="K25" s="2" t="n">
        <v>3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>
        <f>SUM(J25:U25)*G25</f>
        <v/>
      </c>
      <c r="W25" s="2">
        <f>MAX(J25:U25)</f>
        <v/>
      </c>
      <c r="X25" s="2">
        <f>W25*G25</f>
        <v/>
      </c>
    </row>
    <row r="26">
      <c r="A26" s="2" t="inlineStr">
        <is>
          <t>14-D-055</t>
        </is>
      </c>
      <c r="B26" s="3" t="inlineStr">
        <is>
          <t>DOJC-MM-LC/PC-LC/PC</t>
        </is>
      </c>
      <c r="C26" s="2" t="inlineStr">
        <is>
          <t>50M</t>
        </is>
      </c>
      <c r="D26" s="2" t="inlineStr">
        <is>
          <t>om1</t>
        </is>
      </c>
      <c r="E26" s="2" t="inlineStr">
        <is>
          <t>2.0mm</t>
        </is>
      </c>
      <c r="F26" s="2" t="n">
        <v>2</v>
      </c>
      <c r="G26" s="2" t="n">
        <v>50</v>
      </c>
      <c r="H26" s="2" t="inlineStr">
        <is>
          <t>LC/PC</t>
        </is>
      </c>
      <c r="I26" s="2" t="inlineStr">
        <is>
          <t>LC/PC</t>
        </is>
      </c>
      <c r="J26" s="2" t="n">
        <v>2</v>
      </c>
      <c r="K26" s="2" t="n">
        <v>2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>
        <f>SUM(J26:U26)*G26</f>
        <v/>
      </c>
      <c r="W26" s="2">
        <f>MAX(J26:U26)</f>
        <v/>
      </c>
      <c r="X26" s="2">
        <f>W26*G26</f>
        <v/>
      </c>
    </row>
    <row r="27">
      <c r="A27" s="2" t="inlineStr">
        <is>
          <t>14-D-056</t>
        </is>
      </c>
      <c r="B27" s="3" t="inlineStr">
        <is>
          <t>DOJC-MM-LC/PC-LC/PC</t>
        </is>
      </c>
      <c r="C27" s="2" t="inlineStr">
        <is>
          <t>55M</t>
        </is>
      </c>
      <c r="D27" s="2" t="inlineStr">
        <is>
          <t>om1</t>
        </is>
      </c>
      <c r="E27" s="2" t="inlineStr">
        <is>
          <t>2.0mm</t>
        </is>
      </c>
      <c r="F27" s="2" t="n">
        <v>2</v>
      </c>
      <c r="G27" s="2" t="n">
        <v>55</v>
      </c>
      <c r="H27" s="2" t="inlineStr">
        <is>
          <t>LC/PC</t>
        </is>
      </c>
      <c r="I27" s="2" t="inlineStr">
        <is>
          <t>LC/PC</t>
        </is>
      </c>
      <c r="J27" s="2" t="n"/>
      <c r="K27" s="2" t="n">
        <v>5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>
        <f>SUM(J27:U27)*G27</f>
        <v/>
      </c>
      <c r="W27" s="2">
        <f>MAX(J27:U27)</f>
        <v/>
      </c>
      <c r="X27" s="2">
        <f>W27*G27</f>
        <v/>
      </c>
    </row>
    <row r="28">
      <c r="A28" s="2" t="inlineStr">
        <is>
          <t>14-D-058</t>
        </is>
      </c>
      <c r="B28" s="3" t="inlineStr">
        <is>
          <t>DOJC-MM-LC/PC-LC/PC</t>
        </is>
      </c>
      <c r="C28" s="2" t="inlineStr">
        <is>
          <t>60M</t>
        </is>
      </c>
      <c r="D28" s="2" t="inlineStr">
        <is>
          <t>om1</t>
        </is>
      </c>
      <c r="E28" s="2" t="inlineStr">
        <is>
          <t>2.0mm</t>
        </is>
      </c>
      <c r="F28" s="2" t="n">
        <v>2</v>
      </c>
      <c r="G28" s="2" t="n">
        <v>60</v>
      </c>
      <c r="H28" s="2" t="inlineStr">
        <is>
          <t>LC/PC</t>
        </is>
      </c>
      <c r="I28" s="2" t="inlineStr">
        <is>
          <t>LC/PC</t>
        </is>
      </c>
      <c r="J28" s="2" t="n"/>
      <c r="K28" s="2" t="n">
        <v>7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>
        <f>SUM(J28:U28)*G28</f>
        <v/>
      </c>
      <c r="W28" s="2">
        <f>MAX(J28:U28)</f>
        <v/>
      </c>
      <c r="X28" s="2">
        <f>W28*G28</f>
        <v/>
      </c>
    </row>
    <row r="29">
      <c r="A29" s="2" t="inlineStr">
        <is>
          <t>14-D-210</t>
        </is>
      </c>
      <c r="B29" s="3" t="inlineStr">
        <is>
          <t>DOJC-SM-LC/PC-FC/PC</t>
        </is>
      </c>
      <c r="C29" s="2" t="inlineStr">
        <is>
          <t>50M</t>
        </is>
      </c>
      <c r="D29" s="2" t="inlineStr">
        <is>
          <t>a1</t>
        </is>
      </c>
      <c r="E29" s="2" t="inlineStr">
        <is>
          <t>2.0mm</t>
        </is>
      </c>
      <c r="F29" s="2" t="n">
        <v>2</v>
      </c>
      <c r="G29" s="2" t="n">
        <v>50</v>
      </c>
      <c r="H29" s="2" t="inlineStr">
        <is>
          <t>LC/PC</t>
        </is>
      </c>
      <c r="I29" s="2" t="inlineStr">
        <is>
          <t>FC/PC</t>
        </is>
      </c>
      <c r="J29" s="2" t="n"/>
      <c r="K29" s="2" t="n">
        <v>2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>
        <f>SUM(J29:U29)*G29</f>
        <v/>
      </c>
      <c r="W29" s="2">
        <f>MAX(J29:U29)</f>
        <v/>
      </c>
      <c r="X29" s="2">
        <f>W29*G29</f>
        <v/>
      </c>
    </row>
    <row r="30">
      <c r="A30" s="2" t="inlineStr">
        <is>
          <t>14-D-218</t>
        </is>
      </c>
      <c r="B30" s="3" t="inlineStr">
        <is>
          <t>DOJC-SM-LC/PC-LC/PC</t>
        </is>
      </c>
      <c r="C30" s="2" t="inlineStr">
        <is>
          <t>0.3M</t>
        </is>
      </c>
      <c r="D30" s="2" t="inlineStr">
        <is>
          <t>a1</t>
        </is>
      </c>
      <c r="E30" s="2" t="inlineStr">
        <is>
          <t>2.0mm</t>
        </is>
      </c>
      <c r="F30" s="2" t="n">
        <v>2</v>
      </c>
      <c r="G30" s="2" t="n">
        <v>0.3</v>
      </c>
      <c r="H30" s="2" t="inlineStr">
        <is>
          <t>LC/PC</t>
        </is>
      </c>
      <c r="I30" s="2" t="inlineStr">
        <is>
          <t>LC/PC</t>
        </is>
      </c>
      <c r="J30" s="2" t="n"/>
      <c r="K30" s="2" t="n">
        <v>50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>
        <f>SUM(J30:U30)*G30</f>
        <v/>
      </c>
      <c r="W30" s="2">
        <f>MAX(J30:U30)</f>
        <v/>
      </c>
      <c r="X30" s="2">
        <f>W30*G30</f>
        <v/>
      </c>
    </row>
    <row r="31">
      <c r="A31" s="2" t="inlineStr">
        <is>
          <t>14-D-223</t>
        </is>
      </c>
      <c r="B31" s="3" t="inlineStr">
        <is>
          <t>DOJC-SM-LC/PC-LC/PC</t>
        </is>
      </c>
      <c r="C31" s="2" t="inlineStr">
        <is>
          <t>10M</t>
        </is>
      </c>
      <c r="D31" s="2" t="inlineStr">
        <is>
          <t>a1</t>
        </is>
      </c>
      <c r="E31" s="2" t="inlineStr">
        <is>
          <t>2.0mm</t>
        </is>
      </c>
      <c r="F31" s="2" t="n">
        <v>2</v>
      </c>
      <c r="G31" s="2" t="n">
        <v>10</v>
      </c>
      <c r="H31" s="2" t="inlineStr">
        <is>
          <t>LC/PC</t>
        </is>
      </c>
      <c r="I31" s="2" t="inlineStr">
        <is>
          <t>LC/PC</t>
        </is>
      </c>
      <c r="J31" s="2" t="n">
        <v>100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>
        <f>SUM(J31:U31)*G31</f>
        <v/>
      </c>
      <c r="W31" s="2">
        <f>MAX(J31:U31)</f>
        <v/>
      </c>
      <c r="X31" s="2">
        <f>W31*G31</f>
        <v/>
      </c>
    </row>
    <row r="32">
      <c r="A32" s="2" t="inlineStr">
        <is>
          <t>14-D-255</t>
        </is>
      </c>
      <c r="B32" s="3" t="inlineStr">
        <is>
          <t>DOJC-SM-LC/PC-LC/PC</t>
        </is>
      </c>
      <c r="C32" s="2" t="inlineStr">
        <is>
          <t>65M</t>
        </is>
      </c>
      <c r="D32" s="2" t="inlineStr">
        <is>
          <t>a1</t>
        </is>
      </c>
      <c r="E32" s="2" t="inlineStr">
        <is>
          <t>2.0mm</t>
        </is>
      </c>
      <c r="F32" s="2" t="n">
        <v>2</v>
      </c>
      <c r="G32" s="2" t="n">
        <v>65</v>
      </c>
      <c r="H32" s="2" t="inlineStr">
        <is>
          <t>LC/PC</t>
        </is>
      </c>
      <c r="I32" s="2" t="inlineStr">
        <is>
          <t>LC/PC</t>
        </is>
      </c>
      <c r="J32" s="2" t="n"/>
      <c r="K32" s="2" t="n">
        <v>2</v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>
        <f>SUM(J32:U32)*G32</f>
        <v/>
      </c>
      <c r="W32" s="2">
        <f>MAX(J32:U32)</f>
        <v/>
      </c>
      <c r="X32" s="2">
        <f>W32*G32</f>
        <v/>
      </c>
    </row>
    <row r="33">
      <c r="A33" s="2" t="inlineStr">
        <is>
          <t>14-D-256</t>
        </is>
      </c>
      <c r="B33" s="3" t="inlineStr">
        <is>
          <t>DOJC-SM-LC/PC-LC/PC</t>
        </is>
      </c>
      <c r="C33" s="2" t="inlineStr">
        <is>
          <t>6M</t>
        </is>
      </c>
      <c r="D33" s="2" t="inlineStr">
        <is>
          <t>a1</t>
        </is>
      </c>
      <c r="E33" s="2" t="inlineStr">
        <is>
          <t>2.0mm</t>
        </is>
      </c>
      <c r="F33" s="2" t="n">
        <v>2</v>
      </c>
      <c r="G33" s="2" t="n">
        <v>6</v>
      </c>
      <c r="H33" s="2" t="inlineStr">
        <is>
          <t>LC/PC</t>
        </is>
      </c>
      <c r="I33" s="2" t="inlineStr">
        <is>
          <t>LC/PC</t>
        </is>
      </c>
      <c r="J33" s="2" t="n">
        <v>1000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>
        <f>SUM(J33:U33)*G33</f>
        <v/>
      </c>
      <c r="W33" s="2">
        <f>MAX(J33:U33)</f>
        <v/>
      </c>
      <c r="X33" s="2">
        <f>W33*G33</f>
        <v/>
      </c>
    </row>
    <row r="34">
      <c r="A34" s="2" t="inlineStr">
        <is>
          <t>14-D-412</t>
        </is>
      </c>
      <c r="B34" s="3" t="inlineStr">
        <is>
          <t>DOJC-SM-SC/PC-FC/APC</t>
        </is>
      </c>
      <c r="C34" s="2" t="inlineStr">
        <is>
          <t>3M</t>
        </is>
      </c>
      <c r="D34" s="2" t="inlineStr">
        <is>
          <t>a1</t>
        </is>
      </c>
      <c r="E34" s="2" t="inlineStr">
        <is>
          <t>2.0mm</t>
        </is>
      </c>
      <c r="F34" s="2" t="n">
        <v>2</v>
      </c>
      <c r="G34" s="2" t="n">
        <v>3</v>
      </c>
      <c r="H34" s="2" t="inlineStr">
        <is>
          <t>SC/PC</t>
        </is>
      </c>
      <c r="I34" s="2" t="inlineStr">
        <is>
          <t>FC/APC</t>
        </is>
      </c>
      <c r="J34" s="2" t="n">
        <v>1</v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>
        <f>SUM(J34:U34)*G34</f>
        <v/>
      </c>
      <c r="W34" s="2">
        <f>MAX(J34:U34)</f>
        <v/>
      </c>
      <c r="X34" s="2">
        <f>W34*G34</f>
        <v/>
      </c>
    </row>
    <row r="35">
      <c r="A35" s="2" t="inlineStr">
        <is>
          <t>14-D-530</t>
        </is>
      </c>
      <c r="B35" s="3" t="inlineStr">
        <is>
          <t>DOJC-MM(OM3)-LC/PC-LC/PC</t>
        </is>
      </c>
      <c r="C35" s="2" t="inlineStr">
        <is>
          <t>4M</t>
        </is>
      </c>
      <c r="D35" s="2" t="inlineStr">
        <is>
          <t>om3</t>
        </is>
      </c>
      <c r="E35" s="2" t="inlineStr">
        <is>
          <t>2.0mm</t>
        </is>
      </c>
      <c r="F35" s="2" t="n">
        <v>2</v>
      </c>
      <c r="G35" s="2" t="n">
        <v>4</v>
      </c>
      <c r="H35" s="2" t="inlineStr">
        <is>
          <t>LC/PC</t>
        </is>
      </c>
      <c r="I35" s="2" t="inlineStr">
        <is>
          <t>LC/PC</t>
        </is>
      </c>
      <c r="J35" s="2" t="n">
        <v>50</v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>
        <f>SUM(J35:U35)*G35</f>
        <v/>
      </c>
      <c r="W35" s="2">
        <f>MAX(J35:U35)</f>
        <v/>
      </c>
      <c r="X35" s="2">
        <f>W35*G35</f>
        <v/>
      </c>
    </row>
    <row r="36">
      <c r="A36" s="2" t="inlineStr">
        <is>
          <t>14-D-594</t>
        </is>
      </c>
      <c r="B36" s="3" t="inlineStr">
        <is>
          <t>DOJC-MM(OM3)-LC/PC-SC/PC</t>
        </is>
      </c>
      <c r="C36" s="2" t="inlineStr">
        <is>
          <t>15M</t>
        </is>
      </c>
      <c r="D36" s="2" t="inlineStr">
        <is>
          <t>om3</t>
        </is>
      </c>
      <c r="E36" s="2" t="inlineStr">
        <is>
          <t>2.0mm</t>
        </is>
      </c>
      <c r="F36" s="2" t="n">
        <v>2</v>
      </c>
      <c r="G36" s="2" t="n">
        <v>15</v>
      </c>
      <c r="H36" s="2" t="inlineStr">
        <is>
          <t>LC/PC</t>
        </is>
      </c>
      <c r="I36" s="2" t="inlineStr">
        <is>
          <t>SC/PC</t>
        </is>
      </c>
      <c r="J36" s="2" t="n"/>
      <c r="K36" s="2" t="n">
        <v>10</v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>
        <f>SUM(J36:U36)*G36</f>
        <v/>
      </c>
      <c r="W36" s="2">
        <f>MAX(J36:U36)</f>
        <v/>
      </c>
      <c r="X36" s="2">
        <f>W36*G36</f>
        <v/>
      </c>
    </row>
    <row r="37">
      <c r="A37" s="2" t="inlineStr">
        <is>
          <t>14-D-603</t>
        </is>
      </c>
      <c r="B37" s="3" t="inlineStr">
        <is>
          <t>DOJC-MM(OM3)-LC/PC-LC/PC</t>
        </is>
      </c>
      <c r="C37" s="2" t="inlineStr">
        <is>
          <t>8M</t>
        </is>
      </c>
      <c r="D37" s="2" t="inlineStr">
        <is>
          <t>om3</t>
        </is>
      </c>
      <c r="E37" s="2" t="inlineStr">
        <is>
          <t>2.0mm</t>
        </is>
      </c>
      <c r="F37" s="2" t="n">
        <v>2</v>
      </c>
      <c r="G37" s="2" t="n">
        <v>8</v>
      </c>
      <c r="H37" s="2" t="inlineStr">
        <is>
          <t>LC/PC</t>
        </is>
      </c>
      <c r="I37" s="2" t="inlineStr">
        <is>
          <t>LC/PC</t>
        </is>
      </c>
      <c r="J37" s="2" t="n">
        <v>20</v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>
        <f>SUM(J37:U37)*G37</f>
        <v/>
      </c>
      <c r="W37" s="2">
        <f>MAX(J37:U37)</f>
        <v/>
      </c>
      <c r="X37" s="2">
        <f>W37*G37</f>
        <v/>
      </c>
    </row>
    <row r="38">
      <c r="A38" s="2" t="inlineStr">
        <is>
          <t>14-D-684</t>
        </is>
      </c>
      <c r="B38" s="3" t="inlineStr">
        <is>
          <t>DOJC-SM-FC/APC-FC/APC</t>
        </is>
      </c>
      <c r="C38" s="2" t="inlineStr">
        <is>
          <t>45M</t>
        </is>
      </c>
      <c r="D38" s="2" t="inlineStr">
        <is>
          <t>a1</t>
        </is>
      </c>
      <c r="E38" s="2" t="inlineStr">
        <is>
          <t>2.0mm</t>
        </is>
      </c>
      <c r="F38" s="2" t="n">
        <v>2</v>
      </c>
      <c r="G38" s="2" t="n">
        <v>45</v>
      </c>
      <c r="H38" s="2" t="inlineStr">
        <is>
          <t>FC/APC</t>
        </is>
      </c>
      <c r="I38" s="2" t="inlineStr">
        <is>
          <t>FC/APC</t>
        </is>
      </c>
      <c r="J38" s="2" t="n">
        <v>5</v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>
        <f>SUM(J38:U38)*G38</f>
        <v/>
      </c>
      <c r="W38" s="2">
        <f>MAX(J38:U38)</f>
        <v/>
      </c>
      <c r="X38" s="2">
        <f>W38*G38</f>
        <v/>
      </c>
    </row>
    <row r="39">
      <c r="A39" s="2" t="inlineStr">
        <is>
          <t>14-D-A002</t>
        </is>
      </c>
      <c r="B39" s="3" t="inlineStr">
        <is>
          <t>DOJC-SM-LC/PC-LC/PC</t>
        </is>
      </c>
      <c r="C39" s="2" t="inlineStr">
        <is>
          <t>1M_청색</t>
        </is>
      </c>
      <c r="D39" s="2" t="inlineStr">
        <is>
          <t>a1-청</t>
        </is>
      </c>
      <c r="E39" s="2" t="inlineStr">
        <is>
          <t>2.0mm</t>
        </is>
      </c>
      <c r="F39" s="2" t="n">
        <v>2</v>
      </c>
      <c r="G39" s="2" t="n">
        <v>1</v>
      </c>
      <c r="H39" s="2" t="inlineStr">
        <is>
          <t>LC/PC</t>
        </is>
      </c>
      <c r="I39" s="2" t="inlineStr">
        <is>
          <t>LC/PC</t>
        </is>
      </c>
      <c r="J39" s="2" t="n"/>
      <c r="K39" s="2" t="n">
        <v>50</v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>
        <f>SUM(J39:U39)*G39</f>
        <v/>
      </c>
      <c r="W39" s="2">
        <f>MAX(J39:U39)</f>
        <v/>
      </c>
      <c r="X39" s="2">
        <f>W39*G39</f>
        <v/>
      </c>
    </row>
    <row r="40">
      <c r="A40" s="2" t="inlineStr">
        <is>
          <t>14-D-A232</t>
        </is>
      </c>
      <c r="B40" s="3" t="inlineStr">
        <is>
          <t>DOJC-MM(OM3)-LC/PC-LC/PC</t>
        </is>
      </c>
      <c r="C40" s="2" t="inlineStr">
        <is>
          <t>6M</t>
        </is>
      </c>
      <c r="D40" s="2" t="inlineStr">
        <is>
          <t>om3</t>
        </is>
      </c>
      <c r="E40" s="2" t="inlineStr">
        <is>
          <t>2.0mm</t>
        </is>
      </c>
      <c r="F40" s="2" t="n">
        <v>2</v>
      </c>
      <c r="G40" s="2" t="n">
        <v>6</v>
      </c>
      <c r="H40" s="2" t="inlineStr">
        <is>
          <t>LC/PC</t>
        </is>
      </c>
      <c r="I40" s="2" t="inlineStr">
        <is>
          <t>LC/PC</t>
        </is>
      </c>
      <c r="J40" s="2" t="n">
        <v>10</v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>
        <f>SUM(J40:U40)*G40</f>
        <v/>
      </c>
      <c r="W40" s="2">
        <f>MAX(J40:U40)</f>
        <v/>
      </c>
      <c r="X40" s="2">
        <f>W40*G40</f>
        <v/>
      </c>
    </row>
    <row r="41">
      <c r="A41" s="2" t="inlineStr">
        <is>
          <t>14-D-A376</t>
        </is>
      </c>
      <c r="B41" s="3" t="inlineStr">
        <is>
          <t>DOJC-MM(OM3)-LC/PC-LC/PC</t>
        </is>
      </c>
      <c r="C41" s="2" t="inlineStr">
        <is>
          <t>3M</t>
        </is>
      </c>
      <c r="D41" s="2" t="inlineStr">
        <is>
          <t>om3</t>
        </is>
      </c>
      <c r="E41" s="2" t="inlineStr">
        <is>
          <t>2.0mm</t>
        </is>
      </c>
      <c r="F41" s="2" t="n">
        <v>2</v>
      </c>
      <c r="G41" s="2" t="n">
        <v>3</v>
      </c>
      <c r="H41" s="2" t="inlineStr">
        <is>
          <t>LC/PC</t>
        </is>
      </c>
      <c r="I41" s="2" t="inlineStr">
        <is>
          <t>LC/PC</t>
        </is>
      </c>
      <c r="J41" s="2" t="n">
        <v>20</v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>
        <f>SUM(J41:U41)*G41</f>
        <v/>
      </c>
      <c r="W41" s="2">
        <f>MAX(J41:U41)</f>
        <v/>
      </c>
      <c r="X41" s="2">
        <f>W41*G41</f>
        <v/>
      </c>
    </row>
    <row r="42">
      <c r="A42" s="2" t="inlineStr">
        <is>
          <t>14-K-021</t>
        </is>
      </c>
      <c r="B42" s="3" t="inlineStr">
        <is>
          <t>OJC-A1-LC/LC-MM(OM3)-10-PC/PC-DP</t>
        </is>
      </c>
      <c r="C42" s="2" t="inlineStr"/>
      <c r="D42" s="2" t="inlineStr">
        <is>
          <t>om3</t>
        </is>
      </c>
      <c r="E42" s="2" t="inlineStr">
        <is>
          <t>2.0mm</t>
        </is>
      </c>
      <c r="F42" s="2" t="n">
        <v>2</v>
      </c>
      <c r="G42" s="2" t="n">
        <v>10</v>
      </c>
      <c r="H42" s="2" t="inlineStr">
        <is>
          <t>LC/PC</t>
        </is>
      </c>
      <c r="I42" s="2" t="inlineStr">
        <is>
          <t>LC/PC</t>
        </is>
      </c>
      <c r="J42" s="2" t="n">
        <v>26</v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>
        <f>SUM(J42:U42)*G42</f>
        <v/>
      </c>
      <c r="W42" s="2">
        <f>MAX(J42:U42)</f>
        <v/>
      </c>
      <c r="X42" s="2">
        <f>W42*G42</f>
        <v/>
      </c>
    </row>
    <row r="43">
      <c r="A43" s="2" t="inlineStr">
        <is>
          <t>14-K-022</t>
        </is>
      </c>
      <c r="B43" s="3" t="inlineStr">
        <is>
          <t>OJC-A1-LC/LC-MM(OM3)-15-PC/PC-DP</t>
        </is>
      </c>
      <c r="C43" s="2" t="inlineStr"/>
      <c r="D43" s="2" t="inlineStr">
        <is>
          <t>om3</t>
        </is>
      </c>
      <c r="E43" s="2" t="inlineStr">
        <is>
          <t>2.0mm</t>
        </is>
      </c>
      <c r="F43" s="2" t="n">
        <v>2</v>
      </c>
      <c r="G43" s="2" t="n">
        <v>15</v>
      </c>
      <c r="H43" s="2" t="inlineStr">
        <is>
          <t>LC/PC</t>
        </is>
      </c>
      <c r="I43" s="2" t="inlineStr">
        <is>
          <t>LC/PC</t>
        </is>
      </c>
      <c r="J43" s="2" t="n">
        <v>134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>
        <f>SUM(J43:U43)*G43</f>
        <v/>
      </c>
      <c r="W43" s="2">
        <f>MAX(J43:U43)</f>
        <v/>
      </c>
      <c r="X43" s="2">
        <f>W43*G43</f>
        <v/>
      </c>
    </row>
    <row r="44">
      <c r="A44" s="2" t="inlineStr">
        <is>
          <t>14-K-024</t>
        </is>
      </c>
      <c r="B44" s="3" t="inlineStr">
        <is>
          <t>OJC-A1-LC/LC-MM(OM3)-20-PC/PC-DP</t>
        </is>
      </c>
      <c r="C44" s="2" t="inlineStr"/>
      <c r="D44" s="2" t="inlineStr">
        <is>
          <t>om3</t>
        </is>
      </c>
      <c r="E44" s="2" t="inlineStr">
        <is>
          <t>2.0mm</t>
        </is>
      </c>
      <c r="F44" s="2" t="n">
        <v>2</v>
      </c>
      <c r="G44" s="2" t="n">
        <v>20</v>
      </c>
      <c r="H44" s="2" t="inlineStr">
        <is>
          <t>LC/PC</t>
        </is>
      </c>
      <c r="I44" s="2" t="inlineStr">
        <is>
          <t>LC/PC</t>
        </is>
      </c>
      <c r="J44" s="2" t="n">
        <v>26</v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>
        <f>SUM(J44:U44)*G44</f>
        <v/>
      </c>
      <c r="W44" s="2">
        <f>MAX(J44:U44)</f>
        <v/>
      </c>
      <c r="X44" s="2">
        <f>W44*G44</f>
        <v/>
      </c>
    </row>
    <row r="45">
      <c r="A45" s="2" t="inlineStr">
        <is>
          <t>14-K-025</t>
        </is>
      </c>
      <c r="B45" s="3" t="inlineStr">
        <is>
          <t>OJC-A1-LC/LC-MM(OM3)-25-PC/PC-DP</t>
        </is>
      </c>
      <c r="C45" s="2" t="inlineStr"/>
      <c r="D45" s="2" t="inlineStr">
        <is>
          <t>om3</t>
        </is>
      </c>
      <c r="E45" s="2" t="inlineStr">
        <is>
          <t>2.0mm</t>
        </is>
      </c>
      <c r="F45" s="2" t="n">
        <v>2</v>
      </c>
      <c r="G45" s="2" t="n">
        <v>25</v>
      </c>
      <c r="H45" s="2" t="inlineStr">
        <is>
          <t>LC/PC</t>
        </is>
      </c>
      <c r="I45" s="2" t="inlineStr">
        <is>
          <t>LC/PC</t>
        </is>
      </c>
      <c r="J45" s="2" t="n">
        <v>20</v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>
        <f>SUM(J45:U45)*G45</f>
        <v/>
      </c>
      <c r="W45" s="2">
        <f>MAX(J45:U45)</f>
        <v/>
      </c>
      <c r="X45" s="2">
        <f>W45*G45</f>
        <v/>
      </c>
    </row>
    <row r="46">
      <c r="A46" s="2" t="inlineStr">
        <is>
          <t>14-K-031</t>
        </is>
      </c>
      <c r="B46" s="3" t="inlineStr">
        <is>
          <t>OJC-A1-LC/LC-MM(OM3)-5-PC/PC-DP</t>
        </is>
      </c>
      <c r="C46" s="2" t="inlineStr"/>
      <c r="D46" s="2" t="inlineStr">
        <is>
          <t>om3</t>
        </is>
      </c>
      <c r="E46" s="2" t="inlineStr">
        <is>
          <t>2.0mm</t>
        </is>
      </c>
      <c r="F46" s="2" t="n">
        <v>2</v>
      </c>
      <c r="G46" s="2" t="n">
        <v>5</v>
      </c>
      <c r="H46" s="2" t="inlineStr">
        <is>
          <t>LC/PC</t>
        </is>
      </c>
      <c r="I46" s="2" t="inlineStr">
        <is>
          <t>LC/PC</t>
        </is>
      </c>
      <c r="J46" s="2" t="n"/>
      <c r="K46" s="2" t="n"/>
      <c r="L46" s="2" t="n">
        <v>10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>
        <f>SUM(J46:U46)*G46</f>
        <v/>
      </c>
      <c r="W46" s="2">
        <f>MAX(J46:U46)</f>
        <v/>
      </c>
      <c r="X46" s="2">
        <f>W46*G46</f>
        <v/>
      </c>
    </row>
    <row r="47">
      <c r="A47" s="2" t="inlineStr">
        <is>
          <t>14-K-078</t>
        </is>
      </c>
      <c r="B47" s="3" t="inlineStr">
        <is>
          <t>OJC-A1-LC/LC-SM-10-PC/PC-DP</t>
        </is>
      </c>
      <c r="C47" s="2" t="inlineStr">
        <is>
          <t>K9089176</t>
        </is>
      </c>
      <c r="D47" s="2" t="inlineStr">
        <is>
          <t>a1</t>
        </is>
      </c>
      <c r="E47" s="2" t="inlineStr">
        <is>
          <t>2.0mm</t>
        </is>
      </c>
      <c r="F47" s="2" t="n">
        <v>2</v>
      </c>
      <c r="G47" s="2" t="n">
        <v>10</v>
      </c>
      <c r="H47" s="2" t="inlineStr">
        <is>
          <t>LC/PC</t>
        </is>
      </c>
      <c r="I47" s="2" t="inlineStr">
        <is>
          <t>LC/PC</t>
        </is>
      </c>
      <c r="J47" s="2" t="n">
        <v>30</v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>
        <f>SUM(J47:U47)*G47</f>
        <v/>
      </c>
      <c r="W47" s="2">
        <f>MAX(J47:U47)</f>
        <v/>
      </c>
      <c r="X47" s="2">
        <f>W47*G47</f>
        <v/>
      </c>
    </row>
    <row r="48">
      <c r="A48" s="2" t="inlineStr">
        <is>
          <t>14-K-078R</t>
        </is>
      </c>
      <c r="B48" s="3" t="inlineStr">
        <is>
          <t>OJC-A1-LC/LC-SM-10-PC/PC-DP</t>
        </is>
      </c>
      <c r="C48" s="2" t="inlineStr">
        <is>
          <t>K9089176_적색</t>
        </is>
      </c>
      <c r="D48" s="2" t="inlineStr">
        <is>
          <t>a1-적</t>
        </is>
      </c>
      <c r="E48" s="2" t="inlineStr">
        <is>
          <t>2.0mm</t>
        </is>
      </c>
      <c r="F48" s="2" t="n">
        <v>2</v>
      </c>
      <c r="G48" s="2" t="n">
        <v>10</v>
      </c>
      <c r="H48" s="2" t="inlineStr">
        <is>
          <t>LC/PC</t>
        </is>
      </c>
      <c r="I48" s="2" t="inlineStr">
        <is>
          <t>LC/PC</t>
        </is>
      </c>
      <c r="J48" s="2" t="n"/>
      <c r="K48" s="2" t="n"/>
      <c r="L48" s="2" t="n">
        <v>30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>
        <f>SUM(J48:U48)*G48</f>
        <v/>
      </c>
      <c r="W48" s="2">
        <f>MAX(J48:U48)</f>
        <v/>
      </c>
      <c r="X48" s="2">
        <f>W48*G48</f>
        <v/>
      </c>
    </row>
    <row r="49">
      <c r="A49" s="2" t="inlineStr">
        <is>
          <t>14-K-083R</t>
        </is>
      </c>
      <c r="B49" s="3" t="inlineStr">
        <is>
          <t>OJC-A1-LC/LC-SM-15-PC/PC-DP</t>
        </is>
      </c>
      <c r="C49" s="2" t="inlineStr">
        <is>
          <t>K9089177_적색</t>
        </is>
      </c>
      <c r="D49" s="2" t="inlineStr">
        <is>
          <t>a1-적</t>
        </is>
      </c>
      <c r="E49" s="2" t="inlineStr">
        <is>
          <t>2.0mm</t>
        </is>
      </c>
      <c r="F49" s="2" t="n">
        <v>2</v>
      </c>
      <c r="G49" s="2" t="n">
        <v>15</v>
      </c>
      <c r="H49" s="2" t="inlineStr">
        <is>
          <t>LC/PC</t>
        </is>
      </c>
      <c r="I49" s="2" t="inlineStr">
        <is>
          <t>LC/PC</t>
        </is>
      </c>
      <c r="J49" s="2" t="n"/>
      <c r="K49" s="2" t="n"/>
      <c r="L49" s="2" t="n">
        <v>30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>
        <f>SUM(J49:U49)*G49</f>
        <v/>
      </c>
      <c r="W49" s="2">
        <f>MAX(J49:U49)</f>
        <v/>
      </c>
      <c r="X49" s="2">
        <f>W49*G49</f>
        <v/>
      </c>
    </row>
    <row r="50">
      <c r="A50" s="2" t="inlineStr">
        <is>
          <t>14-K-085</t>
        </is>
      </c>
      <c r="B50" s="3" t="inlineStr">
        <is>
          <t>OJC-A1-LC/LC-SM-1-PC/PC-DP</t>
        </is>
      </c>
      <c r="C50" s="2" t="inlineStr">
        <is>
          <t>K9089171</t>
        </is>
      </c>
      <c r="D50" s="2" t="inlineStr">
        <is>
          <t>a1</t>
        </is>
      </c>
      <c r="E50" s="2" t="inlineStr">
        <is>
          <t>2.0mm</t>
        </is>
      </c>
      <c r="F50" s="2" t="n">
        <v>2</v>
      </c>
      <c r="G50" s="2" t="n">
        <v>1</v>
      </c>
      <c r="H50" s="2" t="inlineStr">
        <is>
          <t>LC/PC</t>
        </is>
      </c>
      <c r="I50" s="2" t="inlineStr">
        <is>
          <t>LC/PC</t>
        </is>
      </c>
      <c r="J50" s="2" t="n">
        <v>106</v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>
        <f>SUM(J50:U50)*G50</f>
        <v/>
      </c>
      <c r="W50" s="2">
        <f>MAX(J50:U50)</f>
        <v/>
      </c>
      <c r="X50" s="2">
        <f>W50*G50</f>
        <v/>
      </c>
    </row>
    <row r="51">
      <c r="A51" s="2" t="inlineStr">
        <is>
          <t>14-K-087</t>
        </is>
      </c>
      <c r="B51" s="3" t="inlineStr">
        <is>
          <t>OJC-A1-LC/LC-SM-20-PC/PC-DP</t>
        </is>
      </c>
      <c r="C51" s="2" t="inlineStr">
        <is>
          <t>K9089178</t>
        </is>
      </c>
      <c r="D51" s="2" t="inlineStr">
        <is>
          <t>a1</t>
        </is>
      </c>
      <c r="E51" s="2" t="inlineStr">
        <is>
          <t>2.0mm</t>
        </is>
      </c>
      <c r="F51" s="2" t="n">
        <v>2</v>
      </c>
      <c r="G51" s="2" t="n">
        <v>20</v>
      </c>
      <c r="H51" s="2" t="inlineStr">
        <is>
          <t>LC/PC</t>
        </is>
      </c>
      <c r="I51" s="2" t="inlineStr">
        <is>
          <t>LC/PC</t>
        </is>
      </c>
      <c r="J51" s="2" t="n">
        <v>60</v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>
        <f>SUM(J51:U51)*G51</f>
        <v/>
      </c>
      <c r="W51" s="2">
        <f>MAX(J51:U51)</f>
        <v/>
      </c>
      <c r="X51" s="2">
        <f>W51*G51</f>
        <v/>
      </c>
    </row>
    <row r="52">
      <c r="A52" s="2" t="inlineStr">
        <is>
          <t>14-K-097</t>
        </is>
      </c>
      <c r="B52" s="3" t="inlineStr">
        <is>
          <t>OJC-A1-LC/LC-SM-3-PC/PC-DP</t>
        </is>
      </c>
      <c r="C52" s="2" t="inlineStr">
        <is>
          <t>K9089173</t>
        </is>
      </c>
      <c r="D52" s="2" t="inlineStr">
        <is>
          <t>a1</t>
        </is>
      </c>
      <c r="E52" s="2" t="inlineStr">
        <is>
          <t>2.0mm</t>
        </is>
      </c>
      <c r="F52" s="2" t="n">
        <v>2</v>
      </c>
      <c r="G52" s="2" t="n">
        <v>3</v>
      </c>
      <c r="H52" s="2" t="inlineStr">
        <is>
          <t>LC/PC</t>
        </is>
      </c>
      <c r="I52" s="2" t="inlineStr">
        <is>
          <t>LC/PC</t>
        </is>
      </c>
      <c r="J52" s="2" t="n">
        <v>5</v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>
        <f>SUM(J52:U52)*G52</f>
        <v/>
      </c>
      <c r="W52" s="2">
        <f>MAX(J52:U52)</f>
        <v/>
      </c>
      <c r="X52" s="2">
        <f>W52*G52</f>
        <v/>
      </c>
    </row>
    <row r="53">
      <c r="A53" s="2" t="inlineStr">
        <is>
          <t>14-K-173</t>
        </is>
      </c>
      <c r="B53" s="3" t="inlineStr">
        <is>
          <t>OJC-A1-SC/LC-SM-10-APC/PC-SP</t>
        </is>
      </c>
      <c r="C53" s="2" t="inlineStr"/>
      <c r="D53" s="2" t="inlineStr">
        <is>
          <t>a1</t>
        </is>
      </c>
      <c r="E53" s="2" t="inlineStr">
        <is>
          <t>2.0mm</t>
        </is>
      </c>
      <c r="F53" s="2" t="n">
        <v>1</v>
      </c>
      <c r="G53" s="2" t="n">
        <v>10</v>
      </c>
      <c r="H53" s="2" t="inlineStr">
        <is>
          <t>SC/APC</t>
        </is>
      </c>
      <c r="I53" s="2" t="inlineStr">
        <is>
          <t>LC/PC</t>
        </is>
      </c>
      <c r="J53" s="2" t="n"/>
      <c r="K53" s="2" t="n">
        <v>10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>
        <f>SUM(J53:U53)*G53</f>
        <v/>
      </c>
      <c r="W53" s="2">
        <f>MAX(J53:U53)</f>
        <v/>
      </c>
      <c r="X53" s="2">
        <f>W53*G53</f>
        <v/>
      </c>
    </row>
    <row r="54">
      <c r="A54" s="2" t="inlineStr">
        <is>
          <t>14-K-177</t>
        </is>
      </c>
      <c r="B54" s="3" t="inlineStr">
        <is>
          <t>OJC-A1-SC/LC-SM-10-PC/PC-SP</t>
        </is>
      </c>
      <c r="C54" s="2" t="inlineStr">
        <is>
          <t>K9089033</t>
        </is>
      </c>
      <c r="D54" s="2" t="inlineStr">
        <is>
          <t>a1</t>
        </is>
      </c>
      <c r="E54" s="2" t="inlineStr">
        <is>
          <t>2.0mm</t>
        </is>
      </c>
      <c r="F54" s="2" t="n">
        <v>1</v>
      </c>
      <c r="G54" s="2" t="n">
        <v>10</v>
      </c>
      <c r="H54" s="2" t="inlineStr">
        <is>
          <t>SC/PC</t>
        </is>
      </c>
      <c r="I54" s="2" t="inlineStr">
        <is>
          <t>LC/PC</t>
        </is>
      </c>
      <c r="J54" s="2" t="n"/>
      <c r="K54" s="2" t="n">
        <v>8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>
        <f>SUM(J54:U54)*G54</f>
        <v/>
      </c>
      <c r="W54" s="2">
        <f>MAX(J54:U54)</f>
        <v/>
      </c>
      <c r="X54" s="2">
        <f>W54*G54</f>
        <v/>
      </c>
    </row>
    <row r="55">
      <c r="A55" s="2" t="inlineStr">
        <is>
          <t>14-K-177R</t>
        </is>
      </c>
      <c r="B55" s="3" t="inlineStr">
        <is>
          <t>OJC-A1-SC/LC-SM-10-PC/PC-SP</t>
        </is>
      </c>
      <c r="C55" s="2" t="inlineStr">
        <is>
          <t>K9089033_적색</t>
        </is>
      </c>
      <c r="D55" s="2" t="inlineStr">
        <is>
          <t>a1-적</t>
        </is>
      </c>
      <c r="E55" s="2" t="inlineStr">
        <is>
          <t>2.0mm</t>
        </is>
      </c>
      <c r="F55" s="2" t="n">
        <v>1</v>
      </c>
      <c r="G55" s="2" t="n">
        <v>10</v>
      </c>
      <c r="H55" s="2" t="inlineStr">
        <is>
          <t>SC/PC</t>
        </is>
      </c>
      <c r="I55" s="2" t="inlineStr">
        <is>
          <t>LC/PC</t>
        </is>
      </c>
      <c r="J55" s="2" t="n"/>
      <c r="K55" s="2" t="n"/>
      <c r="L55" s="2" t="n">
        <v>100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>
        <f>SUM(J55:U55)*G55</f>
        <v/>
      </c>
      <c r="W55" s="2">
        <f>MAX(J55:U55)</f>
        <v/>
      </c>
      <c r="X55" s="2">
        <f>W55*G55</f>
        <v/>
      </c>
    </row>
    <row r="56">
      <c r="A56" s="2" t="inlineStr">
        <is>
          <t>14-K-198</t>
        </is>
      </c>
      <c r="B56" s="3" t="inlineStr">
        <is>
          <t>OJC-A1-SC/LC-SM-1-PC/PC-DP</t>
        </is>
      </c>
      <c r="C56" s="2" t="inlineStr">
        <is>
          <t>K9089157</t>
        </is>
      </c>
      <c r="D56" s="2" t="inlineStr">
        <is>
          <t>a1</t>
        </is>
      </c>
      <c r="E56" s="2" t="inlineStr">
        <is>
          <t>2.0mm</t>
        </is>
      </c>
      <c r="F56" s="2" t="n">
        <v>2</v>
      </c>
      <c r="G56" s="2" t="n">
        <v>1</v>
      </c>
      <c r="H56" s="2" t="inlineStr">
        <is>
          <t>SC/PC</t>
        </is>
      </c>
      <c r="I56" s="2" t="inlineStr">
        <is>
          <t>LC/PC</t>
        </is>
      </c>
      <c r="J56" s="2" t="n">
        <v>354</v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>
        <f>SUM(J56:U56)*G56</f>
        <v/>
      </c>
      <c r="W56" s="2">
        <f>MAX(J56:U56)</f>
        <v/>
      </c>
      <c r="X56" s="2">
        <f>W56*G56</f>
        <v/>
      </c>
    </row>
    <row r="57">
      <c r="A57" s="2" t="inlineStr">
        <is>
          <t>14-K-199</t>
        </is>
      </c>
      <c r="B57" s="3" t="inlineStr">
        <is>
          <t>OJC-A1-SC/LC-SM-1-PC/PC-SP</t>
        </is>
      </c>
      <c r="C57" s="2" t="inlineStr">
        <is>
          <t>K9089028</t>
        </is>
      </c>
      <c r="D57" s="2" t="inlineStr">
        <is>
          <t>a1</t>
        </is>
      </c>
      <c r="E57" s="2" t="inlineStr">
        <is>
          <t>2.0mm</t>
        </is>
      </c>
      <c r="F57" s="2" t="n">
        <v>1</v>
      </c>
      <c r="G57" s="2" t="n">
        <v>1</v>
      </c>
      <c r="H57" s="2" t="inlineStr">
        <is>
          <t>SC/PC</t>
        </is>
      </c>
      <c r="I57" s="2" t="inlineStr">
        <is>
          <t>LC/PC</t>
        </is>
      </c>
      <c r="J57" s="2" t="n">
        <v>80</v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>
        <f>SUM(J57:U57)*G57</f>
        <v/>
      </c>
      <c r="W57" s="2">
        <f>MAX(J57:U57)</f>
        <v/>
      </c>
      <c r="X57" s="2">
        <f>W57*G57</f>
        <v/>
      </c>
    </row>
    <row r="58">
      <c r="A58" s="2" t="inlineStr">
        <is>
          <t>14-K-225</t>
        </is>
      </c>
      <c r="B58" s="3" t="inlineStr">
        <is>
          <t>OJC-A1-SC/LC-SM-3-PC/PC-DP</t>
        </is>
      </c>
      <c r="C58" s="2" t="inlineStr">
        <is>
          <t>K9089159</t>
        </is>
      </c>
      <c r="D58" s="2" t="inlineStr">
        <is>
          <t>a1</t>
        </is>
      </c>
      <c r="E58" s="2" t="inlineStr">
        <is>
          <t>2.0mm</t>
        </is>
      </c>
      <c r="F58" s="2" t="n">
        <v>2</v>
      </c>
      <c r="G58" s="2" t="n">
        <v>3</v>
      </c>
      <c r="H58" s="2" t="inlineStr">
        <is>
          <t>SC/PC</t>
        </is>
      </c>
      <c r="I58" s="2" t="inlineStr">
        <is>
          <t>LC/PC</t>
        </is>
      </c>
      <c r="J58" s="2" t="n"/>
      <c r="K58" s="2" t="n"/>
      <c r="L58" s="2" t="n">
        <v>5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>
        <f>SUM(J58:U58)*G58</f>
        <v/>
      </c>
      <c r="W58" s="2">
        <f>MAX(J58:U58)</f>
        <v/>
      </c>
      <c r="X58" s="2">
        <f>W58*G58</f>
        <v/>
      </c>
    </row>
    <row r="59">
      <c r="A59" s="2" t="inlineStr">
        <is>
          <t>14-K-226</t>
        </is>
      </c>
      <c r="B59" s="3" t="inlineStr">
        <is>
          <t>OJC-A1-SC/LC-SM-3-PC/PC-SP</t>
        </is>
      </c>
      <c r="C59" s="2" t="inlineStr">
        <is>
          <t>K9089030</t>
        </is>
      </c>
      <c r="D59" s="2" t="inlineStr">
        <is>
          <t>a1</t>
        </is>
      </c>
      <c r="E59" s="2" t="inlineStr">
        <is>
          <t>2.0mm</t>
        </is>
      </c>
      <c r="F59" s="2" t="n">
        <v>1</v>
      </c>
      <c r="G59" s="2" t="n">
        <v>3</v>
      </c>
      <c r="H59" s="2" t="inlineStr">
        <is>
          <t>SC/PC</t>
        </is>
      </c>
      <c r="I59" s="2" t="inlineStr">
        <is>
          <t>LC/PC</t>
        </is>
      </c>
      <c r="J59" s="2" t="n">
        <v>13</v>
      </c>
      <c r="K59" s="2" t="n"/>
      <c r="L59" s="2" t="n">
        <v>255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>
        <f>SUM(J59:U59)*G59</f>
        <v/>
      </c>
      <c r="W59" s="2">
        <f>MAX(J59:U59)</f>
        <v/>
      </c>
      <c r="X59" s="2">
        <f>W59*G59</f>
        <v/>
      </c>
    </row>
    <row r="60">
      <c r="A60" s="2" t="inlineStr">
        <is>
          <t>14-K-229</t>
        </is>
      </c>
      <c r="B60" s="3" t="inlineStr">
        <is>
          <t>OJC-A1-SC/LC-SM-45-PC/PC-DP</t>
        </is>
      </c>
      <c r="C60" s="2" t="inlineStr">
        <is>
          <t>K9089169</t>
        </is>
      </c>
      <c r="D60" s="2" t="inlineStr">
        <is>
          <t>a1</t>
        </is>
      </c>
      <c r="E60" s="2" t="inlineStr">
        <is>
          <t>2.0mm</t>
        </is>
      </c>
      <c r="F60" s="2" t="n">
        <v>2</v>
      </c>
      <c r="G60" s="2" t="n">
        <v>45</v>
      </c>
      <c r="H60" s="2" t="inlineStr">
        <is>
          <t>SC/PC</t>
        </is>
      </c>
      <c r="I60" s="2" t="inlineStr">
        <is>
          <t>LC/PC</t>
        </is>
      </c>
      <c r="J60" s="2" t="n"/>
      <c r="K60" s="2" t="n">
        <v>20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>
        <f>SUM(J60:U60)*G60</f>
        <v/>
      </c>
      <c r="W60" s="2">
        <f>MAX(J60:U60)</f>
        <v/>
      </c>
      <c r="X60" s="2">
        <f>W60*G60</f>
        <v/>
      </c>
    </row>
    <row r="61">
      <c r="A61" s="2" t="inlineStr">
        <is>
          <t>14-K-231</t>
        </is>
      </c>
      <c r="B61" s="3" t="inlineStr">
        <is>
          <t>OJC-A1-SC/LC-SM-4-PC/PC-DP</t>
        </is>
      </c>
      <c r="C61" s="2" t="inlineStr">
        <is>
          <t>K9089160</t>
        </is>
      </c>
      <c r="D61" s="2" t="inlineStr">
        <is>
          <t>a1</t>
        </is>
      </c>
      <c r="E61" s="2" t="inlineStr">
        <is>
          <t>2.0mm</t>
        </is>
      </c>
      <c r="F61" s="2" t="n">
        <v>2</v>
      </c>
      <c r="G61" s="2" t="n">
        <v>4</v>
      </c>
      <c r="H61" s="2" t="inlineStr">
        <is>
          <t>SC/PC</t>
        </is>
      </c>
      <c r="I61" s="2" t="inlineStr">
        <is>
          <t>LC/PC</t>
        </is>
      </c>
      <c r="J61" s="2" t="n">
        <v>50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>
        <f>SUM(J61:U61)*G61</f>
        <v/>
      </c>
      <c r="W61" s="2">
        <f>MAX(J61:U61)</f>
        <v/>
      </c>
      <c r="X61" s="2">
        <f>W61*G61</f>
        <v/>
      </c>
    </row>
    <row r="62">
      <c r="A62" s="2" t="inlineStr">
        <is>
          <t>14-K-232</t>
        </is>
      </c>
      <c r="B62" s="3" t="inlineStr">
        <is>
          <t>OJC-A1-SC/LC-SM-50-PC/PC-DP</t>
        </is>
      </c>
      <c r="C62" s="2" t="inlineStr">
        <is>
          <t>K9089170</t>
        </is>
      </c>
      <c r="D62" s="2" t="inlineStr">
        <is>
          <t>a1</t>
        </is>
      </c>
      <c r="E62" s="2" t="inlineStr">
        <is>
          <t>2.0mm</t>
        </is>
      </c>
      <c r="F62" s="2" t="n">
        <v>2</v>
      </c>
      <c r="G62" s="2" t="n">
        <v>50</v>
      </c>
      <c r="H62" s="2" t="inlineStr">
        <is>
          <t>SC/PC</t>
        </is>
      </c>
      <c r="I62" s="2" t="inlineStr">
        <is>
          <t>LC/PC</t>
        </is>
      </c>
      <c r="J62" s="2" t="n">
        <v>50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>
        <f>SUM(J62:U62)*G62</f>
        <v/>
      </c>
      <c r="W62" s="2">
        <f>MAX(J62:U62)</f>
        <v/>
      </c>
      <c r="X62" s="2">
        <f>W62*G62</f>
        <v/>
      </c>
    </row>
    <row r="63">
      <c r="A63" s="2" t="inlineStr">
        <is>
          <t>14-K-236</t>
        </is>
      </c>
      <c r="B63" s="3" t="inlineStr">
        <is>
          <t>OJC-A1-SC/LC-SM-5-PC/PC-DP</t>
        </is>
      </c>
      <c r="C63" s="2" t="inlineStr">
        <is>
          <t>K9089161</t>
        </is>
      </c>
      <c r="D63" s="2" t="inlineStr">
        <is>
          <t>a1</t>
        </is>
      </c>
      <c r="E63" s="2" t="inlineStr">
        <is>
          <t>2.0mm</t>
        </is>
      </c>
      <c r="F63" s="2" t="n">
        <v>2</v>
      </c>
      <c r="G63" s="2" t="n">
        <v>5</v>
      </c>
      <c r="H63" s="2" t="inlineStr">
        <is>
          <t>SC/PC</t>
        </is>
      </c>
      <c r="I63" s="2" t="inlineStr">
        <is>
          <t>LC/PC</t>
        </is>
      </c>
      <c r="J63" s="2" t="n">
        <v>50</v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>
        <f>SUM(J63:U63)*G63</f>
        <v/>
      </c>
      <c r="W63" s="2">
        <f>MAX(J63:U63)</f>
        <v/>
      </c>
      <c r="X63" s="2">
        <f>W63*G63</f>
        <v/>
      </c>
    </row>
    <row r="64">
      <c r="A64" s="2" t="inlineStr">
        <is>
          <t>14-K-237</t>
        </is>
      </c>
      <c r="B64" s="3" t="inlineStr">
        <is>
          <t>OJC-A1-SC/LC-SM-5-PC/PC-SP</t>
        </is>
      </c>
      <c r="C64" s="2" t="inlineStr">
        <is>
          <t>K9089032</t>
        </is>
      </c>
      <c r="D64" s="2" t="inlineStr">
        <is>
          <t>a1</t>
        </is>
      </c>
      <c r="E64" s="2" t="inlineStr">
        <is>
          <t>2.0mm</t>
        </is>
      </c>
      <c r="F64" s="2" t="n">
        <v>1</v>
      </c>
      <c r="G64" s="2" t="n">
        <v>5</v>
      </c>
      <c r="H64" s="2" t="inlineStr">
        <is>
          <t>SC/PC</t>
        </is>
      </c>
      <c r="I64" s="2" t="inlineStr">
        <is>
          <t>LC/PC</t>
        </is>
      </c>
      <c r="J64" s="2" t="n">
        <v>20</v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>
        <f>SUM(J64:U64)*G64</f>
        <v/>
      </c>
      <c r="W64" s="2">
        <f>MAX(J64:U64)</f>
        <v/>
      </c>
      <c r="X64" s="2">
        <f>W64*G64</f>
        <v/>
      </c>
    </row>
    <row r="65">
      <c r="A65" s="2" t="inlineStr">
        <is>
          <t>14-K-287</t>
        </is>
      </c>
      <c r="B65" s="3" t="inlineStr">
        <is>
          <t>OJC-A1-SC/SC-SM-10-APC/APC-SP</t>
        </is>
      </c>
      <c r="C65" s="2" t="inlineStr"/>
      <c r="D65" s="2" t="inlineStr">
        <is>
          <t>a1</t>
        </is>
      </c>
      <c r="E65" s="2" t="inlineStr">
        <is>
          <t>2.0mm</t>
        </is>
      </c>
      <c r="F65" s="2" t="n">
        <v>1</v>
      </c>
      <c r="G65" s="2" t="n">
        <v>10</v>
      </c>
      <c r="H65" s="2" t="inlineStr">
        <is>
          <t>SC/APC</t>
        </is>
      </c>
      <c r="I65" s="2" t="inlineStr">
        <is>
          <t>SC/APC</t>
        </is>
      </c>
      <c r="J65" s="2" t="n"/>
      <c r="K65" s="2" t="n">
        <v>24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>
        <f>SUM(J65:U65)*G65</f>
        <v/>
      </c>
      <c r="W65" s="2">
        <f>MAX(J65:U65)</f>
        <v/>
      </c>
      <c r="X65" s="2">
        <f>W65*G65</f>
        <v/>
      </c>
    </row>
    <row r="66">
      <c r="A66" s="2" t="inlineStr">
        <is>
          <t>14-K-290</t>
        </is>
      </c>
      <c r="B66" s="3" t="inlineStr">
        <is>
          <t>OJC-A1-SC/SC-SM-10-PC/PC-DP</t>
        </is>
      </c>
      <c r="C66" s="2" t="inlineStr">
        <is>
          <t>K9089132</t>
        </is>
      </c>
      <c r="D66" s="2" t="inlineStr">
        <is>
          <t>a1</t>
        </is>
      </c>
      <c r="E66" s="2" t="inlineStr">
        <is>
          <t>2.0mm</t>
        </is>
      </c>
      <c r="F66" s="2" t="n">
        <v>2</v>
      </c>
      <c r="G66" s="2" t="n">
        <v>10</v>
      </c>
      <c r="H66" s="2" t="inlineStr">
        <is>
          <t>SC/PC</t>
        </is>
      </c>
      <c r="I66" s="2" t="inlineStr">
        <is>
          <t>SC/PC</t>
        </is>
      </c>
      <c r="J66" s="2" t="n">
        <v>11</v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>
        <f>SUM(J66:U66)*G66</f>
        <v/>
      </c>
      <c r="W66" s="2">
        <f>MAX(J66:U66)</f>
        <v/>
      </c>
      <c r="X66" s="2">
        <f>W66*G66</f>
        <v/>
      </c>
    </row>
    <row r="67">
      <c r="A67" s="2" t="inlineStr">
        <is>
          <t>14-K-291</t>
        </is>
      </c>
      <c r="B67" s="3" t="inlineStr">
        <is>
          <t>OJC-A1-SC/SC-SM-10-PC/PC-SP</t>
        </is>
      </c>
      <c r="C67" s="2" t="inlineStr">
        <is>
          <t>K9089003</t>
        </is>
      </c>
      <c r="D67" s="2" t="inlineStr">
        <is>
          <t>a1</t>
        </is>
      </c>
      <c r="E67" s="2" t="inlineStr">
        <is>
          <t>2.0mm</t>
        </is>
      </c>
      <c r="F67" s="2" t="n">
        <v>1</v>
      </c>
      <c r="G67" s="2" t="n">
        <v>10</v>
      </c>
      <c r="H67" s="2" t="inlineStr">
        <is>
          <t>SC/PC</t>
        </is>
      </c>
      <c r="I67" s="2" t="inlineStr">
        <is>
          <t>SC/PC</t>
        </is>
      </c>
      <c r="J67" s="2" t="n">
        <v>45</v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>
        <f>SUM(J67:U67)*G67</f>
        <v/>
      </c>
      <c r="W67" s="2">
        <f>MAX(J67:U67)</f>
        <v/>
      </c>
      <c r="X67" s="2">
        <f>W67*G67</f>
        <v/>
      </c>
    </row>
    <row r="68">
      <c r="A68" s="2" t="inlineStr">
        <is>
          <t>14-K-299</t>
        </is>
      </c>
      <c r="B68" s="3" t="inlineStr">
        <is>
          <t>OJC-A1-SC/SC-SM-15-APC/APC-SP</t>
        </is>
      </c>
      <c r="C68" s="2" t="inlineStr"/>
      <c r="D68" s="2" t="inlineStr">
        <is>
          <t>a1</t>
        </is>
      </c>
      <c r="E68" s="2" t="inlineStr">
        <is>
          <t>2.0mm</t>
        </is>
      </c>
      <c r="F68" s="2" t="n">
        <v>1</v>
      </c>
      <c r="G68" s="2" t="n">
        <v>15</v>
      </c>
      <c r="H68" s="2" t="inlineStr">
        <is>
          <t>SC/APC</t>
        </is>
      </c>
      <c r="I68" s="2" t="inlineStr">
        <is>
          <t>SC/APC</t>
        </is>
      </c>
      <c r="J68" s="2" t="n"/>
      <c r="K68" s="2" t="n">
        <v>40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>
        <f>SUM(J68:U68)*G68</f>
        <v/>
      </c>
      <c r="W68" s="2">
        <f>MAX(J68:U68)</f>
        <v/>
      </c>
      <c r="X68" s="2">
        <f>W68*G68</f>
        <v/>
      </c>
    </row>
    <row r="69">
      <c r="A69" s="2" t="inlineStr">
        <is>
          <t>14-K-318</t>
        </is>
      </c>
      <c r="B69" s="3" t="inlineStr">
        <is>
          <t>OJC-A1-SC/SC-SM-20-APC/APC-SP</t>
        </is>
      </c>
      <c r="C69" s="2" t="inlineStr"/>
      <c r="D69" s="2" t="inlineStr">
        <is>
          <t>a1</t>
        </is>
      </c>
      <c r="E69" s="2" t="inlineStr">
        <is>
          <t>2.0mm</t>
        </is>
      </c>
      <c r="F69" s="2" t="n">
        <v>1</v>
      </c>
      <c r="G69" s="2" t="n">
        <v>20</v>
      </c>
      <c r="H69" s="2" t="inlineStr">
        <is>
          <t>SC/APC</t>
        </is>
      </c>
      <c r="I69" s="2" t="inlineStr">
        <is>
          <t>SC/APC</t>
        </is>
      </c>
      <c r="J69" s="2" t="n"/>
      <c r="K69" s="2" t="n">
        <v>40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>
        <f>SUM(J69:U69)*G69</f>
        <v/>
      </c>
      <c r="W69" s="2">
        <f>MAX(J69:U69)</f>
        <v/>
      </c>
      <c r="X69" s="2">
        <f>W69*G69</f>
        <v/>
      </c>
    </row>
    <row r="70">
      <c r="A70" s="2" t="inlineStr">
        <is>
          <t>14-K-322</t>
        </is>
      </c>
      <c r="B70" s="3" t="inlineStr">
        <is>
          <t>OJC-A1-SC/SC-SM-20-PC/PC-SP</t>
        </is>
      </c>
      <c r="C70" s="2" t="inlineStr">
        <is>
          <t>K9089013</t>
        </is>
      </c>
      <c r="D70" s="2" t="inlineStr">
        <is>
          <t>a1</t>
        </is>
      </c>
      <c r="E70" s="2" t="inlineStr">
        <is>
          <t>2.0mm</t>
        </is>
      </c>
      <c r="F70" s="2" t="n">
        <v>1</v>
      </c>
      <c r="G70" s="2" t="n">
        <v>20</v>
      </c>
      <c r="H70" s="2" t="inlineStr">
        <is>
          <t>SC/PC</t>
        </is>
      </c>
      <c r="I70" s="2" t="inlineStr">
        <is>
          <t>SC/PC</t>
        </is>
      </c>
      <c r="J70" s="2" t="n">
        <v>104</v>
      </c>
      <c r="K70" s="2" t="n">
        <v>50</v>
      </c>
      <c r="L70" s="2" t="n">
        <v>100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>
        <f>SUM(J70:U70)*G70</f>
        <v/>
      </c>
      <c r="W70" s="2">
        <f>MAX(J70:U70)</f>
        <v/>
      </c>
      <c r="X70" s="2">
        <f>W70*G70</f>
        <v/>
      </c>
    </row>
    <row r="71">
      <c r="A71" s="2" t="inlineStr">
        <is>
          <t>14-K-337</t>
        </is>
      </c>
      <c r="B71" s="3" t="inlineStr">
        <is>
          <t>OJC-A1-SC/SC-SM-25-PC/PC-SP</t>
        </is>
      </c>
      <c r="C71" s="2" t="inlineStr">
        <is>
          <t>K9089018</t>
        </is>
      </c>
      <c r="D71" s="2" t="inlineStr">
        <is>
          <t>a1</t>
        </is>
      </c>
      <c r="E71" s="2" t="inlineStr">
        <is>
          <t>2.0mm</t>
        </is>
      </c>
      <c r="F71" s="2" t="n">
        <v>1</v>
      </c>
      <c r="G71" s="2" t="n">
        <v>25</v>
      </c>
      <c r="H71" s="2" t="inlineStr">
        <is>
          <t>SC/PC</t>
        </is>
      </c>
      <c r="I71" s="2" t="inlineStr">
        <is>
          <t>SC/PC</t>
        </is>
      </c>
      <c r="J71" s="2" t="n">
        <v>100</v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>
        <f>SUM(J71:U71)*G71</f>
        <v/>
      </c>
      <c r="W71" s="2">
        <f>MAX(J71:U71)</f>
        <v/>
      </c>
      <c r="X71" s="2">
        <f>W71*G71</f>
        <v/>
      </c>
    </row>
    <row r="72">
      <c r="A72" s="2" t="inlineStr">
        <is>
          <t>14-K-343</t>
        </is>
      </c>
      <c r="B72" s="3" t="inlineStr">
        <is>
          <t>OJC-A1-SC/SC-SM-2-APC/APC-SP</t>
        </is>
      </c>
      <c r="C72" s="2" t="inlineStr"/>
      <c r="D72" s="2" t="inlineStr">
        <is>
          <t>a1</t>
        </is>
      </c>
      <c r="E72" s="2" t="inlineStr">
        <is>
          <t>2.0mm</t>
        </is>
      </c>
      <c r="F72" s="2" t="n">
        <v>1</v>
      </c>
      <c r="G72" s="2" t="n">
        <v>2</v>
      </c>
      <c r="H72" s="2" t="inlineStr">
        <is>
          <t>SC/APC</t>
        </is>
      </c>
      <c r="I72" s="2" t="inlineStr">
        <is>
          <t>SC/APC</t>
        </is>
      </c>
      <c r="J72" s="2" t="n">
        <v>8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>
        <f>SUM(J72:U72)*G72</f>
        <v/>
      </c>
      <c r="W72" s="2">
        <f>MAX(J72:U72)</f>
        <v/>
      </c>
      <c r="X72" s="2">
        <f>W72*G72</f>
        <v/>
      </c>
    </row>
    <row r="73">
      <c r="A73" s="2" t="inlineStr">
        <is>
          <t>14-K-350</t>
        </is>
      </c>
      <c r="B73" s="3" t="inlineStr">
        <is>
          <t>OJC-A1-SC/SC-SM-30-PC/APC-DP</t>
        </is>
      </c>
      <c r="C73" s="2" t="inlineStr"/>
      <c r="D73" s="2" t="inlineStr">
        <is>
          <t>a1</t>
        </is>
      </c>
      <c r="E73" s="2" t="inlineStr">
        <is>
          <t>2.0mm</t>
        </is>
      </c>
      <c r="F73" s="2" t="n">
        <v>2</v>
      </c>
      <c r="G73" s="2" t="n">
        <v>30</v>
      </c>
      <c r="H73" s="2" t="inlineStr">
        <is>
          <t>SC/PC</t>
        </is>
      </c>
      <c r="I73" s="2" t="inlineStr">
        <is>
          <t>SC/APC</t>
        </is>
      </c>
      <c r="J73" s="2" t="n"/>
      <c r="K73" s="2" t="n">
        <v>1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>
        <f>SUM(J73:U73)*G73</f>
        <v/>
      </c>
      <c r="W73" s="2">
        <f>MAX(J73:U73)</f>
        <v/>
      </c>
      <c r="X73" s="2">
        <f>W73*G73</f>
        <v/>
      </c>
    </row>
    <row r="74">
      <c r="A74" s="2" t="inlineStr">
        <is>
          <t>14-K-351</t>
        </is>
      </c>
      <c r="B74" s="3" t="inlineStr">
        <is>
          <t>OJC-A1-SC/SC-SM-30-PC/APC-SP</t>
        </is>
      </c>
      <c r="C74" s="2" t="inlineStr">
        <is>
          <t>K9089063</t>
        </is>
      </c>
      <c r="D74" s="2" t="inlineStr">
        <is>
          <t>a1</t>
        </is>
      </c>
      <c r="E74" s="2" t="inlineStr">
        <is>
          <t>2.0mm</t>
        </is>
      </c>
      <c r="F74" s="2" t="n">
        <v>1</v>
      </c>
      <c r="G74" s="2" t="n">
        <v>30</v>
      </c>
      <c r="H74" s="2" t="inlineStr">
        <is>
          <t>SC/PC</t>
        </is>
      </c>
      <c r="I74" s="2" t="inlineStr">
        <is>
          <t>SC/APC</t>
        </is>
      </c>
      <c r="J74" s="2" t="n"/>
      <c r="K74" s="2" t="n"/>
      <c r="L74" s="2" t="n">
        <v>50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>
        <f>SUM(J74:U74)*G74</f>
        <v/>
      </c>
      <c r="W74" s="2">
        <f>MAX(J74:U74)</f>
        <v/>
      </c>
      <c r="X74" s="2">
        <f>W74*G74</f>
        <v/>
      </c>
    </row>
    <row r="75">
      <c r="A75" s="2" t="inlineStr">
        <is>
          <t>14-K-362</t>
        </is>
      </c>
      <c r="B75" s="3" t="inlineStr">
        <is>
          <t>OJC-A1-SC/SC-SM-3-PC/PC-SP</t>
        </is>
      </c>
      <c r="C75" s="2" t="inlineStr">
        <is>
          <t>K9088996</t>
        </is>
      </c>
      <c r="D75" s="2" t="inlineStr">
        <is>
          <t>a1</t>
        </is>
      </c>
      <c r="E75" s="2" t="inlineStr">
        <is>
          <t>2.0mm</t>
        </is>
      </c>
      <c r="F75" s="2" t="n">
        <v>1</v>
      </c>
      <c r="G75" s="2" t="n">
        <v>3</v>
      </c>
      <c r="H75" s="2" t="inlineStr">
        <is>
          <t>SC/PC</t>
        </is>
      </c>
      <c r="I75" s="2" t="inlineStr">
        <is>
          <t>SC/PC</t>
        </is>
      </c>
      <c r="J75" s="2" t="n">
        <v>15</v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>
        <f>SUM(J75:U75)*G75</f>
        <v/>
      </c>
      <c r="W75" s="2">
        <f>MAX(J75:U75)</f>
        <v/>
      </c>
      <c r="X75" s="2">
        <f>W75*G75</f>
        <v/>
      </c>
    </row>
    <row r="76">
      <c r="A76" s="2" t="inlineStr">
        <is>
          <t>14-K-364</t>
        </is>
      </c>
      <c r="B76" s="3" t="inlineStr">
        <is>
          <t>OJC-A1-SC/SC-SM-40-PC/PC-DP</t>
        </is>
      </c>
      <c r="C76" s="2" t="inlineStr">
        <is>
          <t>K9089154</t>
        </is>
      </c>
      <c r="D76" s="2" t="inlineStr">
        <is>
          <t>a1</t>
        </is>
      </c>
      <c r="E76" s="2" t="inlineStr">
        <is>
          <t>2.0mm</t>
        </is>
      </c>
      <c r="F76" s="2" t="n">
        <v>2</v>
      </c>
      <c r="G76" s="2" t="n">
        <v>40</v>
      </c>
      <c r="H76" s="2" t="inlineStr">
        <is>
          <t>SC/PC</t>
        </is>
      </c>
      <c r="I76" s="2" t="inlineStr">
        <is>
          <t>SC/PC</t>
        </is>
      </c>
      <c r="J76" s="2" t="n">
        <v>50</v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>
        <f>SUM(J76:U76)*G76</f>
        <v/>
      </c>
      <c r="W76" s="2">
        <f>MAX(J76:U76)</f>
        <v/>
      </c>
      <c r="X76" s="2">
        <f>W76*G76</f>
        <v/>
      </c>
    </row>
    <row r="77">
      <c r="A77" s="2" t="inlineStr">
        <is>
          <t>14-K-365</t>
        </is>
      </c>
      <c r="B77" s="3" t="inlineStr">
        <is>
          <t>OJC-A1-SC/SC-SM-40-PC/PC-SP</t>
        </is>
      </c>
      <c r="C77" s="2" t="inlineStr">
        <is>
          <t>K9089025</t>
        </is>
      </c>
      <c r="D77" s="2" t="inlineStr">
        <is>
          <t>a1</t>
        </is>
      </c>
      <c r="E77" s="2" t="inlineStr">
        <is>
          <t>2.0mm</t>
        </is>
      </c>
      <c r="F77" s="2" t="n">
        <v>1</v>
      </c>
      <c r="G77" s="2" t="n">
        <v>40</v>
      </c>
      <c r="H77" s="2" t="inlineStr">
        <is>
          <t>SC/PC</t>
        </is>
      </c>
      <c r="I77" s="2" t="inlineStr">
        <is>
          <t>SC/PC</t>
        </is>
      </c>
      <c r="J77" s="2" t="n">
        <v>3</v>
      </c>
      <c r="K77" s="2" t="n">
        <v>3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>
        <f>SUM(J77:U77)*G77</f>
        <v/>
      </c>
      <c r="W77" s="2">
        <f>MAX(J77:U77)</f>
        <v/>
      </c>
      <c r="X77" s="2">
        <f>W77*G77</f>
        <v/>
      </c>
    </row>
    <row r="78">
      <c r="A78" s="2" t="inlineStr">
        <is>
          <t>14-K-366</t>
        </is>
      </c>
      <c r="B78" s="3" t="inlineStr">
        <is>
          <t>OJC-A1-SC/SC-SM-45-PC/PC-DP</t>
        </is>
      </c>
      <c r="C78" s="2" t="inlineStr">
        <is>
          <t>K9089155</t>
        </is>
      </c>
      <c r="D78" s="2" t="inlineStr">
        <is>
          <t>a1</t>
        </is>
      </c>
      <c r="E78" s="2" t="inlineStr">
        <is>
          <t>2.0mm</t>
        </is>
      </c>
      <c r="F78" s="2" t="n">
        <v>2</v>
      </c>
      <c r="G78" s="2" t="n">
        <v>45</v>
      </c>
      <c r="H78" s="2" t="inlineStr">
        <is>
          <t>SC/PC</t>
        </is>
      </c>
      <c r="I78" s="2" t="inlineStr">
        <is>
          <t>SC/PC</t>
        </is>
      </c>
      <c r="J78" s="2" t="n"/>
      <c r="K78" s="2" t="n">
        <v>10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>
        <f>SUM(J78:U78)*G78</f>
        <v/>
      </c>
      <c r="W78" s="2">
        <f>MAX(J78:U78)</f>
        <v/>
      </c>
      <c r="X78" s="2">
        <f>W78*G78</f>
        <v/>
      </c>
    </row>
    <row r="79">
      <c r="A79" s="2" t="inlineStr">
        <is>
          <t>14-K-371</t>
        </is>
      </c>
      <c r="B79" s="3" t="inlineStr">
        <is>
          <t>OJC-A1-SC/SC-SM-50-PC/PC-DP</t>
        </is>
      </c>
      <c r="C79" s="2" t="inlineStr">
        <is>
          <t>K9089156</t>
        </is>
      </c>
      <c r="D79" s="2" t="inlineStr">
        <is>
          <t>a1</t>
        </is>
      </c>
      <c r="E79" s="2" t="inlineStr">
        <is>
          <t>2.0mm</t>
        </is>
      </c>
      <c r="F79" s="2" t="n">
        <v>2</v>
      </c>
      <c r="G79" s="2" t="n">
        <v>50</v>
      </c>
      <c r="H79" s="2" t="inlineStr">
        <is>
          <t>SC/PC</t>
        </is>
      </c>
      <c r="I79" s="2" t="inlineStr">
        <is>
          <t>SC/PC</t>
        </is>
      </c>
      <c r="J79" s="2" t="n">
        <v>50</v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>
        <f>SUM(J79:U79)*G79</f>
        <v/>
      </c>
      <c r="W79" s="2">
        <f>MAX(J79:U79)</f>
        <v/>
      </c>
      <c r="X79" s="2">
        <f>W79*G79</f>
        <v/>
      </c>
    </row>
    <row r="80">
      <c r="A80" s="2" t="inlineStr">
        <is>
          <t>14-K-375</t>
        </is>
      </c>
      <c r="B80" s="3" t="inlineStr">
        <is>
          <t>OJC-A1-SC/SC-SM-5-APC/APC-SP</t>
        </is>
      </c>
      <c r="C80" s="2" t="inlineStr"/>
      <c r="D80" s="2" t="inlineStr">
        <is>
          <t>a1</t>
        </is>
      </c>
      <c r="E80" s="2" t="inlineStr">
        <is>
          <t>2.0mm</t>
        </is>
      </c>
      <c r="F80" s="2" t="n">
        <v>1</v>
      </c>
      <c r="G80" s="2" t="n">
        <v>5</v>
      </c>
      <c r="H80" s="2" t="inlineStr">
        <is>
          <t>SC/APC</t>
        </is>
      </c>
      <c r="I80" s="2" t="inlineStr">
        <is>
          <t>SC/APC</t>
        </is>
      </c>
      <c r="J80" s="2" t="n"/>
      <c r="K80" s="2" t="n">
        <v>40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>
        <f>SUM(J80:U80)*G80</f>
        <v/>
      </c>
      <c r="W80" s="2">
        <f>MAX(J80:U80)</f>
        <v/>
      </c>
      <c r="X80" s="2">
        <f>W80*G80</f>
        <v/>
      </c>
    </row>
    <row r="81">
      <c r="A81" s="2" t="inlineStr">
        <is>
          <t>14-K-378</t>
        </is>
      </c>
      <c r="B81" s="3" t="inlineStr">
        <is>
          <t>OJC-A1-SC/SC-SM-5-PC/PC-DP</t>
        </is>
      </c>
      <c r="C81" s="2" t="inlineStr">
        <is>
          <t>K9089127</t>
        </is>
      </c>
      <c r="D81" s="2" t="inlineStr">
        <is>
          <t>a1</t>
        </is>
      </c>
      <c r="E81" s="2" t="inlineStr">
        <is>
          <t>2.0mm</t>
        </is>
      </c>
      <c r="F81" s="2" t="n">
        <v>2</v>
      </c>
      <c r="G81" s="2" t="n">
        <v>5</v>
      </c>
      <c r="H81" s="2" t="inlineStr">
        <is>
          <t>SC/PC</t>
        </is>
      </c>
      <c r="I81" s="2" t="inlineStr">
        <is>
          <t>SC/PC</t>
        </is>
      </c>
      <c r="J81" s="2" t="n">
        <v>232</v>
      </c>
      <c r="K81" s="2" t="n"/>
      <c r="L81" s="2" t="n">
        <v>130</v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>
        <f>SUM(J81:U81)*G81</f>
        <v/>
      </c>
      <c r="W81" s="2">
        <f>MAX(J81:U81)</f>
        <v/>
      </c>
      <c r="X81" s="2">
        <f>W81*G81</f>
        <v/>
      </c>
    </row>
    <row r="82">
      <c r="A82" s="2" t="inlineStr">
        <is>
          <t>14-K-386</t>
        </is>
      </c>
      <c r="B82" s="3" t="inlineStr">
        <is>
          <t>OJC-A1-SC/SC-SM-7-APC/APC-SP</t>
        </is>
      </c>
      <c r="C82" s="2" t="inlineStr"/>
      <c r="D82" s="2" t="inlineStr">
        <is>
          <t>a1</t>
        </is>
      </c>
      <c r="E82" s="2" t="inlineStr">
        <is>
          <t>2.0mm</t>
        </is>
      </c>
      <c r="F82" s="2" t="n">
        <v>1</v>
      </c>
      <c r="G82" s="2" t="n">
        <v>7</v>
      </c>
      <c r="H82" s="2" t="inlineStr">
        <is>
          <t>SC/APC</t>
        </is>
      </c>
      <c r="I82" s="2" t="inlineStr">
        <is>
          <t>SC/APC</t>
        </is>
      </c>
      <c r="J82" s="2" t="n"/>
      <c r="K82" s="2" t="n">
        <v>24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>
        <f>SUM(J82:U82)*G82</f>
        <v/>
      </c>
      <c r="W82" s="2">
        <f>MAX(J82:U82)</f>
        <v/>
      </c>
      <c r="X82" s="2">
        <f>W82*G82</f>
        <v/>
      </c>
    </row>
    <row r="83">
      <c r="A83" s="2" t="inlineStr">
        <is>
          <t>14-K-414</t>
        </is>
      </c>
      <c r="B83" s="3" t="inlineStr">
        <is>
          <t>OJC-A1-SC/LC-SM-3-APC/PC-SP</t>
        </is>
      </c>
      <c r="C83" s="2" t="inlineStr"/>
      <c r="D83" s="2" t="inlineStr">
        <is>
          <t>a1</t>
        </is>
      </c>
      <c r="E83" s="2" t="inlineStr">
        <is>
          <t>2.0mm</t>
        </is>
      </c>
      <c r="F83" s="2" t="n">
        <v>1</v>
      </c>
      <c r="G83" s="2" t="n">
        <v>3</v>
      </c>
      <c r="H83" s="2" t="inlineStr">
        <is>
          <t>SC/APC</t>
        </is>
      </c>
      <c r="I83" s="2" t="inlineStr">
        <is>
          <t>LC/PC</t>
        </is>
      </c>
      <c r="J83" s="2" t="n"/>
      <c r="K83" s="2" t="n">
        <v>1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>
        <f>SUM(J83:U83)*G83</f>
        <v/>
      </c>
      <c r="W83" s="2">
        <f>MAX(J83:U83)</f>
        <v/>
      </c>
      <c r="X83" s="2">
        <f>W83*G83</f>
        <v/>
      </c>
    </row>
    <row r="84">
      <c r="A84" s="2" t="inlineStr">
        <is>
          <t>14-K-456</t>
        </is>
      </c>
      <c r="B84" s="3" t="inlineStr">
        <is>
          <t>OJC-C2-SC/SC-SM-10-PC/PC-12C</t>
        </is>
      </c>
      <c r="C84" s="2" t="inlineStr">
        <is>
          <t>K9089453</t>
        </is>
      </c>
      <c r="D84" s="2" t="inlineStr">
        <is>
          <t>a1-12c</t>
        </is>
      </c>
      <c r="E84" s="2" t="inlineStr">
        <is>
          <t>2.0mm</t>
        </is>
      </c>
      <c r="F84" s="2" t="n">
        <v>12</v>
      </c>
      <c r="G84" s="2" t="n">
        <v>10</v>
      </c>
      <c r="H84" s="2" t="inlineStr">
        <is>
          <t>SC/PC</t>
        </is>
      </c>
      <c r="I84" s="2" t="inlineStr">
        <is>
          <t>SC/PC</t>
        </is>
      </c>
      <c r="J84" s="2" t="n"/>
      <c r="K84" s="2" t="n">
        <v>60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>
        <f>SUM(J84:U84)*G84</f>
        <v/>
      </c>
      <c r="W84" s="2">
        <f>MAX(J84:U84)</f>
        <v/>
      </c>
      <c r="X84" s="2">
        <f>W84*G84</f>
        <v/>
      </c>
    </row>
    <row r="85">
      <c r="A85" s="2" t="inlineStr">
        <is>
          <t>14-K-459</t>
        </is>
      </c>
      <c r="B85" s="3" t="inlineStr">
        <is>
          <t>OJC-C2-SC/SC-SM-10-PC/PC-8C</t>
        </is>
      </c>
      <c r="C85" s="2" t="inlineStr">
        <is>
          <t>K9089452</t>
        </is>
      </c>
      <c r="D85" s="2" t="inlineStr">
        <is>
          <t>a1-8c</t>
        </is>
      </c>
      <c r="E85" s="2" t="inlineStr">
        <is>
          <t>2.0mm</t>
        </is>
      </c>
      <c r="F85" s="2" t="n">
        <v>8</v>
      </c>
      <c r="G85" s="2" t="n">
        <v>10</v>
      </c>
      <c r="H85" s="2" t="inlineStr">
        <is>
          <t>SC/PC</t>
        </is>
      </c>
      <c r="I85" s="2" t="inlineStr">
        <is>
          <t>SC/PC</t>
        </is>
      </c>
      <c r="J85" s="2" t="n">
        <v>30</v>
      </c>
      <c r="K85" s="2" t="n">
        <v>60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>
        <f>SUM(J85:U85)*G85</f>
        <v/>
      </c>
      <c r="W85" s="2">
        <f>MAX(J85:U85)</f>
        <v/>
      </c>
      <c r="X85" s="2">
        <f>W85*G85</f>
        <v/>
      </c>
    </row>
    <row r="86">
      <c r="A86" s="2" t="inlineStr">
        <is>
          <t>14-K-474</t>
        </is>
      </c>
      <c r="B86" s="3" t="inlineStr">
        <is>
          <t>OJC-C2-SC/SC-SM-15-PC/PC-12C</t>
        </is>
      </c>
      <c r="C86" s="2" t="inlineStr">
        <is>
          <t>K9089453</t>
        </is>
      </c>
      <c r="D86" s="2" t="inlineStr">
        <is>
          <t>a1-12c</t>
        </is>
      </c>
      <c r="E86" s="2" t="inlineStr">
        <is>
          <t>2.0mm</t>
        </is>
      </c>
      <c r="F86" s="2" t="n">
        <v>12</v>
      </c>
      <c r="G86" s="2" t="n">
        <v>15</v>
      </c>
      <c r="H86" s="2" t="inlineStr">
        <is>
          <t>SC/PC</t>
        </is>
      </c>
      <c r="I86" s="2" t="inlineStr">
        <is>
          <t>SC/PC</t>
        </is>
      </c>
      <c r="J86" s="2" t="n"/>
      <c r="K86" s="2" t="n">
        <v>130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>
        <f>SUM(J86:U86)*G86</f>
        <v/>
      </c>
      <c r="W86" s="2">
        <f>MAX(J86:U86)</f>
        <v/>
      </c>
      <c r="X86" s="2">
        <f>W86*G86</f>
        <v/>
      </c>
    </row>
    <row r="87">
      <c r="A87" s="2" t="inlineStr">
        <is>
          <t>14-K-478</t>
        </is>
      </c>
      <c r="B87" s="3" t="inlineStr">
        <is>
          <t>OJC-C2-SC/SC-SM-15-PC/PC-4C</t>
        </is>
      </c>
      <c r="C87" s="2" t="inlineStr">
        <is>
          <t>K9089451</t>
        </is>
      </c>
      <c r="D87" s="2" t="inlineStr">
        <is>
          <t>b3-4c</t>
        </is>
      </c>
      <c r="E87" s="2" t="inlineStr">
        <is>
          <t>2.0mm</t>
        </is>
      </c>
      <c r="F87" s="2" t="n">
        <v>4</v>
      </c>
      <c r="G87" s="2" t="n">
        <v>15</v>
      </c>
      <c r="H87" s="2" t="inlineStr">
        <is>
          <t>SC/PC</t>
        </is>
      </c>
      <c r="I87" s="2" t="inlineStr">
        <is>
          <t>SC/PC</t>
        </is>
      </c>
      <c r="J87" s="2" t="n">
        <v>20</v>
      </c>
      <c r="K87" s="2" t="n"/>
      <c r="L87" s="2" t="n">
        <v>130</v>
      </c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>
        <f>SUM(J87:U87)*G87</f>
        <v/>
      </c>
      <c r="W87" s="2">
        <f>MAX(J87:U87)</f>
        <v/>
      </c>
      <c r="X87" s="2">
        <f>W87*G87</f>
        <v/>
      </c>
    </row>
    <row r="88">
      <c r="A88" s="2" t="inlineStr">
        <is>
          <t>14-K-479</t>
        </is>
      </c>
      <c r="B88" s="3" t="inlineStr">
        <is>
          <t>OJC-C2-SC/SC-SM-15-PC/PC-8C</t>
        </is>
      </c>
      <c r="C88" s="2" t="inlineStr">
        <is>
          <t>K9089452</t>
        </is>
      </c>
      <c r="D88" s="2" t="inlineStr">
        <is>
          <t>a1-8c</t>
        </is>
      </c>
      <c r="E88" s="2" t="inlineStr">
        <is>
          <t>2.0mm</t>
        </is>
      </c>
      <c r="F88" s="2" t="n">
        <v>8</v>
      </c>
      <c r="G88" s="2" t="n">
        <v>15</v>
      </c>
      <c r="H88" s="2" t="inlineStr">
        <is>
          <t>SC/PC</t>
        </is>
      </c>
      <c r="I88" s="2" t="inlineStr">
        <is>
          <t>SC/PC</t>
        </is>
      </c>
      <c r="J88" s="2" t="n">
        <v>30</v>
      </c>
      <c r="K88" s="2" t="n">
        <v>130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>
        <f>SUM(J88:U88)*G88</f>
        <v/>
      </c>
      <c r="W88" s="2">
        <f>MAX(J88:U88)</f>
        <v/>
      </c>
      <c r="X88" s="2">
        <f>W88*G88</f>
        <v/>
      </c>
    </row>
    <row r="89">
      <c r="A89" s="2" t="inlineStr">
        <is>
          <t>14-K-503</t>
        </is>
      </c>
      <c r="B89" s="3" t="inlineStr">
        <is>
          <t>OJC-C2-SC/SC-SM-20-PC/PC-12C</t>
        </is>
      </c>
      <c r="C89" s="2" t="inlineStr">
        <is>
          <t>K9089453</t>
        </is>
      </c>
      <c r="D89" s="2" t="inlineStr">
        <is>
          <t>a1-12c</t>
        </is>
      </c>
      <c r="E89" s="2" t="inlineStr">
        <is>
          <t>2.0mm</t>
        </is>
      </c>
      <c r="F89" s="2" t="n">
        <v>12</v>
      </c>
      <c r="G89" s="2" t="n">
        <v>20</v>
      </c>
      <c r="H89" s="2" t="inlineStr">
        <is>
          <t>SC/PC</t>
        </is>
      </c>
      <c r="I89" s="2" t="inlineStr">
        <is>
          <t>SC/PC</t>
        </is>
      </c>
      <c r="J89" s="2" t="n"/>
      <c r="K89" s="2" t="n">
        <v>130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>
        <f>SUM(J89:U89)*G89</f>
        <v/>
      </c>
      <c r="W89" s="2">
        <f>MAX(J89:U89)</f>
        <v/>
      </c>
      <c r="X89" s="2">
        <f>W89*G89</f>
        <v/>
      </c>
    </row>
    <row r="90">
      <c r="A90" s="2" t="inlineStr">
        <is>
          <t>14-K-505</t>
        </is>
      </c>
      <c r="B90" s="3" t="inlineStr">
        <is>
          <t>OJC-C2-SC/SC-SM-20-PC/PC-4C</t>
        </is>
      </c>
      <c r="C90" s="2" t="inlineStr">
        <is>
          <t>K9089451</t>
        </is>
      </c>
      <c r="D90" s="2" t="inlineStr">
        <is>
          <t>b3-4c</t>
        </is>
      </c>
      <c r="E90" s="2" t="inlineStr">
        <is>
          <t>2.0mm</t>
        </is>
      </c>
      <c r="F90" s="2" t="n">
        <v>4</v>
      </c>
      <c r="G90" s="2" t="n">
        <v>20</v>
      </c>
      <c r="H90" s="2" t="inlineStr">
        <is>
          <t>SC/PC</t>
        </is>
      </c>
      <c r="I90" s="2" t="inlineStr">
        <is>
          <t>SC/PC</t>
        </is>
      </c>
      <c r="J90" s="2" t="n">
        <v>20</v>
      </c>
      <c r="K90" s="2" t="n"/>
      <c r="L90" s="2" t="n">
        <v>130</v>
      </c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>
        <f>SUM(J90:U90)*G90</f>
        <v/>
      </c>
      <c r="W90" s="2">
        <f>MAX(J90:U90)</f>
        <v/>
      </c>
      <c r="X90" s="2">
        <f>W90*G90</f>
        <v/>
      </c>
    </row>
    <row r="91">
      <c r="A91" s="2" t="inlineStr">
        <is>
          <t>14-K-506</t>
        </is>
      </c>
      <c r="B91" s="3" t="inlineStr">
        <is>
          <t>OJC-C2-SC/SC-SM-20-PC/PC-8C</t>
        </is>
      </c>
      <c r="C91" s="2" t="inlineStr">
        <is>
          <t>K9089452</t>
        </is>
      </c>
      <c r="D91" s="2" t="inlineStr">
        <is>
          <t>a1-8c</t>
        </is>
      </c>
      <c r="E91" s="2" t="inlineStr">
        <is>
          <t>2.0mm</t>
        </is>
      </c>
      <c r="F91" s="2" t="n">
        <v>8</v>
      </c>
      <c r="G91" s="2" t="n">
        <v>20</v>
      </c>
      <c r="H91" s="2" t="inlineStr">
        <is>
          <t>SC/PC</t>
        </is>
      </c>
      <c r="I91" s="2" t="inlineStr">
        <is>
          <t>SC/PC</t>
        </is>
      </c>
      <c r="J91" s="2" t="n">
        <v>10</v>
      </c>
      <c r="K91" s="2" t="n">
        <v>20</v>
      </c>
      <c r="L91" s="2" t="n">
        <v>130</v>
      </c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>
        <f>SUM(J91:U91)*G91</f>
        <v/>
      </c>
      <c r="W91" s="2">
        <f>MAX(J91:U91)</f>
        <v/>
      </c>
      <c r="X91" s="2">
        <f>W91*G91</f>
        <v/>
      </c>
    </row>
    <row r="92">
      <c r="A92" s="2" t="inlineStr">
        <is>
          <t>14-K-512</t>
        </is>
      </c>
      <c r="B92" s="3" t="inlineStr">
        <is>
          <t>OJC-C2-SC/SC-SM-25-PC/PC-12C</t>
        </is>
      </c>
      <c r="C92" s="2" t="inlineStr">
        <is>
          <t>K9089453</t>
        </is>
      </c>
      <c r="D92" s="2" t="inlineStr">
        <is>
          <t>a1-12c</t>
        </is>
      </c>
      <c r="E92" s="2" t="inlineStr">
        <is>
          <t>2.0mm</t>
        </is>
      </c>
      <c r="F92" s="2" t="n">
        <v>12</v>
      </c>
      <c r="G92" s="2" t="n">
        <v>25</v>
      </c>
      <c r="H92" s="2" t="inlineStr">
        <is>
          <t>SC/PC</t>
        </is>
      </c>
      <c r="I92" s="2" t="inlineStr">
        <is>
          <t>SC/PC</t>
        </is>
      </c>
      <c r="J92" s="2" t="n"/>
      <c r="K92" s="2" t="n">
        <v>130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>
        <f>SUM(J92:U92)*G92</f>
        <v/>
      </c>
      <c r="W92" s="2">
        <f>MAX(J92:U92)</f>
        <v/>
      </c>
      <c r="X92" s="2">
        <f>W92*G92</f>
        <v/>
      </c>
    </row>
    <row r="93">
      <c r="A93" s="2" t="inlineStr">
        <is>
          <t>14-K-515</t>
        </is>
      </c>
      <c r="B93" s="3" t="inlineStr">
        <is>
          <t>OJC-C2-SC/SC-SM-25-PC/PC-8C</t>
        </is>
      </c>
      <c r="C93" s="2" t="inlineStr">
        <is>
          <t>K9089452</t>
        </is>
      </c>
      <c r="D93" s="2" t="inlineStr">
        <is>
          <t>a1-8c</t>
        </is>
      </c>
      <c r="E93" s="2" t="inlineStr">
        <is>
          <t>2.0mm</t>
        </is>
      </c>
      <c r="F93" s="2" t="n">
        <v>8</v>
      </c>
      <c r="G93" s="2" t="n">
        <v>25</v>
      </c>
      <c r="H93" s="2" t="inlineStr">
        <is>
          <t>SC/PC</t>
        </is>
      </c>
      <c r="I93" s="2" t="inlineStr">
        <is>
          <t>SC/PC</t>
        </is>
      </c>
      <c r="J93" s="2" t="n">
        <v>10</v>
      </c>
      <c r="K93" s="2" t="n">
        <v>20</v>
      </c>
      <c r="L93" s="2" t="n">
        <v>130</v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>
        <f>SUM(J93:U93)*G93</f>
        <v/>
      </c>
      <c r="W93" s="2">
        <f>MAX(J93:U93)</f>
        <v/>
      </c>
      <c r="X93" s="2">
        <f>W93*G93</f>
        <v/>
      </c>
    </row>
    <row r="94">
      <c r="A94" s="2" t="inlineStr">
        <is>
          <t>14-K-525</t>
        </is>
      </c>
      <c r="B94" s="3" t="inlineStr">
        <is>
          <t>OJC-C2-SC/SC-SM-30-PC/PC-12C</t>
        </is>
      </c>
      <c r="C94" s="2" t="inlineStr">
        <is>
          <t>K9089453</t>
        </is>
      </c>
      <c r="D94" s="2" t="inlineStr">
        <is>
          <t>a1-12c</t>
        </is>
      </c>
      <c r="E94" s="2" t="inlineStr">
        <is>
          <t>2.0mm</t>
        </is>
      </c>
      <c r="F94" s="2" t="n">
        <v>12</v>
      </c>
      <c r="G94" s="2" t="n">
        <v>30</v>
      </c>
      <c r="H94" s="2" t="inlineStr">
        <is>
          <t>SC/PC</t>
        </is>
      </c>
      <c r="I94" s="2" t="inlineStr">
        <is>
          <t>SC/PC</t>
        </is>
      </c>
      <c r="J94" s="2" t="n"/>
      <c r="K94" s="2" t="n">
        <v>30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>
        <f>SUM(J94:U94)*G94</f>
        <v/>
      </c>
      <c r="W94" s="2">
        <f>MAX(J94:U94)</f>
        <v/>
      </c>
      <c r="X94" s="2">
        <f>W94*G94</f>
        <v/>
      </c>
    </row>
    <row r="95">
      <c r="A95" s="2" t="inlineStr">
        <is>
          <t>14-K-527</t>
        </is>
      </c>
      <c r="B95" s="3" t="inlineStr">
        <is>
          <t>OJC-C2-SC/SC-SM-30-PC/PC-4C</t>
        </is>
      </c>
      <c r="C95" s="2" t="inlineStr">
        <is>
          <t>K9089451</t>
        </is>
      </c>
      <c r="D95" s="2" t="inlineStr">
        <is>
          <t>b3-4c</t>
        </is>
      </c>
      <c r="E95" s="2" t="inlineStr">
        <is>
          <t>2.0mm</t>
        </is>
      </c>
      <c r="F95" s="2" t="n">
        <v>4</v>
      </c>
      <c r="G95" s="2" t="n">
        <v>30</v>
      </c>
      <c r="H95" s="2" t="inlineStr">
        <is>
          <t>SC/PC</t>
        </is>
      </c>
      <c r="I95" s="2" t="inlineStr">
        <is>
          <t>SC/PC</t>
        </is>
      </c>
      <c r="J95" s="2" t="n">
        <v>20</v>
      </c>
      <c r="K95" s="2" t="n"/>
      <c r="L95" s="2" t="n">
        <v>30</v>
      </c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>
        <f>SUM(J95:U95)*G95</f>
        <v/>
      </c>
      <c r="W95" s="2">
        <f>MAX(J95:U95)</f>
        <v/>
      </c>
      <c r="X95" s="2">
        <f>W95*G95</f>
        <v/>
      </c>
    </row>
    <row r="96">
      <c r="A96" s="2" t="inlineStr">
        <is>
          <t>14-K-529</t>
        </is>
      </c>
      <c r="B96" s="3" t="inlineStr">
        <is>
          <t>OJC-C2-SC/SC-SM-30-PC/PC-8C</t>
        </is>
      </c>
      <c r="C96" s="2" t="inlineStr">
        <is>
          <t>K9089452</t>
        </is>
      </c>
      <c r="D96" s="2" t="inlineStr">
        <is>
          <t>a1-8c</t>
        </is>
      </c>
      <c r="E96" s="2" t="inlineStr">
        <is>
          <t>2.0mm</t>
        </is>
      </c>
      <c r="F96" s="2" t="n">
        <v>8</v>
      </c>
      <c r="G96" s="2" t="n">
        <v>30</v>
      </c>
      <c r="H96" s="2" t="inlineStr">
        <is>
          <t>SC/PC</t>
        </is>
      </c>
      <c r="I96" s="2" t="inlineStr">
        <is>
          <t>SC/PC</t>
        </is>
      </c>
      <c r="J96" s="2" t="n"/>
      <c r="K96" s="2" t="n">
        <v>20</v>
      </c>
      <c r="L96" s="2" t="n">
        <v>30</v>
      </c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>
        <f>SUM(J96:U96)*G96</f>
        <v/>
      </c>
      <c r="W96" s="2">
        <f>MAX(J96:U96)</f>
        <v/>
      </c>
      <c r="X96" s="2">
        <f>W96*G96</f>
        <v/>
      </c>
    </row>
    <row r="97">
      <c r="A97" s="2" t="inlineStr">
        <is>
          <t>14-K-587</t>
        </is>
      </c>
      <c r="B97" s="3" t="inlineStr">
        <is>
          <t>OJC-A1-LC/LC-SM-60-PC/PC-DP</t>
        </is>
      </c>
      <c r="C97" s="2" t="inlineStr"/>
      <c r="D97" s="2" t="inlineStr">
        <is>
          <t>a1</t>
        </is>
      </c>
      <c r="E97" s="2" t="inlineStr">
        <is>
          <t>2.0mm</t>
        </is>
      </c>
      <c r="F97" s="2" t="n">
        <v>2</v>
      </c>
      <c r="G97" s="2" t="n">
        <v>60</v>
      </c>
      <c r="H97" s="2" t="inlineStr">
        <is>
          <t>LC/PC</t>
        </is>
      </c>
      <c r="I97" s="2" t="inlineStr">
        <is>
          <t>LC/PC</t>
        </is>
      </c>
      <c r="J97" s="2" t="n"/>
      <c r="K97" s="2" t="n">
        <v>9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>
        <f>SUM(J97:U97)*G97</f>
        <v/>
      </c>
      <c r="W97" s="2">
        <f>MAX(J97:U97)</f>
        <v/>
      </c>
      <c r="X97" s="2">
        <f>W97*G97</f>
        <v/>
      </c>
    </row>
    <row r="98">
      <c r="A98" s="2" t="inlineStr">
        <is>
          <t>14-K-607</t>
        </is>
      </c>
      <c r="B98" s="3" t="inlineStr">
        <is>
          <t>OJC-C2-SC/SC-SM-25-PC/PC-4C</t>
        </is>
      </c>
      <c r="C98" s="2" t="inlineStr">
        <is>
          <t>K9089451</t>
        </is>
      </c>
      <c r="D98" s="2" t="inlineStr">
        <is>
          <t>b3-4c</t>
        </is>
      </c>
      <c r="E98" s="2" t="inlineStr">
        <is>
          <t>2.0mm</t>
        </is>
      </c>
      <c r="F98" s="2" t="n">
        <v>4</v>
      </c>
      <c r="G98" s="2" t="n">
        <v>25</v>
      </c>
      <c r="H98" s="2" t="inlineStr">
        <is>
          <t>SC/PC</t>
        </is>
      </c>
      <c r="I98" s="2" t="inlineStr">
        <is>
          <t>SC/PC</t>
        </is>
      </c>
      <c r="J98" s="2" t="n">
        <v>20</v>
      </c>
      <c r="K98" s="2" t="n"/>
      <c r="L98" s="2" t="n">
        <v>130</v>
      </c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>
        <f>SUM(J98:U98)*G98</f>
        <v/>
      </c>
      <c r="W98" s="2">
        <f>MAX(J98:U98)</f>
        <v/>
      </c>
      <c r="X98" s="2">
        <f>W98*G98</f>
        <v/>
      </c>
    </row>
    <row r="99">
      <c r="A99" s="2" t="inlineStr">
        <is>
          <t>14-K-683</t>
        </is>
      </c>
      <c r="B99" s="3" t="inlineStr">
        <is>
          <t>OJC-A1-SC/SC-SM-15-PC/PC-DP</t>
        </is>
      </c>
      <c r="C99" s="2" t="inlineStr">
        <is>
          <t>K9089137_적색</t>
        </is>
      </c>
      <c r="D99" s="2" t="inlineStr">
        <is>
          <t>a1-적</t>
        </is>
      </c>
      <c r="E99" s="2" t="inlineStr">
        <is>
          <t>2.0mm</t>
        </is>
      </c>
      <c r="F99" s="2" t="n">
        <v>2</v>
      </c>
      <c r="G99" s="2" t="n">
        <v>15</v>
      </c>
      <c r="H99" s="2" t="inlineStr">
        <is>
          <t>SC/PC</t>
        </is>
      </c>
      <c r="I99" s="2" t="inlineStr">
        <is>
          <t>SC/PC</t>
        </is>
      </c>
      <c r="J99" s="2" t="n"/>
      <c r="K99" s="2" t="n"/>
      <c r="L99" s="2" t="n">
        <v>30</v>
      </c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>
        <f>SUM(J99:U99)*G99</f>
        <v/>
      </c>
      <c r="W99" s="2">
        <f>MAX(J99:U99)</f>
        <v/>
      </c>
      <c r="X99" s="2">
        <f>W99*G99</f>
        <v/>
      </c>
    </row>
    <row r="100">
      <c r="A100" s="2" t="inlineStr">
        <is>
          <t>14-K-684</t>
        </is>
      </c>
      <c r="B100" s="3" t="inlineStr">
        <is>
          <t>OJC-A1-SC/SC-SM-10-PC/PC-DP</t>
        </is>
      </c>
      <c r="C100" s="2" t="inlineStr">
        <is>
          <t>K9089132_적색</t>
        </is>
      </c>
      <c r="D100" s="2" t="inlineStr">
        <is>
          <t>a1-적</t>
        </is>
      </c>
      <c r="E100" s="2" t="inlineStr">
        <is>
          <t>2.0mm</t>
        </is>
      </c>
      <c r="F100" s="2" t="n">
        <v>2</v>
      </c>
      <c r="G100" s="2" t="n">
        <v>10</v>
      </c>
      <c r="H100" s="2" t="inlineStr">
        <is>
          <t>SC/PC</t>
        </is>
      </c>
      <c r="I100" s="2" t="inlineStr">
        <is>
          <t>SC/PC</t>
        </is>
      </c>
      <c r="J100" s="2" t="n"/>
      <c r="K100" s="2" t="n"/>
      <c r="L100" s="2" t="n">
        <v>100</v>
      </c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>
        <f>SUM(J100:U100)*G100</f>
        <v/>
      </c>
      <c r="W100" s="2">
        <f>MAX(J100:U100)</f>
        <v/>
      </c>
      <c r="X100" s="2">
        <f>W100*G100</f>
        <v/>
      </c>
    </row>
    <row r="101">
      <c r="A101" s="2" t="inlineStr">
        <is>
          <t>14-K-688</t>
        </is>
      </c>
      <c r="B101" s="3" t="inlineStr">
        <is>
          <t>OJC-A1-SC/LC-SM-15-PC/PC-SP</t>
        </is>
      </c>
      <c r="C101" s="2" t="inlineStr">
        <is>
          <t>K9089034_적색</t>
        </is>
      </c>
      <c r="D101" s="2" t="inlineStr">
        <is>
          <t>a1-적</t>
        </is>
      </c>
      <c r="E101" s="2" t="inlineStr">
        <is>
          <t>2.0mm</t>
        </is>
      </c>
      <c r="F101" s="2" t="n">
        <v>1</v>
      </c>
      <c r="G101" s="2" t="n">
        <v>15</v>
      </c>
      <c r="H101" s="2" t="inlineStr">
        <is>
          <t>SC/PC</t>
        </is>
      </c>
      <c r="I101" s="2" t="inlineStr">
        <is>
          <t>LC/PC</t>
        </is>
      </c>
      <c r="J101" s="2" t="n"/>
      <c r="K101" s="2" t="n"/>
      <c r="L101" s="2" t="n">
        <v>150</v>
      </c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>
        <f>SUM(J101:U101)*G101</f>
        <v/>
      </c>
      <c r="W101" s="2">
        <f>MAX(J101:U101)</f>
        <v/>
      </c>
      <c r="X101" s="2">
        <f>W101*G101</f>
        <v/>
      </c>
    </row>
    <row r="102">
      <c r="A102" s="2" t="inlineStr">
        <is>
          <t>14-K-690</t>
        </is>
      </c>
      <c r="B102" s="3" t="inlineStr">
        <is>
          <t>OJC-A1-SC/LC-SM-20-PC/PC-SP</t>
        </is>
      </c>
      <c r="C102" s="2" t="inlineStr">
        <is>
          <t>K9089035_적색</t>
        </is>
      </c>
      <c r="D102" s="2" t="inlineStr">
        <is>
          <t>a1-적</t>
        </is>
      </c>
      <c r="E102" s="2" t="inlineStr">
        <is>
          <t>2.0mm</t>
        </is>
      </c>
      <c r="F102" s="2" t="n">
        <v>1</v>
      </c>
      <c r="G102" s="2" t="n">
        <v>20</v>
      </c>
      <c r="H102" s="2" t="inlineStr">
        <is>
          <t>SC/PC</t>
        </is>
      </c>
      <c r="I102" s="2" t="inlineStr">
        <is>
          <t>LC/PC</t>
        </is>
      </c>
      <c r="J102" s="2" t="n"/>
      <c r="K102" s="2" t="n"/>
      <c r="L102" s="2" t="n">
        <v>100</v>
      </c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>
        <f>SUM(J102:U102)*G102</f>
        <v/>
      </c>
      <c r="W102" s="2">
        <f>MAX(J102:U102)</f>
        <v/>
      </c>
      <c r="X102" s="2">
        <f>W102*G102</f>
        <v/>
      </c>
    </row>
    <row r="103">
      <c r="A103" s="2" t="inlineStr">
        <is>
          <t>14-K-692</t>
        </is>
      </c>
      <c r="B103" s="3" t="inlineStr">
        <is>
          <t>OJC-A1-SC/LC-SM-25-PC/PC-SP</t>
        </is>
      </c>
      <c r="C103" s="2" t="inlineStr">
        <is>
          <t>K9089036_적색</t>
        </is>
      </c>
      <c r="D103" s="2" t="inlineStr">
        <is>
          <t>a1-적</t>
        </is>
      </c>
      <c r="E103" s="2" t="inlineStr">
        <is>
          <t>2.0mm</t>
        </is>
      </c>
      <c r="F103" s="2" t="n">
        <v>1</v>
      </c>
      <c r="G103" s="2" t="n">
        <v>25</v>
      </c>
      <c r="H103" s="2" t="inlineStr">
        <is>
          <t>SC/PC</t>
        </is>
      </c>
      <c r="I103" s="2" t="inlineStr">
        <is>
          <t>LC/PC</t>
        </is>
      </c>
      <c r="J103" s="2" t="n"/>
      <c r="K103" s="2" t="n"/>
      <c r="L103" s="2" t="n">
        <v>100</v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>
        <f>SUM(J103:U103)*G103</f>
        <v/>
      </c>
      <c r="W103" s="2">
        <f>MAX(J103:U103)</f>
        <v/>
      </c>
      <c r="X103" s="2">
        <f>W103*G103</f>
        <v/>
      </c>
    </row>
    <row r="104">
      <c r="A104" s="2" t="inlineStr">
        <is>
          <t>14-K-694</t>
        </is>
      </c>
      <c r="B104" s="3" t="inlineStr">
        <is>
          <t>OJC-A1-SC/LC-SM-30-PC/PC-SP</t>
        </is>
      </c>
      <c r="C104" s="2" t="inlineStr">
        <is>
          <t>K9089037_적색</t>
        </is>
      </c>
      <c r="D104" s="2" t="inlineStr">
        <is>
          <t>a1-적</t>
        </is>
      </c>
      <c r="E104" s="2" t="inlineStr">
        <is>
          <t>2.0mm</t>
        </is>
      </c>
      <c r="F104" s="2" t="n">
        <v>1</v>
      </c>
      <c r="G104" s="2" t="n">
        <v>30</v>
      </c>
      <c r="H104" s="2" t="inlineStr">
        <is>
          <t>SC/PC</t>
        </is>
      </c>
      <c r="I104" s="2" t="inlineStr">
        <is>
          <t>LC/PC</t>
        </is>
      </c>
      <c r="J104" s="2" t="n"/>
      <c r="K104" s="2" t="n"/>
      <c r="L104" s="2" t="n">
        <v>50</v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>
        <f>SUM(J104:U104)*G104</f>
        <v/>
      </c>
      <c r="W104" s="2">
        <f>MAX(J104:U104)</f>
        <v/>
      </c>
      <c r="X104" s="2">
        <f>W104*G104</f>
        <v/>
      </c>
    </row>
    <row r="105">
      <c r="A105" s="2" t="inlineStr">
        <is>
          <t>14-K-762</t>
        </is>
      </c>
      <c r="B105" s="3" t="inlineStr">
        <is>
          <t>OJC-C2-SC/SC-SM-10-PC/PC-4C</t>
        </is>
      </c>
      <c r="C105" s="2" t="inlineStr">
        <is>
          <t>K9089451</t>
        </is>
      </c>
      <c r="D105" s="2" t="inlineStr">
        <is>
          <t>b3-4c</t>
        </is>
      </c>
      <c r="E105" s="2" t="inlineStr">
        <is>
          <t>2.0mm</t>
        </is>
      </c>
      <c r="F105" s="2" t="n">
        <v>4</v>
      </c>
      <c r="G105" s="2" t="n">
        <v>10</v>
      </c>
      <c r="H105" s="2" t="inlineStr">
        <is>
          <t>SC/PC</t>
        </is>
      </c>
      <c r="I105" s="2" t="inlineStr">
        <is>
          <t>SC/PC</t>
        </is>
      </c>
      <c r="J105" s="2" t="n">
        <v>16</v>
      </c>
      <c r="K105" s="2" t="n"/>
      <c r="L105" s="2" t="n">
        <v>60</v>
      </c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>
        <f>SUM(J105:U105)*G105</f>
        <v/>
      </c>
      <c r="W105" s="2">
        <f>MAX(J105:U105)</f>
        <v/>
      </c>
      <c r="X105" s="2">
        <f>W105*G105</f>
        <v/>
      </c>
    </row>
    <row r="106">
      <c r="A106" s="2" t="inlineStr">
        <is>
          <t>14-K-781</t>
        </is>
      </c>
      <c r="B106" s="3" t="inlineStr">
        <is>
          <t>OJC-A1-SC/LC-SM-20-PC/PC-DP</t>
        </is>
      </c>
      <c r="C106" s="2" t="inlineStr">
        <is>
          <t>K9089164_적색</t>
        </is>
      </c>
      <c r="D106" s="2" t="inlineStr">
        <is>
          <t>a1-적</t>
        </is>
      </c>
      <c r="E106" s="2" t="inlineStr">
        <is>
          <t>2.0mm</t>
        </is>
      </c>
      <c r="F106" s="2" t="n">
        <v>2</v>
      </c>
      <c r="G106" s="2" t="n">
        <v>20</v>
      </c>
      <c r="H106" s="2" t="inlineStr">
        <is>
          <t>SC/PC</t>
        </is>
      </c>
      <c r="I106" s="2" t="inlineStr">
        <is>
          <t>LC/PC</t>
        </is>
      </c>
      <c r="J106" s="2" t="n"/>
      <c r="K106" s="2" t="n"/>
      <c r="L106" s="2" t="n">
        <v>30</v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>
        <f>SUM(J106:U106)*G106</f>
        <v/>
      </c>
      <c r="W106" s="2">
        <f>MAX(J106:U106)</f>
        <v/>
      </c>
      <c r="X106" s="2">
        <f>W106*G106</f>
        <v/>
      </c>
    </row>
    <row r="107">
      <c r="A107" s="2" t="inlineStr">
        <is>
          <t>14-K-787</t>
        </is>
      </c>
      <c r="B107" s="3" t="inlineStr">
        <is>
          <t>OJC-A1-SC/LC-SM-30-PC/PC-DP</t>
        </is>
      </c>
      <c r="C107" s="2" t="inlineStr">
        <is>
          <t>K9089166_적색</t>
        </is>
      </c>
      <c r="D107" s="2" t="inlineStr">
        <is>
          <t>a1-적</t>
        </is>
      </c>
      <c r="E107" s="2" t="inlineStr">
        <is>
          <t>2.0mm</t>
        </is>
      </c>
      <c r="F107" s="2" t="n">
        <v>2</v>
      </c>
      <c r="G107" s="2" t="n">
        <v>30</v>
      </c>
      <c r="H107" s="2" t="inlineStr">
        <is>
          <t>SC/PC</t>
        </is>
      </c>
      <c r="I107" s="2" t="inlineStr">
        <is>
          <t>LC/PC</t>
        </is>
      </c>
      <c r="J107" s="2" t="n"/>
      <c r="K107" s="2" t="n"/>
      <c r="L107" s="2" t="n">
        <v>60</v>
      </c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>
        <f>SUM(J107:U107)*G107</f>
        <v/>
      </c>
      <c r="W107" s="2">
        <f>MAX(J107:U107)</f>
        <v/>
      </c>
      <c r="X107" s="2">
        <f>W107*G107</f>
        <v/>
      </c>
    </row>
    <row r="108">
      <c r="A108" s="2" t="inlineStr">
        <is>
          <t>14-K-851</t>
        </is>
      </c>
      <c r="B108" s="3" t="inlineStr">
        <is>
          <t>OJC-A1-SC/SC-SM-3-PC/PC-SP</t>
        </is>
      </c>
      <c r="C108" s="2" t="inlineStr">
        <is>
          <t>K9088996_포앤티</t>
        </is>
      </c>
      <c r="D108" s="2" t="inlineStr">
        <is>
          <t>a1</t>
        </is>
      </c>
      <c r="E108" s="2" t="inlineStr">
        <is>
          <t>2.0mm</t>
        </is>
      </c>
      <c r="F108" s="2" t="n">
        <v>1</v>
      </c>
      <c r="G108" s="2" t="n">
        <v>3</v>
      </c>
      <c r="H108" s="2" t="inlineStr">
        <is>
          <t>SC/PC</t>
        </is>
      </c>
      <c r="I108" s="2" t="inlineStr">
        <is>
          <t>SC/PC</t>
        </is>
      </c>
      <c r="J108" s="2" t="n">
        <v>747</v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>
        <f>SUM(J108:U108)*G108</f>
        <v/>
      </c>
      <c r="W108" s="2">
        <f>MAX(J108:U108)</f>
        <v/>
      </c>
      <c r="X108" s="2">
        <f>W108*G108</f>
        <v/>
      </c>
    </row>
    <row r="109">
      <c r="A109" s="2" t="inlineStr">
        <is>
          <t>14-K-A178</t>
        </is>
      </c>
      <c r="B109" s="3" t="inlineStr">
        <is>
          <t>OJC-A1-SC/LC-SM-7-APC/PC-SP</t>
        </is>
      </c>
      <c r="C109" s="2" t="inlineStr"/>
      <c r="D109" s="2" t="inlineStr">
        <is>
          <t>a1</t>
        </is>
      </c>
      <c r="E109" s="2" t="inlineStr">
        <is>
          <t>2.0mm</t>
        </is>
      </c>
      <c r="F109" s="2" t="n">
        <v>1</v>
      </c>
      <c r="G109" s="2" t="n">
        <v>7</v>
      </c>
      <c r="H109" s="2" t="inlineStr">
        <is>
          <t>SC/APC</t>
        </is>
      </c>
      <c r="I109" s="2" t="inlineStr">
        <is>
          <t>LC/PC</t>
        </is>
      </c>
      <c r="J109" s="2" t="n"/>
      <c r="K109" s="2" t="n">
        <v>10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>
        <f>SUM(J109:U109)*G109</f>
        <v/>
      </c>
      <c r="W109" s="2">
        <f>MAX(J109:U109)</f>
        <v/>
      </c>
      <c r="X109" s="2">
        <f>W109*G109</f>
        <v/>
      </c>
    </row>
    <row r="110">
      <c r="A110" s="2" t="inlineStr">
        <is>
          <t>14-K-A26</t>
        </is>
      </c>
      <c r="B110" s="3" t="inlineStr">
        <is>
          <t>OJC-C2-SC/SC-SM-50-PC/PC-8C</t>
        </is>
      </c>
      <c r="C110" s="2" t="inlineStr">
        <is>
          <t>K9089452</t>
        </is>
      </c>
      <c r="D110" s="2" t="inlineStr">
        <is>
          <t>a1-8c</t>
        </is>
      </c>
      <c r="E110" s="2" t="inlineStr">
        <is>
          <t>2.0mm</t>
        </is>
      </c>
      <c r="F110" s="2" t="n">
        <v>8</v>
      </c>
      <c r="G110" s="2" t="n">
        <v>50</v>
      </c>
      <c r="H110" s="2" t="inlineStr">
        <is>
          <t>SC/PC</t>
        </is>
      </c>
      <c r="I110" s="2" t="inlineStr">
        <is>
          <t>SC/PC</t>
        </is>
      </c>
      <c r="J110" s="2" t="n"/>
      <c r="K110" s="2" t="n">
        <v>20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>
        <f>SUM(J110:U110)*G110</f>
        <v/>
      </c>
      <c r="W110" s="2">
        <f>MAX(J110:U110)</f>
        <v/>
      </c>
      <c r="X110" s="2">
        <f>W110*G110</f>
        <v/>
      </c>
    </row>
    <row r="111">
      <c r="A111" s="2" t="inlineStr">
        <is>
          <t>14-K-A28</t>
        </is>
      </c>
      <c r="B111" s="3" t="inlineStr">
        <is>
          <t>OJC-C2-SC/SC-SM-35-PC/PC-8C</t>
        </is>
      </c>
      <c r="C111" s="2" t="inlineStr">
        <is>
          <t>K9089452</t>
        </is>
      </c>
      <c r="D111" s="2" t="inlineStr">
        <is>
          <t>a1-8c</t>
        </is>
      </c>
      <c r="E111" s="2" t="inlineStr">
        <is>
          <t>2.0mm</t>
        </is>
      </c>
      <c r="F111" s="2" t="n">
        <v>8</v>
      </c>
      <c r="G111" s="2" t="n">
        <v>35</v>
      </c>
      <c r="H111" s="2" t="inlineStr">
        <is>
          <t>SC/PC</t>
        </is>
      </c>
      <c r="I111" s="2" t="inlineStr">
        <is>
          <t>SC/PC</t>
        </is>
      </c>
      <c r="J111" s="2" t="n"/>
      <c r="K111" s="2" t="n">
        <v>20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>
        <f>SUM(J111:U111)*G111</f>
        <v/>
      </c>
      <c r="W111" s="2">
        <f>MAX(J111:U111)</f>
        <v/>
      </c>
      <c r="X111" s="2">
        <f>W111*G111</f>
        <v/>
      </c>
    </row>
    <row r="112">
      <c r="A112" s="2" t="inlineStr">
        <is>
          <t>14-K-A62</t>
        </is>
      </c>
      <c r="B112" s="3" t="inlineStr">
        <is>
          <t>OJC-A1-LC/LC-SM-3-APC/APC-SP</t>
        </is>
      </c>
      <c r="C112" s="2" t="inlineStr"/>
      <c r="D112" s="2" t="inlineStr">
        <is>
          <t>a1</t>
        </is>
      </c>
      <c r="E112" s="2" t="inlineStr">
        <is>
          <t>2.0mm</t>
        </is>
      </c>
      <c r="F112" s="2" t="n">
        <v>1</v>
      </c>
      <c r="G112" s="2" t="n">
        <v>3</v>
      </c>
      <c r="H112" s="2" t="inlineStr">
        <is>
          <t>LC/APC</t>
        </is>
      </c>
      <c r="I112" s="2" t="inlineStr">
        <is>
          <t>LC/APC</t>
        </is>
      </c>
      <c r="J112" s="2" t="n">
        <v>10</v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>
        <f>SUM(J112:U112)*G112</f>
        <v/>
      </c>
      <c r="W112" s="2">
        <f>MAX(J112:U112)</f>
        <v/>
      </c>
      <c r="X112" s="2">
        <f>W112*G112</f>
        <v/>
      </c>
    </row>
    <row r="113">
      <c r="A113" s="2" t="inlineStr">
        <is>
          <t>14-K-A76</t>
        </is>
      </c>
      <c r="B113" s="3" t="inlineStr">
        <is>
          <t>OJC-A1-LC/LC-SM-80-PC/PC-DP</t>
        </is>
      </c>
      <c r="C113" s="2" t="inlineStr">
        <is>
          <t>K9089184</t>
        </is>
      </c>
      <c r="D113" s="2" t="inlineStr">
        <is>
          <t>a1</t>
        </is>
      </c>
      <c r="E113" s="2" t="inlineStr">
        <is>
          <t>2.0mm</t>
        </is>
      </c>
      <c r="F113" s="2" t="n">
        <v>2</v>
      </c>
      <c r="G113" s="2" t="n">
        <v>80</v>
      </c>
      <c r="H113" s="2" t="inlineStr">
        <is>
          <t>LC/PC</t>
        </is>
      </c>
      <c r="I113" s="2" t="inlineStr">
        <is>
          <t>LC/PC</t>
        </is>
      </c>
      <c r="J113" s="2" t="n"/>
      <c r="K113" s="2" t="n">
        <v>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>
        <f>SUM(J113:U113)*G113</f>
        <v/>
      </c>
      <c r="W113" s="2">
        <f>MAX(J113:U113)</f>
        <v/>
      </c>
      <c r="X113" s="2">
        <f>W113*G113</f>
        <v/>
      </c>
    </row>
    <row r="114">
      <c r="A114" s="2" t="inlineStr">
        <is>
          <t>14-K-B438</t>
        </is>
      </c>
      <c r="B114" s="3" t="inlineStr">
        <is>
          <t>OJC-A1-SC/LC-SM-10-PC/PC-DP</t>
        </is>
      </c>
      <c r="C114" s="2" t="inlineStr">
        <is>
          <t>K9089162_포앤티</t>
        </is>
      </c>
      <c r="D114" s="2" t="inlineStr">
        <is>
          <t>a1</t>
        </is>
      </c>
      <c r="E114" s="2" t="inlineStr">
        <is>
          <t>2.0mm</t>
        </is>
      </c>
      <c r="F114" s="2" t="n">
        <v>2</v>
      </c>
      <c r="G114" s="2" t="n">
        <v>10</v>
      </c>
      <c r="H114" s="2" t="inlineStr">
        <is>
          <t>SC/PC</t>
        </is>
      </c>
      <c r="I114" s="2" t="inlineStr">
        <is>
          <t>LC/PC</t>
        </is>
      </c>
      <c r="J114" s="2" t="n">
        <v>20</v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>
        <f>SUM(J114:U114)*G114</f>
        <v/>
      </c>
      <c r="W114" s="2">
        <f>MAX(J114:U114)</f>
        <v/>
      </c>
      <c r="X114" s="2">
        <f>W114*G114</f>
        <v/>
      </c>
    </row>
    <row r="115">
      <c r="A115" s="2" t="inlineStr">
        <is>
          <t>14-K-B439</t>
        </is>
      </c>
      <c r="B115" s="3" t="inlineStr">
        <is>
          <t>OJC-A1-SC/LC-SM-20-PC/PC-DP</t>
        </is>
      </c>
      <c r="C115" s="2" t="inlineStr">
        <is>
          <t>K9089164_포앤티</t>
        </is>
      </c>
      <c r="D115" s="2" t="inlineStr">
        <is>
          <t>a1</t>
        </is>
      </c>
      <c r="E115" s="2" t="inlineStr">
        <is>
          <t>2.0mm</t>
        </is>
      </c>
      <c r="F115" s="2" t="n">
        <v>2</v>
      </c>
      <c r="G115" s="2" t="n">
        <v>20</v>
      </c>
      <c r="H115" s="2" t="inlineStr">
        <is>
          <t>SC/PC</t>
        </is>
      </c>
      <c r="I115" s="2" t="inlineStr">
        <is>
          <t>LC/PC</t>
        </is>
      </c>
      <c r="J115" s="2" t="n">
        <v>10</v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>
        <f>SUM(J115:U115)*G115</f>
        <v/>
      </c>
      <c r="W115" s="2">
        <f>MAX(J115:U115)</f>
        <v/>
      </c>
      <c r="X115" s="2">
        <f>W115*G115</f>
        <v/>
      </c>
    </row>
    <row r="116">
      <c r="A116" s="2" t="inlineStr">
        <is>
          <t>14-K-B441</t>
        </is>
      </c>
      <c r="B116" s="3" t="inlineStr">
        <is>
          <t>OJC-A1-SC/SC-SM-15-PC/PC-SP</t>
        </is>
      </c>
      <c r="C116" s="2" t="inlineStr">
        <is>
          <t>K9089008_포앤티</t>
        </is>
      </c>
      <c r="D116" s="2" t="inlineStr">
        <is>
          <t>a1</t>
        </is>
      </c>
      <c r="E116" s="2" t="inlineStr">
        <is>
          <t>2.0mm</t>
        </is>
      </c>
      <c r="F116" s="2" t="n">
        <v>1</v>
      </c>
      <c r="G116" s="2" t="n">
        <v>15</v>
      </c>
      <c r="H116" s="2" t="inlineStr">
        <is>
          <t>SC/PC</t>
        </is>
      </c>
      <c r="I116" s="2" t="inlineStr">
        <is>
          <t>SC/PC</t>
        </is>
      </c>
      <c r="J116" s="2" t="n">
        <v>18</v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>
        <f>SUM(J116:U116)*G116</f>
        <v/>
      </c>
      <c r="W116" s="2">
        <f>MAX(J116:U116)</f>
        <v/>
      </c>
      <c r="X116" s="2">
        <f>W116*G116</f>
        <v/>
      </c>
    </row>
    <row r="117">
      <c r="A117" s="2" t="inlineStr">
        <is>
          <t>14-K-B481</t>
        </is>
      </c>
      <c r="B117" s="3" t="inlineStr">
        <is>
          <t>OJC-A1-SC/SC-SM-30-PC/PC-SP</t>
        </is>
      </c>
      <c r="C117" s="2" t="inlineStr">
        <is>
          <t>K9089023_포앤티</t>
        </is>
      </c>
      <c r="D117" s="2" t="inlineStr">
        <is>
          <t>a1</t>
        </is>
      </c>
      <c r="E117" s="2" t="inlineStr">
        <is>
          <t>2.0mm</t>
        </is>
      </c>
      <c r="F117" s="2" t="n">
        <v>1</v>
      </c>
      <c r="G117" s="2" t="n">
        <v>30</v>
      </c>
      <c r="H117" s="2" t="inlineStr">
        <is>
          <t>SC/PC</t>
        </is>
      </c>
      <c r="I117" s="2" t="inlineStr">
        <is>
          <t>SC/PC</t>
        </is>
      </c>
      <c r="J117" s="2" t="n">
        <v>150</v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>
        <f>SUM(J117:U117)*G117</f>
        <v/>
      </c>
      <c r="W117" s="2">
        <f>MAX(J117:U117)</f>
        <v/>
      </c>
      <c r="X117" s="2">
        <f>W117*G117</f>
        <v/>
      </c>
    </row>
    <row r="118">
      <c r="A118" s="2" t="inlineStr">
        <is>
          <t>14-K-B482</t>
        </is>
      </c>
      <c r="B118" s="3" t="inlineStr">
        <is>
          <t>OJC-A1-SC/SC-SM-35-PC/PC-SP</t>
        </is>
      </c>
      <c r="C118" s="2" t="inlineStr">
        <is>
          <t>K9089024_포앤티</t>
        </is>
      </c>
      <c r="D118" s="2" t="inlineStr">
        <is>
          <t>a1</t>
        </is>
      </c>
      <c r="E118" s="2" t="inlineStr">
        <is>
          <t>2.0mm</t>
        </is>
      </c>
      <c r="F118" s="2" t="n">
        <v>1</v>
      </c>
      <c r="G118" s="2" t="n">
        <v>35</v>
      </c>
      <c r="H118" s="2" t="inlineStr">
        <is>
          <t>SC/PC</t>
        </is>
      </c>
      <c r="I118" s="2" t="inlineStr">
        <is>
          <t>SC/PC</t>
        </is>
      </c>
      <c r="J118" s="2" t="n">
        <v>150</v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>
        <f>SUM(J118:U118)*G118</f>
        <v/>
      </c>
      <c r="W118" s="2">
        <f>MAX(J118:U118)</f>
        <v/>
      </c>
      <c r="X118" s="2">
        <f>W118*G118</f>
        <v/>
      </c>
    </row>
    <row r="119">
      <c r="A119" s="2" t="inlineStr">
        <is>
          <t>14-K-B483</t>
        </is>
      </c>
      <c r="B119" s="3" t="inlineStr">
        <is>
          <t>OJC-A1-SC/SC-SM-40-PC/PC-SP</t>
        </is>
      </c>
      <c r="C119" s="2" t="inlineStr">
        <is>
          <t>K9089025_포앤티</t>
        </is>
      </c>
      <c r="D119" s="2" t="inlineStr">
        <is>
          <t>a1</t>
        </is>
      </c>
      <c r="E119" s="2" t="inlineStr">
        <is>
          <t>2.0mm</t>
        </is>
      </c>
      <c r="F119" s="2" t="n">
        <v>1</v>
      </c>
      <c r="G119" s="2" t="n">
        <v>40</v>
      </c>
      <c r="H119" s="2" t="inlineStr">
        <is>
          <t>SC/PC</t>
        </is>
      </c>
      <c r="I119" s="2" t="inlineStr">
        <is>
          <t>SC/PC</t>
        </is>
      </c>
      <c r="J119" s="2" t="n">
        <v>150</v>
      </c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>
        <f>SUM(J119:U119)*G119</f>
        <v/>
      </c>
      <c r="W119" s="2">
        <f>MAX(J119:U119)</f>
        <v/>
      </c>
      <c r="X119" s="2">
        <f>W119*G119</f>
        <v/>
      </c>
    </row>
    <row r="120">
      <c r="A120" s="2" t="inlineStr">
        <is>
          <t>14-K-B546</t>
        </is>
      </c>
      <c r="B120" s="3" t="inlineStr">
        <is>
          <t>OJC-A1-SC/SC-SM-10-PC/PC-DP</t>
        </is>
      </c>
      <c r="C120" s="2" t="inlineStr">
        <is>
          <t>K9089132_포앤티</t>
        </is>
      </c>
      <c r="D120" s="2" t="inlineStr">
        <is>
          <t>a1</t>
        </is>
      </c>
      <c r="E120" s="2" t="inlineStr">
        <is>
          <t>2.0mm</t>
        </is>
      </c>
      <c r="F120" s="2" t="n">
        <v>2</v>
      </c>
      <c r="G120" s="2" t="n">
        <v>10</v>
      </c>
      <c r="H120" s="2" t="inlineStr">
        <is>
          <t>SC/PC</t>
        </is>
      </c>
      <c r="I120" s="2" t="inlineStr">
        <is>
          <t>SC/PC</t>
        </is>
      </c>
      <c r="J120" s="2" t="n">
        <v>100</v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>
        <f>SUM(J120:U120)*G120</f>
        <v/>
      </c>
      <c r="W120" s="2">
        <f>MAX(J120:U120)</f>
        <v/>
      </c>
      <c r="X120" s="2">
        <f>W120*G120</f>
        <v/>
      </c>
    </row>
    <row r="121">
      <c r="A121" s="2" t="inlineStr">
        <is>
          <t>14-K-B556</t>
        </is>
      </c>
      <c r="B121" s="3" t="inlineStr">
        <is>
          <t>OJC-A1-SC/SC-SM-20-PC/PC-DP</t>
        </is>
      </c>
      <c r="C121" s="2" t="inlineStr">
        <is>
          <t>K9089142_포앤티</t>
        </is>
      </c>
      <c r="D121" s="2" t="inlineStr">
        <is>
          <t>a1</t>
        </is>
      </c>
      <c r="E121" s="2" t="inlineStr">
        <is>
          <t>2.0mm</t>
        </is>
      </c>
      <c r="F121" s="2" t="n">
        <v>2</v>
      </c>
      <c r="G121" s="2" t="n">
        <v>20</v>
      </c>
      <c r="H121" s="2" t="inlineStr">
        <is>
          <t>SC/PC</t>
        </is>
      </c>
      <c r="I121" s="2" t="inlineStr">
        <is>
          <t>SC/PC</t>
        </is>
      </c>
      <c r="J121" s="2" t="n">
        <v>100</v>
      </c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>
        <f>SUM(J121:U121)*G121</f>
        <v/>
      </c>
      <c r="W121" s="2">
        <f>MAX(J121:U121)</f>
        <v/>
      </c>
      <c r="X121" s="2">
        <f>W121*G121</f>
        <v/>
      </c>
    </row>
    <row r="122">
      <c r="A122" s="2" t="inlineStr">
        <is>
          <t>14-K-B566</t>
        </is>
      </c>
      <c r="B122" s="3" t="inlineStr">
        <is>
          <t>OJC-A1-SC/SC-SM-30-PC/PC-DP</t>
        </is>
      </c>
      <c r="C122" s="2" t="inlineStr">
        <is>
          <t>K9089152_포앤티</t>
        </is>
      </c>
      <c r="D122" s="2" t="inlineStr">
        <is>
          <t>a1</t>
        </is>
      </c>
      <c r="E122" s="2" t="inlineStr">
        <is>
          <t>2.0mm</t>
        </is>
      </c>
      <c r="F122" s="2" t="n">
        <v>2</v>
      </c>
      <c r="G122" s="2" t="n">
        <v>30</v>
      </c>
      <c r="H122" s="2" t="inlineStr">
        <is>
          <t>SC/PC</t>
        </is>
      </c>
      <c r="I122" s="2" t="inlineStr">
        <is>
          <t>SC/PC</t>
        </is>
      </c>
      <c r="J122" s="2" t="n">
        <v>100</v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>
        <f>SUM(J122:U122)*G122</f>
        <v/>
      </c>
      <c r="W122" s="2">
        <f>MAX(J122:U122)</f>
        <v/>
      </c>
      <c r="X122" s="2">
        <f>W122*G122</f>
        <v/>
      </c>
    </row>
    <row r="123">
      <c r="A123" s="2" t="inlineStr">
        <is>
          <t>14-K-B568</t>
        </is>
      </c>
      <c r="B123" s="3" t="inlineStr">
        <is>
          <t>OJC-A1-SC/SC-SM-40-PC/PC-DP</t>
        </is>
      </c>
      <c r="C123" s="2" t="inlineStr">
        <is>
          <t>K9089154_포앤티</t>
        </is>
      </c>
      <c r="D123" s="2" t="inlineStr">
        <is>
          <t>a1</t>
        </is>
      </c>
      <c r="E123" s="2" t="inlineStr">
        <is>
          <t>2.0mm</t>
        </is>
      </c>
      <c r="F123" s="2" t="n">
        <v>2</v>
      </c>
      <c r="G123" s="2" t="n">
        <v>40</v>
      </c>
      <c r="H123" s="2" t="inlineStr">
        <is>
          <t>SC/PC</t>
        </is>
      </c>
      <c r="I123" s="2" t="inlineStr">
        <is>
          <t>SC/PC</t>
        </is>
      </c>
      <c r="J123" s="2" t="n">
        <v>100</v>
      </c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>
        <f>SUM(J123:U123)*G123</f>
        <v/>
      </c>
      <c r="W123" s="2">
        <f>MAX(J123:U123)</f>
        <v/>
      </c>
      <c r="X123" s="2">
        <f>W123*G123</f>
        <v/>
      </c>
    </row>
    <row r="124">
      <c r="A124" s="2" t="inlineStr">
        <is>
          <t>14-K-B571</t>
        </is>
      </c>
      <c r="B124" s="3" t="inlineStr">
        <is>
          <t>OJC-A1-SC/LC-SM-1-PC/PC-DP</t>
        </is>
      </c>
      <c r="C124" s="2" t="inlineStr">
        <is>
          <t>K9089157_포앤티</t>
        </is>
      </c>
      <c r="D124" s="2" t="inlineStr">
        <is>
          <t>a1</t>
        </is>
      </c>
      <c r="E124" s="2" t="inlineStr">
        <is>
          <t>2.0mm</t>
        </is>
      </c>
      <c r="F124" s="2" t="n">
        <v>2</v>
      </c>
      <c r="G124" s="2" t="n">
        <v>1</v>
      </c>
      <c r="H124" s="2" t="inlineStr">
        <is>
          <t>SC/PC</t>
        </is>
      </c>
      <c r="I124" s="2" t="inlineStr">
        <is>
          <t>LC/PC</t>
        </is>
      </c>
      <c r="J124" s="2" t="n">
        <v>30</v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>
        <f>SUM(J124:U124)*G124</f>
        <v/>
      </c>
      <c r="W124" s="2">
        <f>MAX(J124:U124)</f>
        <v/>
      </c>
      <c r="X124" s="2">
        <f>W124*G124</f>
        <v/>
      </c>
    </row>
    <row r="125">
      <c r="A125" s="2" t="inlineStr">
        <is>
          <t>14-K-B572</t>
        </is>
      </c>
      <c r="B125" s="3" t="inlineStr">
        <is>
          <t>OJC-A1-SC/LC-SM-2-PC/PC-DP</t>
        </is>
      </c>
      <c r="C125" s="2" t="inlineStr">
        <is>
          <t>K9089158_포앤티</t>
        </is>
      </c>
      <c r="D125" s="2" t="inlineStr">
        <is>
          <t>a1</t>
        </is>
      </c>
      <c r="E125" s="2" t="inlineStr">
        <is>
          <t>2.0mm</t>
        </is>
      </c>
      <c r="F125" s="2" t="n">
        <v>2</v>
      </c>
      <c r="G125" s="2" t="n">
        <v>2</v>
      </c>
      <c r="H125" s="2" t="inlineStr">
        <is>
          <t>SC/PC</t>
        </is>
      </c>
      <c r="I125" s="2" t="inlineStr">
        <is>
          <t>LC/PC</t>
        </is>
      </c>
      <c r="J125" s="2" t="n">
        <v>10</v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>
        <f>SUM(J125:U125)*G125</f>
        <v/>
      </c>
      <c r="W125" s="2">
        <f>MAX(J125:U125)</f>
        <v/>
      </c>
      <c r="X125" s="2">
        <f>W125*G125</f>
        <v/>
      </c>
    </row>
    <row r="126">
      <c r="A126" s="2" t="inlineStr">
        <is>
          <t>14-K-B645</t>
        </is>
      </c>
      <c r="B126" s="3" t="inlineStr">
        <is>
          <t>OJC-A1-LC/LC-MM-2-PC/PC-DP</t>
        </is>
      </c>
      <c r="C126" s="2" t="inlineStr">
        <is>
          <t>K9089330_포앤티</t>
        </is>
      </c>
      <c r="D126" s="2" t="inlineStr">
        <is>
          <t>om1</t>
        </is>
      </c>
      <c r="E126" s="2" t="inlineStr">
        <is>
          <t>2.0mm</t>
        </is>
      </c>
      <c r="F126" s="2" t="n">
        <v>2</v>
      </c>
      <c r="G126" s="2" t="n">
        <v>2</v>
      </c>
      <c r="H126" s="2" t="inlineStr">
        <is>
          <t>LC/PC</t>
        </is>
      </c>
      <c r="I126" s="2" t="inlineStr">
        <is>
          <t>LC/PC</t>
        </is>
      </c>
      <c r="J126" s="2" t="n">
        <v>10</v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>
        <f>SUM(J126:U126)*G126</f>
        <v/>
      </c>
      <c r="W126" s="2">
        <f>MAX(J126:U126)</f>
        <v/>
      </c>
      <c r="X126" s="2">
        <f>W126*G126</f>
        <v/>
      </c>
    </row>
    <row r="127">
      <c r="A127" s="2" t="inlineStr">
        <is>
          <t>14-M-016</t>
        </is>
      </c>
      <c r="B127" s="3" t="inlineStr">
        <is>
          <t>MOJC-SM-12C-LC/PC-LC/PC</t>
        </is>
      </c>
      <c r="C127" s="2" t="inlineStr">
        <is>
          <t>3M</t>
        </is>
      </c>
      <c r="D127" s="2" t="inlineStr">
        <is>
          <t>b3-12c</t>
        </is>
      </c>
      <c r="E127" s="2" t="inlineStr">
        <is>
          <t>2.0mm</t>
        </is>
      </c>
      <c r="F127" s="2" t="n">
        <v>12</v>
      </c>
      <c r="G127" s="2" t="n">
        <v>3</v>
      </c>
      <c r="H127" s="2" t="inlineStr">
        <is>
          <t>LC/PC</t>
        </is>
      </c>
      <c r="I127" s="2" t="inlineStr">
        <is>
          <t>LC/PC</t>
        </is>
      </c>
      <c r="J127" s="2" t="n"/>
      <c r="K127" s="2" t="n"/>
      <c r="L127" s="2" t="n">
        <v>6</v>
      </c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>
        <f>SUM(J127:U127)*G127</f>
        <v/>
      </c>
      <c r="W127" s="2">
        <f>MAX(J127:U127)</f>
        <v/>
      </c>
      <c r="X127" s="2">
        <f>W127*G127</f>
        <v/>
      </c>
    </row>
    <row r="128">
      <c r="A128" s="2" t="inlineStr">
        <is>
          <t>14-M-234</t>
        </is>
      </c>
      <c r="B128" s="3" t="inlineStr">
        <is>
          <t>MOJC-SM-12C-SC/PC-SC/PC</t>
        </is>
      </c>
      <c r="C128" s="2" t="inlineStr">
        <is>
          <t>3M</t>
        </is>
      </c>
      <c r="D128" s="2" t="inlineStr">
        <is>
          <t>b3-12c</t>
        </is>
      </c>
      <c r="E128" s="2" t="inlineStr">
        <is>
          <t>2.0mm</t>
        </is>
      </c>
      <c r="F128" s="2" t="n">
        <v>12</v>
      </c>
      <c r="G128" s="2" t="n">
        <v>3</v>
      </c>
      <c r="H128" s="2" t="inlineStr">
        <is>
          <t>SC/PC</t>
        </is>
      </c>
      <c r="I128" s="2" t="inlineStr">
        <is>
          <t>SC/PC</t>
        </is>
      </c>
      <c r="J128" s="2" t="n">
        <v>5</v>
      </c>
      <c r="K128" s="2" t="n">
        <v>4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>
        <f>SUM(J128:U128)*G128</f>
        <v/>
      </c>
      <c r="W128" s="2">
        <f>MAX(J128:U128)</f>
        <v/>
      </c>
      <c r="X128" s="2">
        <f>W128*G128</f>
        <v/>
      </c>
    </row>
    <row r="129">
      <c r="A129" s="2" t="inlineStr">
        <is>
          <t>14-P-002</t>
        </is>
      </c>
      <c r="B129" s="3" t="inlineStr">
        <is>
          <t>PIGTAIL-FC/PC-SM-12C (0.9mm)</t>
        </is>
      </c>
      <c r="C129" s="2" t="inlineStr">
        <is>
          <t>1.5M_12색</t>
        </is>
      </c>
      <c r="D129" s="2" t="inlineStr">
        <is>
          <t>pigtail</t>
        </is>
      </c>
      <c r="E129" s="2" t="n">
        <v>0.9</v>
      </c>
      <c r="F129" s="2" t="n">
        <v>12</v>
      </c>
      <c r="G129" s="2" t="n">
        <v>1.5</v>
      </c>
      <c r="H129" s="2" t="inlineStr">
        <is>
          <t>FC/PC</t>
        </is>
      </c>
      <c r="I129" s="2" t="n"/>
      <c r="J129" s="2" t="n"/>
      <c r="K129" s="2" t="n">
        <v>60</v>
      </c>
      <c r="L129" s="2" t="n">
        <v>19</v>
      </c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>
        <f>SUM(J129:U129)*G129</f>
        <v/>
      </c>
      <c r="W129" s="2">
        <f>MAX(J129:U129)</f>
        <v/>
      </c>
      <c r="X129" s="2">
        <f>W129*G129</f>
        <v/>
      </c>
    </row>
    <row r="130">
      <c r="A130" s="2" t="inlineStr">
        <is>
          <t>14-P-013</t>
        </is>
      </c>
      <c r="B130" s="3" t="inlineStr">
        <is>
          <t>PIGTAIL-SC/APC-SM-1C (2.0mm)</t>
        </is>
      </c>
      <c r="C130" s="2" t="inlineStr">
        <is>
          <t>1.5M</t>
        </is>
      </c>
      <c r="D130" s="2" t="inlineStr">
        <is>
          <t>pigtail</t>
        </is>
      </c>
      <c r="E130" s="2" t="inlineStr">
        <is>
          <t>2.0mm</t>
        </is>
      </c>
      <c r="F130" s="2" t="n">
        <v>1</v>
      </c>
      <c r="G130" s="2" t="n">
        <v>1.5</v>
      </c>
      <c r="H130" s="2" t="inlineStr">
        <is>
          <t>SC/APC</t>
        </is>
      </c>
      <c r="I130" s="2" t="n"/>
      <c r="J130" s="2" t="n"/>
      <c r="K130" s="2" t="n">
        <v>60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>
        <f>SUM(J130:U130)*G130</f>
        <v/>
      </c>
      <c r="W130" s="2">
        <f>MAX(J130:U130)</f>
        <v/>
      </c>
      <c r="X130" s="2">
        <f>W130*G130</f>
        <v/>
      </c>
    </row>
    <row r="131">
      <c r="A131" s="2" t="inlineStr">
        <is>
          <t>14-P-091</t>
        </is>
      </c>
      <c r="B131" s="3" t="inlineStr">
        <is>
          <t>PIGTAIL-LC/APC-SM-12C (0.9mm)</t>
        </is>
      </c>
      <c r="C131" s="2" t="inlineStr">
        <is>
          <t>1.5M_12색</t>
        </is>
      </c>
      <c r="D131" s="2" t="inlineStr">
        <is>
          <t>pigtail</t>
        </is>
      </c>
      <c r="E131" s="2" t="n">
        <v>0.9</v>
      </c>
      <c r="F131" s="2" t="n">
        <v>12</v>
      </c>
      <c r="G131" s="2" t="n">
        <v>1.5</v>
      </c>
      <c r="H131" s="2" t="inlineStr">
        <is>
          <t>LC/APC</t>
        </is>
      </c>
      <c r="I131" s="2" t="n"/>
      <c r="J131" s="2" t="n">
        <v>30</v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>
        <f>SUM(J131:U131)*G131</f>
        <v/>
      </c>
      <c r="W131" s="2">
        <f>MAX(J131:U131)</f>
        <v/>
      </c>
      <c r="X131" s="2">
        <f>W131*G131</f>
        <v/>
      </c>
    </row>
    <row r="132">
      <c r="A132" s="2" t="inlineStr">
        <is>
          <t>14-S-093</t>
        </is>
      </c>
      <c r="B132" s="3" t="inlineStr">
        <is>
          <t>SOJC-SM-LC/PC-LC/PC</t>
        </is>
      </c>
      <c r="C132" s="2" t="inlineStr">
        <is>
          <t>1M</t>
        </is>
      </c>
      <c r="D132" s="2" t="inlineStr">
        <is>
          <t>a1</t>
        </is>
      </c>
      <c r="E132" s="2" t="inlineStr">
        <is>
          <t>2.0mm</t>
        </is>
      </c>
      <c r="F132" s="2" t="n">
        <v>1</v>
      </c>
      <c r="G132" s="2" t="n">
        <v>1</v>
      </c>
      <c r="H132" s="2" t="inlineStr">
        <is>
          <t>LC/PC</t>
        </is>
      </c>
      <c r="I132" s="2" t="inlineStr">
        <is>
          <t>LC/PC</t>
        </is>
      </c>
      <c r="J132" s="2" t="n">
        <v>10</v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>
        <f>SUM(J132:U132)*G132</f>
        <v/>
      </c>
      <c r="W132" s="2">
        <f>MAX(J132:U132)</f>
        <v/>
      </c>
      <c r="X132" s="2">
        <f>W132*G132</f>
        <v/>
      </c>
    </row>
    <row r="133">
      <c r="A133" s="2" t="inlineStr">
        <is>
          <t>14-S-138</t>
        </is>
      </c>
      <c r="B133" s="3" t="inlineStr">
        <is>
          <t>SOJC-SM-LC/PC-SC/PC</t>
        </is>
      </c>
      <c r="C133" s="2" t="inlineStr">
        <is>
          <t>1M</t>
        </is>
      </c>
      <c r="D133" s="2" t="inlineStr">
        <is>
          <t>a1</t>
        </is>
      </c>
      <c r="E133" s="2" t="inlineStr">
        <is>
          <t>2.0mm</t>
        </is>
      </c>
      <c r="F133" s="2" t="n">
        <v>1</v>
      </c>
      <c r="G133" s="2" t="n">
        <v>1</v>
      </c>
      <c r="H133" s="2" t="inlineStr">
        <is>
          <t>LC/PC</t>
        </is>
      </c>
      <c r="I133" s="2" t="inlineStr">
        <is>
          <t>SC/PC</t>
        </is>
      </c>
      <c r="J133" s="2" t="n">
        <v>10</v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>
        <f>SUM(J133:U133)*G133</f>
        <v/>
      </c>
      <c r="W133" s="2">
        <f>MAX(J133:U133)</f>
        <v/>
      </c>
      <c r="X133" s="2">
        <f>W133*G133</f>
        <v/>
      </c>
    </row>
    <row r="134">
      <c r="A134" s="2" t="inlineStr">
        <is>
          <t>14-S-146</t>
        </is>
      </c>
      <c r="B134" s="3" t="inlineStr">
        <is>
          <t>SOJC-SM-LC/PC-SC/PC</t>
        </is>
      </c>
      <c r="C134" s="2" t="inlineStr">
        <is>
          <t>3M</t>
        </is>
      </c>
      <c r="D134" s="2" t="inlineStr">
        <is>
          <t>a1</t>
        </is>
      </c>
      <c r="E134" s="2" t="inlineStr">
        <is>
          <t>2.0mm</t>
        </is>
      </c>
      <c r="F134" s="2" t="n">
        <v>1</v>
      </c>
      <c r="G134" s="2" t="n">
        <v>3</v>
      </c>
      <c r="H134" s="2" t="inlineStr">
        <is>
          <t>LC/PC</t>
        </is>
      </c>
      <c r="I134" s="2" t="inlineStr">
        <is>
          <t>SC/PC</t>
        </is>
      </c>
      <c r="J134" s="2" t="n">
        <v>31</v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>
        <f>SUM(J134:U134)*G134</f>
        <v/>
      </c>
      <c r="W134" s="2">
        <f>MAX(J134:U134)</f>
        <v/>
      </c>
      <c r="X134" s="2">
        <f>W134*G134</f>
        <v/>
      </c>
    </row>
    <row r="135">
      <c r="A135" s="2" t="inlineStr">
        <is>
          <t>14-S-179</t>
        </is>
      </c>
      <c r="B135" s="3" t="inlineStr">
        <is>
          <t>SOJC-SM-SC/APC-SC/APC</t>
        </is>
      </c>
      <c r="C135" s="2" t="inlineStr">
        <is>
          <t>15M, A1, 2.0mm</t>
        </is>
      </c>
      <c r="D135" s="2" t="inlineStr">
        <is>
          <t>a1</t>
        </is>
      </c>
      <c r="E135" s="2" t="inlineStr">
        <is>
          <t>2.0mm</t>
        </is>
      </c>
      <c r="F135" s="2" t="n">
        <v>1</v>
      </c>
      <c r="G135" s="2" t="n">
        <v>15</v>
      </c>
      <c r="H135" s="2" t="inlineStr">
        <is>
          <t>SC/APC</t>
        </is>
      </c>
      <c r="I135" s="2" t="inlineStr">
        <is>
          <t>SC/APC</t>
        </is>
      </c>
      <c r="J135" s="2" t="n"/>
      <c r="K135" s="2" t="n"/>
      <c r="L135" s="2" t="n">
        <v>1</v>
      </c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>
        <f>SUM(J135:U135)*G135</f>
        <v/>
      </c>
      <c r="W135" s="2">
        <f>MAX(J135:U135)</f>
        <v/>
      </c>
      <c r="X135" s="2">
        <f>W135*G135</f>
        <v/>
      </c>
    </row>
    <row r="136">
      <c r="A136" s="2" t="inlineStr">
        <is>
          <t>14-S-261</t>
        </is>
      </c>
      <c r="B136" s="3" t="inlineStr">
        <is>
          <t>SOJC-SM-SC/PC-SC/PC</t>
        </is>
      </c>
      <c r="C136" s="2" t="inlineStr">
        <is>
          <t>1M</t>
        </is>
      </c>
      <c r="D136" s="2" t="inlineStr">
        <is>
          <t>a1</t>
        </is>
      </c>
      <c r="E136" s="2" t="inlineStr">
        <is>
          <t>2.0mm</t>
        </is>
      </c>
      <c r="F136" s="2" t="n">
        <v>1</v>
      </c>
      <c r="G136" s="2" t="n">
        <v>1</v>
      </c>
      <c r="H136" s="2" t="inlineStr">
        <is>
          <t>SC/PC</t>
        </is>
      </c>
      <c r="I136" s="2" t="inlineStr">
        <is>
          <t>SC/PC</t>
        </is>
      </c>
      <c r="J136" s="2" t="n"/>
      <c r="K136" s="2" t="n">
        <v>5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>
        <f>SUM(J136:U136)*G136</f>
        <v/>
      </c>
      <c r="W136" s="2">
        <f>MAX(J136:U136)</f>
        <v/>
      </c>
      <c r="X136" s="2">
        <f>W136*G136</f>
        <v/>
      </c>
    </row>
    <row r="137">
      <c r="A137" s="2" t="inlineStr">
        <is>
          <t>14-S-400</t>
        </is>
      </c>
      <c r="B137" s="3" t="inlineStr">
        <is>
          <t>SOJC-SM-SC/PC-SC/PC</t>
        </is>
      </c>
      <c r="C137" s="2" t="inlineStr">
        <is>
          <t>50M</t>
        </is>
      </c>
      <c r="D137" s="2" t="inlineStr">
        <is>
          <t>a1</t>
        </is>
      </c>
      <c r="E137" s="2" t="inlineStr">
        <is>
          <t>2.0mm</t>
        </is>
      </c>
      <c r="F137" s="2" t="n">
        <v>1</v>
      </c>
      <c r="G137" s="2" t="n">
        <v>50</v>
      </c>
      <c r="H137" s="2" t="inlineStr">
        <is>
          <t>SC/PC</t>
        </is>
      </c>
      <c r="I137" s="2" t="inlineStr">
        <is>
          <t>SC/PC</t>
        </is>
      </c>
      <c r="J137" s="2" t="n">
        <v>10</v>
      </c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>
        <f>SUM(J137:U137)*G137</f>
        <v/>
      </c>
      <c r="W137" s="2">
        <f>MAX(J137:U137)</f>
        <v/>
      </c>
      <c r="X137" s="2">
        <f>W137*G137</f>
        <v/>
      </c>
    </row>
    <row r="138">
      <c r="A138" s="2" t="inlineStr">
        <is>
          <t>14-S-500</t>
        </is>
      </c>
      <c r="B138" s="3" t="inlineStr">
        <is>
          <t>SOJC-SM-LC/PC-SC/APC</t>
        </is>
      </c>
      <c r="C138" s="2" t="inlineStr">
        <is>
          <t>0.3M</t>
        </is>
      </c>
      <c r="D138" s="2" t="inlineStr">
        <is>
          <t>a1</t>
        </is>
      </c>
      <c r="E138" s="2" t="inlineStr">
        <is>
          <t>2.0mm</t>
        </is>
      </c>
      <c r="F138" s="2" t="n">
        <v>1</v>
      </c>
      <c r="G138" s="2" t="n">
        <v>0.3</v>
      </c>
      <c r="H138" s="2" t="inlineStr">
        <is>
          <t>LC/PC</t>
        </is>
      </c>
      <c r="I138" s="2" t="inlineStr">
        <is>
          <t>SC/APC</t>
        </is>
      </c>
      <c r="J138" s="2" t="n"/>
      <c r="K138" s="2" t="n">
        <v>50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>
        <f>SUM(J138:U138)*G138</f>
        <v/>
      </c>
      <c r="W138" s="2">
        <f>MAX(J138:U138)</f>
        <v/>
      </c>
      <c r="X138" s="2">
        <f>W138*G138</f>
        <v/>
      </c>
    </row>
    <row r="139">
      <c r="A139" s="2" t="inlineStr">
        <is>
          <t>14-k-B437</t>
        </is>
      </c>
      <c r="B139" s="3" t="inlineStr">
        <is>
          <t>OJC-C2-SC/SC-SM-35-PC/PC-4C</t>
        </is>
      </c>
      <c r="C139" s="2" t="inlineStr">
        <is>
          <t>K9089451</t>
        </is>
      </c>
      <c r="D139" s="2" t="inlineStr">
        <is>
          <t>b3-4c</t>
        </is>
      </c>
      <c r="E139" s="2" t="inlineStr">
        <is>
          <t>2.0mm</t>
        </is>
      </c>
      <c r="F139" s="2" t="n">
        <v>4</v>
      </c>
      <c r="G139" s="2" t="n">
        <v>35</v>
      </c>
      <c r="H139" s="2" t="inlineStr">
        <is>
          <t>SC/PC</t>
        </is>
      </c>
      <c r="I139" s="2" t="inlineStr">
        <is>
          <t>SC/PC</t>
        </is>
      </c>
      <c r="J139" s="2" t="n">
        <v>20</v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>
        <f>SUM(J139:U139)*G139</f>
        <v/>
      </c>
      <c r="W139" s="2">
        <f>MAX(J139:U139)</f>
        <v/>
      </c>
      <c r="X139" s="2">
        <f>W139*G139</f>
        <v/>
      </c>
    </row>
    <row r="140">
      <c r="A140" s="2" t="inlineStr">
        <is>
          <t>45-A-001</t>
        </is>
      </c>
      <c r="B140" s="3" t="inlineStr">
        <is>
          <t>운송비(택배)</t>
        </is>
      </c>
      <c r="C140" s="2" t="inlineStr"/>
      <c r="D140" s="2" t="inlineStr">
        <is>
          <t>a1</t>
        </is>
      </c>
      <c r="E140" s="2" t="inlineStr">
        <is>
          <t>2.0mm</t>
        </is>
      </c>
      <c r="F140" s="2" t="n">
        <v>1</v>
      </c>
      <c r="G140" s="2" t="n"/>
      <c r="H140" s="2" t="n"/>
      <c r="I140" s="2" t="n"/>
      <c r="J140" s="2" t="n"/>
      <c r="K140" s="2" t="n">
        <v>1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>
        <f>SUM(J140:U140)*G140</f>
        <v/>
      </c>
      <c r="W140" s="2">
        <f>MAX(J140:U140)</f>
        <v/>
      </c>
      <c r="X140" s="2">
        <f>W140*G140</f>
        <v/>
      </c>
    </row>
    <row r="141">
      <c r="A141" s="2" t="inlineStr">
        <is>
          <t>45-A-123</t>
        </is>
      </c>
      <c r="B141" s="3" t="inlineStr">
        <is>
          <t>OJC-A1-SC/LC-SM-15-APC/PC-SP</t>
        </is>
      </c>
      <c r="C141" s="2" t="inlineStr"/>
      <c r="D141" s="2" t="inlineStr">
        <is>
          <t>a1</t>
        </is>
      </c>
      <c r="E141" s="2" t="inlineStr">
        <is>
          <t>2.0mm</t>
        </is>
      </c>
      <c r="F141" s="2" t="n">
        <v>1</v>
      </c>
      <c r="G141" s="2" t="n">
        <v>15</v>
      </c>
      <c r="H141" s="2" t="inlineStr">
        <is>
          <t>SC/APC</t>
        </is>
      </c>
      <c r="I141" s="2" t="inlineStr">
        <is>
          <t>LC/PC</t>
        </is>
      </c>
      <c r="J141" s="2" t="n"/>
      <c r="K141" s="2" t="n">
        <v>10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>
        <f>SUM(J141:U141)*G141</f>
        <v/>
      </c>
      <c r="W141" s="2">
        <f>MAX(J141:U141)</f>
        <v/>
      </c>
      <c r="X141" s="2">
        <f>W141*G141</f>
        <v/>
      </c>
    </row>
    <row r="142">
      <c r="A142" s="2" t="inlineStr">
        <is>
          <t>A14-D-FP/FP-B-N-004</t>
        </is>
      </c>
      <c r="B142" s="3" t="inlineStr">
        <is>
          <t>DOJC-SM-FC/PC-FC/PC</t>
        </is>
      </c>
      <c r="C142" s="2" t="inlineStr">
        <is>
          <t>908040607, 20M, B3, 2.0mm</t>
        </is>
      </c>
      <c r="D142" s="2" t="inlineStr">
        <is>
          <t>b3</t>
        </is>
      </c>
      <c r="E142" s="2" t="inlineStr">
        <is>
          <t>2.0mm</t>
        </is>
      </c>
      <c r="F142" s="2" t="n">
        <v>2</v>
      </c>
      <c r="G142" s="2" t="n">
        <v>20</v>
      </c>
      <c r="H142" s="2" t="inlineStr">
        <is>
          <t>FC/PC</t>
        </is>
      </c>
      <c r="I142" s="2" t="inlineStr">
        <is>
          <t>FC/PC</t>
        </is>
      </c>
      <c r="J142" s="2" t="n">
        <v>15</v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>
        <f>SUM(J142:U142)*G142</f>
        <v/>
      </c>
      <c r="W142" s="2">
        <f>MAX(J142:U142)</f>
        <v/>
      </c>
      <c r="X142" s="2">
        <f>W142*G142</f>
        <v/>
      </c>
    </row>
    <row r="143">
      <c r="A143" s="2" t="inlineStr">
        <is>
          <t>A14-D-LP/LP-1-N-060</t>
        </is>
      </c>
      <c r="B143" s="3" t="inlineStr">
        <is>
          <t>DOJC-MM-LC/PC-LC/PC</t>
        </is>
      </c>
      <c r="C143" s="2" t="inlineStr">
        <is>
          <t>65M</t>
        </is>
      </c>
      <c r="D143" s="2" t="inlineStr">
        <is>
          <t>om1</t>
        </is>
      </c>
      <c r="E143" s="2" t="inlineStr">
        <is>
          <t>2.0mm</t>
        </is>
      </c>
      <c r="F143" s="2" t="n">
        <v>2</v>
      </c>
      <c r="G143" s="2" t="n">
        <v>65</v>
      </c>
      <c r="H143" s="2" t="inlineStr">
        <is>
          <t>LC/PC</t>
        </is>
      </c>
      <c r="I143" s="2" t="inlineStr">
        <is>
          <t>LC/PC</t>
        </is>
      </c>
      <c r="J143" s="2" t="n"/>
      <c r="K143" s="2" t="n">
        <v>11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>
        <f>SUM(J143:U143)*G143</f>
        <v/>
      </c>
      <c r="W143" s="2">
        <f>MAX(J143:U143)</f>
        <v/>
      </c>
      <c r="X143" s="2">
        <f>W143*G143</f>
        <v/>
      </c>
    </row>
    <row r="144">
      <c r="A144" s="2" t="inlineStr">
        <is>
          <t>A14-D-LP/LP-B-N-002</t>
        </is>
      </c>
      <c r="B144" s="3" t="inlineStr">
        <is>
          <t>DOJC-SM-LC/PC-LC/PC</t>
        </is>
      </c>
      <c r="C144" s="2" t="inlineStr">
        <is>
          <t>908040693, 11M, B3, 2.0mm</t>
        </is>
      </c>
      <c r="D144" s="2" t="inlineStr">
        <is>
          <t>b3</t>
        </is>
      </c>
      <c r="E144" s="2" t="inlineStr">
        <is>
          <t>2.0mm</t>
        </is>
      </c>
      <c r="F144" s="2" t="n">
        <v>2</v>
      </c>
      <c r="G144" s="2" t="n">
        <v>11</v>
      </c>
      <c r="H144" s="2" t="inlineStr">
        <is>
          <t>LC/PC</t>
        </is>
      </c>
      <c r="I144" s="2" t="inlineStr">
        <is>
          <t>LC/PC</t>
        </is>
      </c>
      <c r="J144" s="2" t="n">
        <v>20</v>
      </c>
      <c r="K144" s="2" t="n">
        <v>5</v>
      </c>
      <c r="L144" s="2" t="n">
        <v>10</v>
      </c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>
        <f>SUM(J144:U144)*G144</f>
        <v/>
      </c>
      <c r="W144" s="2">
        <f>MAX(J144:U144)</f>
        <v/>
      </c>
      <c r="X144" s="2">
        <f>W144*G144</f>
        <v/>
      </c>
    </row>
    <row r="145">
      <c r="A145" s="2" t="inlineStr">
        <is>
          <t>A14-D-LP/LP-B-N-019</t>
        </is>
      </c>
      <c r="B145" s="3" t="inlineStr">
        <is>
          <t>DOJC-SM-LC/PC-LC/PC</t>
        </is>
      </c>
      <c r="C145" s="2" t="inlineStr">
        <is>
          <t>908041005, 9M, B3, 2.0mm</t>
        </is>
      </c>
      <c r="D145" s="2" t="inlineStr">
        <is>
          <t>b3</t>
        </is>
      </c>
      <c r="E145" s="2" t="inlineStr">
        <is>
          <t>2.0mm</t>
        </is>
      </c>
      <c r="F145" s="2" t="n">
        <v>2</v>
      </c>
      <c r="G145" s="2" t="n">
        <v>9</v>
      </c>
      <c r="H145" s="2" t="inlineStr">
        <is>
          <t>LC/PC</t>
        </is>
      </c>
      <c r="I145" s="2" t="inlineStr">
        <is>
          <t>LC/PC</t>
        </is>
      </c>
      <c r="J145" s="2" t="n">
        <v>30</v>
      </c>
      <c r="K145" s="2" t="n"/>
      <c r="L145" s="2" t="n">
        <v>15</v>
      </c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>
        <f>SUM(J145:U145)*G145</f>
        <v/>
      </c>
      <c r="W145" s="2">
        <f>MAX(J145:U145)</f>
        <v/>
      </c>
      <c r="X145" s="2">
        <f>W145*G145</f>
        <v/>
      </c>
    </row>
    <row r="146">
      <c r="A146" s="2" t="inlineStr">
        <is>
          <t>A14-D-LP/LP-B-N-020</t>
        </is>
      </c>
      <c r="B146" s="3" t="inlineStr">
        <is>
          <t>DOJC-SM-LC/PC-LC/PC</t>
        </is>
      </c>
      <c r="C146" s="2" t="inlineStr">
        <is>
          <t>45M, B3, 2.0mm</t>
        </is>
      </c>
      <c r="D146" s="2" t="inlineStr">
        <is>
          <t>b3</t>
        </is>
      </c>
      <c r="E146" s="2" t="inlineStr">
        <is>
          <t>2.0mm</t>
        </is>
      </c>
      <c r="F146" s="2" t="n">
        <v>2</v>
      </c>
      <c r="G146" s="2" t="n">
        <v>45</v>
      </c>
      <c r="H146" s="2" t="inlineStr">
        <is>
          <t>LC/PC</t>
        </is>
      </c>
      <c r="I146" s="2" t="inlineStr">
        <is>
          <t>LC/PC</t>
        </is>
      </c>
      <c r="J146" s="2" t="n"/>
      <c r="K146" s="2" t="n">
        <v>1</v>
      </c>
      <c r="L146" s="2" t="n">
        <v>6</v>
      </c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>
        <f>SUM(J146:U146)*G146</f>
        <v/>
      </c>
      <c r="W146" s="2">
        <f>MAX(J146:U146)</f>
        <v/>
      </c>
      <c r="X146" s="2">
        <f>W146*G146</f>
        <v/>
      </c>
    </row>
    <row r="147">
      <c r="A147" s="2" t="inlineStr">
        <is>
          <t>A14-D-LP/SP-B-N-004</t>
        </is>
      </c>
      <c r="B147" s="3" t="inlineStr">
        <is>
          <t>DOJC-SM-LC/PC-SC/PC</t>
        </is>
      </c>
      <c r="C147" s="2" t="inlineStr">
        <is>
          <t>908040860, 1M, B3, 3.0mm</t>
        </is>
      </c>
      <c r="D147" s="2" t="inlineStr">
        <is>
          <t>b3</t>
        </is>
      </c>
      <c r="E147" s="2" t="inlineStr">
        <is>
          <t>3.0mm</t>
        </is>
      </c>
      <c r="F147" s="2" t="n">
        <v>2</v>
      </c>
      <c r="G147" s="2" t="n">
        <v>1</v>
      </c>
      <c r="H147" s="2" t="inlineStr">
        <is>
          <t>LC/PC</t>
        </is>
      </c>
      <c r="I147" s="2" t="inlineStr">
        <is>
          <t>SC/PC</t>
        </is>
      </c>
      <c r="J147" s="2" t="n">
        <v>30</v>
      </c>
      <c r="K147" s="2" t="n"/>
      <c r="L147" s="2" t="n">
        <v>20</v>
      </c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>
        <f>SUM(J147:U147)*G147</f>
        <v/>
      </c>
      <c r="W147" s="2">
        <f>MAX(J147:U147)</f>
        <v/>
      </c>
      <c r="X147" s="2">
        <f>W147*G147</f>
        <v/>
      </c>
    </row>
    <row r="148">
      <c r="A148" s="2" t="inlineStr">
        <is>
          <t>A14-D-LP/SP-B-N-019</t>
        </is>
      </c>
      <c r="B148" s="3" t="inlineStr">
        <is>
          <t>DOJC-SM-LC/PC-SC/PC</t>
        </is>
      </c>
      <c r="C148" s="2" t="inlineStr">
        <is>
          <t>45M, B3, 2.0mm</t>
        </is>
      </c>
      <c r="D148" s="2" t="inlineStr">
        <is>
          <t>b3</t>
        </is>
      </c>
      <c r="E148" s="2" t="inlineStr">
        <is>
          <t>2.0mm</t>
        </is>
      </c>
      <c r="F148" s="2" t="n">
        <v>2</v>
      </c>
      <c r="G148" s="2" t="n">
        <v>45</v>
      </c>
      <c r="H148" s="2" t="inlineStr">
        <is>
          <t>LC/PC</t>
        </is>
      </c>
      <c r="I148" s="2" t="inlineStr">
        <is>
          <t>SC/PC</t>
        </is>
      </c>
      <c r="J148" s="2" t="n"/>
      <c r="K148" s="2" t="n">
        <v>4</v>
      </c>
      <c r="L148" s="2" t="n">
        <v>3</v>
      </c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>
        <f>SUM(J148:U148)*G148</f>
        <v/>
      </c>
      <c r="W148" s="2">
        <f>MAX(J148:U148)</f>
        <v/>
      </c>
      <c r="X148" s="2">
        <f>W148*G148</f>
        <v/>
      </c>
    </row>
    <row r="149">
      <c r="A149" s="2" t="inlineStr">
        <is>
          <t>A14-D-LP/SP-B-N-020</t>
        </is>
      </c>
      <c r="B149" s="3" t="inlineStr">
        <is>
          <t>DOJC-SM-LC/PC-SC/PC</t>
        </is>
      </c>
      <c r="C149" s="2" t="inlineStr">
        <is>
          <t>55M, B3, 2.0mm</t>
        </is>
      </c>
      <c r="D149" s="2" t="inlineStr">
        <is>
          <t>b3</t>
        </is>
      </c>
      <c r="E149" s="2" t="inlineStr">
        <is>
          <t>2.0mm</t>
        </is>
      </c>
      <c r="F149" s="2" t="n">
        <v>2</v>
      </c>
      <c r="G149" s="2" t="n">
        <v>55</v>
      </c>
      <c r="H149" s="2" t="inlineStr">
        <is>
          <t>LC/PC</t>
        </is>
      </c>
      <c r="I149" s="2" t="inlineStr">
        <is>
          <t>SC/PC</t>
        </is>
      </c>
      <c r="J149" s="2" t="n"/>
      <c r="K149" s="2" t="n">
        <v>7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>
        <f>SUM(J149:U149)*G149</f>
        <v/>
      </c>
      <c r="W149" s="2">
        <f>MAX(J149:U149)</f>
        <v/>
      </c>
      <c r="X149" s="2">
        <f>W149*G149</f>
        <v/>
      </c>
    </row>
    <row r="150">
      <c r="A150" s="2" t="inlineStr">
        <is>
          <t>A14-D-SA/FA-B-N-004</t>
        </is>
      </c>
      <c r="B150" s="3" t="inlineStr">
        <is>
          <t>DOJC-SM-SC/APC-FC/APC</t>
        </is>
      </c>
      <c r="C150" s="2" t="inlineStr">
        <is>
          <t>908040512, 20M, B3, 2.0mm</t>
        </is>
      </c>
      <c r="D150" s="2" t="inlineStr">
        <is>
          <t>b3</t>
        </is>
      </c>
      <c r="E150" s="2" t="inlineStr">
        <is>
          <t>2.0mm</t>
        </is>
      </c>
      <c r="F150" s="2" t="n">
        <v>2</v>
      </c>
      <c r="G150" s="2" t="n">
        <v>20</v>
      </c>
      <c r="H150" s="2" t="inlineStr">
        <is>
          <t>SC/APC</t>
        </is>
      </c>
      <c r="I150" s="2" t="inlineStr">
        <is>
          <t>FC/APC</t>
        </is>
      </c>
      <c r="J150" s="2" t="n"/>
      <c r="K150" s="2" t="n"/>
      <c r="L150" s="2" t="n">
        <v>2</v>
      </c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>
        <f>SUM(J150:U150)*G150</f>
        <v/>
      </c>
      <c r="W150" s="2">
        <f>MAX(J150:U150)</f>
        <v/>
      </c>
      <c r="X150" s="2">
        <f>W150*G150</f>
        <v/>
      </c>
    </row>
    <row r="151">
      <c r="A151" s="2" t="inlineStr">
        <is>
          <t>A14-D-SP/FP-B-N-007</t>
        </is>
      </c>
      <c r="B151" s="3" t="inlineStr">
        <is>
          <t>DOJC-SM-SC/PC-FC/PC</t>
        </is>
      </c>
      <c r="C151" s="2" t="inlineStr">
        <is>
          <t>908040432, 30M, B3, 2.0mm</t>
        </is>
      </c>
      <c r="D151" s="2" t="inlineStr">
        <is>
          <t>b3</t>
        </is>
      </c>
      <c r="E151" s="2" t="inlineStr">
        <is>
          <t>2.0mm</t>
        </is>
      </c>
      <c r="F151" s="2" t="n">
        <v>2</v>
      </c>
      <c r="G151" s="2" t="n">
        <v>30</v>
      </c>
      <c r="H151" s="2" t="inlineStr">
        <is>
          <t>SC/PC</t>
        </is>
      </c>
      <c r="I151" s="2" t="inlineStr">
        <is>
          <t>FC/PC</t>
        </is>
      </c>
      <c r="J151" s="2" t="n">
        <v>10</v>
      </c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>
        <f>SUM(J151:U151)*G151</f>
        <v/>
      </c>
      <c r="W151" s="2">
        <f>MAX(J151:U151)</f>
        <v/>
      </c>
      <c r="X151" s="2">
        <f>W151*G151</f>
        <v/>
      </c>
    </row>
    <row r="152">
      <c r="A152" s="2" t="inlineStr">
        <is>
          <t>A14-D-SP/SA-B-N-005</t>
        </is>
      </c>
      <c r="B152" s="3" t="inlineStr">
        <is>
          <t>DOJC-SM-SC/PC-SC/APC</t>
        </is>
      </c>
      <c r="C152" s="2" t="inlineStr">
        <is>
          <t>908040552, 25M, B3, 2.0mm</t>
        </is>
      </c>
      <c r="D152" s="2" t="inlineStr">
        <is>
          <t>b3</t>
        </is>
      </c>
      <c r="E152" s="2" t="inlineStr">
        <is>
          <t>2.0mm</t>
        </is>
      </c>
      <c r="F152" s="2" t="n">
        <v>2</v>
      </c>
      <c r="G152" s="2" t="n">
        <v>25</v>
      </c>
      <c r="H152" s="2" t="inlineStr">
        <is>
          <t>SC/PC</t>
        </is>
      </c>
      <c r="I152" s="2" t="inlineStr">
        <is>
          <t>SC/APC</t>
        </is>
      </c>
      <c r="J152" s="2" t="n">
        <v>10</v>
      </c>
      <c r="K152" s="2" t="n">
        <v>1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>
        <f>SUM(J152:U152)*G152</f>
        <v/>
      </c>
      <c r="W152" s="2">
        <f>MAX(J152:U152)</f>
        <v/>
      </c>
      <c r="X152" s="2">
        <f>W152*G152</f>
        <v/>
      </c>
    </row>
    <row r="153">
      <c r="A153" s="2" t="inlineStr">
        <is>
          <t>A14-D-SP/SA-B-N-008</t>
        </is>
      </c>
      <c r="B153" s="3" t="inlineStr">
        <is>
          <t>DOJC-SM-SC/PC-SC/APC</t>
        </is>
      </c>
      <c r="C153" s="2" t="inlineStr">
        <is>
          <t>908040557, 30M, B3, 2.0mm</t>
        </is>
      </c>
      <c r="D153" s="2" t="inlineStr">
        <is>
          <t>b3</t>
        </is>
      </c>
      <c r="E153" s="2" t="inlineStr">
        <is>
          <t>2.0mm</t>
        </is>
      </c>
      <c r="F153" s="2" t="n">
        <v>2</v>
      </c>
      <c r="G153" s="2" t="n">
        <v>30</v>
      </c>
      <c r="H153" s="2" t="inlineStr">
        <is>
          <t>SC/PC</t>
        </is>
      </c>
      <c r="I153" s="2" t="inlineStr">
        <is>
          <t>SC/APC</t>
        </is>
      </c>
      <c r="J153" s="2" t="n">
        <v>20</v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>
        <f>SUM(J153:U153)*G153</f>
        <v/>
      </c>
      <c r="W153" s="2">
        <f>MAX(J153:U153)</f>
        <v/>
      </c>
      <c r="X153" s="2">
        <f>W153*G153</f>
        <v/>
      </c>
    </row>
    <row r="154">
      <c r="A154" s="2" t="inlineStr">
        <is>
          <t>A14-D-SP/SP-B-N-015</t>
        </is>
      </c>
      <c r="B154" s="3" t="inlineStr">
        <is>
          <t>DOJC-SM-SC/PC-SC/PC</t>
        </is>
      </c>
      <c r="C154" s="2" t="inlineStr">
        <is>
          <t>908040227, 7M, B3, 2.0mm</t>
        </is>
      </c>
      <c r="D154" s="2" t="inlineStr">
        <is>
          <t>b3</t>
        </is>
      </c>
      <c r="E154" s="2" t="inlineStr">
        <is>
          <t>2.0mm</t>
        </is>
      </c>
      <c r="F154" s="2" t="n">
        <v>2</v>
      </c>
      <c r="G154" s="2" t="n">
        <v>7</v>
      </c>
      <c r="H154" s="2" t="inlineStr">
        <is>
          <t>SC/PC</t>
        </is>
      </c>
      <c r="I154" s="2" t="inlineStr">
        <is>
          <t>SC/PC</t>
        </is>
      </c>
      <c r="J154" s="2" t="n">
        <v>100</v>
      </c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>
        <f>SUM(J154:U154)*G154</f>
        <v/>
      </c>
      <c r="W154" s="2">
        <f>MAX(J154:U154)</f>
        <v/>
      </c>
      <c r="X154" s="2">
        <f>W154*G154</f>
        <v/>
      </c>
    </row>
    <row r="155">
      <c r="A155" s="2" t="inlineStr">
        <is>
          <t>A14-D1-N002</t>
        </is>
      </c>
      <c r="B155" s="3" t="inlineStr">
        <is>
          <t>DOJC-MM-LC/PC-LC/PC</t>
        </is>
      </c>
      <c r="C155" s="2" t="inlineStr">
        <is>
          <t>920000812, 30M</t>
        </is>
      </c>
      <c r="D155" s="2" t="inlineStr">
        <is>
          <t>om1</t>
        </is>
      </c>
      <c r="E155" s="2" t="inlineStr">
        <is>
          <t>2.0mm</t>
        </is>
      </c>
      <c r="F155" s="2" t="n">
        <v>2</v>
      </c>
      <c r="G155" s="2" t="n">
        <v>30</v>
      </c>
      <c r="H155" s="2" t="inlineStr">
        <is>
          <t>LC/PC</t>
        </is>
      </c>
      <c r="I155" s="2" t="inlineStr">
        <is>
          <t>LC/PC</t>
        </is>
      </c>
      <c r="J155" s="2" t="n"/>
      <c r="K155" s="2" t="n"/>
      <c r="L155" s="2" t="n">
        <v>5</v>
      </c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>
        <f>SUM(J155:U155)*G155</f>
        <v/>
      </c>
      <c r="W155" s="2">
        <f>MAX(J155:U155)</f>
        <v/>
      </c>
      <c r="X155" s="2">
        <f>W155*G155</f>
        <v/>
      </c>
    </row>
    <row r="156">
      <c r="A156" s="2" t="inlineStr">
        <is>
          <t>A14-D1-N003</t>
        </is>
      </c>
      <c r="B156" s="3" t="inlineStr">
        <is>
          <t>DOJC-MM-LC/PC-LC/PC</t>
        </is>
      </c>
      <c r="C156" s="2" t="inlineStr">
        <is>
          <t>920000788, 6M</t>
        </is>
      </c>
      <c r="D156" s="2" t="inlineStr">
        <is>
          <t>om1</t>
        </is>
      </c>
      <c r="E156" s="2" t="inlineStr">
        <is>
          <t>2.0mm</t>
        </is>
      </c>
      <c r="F156" s="2" t="n">
        <v>2</v>
      </c>
      <c r="G156" s="2" t="n">
        <v>6</v>
      </c>
      <c r="H156" s="2" t="inlineStr">
        <is>
          <t>LC/PC</t>
        </is>
      </c>
      <c r="I156" s="2" t="inlineStr">
        <is>
          <t>LC/PC</t>
        </is>
      </c>
      <c r="J156" s="2" t="n"/>
      <c r="K156" s="2" t="n">
        <v>10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>
        <f>SUM(J156:U156)*G156</f>
        <v/>
      </c>
      <c r="W156" s="2">
        <f>MAX(J156:U156)</f>
        <v/>
      </c>
      <c r="X156" s="2">
        <f>W156*G156</f>
        <v/>
      </c>
    </row>
    <row r="157">
      <c r="A157" s="2" t="inlineStr">
        <is>
          <t>A14-D1-N004</t>
        </is>
      </c>
      <c r="B157" s="3" t="inlineStr">
        <is>
          <t>DOJC-MM-LC/PC-LC/PC</t>
        </is>
      </c>
      <c r="C157" s="2" t="inlineStr">
        <is>
          <t>920000789, 7M</t>
        </is>
      </c>
      <c r="D157" s="2" t="inlineStr">
        <is>
          <t>om1</t>
        </is>
      </c>
      <c r="E157" s="2" t="inlineStr">
        <is>
          <t>2.0mm</t>
        </is>
      </c>
      <c r="F157" s="2" t="n">
        <v>2</v>
      </c>
      <c r="G157" s="2" t="n">
        <v>7</v>
      </c>
      <c r="H157" s="2" t="inlineStr">
        <is>
          <t>LC/PC</t>
        </is>
      </c>
      <c r="I157" s="2" t="inlineStr">
        <is>
          <t>LC/PC</t>
        </is>
      </c>
      <c r="J157" s="2" t="n">
        <v>36</v>
      </c>
      <c r="K157" s="2" t="n">
        <v>2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>
        <f>SUM(J157:U157)*G157</f>
        <v/>
      </c>
      <c r="W157" s="2">
        <f>MAX(J157:U157)</f>
        <v/>
      </c>
      <c r="X157" s="2">
        <f>W157*G157</f>
        <v/>
      </c>
    </row>
    <row r="158">
      <c r="A158" s="2" t="inlineStr">
        <is>
          <t>A14-D1-N012</t>
        </is>
      </c>
      <c r="B158" s="3" t="inlineStr">
        <is>
          <t>DOJC-MM-LC/PC-LC/PC</t>
        </is>
      </c>
      <c r="C158" s="2" t="inlineStr">
        <is>
          <t>920000790, 8M</t>
        </is>
      </c>
      <c r="D158" s="2" t="inlineStr">
        <is>
          <t>om1</t>
        </is>
      </c>
      <c r="E158" s="2" t="inlineStr">
        <is>
          <t>2.0mm</t>
        </is>
      </c>
      <c r="F158" s="2" t="n">
        <v>2</v>
      </c>
      <c r="G158" s="2" t="n">
        <v>8</v>
      </c>
      <c r="H158" s="2" t="inlineStr">
        <is>
          <t>LC/PC</t>
        </is>
      </c>
      <c r="I158" s="2" t="inlineStr">
        <is>
          <t>LC/PC</t>
        </is>
      </c>
      <c r="J158" s="2" t="n"/>
      <c r="K158" s="2" t="n"/>
      <c r="L158" s="2" t="n">
        <v>5</v>
      </c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>
        <f>SUM(J158:U158)*G158</f>
        <v/>
      </c>
      <c r="W158" s="2">
        <f>MAX(J158:U158)</f>
        <v/>
      </c>
      <c r="X158" s="2">
        <f>W158*G158</f>
        <v/>
      </c>
    </row>
    <row r="159">
      <c r="A159" s="2" t="inlineStr">
        <is>
          <t>A14-D1-N057</t>
        </is>
      </c>
      <c r="B159" s="3" t="inlineStr">
        <is>
          <t>DOJC-MM-LC/PC-LC/PC</t>
        </is>
      </c>
      <c r="C159" s="2" t="inlineStr">
        <is>
          <t>920000787, 5M</t>
        </is>
      </c>
      <c r="D159" s="2" t="inlineStr">
        <is>
          <t>om1</t>
        </is>
      </c>
      <c r="E159" s="2" t="inlineStr">
        <is>
          <t>2.0mm</t>
        </is>
      </c>
      <c r="F159" s="2" t="n">
        <v>2</v>
      </c>
      <c r="G159" s="2" t="n">
        <v>5</v>
      </c>
      <c r="H159" s="2" t="inlineStr">
        <is>
          <t>LC/PC</t>
        </is>
      </c>
      <c r="I159" s="2" t="inlineStr">
        <is>
          <t>LC/PC</t>
        </is>
      </c>
      <c r="J159" s="2" t="n">
        <v>10</v>
      </c>
      <c r="K159" s="2" t="n"/>
      <c r="L159" s="2" t="n">
        <v>1</v>
      </c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>
        <f>SUM(J159:U159)*G159</f>
        <v/>
      </c>
      <c r="W159" s="2">
        <f>MAX(J159:U159)</f>
        <v/>
      </c>
      <c r="X159" s="2">
        <f>W159*G159</f>
        <v/>
      </c>
    </row>
    <row r="160">
      <c r="A160" s="2" t="inlineStr">
        <is>
          <t>A14-D3-N008</t>
        </is>
      </c>
      <c r="B160" s="3" t="inlineStr">
        <is>
          <t>DOJC-MM(OM3)-LC/PC-LC/PC</t>
        </is>
      </c>
      <c r="C160" s="2" t="inlineStr">
        <is>
          <t>10M</t>
        </is>
      </c>
      <c r="D160" s="2" t="inlineStr">
        <is>
          <t>om3</t>
        </is>
      </c>
      <c r="E160" s="2" t="inlineStr">
        <is>
          <t>2.0mm</t>
        </is>
      </c>
      <c r="F160" s="2" t="n">
        <v>2</v>
      </c>
      <c r="G160" s="2" t="n">
        <v>10</v>
      </c>
      <c r="H160" s="2" t="inlineStr">
        <is>
          <t>LC/PC</t>
        </is>
      </c>
      <c r="I160" s="2" t="inlineStr">
        <is>
          <t>LC/PC</t>
        </is>
      </c>
      <c r="J160" s="2" t="n">
        <v>30</v>
      </c>
      <c r="K160" s="2" t="n">
        <v>19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>
        <f>SUM(J160:U160)*G160</f>
        <v/>
      </c>
      <c r="W160" s="2">
        <f>MAX(J160:U160)</f>
        <v/>
      </c>
      <c r="X160" s="2">
        <f>W160*G160</f>
        <v/>
      </c>
    </row>
    <row r="161">
      <c r="A161" s="2" t="inlineStr">
        <is>
          <t>A14-D3-N010</t>
        </is>
      </c>
      <c r="B161" s="3" t="inlineStr">
        <is>
          <t>DOJC-MM(OM3)-LC/PC-LC/PC</t>
        </is>
      </c>
      <c r="C161" s="2" t="inlineStr">
        <is>
          <t>15M</t>
        </is>
      </c>
      <c r="D161" s="2" t="inlineStr">
        <is>
          <t>om3</t>
        </is>
      </c>
      <c r="E161" s="2" t="inlineStr">
        <is>
          <t>2.0mm</t>
        </is>
      </c>
      <c r="F161" s="2" t="n">
        <v>2</v>
      </c>
      <c r="G161" s="2" t="n">
        <v>15</v>
      </c>
      <c r="H161" s="2" t="inlineStr">
        <is>
          <t>LC/PC</t>
        </is>
      </c>
      <c r="I161" s="2" t="inlineStr">
        <is>
          <t>LC/PC</t>
        </is>
      </c>
      <c r="J161" s="2" t="n">
        <v>10</v>
      </c>
      <c r="K161" s="2" t="n">
        <v>10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>
        <f>SUM(J161:U161)*G161</f>
        <v/>
      </c>
      <c r="W161" s="2">
        <f>MAX(J161:U161)</f>
        <v/>
      </c>
      <c r="X161" s="2">
        <f>W161*G161</f>
        <v/>
      </c>
    </row>
    <row r="162">
      <c r="A162" s="2" t="inlineStr">
        <is>
          <t>A14-D3-N011</t>
        </is>
      </c>
      <c r="B162" s="3" t="inlineStr">
        <is>
          <t>DOJC-MM(OM3)-LC/PC-LC/PC</t>
        </is>
      </c>
      <c r="C162" s="2" t="inlineStr">
        <is>
          <t>20M</t>
        </is>
      </c>
      <c r="D162" s="2" t="inlineStr">
        <is>
          <t>om3</t>
        </is>
      </c>
      <c r="E162" s="2" t="inlineStr">
        <is>
          <t>2.0mm</t>
        </is>
      </c>
      <c r="F162" s="2" t="n">
        <v>2</v>
      </c>
      <c r="G162" s="2" t="n">
        <v>20</v>
      </c>
      <c r="H162" s="2" t="inlineStr">
        <is>
          <t>LC/PC</t>
        </is>
      </c>
      <c r="I162" s="2" t="inlineStr">
        <is>
          <t>LC/PC</t>
        </is>
      </c>
      <c r="J162" s="2" t="n"/>
      <c r="K162" s="2" t="n">
        <v>5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>
        <f>SUM(J162:U162)*G162</f>
        <v/>
      </c>
      <c r="W162" s="2">
        <f>MAX(J162:U162)</f>
        <v/>
      </c>
      <c r="X162" s="2">
        <f>W162*G162</f>
        <v/>
      </c>
    </row>
    <row r="163">
      <c r="A163" s="2" t="inlineStr">
        <is>
          <t>A14-D3-N016</t>
        </is>
      </c>
      <c r="B163" s="3" t="inlineStr">
        <is>
          <t>DOJC-MM(OM3)-LC/PC-LC/PC</t>
        </is>
      </c>
      <c r="C163" s="2" t="inlineStr">
        <is>
          <t>25M</t>
        </is>
      </c>
      <c r="D163" s="2" t="inlineStr">
        <is>
          <t>om3</t>
        </is>
      </c>
      <c r="E163" s="2" t="inlineStr">
        <is>
          <t>2.0mm</t>
        </is>
      </c>
      <c r="F163" s="2" t="n">
        <v>2</v>
      </c>
      <c r="G163" s="2" t="n">
        <v>25</v>
      </c>
      <c r="H163" s="2" t="inlineStr">
        <is>
          <t>LC/PC</t>
        </is>
      </c>
      <c r="I163" s="2" t="inlineStr">
        <is>
          <t>LC/PC</t>
        </is>
      </c>
      <c r="J163" s="2" t="n"/>
      <c r="K163" s="2" t="n">
        <v>5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>
        <f>SUM(J163:U163)*G163</f>
        <v/>
      </c>
      <c r="W163" s="2">
        <f>MAX(J163:U163)</f>
        <v/>
      </c>
      <c r="X163" s="2">
        <f>W163*G163</f>
        <v/>
      </c>
    </row>
    <row r="164">
      <c r="A164" s="2" t="inlineStr">
        <is>
          <t>A14-DB-N115</t>
        </is>
      </c>
      <c r="B164" s="3" t="inlineStr">
        <is>
          <t>DOJC-SM-FC/APC-FC/APC</t>
        </is>
      </c>
      <c r="C164" s="2" t="inlineStr">
        <is>
          <t>908040677, 30M, B3, 2.0mm</t>
        </is>
      </c>
      <c r="D164" s="2" t="inlineStr">
        <is>
          <t>b3</t>
        </is>
      </c>
      <c r="E164" s="2" t="inlineStr">
        <is>
          <t>2.0mm</t>
        </is>
      </c>
      <c r="F164" s="2" t="n">
        <v>2</v>
      </c>
      <c r="G164" s="2" t="n">
        <v>30</v>
      </c>
      <c r="H164" s="2" t="inlineStr">
        <is>
          <t>FC/APC</t>
        </is>
      </c>
      <c r="I164" s="2" t="inlineStr">
        <is>
          <t>FC/APC</t>
        </is>
      </c>
      <c r="J164" s="2" t="n">
        <v>5</v>
      </c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>
        <f>SUM(J164:U164)*G164</f>
        <v/>
      </c>
      <c r="W164" s="2">
        <f>MAX(J164:U164)</f>
        <v/>
      </c>
      <c r="X164" s="2">
        <f>W164*G164</f>
        <v/>
      </c>
    </row>
    <row r="165">
      <c r="A165" s="2" t="inlineStr">
        <is>
          <t>A14-DB-N157</t>
        </is>
      </c>
      <c r="B165" s="3" t="inlineStr">
        <is>
          <t>DOJC-SM-LC/PC-FC/APC</t>
        </is>
      </c>
      <c r="C165" s="2" t="inlineStr">
        <is>
          <t>908040532, 10M, B3, 2.0mm</t>
        </is>
      </c>
      <c r="D165" s="2" t="inlineStr">
        <is>
          <t>b3</t>
        </is>
      </c>
      <c r="E165" s="2" t="inlineStr">
        <is>
          <t>2.0mm</t>
        </is>
      </c>
      <c r="F165" s="2" t="n">
        <v>2</v>
      </c>
      <c r="G165" s="2" t="n">
        <v>10</v>
      </c>
      <c r="H165" s="2" t="inlineStr">
        <is>
          <t>LC/PC</t>
        </is>
      </c>
      <c r="I165" s="2" t="inlineStr">
        <is>
          <t>FC/APC</t>
        </is>
      </c>
      <c r="J165" s="2" t="n">
        <v>34</v>
      </c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>
        <f>SUM(J165:U165)*G165</f>
        <v/>
      </c>
      <c r="W165" s="2">
        <f>MAX(J165:U165)</f>
        <v/>
      </c>
      <c r="X165" s="2">
        <f>W165*G165</f>
        <v/>
      </c>
    </row>
    <row r="166">
      <c r="A166" s="2" t="inlineStr">
        <is>
          <t>A14-DB-N174</t>
        </is>
      </c>
      <c r="B166" s="3" t="inlineStr">
        <is>
          <t>DOJC-SM-LC/PC-FC/APC</t>
        </is>
      </c>
      <c r="C166" s="2" t="inlineStr">
        <is>
          <t>35M, B3, 2.0mm</t>
        </is>
      </c>
      <c r="D166" s="2" t="inlineStr">
        <is>
          <t>b3</t>
        </is>
      </c>
      <c r="E166" s="2" t="inlineStr">
        <is>
          <t>2.0mm</t>
        </is>
      </c>
      <c r="F166" s="2" t="n">
        <v>2</v>
      </c>
      <c r="G166" s="2" t="n">
        <v>35</v>
      </c>
      <c r="H166" s="2" t="inlineStr">
        <is>
          <t>LC/PC</t>
        </is>
      </c>
      <c r="I166" s="2" t="inlineStr">
        <is>
          <t>FC/APC</t>
        </is>
      </c>
      <c r="J166" s="2" t="n"/>
      <c r="K166" s="2" t="n"/>
      <c r="L166" s="2" t="n">
        <v>1</v>
      </c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>
        <f>SUM(J166:U166)*G166</f>
        <v/>
      </c>
      <c r="W166" s="2">
        <f>MAX(J166:U166)</f>
        <v/>
      </c>
      <c r="X166" s="2">
        <f>W166*G166</f>
        <v/>
      </c>
    </row>
    <row r="167">
      <c r="A167" s="2" t="inlineStr">
        <is>
          <t>A14-DB-N180</t>
        </is>
      </c>
      <c r="B167" s="3" t="inlineStr">
        <is>
          <t>DOJC-SM-LC/PC-FC/APC</t>
        </is>
      </c>
      <c r="C167" s="2" t="inlineStr">
        <is>
          <t>55M, B3, 2.0mm</t>
        </is>
      </c>
      <c r="D167" s="2" t="inlineStr">
        <is>
          <t>b3</t>
        </is>
      </c>
      <c r="E167" s="2" t="inlineStr">
        <is>
          <t>2.0mm</t>
        </is>
      </c>
      <c r="F167" s="2" t="n">
        <v>2</v>
      </c>
      <c r="G167" s="2" t="n">
        <v>55</v>
      </c>
      <c r="H167" s="2" t="inlineStr">
        <is>
          <t>LC/PC</t>
        </is>
      </c>
      <c r="I167" s="2" t="inlineStr">
        <is>
          <t>FC/APC</t>
        </is>
      </c>
      <c r="J167" s="2" t="n"/>
      <c r="K167" s="2" t="n"/>
      <c r="L167" s="2" t="n">
        <v>4</v>
      </c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>
        <f>SUM(J167:U167)*G167</f>
        <v/>
      </c>
      <c r="W167" s="2">
        <f>MAX(J167:U167)</f>
        <v/>
      </c>
      <c r="X167" s="2">
        <f>W167*G167</f>
        <v/>
      </c>
    </row>
    <row r="168">
      <c r="A168" s="2" t="inlineStr">
        <is>
          <t>A14-DB-N181</t>
        </is>
      </c>
      <c r="B168" s="3" t="inlineStr">
        <is>
          <t>DOJC-SM-LC/PC-FC/APC</t>
        </is>
      </c>
      <c r="C168" s="2" t="inlineStr">
        <is>
          <t>908040527, 5M, B3, 3.0mm</t>
        </is>
      </c>
      <c r="D168" s="2" t="inlineStr">
        <is>
          <t>b3</t>
        </is>
      </c>
      <c r="E168" s="2" t="inlineStr">
        <is>
          <t>3.0mm</t>
        </is>
      </c>
      <c r="F168" s="2" t="n">
        <v>2</v>
      </c>
      <c r="G168" s="2" t="n">
        <v>5</v>
      </c>
      <c r="H168" s="2" t="inlineStr">
        <is>
          <t>LC/PC</t>
        </is>
      </c>
      <c r="I168" s="2" t="inlineStr">
        <is>
          <t>FC/APC</t>
        </is>
      </c>
      <c r="J168" s="2" t="n">
        <v>20</v>
      </c>
      <c r="K168" s="2" t="n"/>
      <c r="L168" s="2" t="n">
        <v>5</v>
      </c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>
        <f>SUM(J168:U168)*G168</f>
        <v/>
      </c>
      <c r="W168" s="2">
        <f>MAX(J168:U168)</f>
        <v/>
      </c>
      <c r="X168" s="2">
        <f>W168*G168</f>
        <v/>
      </c>
    </row>
    <row r="169">
      <c r="A169" s="2" t="inlineStr">
        <is>
          <t>A14-DB-N182</t>
        </is>
      </c>
      <c r="B169" s="3" t="inlineStr">
        <is>
          <t>DOJC-SM-LC/PC-FC/APC</t>
        </is>
      </c>
      <c r="C169" s="2" t="inlineStr">
        <is>
          <t>60M, B3, 2.0mm</t>
        </is>
      </c>
      <c r="D169" s="2" t="inlineStr">
        <is>
          <t>b3</t>
        </is>
      </c>
      <c r="E169" s="2" t="inlineStr">
        <is>
          <t>2.0mm</t>
        </is>
      </c>
      <c r="F169" s="2" t="n">
        <v>2</v>
      </c>
      <c r="G169" s="2" t="n">
        <v>60</v>
      </c>
      <c r="H169" s="2" t="inlineStr">
        <is>
          <t>LC/PC</t>
        </is>
      </c>
      <c r="I169" s="2" t="inlineStr">
        <is>
          <t>FC/APC</t>
        </is>
      </c>
      <c r="J169" s="2" t="n"/>
      <c r="K169" s="2" t="n"/>
      <c r="L169" s="2" t="n">
        <v>2</v>
      </c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>
        <f>SUM(J169:U169)*G169</f>
        <v/>
      </c>
      <c r="W169" s="2">
        <f>MAX(J169:U169)</f>
        <v/>
      </c>
      <c r="X169" s="2">
        <f>W169*G169</f>
        <v/>
      </c>
    </row>
    <row r="170">
      <c r="A170" s="2" t="inlineStr">
        <is>
          <t>A14-DB-N183</t>
        </is>
      </c>
      <c r="B170" s="3" t="inlineStr">
        <is>
          <t>DOJC-SM-LC/PC-FC/APC</t>
        </is>
      </c>
      <c r="C170" s="2" t="inlineStr">
        <is>
          <t>65M, B3, 2.0mm</t>
        </is>
      </c>
      <c r="D170" s="2" t="inlineStr">
        <is>
          <t>b3</t>
        </is>
      </c>
      <c r="E170" s="2" t="inlineStr">
        <is>
          <t>2.0mm</t>
        </is>
      </c>
      <c r="F170" s="2" t="n">
        <v>2</v>
      </c>
      <c r="G170" s="2" t="n">
        <v>65</v>
      </c>
      <c r="H170" s="2" t="inlineStr">
        <is>
          <t>LC/PC</t>
        </is>
      </c>
      <c r="I170" s="2" t="inlineStr">
        <is>
          <t>FC/APC</t>
        </is>
      </c>
      <c r="J170" s="2" t="n"/>
      <c r="K170" s="2" t="n">
        <v>2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>
        <f>SUM(J170:U170)*G170</f>
        <v/>
      </c>
      <c r="W170" s="2">
        <f>MAX(J170:U170)</f>
        <v/>
      </c>
      <c r="X170" s="2">
        <f>W170*G170</f>
        <v/>
      </c>
    </row>
    <row r="171">
      <c r="A171" s="2" t="inlineStr">
        <is>
          <t>A14-DB-N187</t>
        </is>
      </c>
      <c r="B171" s="3" t="inlineStr">
        <is>
          <t>DOJC-SM-LC/PC-FC/APC</t>
        </is>
      </c>
      <c r="C171" s="2" t="inlineStr">
        <is>
          <t>908040529, 7M, B3, 2.0mm</t>
        </is>
      </c>
      <c r="D171" s="2" t="inlineStr">
        <is>
          <t>b3</t>
        </is>
      </c>
      <c r="E171" s="2" t="inlineStr">
        <is>
          <t>2.0mm</t>
        </is>
      </c>
      <c r="F171" s="2" t="n">
        <v>2</v>
      </c>
      <c r="G171" s="2" t="n">
        <v>7</v>
      </c>
      <c r="H171" s="2" t="inlineStr">
        <is>
          <t>LC/PC</t>
        </is>
      </c>
      <c r="I171" s="2" t="inlineStr">
        <is>
          <t>FC/APC</t>
        </is>
      </c>
      <c r="J171" s="2" t="n">
        <v>8</v>
      </c>
      <c r="K171" s="2" t="n"/>
      <c r="L171" s="2" t="n">
        <v>10</v>
      </c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>
        <f>SUM(J171:U171)*G171</f>
        <v/>
      </c>
      <c r="W171" s="2">
        <f>MAX(J171:U171)</f>
        <v/>
      </c>
      <c r="X171" s="2">
        <f>W171*G171</f>
        <v/>
      </c>
    </row>
    <row r="172">
      <c r="A172" s="2" t="inlineStr">
        <is>
          <t>A14-DB-N190</t>
        </is>
      </c>
      <c r="B172" s="3" t="inlineStr">
        <is>
          <t>DOJC-SM-LC/PC-FC/APC</t>
        </is>
      </c>
      <c r="C172" s="2" t="inlineStr">
        <is>
          <t>13M, B3, 2.0mm</t>
        </is>
      </c>
      <c r="D172" s="2" t="inlineStr">
        <is>
          <t>b3</t>
        </is>
      </c>
      <c r="E172" s="2" t="inlineStr">
        <is>
          <t>2.0mm</t>
        </is>
      </c>
      <c r="F172" s="2" t="n">
        <v>2</v>
      </c>
      <c r="G172" s="2" t="n">
        <v>13</v>
      </c>
      <c r="H172" s="2" t="inlineStr">
        <is>
          <t>LC/PC</t>
        </is>
      </c>
      <c r="I172" s="2" t="inlineStr">
        <is>
          <t>FC/APC</t>
        </is>
      </c>
      <c r="J172" s="2" t="n"/>
      <c r="K172" s="2" t="n"/>
      <c r="L172" s="2" t="n">
        <v>4</v>
      </c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>
        <f>SUM(J172:U172)*G172</f>
        <v/>
      </c>
      <c r="W172" s="2">
        <f>MAX(J172:U172)</f>
        <v/>
      </c>
      <c r="X172" s="2">
        <f>W172*G172</f>
        <v/>
      </c>
    </row>
    <row r="173">
      <c r="A173" s="2" t="inlineStr">
        <is>
          <t>A14-DB-N213</t>
        </is>
      </c>
      <c r="B173" s="3" t="inlineStr">
        <is>
          <t>DOJC-SM-LC/PC-FC/PC</t>
        </is>
      </c>
      <c r="C173" s="2" t="inlineStr">
        <is>
          <t>60M, B3, 2.0mm</t>
        </is>
      </c>
      <c r="D173" s="2" t="inlineStr">
        <is>
          <t>b3</t>
        </is>
      </c>
      <c r="E173" s="2" t="inlineStr">
        <is>
          <t>2.0mm</t>
        </is>
      </c>
      <c r="F173" s="2" t="n">
        <v>2</v>
      </c>
      <c r="G173" s="2" t="n">
        <v>60</v>
      </c>
      <c r="H173" s="2" t="inlineStr">
        <is>
          <t>LC/PC</t>
        </is>
      </c>
      <c r="I173" s="2" t="inlineStr">
        <is>
          <t>FC/PC</t>
        </is>
      </c>
      <c r="J173" s="2" t="n"/>
      <c r="K173" s="2" t="n">
        <v>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>
        <f>SUM(J173:U173)*G173</f>
        <v/>
      </c>
      <c r="W173" s="2">
        <f>MAX(J173:U173)</f>
        <v/>
      </c>
      <c r="X173" s="2">
        <f>W173*G173</f>
        <v/>
      </c>
    </row>
    <row r="174">
      <c r="A174" s="2" t="inlineStr">
        <is>
          <t>A14-DB-N223</t>
        </is>
      </c>
      <c r="B174" s="3" t="inlineStr">
        <is>
          <t>DOJC-SM-LC/PC-LC/PC</t>
        </is>
      </c>
      <c r="C174" s="2" t="inlineStr">
        <is>
          <t>908041006, 10M, B3, 2.0mm</t>
        </is>
      </c>
      <c r="D174" s="2" t="inlineStr">
        <is>
          <t>b3</t>
        </is>
      </c>
      <c r="E174" s="2" t="inlineStr">
        <is>
          <t>2.0mm</t>
        </is>
      </c>
      <c r="F174" s="2" t="n">
        <v>2</v>
      </c>
      <c r="G174" s="2" t="n">
        <v>10</v>
      </c>
      <c r="H174" s="2" t="inlineStr">
        <is>
          <t>LC/PC</t>
        </is>
      </c>
      <c r="I174" s="2" t="inlineStr">
        <is>
          <t>LC/PC</t>
        </is>
      </c>
      <c r="J174" s="2" t="n">
        <v>511</v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>
        <f>SUM(J174:U174)*G174</f>
        <v/>
      </c>
      <c r="W174" s="2">
        <f>MAX(J174:U174)</f>
        <v/>
      </c>
      <c r="X174" s="2">
        <f>W174*G174</f>
        <v/>
      </c>
    </row>
    <row r="175">
      <c r="A175" s="2" t="inlineStr">
        <is>
          <t>A14-DB-N226</t>
        </is>
      </c>
      <c r="B175" s="3" t="inlineStr">
        <is>
          <t>DOJC-SM-LC/PC-LC/PC</t>
        </is>
      </c>
      <c r="C175" s="2" t="inlineStr">
        <is>
          <t>908040695, 13M, B3, 2.0mm</t>
        </is>
      </c>
      <c r="D175" s="2" t="inlineStr">
        <is>
          <t>b3</t>
        </is>
      </c>
      <c r="E175" s="2" t="inlineStr">
        <is>
          <t>2.0mm</t>
        </is>
      </c>
      <c r="F175" s="2" t="n">
        <v>2</v>
      </c>
      <c r="G175" s="2" t="n">
        <v>13</v>
      </c>
      <c r="H175" s="2" t="inlineStr">
        <is>
          <t>LC/PC</t>
        </is>
      </c>
      <c r="I175" s="2" t="inlineStr">
        <is>
          <t>LC/PC</t>
        </is>
      </c>
      <c r="J175" s="2" t="n"/>
      <c r="K175" s="2" t="n"/>
      <c r="L175" s="2" t="n">
        <v>10</v>
      </c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>
        <f>SUM(J175:U175)*G175</f>
        <v/>
      </c>
      <c r="W175" s="2">
        <f>MAX(J175:U175)</f>
        <v/>
      </c>
      <c r="X175" s="2">
        <f>W175*G175</f>
        <v/>
      </c>
    </row>
    <row r="176">
      <c r="A176" s="2" t="inlineStr">
        <is>
          <t>A14-DB-N233</t>
        </is>
      </c>
      <c r="B176" s="3" t="inlineStr">
        <is>
          <t>DOJC-SM-LC/PC-LC/PC</t>
        </is>
      </c>
      <c r="C176" s="2" t="inlineStr">
        <is>
          <t>908040998, 1M, B3, 3.0mm</t>
        </is>
      </c>
      <c r="D176" s="2" t="inlineStr">
        <is>
          <t>b3</t>
        </is>
      </c>
      <c r="E176" s="2" t="inlineStr">
        <is>
          <t>3.0mm</t>
        </is>
      </c>
      <c r="F176" s="2" t="n">
        <v>2</v>
      </c>
      <c r="G176" s="2" t="n">
        <v>1</v>
      </c>
      <c r="H176" s="2" t="inlineStr">
        <is>
          <t>LC/PC</t>
        </is>
      </c>
      <c r="I176" s="2" t="inlineStr">
        <is>
          <t>LC/PC</t>
        </is>
      </c>
      <c r="J176" s="2" t="n">
        <v>5</v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>
        <f>SUM(J176:U176)*G176</f>
        <v/>
      </c>
      <c r="W176" s="2">
        <f>MAX(J176:U176)</f>
        <v/>
      </c>
      <c r="X176" s="2">
        <f>W176*G176</f>
        <v/>
      </c>
    </row>
    <row r="177">
      <c r="A177" s="2" t="inlineStr">
        <is>
          <t>A14-DB-N240</t>
        </is>
      </c>
      <c r="B177" s="3" t="inlineStr">
        <is>
          <t>DOJC-SM-LC/PC-LC/PC</t>
        </is>
      </c>
      <c r="C177" s="2" t="inlineStr">
        <is>
          <t>908040999, 2M, B3, 3.0mm</t>
        </is>
      </c>
      <c r="D177" s="2" t="inlineStr">
        <is>
          <t>b3</t>
        </is>
      </c>
      <c r="E177" s="2" t="inlineStr">
        <is>
          <t>3.0mm</t>
        </is>
      </c>
      <c r="F177" s="2" t="n">
        <v>2</v>
      </c>
      <c r="G177" s="2" t="n">
        <v>2</v>
      </c>
      <c r="H177" s="2" t="inlineStr">
        <is>
          <t>LC/PC</t>
        </is>
      </c>
      <c r="I177" s="2" t="inlineStr">
        <is>
          <t>LC/PC</t>
        </is>
      </c>
      <c r="J177" s="2" t="n">
        <v>40</v>
      </c>
      <c r="K177" s="2" t="n">
        <v>40</v>
      </c>
      <c r="L177" s="2" t="n">
        <v>120</v>
      </c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>
        <f>SUM(J177:U177)*G177</f>
        <v/>
      </c>
      <c r="W177" s="2">
        <f>MAX(J177:U177)</f>
        <v/>
      </c>
      <c r="X177" s="2">
        <f>W177*G177</f>
        <v/>
      </c>
    </row>
    <row r="178">
      <c r="A178" s="2" t="inlineStr">
        <is>
          <t>A14-DB-N247</t>
        </is>
      </c>
      <c r="B178" s="3" t="inlineStr">
        <is>
          <t>DOJC-SM-LC/PC-LC/PC</t>
        </is>
      </c>
      <c r="C178" s="2" t="inlineStr">
        <is>
          <t>45M, B3, 2.0mm</t>
        </is>
      </c>
      <c r="D178" s="2" t="inlineStr">
        <is>
          <t>b3</t>
        </is>
      </c>
      <c r="E178" s="2" t="inlineStr">
        <is>
          <t>2.0mm</t>
        </is>
      </c>
      <c r="F178" s="2" t="n">
        <v>2</v>
      </c>
      <c r="G178" s="2" t="n">
        <v>45</v>
      </c>
      <c r="H178" s="2" t="inlineStr">
        <is>
          <t>LC/PC</t>
        </is>
      </c>
      <c r="I178" s="2" t="inlineStr">
        <is>
          <t>LC/PC</t>
        </is>
      </c>
      <c r="J178" s="2" t="n">
        <v>5</v>
      </c>
      <c r="K178" s="2" t="n">
        <v>4</v>
      </c>
      <c r="L178" s="2" t="n">
        <v>10</v>
      </c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>
        <f>SUM(J178:U178)*G178</f>
        <v/>
      </c>
      <c r="W178" s="2">
        <f>MAX(J178:U178)</f>
        <v/>
      </c>
      <c r="X178" s="2">
        <f>W178*G178</f>
        <v/>
      </c>
    </row>
    <row r="179">
      <c r="A179" s="2" t="inlineStr">
        <is>
          <t>A14-DB-N248</t>
        </is>
      </c>
      <c r="B179" s="3" t="inlineStr">
        <is>
          <t>DOJC-SM-LC/PC-LC/PC</t>
        </is>
      </c>
      <c r="C179" s="2" t="inlineStr">
        <is>
          <t>908041000, 4M, B3, 3.0mm</t>
        </is>
      </c>
      <c r="D179" s="2" t="inlineStr">
        <is>
          <t>b3</t>
        </is>
      </c>
      <c r="E179" s="2" t="inlineStr">
        <is>
          <t>3.0mm</t>
        </is>
      </c>
      <c r="F179" s="2" t="n">
        <v>2</v>
      </c>
      <c r="G179" s="2" t="n">
        <v>4</v>
      </c>
      <c r="H179" s="2" t="inlineStr">
        <is>
          <t>LC/PC</t>
        </is>
      </c>
      <c r="I179" s="2" t="inlineStr">
        <is>
          <t>LC/PC</t>
        </is>
      </c>
      <c r="J179" s="2" t="n">
        <v>15</v>
      </c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>
        <f>SUM(J179:U179)*G179</f>
        <v/>
      </c>
      <c r="W179" s="2">
        <f>MAX(J179:U179)</f>
        <v/>
      </c>
      <c r="X179" s="2">
        <f>W179*G179</f>
        <v/>
      </c>
    </row>
    <row r="180">
      <c r="A180" s="2" t="inlineStr">
        <is>
          <t>A14-DB-N249</t>
        </is>
      </c>
      <c r="B180" s="3" t="inlineStr">
        <is>
          <t>DOJC-SM-LC/PC-LC/PC</t>
        </is>
      </c>
      <c r="C180" s="2" t="inlineStr">
        <is>
          <t>50M, B3, 2.0mm</t>
        </is>
      </c>
      <c r="D180" s="2" t="inlineStr">
        <is>
          <t>b3</t>
        </is>
      </c>
      <c r="E180" s="2" t="inlineStr">
        <is>
          <t>2.0mm</t>
        </is>
      </c>
      <c r="F180" s="2" t="n">
        <v>2</v>
      </c>
      <c r="G180" s="2" t="n">
        <v>50</v>
      </c>
      <c r="H180" s="2" t="inlineStr">
        <is>
          <t>LC/PC</t>
        </is>
      </c>
      <c r="I180" s="2" t="inlineStr">
        <is>
          <t>LC/PC</t>
        </is>
      </c>
      <c r="J180" s="2" t="n">
        <v>5</v>
      </c>
      <c r="K180" s="2" t="n"/>
      <c r="L180" s="2" t="n">
        <v>2</v>
      </c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>
        <f>SUM(J180:U180)*G180</f>
        <v/>
      </c>
      <c r="W180" s="2">
        <f>MAX(J180:U180)</f>
        <v/>
      </c>
      <c r="X180" s="2">
        <f>W180*G180</f>
        <v/>
      </c>
    </row>
    <row r="181">
      <c r="A181" s="2" t="inlineStr">
        <is>
          <t>A14-DB-N252</t>
        </is>
      </c>
      <c r="B181" s="3" t="inlineStr">
        <is>
          <t>DOJC-SM-LC/PC-LC/PC</t>
        </is>
      </c>
      <c r="C181" s="2" t="inlineStr">
        <is>
          <t>55M, B3, 2.0mm</t>
        </is>
      </c>
      <c r="D181" s="2" t="inlineStr">
        <is>
          <t>b3</t>
        </is>
      </c>
      <c r="E181" s="2" t="inlineStr">
        <is>
          <t>2.0mm</t>
        </is>
      </c>
      <c r="F181" s="2" t="n">
        <v>2</v>
      </c>
      <c r="G181" s="2" t="n">
        <v>55</v>
      </c>
      <c r="H181" s="2" t="inlineStr">
        <is>
          <t>LC/PC</t>
        </is>
      </c>
      <c r="I181" s="2" t="inlineStr">
        <is>
          <t>LC/PC</t>
        </is>
      </c>
      <c r="J181" s="2" t="n"/>
      <c r="K181" s="2" t="n">
        <v>2</v>
      </c>
      <c r="L181" s="2" t="n">
        <v>9</v>
      </c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>
        <f>SUM(J181:U181)*G181</f>
        <v/>
      </c>
      <c r="W181" s="2">
        <f>MAX(J181:U181)</f>
        <v/>
      </c>
      <c r="X181" s="2">
        <f>W181*G181</f>
        <v/>
      </c>
    </row>
    <row r="182">
      <c r="A182" s="2" t="inlineStr">
        <is>
          <t>A14-DB-N254</t>
        </is>
      </c>
      <c r="B182" s="3" t="inlineStr">
        <is>
          <t>DOJC-SM-LC/PC-LC/PC</t>
        </is>
      </c>
      <c r="C182" s="2" t="inlineStr">
        <is>
          <t>60M, B3, 2.0mm</t>
        </is>
      </c>
      <c r="D182" s="2" t="inlineStr">
        <is>
          <t>b3</t>
        </is>
      </c>
      <c r="E182" s="2" t="inlineStr">
        <is>
          <t>2.0mm</t>
        </is>
      </c>
      <c r="F182" s="2" t="n">
        <v>2</v>
      </c>
      <c r="G182" s="2" t="n">
        <v>60</v>
      </c>
      <c r="H182" s="2" t="inlineStr">
        <is>
          <t>LC/PC</t>
        </is>
      </c>
      <c r="I182" s="2" t="inlineStr">
        <is>
          <t>LC/PC</t>
        </is>
      </c>
      <c r="J182" s="2" t="n"/>
      <c r="K182" s="2" t="n">
        <v>2</v>
      </c>
      <c r="L182" s="2" t="n">
        <v>5</v>
      </c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>
        <f>SUM(J182:U182)*G182</f>
        <v/>
      </c>
      <c r="W182" s="2">
        <f>MAX(J182:U182)</f>
        <v/>
      </c>
      <c r="X182" s="2">
        <f>W182*G182</f>
        <v/>
      </c>
    </row>
    <row r="183">
      <c r="A183" s="2" t="inlineStr">
        <is>
          <t>A14-DB-N256</t>
        </is>
      </c>
      <c r="B183" s="3" t="inlineStr">
        <is>
          <t>DOJC-SM-LC/PC-LC/PC</t>
        </is>
      </c>
      <c r="C183" s="2" t="inlineStr">
        <is>
          <t>908041002, 6M, B3, 2.0mm</t>
        </is>
      </c>
      <c r="D183" s="2" t="inlineStr">
        <is>
          <t>b3</t>
        </is>
      </c>
      <c r="E183" s="2" t="inlineStr">
        <is>
          <t>2.0mm</t>
        </is>
      </c>
      <c r="F183" s="2" t="n">
        <v>2</v>
      </c>
      <c r="G183" s="2" t="n">
        <v>6</v>
      </c>
      <c r="H183" s="2" t="inlineStr">
        <is>
          <t>LC/PC</t>
        </is>
      </c>
      <c r="I183" s="2" t="inlineStr">
        <is>
          <t>LC/PC</t>
        </is>
      </c>
      <c r="J183" s="2" t="n">
        <v>10</v>
      </c>
      <c r="K183" s="2" t="n"/>
      <c r="L183" s="2" t="n">
        <v>1520</v>
      </c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>
        <f>SUM(J183:U183)*G183</f>
        <v/>
      </c>
      <c r="W183" s="2">
        <f>MAX(J183:U183)</f>
        <v/>
      </c>
      <c r="X183" s="2">
        <f>W183*G183</f>
        <v/>
      </c>
    </row>
    <row r="184">
      <c r="A184" s="2" t="inlineStr">
        <is>
          <t>A14-DB-N260</t>
        </is>
      </c>
      <c r="B184" s="3" t="inlineStr">
        <is>
          <t>DOJC-SM-LC/PC-LC/PC</t>
        </is>
      </c>
      <c r="C184" s="2" t="inlineStr">
        <is>
          <t>908041004, 8M, B3, 2.0mm</t>
        </is>
      </c>
      <c r="D184" s="2" t="inlineStr">
        <is>
          <t>b3</t>
        </is>
      </c>
      <c r="E184" s="2" t="inlineStr">
        <is>
          <t>2.0mm</t>
        </is>
      </c>
      <c r="F184" s="2" t="n">
        <v>2</v>
      </c>
      <c r="G184" s="2" t="n">
        <v>8</v>
      </c>
      <c r="H184" s="2" t="inlineStr">
        <is>
          <t>LC/PC</t>
        </is>
      </c>
      <c r="I184" s="2" t="inlineStr">
        <is>
          <t>LC/PC</t>
        </is>
      </c>
      <c r="J184" s="2" t="n">
        <v>10</v>
      </c>
      <c r="K184" s="2" t="n">
        <v>10</v>
      </c>
      <c r="L184" s="2" t="n">
        <v>55</v>
      </c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>
        <f>SUM(J184:U184)*G184</f>
        <v/>
      </c>
      <c r="W184" s="2">
        <f>MAX(J184:U184)</f>
        <v/>
      </c>
      <c r="X184" s="2">
        <f>W184*G184</f>
        <v/>
      </c>
    </row>
    <row r="185">
      <c r="A185" s="2" t="inlineStr">
        <is>
          <t>A14-DB-N267</t>
        </is>
      </c>
      <c r="B185" s="3" t="inlineStr">
        <is>
          <t>DOJC-SM-LC/PC-SC/APC</t>
        </is>
      </c>
      <c r="C185" s="2" t="inlineStr">
        <is>
          <t>908040908, 1M, B3, 3.0mm</t>
        </is>
      </c>
      <c r="D185" s="2" t="inlineStr">
        <is>
          <t>b3</t>
        </is>
      </c>
      <c r="E185" s="2" t="inlineStr">
        <is>
          <t>3.0mm</t>
        </is>
      </c>
      <c r="F185" s="2" t="n">
        <v>2</v>
      </c>
      <c r="G185" s="2" t="n">
        <v>1</v>
      </c>
      <c r="H185" s="2" t="inlineStr">
        <is>
          <t>LC/PC</t>
        </is>
      </c>
      <c r="I185" s="2" t="inlineStr">
        <is>
          <t>SC/APC</t>
        </is>
      </c>
      <c r="J185" s="2" t="n"/>
      <c r="K185" s="2" t="n">
        <v>5</v>
      </c>
      <c r="L185" s="2" t="n">
        <v>45</v>
      </c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>
        <f>SUM(J185:U185)*G185</f>
        <v/>
      </c>
      <c r="W185" s="2">
        <f>MAX(J185:U185)</f>
        <v/>
      </c>
      <c r="X185" s="2">
        <f>W185*G185</f>
        <v/>
      </c>
    </row>
    <row r="186">
      <c r="A186" s="2" t="inlineStr">
        <is>
          <t>A14-DB-N271</t>
        </is>
      </c>
      <c r="B186" s="3" t="inlineStr">
        <is>
          <t>DOJC-SM-LC/PC-SC/APC</t>
        </is>
      </c>
      <c r="C186" s="2" t="inlineStr">
        <is>
          <t>908040909, 2M, B3, 3.0mm</t>
        </is>
      </c>
      <c r="D186" s="2" t="inlineStr">
        <is>
          <t>b3</t>
        </is>
      </c>
      <c r="E186" s="2" t="inlineStr">
        <is>
          <t>3.0mm</t>
        </is>
      </c>
      <c r="F186" s="2" t="n">
        <v>2</v>
      </c>
      <c r="G186" s="2" t="n">
        <v>2</v>
      </c>
      <c r="H186" s="2" t="inlineStr">
        <is>
          <t>LC/PC</t>
        </is>
      </c>
      <c r="I186" s="2" t="inlineStr">
        <is>
          <t>SC/APC</t>
        </is>
      </c>
      <c r="J186" s="2" t="n"/>
      <c r="K186" s="2" t="n">
        <v>110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>
        <f>SUM(J186:U186)*G186</f>
        <v/>
      </c>
      <c r="W186" s="2">
        <f>MAX(J186:U186)</f>
        <v/>
      </c>
      <c r="X186" s="2">
        <f>W186*G186</f>
        <v/>
      </c>
    </row>
    <row r="187">
      <c r="A187" s="2" t="inlineStr">
        <is>
          <t>A14-DB-N272</t>
        </is>
      </c>
      <c r="B187" s="3" t="inlineStr">
        <is>
          <t>DOJC-SM-LC/PC-SC/APC</t>
        </is>
      </c>
      <c r="C187" s="2" t="inlineStr">
        <is>
          <t>908040936, 30M, B3, 2.0mm</t>
        </is>
      </c>
      <c r="D187" s="2" t="inlineStr">
        <is>
          <t>b3</t>
        </is>
      </c>
      <c r="E187" s="2" t="inlineStr">
        <is>
          <t>2.0mm</t>
        </is>
      </c>
      <c r="F187" s="2" t="n">
        <v>2</v>
      </c>
      <c r="G187" s="2" t="n">
        <v>30</v>
      </c>
      <c r="H187" s="2" t="inlineStr">
        <is>
          <t>LC/PC</t>
        </is>
      </c>
      <c r="I187" s="2" t="inlineStr">
        <is>
          <t>SC/APC</t>
        </is>
      </c>
      <c r="J187" s="2" t="n">
        <v>1</v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>
        <f>SUM(J187:U187)*G187</f>
        <v/>
      </c>
      <c r="W187" s="2">
        <f>MAX(J187:U187)</f>
        <v/>
      </c>
      <c r="X187" s="2">
        <f>W187*G187</f>
        <v/>
      </c>
    </row>
    <row r="188">
      <c r="A188" s="2" t="inlineStr">
        <is>
          <t>A14-DB-N286</t>
        </is>
      </c>
      <c r="B188" s="3" t="inlineStr">
        <is>
          <t>DOJC-SM-LC/PC-SC/PC</t>
        </is>
      </c>
      <c r="C188" s="2" t="inlineStr">
        <is>
          <t>908040870, 12M, B3, 2.0mm</t>
        </is>
      </c>
      <c r="D188" s="2" t="inlineStr">
        <is>
          <t>b3</t>
        </is>
      </c>
      <c r="E188" s="2" t="inlineStr">
        <is>
          <t>2.0mm</t>
        </is>
      </c>
      <c r="F188" s="2" t="n">
        <v>2</v>
      </c>
      <c r="G188" s="2" t="n">
        <v>12</v>
      </c>
      <c r="H188" s="2" t="inlineStr">
        <is>
          <t>LC/PC</t>
        </is>
      </c>
      <c r="I188" s="2" t="inlineStr">
        <is>
          <t>SC/PC</t>
        </is>
      </c>
      <c r="J188" s="2" t="n"/>
      <c r="K188" s="2" t="n">
        <v>10</v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>
        <f>SUM(J188:U188)*G188</f>
        <v/>
      </c>
      <c r="W188" s="2">
        <f>MAX(J188:U188)</f>
        <v/>
      </c>
      <c r="X188" s="2">
        <f>W188*G188</f>
        <v/>
      </c>
    </row>
    <row r="189">
      <c r="A189" s="2" t="inlineStr">
        <is>
          <t>A14-DB-N300</t>
        </is>
      </c>
      <c r="B189" s="3" t="inlineStr">
        <is>
          <t>DOJC-SM-LC/PC-SC/PC</t>
        </is>
      </c>
      <c r="C189" s="2" t="inlineStr">
        <is>
          <t>908040883, 25M, B3, 2.0mm</t>
        </is>
      </c>
      <c r="D189" s="2" t="inlineStr">
        <is>
          <t>b3</t>
        </is>
      </c>
      <c r="E189" s="2" t="inlineStr">
        <is>
          <t>2.0mm</t>
        </is>
      </c>
      <c r="F189" s="2" t="n">
        <v>2</v>
      </c>
      <c r="G189" s="2" t="n">
        <v>25</v>
      </c>
      <c r="H189" s="2" t="inlineStr">
        <is>
          <t>LC/PC</t>
        </is>
      </c>
      <c r="I189" s="2" t="inlineStr">
        <is>
          <t>SC/PC</t>
        </is>
      </c>
      <c r="J189" s="2" t="n">
        <v>5</v>
      </c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>
        <f>SUM(J189:U189)*G189</f>
        <v/>
      </c>
      <c r="W189" s="2">
        <f>MAX(J189:U189)</f>
        <v/>
      </c>
      <c r="X189" s="2">
        <f>W189*G189</f>
        <v/>
      </c>
    </row>
    <row r="190">
      <c r="A190" s="2" t="inlineStr">
        <is>
          <t>A14-DB-N304</t>
        </is>
      </c>
      <c r="B190" s="3" t="inlineStr">
        <is>
          <t>DOJC-SM-LC/PC-SC/PC</t>
        </is>
      </c>
      <c r="C190" s="2" t="inlineStr">
        <is>
          <t>908040888, 30M, B3, 2.0mm</t>
        </is>
      </c>
      <c r="D190" s="2" t="inlineStr">
        <is>
          <t>b3</t>
        </is>
      </c>
      <c r="E190" s="2" t="inlineStr">
        <is>
          <t>2.0mm</t>
        </is>
      </c>
      <c r="F190" s="2" t="n">
        <v>2</v>
      </c>
      <c r="G190" s="2" t="n">
        <v>30</v>
      </c>
      <c r="H190" s="2" t="inlineStr">
        <is>
          <t>LC/PC</t>
        </is>
      </c>
      <c r="I190" s="2" t="inlineStr">
        <is>
          <t>SC/PC</t>
        </is>
      </c>
      <c r="J190" s="2" t="n">
        <v>35</v>
      </c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>
        <f>SUM(J190:U190)*G190</f>
        <v/>
      </c>
      <c r="W190" s="2">
        <f>MAX(J190:U190)</f>
        <v/>
      </c>
      <c r="X190" s="2">
        <f>W190*G190</f>
        <v/>
      </c>
    </row>
    <row r="191">
      <c r="A191" s="2" t="inlineStr">
        <is>
          <t>A14-DB-N308</t>
        </is>
      </c>
      <c r="B191" s="3" t="inlineStr">
        <is>
          <t>DOJC-SM-LC/PC-SC/PC</t>
        </is>
      </c>
      <c r="C191" s="2" t="inlineStr">
        <is>
          <t>920000729, 40M, B3, 2.0mm</t>
        </is>
      </c>
      <c r="D191" s="2" t="inlineStr">
        <is>
          <t>b3</t>
        </is>
      </c>
      <c r="E191" s="2" t="inlineStr">
        <is>
          <t>2.0mm</t>
        </is>
      </c>
      <c r="F191" s="2" t="n">
        <v>2</v>
      </c>
      <c r="G191" s="2" t="n">
        <v>40</v>
      </c>
      <c r="H191" s="2" t="inlineStr">
        <is>
          <t>LC/PC</t>
        </is>
      </c>
      <c r="I191" s="2" t="inlineStr">
        <is>
          <t>SC/PC</t>
        </is>
      </c>
      <c r="J191" s="2" t="n"/>
      <c r="K191" s="2" t="n"/>
      <c r="L191" s="2" t="n">
        <v>2</v>
      </c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>
        <f>SUM(J191:U191)*G191</f>
        <v/>
      </c>
      <c r="W191" s="2">
        <f>MAX(J191:U191)</f>
        <v/>
      </c>
      <c r="X191" s="2">
        <f>W191*G191</f>
        <v/>
      </c>
    </row>
    <row r="192">
      <c r="A192" s="2" t="inlineStr">
        <is>
          <t>A14-DB-N310</t>
        </is>
      </c>
      <c r="B192" s="3" t="inlineStr">
        <is>
          <t>DOJC-SM-LC/PC-SC/PC</t>
        </is>
      </c>
      <c r="C192" s="2" t="inlineStr">
        <is>
          <t>908040862, 4M, B3, 3.0mm</t>
        </is>
      </c>
      <c r="D192" s="2" t="inlineStr">
        <is>
          <t>b3</t>
        </is>
      </c>
      <c r="E192" s="2" t="inlineStr">
        <is>
          <t>3.0mm</t>
        </is>
      </c>
      <c r="F192" s="2" t="n">
        <v>2</v>
      </c>
      <c r="G192" s="2" t="n">
        <v>4</v>
      </c>
      <c r="H192" s="2" t="inlineStr">
        <is>
          <t>LC/PC</t>
        </is>
      </c>
      <c r="I192" s="2" t="inlineStr">
        <is>
          <t>SC/PC</t>
        </is>
      </c>
      <c r="J192" s="2" t="n">
        <v>50</v>
      </c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>
        <f>SUM(J192:U192)*G192</f>
        <v/>
      </c>
      <c r="W192" s="2">
        <f>MAX(J192:U192)</f>
        <v/>
      </c>
      <c r="X192" s="2">
        <f>W192*G192</f>
        <v/>
      </c>
    </row>
    <row r="193">
      <c r="A193" s="2" t="inlineStr">
        <is>
          <t>A14-DB-N311</t>
        </is>
      </c>
      <c r="B193" s="3" t="inlineStr">
        <is>
          <t>DOJC-SM-LC/PC-SC/PC</t>
        </is>
      </c>
      <c r="C193" s="2" t="inlineStr">
        <is>
          <t>50M, B3, 2.0mm</t>
        </is>
      </c>
      <c r="D193" s="2" t="inlineStr">
        <is>
          <t>b3</t>
        </is>
      </c>
      <c r="E193" s="2" t="inlineStr">
        <is>
          <t>2.0mm</t>
        </is>
      </c>
      <c r="F193" s="2" t="n">
        <v>2</v>
      </c>
      <c r="G193" s="2" t="n">
        <v>50</v>
      </c>
      <c r="H193" s="2" t="inlineStr">
        <is>
          <t>LC/PC</t>
        </is>
      </c>
      <c r="I193" s="2" t="inlineStr">
        <is>
          <t>SC/PC</t>
        </is>
      </c>
      <c r="J193" s="2" t="n"/>
      <c r="K193" s="2" t="n">
        <v>3</v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>
        <f>SUM(J193:U193)*G193</f>
        <v/>
      </c>
      <c r="W193" s="2">
        <f>MAX(J193:U193)</f>
        <v/>
      </c>
      <c r="X193" s="2">
        <f>W193*G193</f>
        <v/>
      </c>
    </row>
    <row r="194">
      <c r="A194" s="2" t="inlineStr">
        <is>
          <t>A14-DB-N312</t>
        </is>
      </c>
      <c r="B194" s="3" t="inlineStr">
        <is>
          <t>DOJC-SM-LC/PC-SC/PC</t>
        </is>
      </c>
      <c r="C194" s="2" t="inlineStr">
        <is>
          <t>55M, B3, 2.0mm</t>
        </is>
      </c>
      <c r="D194" s="2" t="inlineStr">
        <is>
          <t>b3</t>
        </is>
      </c>
      <c r="E194" s="2" t="inlineStr">
        <is>
          <t>2.0mm</t>
        </is>
      </c>
      <c r="F194" s="2" t="n">
        <v>2</v>
      </c>
      <c r="G194" s="2" t="n">
        <v>55</v>
      </c>
      <c r="H194" s="2" t="inlineStr">
        <is>
          <t>LC/PC</t>
        </is>
      </c>
      <c r="I194" s="2" t="inlineStr">
        <is>
          <t>SC/PC</t>
        </is>
      </c>
      <c r="J194" s="2" t="n">
        <v>2</v>
      </c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>
        <f>SUM(J194:U194)*G194</f>
        <v/>
      </c>
      <c r="W194" s="2">
        <f>MAX(J194:U194)</f>
        <v/>
      </c>
      <c r="X194" s="2">
        <f>W194*G194</f>
        <v/>
      </c>
    </row>
    <row r="195">
      <c r="A195" s="2" t="inlineStr">
        <is>
          <t>A14-DB-N318</t>
        </is>
      </c>
      <c r="B195" s="3" t="inlineStr">
        <is>
          <t>DOJC-SM-LC/PC-SC/PC</t>
        </is>
      </c>
      <c r="C195" s="2" t="inlineStr">
        <is>
          <t>908040865, 7M, B3, 2.0mm</t>
        </is>
      </c>
      <c r="D195" s="2" t="inlineStr">
        <is>
          <t>b3</t>
        </is>
      </c>
      <c r="E195" s="2" t="inlineStr">
        <is>
          <t>2.0mm</t>
        </is>
      </c>
      <c r="F195" s="2" t="n">
        <v>2</v>
      </c>
      <c r="G195" s="2" t="n">
        <v>7</v>
      </c>
      <c r="H195" s="2" t="inlineStr">
        <is>
          <t>LC/PC</t>
        </is>
      </c>
      <c r="I195" s="2" t="inlineStr">
        <is>
          <t>SC/PC</t>
        </is>
      </c>
      <c r="J195" s="2" t="n"/>
      <c r="K195" s="2" t="n"/>
      <c r="L195" s="2" t="n">
        <v>100</v>
      </c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>
        <f>SUM(J195:U195)*G195</f>
        <v/>
      </c>
      <c r="W195" s="2">
        <f>MAX(J195:U195)</f>
        <v/>
      </c>
      <c r="X195" s="2">
        <f>W195*G195</f>
        <v/>
      </c>
    </row>
    <row r="196">
      <c r="A196" s="2" t="inlineStr">
        <is>
          <t>A14-DB-N320</t>
        </is>
      </c>
      <c r="B196" s="3" t="inlineStr">
        <is>
          <t>DOJC-SM-LC/PC-SC/PC</t>
        </is>
      </c>
      <c r="C196" s="2" t="inlineStr">
        <is>
          <t>908040866, 8M, B3, 2.0mm</t>
        </is>
      </c>
      <c r="D196" s="2" t="inlineStr">
        <is>
          <t>b3</t>
        </is>
      </c>
      <c r="E196" s="2" t="inlineStr">
        <is>
          <t>2.0mm</t>
        </is>
      </c>
      <c r="F196" s="2" t="n">
        <v>2</v>
      </c>
      <c r="G196" s="2" t="n">
        <v>8</v>
      </c>
      <c r="H196" s="2" t="inlineStr">
        <is>
          <t>LC/PC</t>
        </is>
      </c>
      <c r="I196" s="2" t="inlineStr">
        <is>
          <t>SC/PC</t>
        </is>
      </c>
      <c r="J196" s="2" t="n">
        <v>10</v>
      </c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>
        <f>SUM(J196:U196)*G196</f>
        <v/>
      </c>
      <c r="W196" s="2">
        <f>MAX(J196:U196)</f>
        <v/>
      </c>
      <c r="X196" s="2">
        <f>W196*G196</f>
        <v/>
      </c>
    </row>
    <row r="197">
      <c r="A197" s="2" t="inlineStr">
        <is>
          <t>A14-DB-N321</t>
        </is>
      </c>
      <c r="B197" s="3" t="inlineStr">
        <is>
          <t>DOJC-SM-LC/PC-SC/PC</t>
        </is>
      </c>
      <c r="C197" s="2" t="inlineStr">
        <is>
          <t>45M, B3, 2.0mm</t>
        </is>
      </c>
      <c r="D197" s="2" t="inlineStr">
        <is>
          <t>b3</t>
        </is>
      </c>
      <c r="E197" s="2" t="inlineStr">
        <is>
          <t>2.0mm</t>
        </is>
      </c>
      <c r="F197" s="2" t="n">
        <v>2</v>
      </c>
      <c r="G197" s="2" t="n">
        <v>45</v>
      </c>
      <c r="H197" s="2" t="inlineStr">
        <is>
          <t>LC/PC</t>
        </is>
      </c>
      <c r="I197" s="2" t="inlineStr">
        <is>
          <t>SC/PC</t>
        </is>
      </c>
      <c r="J197" s="2" t="n"/>
      <c r="K197" s="2" t="n">
        <v>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>
        <f>SUM(J197:U197)*G197</f>
        <v/>
      </c>
      <c r="W197" s="2">
        <f>MAX(J197:U197)</f>
        <v/>
      </c>
      <c r="X197" s="2">
        <f>W197*G197</f>
        <v/>
      </c>
    </row>
    <row r="198">
      <c r="A198" s="2" t="inlineStr">
        <is>
          <t>A14-DB-N396</t>
        </is>
      </c>
      <c r="B198" s="3" t="inlineStr">
        <is>
          <t>DOJC-SM-SC/PC-FC/APC</t>
        </is>
      </c>
      <c r="C198" s="2" t="inlineStr">
        <is>
          <t>908040442, 10M, B3, 2.0mm</t>
        </is>
      </c>
      <c r="D198" s="2" t="inlineStr">
        <is>
          <t>b3</t>
        </is>
      </c>
      <c r="E198" s="2" t="inlineStr">
        <is>
          <t>2.0mm</t>
        </is>
      </c>
      <c r="F198" s="2" t="n">
        <v>2</v>
      </c>
      <c r="G198" s="2" t="n">
        <v>10</v>
      </c>
      <c r="H198" s="2" t="inlineStr">
        <is>
          <t>SC/PC</t>
        </is>
      </c>
      <c r="I198" s="2" t="inlineStr">
        <is>
          <t>FC/APC</t>
        </is>
      </c>
      <c r="J198" s="2" t="n">
        <v>20</v>
      </c>
      <c r="K198" s="2" t="n"/>
      <c r="L198" s="2" t="n">
        <v>20</v>
      </c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>
        <f>SUM(J198:U198)*G198</f>
        <v/>
      </c>
      <c r="W198" s="2">
        <f>MAX(J198:U198)</f>
        <v/>
      </c>
      <c r="X198" s="2">
        <f>W198*G198</f>
        <v/>
      </c>
    </row>
    <row r="199">
      <c r="A199" s="2" t="inlineStr">
        <is>
          <t>A14-DB-N398</t>
        </is>
      </c>
      <c r="B199" s="3" t="inlineStr">
        <is>
          <t>DOJC-SM-SC/PC-FC/APC</t>
        </is>
      </c>
      <c r="C199" s="2" t="inlineStr">
        <is>
          <t>12M, B3, 2.0mm</t>
        </is>
      </c>
      <c r="D199" s="2" t="inlineStr">
        <is>
          <t>b3</t>
        </is>
      </c>
      <c r="E199" s="2" t="inlineStr">
        <is>
          <t>2.0mm</t>
        </is>
      </c>
      <c r="F199" s="2" t="n">
        <v>2</v>
      </c>
      <c r="G199" s="2" t="n">
        <v>12</v>
      </c>
      <c r="H199" s="2" t="inlineStr">
        <is>
          <t>SC/PC</t>
        </is>
      </c>
      <c r="I199" s="2" t="inlineStr">
        <is>
          <t>FC/APC</t>
        </is>
      </c>
      <c r="J199" s="2" t="n"/>
      <c r="K199" s="2" t="n">
        <v>30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>
        <f>SUM(J199:U199)*G199</f>
        <v/>
      </c>
      <c r="W199" s="2">
        <f>MAX(J199:U199)</f>
        <v/>
      </c>
      <c r="X199" s="2">
        <f>W199*G199</f>
        <v/>
      </c>
    </row>
    <row r="200">
      <c r="A200" s="2" t="inlineStr">
        <is>
          <t>A14-DB-N400</t>
        </is>
      </c>
      <c r="B200" s="3" t="inlineStr">
        <is>
          <t>DOJC-SM-SC/PC-FC/APC</t>
        </is>
      </c>
      <c r="C200" s="2" t="inlineStr">
        <is>
          <t>908040447, 15M, B3, 2.0mm</t>
        </is>
      </c>
      <c r="D200" s="2" t="inlineStr">
        <is>
          <t>b3</t>
        </is>
      </c>
      <c r="E200" s="2" t="inlineStr">
        <is>
          <t>2.0mm</t>
        </is>
      </c>
      <c r="F200" s="2" t="n">
        <v>2</v>
      </c>
      <c r="G200" s="2" t="n">
        <v>15</v>
      </c>
      <c r="H200" s="2" t="inlineStr">
        <is>
          <t>SC/PC</t>
        </is>
      </c>
      <c r="I200" s="2" t="inlineStr">
        <is>
          <t>FC/APC</t>
        </is>
      </c>
      <c r="J200" s="2" t="n">
        <v>151</v>
      </c>
      <c r="K200" s="2" t="n"/>
      <c r="L200" s="2" t="n">
        <v>31</v>
      </c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>
        <f>SUM(J200:U200)*G200</f>
        <v/>
      </c>
      <c r="W200" s="2">
        <f>MAX(J200:U200)</f>
        <v/>
      </c>
      <c r="X200" s="2">
        <f>W200*G200</f>
        <v/>
      </c>
    </row>
    <row r="201">
      <c r="A201" s="2" t="inlineStr">
        <is>
          <t>A14-DB-N404</t>
        </is>
      </c>
      <c r="B201" s="3" t="inlineStr">
        <is>
          <t>DOJC-SM-SC/PC-FC/APC</t>
        </is>
      </c>
      <c r="C201" s="2" t="inlineStr">
        <is>
          <t>908040452, 20M, B3, 2.0mm</t>
        </is>
      </c>
      <c r="D201" s="2" t="inlineStr">
        <is>
          <t>b3</t>
        </is>
      </c>
      <c r="E201" s="2" t="inlineStr">
        <is>
          <t>2.0mm</t>
        </is>
      </c>
      <c r="F201" s="2" t="n">
        <v>2</v>
      </c>
      <c r="G201" s="2" t="n">
        <v>20</v>
      </c>
      <c r="H201" s="2" t="inlineStr">
        <is>
          <t>SC/PC</t>
        </is>
      </c>
      <c r="I201" s="2" t="inlineStr">
        <is>
          <t>FC/APC</t>
        </is>
      </c>
      <c r="J201" s="2" t="n">
        <v>72</v>
      </c>
      <c r="K201" s="2" t="n"/>
      <c r="L201" s="2" t="n">
        <v>76</v>
      </c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>
        <f>SUM(J201:U201)*G201</f>
        <v/>
      </c>
      <c r="W201" s="2">
        <f>MAX(J201:U201)</f>
        <v/>
      </c>
      <c r="X201" s="2">
        <f>W201*G201</f>
        <v/>
      </c>
    </row>
    <row r="202">
      <c r="A202" s="2" t="inlineStr">
        <is>
          <t>A14-DB-N409</t>
        </is>
      </c>
      <c r="B202" s="3" t="inlineStr">
        <is>
          <t>DOJC-SM-SC/PC-FC/APC</t>
        </is>
      </c>
      <c r="C202" s="2" t="inlineStr">
        <is>
          <t>908040462, 30M, B3, 2.0mm</t>
        </is>
      </c>
      <c r="D202" s="2" t="inlineStr">
        <is>
          <t>b3</t>
        </is>
      </c>
      <c r="E202" s="2" t="inlineStr">
        <is>
          <t>2.0mm</t>
        </is>
      </c>
      <c r="F202" s="2" t="n">
        <v>2</v>
      </c>
      <c r="G202" s="2" t="n">
        <v>30</v>
      </c>
      <c r="H202" s="2" t="inlineStr">
        <is>
          <t>SC/PC</t>
        </is>
      </c>
      <c r="I202" s="2" t="inlineStr">
        <is>
          <t>FC/APC</t>
        </is>
      </c>
      <c r="J202" s="2" t="n">
        <v>20</v>
      </c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>
        <f>SUM(J202:U202)*G202</f>
        <v/>
      </c>
      <c r="W202" s="2">
        <f>MAX(J202:U202)</f>
        <v/>
      </c>
      <c r="X202" s="2">
        <f>W202*G202</f>
        <v/>
      </c>
    </row>
    <row r="203">
      <c r="A203" s="2" t="inlineStr">
        <is>
          <t>A14-DB-N411</t>
        </is>
      </c>
      <c r="B203" s="3" t="inlineStr">
        <is>
          <t>DOJC-SM-SC/PC-FC/APC</t>
        </is>
      </c>
      <c r="C203" s="2" t="inlineStr">
        <is>
          <t>35M, B3, 2.0mm</t>
        </is>
      </c>
      <c r="D203" s="2" t="inlineStr">
        <is>
          <t>b3</t>
        </is>
      </c>
      <c r="E203" s="2" t="inlineStr">
        <is>
          <t>2.0mm</t>
        </is>
      </c>
      <c r="F203" s="2" t="n">
        <v>2</v>
      </c>
      <c r="G203" s="2" t="n">
        <v>35</v>
      </c>
      <c r="H203" s="2" t="inlineStr">
        <is>
          <t>SC/PC</t>
        </is>
      </c>
      <c r="I203" s="2" t="inlineStr">
        <is>
          <t>FC/APC</t>
        </is>
      </c>
      <c r="J203" s="2" t="n"/>
      <c r="K203" s="2" t="n"/>
      <c r="L203" s="2" t="n">
        <v>10</v>
      </c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>
        <f>SUM(J203:U203)*G203</f>
        <v/>
      </c>
      <c r="W203" s="2">
        <f>MAX(J203:U203)</f>
        <v/>
      </c>
      <c r="X203" s="2">
        <f>W203*G203</f>
        <v/>
      </c>
    </row>
    <row r="204">
      <c r="A204" s="2" t="inlineStr">
        <is>
          <t>A14-DB-N413</t>
        </is>
      </c>
      <c r="B204" s="3" t="inlineStr">
        <is>
          <t>DOJC-SM-SC/PC-FC/APC</t>
        </is>
      </c>
      <c r="C204" s="2" t="inlineStr">
        <is>
          <t>40M, B3, 2.0mm</t>
        </is>
      </c>
      <c r="D204" s="2" t="inlineStr">
        <is>
          <t>b3</t>
        </is>
      </c>
      <c r="E204" s="2" t="inlineStr">
        <is>
          <t>2.0mm</t>
        </is>
      </c>
      <c r="F204" s="2" t="n">
        <v>2</v>
      </c>
      <c r="G204" s="2" t="n">
        <v>40</v>
      </c>
      <c r="H204" s="2" t="inlineStr">
        <is>
          <t>SC/PC</t>
        </is>
      </c>
      <c r="I204" s="2" t="inlineStr">
        <is>
          <t>FC/APC</t>
        </is>
      </c>
      <c r="J204" s="2" t="n">
        <v>5</v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>
        <f>SUM(J204:U204)*G204</f>
        <v/>
      </c>
      <c r="W204" s="2">
        <f>MAX(J204:U204)</f>
        <v/>
      </c>
      <c r="X204" s="2">
        <f>W204*G204</f>
        <v/>
      </c>
    </row>
    <row r="205">
      <c r="A205" s="2" t="inlineStr">
        <is>
          <t>A14-DB-N414</t>
        </is>
      </c>
      <c r="B205" s="3" t="inlineStr">
        <is>
          <t>DOJC-SM-SC/PC-FC/APC</t>
        </is>
      </c>
      <c r="C205" s="2" t="inlineStr">
        <is>
          <t>45M, B3, 2.0mm</t>
        </is>
      </c>
      <c r="D205" s="2" t="inlineStr">
        <is>
          <t>b3</t>
        </is>
      </c>
      <c r="E205" s="2" t="inlineStr">
        <is>
          <t>2.0mm</t>
        </is>
      </c>
      <c r="F205" s="2" t="n">
        <v>2</v>
      </c>
      <c r="G205" s="2" t="n">
        <v>45</v>
      </c>
      <c r="H205" s="2" t="inlineStr">
        <is>
          <t>SC/PC</t>
        </is>
      </c>
      <c r="I205" s="2" t="inlineStr">
        <is>
          <t>FC/APC</t>
        </is>
      </c>
      <c r="J205" s="2" t="n"/>
      <c r="K205" s="2" t="n">
        <v>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>
        <f>SUM(J205:U205)*G205</f>
        <v/>
      </c>
      <c r="W205" s="2">
        <f>MAX(J205:U205)</f>
        <v/>
      </c>
      <c r="X205" s="2">
        <f>W205*G205</f>
        <v/>
      </c>
    </row>
    <row r="206">
      <c r="A206" s="2" t="inlineStr">
        <is>
          <t>A14-DB-N417</t>
        </is>
      </c>
      <c r="B206" s="3" t="inlineStr">
        <is>
          <t>DOJC-SM-SC/PC-FC/APC</t>
        </is>
      </c>
      <c r="C206" s="2" t="inlineStr">
        <is>
          <t>55M, B3, 2.0mm</t>
        </is>
      </c>
      <c r="D206" s="2" t="inlineStr">
        <is>
          <t>b3</t>
        </is>
      </c>
      <c r="E206" s="2" t="inlineStr">
        <is>
          <t>2.0mm</t>
        </is>
      </c>
      <c r="F206" s="2" t="n">
        <v>2</v>
      </c>
      <c r="G206" s="2" t="n">
        <v>55</v>
      </c>
      <c r="H206" s="2" t="inlineStr">
        <is>
          <t>SC/PC</t>
        </is>
      </c>
      <c r="I206" s="2" t="inlineStr">
        <is>
          <t>FC/APC</t>
        </is>
      </c>
      <c r="J206" s="2" t="n">
        <v>4</v>
      </c>
      <c r="K206" s="2" t="n">
        <v>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>
        <f>SUM(J206:U206)*G206</f>
        <v/>
      </c>
      <c r="W206" s="2">
        <f>MAX(J206:U206)</f>
        <v/>
      </c>
      <c r="X206" s="2">
        <f>W206*G206</f>
        <v/>
      </c>
    </row>
    <row r="207">
      <c r="A207" s="2" t="inlineStr">
        <is>
          <t>A14-DB-N424</t>
        </is>
      </c>
      <c r="B207" s="3" t="inlineStr">
        <is>
          <t>DOJC-SM-SC/PC-FC/APC</t>
        </is>
      </c>
      <c r="C207" s="2" t="inlineStr">
        <is>
          <t>908040440, 8M, B3, 2.0mm</t>
        </is>
      </c>
      <c r="D207" s="2" t="inlineStr">
        <is>
          <t>b3</t>
        </is>
      </c>
      <c r="E207" s="2" t="inlineStr">
        <is>
          <t>2.0mm</t>
        </is>
      </c>
      <c r="F207" s="2" t="n">
        <v>2</v>
      </c>
      <c r="G207" s="2" t="n">
        <v>8</v>
      </c>
      <c r="H207" s="2" t="inlineStr">
        <is>
          <t>SC/PC</t>
        </is>
      </c>
      <c r="I207" s="2" t="inlineStr">
        <is>
          <t>FC/APC</t>
        </is>
      </c>
      <c r="J207" s="2" t="n">
        <v>15</v>
      </c>
      <c r="K207" s="2" t="n">
        <v>30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>
        <f>SUM(J207:U207)*G207</f>
        <v/>
      </c>
      <c r="W207" s="2">
        <f>MAX(J207:U207)</f>
        <v/>
      </c>
      <c r="X207" s="2">
        <f>W207*G207</f>
        <v/>
      </c>
    </row>
    <row r="208">
      <c r="A208" s="2" t="inlineStr">
        <is>
          <t>A14-DB-N426</t>
        </is>
      </c>
      <c r="B208" s="3" t="inlineStr">
        <is>
          <t>DOJC-SM-SC/PC-FC/PC</t>
        </is>
      </c>
      <c r="C208" s="2" t="inlineStr">
        <is>
          <t>908040687, 10M, B3, 2.0mm</t>
        </is>
      </c>
      <c r="D208" s="2" t="inlineStr">
        <is>
          <t>b3</t>
        </is>
      </c>
      <c r="E208" s="2" t="inlineStr">
        <is>
          <t>2.0mm</t>
        </is>
      </c>
      <c r="F208" s="2" t="n">
        <v>2</v>
      </c>
      <c r="G208" s="2" t="n">
        <v>10</v>
      </c>
      <c r="H208" s="2" t="inlineStr">
        <is>
          <t>SC/PC</t>
        </is>
      </c>
      <c r="I208" s="2" t="inlineStr">
        <is>
          <t>FC/PC</t>
        </is>
      </c>
      <c r="J208" s="2" t="n"/>
      <c r="K208" s="2" t="n"/>
      <c r="L208" s="2" t="n">
        <v>20</v>
      </c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>
        <f>SUM(J208:U208)*G208</f>
        <v/>
      </c>
      <c r="W208" s="2">
        <f>MAX(J208:U208)</f>
        <v/>
      </c>
      <c r="X208" s="2">
        <f>W208*G208</f>
        <v/>
      </c>
    </row>
    <row r="209">
      <c r="A209" s="2" t="inlineStr">
        <is>
          <t>A14-DB-N430</t>
        </is>
      </c>
      <c r="B209" s="3" t="inlineStr">
        <is>
          <t>DOJC-SM-SC/PC-FC/PC</t>
        </is>
      </c>
      <c r="C209" s="2" t="inlineStr">
        <is>
          <t>908040422, 20M, B3, 2.0mm</t>
        </is>
      </c>
      <c r="D209" s="2" t="inlineStr">
        <is>
          <t>b3</t>
        </is>
      </c>
      <c r="E209" s="2" t="inlineStr">
        <is>
          <t>2.0mm</t>
        </is>
      </c>
      <c r="F209" s="2" t="n">
        <v>2</v>
      </c>
      <c r="G209" s="2" t="n">
        <v>20</v>
      </c>
      <c r="H209" s="2" t="inlineStr">
        <is>
          <t>SC/PC</t>
        </is>
      </c>
      <c r="I209" s="2" t="inlineStr">
        <is>
          <t>FC/PC</t>
        </is>
      </c>
      <c r="J209" s="2" t="n"/>
      <c r="K209" s="2" t="n"/>
      <c r="L209" s="2" t="n">
        <v>10</v>
      </c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>
        <f>SUM(J209:U209)*G209</f>
        <v/>
      </c>
      <c r="W209" s="2">
        <f>MAX(J209:U209)</f>
        <v/>
      </c>
      <c r="X209" s="2">
        <f>W209*G209</f>
        <v/>
      </c>
    </row>
    <row r="210">
      <c r="A210" s="2" t="inlineStr">
        <is>
          <t>A14-DB-N447</t>
        </is>
      </c>
      <c r="B210" s="3" t="inlineStr">
        <is>
          <t>DOJC-SM-SC/PC-SC/APC</t>
        </is>
      </c>
      <c r="C210" s="2" t="inlineStr">
        <is>
          <t>908040542, 15M, B3, 2.0mm</t>
        </is>
      </c>
      <c r="D210" s="2" t="inlineStr">
        <is>
          <t>b3</t>
        </is>
      </c>
      <c r="E210" s="2" t="inlineStr">
        <is>
          <t>2.0mm</t>
        </is>
      </c>
      <c r="F210" s="2" t="n">
        <v>2</v>
      </c>
      <c r="G210" s="2" t="n">
        <v>15</v>
      </c>
      <c r="H210" s="2" t="inlineStr">
        <is>
          <t>SC/PC</t>
        </is>
      </c>
      <c r="I210" s="2" t="inlineStr">
        <is>
          <t>SC/APC</t>
        </is>
      </c>
      <c r="J210" s="2" t="n">
        <v>40</v>
      </c>
      <c r="K210" s="2" t="n">
        <v>10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>
        <f>SUM(J210:U210)*G210</f>
        <v/>
      </c>
      <c r="W210" s="2">
        <f>MAX(J210:U210)</f>
        <v/>
      </c>
      <c r="X210" s="2">
        <f>W210*G210</f>
        <v/>
      </c>
    </row>
    <row r="211">
      <c r="A211" s="2" t="inlineStr">
        <is>
          <t>A14-DB-N451</t>
        </is>
      </c>
      <c r="B211" s="3" t="inlineStr">
        <is>
          <t>DOJC-SM-SC/PC-SC/APC</t>
        </is>
      </c>
      <c r="C211" s="2" t="inlineStr">
        <is>
          <t>908040253, 2M, B3, 3.0mm</t>
        </is>
      </c>
      <c r="D211" s="2" t="inlineStr">
        <is>
          <t>b3</t>
        </is>
      </c>
      <c r="E211" s="2" t="inlineStr">
        <is>
          <t>3.0mm</t>
        </is>
      </c>
      <c r="F211" s="2" t="n">
        <v>2</v>
      </c>
      <c r="G211" s="2" t="n">
        <v>2</v>
      </c>
      <c r="H211" s="2" t="inlineStr">
        <is>
          <t>SC/PC</t>
        </is>
      </c>
      <c r="I211" s="2" t="inlineStr">
        <is>
          <t>SC/APC</t>
        </is>
      </c>
      <c r="J211" s="2" t="n"/>
      <c r="K211" s="2" t="n">
        <v>119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>
        <f>SUM(J211:U211)*G211</f>
        <v/>
      </c>
      <c r="W211" s="2">
        <f>MAX(J211:U211)</f>
        <v/>
      </c>
      <c r="X211" s="2">
        <f>W211*G211</f>
        <v/>
      </c>
    </row>
    <row r="212">
      <c r="A212" s="2" t="inlineStr">
        <is>
          <t>A14-DB-N455</t>
        </is>
      </c>
      <c r="B212" s="3" t="inlineStr">
        <is>
          <t>DOJC-SM-SC/PC-SC/APC</t>
        </is>
      </c>
      <c r="C212" s="2" t="inlineStr">
        <is>
          <t>908040251, 3M, B3, 3.0mm</t>
        </is>
      </c>
      <c r="D212" s="2" t="inlineStr">
        <is>
          <t>b3</t>
        </is>
      </c>
      <c r="E212" s="2" t="inlineStr">
        <is>
          <t>3.0mm</t>
        </is>
      </c>
      <c r="F212" s="2" t="n">
        <v>2</v>
      </c>
      <c r="G212" s="2" t="n">
        <v>3</v>
      </c>
      <c r="H212" s="2" t="inlineStr">
        <is>
          <t>SC/PC</t>
        </is>
      </c>
      <c r="I212" s="2" t="inlineStr">
        <is>
          <t>SC/APC</t>
        </is>
      </c>
      <c r="J212" s="2" t="n">
        <v>339</v>
      </c>
      <c r="K212" s="2" t="n"/>
      <c r="L212" s="2" t="n">
        <v>2</v>
      </c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>
        <f>SUM(J212:U212)*G212</f>
        <v/>
      </c>
      <c r="W212" s="2">
        <f>MAX(J212:U212)</f>
        <v/>
      </c>
      <c r="X212" s="2">
        <f>W212*G212</f>
        <v/>
      </c>
    </row>
    <row r="213">
      <c r="A213" s="2" t="inlineStr">
        <is>
          <t>A14-DB-N468</t>
        </is>
      </c>
      <c r="B213" s="3" t="inlineStr">
        <is>
          <t>DOJC-SM-SC/PC-SC/PC</t>
        </is>
      </c>
      <c r="C213" s="2" t="inlineStr">
        <is>
          <t>908040240, 20M, B3, 2.0mm</t>
        </is>
      </c>
      <c r="D213" s="2" t="inlineStr">
        <is>
          <t>b3</t>
        </is>
      </c>
      <c r="E213" s="2" t="inlineStr">
        <is>
          <t>2.0mm</t>
        </is>
      </c>
      <c r="F213" s="2" t="n">
        <v>2</v>
      </c>
      <c r="G213" s="2" t="n">
        <v>20</v>
      </c>
      <c r="H213" s="2" t="inlineStr">
        <is>
          <t>SC/PC</t>
        </is>
      </c>
      <c r="I213" s="2" t="inlineStr">
        <is>
          <t>SC/PC</t>
        </is>
      </c>
      <c r="J213" s="2" t="n">
        <v>52</v>
      </c>
      <c r="K213" s="2" t="n">
        <v>10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>
        <f>SUM(J213:U213)*G213</f>
        <v/>
      </c>
      <c r="W213" s="2">
        <f>MAX(J213:U213)</f>
        <v/>
      </c>
      <c r="X213" s="2">
        <f>W213*G213</f>
        <v/>
      </c>
    </row>
    <row r="214">
      <c r="A214" s="2" t="inlineStr">
        <is>
          <t>A14-DB-N472</t>
        </is>
      </c>
      <c r="B214" s="3" t="inlineStr">
        <is>
          <t>DOJC-SM-SC/PC-SC/PC</t>
        </is>
      </c>
      <c r="C214" s="2" t="inlineStr">
        <is>
          <t>908040250, 30M, B3, 2.0mm</t>
        </is>
      </c>
      <c r="D214" s="2" t="inlineStr">
        <is>
          <t>b3</t>
        </is>
      </c>
      <c r="E214" s="2" t="inlineStr">
        <is>
          <t>2.0mm</t>
        </is>
      </c>
      <c r="F214" s="2" t="n">
        <v>2</v>
      </c>
      <c r="G214" s="2" t="n">
        <v>30</v>
      </c>
      <c r="H214" s="2" t="inlineStr">
        <is>
          <t>SC/PC</t>
        </is>
      </c>
      <c r="I214" s="2" t="inlineStr">
        <is>
          <t>SC/PC</t>
        </is>
      </c>
      <c r="J214" s="2" t="n">
        <v>15</v>
      </c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>
        <f>SUM(J214:U214)*G214</f>
        <v/>
      </c>
      <c r="W214" s="2">
        <f>MAX(J214:U214)</f>
        <v/>
      </c>
      <c r="X214" s="2">
        <f>W214*G214</f>
        <v/>
      </c>
    </row>
    <row r="215">
      <c r="A215" s="2" t="inlineStr">
        <is>
          <t>A14-DB-N474</t>
        </is>
      </c>
      <c r="B215" s="3" t="inlineStr">
        <is>
          <t>DOJC-SM-SC/PC-SC/PC</t>
        </is>
      </c>
      <c r="C215" s="2" t="inlineStr">
        <is>
          <t>908040221, 3M, B3, 3.0mm</t>
        </is>
      </c>
      <c r="D215" s="2" t="inlineStr">
        <is>
          <t>b3</t>
        </is>
      </c>
      <c r="E215" s="2" t="inlineStr">
        <is>
          <t>3.0mm</t>
        </is>
      </c>
      <c r="F215" s="2" t="n">
        <v>2</v>
      </c>
      <c r="G215" s="2" t="n">
        <v>3</v>
      </c>
      <c r="H215" s="2" t="inlineStr">
        <is>
          <t>SC/PC</t>
        </is>
      </c>
      <c r="I215" s="2" t="inlineStr">
        <is>
          <t>SC/PC</t>
        </is>
      </c>
      <c r="J215" s="2" t="n"/>
      <c r="K215" s="2" t="n"/>
      <c r="L215" s="2" t="n">
        <v>2</v>
      </c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>
        <f>SUM(J215:U215)*G215</f>
        <v/>
      </c>
      <c r="W215" s="2">
        <f>MAX(J215:U215)</f>
        <v/>
      </c>
      <c r="X215" s="2">
        <f>W215*G215</f>
        <v/>
      </c>
    </row>
    <row r="216">
      <c r="A216" s="2" t="inlineStr">
        <is>
          <t>A14-DB-N478</t>
        </is>
      </c>
      <c r="B216" s="3" t="inlineStr">
        <is>
          <t>DOJC-SM-SC/PC-SC/PC</t>
        </is>
      </c>
      <c r="C216" s="2" t="inlineStr">
        <is>
          <t>908040224, 4M, B3, 3.0mm</t>
        </is>
      </c>
      <c r="D216" s="2" t="inlineStr">
        <is>
          <t>b3</t>
        </is>
      </c>
      <c r="E216" s="2" t="inlineStr">
        <is>
          <t>3.0mm</t>
        </is>
      </c>
      <c r="F216" s="2" t="n">
        <v>2</v>
      </c>
      <c r="G216" s="2" t="n">
        <v>4</v>
      </c>
      <c r="H216" s="2" t="inlineStr">
        <is>
          <t>SC/PC</t>
        </is>
      </c>
      <c r="I216" s="2" t="inlineStr">
        <is>
          <t>SC/PC</t>
        </is>
      </c>
      <c r="J216" s="2" t="n">
        <v>25</v>
      </c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>
        <f>SUM(J216:U216)*G216</f>
        <v/>
      </c>
      <c r="W216" s="2">
        <f>MAX(J216:U216)</f>
        <v/>
      </c>
      <c r="X216" s="2">
        <f>W216*G216</f>
        <v/>
      </c>
    </row>
    <row r="217">
      <c r="A217" s="2" t="inlineStr">
        <is>
          <t>A14-DB-N482</t>
        </is>
      </c>
      <c r="B217" s="3" t="inlineStr">
        <is>
          <t>DOJC-SM-SC/PC-SC/PC</t>
        </is>
      </c>
      <c r="C217" s="2" t="inlineStr">
        <is>
          <t>1.5m, B3, 3mm</t>
        </is>
      </c>
      <c r="D217" s="2" t="inlineStr">
        <is>
          <t>b3</t>
        </is>
      </c>
      <c r="E217" s="2" t="inlineStr">
        <is>
          <t>3.0mm</t>
        </is>
      </c>
      <c r="F217" s="2" t="n">
        <v>2</v>
      </c>
      <c r="G217" s="2" t="n">
        <v>1.5</v>
      </c>
      <c r="H217" s="2" t="inlineStr">
        <is>
          <t>SC/PC</t>
        </is>
      </c>
      <c r="I217" s="2" t="inlineStr">
        <is>
          <t>SC/PC</t>
        </is>
      </c>
      <c r="J217" s="2" t="n">
        <v>50</v>
      </c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>
        <f>SUM(J217:U217)*G217</f>
        <v/>
      </c>
      <c r="W217" s="2">
        <f>MAX(J217:U217)</f>
        <v/>
      </c>
      <c r="X217" s="2">
        <f>W217*G217</f>
        <v/>
      </c>
    </row>
    <row r="218">
      <c r="A218" s="2" t="inlineStr">
        <is>
          <t>A14-DB-N487</t>
        </is>
      </c>
      <c r="B218" s="3" t="inlineStr">
        <is>
          <t>DOJC-SM-SC/PC-SC/PC</t>
        </is>
      </c>
      <c r="C218" s="2" t="inlineStr">
        <is>
          <t>908040228, 8M, B3, 2.0mm</t>
        </is>
      </c>
      <c r="D218" s="2" t="inlineStr">
        <is>
          <t>b3</t>
        </is>
      </c>
      <c r="E218" s="2" t="inlineStr">
        <is>
          <t>2.0mm</t>
        </is>
      </c>
      <c r="F218" s="2" t="n">
        <v>2</v>
      </c>
      <c r="G218" s="2" t="n">
        <v>8</v>
      </c>
      <c r="H218" s="2" t="inlineStr">
        <is>
          <t>SC/PC</t>
        </is>
      </c>
      <c r="I218" s="2" t="inlineStr">
        <is>
          <t>SC/PC</t>
        </is>
      </c>
      <c r="J218" s="2" t="n">
        <v>10</v>
      </c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>
        <f>SUM(J218:U218)*G218</f>
        <v/>
      </c>
      <c r="W218" s="2">
        <f>MAX(J218:U218)</f>
        <v/>
      </c>
      <c r="X218" s="2">
        <f>W218*G218</f>
        <v/>
      </c>
    </row>
    <row r="219">
      <c r="A219" s="2" t="inlineStr">
        <is>
          <t>A14-DB-N512</t>
        </is>
      </c>
      <c r="B219" s="3" t="inlineStr">
        <is>
          <t>DOJC-SM-SC/PC-FC/PC</t>
        </is>
      </c>
      <c r="C219" s="2" t="inlineStr">
        <is>
          <t>50M, B3, 2.0mm</t>
        </is>
      </c>
      <c r="D219" s="2" t="inlineStr">
        <is>
          <t>b3</t>
        </is>
      </c>
      <c r="E219" s="2" t="inlineStr">
        <is>
          <t>2.0mm</t>
        </is>
      </c>
      <c r="F219" s="2" t="n">
        <v>2</v>
      </c>
      <c r="G219" s="2" t="n">
        <v>50</v>
      </c>
      <c r="H219" s="2" t="inlineStr">
        <is>
          <t>SC/PC</t>
        </is>
      </c>
      <c r="I219" s="2" t="inlineStr">
        <is>
          <t>FC/PC</t>
        </is>
      </c>
      <c r="J219" s="2" t="n"/>
      <c r="K219" s="2" t="n">
        <v>3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>
        <f>SUM(J219:U219)*G219</f>
        <v/>
      </c>
      <c r="W219" s="2">
        <f>MAX(J219:U219)</f>
        <v/>
      </c>
      <c r="X219" s="2">
        <f>W219*G219</f>
        <v/>
      </c>
    </row>
    <row r="220">
      <c r="A220" s="2" t="inlineStr">
        <is>
          <t>A14-DB-N676</t>
        </is>
      </c>
      <c r="B220" s="3" t="inlineStr">
        <is>
          <t>DOJC-SM-LC/PC-FC/PC</t>
        </is>
      </c>
      <c r="C220" s="2" t="inlineStr">
        <is>
          <t>45M, B3, 2.0mm</t>
        </is>
      </c>
      <c r="D220" s="2" t="inlineStr">
        <is>
          <t>b3</t>
        </is>
      </c>
      <c r="E220" s="2" t="inlineStr">
        <is>
          <t>2.0mm</t>
        </is>
      </c>
      <c r="F220" s="2" t="n">
        <v>2</v>
      </c>
      <c r="G220" s="2" t="n">
        <v>45</v>
      </c>
      <c r="H220" s="2" t="inlineStr">
        <is>
          <t>LC/PC</t>
        </is>
      </c>
      <c r="I220" s="2" t="inlineStr">
        <is>
          <t>FC/PC</t>
        </is>
      </c>
      <c r="J220" s="2" t="n">
        <v>5</v>
      </c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>
        <f>SUM(J220:U220)*G220</f>
        <v/>
      </c>
      <c r="W220" s="2">
        <f>MAX(J220:U220)</f>
        <v/>
      </c>
      <c r="X220" s="2">
        <f>W220*G220</f>
        <v/>
      </c>
    </row>
    <row r="221">
      <c r="A221" s="2" t="inlineStr">
        <is>
          <t>A14-DB-N727</t>
        </is>
      </c>
      <c r="B221" s="3" t="inlineStr">
        <is>
          <t>DOJC-SM-SC/PC-SC/PC</t>
        </is>
      </c>
      <c r="C221" s="2" t="inlineStr">
        <is>
          <t>3M, B3, 2.0mm(케이블 테스트용)</t>
        </is>
      </c>
      <c r="D221" s="2" t="inlineStr">
        <is>
          <t>b3</t>
        </is>
      </c>
      <c r="E221" s="2" t="inlineStr">
        <is>
          <t>2.0mm</t>
        </is>
      </c>
      <c r="F221" s="2" t="n">
        <v>2</v>
      </c>
      <c r="G221" s="2" t="n">
        <v>3</v>
      </c>
      <c r="H221" s="2" t="inlineStr">
        <is>
          <t>SC/PC</t>
        </is>
      </c>
      <c r="I221" s="2" t="inlineStr">
        <is>
          <t>SC/PC</t>
        </is>
      </c>
      <c r="J221" s="2" t="n"/>
      <c r="K221" s="2" t="n"/>
      <c r="L221" s="2" t="n">
        <v>2</v>
      </c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>
        <f>SUM(J221:U221)*G221</f>
        <v/>
      </c>
      <c r="W221" s="2">
        <f>MAX(J221:U221)</f>
        <v/>
      </c>
      <c r="X221" s="2">
        <f>W221*G221</f>
        <v/>
      </c>
    </row>
    <row r="222">
      <c r="A222" s="2" t="inlineStr">
        <is>
          <t>A14-DB-N901</t>
        </is>
      </c>
      <c r="B222" s="3" t="inlineStr">
        <is>
          <t>DOJC-SM-LC/PC-LC/APC</t>
        </is>
      </c>
      <c r="C222" s="2" t="inlineStr">
        <is>
          <t>3M, B3, 3.0mm</t>
        </is>
      </c>
      <c r="D222" s="2" t="inlineStr">
        <is>
          <t>b3</t>
        </is>
      </c>
      <c r="E222" s="2" t="inlineStr">
        <is>
          <t>3.0mm</t>
        </is>
      </c>
      <c r="F222" s="2" t="n">
        <v>2</v>
      </c>
      <c r="G222" s="2" t="n">
        <v>3</v>
      </c>
      <c r="H222" s="2" t="inlineStr">
        <is>
          <t>LC/PC</t>
        </is>
      </c>
      <c r="I222" s="2" t="inlineStr">
        <is>
          <t>LC/APC</t>
        </is>
      </c>
      <c r="J222" s="2" t="n"/>
      <c r="K222" s="2" t="n"/>
      <c r="L222" s="2" t="n">
        <v>30</v>
      </c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>
        <f>SUM(J222:U222)*G222</f>
        <v/>
      </c>
      <c r="W222" s="2">
        <f>MAX(J222:U222)</f>
        <v/>
      </c>
      <c r="X222" s="2">
        <f>W222*G222</f>
        <v/>
      </c>
    </row>
    <row r="223">
      <c r="A223" s="2" t="inlineStr">
        <is>
          <t>A14-DB-NC14</t>
        </is>
      </c>
      <c r="B223" s="3" t="inlineStr">
        <is>
          <t>DOJC-SM-LC/APC-LC/APC</t>
        </is>
      </c>
      <c r="C223" s="2" t="inlineStr">
        <is>
          <t>930003855, 1M, B3, 3.0mm</t>
        </is>
      </c>
      <c r="D223" s="2" t="inlineStr">
        <is>
          <t>b3</t>
        </is>
      </c>
      <c r="E223" s="2" t="inlineStr">
        <is>
          <t>3.0mm</t>
        </is>
      </c>
      <c r="F223" s="2" t="n">
        <v>2</v>
      </c>
      <c r="G223" s="2" t="n">
        <v>1</v>
      </c>
      <c r="H223" s="2" t="inlineStr">
        <is>
          <t>LC/APC</t>
        </is>
      </c>
      <c r="I223" s="2" t="inlineStr">
        <is>
          <t>LC/APC</t>
        </is>
      </c>
      <c r="J223" s="2" t="n"/>
      <c r="K223" s="2" t="n"/>
      <c r="L223" s="2" t="n">
        <v>50</v>
      </c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>
        <f>SUM(J223:U223)*G223</f>
        <v/>
      </c>
      <c r="W223" s="2">
        <f>MAX(J223:U223)</f>
        <v/>
      </c>
      <c r="X223" s="2">
        <f>W223*G223</f>
        <v/>
      </c>
    </row>
    <row r="224">
      <c r="A224" s="2" t="inlineStr">
        <is>
          <t>A14-M-SP/SA-B-N-010</t>
        </is>
      </c>
      <c r="B224" s="3" t="inlineStr">
        <is>
          <t>MOJC-SM-12C-SC/PC-SC/APC</t>
        </is>
      </c>
      <c r="C224" s="2" t="inlineStr">
        <is>
          <t>908040832, 10M, B3</t>
        </is>
      </c>
      <c r="D224" s="2" t="inlineStr">
        <is>
          <t>b3-12c</t>
        </is>
      </c>
      <c r="E224" s="2" t="inlineStr">
        <is>
          <t>2.0mm</t>
        </is>
      </c>
      <c r="F224" s="2" t="n">
        <v>12</v>
      </c>
      <c r="G224" s="2" t="n">
        <v>10</v>
      </c>
      <c r="H224" s="2" t="inlineStr">
        <is>
          <t>SC/PC</t>
        </is>
      </c>
      <c r="I224" s="2" t="inlineStr">
        <is>
          <t>SC/APC</t>
        </is>
      </c>
      <c r="J224" s="2" t="n">
        <v>7</v>
      </c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>
        <f>SUM(J224:U224)*G224</f>
        <v/>
      </c>
      <c r="W224" s="2">
        <f>MAX(J224:U224)</f>
        <v/>
      </c>
      <c r="X224" s="2">
        <f>W224*G224</f>
        <v/>
      </c>
    </row>
    <row r="225">
      <c r="A225" s="2" t="inlineStr">
        <is>
          <t>A14-M-SP/SP-B-N-007</t>
        </is>
      </c>
      <c r="B225" s="3" t="inlineStr">
        <is>
          <t>MOJC-SM-12C-SC/PC-SC/PC</t>
        </is>
      </c>
      <c r="C225" s="2" t="inlineStr">
        <is>
          <t>908040799, 7M, B3</t>
        </is>
      </c>
      <c r="D225" s="2" t="inlineStr">
        <is>
          <t>b3-12c</t>
        </is>
      </c>
      <c r="E225" s="2" t="inlineStr">
        <is>
          <t>2.0mm</t>
        </is>
      </c>
      <c r="F225" s="2" t="n">
        <v>12</v>
      </c>
      <c r="G225" s="2" t="n">
        <v>7</v>
      </c>
      <c r="H225" s="2" t="inlineStr">
        <is>
          <t>SC/PC</t>
        </is>
      </c>
      <c r="I225" s="2" t="inlineStr">
        <is>
          <t>SC/PC</t>
        </is>
      </c>
      <c r="J225" s="2" t="n"/>
      <c r="K225" s="2" t="n"/>
      <c r="L225" s="2" t="n">
        <v>24</v>
      </c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>
        <f>SUM(J225:U225)*G225</f>
        <v/>
      </c>
      <c r="W225" s="2">
        <f>MAX(J225:U225)</f>
        <v/>
      </c>
      <c r="X225" s="2">
        <f>W225*G225</f>
        <v/>
      </c>
    </row>
    <row r="226">
      <c r="A226" s="2" t="inlineStr">
        <is>
          <t>A14-M-SP/SP-B-N-008</t>
        </is>
      </c>
      <c r="B226" s="3" t="inlineStr">
        <is>
          <t>MOJC-SM-12C-SC/PC-SC/PC</t>
        </is>
      </c>
      <c r="C226" s="2" t="inlineStr">
        <is>
          <t>908040800, 8M, B3</t>
        </is>
      </c>
      <c r="D226" s="2" t="inlineStr">
        <is>
          <t>b3-12c</t>
        </is>
      </c>
      <c r="E226" s="2" t="inlineStr">
        <is>
          <t>2.0mm</t>
        </is>
      </c>
      <c r="F226" s="2" t="n">
        <v>12</v>
      </c>
      <c r="G226" s="2" t="n">
        <v>8</v>
      </c>
      <c r="H226" s="2" t="inlineStr">
        <is>
          <t>SC/PC</t>
        </is>
      </c>
      <c r="I226" s="2" t="inlineStr">
        <is>
          <t>SC/PC</t>
        </is>
      </c>
      <c r="J226" s="2" t="n">
        <v>15</v>
      </c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>
        <f>SUM(J226:U226)*G226</f>
        <v/>
      </c>
      <c r="W226" s="2">
        <f>MAX(J226:U226)</f>
        <v/>
      </c>
      <c r="X226" s="2">
        <f>W226*G226</f>
        <v/>
      </c>
    </row>
    <row r="227">
      <c r="A227" s="2" t="inlineStr">
        <is>
          <t>A14-M-SP/SP-B-N-011</t>
        </is>
      </c>
      <c r="B227" s="3" t="inlineStr">
        <is>
          <t>MOJC-SM-12C-SC/PC-SC/PC</t>
        </is>
      </c>
      <c r="C227" s="2" t="inlineStr">
        <is>
          <t>908040804, 12M, B3</t>
        </is>
      </c>
      <c r="D227" s="2" t="inlineStr">
        <is>
          <t>b3-12c</t>
        </is>
      </c>
      <c r="E227" s="2" t="inlineStr">
        <is>
          <t>2.0mm</t>
        </is>
      </c>
      <c r="F227" s="2" t="n">
        <v>12</v>
      </c>
      <c r="G227" s="2" t="n">
        <v>12</v>
      </c>
      <c r="H227" s="2" t="inlineStr">
        <is>
          <t>SC/PC</t>
        </is>
      </c>
      <c r="I227" s="2" t="inlineStr">
        <is>
          <t>SC/PC</t>
        </is>
      </c>
      <c r="J227" s="2" t="n">
        <v>15</v>
      </c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>
        <f>SUM(J227:U227)*G227</f>
        <v/>
      </c>
      <c r="W227" s="2">
        <f>MAX(J227:U227)</f>
        <v/>
      </c>
      <c r="X227" s="2">
        <f>W227*G227</f>
        <v/>
      </c>
    </row>
    <row r="228">
      <c r="A228" s="2" t="inlineStr">
        <is>
          <t>A14-M-SP/SP-B-N-012</t>
        </is>
      </c>
      <c r="B228" s="3" t="inlineStr">
        <is>
          <t>MOJC-SM-12C-SC/PC-SC/PC</t>
        </is>
      </c>
      <c r="C228" s="2" t="inlineStr">
        <is>
          <t>908040807, 15M, B3</t>
        </is>
      </c>
      <c r="D228" s="2" t="inlineStr">
        <is>
          <t>b3-12c</t>
        </is>
      </c>
      <c r="E228" s="2" t="inlineStr">
        <is>
          <t>2.0mm</t>
        </is>
      </c>
      <c r="F228" s="2" t="n">
        <v>12</v>
      </c>
      <c r="G228" s="2" t="n">
        <v>15</v>
      </c>
      <c r="H228" s="2" t="inlineStr">
        <is>
          <t>SC/PC</t>
        </is>
      </c>
      <c r="I228" s="2" t="inlineStr">
        <is>
          <t>SC/PC</t>
        </is>
      </c>
      <c r="J228" s="2" t="n">
        <v>15</v>
      </c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>
        <f>SUM(J228:U228)*G228</f>
        <v/>
      </c>
      <c r="W228" s="2">
        <f>MAX(J228:U228)</f>
        <v/>
      </c>
      <c r="X228" s="2">
        <f>W228*G228</f>
        <v/>
      </c>
    </row>
    <row r="229">
      <c r="A229" s="2" t="inlineStr">
        <is>
          <t>A14-M-SP/SP-B-N-024</t>
        </is>
      </c>
      <c r="B229" s="3" t="inlineStr">
        <is>
          <t>MOJC-SM-6C-SC/PC-SC/PC</t>
        </is>
      </c>
      <c r="C229" s="2" t="inlineStr">
        <is>
          <t>920000159, 7M, B3</t>
        </is>
      </c>
      <c r="D229" s="2" t="inlineStr">
        <is>
          <t>b3-6c</t>
        </is>
      </c>
      <c r="E229" s="2" t="inlineStr">
        <is>
          <t>2.0mm</t>
        </is>
      </c>
      <c r="F229" s="2" t="n">
        <v>6</v>
      </c>
      <c r="G229" s="2" t="n">
        <v>7</v>
      </c>
      <c r="H229" s="2" t="inlineStr">
        <is>
          <t>SC/PC</t>
        </is>
      </c>
      <c r="I229" s="2" t="inlineStr">
        <is>
          <t>SC/PC</t>
        </is>
      </c>
      <c r="J229" s="2" t="n"/>
      <c r="K229" s="2" t="n"/>
      <c r="L229" s="2" t="n">
        <v>8</v>
      </c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>
        <f>SUM(J229:U229)*G229</f>
        <v/>
      </c>
      <c r="W229" s="2">
        <f>MAX(J229:U229)</f>
        <v/>
      </c>
      <c r="X229" s="2">
        <f>W229*G229</f>
        <v/>
      </c>
    </row>
    <row r="230">
      <c r="A230" s="2" t="inlineStr">
        <is>
          <t>A14-M-SP/SP-B-N-026</t>
        </is>
      </c>
      <c r="B230" s="3" t="inlineStr">
        <is>
          <t>MOJC-SM-6C-SC/PC-SC/PC</t>
        </is>
      </c>
      <c r="C230" s="2" t="inlineStr">
        <is>
          <t>920000162, 10M, B3</t>
        </is>
      </c>
      <c r="D230" s="2" t="inlineStr">
        <is>
          <t>b3-6c</t>
        </is>
      </c>
      <c r="E230" s="2" t="inlineStr">
        <is>
          <t>2.0mm</t>
        </is>
      </c>
      <c r="F230" s="2" t="n">
        <v>6</v>
      </c>
      <c r="G230" s="2" t="n">
        <v>10</v>
      </c>
      <c r="H230" s="2" t="inlineStr">
        <is>
          <t>SC/PC</t>
        </is>
      </c>
      <c r="I230" s="2" t="inlineStr">
        <is>
          <t>SC/PC</t>
        </is>
      </c>
      <c r="J230" s="2" t="n"/>
      <c r="K230" s="2" t="n"/>
      <c r="L230" s="2" t="n">
        <v>1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>
        <f>SUM(J230:U230)*G230</f>
        <v/>
      </c>
      <c r="W230" s="2">
        <f>MAX(J230:U230)</f>
        <v/>
      </c>
      <c r="X230" s="2">
        <f>W230*G230</f>
        <v/>
      </c>
    </row>
    <row r="231">
      <c r="A231" s="2" t="inlineStr">
        <is>
          <t>A14-MB-N043</t>
        </is>
      </c>
      <c r="B231" s="3" t="inlineStr">
        <is>
          <t>MOJC-SM-12C-SC/PC-SC/PC</t>
        </is>
      </c>
      <c r="C231" s="2" t="inlineStr">
        <is>
          <t>908040802, 10M, B3</t>
        </is>
      </c>
      <c r="D231" s="2" t="inlineStr">
        <is>
          <t>b3-12c</t>
        </is>
      </c>
      <c r="E231" s="2" t="inlineStr">
        <is>
          <t>2.0mm</t>
        </is>
      </c>
      <c r="F231" s="2" t="n">
        <v>12</v>
      </c>
      <c r="G231" s="2" t="n">
        <v>10</v>
      </c>
      <c r="H231" s="2" t="inlineStr">
        <is>
          <t>SC/PC</t>
        </is>
      </c>
      <c r="I231" s="2" t="inlineStr">
        <is>
          <t>SC/PC</t>
        </is>
      </c>
      <c r="J231" s="2" t="n">
        <v>90</v>
      </c>
      <c r="K231" s="2" t="n"/>
      <c r="L231" s="2" t="n">
        <v>2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>
        <f>SUM(J231:U231)*G231</f>
        <v/>
      </c>
      <c r="W231" s="2">
        <f>MAX(J231:U231)</f>
        <v/>
      </c>
      <c r="X231" s="2">
        <f>W231*G231</f>
        <v/>
      </c>
    </row>
    <row r="232">
      <c r="A232" s="2" t="inlineStr">
        <is>
          <t>A14-S-LP/LP-B-N-015</t>
        </is>
      </c>
      <c r="B232" s="3" t="inlineStr">
        <is>
          <t>SOJC-SM-LC/PC-LC/PC</t>
        </is>
      </c>
      <c r="C232" s="2" t="inlineStr">
        <is>
          <t>908040268, 9M, B3, 2.0mm</t>
        </is>
      </c>
      <c r="D232" s="2" t="inlineStr">
        <is>
          <t>b3</t>
        </is>
      </c>
      <c r="E232" s="2" t="inlineStr">
        <is>
          <t>2.0mm</t>
        </is>
      </c>
      <c r="F232" s="2" t="n">
        <v>1</v>
      </c>
      <c r="G232" s="2" t="n">
        <v>9</v>
      </c>
      <c r="H232" s="2" t="inlineStr">
        <is>
          <t>LC/PC</t>
        </is>
      </c>
      <c r="I232" s="2" t="inlineStr">
        <is>
          <t>LC/PC</t>
        </is>
      </c>
      <c r="J232" s="2" t="n"/>
      <c r="K232" s="2" t="n">
        <v>20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>
        <f>SUM(J232:U232)*G232</f>
        <v/>
      </c>
      <c r="W232" s="2">
        <f>MAX(J232:U232)</f>
        <v/>
      </c>
      <c r="X232" s="2">
        <f>W232*G232</f>
        <v/>
      </c>
    </row>
    <row r="233">
      <c r="A233" s="2" t="inlineStr">
        <is>
          <t>A14-S-SA/FA-B-N-007</t>
        </is>
      </c>
      <c r="B233" s="3" t="inlineStr">
        <is>
          <t>SOJC-SM-SC/APC-FC/APC</t>
        </is>
      </c>
      <c r="C233" s="2" t="inlineStr">
        <is>
          <t>908040394, 25M, B3, 2.0mm</t>
        </is>
      </c>
      <c r="D233" s="2" t="inlineStr">
        <is>
          <t>b3</t>
        </is>
      </c>
      <c r="E233" s="2" t="inlineStr">
        <is>
          <t>2.0mm</t>
        </is>
      </c>
      <c r="F233" s="2" t="n">
        <v>1</v>
      </c>
      <c r="G233" s="2" t="n">
        <v>25</v>
      </c>
      <c r="H233" s="2" t="inlineStr">
        <is>
          <t>SC/APC</t>
        </is>
      </c>
      <c r="I233" s="2" t="inlineStr">
        <is>
          <t>FC/APC</t>
        </is>
      </c>
      <c r="J233" s="2" t="n"/>
      <c r="K233" s="2" t="n"/>
      <c r="L233" s="2" t="n">
        <v>10</v>
      </c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>
        <f>SUM(J233:U233)*G233</f>
        <v/>
      </c>
      <c r="W233" s="2">
        <f>MAX(J233:U233)</f>
        <v/>
      </c>
      <c r="X233" s="2">
        <f>W233*G233</f>
        <v/>
      </c>
    </row>
    <row r="234">
      <c r="A234" s="2" t="inlineStr">
        <is>
          <t>A14-S-SA/LA-B-N-001</t>
        </is>
      </c>
      <c r="B234" s="3" t="inlineStr">
        <is>
          <t>SOJC-SM-SC/APC-LC/APC</t>
        </is>
      </c>
      <c r="C234" s="2" t="inlineStr">
        <is>
          <t>3M, G657.B3, 3.0mm</t>
        </is>
      </c>
      <c r="D234" s="2" t="inlineStr">
        <is>
          <t>b3</t>
        </is>
      </c>
      <c r="E234" s="2" t="inlineStr">
        <is>
          <t>3.0mm</t>
        </is>
      </c>
      <c r="F234" s="2" t="n">
        <v>1</v>
      </c>
      <c r="G234" s="2" t="n">
        <v>3</v>
      </c>
      <c r="H234" s="2" t="inlineStr">
        <is>
          <t>SC/APC</t>
        </is>
      </c>
      <c r="I234" s="2" t="inlineStr">
        <is>
          <t>LC/APC</t>
        </is>
      </c>
      <c r="J234" s="2" t="n">
        <v>50</v>
      </c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>
        <f>SUM(J234:U234)*G234</f>
        <v/>
      </c>
      <c r="W234" s="2">
        <f>MAX(J234:U234)</f>
        <v/>
      </c>
      <c r="X234" s="2">
        <f>W234*G234</f>
        <v/>
      </c>
    </row>
    <row r="235">
      <c r="A235" s="2" t="inlineStr">
        <is>
          <t>A14-S-SP/FA-B-N-008</t>
        </is>
      </c>
      <c r="B235" s="3" t="inlineStr">
        <is>
          <t>SOJC-SM-SC/PC-FC/APC</t>
        </is>
      </c>
      <c r="C235" s="2" t="inlineStr">
        <is>
          <t>908040339, 30M, B3, 2.0mm</t>
        </is>
      </c>
      <c r="D235" s="2" t="inlineStr">
        <is>
          <t>b3</t>
        </is>
      </c>
      <c r="E235" s="2" t="inlineStr">
        <is>
          <t>2.0mm</t>
        </is>
      </c>
      <c r="F235" s="2" t="n">
        <v>1</v>
      </c>
      <c r="G235" s="2" t="n">
        <v>30</v>
      </c>
      <c r="H235" s="2" t="inlineStr">
        <is>
          <t>SC/PC</t>
        </is>
      </c>
      <c r="I235" s="2" t="inlineStr">
        <is>
          <t>FC/APC</t>
        </is>
      </c>
      <c r="J235" s="2" t="n">
        <v>2</v>
      </c>
      <c r="K235" s="2" t="n"/>
      <c r="L235" s="2" t="n">
        <v>10</v>
      </c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>
        <f>SUM(J235:U235)*G235</f>
        <v/>
      </c>
      <c r="W235" s="2">
        <f>MAX(J235:U235)</f>
        <v/>
      </c>
      <c r="X235" s="2">
        <f>W235*G235</f>
        <v/>
      </c>
    </row>
    <row r="236">
      <c r="A236" s="2" t="inlineStr">
        <is>
          <t>A14-S-SP/FA-B-N-014</t>
        </is>
      </c>
      <c r="B236" s="3" t="inlineStr">
        <is>
          <t>SOJC-SM-SC/PC-FC/APC</t>
        </is>
      </c>
      <c r="C236" s="2" t="inlineStr">
        <is>
          <t>908040317, 8M, B3, 2.0mm</t>
        </is>
      </c>
      <c r="D236" s="2" t="inlineStr">
        <is>
          <t>b3</t>
        </is>
      </c>
      <c r="E236" s="2" t="inlineStr">
        <is>
          <t>2.0mm</t>
        </is>
      </c>
      <c r="F236" s="2" t="n">
        <v>1</v>
      </c>
      <c r="G236" s="2" t="n">
        <v>8</v>
      </c>
      <c r="H236" s="2" t="inlineStr">
        <is>
          <t>SC/PC</t>
        </is>
      </c>
      <c r="I236" s="2" t="inlineStr">
        <is>
          <t>FC/APC</t>
        </is>
      </c>
      <c r="J236" s="2" t="n"/>
      <c r="K236" s="2" t="n"/>
      <c r="L236" s="2" t="n">
        <v>10</v>
      </c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>
        <f>SUM(J236:U236)*G236</f>
        <v/>
      </c>
      <c r="W236" s="2">
        <f>MAX(J236:U236)</f>
        <v/>
      </c>
      <c r="X236" s="2">
        <f>W236*G236</f>
        <v/>
      </c>
    </row>
    <row r="237">
      <c r="A237" s="2" t="inlineStr">
        <is>
          <t>A14-S-SP/FP-B-N-007</t>
        </is>
      </c>
      <c r="B237" s="3" t="inlineStr">
        <is>
          <t>SOJC-SM-SC/PC-FC/PC</t>
        </is>
      </c>
      <c r="C237" s="2" t="inlineStr">
        <is>
          <t>908040309, 30M, B3, 2.0mm</t>
        </is>
      </c>
      <c r="D237" s="2" t="inlineStr">
        <is>
          <t>b3</t>
        </is>
      </c>
      <c r="E237" s="2" t="inlineStr">
        <is>
          <t>2.0mm</t>
        </is>
      </c>
      <c r="F237" s="2" t="n">
        <v>1</v>
      </c>
      <c r="G237" s="2" t="n">
        <v>30</v>
      </c>
      <c r="H237" s="2" t="inlineStr">
        <is>
          <t>SC/PC</t>
        </is>
      </c>
      <c r="I237" s="2" t="inlineStr">
        <is>
          <t>FC/PC</t>
        </is>
      </c>
      <c r="J237" s="2" t="n"/>
      <c r="K237" s="2" t="n"/>
      <c r="L237" s="2" t="n">
        <v>8</v>
      </c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>
        <f>SUM(J237:U237)*G237</f>
        <v/>
      </c>
      <c r="W237" s="2">
        <f>MAX(J237:U237)</f>
        <v/>
      </c>
      <c r="X237" s="2">
        <f>W237*G237</f>
        <v/>
      </c>
    </row>
    <row r="238">
      <c r="A238" s="2" t="inlineStr">
        <is>
          <t>A14-S-SP/SA-B-N-008</t>
        </is>
      </c>
      <c r="B238" s="3" t="inlineStr">
        <is>
          <t>SOJC-SM-SC/PC-SC/APC</t>
        </is>
      </c>
      <c r="C238" s="2" t="inlineStr">
        <is>
          <t>908041449, 30M, B3, 2.0mm</t>
        </is>
      </c>
      <c r="D238" s="2" t="inlineStr">
        <is>
          <t>b3</t>
        </is>
      </c>
      <c r="E238" s="2" t="inlineStr">
        <is>
          <t>2.0mm</t>
        </is>
      </c>
      <c r="F238" s="2" t="n">
        <v>1</v>
      </c>
      <c r="G238" s="2" t="n">
        <v>30</v>
      </c>
      <c r="H238" s="2" t="inlineStr">
        <is>
          <t>SC/PC</t>
        </is>
      </c>
      <c r="I238" s="2" t="inlineStr">
        <is>
          <t>SC/APC</t>
        </is>
      </c>
      <c r="J238" s="2" t="n"/>
      <c r="K238" s="2" t="n">
        <v>10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>
        <f>SUM(J238:U238)*G238</f>
        <v/>
      </c>
      <c r="W238" s="2">
        <f>MAX(J238:U238)</f>
        <v/>
      </c>
      <c r="X238" s="2">
        <f>W238*G238</f>
        <v/>
      </c>
    </row>
    <row r="239">
      <c r="A239" s="2" t="inlineStr">
        <is>
          <t>A14-S-SP/SA-B-N-013</t>
        </is>
      </c>
      <c r="B239" s="3" t="inlineStr">
        <is>
          <t>SOJC-SM-SC/PC-SC/APC</t>
        </is>
      </c>
      <c r="C239" s="2" t="inlineStr">
        <is>
          <t>908041426, 7M, B3, 2.0mm</t>
        </is>
      </c>
      <c r="D239" s="2" t="inlineStr">
        <is>
          <t>b3</t>
        </is>
      </c>
      <c r="E239" s="2" t="inlineStr">
        <is>
          <t>2.0mm</t>
        </is>
      </c>
      <c r="F239" s="2" t="n">
        <v>1</v>
      </c>
      <c r="G239" s="2" t="n">
        <v>7</v>
      </c>
      <c r="H239" s="2" t="inlineStr">
        <is>
          <t>SC/PC</t>
        </is>
      </c>
      <c r="I239" s="2" t="inlineStr">
        <is>
          <t>SC/APC</t>
        </is>
      </c>
      <c r="J239" s="2" t="n"/>
      <c r="K239" s="2" t="n"/>
      <c r="L239" s="2" t="n">
        <v>50</v>
      </c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>
        <f>SUM(J239:U239)*G239</f>
        <v/>
      </c>
      <c r="W239" s="2">
        <f>MAX(J239:U239)</f>
        <v/>
      </c>
      <c r="X239" s="2">
        <f>W239*G239</f>
        <v/>
      </c>
    </row>
    <row r="240">
      <c r="A240" s="2" t="inlineStr">
        <is>
          <t>A14-SB-N072</t>
        </is>
      </c>
      <c r="B240" s="3" t="inlineStr">
        <is>
          <t>SOJC-SM-LC/PC-FC/PC</t>
        </is>
      </c>
      <c r="C240" s="2" t="inlineStr">
        <is>
          <t>908040155, 25M, B3, 2.0mm</t>
        </is>
      </c>
      <c r="D240" s="2" t="inlineStr">
        <is>
          <t>b3</t>
        </is>
      </c>
      <c r="E240" s="2" t="inlineStr">
        <is>
          <t>2.0mm</t>
        </is>
      </c>
      <c r="F240" s="2" t="n">
        <v>1</v>
      </c>
      <c r="G240" s="2" t="n">
        <v>25</v>
      </c>
      <c r="H240" s="2" t="inlineStr">
        <is>
          <t>LC/PC</t>
        </is>
      </c>
      <c r="I240" s="2" t="inlineStr">
        <is>
          <t>FC/PC</t>
        </is>
      </c>
      <c r="J240" s="2" t="n">
        <v>7</v>
      </c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>
        <f>SUM(J240:U240)*G240</f>
        <v/>
      </c>
      <c r="W240" s="2">
        <f>MAX(J240:U240)</f>
        <v/>
      </c>
      <c r="X240" s="2">
        <f>W240*G240</f>
        <v/>
      </c>
    </row>
    <row r="241">
      <c r="A241" s="2" t="inlineStr">
        <is>
          <t>A14-SB-N080</t>
        </is>
      </c>
      <c r="B241" s="3" t="inlineStr">
        <is>
          <t>SOJC-SM-LC/PC-LC/APC</t>
        </is>
      </c>
      <c r="C241" s="2" t="inlineStr">
        <is>
          <t>15M, B3, 2.0mm</t>
        </is>
      </c>
      <c r="D241" s="2" t="inlineStr">
        <is>
          <t>b3</t>
        </is>
      </c>
      <c r="E241" s="2" t="inlineStr">
        <is>
          <t>2.0mm</t>
        </is>
      </c>
      <c r="F241" s="2" t="n">
        <v>1</v>
      </c>
      <c r="G241" s="2" t="n">
        <v>15</v>
      </c>
      <c r="H241" s="2" t="inlineStr">
        <is>
          <t>LC/PC</t>
        </is>
      </c>
      <c r="I241" s="2" t="inlineStr">
        <is>
          <t>LC/APC</t>
        </is>
      </c>
      <c r="J241" s="2" t="n"/>
      <c r="K241" s="2" t="n"/>
      <c r="L241" s="2" t="n">
        <v>9</v>
      </c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>
        <f>SUM(J241:U241)*G241</f>
        <v/>
      </c>
      <c r="W241" s="2">
        <f>MAX(J241:U241)</f>
        <v/>
      </c>
      <c r="X241" s="2">
        <f>W241*G241</f>
        <v/>
      </c>
    </row>
    <row r="242">
      <c r="A242" s="2" t="inlineStr">
        <is>
          <t>A14-SB-N081</t>
        </is>
      </c>
      <c r="B242" s="3" t="inlineStr">
        <is>
          <t>SOJC-SM-LC/PC-LC/APC</t>
        </is>
      </c>
      <c r="C242" s="2" t="inlineStr">
        <is>
          <t>20M, B3, 2.0mm</t>
        </is>
      </c>
      <c r="D242" s="2" t="inlineStr">
        <is>
          <t>b3</t>
        </is>
      </c>
      <c r="E242" s="2" t="inlineStr">
        <is>
          <t>2.0mm</t>
        </is>
      </c>
      <c r="F242" s="2" t="n">
        <v>1</v>
      </c>
      <c r="G242" s="2" t="n">
        <v>20</v>
      </c>
      <c r="H242" s="2" t="inlineStr">
        <is>
          <t>LC/PC</t>
        </is>
      </c>
      <c r="I242" s="2" t="inlineStr">
        <is>
          <t>LC/APC</t>
        </is>
      </c>
      <c r="J242" s="2" t="n"/>
      <c r="K242" s="2" t="n"/>
      <c r="L242" s="2" t="n">
        <v>6</v>
      </c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>
        <f>SUM(J242:U242)*G242</f>
        <v/>
      </c>
      <c r="W242" s="2">
        <f>MAX(J242:U242)</f>
        <v/>
      </c>
      <c r="X242" s="2">
        <f>W242*G242</f>
        <v/>
      </c>
    </row>
    <row r="243">
      <c r="A243" s="2" t="inlineStr">
        <is>
          <t>A14-SB-N082</t>
        </is>
      </c>
      <c r="B243" s="3" t="inlineStr">
        <is>
          <t>SOJC-SM-LC/PC-LC/APC</t>
        </is>
      </c>
      <c r="C243" s="2" t="inlineStr">
        <is>
          <t>25M, B3, 2.0mm</t>
        </is>
      </c>
      <c r="D243" s="2" t="inlineStr">
        <is>
          <t>b3</t>
        </is>
      </c>
      <c r="E243" s="2" t="inlineStr">
        <is>
          <t>2.0mm</t>
        </is>
      </c>
      <c r="F243" s="2" t="n">
        <v>1</v>
      </c>
      <c r="G243" s="2" t="n">
        <v>25</v>
      </c>
      <c r="H243" s="2" t="inlineStr">
        <is>
          <t>LC/PC</t>
        </is>
      </c>
      <c r="I243" s="2" t="inlineStr">
        <is>
          <t>LC/APC</t>
        </is>
      </c>
      <c r="J243" s="2" t="n"/>
      <c r="K243" s="2" t="n"/>
      <c r="L243" s="2" t="n">
        <v>10</v>
      </c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>
        <f>SUM(J243:U243)*G243</f>
        <v/>
      </c>
      <c r="W243" s="2">
        <f>MAX(J243:U243)</f>
        <v/>
      </c>
      <c r="X243" s="2">
        <f>W243*G243</f>
        <v/>
      </c>
    </row>
    <row r="244">
      <c r="A244" s="2" t="inlineStr">
        <is>
          <t>A14-SB-N086</t>
        </is>
      </c>
      <c r="B244" s="3" t="inlineStr">
        <is>
          <t>SOJC-SM-LC/PC-LC/PC</t>
        </is>
      </c>
      <c r="C244" s="2" t="inlineStr">
        <is>
          <t>908040269, 10M, B3, 2.0mm</t>
        </is>
      </c>
      <c r="D244" s="2" t="inlineStr">
        <is>
          <t>b3</t>
        </is>
      </c>
      <c r="E244" s="2" t="inlineStr">
        <is>
          <t>2.0mm</t>
        </is>
      </c>
      <c r="F244" s="2" t="n">
        <v>1</v>
      </c>
      <c r="G244" s="2" t="n">
        <v>10</v>
      </c>
      <c r="H244" s="2" t="inlineStr">
        <is>
          <t>LC/PC</t>
        </is>
      </c>
      <c r="I244" s="2" t="inlineStr">
        <is>
          <t>LC/PC</t>
        </is>
      </c>
      <c r="J244" s="2" t="n">
        <v>21</v>
      </c>
      <c r="K244" s="2" t="n">
        <v>35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>
        <f>SUM(J244:U244)*G244</f>
        <v/>
      </c>
      <c r="W244" s="2">
        <f>MAX(J244:U244)</f>
        <v/>
      </c>
      <c r="X244" s="2">
        <f>W244*G244</f>
        <v/>
      </c>
    </row>
    <row r="245">
      <c r="A245" s="2" t="inlineStr">
        <is>
          <t>A14-SB-N088</t>
        </is>
      </c>
      <c r="B245" s="3" t="inlineStr">
        <is>
          <t>SOJC-SM-LC/PC-LC/PC</t>
        </is>
      </c>
      <c r="C245" s="2" t="inlineStr">
        <is>
          <t>13M, B3, 2.0mm</t>
        </is>
      </c>
      <c r="D245" s="2" t="inlineStr">
        <is>
          <t>b3</t>
        </is>
      </c>
      <c r="E245" s="2" t="inlineStr">
        <is>
          <t>2.0mm</t>
        </is>
      </c>
      <c r="F245" s="2" t="n">
        <v>1</v>
      </c>
      <c r="G245" s="2" t="n">
        <v>13</v>
      </c>
      <c r="H245" s="2" t="inlineStr">
        <is>
          <t>LC/PC</t>
        </is>
      </c>
      <c r="I245" s="2" t="inlineStr">
        <is>
          <t>LC/PC</t>
        </is>
      </c>
      <c r="J245" s="2" t="n"/>
      <c r="K245" s="2" t="n">
        <v>10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>
        <f>SUM(J245:U245)*G245</f>
        <v/>
      </c>
      <c r="W245" s="2">
        <f>MAX(J245:U245)</f>
        <v/>
      </c>
      <c r="X245" s="2">
        <f>W245*G245</f>
        <v/>
      </c>
    </row>
    <row r="246">
      <c r="A246" s="2" t="inlineStr">
        <is>
          <t>A14-SB-N090</t>
        </is>
      </c>
      <c r="B246" s="3" t="inlineStr">
        <is>
          <t>SOJC-SM-LC/PC-LC/PC</t>
        </is>
      </c>
      <c r="C246" s="2" t="inlineStr">
        <is>
          <t>16M, B3, 2.0mm</t>
        </is>
      </c>
      <c r="D246" s="2" t="inlineStr">
        <is>
          <t>b3</t>
        </is>
      </c>
      <c r="E246" s="2" t="inlineStr">
        <is>
          <t>2.0mm</t>
        </is>
      </c>
      <c r="F246" s="2" t="n">
        <v>1</v>
      </c>
      <c r="G246" s="2" t="n">
        <v>16</v>
      </c>
      <c r="H246" s="2" t="inlineStr">
        <is>
          <t>LC/PC</t>
        </is>
      </c>
      <c r="I246" s="2" t="inlineStr">
        <is>
          <t>LC/PC</t>
        </is>
      </c>
      <c r="J246" s="2" t="n"/>
      <c r="K246" s="2" t="n">
        <v>10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>
        <f>SUM(J246:U246)*G246</f>
        <v/>
      </c>
      <c r="W246" s="2">
        <f>MAX(J246:U246)</f>
        <v/>
      </c>
      <c r="X246" s="2">
        <f>W246*G246</f>
        <v/>
      </c>
    </row>
    <row r="247">
      <c r="A247" s="2" t="inlineStr">
        <is>
          <t>A14-SB-N091</t>
        </is>
      </c>
      <c r="B247" s="3" t="inlineStr">
        <is>
          <t>SOJC-SM-LC/PC-LC/PC</t>
        </is>
      </c>
      <c r="C247" s="2" t="inlineStr">
        <is>
          <t>17M, B3, 2.0mm</t>
        </is>
      </c>
      <c r="D247" s="2" t="inlineStr">
        <is>
          <t>b3</t>
        </is>
      </c>
      <c r="E247" s="2" t="inlineStr">
        <is>
          <t>2.0mm</t>
        </is>
      </c>
      <c r="F247" s="2" t="n">
        <v>1</v>
      </c>
      <c r="G247" s="2" t="n">
        <v>17</v>
      </c>
      <c r="H247" s="2" t="inlineStr">
        <is>
          <t>LC/PC</t>
        </is>
      </c>
      <c r="I247" s="2" t="inlineStr">
        <is>
          <t>LC/PC</t>
        </is>
      </c>
      <c r="J247" s="2" t="n"/>
      <c r="K247" s="2" t="n">
        <v>10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>
        <f>SUM(J247:U247)*G247</f>
        <v/>
      </c>
      <c r="W247" s="2">
        <f>MAX(J247:U247)</f>
        <v/>
      </c>
      <c r="X247" s="2">
        <f>W247*G247</f>
        <v/>
      </c>
    </row>
    <row r="248">
      <c r="A248" s="2" t="inlineStr">
        <is>
          <t>A14-SB-N092</t>
        </is>
      </c>
      <c r="B248" s="3" t="inlineStr">
        <is>
          <t>SOJC-SM-LC/PC-LC/PC</t>
        </is>
      </c>
      <c r="C248" s="2" t="inlineStr">
        <is>
          <t>18M, B3, 2.0mm</t>
        </is>
      </c>
      <c r="D248" s="2" t="inlineStr">
        <is>
          <t>b3</t>
        </is>
      </c>
      <c r="E248" s="2" t="inlineStr">
        <is>
          <t>2.0mm</t>
        </is>
      </c>
      <c r="F248" s="2" t="n">
        <v>1</v>
      </c>
      <c r="G248" s="2" t="n">
        <v>18</v>
      </c>
      <c r="H248" s="2" t="inlineStr">
        <is>
          <t>LC/PC</t>
        </is>
      </c>
      <c r="I248" s="2" t="inlineStr">
        <is>
          <t>LC/PC</t>
        </is>
      </c>
      <c r="J248" s="2" t="n"/>
      <c r="K248" s="2" t="n">
        <v>10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>
        <f>SUM(J248:U248)*G248</f>
        <v/>
      </c>
      <c r="W248" s="2">
        <f>MAX(J248:U248)</f>
        <v/>
      </c>
      <c r="X248" s="2">
        <f>W248*G248</f>
        <v/>
      </c>
    </row>
    <row r="249">
      <c r="A249" s="2" t="inlineStr">
        <is>
          <t>A14-SB-N093</t>
        </is>
      </c>
      <c r="B249" s="3" t="inlineStr">
        <is>
          <t>SOJC-SM-LC/PC-LC/PC</t>
        </is>
      </c>
      <c r="C249" s="2" t="inlineStr">
        <is>
          <t>908040261, 1M, B3, 3.0mm</t>
        </is>
      </c>
      <c r="D249" s="2" t="inlineStr">
        <is>
          <t>b3</t>
        </is>
      </c>
      <c r="E249" s="2" t="inlineStr">
        <is>
          <t>3.0mm</t>
        </is>
      </c>
      <c r="F249" s="2" t="n">
        <v>1</v>
      </c>
      <c r="G249" s="2" t="n">
        <v>1</v>
      </c>
      <c r="H249" s="2" t="inlineStr">
        <is>
          <t>LC/PC</t>
        </is>
      </c>
      <c r="I249" s="2" t="inlineStr">
        <is>
          <t>LC/PC</t>
        </is>
      </c>
      <c r="J249" s="2" t="n">
        <v>2</v>
      </c>
      <c r="K249" s="2" t="n"/>
      <c r="L249" s="2" t="n">
        <v>200</v>
      </c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>
        <f>SUM(J249:U249)*G249</f>
        <v/>
      </c>
      <c r="W249" s="2">
        <f>MAX(J249:U249)</f>
        <v/>
      </c>
      <c r="X249" s="2">
        <f>W249*G249</f>
        <v/>
      </c>
    </row>
    <row r="250">
      <c r="A250" s="2" t="inlineStr">
        <is>
          <t>A14-SB-N096</t>
        </is>
      </c>
      <c r="B250" s="3" t="inlineStr">
        <is>
          <t>SOJC-SM-LC/PC-LC/PC</t>
        </is>
      </c>
      <c r="C250" s="2" t="inlineStr">
        <is>
          <t>908040284, 25M, B3, 2.0mm</t>
        </is>
      </c>
      <c r="D250" s="2" t="inlineStr">
        <is>
          <t>b3</t>
        </is>
      </c>
      <c r="E250" s="2" t="inlineStr">
        <is>
          <t>2.0mm</t>
        </is>
      </c>
      <c r="F250" s="2" t="n">
        <v>1</v>
      </c>
      <c r="G250" s="2" t="n">
        <v>25</v>
      </c>
      <c r="H250" s="2" t="inlineStr">
        <is>
          <t>LC/PC</t>
        </is>
      </c>
      <c r="I250" s="2" t="inlineStr">
        <is>
          <t>LC/PC</t>
        </is>
      </c>
      <c r="J250" s="2" t="n"/>
      <c r="K250" s="2" t="n"/>
      <c r="L250" s="2" t="n">
        <v>23</v>
      </c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>
        <f>SUM(J250:U250)*G250</f>
        <v/>
      </c>
      <c r="W250" s="2">
        <f>MAX(J250:U250)</f>
        <v/>
      </c>
      <c r="X250" s="2">
        <f>W250*G250</f>
        <v/>
      </c>
    </row>
    <row r="251">
      <c r="A251" s="2" t="inlineStr">
        <is>
          <t>A14-SB-N100</t>
        </is>
      </c>
      <c r="B251" s="3" t="inlineStr">
        <is>
          <t>SOJC-SM-LC/PC-LC/PC</t>
        </is>
      </c>
      <c r="C251" s="2" t="inlineStr">
        <is>
          <t>80M, B3, 3.0mm</t>
        </is>
      </c>
      <c r="D251" s="2" t="inlineStr">
        <is>
          <t>b3</t>
        </is>
      </c>
      <c r="E251" s="2" t="inlineStr">
        <is>
          <t>3.0mm</t>
        </is>
      </c>
      <c r="F251" s="2" t="n">
        <v>1</v>
      </c>
      <c r="G251" s="2" t="n">
        <v>80</v>
      </c>
      <c r="H251" s="2" t="inlineStr">
        <is>
          <t>LC/PC</t>
        </is>
      </c>
      <c r="I251" s="2" t="inlineStr">
        <is>
          <t>LC/PC</t>
        </is>
      </c>
      <c r="J251" s="2" t="n"/>
      <c r="K251" s="2" t="n">
        <v>1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>
        <f>SUM(J251:U251)*G251</f>
        <v/>
      </c>
      <c r="W251" s="2">
        <f>MAX(J251:U251)</f>
        <v/>
      </c>
      <c r="X251" s="2">
        <f>W251*G251</f>
        <v/>
      </c>
    </row>
    <row r="252">
      <c r="A252" s="2" t="inlineStr">
        <is>
          <t>A14-SB-N105</t>
        </is>
      </c>
      <c r="B252" s="3" t="inlineStr">
        <is>
          <t>SOJC-SM-LC/PC-LC/PC</t>
        </is>
      </c>
      <c r="C252" s="2" t="inlineStr">
        <is>
          <t>908040265, 6M, B3, 2.0mm</t>
        </is>
      </c>
      <c r="D252" s="2" t="inlineStr">
        <is>
          <t>b3</t>
        </is>
      </c>
      <c r="E252" s="2" t="inlineStr">
        <is>
          <t>2.0mm</t>
        </is>
      </c>
      <c r="F252" s="2" t="n">
        <v>1</v>
      </c>
      <c r="G252" s="2" t="n">
        <v>6</v>
      </c>
      <c r="H252" s="2" t="inlineStr">
        <is>
          <t>LC/PC</t>
        </is>
      </c>
      <c r="I252" s="2" t="inlineStr">
        <is>
          <t>LC/PC</t>
        </is>
      </c>
      <c r="J252" s="2" t="n"/>
      <c r="K252" s="2" t="n">
        <v>20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>
        <f>SUM(J252:U252)*G252</f>
        <v/>
      </c>
      <c r="W252" s="2">
        <f>MAX(J252:U252)</f>
        <v/>
      </c>
      <c r="X252" s="2">
        <f>W252*G252</f>
        <v/>
      </c>
    </row>
    <row r="253">
      <c r="A253" s="2" t="inlineStr">
        <is>
          <t>A14-SB-N106</t>
        </is>
      </c>
      <c r="B253" s="3" t="inlineStr">
        <is>
          <t>SOJC-SM-LC/PC-LC/PC</t>
        </is>
      </c>
      <c r="C253" s="2" t="inlineStr">
        <is>
          <t>908040266, 7M, B3, 2.0mm</t>
        </is>
      </c>
      <c r="D253" s="2" t="inlineStr">
        <is>
          <t>b3</t>
        </is>
      </c>
      <c r="E253" s="2" t="inlineStr">
        <is>
          <t>2.0mm</t>
        </is>
      </c>
      <c r="F253" s="2" t="n">
        <v>1</v>
      </c>
      <c r="G253" s="2" t="n">
        <v>7</v>
      </c>
      <c r="H253" s="2" t="inlineStr">
        <is>
          <t>LC/PC</t>
        </is>
      </c>
      <c r="I253" s="2" t="inlineStr">
        <is>
          <t>LC/PC</t>
        </is>
      </c>
      <c r="J253" s="2" t="n"/>
      <c r="K253" s="2" t="n">
        <v>20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>
        <f>SUM(J253:U253)*G253</f>
        <v/>
      </c>
      <c r="W253" s="2">
        <f>MAX(J253:U253)</f>
        <v/>
      </c>
      <c r="X253" s="2">
        <f>W253*G253</f>
        <v/>
      </c>
    </row>
    <row r="254">
      <c r="A254" s="2" t="inlineStr">
        <is>
          <t>A14-SB-N107</t>
        </is>
      </c>
      <c r="B254" s="3" t="inlineStr">
        <is>
          <t>SOJC-SM-LC/PC-LC/PC</t>
        </is>
      </c>
      <c r="C254" s="2" t="inlineStr">
        <is>
          <t>908040267, 8M, B3, 2.0mm</t>
        </is>
      </c>
      <c r="D254" s="2" t="inlineStr">
        <is>
          <t>b3</t>
        </is>
      </c>
      <c r="E254" s="2" t="inlineStr">
        <is>
          <t>2.0mm</t>
        </is>
      </c>
      <c r="F254" s="2" t="n">
        <v>1</v>
      </c>
      <c r="G254" s="2" t="n">
        <v>8</v>
      </c>
      <c r="H254" s="2" t="inlineStr">
        <is>
          <t>LC/PC</t>
        </is>
      </c>
      <c r="I254" s="2" t="inlineStr">
        <is>
          <t>LC/PC</t>
        </is>
      </c>
      <c r="J254" s="2" t="n"/>
      <c r="K254" s="2" t="n">
        <v>20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>
        <f>SUM(J254:U254)*G254</f>
        <v/>
      </c>
      <c r="W254" s="2">
        <f>MAX(J254:U254)</f>
        <v/>
      </c>
      <c r="X254" s="2">
        <f>W254*G254</f>
        <v/>
      </c>
    </row>
    <row r="255">
      <c r="A255" s="2" t="inlineStr">
        <is>
          <t>A14-SB-N114</t>
        </is>
      </c>
      <c r="B255" s="3" t="inlineStr">
        <is>
          <t>SOJC-SM-LC/PC-SC/APC</t>
        </is>
      </c>
      <c r="C255" s="2" t="inlineStr">
        <is>
          <t>920000749, 15M, B3, 2.0mm</t>
        </is>
      </c>
      <c r="D255" s="2" t="inlineStr">
        <is>
          <t>b3</t>
        </is>
      </c>
      <c r="E255" s="2" t="inlineStr">
        <is>
          <t>2.0mm</t>
        </is>
      </c>
      <c r="F255" s="2" t="n">
        <v>1</v>
      </c>
      <c r="G255" s="2" t="n">
        <v>15</v>
      </c>
      <c r="H255" s="2" t="inlineStr">
        <is>
          <t>LC/PC</t>
        </is>
      </c>
      <c r="I255" s="2" t="inlineStr">
        <is>
          <t>SC/APC</t>
        </is>
      </c>
      <c r="J255" s="2" t="n"/>
      <c r="K255" s="2" t="n"/>
      <c r="L255" s="2" t="n">
        <v>30</v>
      </c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>
        <f>SUM(J255:U255)*G255</f>
        <v/>
      </c>
      <c r="W255" s="2">
        <f>MAX(J255:U255)</f>
        <v/>
      </c>
      <c r="X255" s="2">
        <f>W255*G255</f>
        <v/>
      </c>
    </row>
    <row r="256">
      <c r="A256" s="2" t="inlineStr">
        <is>
          <t>A14-SB-N130</t>
        </is>
      </c>
      <c r="B256" s="3" t="inlineStr">
        <is>
          <t>SOJC-SM-LC/PC-SC/PC</t>
        </is>
      </c>
      <c r="C256" s="2" t="inlineStr">
        <is>
          <t>908040170, 10M, B3, 2.0mm</t>
        </is>
      </c>
      <c r="D256" s="2" t="inlineStr">
        <is>
          <t>b3</t>
        </is>
      </c>
      <c r="E256" s="2" t="inlineStr">
        <is>
          <t>2.0mm</t>
        </is>
      </c>
      <c r="F256" s="2" t="n">
        <v>1</v>
      </c>
      <c r="G256" s="2" t="n">
        <v>10</v>
      </c>
      <c r="H256" s="2" t="inlineStr">
        <is>
          <t>LC/PC</t>
        </is>
      </c>
      <c r="I256" s="2" t="inlineStr">
        <is>
          <t>SC/PC</t>
        </is>
      </c>
      <c r="J256" s="2" t="n"/>
      <c r="K256" s="2" t="n">
        <v>2</v>
      </c>
      <c r="L256" s="2" t="n">
        <v>195</v>
      </c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>
        <f>SUM(J256:U256)*G256</f>
        <v/>
      </c>
      <c r="W256" s="2">
        <f>MAX(J256:U256)</f>
        <v/>
      </c>
      <c r="X256" s="2">
        <f>W256*G256</f>
        <v/>
      </c>
    </row>
    <row r="257">
      <c r="A257" s="2" t="inlineStr">
        <is>
          <t>A14-SB-N132</t>
        </is>
      </c>
      <c r="B257" s="3" t="inlineStr">
        <is>
          <t>SOJC-SM-LC/PC-SC/PC</t>
        </is>
      </c>
      <c r="C257" s="2" t="inlineStr">
        <is>
          <t>12M, B3, 2.0mm</t>
        </is>
      </c>
      <c r="D257" s="2" t="inlineStr">
        <is>
          <t>b3</t>
        </is>
      </c>
      <c r="E257" s="2" t="inlineStr">
        <is>
          <t>2.0mm</t>
        </is>
      </c>
      <c r="F257" s="2" t="n">
        <v>1</v>
      </c>
      <c r="G257" s="2" t="n">
        <v>12</v>
      </c>
      <c r="H257" s="2" t="inlineStr">
        <is>
          <t>LC/PC</t>
        </is>
      </c>
      <c r="I257" s="2" t="inlineStr">
        <is>
          <t>SC/PC</t>
        </is>
      </c>
      <c r="J257" s="2" t="n"/>
      <c r="K257" s="2" t="n">
        <v>20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>
        <f>SUM(J257:U257)*G257</f>
        <v/>
      </c>
      <c r="W257" s="2">
        <f>MAX(J257:U257)</f>
        <v/>
      </c>
      <c r="X257" s="2">
        <f>W257*G257</f>
        <v/>
      </c>
    </row>
    <row r="258">
      <c r="A258" s="2" t="inlineStr">
        <is>
          <t>A14-SB-N141</t>
        </is>
      </c>
      <c r="B258" s="3" t="inlineStr">
        <is>
          <t>SOJC-SM-LC/PC-SC/PC</t>
        </is>
      </c>
      <c r="C258" s="2" t="inlineStr">
        <is>
          <t>908040185, 25M, B3, 2.0mm</t>
        </is>
      </c>
      <c r="D258" s="2" t="inlineStr">
        <is>
          <t>b3</t>
        </is>
      </c>
      <c r="E258" s="2" t="inlineStr">
        <is>
          <t>2.0mm</t>
        </is>
      </c>
      <c r="F258" s="2" t="n">
        <v>1</v>
      </c>
      <c r="G258" s="2" t="n">
        <v>25</v>
      </c>
      <c r="H258" s="2" t="inlineStr">
        <is>
          <t>LC/PC</t>
        </is>
      </c>
      <c r="I258" s="2" t="inlineStr">
        <is>
          <t>SC/PC</t>
        </is>
      </c>
      <c r="J258" s="2" t="n">
        <v>18</v>
      </c>
      <c r="K258" s="2" t="n">
        <v>90</v>
      </c>
      <c r="L258" s="2" t="n">
        <v>20</v>
      </c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>
        <f>SUM(J258:U258)*G258</f>
        <v/>
      </c>
      <c r="W258" s="2">
        <f>MAX(J258:U258)</f>
        <v/>
      </c>
      <c r="X258" s="2">
        <f>W258*G258</f>
        <v/>
      </c>
    </row>
    <row r="259">
      <c r="A259" s="2" t="inlineStr">
        <is>
          <t>A14-SB-N144</t>
        </is>
      </c>
      <c r="B259" s="3" t="inlineStr">
        <is>
          <t>SOJC-SM-LC/PC-SC/PC</t>
        </is>
      </c>
      <c r="C259" s="2" t="inlineStr">
        <is>
          <t>908040190, 30M, B3, 2.0mm</t>
        </is>
      </c>
      <c r="D259" s="2" t="inlineStr">
        <is>
          <t>b3</t>
        </is>
      </c>
      <c r="E259" s="2" t="inlineStr">
        <is>
          <t>2.0mm</t>
        </is>
      </c>
      <c r="F259" s="2" t="n">
        <v>1</v>
      </c>
      <c r="G259" s="2" t="n">
        <v>30</v>
      </c>
      <c r="H259" s="2" t="inlineStr">
        <is>
          <t>LC/PC</t>
        </is>
      </c>
      <c r="I259" s="2" t="inlineStr">
        <is>
          <t>SC/PC</t>
        </is>
      </c>
      <c r="J259" s="2" t="n"/>
      <c r="K259" s="2" t="n"/>
      <c r="L259" s="2" t="n">
        <v>22</v>
      </c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>
        <f>SUM(J259:U259)*G259</f>
        <v/>
      </c>
      <c r="W259" s="2">
        <f>MAX(J259:U259)</f>
        <v/>
      </c>
      <c r="X259" s="2">
        <f>W259*G259</f>
        <v/>
      </c>
    </row>
    <row r="260">
      <c r="A260" s="2" t="inlineStr">
        <is>
          <t>A14-SB-N146</t>
        </is>
      </c>
      <c r="B260" s="3" t="inlineStr">
        <is>
          <t>SOJC-SM-LC/PC-SC/PC</t>
        </is>
      </c>
      <c r="C260" s="2" t="inlineStr">
        <is>
          <t>908040161, 3M, B3, 3.0mm</t>
        </is>
      </c>
      <c r="D260" s="2" t="inlineStr">
        <is>
          <t>b3</t>
        </is>
      </c>
      <c r="E260" s="2" t="inlineStr">
        <is>
          <t>3.0mm</t>
        </is>
      </c>
      <c r="F260" s="2" t="n">
        <v>1</v>
      </c>
      <c r="G260" s="2" t="n">
        <v>3</v>
      </c>
      <c r="H260" s="2" t="inlineStr">
        <is>
          <t>LC/PC</t>
        </is>
      </c>
      <c r="I260" s="2" t="inlineStr">
        <is>
          <t>SC/PC</t>
        </is>
      </c>
      <c r="J260" s="2" t="n"/>
      <c r="K260" s="2" t="n">
        <v>62</v>
      </c>
      <c r="L260" s="2" t="n">
        <v>100</v>
      </c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>
        <f>SUM(J260:U260)*G260</f>
        <v/>
      </c>
      <c r="W260" s="2">
        <f>MAX(J260:U260)</f>
        <v/>
      </c>
      <c r="X260" s="2">
        <f>W260*G260</f>
        <v/>
      </c>
    </row>
    <row r="261">
      <c r="A261" s="2" t="inlineStr">
        <is>
          <t>A14-SB-N151</t>
        </is>
      </c>
      <c r="B261" s="3" t="inlineStr">
        <is>
          <t>SOJC-SM-LC/PC-SC/PC</t>
        </is>
      </c>
      <c r="C261" s="2" t="inlineStr">
        <is>
          <t>908040167, 7M, B3, 2.0mm</t>
        </is>
      </c>
      <c r="D261" s="2" t="inlineStr">
        <is>
          <t>b3</t>
        </is>
      </c>
      <c r="E261" s="2" t="inlineStr">
        <is>
          <t>2.0mm</t>
        </is>
      </c>
      <c r="F261" s="2" t="n">
        <v>1</v>
      </c>
      <c r="G261" s="2" t="n">
        <v>7</v>
      </c>
      <c r="H261" s="2" t="inlineStr">
        <is>
          <t>LC/PC</t>
        </is>
      </c>
      <c r="I261" s="2" t="inlineStr">
        <is>
          <t>SC/PC</t>
        </is>
      </c>
      <c r="J261" s="2" t="n"/>
      <c r="K261" s="2" t="n"/>
      <c r="L261" s="2" t="n">
        <v>70</v>
      </c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>
        <f>SUM(J261:U261)*G261</f>
        <v/>
      </c>
      <c r="W261" s="2">
        <f>MAX(J261:U261)</f>
        <v/>
      </c>
      <c r="X261" s="2">
        <f>W261*G261</f>
        <v/>
      </c>
    </row>
    <row r="262">
      <c r="A262" s="2" t="inlineStr">
        <is>
          <t>A14-SB-N152</t>
        </is>
      </c>
      <c r="B262" s="3" t="inlineStr">
        <is>
          <t>SOJC-SM-LC/PC-SC/PC</t>
        </is>
      </c>
      <c r="C262" s="2" t="inlineStr">
        <is>
          <t>908040168, 8M, B3, 2.0mm</t>
        </is>
      </c>
      <c r="D262" s="2" t="inlineStr">
        <is>
          <t>b3</t>
        </is>
      </c>
      <c r="E262" s="2" t="inlineStr">
        <is>
          <t>2.0mm</t>
        </is>
      </c>
      <c r="F262" s="2" t="n">
        <v>1</v>
      </c>
      <c r="G262" s="2" t="n">
        <v>8</v>
      </c>
      <c r="H262" s="2" t="inlineStr">
        <is>
          <t>LC/PC</t>
        </is>
      </c>
      <c r="I262" s="2" t="inlineStr">
        <is>
          <t>SC/PC</t>
        </is>
      </c>
      <c r="J262" s="2" t="n"/>
      <c r="K262" s="2" t="n"/>
      <c r="L262" s="2" t="n">
        <v>40</v>
      </c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>
        <f>SUM(J262:U262)*G262</f>
        <v/>
      </c>
      <c r="W262" s="2">
        <f>MAX(J262:U262)</f>
        <v/>
      </c>
      <c r="X262" s="2">
        <f>W262*G262</f>
        <v/>
      </c>
    </row>
    <row r="263">
      <c r="A263" s="2" t="inlineStr">
        <is>
          <t>A14-SB-N193</t>
        </is>
      </c>
      <c r="B263" s="3" t="inlineStr">
        <is>
          <t>SOJC-SM-SC/PC-FC/APC</t>
        </is>
      </c>
      <c r="C263" s="2" t="inlineStr">
        <is>
          <t>908040319, 10M, B3, 2.0mm</t>
        </is>
      </c>
      <c r="D263" s="2" t="inlineStr">
        <is>
          <t>b3</t>
        </is>
      </c>
      <c r="E263" s="2" t="inlineStr">
        <is>
          <t>2.0mm</t>
        </is>
      </c>
      <c r="F263" s="2" t="n">
        <v>1</v>
      </c>
      <c r="G263" s="2" t="n">
        <v>10</v>
      </c>
      <c r="H263" s="2" t="inlineStr">
        <is>
          <t>SC/PC</t>
        </is>
      </c>
      <c r="I263" s="2" t="inlineStr">
        <is>
          <t>FC/APC</t>
        </is>
      </c>
      <c r="J263" s="2" t="n">
        <v>30</v>
      </c>
      <c r="K263" s="2" t="n">
        <v>30</v>
      </c>
      <c r="L263" s="2" t="n">
        <v>105</v>
      </c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>
        <f>SUM(J263:U263)*G263</f>
        <v/>
      </c>
      <c r="W263" s="2">
        <f>MAX(J263:U263)</f>
        <v/>
      </c>
      <c r="X263" s="2">
        <f>W263*G263</f>
        <v/>
      </c>
    </row>
    <row r="264">
      <c r="A264" s="2" t="inlineStr">
        <is>
          <t>A14-SB-N198</t>
        </is>
      </c>
      <c r="B264" s="3" t="inlineStr">
        <is>
          <t>SOJC-SM-SC/PC-FC/APC</t>
        </is>
      </c>
      <c r="C264" s="2" t="inlineStr">
        <is>
          <t>908040324, 15M, B3, 2.0mm</t>
        </is>
      </c>
      <c r="D264" s="2" t="inlineStr">
        <is>
          <t>b3</t>
        </is>
      </c>
      <c r="E264" s="2" t="inlineStr">
        <is>
          <t>2.0mm</t>
        </is>
      </c>
      <c r="F264" s="2" t="n">
        <v>1</v>
      </c>
      <c r="G264" s="2" t="n">
        <v>15</v>
      </c>
      <c r="H264" s="2" t="inlineStr">
        <is>
          <t>SC/PC</t>
        </is>
      </c>
      <c r="I264" s="2" t="inlineStr">
        <is>
          <t>FC/APC</t>
        </is>
      </c>
      <c r="J264" s="2" t="n">
        <v>81</v>
      </c>
      <c r="K264" s="2" t="n">
        <v>53</v>
      </c>
      <c r="L264" s="2" t="n">
        <v>70</v>
      </c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>
        <f>SUM(J264:U264)*G264</f>
        <v/>
      </c>
      <c r="W264" s="2">
        <f>MAX(J264:U264)</f>
        <v/>
      </c>
      <c r="X264" s="2">
        <f>W264*G264</f>
        <v/>
      </c>
    </row>
    <row r="265">
      <c r="A265" s="2" t="inlineStr">
        <is>
          <t>A14-SB-N200</t>
        </is>
      </c>
      <c r="B265" s="3" t="inlineStr">
        <is>
          <t>SOJC-SM-SC/PC-FC/APC</t>
        </is>
      </c>
      <c r="C265" s="2" t="inlineStr">
        <is>
          <t>908040329, 20M, B3, 2.0mm</t>
        </is>
      </c>
      <c r="D265" s="2" t="inlineStr">
        <is>
          <t>b3</t>
        </is>
      </c>
      <c r="E265" s="2" t="inlineStr">
        <is>
          <t>2.0mm</t>
        </is>
      </c>
      <c r="F265" s="2" t="n">
        <v>1</v>
      </c>
      <c r="G265" s="2" t="n">
        <v>20</v>
      </c>
      <c r="H265" s="2" t="inlineStr">
        <is>
          <t>SC/PC</t>
        </is>
      </c>
      <c r="I265" s="2" t="inlineStr">
        <is>
          <t>FC/APC</t>
        </is>
      </c>
      <c r="J265" s="2" t="n">
        <v>94</v>
      </c>
      <c r="K265" s="2" t="n"/>
      <c r="L265" s="2" t="n">
        <v>5</v>
      </c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>
        <f>SUM(J265:U265)*G265</f>
        <v/>
      </c>
      <c r="W265" s="2">
        <f>MAX(J265:U265)</f>
        <v/>
      </c>
      <c r="X265" s="2">
        <f>W265*G265</f>
        <v/>
      </c>
    </row>
    <row r="266">
      <c r="A266" s="2" t="inlineStr">
        <is>
          <t>A14-SB-N203</t>
        </is>
      </c>
      <c r="B266" s="3" t="inlineStr">
        <is>
          <t>SOJC-SM-SC/PC-FC/APC</t>
        </is>
      </c>
      <c r="C266" s="2" t="inlineStr">
        <is>
          <t>908040334, 25M, B3, 2.0mm</t>
        </is>
      </c>
      <c r="D266" s="2" t="inlineStr">
        <is>
          <t>b3</t>
        </is>
      </c>
      <c r="E266" s="2" t="inlineStr">
        <is>
          <t>2.0mm</t>
        </is>
      </c>
      <c r="F266" s="2" t="n">
        <v>1</v>
      </c>
      <c r="G266" s="2" t="n">
        <v>25</v>
      </c>
      <c r="H266" s="2" t="inlineStr">
        <is>
          <t>SC/PC</t>
        </is>
      </c>
      <c r="I266" s="2" t="inlineStr">
        <is>
          <t>FC/APC</t>
        </is>
      </c>
      <c r="J266" s="2" t="n">
        <v>72</v>
      </c>
      <c r="K266" s="2" t="n">
        <v>17</v>
      </c>
      <c r="L266" s="2" t="n">
        <v>10</v>
      </c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>
        <f>SUM(J266:U266)*G266</f>
        <v/>
      </c>
      <c r="W266" s="2">
        <f>MAX(J266:U266)</f>
        <v/>
      </c>
      <c r="X266" s="2">
        <f>W266*G266</f>
        <v/>
      </c>
    </row>
    <row r="267">
      <c r="A267" s="2" t="inlineStr">
        <is>
          <t>A14-SB-N206</t>
        </is>
      </c>
      <c r="B267" s="3" t="inlineStr">
        <is>
          <t>SOJC-SM-SC/PC-FC/APC</t>
        </is>
      </c>
      <c r="C267" s="2" t="inlineStr">
        <is>
          <t>35M, B3, 2.0mm</t>
        </is>
      </c>
      <c r="D267" s="2" t="inlineStr">
        <is>
          <t>b3</t>
        </is>
      </c>
      <c r="E267" s="2" t="inlineStr">
        <is>
          <t>2.0mm</t>
        </is>
      </c>
      <c r="F267" s="2" t="n">
        <v>1</v>
      </c>
      <c r="G267" s="2" t="n">
        <v>35</v>
      </c>
      <c r="H267" s="2" t="inlineStr">
        <is>
          <t>SC/PC</t>
        </is>
      </c>
      <c r="I267" s="2" t="inlineStr">
        <is>
          <t>FC/APC</t>
        </is>
      </c>
      <c r="J267" s="2" t="n"/>
      <c r="K267" s="2" t="n">
        <v>10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>
        <f>SUM(J267:U267)*G267</f>
        <v/>
      </c>
      <c r="W267" s="2">
        <f>MAX(J267:U267)</f>
        <v/>
      </c>
      <c r="X267" s="2">
        <f>W267*G267</f>
        <v/>
      </c>
    </row>
    <row r="268">
      <c r="A268" s="2" t="inlineStr">
        <is>
          <t>A14-SB-N207</t>
        </is>
      </c>
      <c r="B268" s="3" t="inlineStr">
        <is>
          <t>SOJC-SM-SC/PC-FC/APC</t>
        </is>
      </c>
      <c r="C268" s="2" t="inlineStr">
        <is>
          <t>908040310, 3M, B3, 3.0mm</t>
        </is>
      </c>
      <c r="D268" s="2" t="inlineStr">
        <is>
          <t>b3</t>
        </is>
      </c>
      <c r="E268" s="2" t="inlineStr">
        <is>
          <t>3.0mm</t>
        </is>
      </c>
      <c r="F268" s="2" t="n">
        <v>1</v>
      </c>
      <c r="G268" s="2" t="n">
        <v>3</v>
      </c>
      <c r="H268" s="2" t="inlineStr">
        <is>
          <t>SC/PC</t>
        </is>
      </c>
      <c r="I268" s="2" t="inlineStr">
        <is>
          <t>FC/APC</t>
        </is>
      </c>
      <c r="J268" s="2" t="n"/>
      <c r="K268" s="2" t="n">
        <v>30</v>
      </c>
      <c r="L268" s="2" t="n">
        <v>55</v>
      </c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>
        <f>SUM(J268:U268)*G268</f>
        <v/>
      </c>
      <c r="W268" s="2">
        <f>MAX(J268:U268)</f>
        <v/>
      </c>
      <c r="X268" s="2">
        <f>W268*G268</f>
        <v/>
      </c>
    </row>
    <row r="269">
      <c r="A269" s="2" t="inlineStr">
        <is>
          <t>A14-SB-N210</t>
        </is>
      </c>
      <c r="B269" s="3" t="inlineStr">
        <is>
          <t>SOJC-SM-SC/PC-FC/APC</t>
        </is>
      </c>
      <c r="C269" s="2" t="inlineStr">
        <is>
          <t>908040314, 5M, B3, 3.0mm</t>
        </is>
      </c>
      <c r="D269" s="2" t="inlineStr">
        <is>
          <t>b3</t>
        </is>
      </c>
      <c r="E269" s="2" t="inlineStr">
        <is>
          <t>3.0mm</t>
        </is>
      </c>
      <c r="F269" s="2" t="n">
        <v>1</v>
      </c>
      <c r="G269" s="2" t="n">
        <v>5</v>
      </c>
      <c r="H269" s="2" t="inlineStr">
        <is>
          <t>SC/PC</t>
        </is>
      </c>
      <c r="I269" s="2" t="inlineStr">
        <is>
          <t>FC/APC</t>
        </is>
      </c>
      <c r="J269" s="2" t="n"/>
      <c r="K269" s="2" t="n">
        <v>20</v>
      </c>
      <c r="L269" s="2" t="n">
        <v>10</v>
      </c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>
        <f>SUM(J269:U269)*G269</f>
        <v/>
      </c>
      <c r="W269" s="2">
        <f>MAX(J269:U269)</f>
        <v/>
      </c>
      <c r="X269" s="2">
        <f>W269*G269</f>
        <v/>
      </c>
    </row>
    <row r="270">
      <c r="A270" s="2" t="inlineStr">
        <is>
          <t>A14-SB-N215</t>
        </is>
      </c>
      <c r="B270" s="3" t="inlineStr">
        <is>
          <t>SOJC-SM-SC/PC-FC/PC</t>
        </is>
      </c>
      <c r="C270" s="2" t="inlineStr">
        <is>
          <t>908041380, 10M, B3, 2.0mm</t>
        </is>
      </c>
      <c r="D270" s="2" t="inlineStr">
        <is>
          <t>b3</t>
        </is>
      </c>
      <c r="E270" s="2" t="inlineStr">
        <is>
          <t>2.0mm</t>
        </is>
      </c>
      <c r="F270" s="2" t="n">
        <v>1</v>
      </c>
      <c r="G270" s="2" t="n">
        <v>10</v>
      </c>
      <c r="H270" s="2" t="inlineStr">
        <is>
          <t>SC/PC</t>
        </is>
      </c>
      <c r="I270" s="2" t="inlineStr">
        <is>
          <t>FC/PC</t>
        </is>
      </c>
      <c r="J270" s="2" t="n"/>
      <c r="K270" s="2" t="n"/>
      <c r="L270" s="2" t="n">
        <v>21</v>
      </c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>
        <f>SUM(J270:U270)*G270</f>
        <v/>
      </c>
      <c r="W270" s="2">
        <f>MAX(J270:U270)</f>
        <v/>
      </c>
      <c r="X270" s="2">
        <f>W270*G270</f>
        <v/>
      </c>
    </row>
    <row r="271">
      <c r="A271" s="2" t="inlineStr">
        <is>
          <t>A14-SB-N220</t>
        </is>
      </c>
      <c r="B271" s="3" t="inlineStr">
        <is>
          <t>SOJC-SM-SC/PC-FC/PC</t>
        </is>
      </c>
      <c r="C271" s="2" t="inlineStr">
        <is>
          <t>908040299, 20M, B3, 2.0mm</t>
        </is>
      </c>
      <c r="D271" s="2" t="inlineStr">
        <is>
          <t>b3</t>
        </is>
      </c>
      <c r="E271" s="2" t="inlineStr">
        <is>
          <t>2.0mm</t>
        </is>
      </c>
      <c r="F271" s="2" t="n">
        <v>1</v>
      </c>
      <c r="G271" s="2" t="n">
        <v>20</v>
      </c>
      <c r="H271" s="2" t="inlineStr">
        <is>
          <t>SC/PC</t>
        </is>
      </c>
      <c r="I271" s="2" t="inlineStr">
        <is>
          <t>FC/PC</t>
        </is>
      </c>
      <c r="J271" s="2" t="n"/>
      <c r="K271" s="2" t="n"/>
      <c r="L271" s="2" t="n">
        <v>15</v>
      </c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>
        <f>SUM(J271:U271)*G271</f>
        <v/>
      </c>
      <c r="W271" s="2">
        <f>MAX(J271:U271)</f>
        <v/>
      </c>
      <c r="X271" s="2">
        <f>W271*G271</f>
        <v/>
      </c>
    </row>
    <row r="272">
      <c r="A272" s="2" t="inlineStr">
        <is>
          <t>A14-SB-N221</t>
        </is>
      </c>
      <c r="B272" s="3" t="inlineStr">
        <is>
          <t>SOJC-SM-SC/PC-FC/PC</t>
        </is>
      </c>
      <c r="C272" s="2" t="inlineStr">
        <is>
          <t>908040304, 25M, B3, 2.0mm</t>
        </is>
      </c>
      <c r="D272" s="2" t="inlineStr">
        <is>
          <t>b3</t>
        </is>
      </c>
      <c r="E272" s="2" t="inlineStr">
        <is>
          <t>2.0mm</t>
        </is>
      </c>
      <c r="F272" s="2" t="n">
        <v>1</v>
      </c>
      <c r="G272" s="2" t="n">
        <v>25</v>
      </c>
      <c r="H272" s="2" t="inlineStr">
        <is>
          <t>SC/PC</t>
        </is>
      </c>
      <c r="I272" s="2" t="inlineStr">
        <is>
          <t>FC/PC</t>
        </is>
      </c>
      <c r="J272" s="2" t="n"/>
      <c r="K272" s="2" t="n"/>
      <c r="L272" s="2" t="n">
        <v>45</v>
      </c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>
        <f>SUM(J272:U272)*G272</f>
        <v/>
      </c>
      <c r="W272" s="2">
        <f>MAX(J272:U272)</f>
        <v/>
      </c>
      <c r="X272" s="2">
        <f>W272*G272</f>
        <v/>
      </c>
    </row>
    <row r="273">
      <c r="A273" s="2" t="inlineStr">
        <is>
          <t>A14-SB-N234</t>
        </is>
      </c>
      <c r="B273" s="3" t="inlineStr">
        <is>
          <t>SOJC-SM-SC/PC-SC/APC</t>
        </is>
      </c>
      <c r="C273" s="2" t="inlineStr">
        <is>
          <t>908041429, 10M, B3, 2.0mm</t>
        </is>
      </c>
      <c r="D273" s="2" t="inlineStr">
        <is>
          <t>b3</t>
        </is>
      </c>
      <c r="E273" s="2" t="inlineStr">
        <is>
          <t>2.0mm</t>
        </is>
      </c>
      <c r="F273" s="2" t="n">
        <v>1</v>
      </c>
      <c r="G273" s="2" t="n">
        <v>10</v>
      </c>
      <c r="H273" s="2" t="inlineStr">
        <is>
          <t>SC/PC</t>
        </is>
      </c>
      <c r="I273" s="2" t="inlineStr">
        <is>
          <t>SC/APC</t>
        </is>
      </c>
      <c r="J273" s="2" t="n"/>
      <c r="K273" s="2" t="n"/>
      <c r="L273" s="2" t="n">
        <v>17</v>
      </c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>
        <f>SUM(J273:U273)*G273</f>
        <v/>
      </c>
      <c r="W273" s="2">
        <f>MAX(J273:U273)</f>
        <v/>
      </c>
      <c r="X273" s="2">
        <f>W273*G273</f>
        <v/>
      </c>
    </row>
    <row r="274">
      <c r="A274" s="2" t="inlineStr">
        <is>
          <t>A14-SB-N237</t>
        </is>
      </c>
      <c r="B274" s="3" t="inlineStr">
        <is>
          <t>SOJC-SM-SC/PC-SC/APC</t>
        </is>
      </c>
      <c r="C274" s="2" t="inlineStr">
        <is>
          <t>908041434, 15M, B3, 2.0mm</t>
        </is>
      </c>
      <c r="D274" s="2" t="inlineStr">
        <is>
          <t>b3</t>
        </is>
      </c>
      <c r="E274" s="2" t="inlineStr">
        <is>
          <t>2.0mm</t>
        </is>
      </c>
      <c r="F274" s="2" t="n">
        <v>1</v>
      </c>
      <c r="G274" s="2" t="n">
        <v>15</v>
      </c>
      <c r="H274" s="2" t="inlineStr">
        <is>
          <t>SC/PC</t>
        </is>
      </c>
      <c r="I274" s="2" t="inlineStr">
        <is>
          <t>SC/APC</t>
        </is>
      </c>
      <c r="J274" s="2" t="n"/>
      <c r="K274" s="2" t="n">
        <v>50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>
        <f>SUM(J274:U274)*G274</f>
        <v/>
      </c>
      <c r="W274" s="2">
        <f>MAX(J274:U274)</f>
        <v/>
      </c>
      <c r="X274" s="2">
        <f>W274*G274</f>
        <v/>
      </c>
    </row>
    <row r="275">
      <c r="A275" s="2" t="inlineStr">
        <is>
          <t>A14-SB-N245</t>
        </is>
      </c>
      <c r="B275" s="3" t="inlineStr">
        <is>
          <t>SOJC-SM-SC/PC-SC/APC</t>
        </is>
      </c>
      <c r="C275" s="2" t="inlineStr">
        <is>
          <t>908041422, 2M, B3, 3.0mm</t>
        </is>
      </c>
      <c r="D275" s="2" t="inlineStr">
        <is>
          <t>b3</t>
        </is>
      </c>
      <c r="E275" s="2" t="inlineStr">
        <is>
          <t>3.0mm</t>
        </is>
      </c>
      <c r="F275" s="2" t="n">
        <v>1</v>
      </c>
      <c r="G275" s="2" t="n">
        <v>2</v>
      </c>
      <c r="H275" s="2" t="inlineStr">
        <is>
          <t>SC/PC</t>
        </is>
      </c>
      <c r="I275" s="2" t="inlineStr">
        <is>
          <t>SC/APC</t>
        </is>
      </c>
      <c r="J275" s="2" t="n"/>
      <c r="K275" s="2" t="n">
        <v>43</v>
      </c>
      <c r="L275" s="2" t="n">
        <v>400</v>
      </c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>
        <f>SUM(J275:U275)*G275</f>
        <v/>
      </c>
      <c r="W275" s="2">
        <f>MAX(J275:U275)</f>
        <v/>
      </c>
      <c r="X275" s="2">
        <f>W275*G275</f>
        <v/>
      </c>
    </row>
    <row r="276">
      <c r="A276" s="2" t="inlineStr">
        <is>
          <t>A14-SB-N249</t>
        </is>
      </c>
      <c r="B276" s="3" t="inlineStr">
        <is>
          <t>SOJC-SM-SC/PC-SC/APC</t>
        </is>
      </c>
      <c r="C276" s="2" t="inlineStr">
        <is>
          <t>908041420, 3M, B3, 3.0mm</t>
        </is>
      </c>
      <c r="D276" s="2" t="inlineStr">
        <is>
          <t>b3</t>
        </is>
      </c>
      <c r="E276" s="2" t="inlineStr">
        <is>
          <t>3.0mm</t>
        </is>
      </c>
      <c r="F276" s="2" t="n">
        <v>1</v>
      </c>
      <c r="G276" s="2" t="n">
        <v>3</v>
      </c>
      <c r="H276" s="2" t="inlineStr">
        <is>
          <t>SC/PC</t>
        </is>
      </c>
      <c r="I276" s="2" t="inlineStr">
        <is>
          <t>SC/APC</t>
        </is>
      </c>
      <c r="J276" s="2" t="n">
        <v>163</v>
      </c>
      <c r="K276" s="2" t="n">
        <v>800</v>
      </c>
      <c r="L276" s="2" t="n">
        <v>2230</v>
      </c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>
        <f>SUM(J276:U276)*G276</f>
        <v/>
      </c>
      <c r="W276" s="2">
        <f>MAX(J276:U276)</f>
        <v/>
      </c>
      <c r="X276" s="2">
        <f>W276*G276</f>
        <v/>
      </c>
    </row>
    <row r="277">
      <c r="A277" s="2" t="inlineStr">
        <is>
          <t>A14-SB-N259</t>
        </is>
      </c>
      <c r="B277" s="3" t="inlineStr">
        <is>
          <t>SOJC-SM-SC/PC-SC/PC</t>
        </is>
      </c>
      <c r="C277" s="2" t="inlineStr">
        <is>
          <t>12M, B3, 2.0mm</t>
        </is>
      </c>
      <c r="D277" s="2" t="inlineStr">
        <is>
          <t>b3</t>
        </is>
      </c>
      <c r="E277" s="2" t="inlineStr">
        <is>
          <t>2.0mm</t>
        </is>
      </c>
      <c r="F277" s="2" t="n">
        <v>1</v>
      </c>
      <c r="G277" s="2" t="n">
        <v>12</v>
      </c>
      <c r="H277" s="2" t="inlineStr">
        <is>
          <t>SC/PC</t>
        </is>
      </c>
      <c r="I277" s="2" t="inlineStr">
        <is>
          <t>SC/PC</t>
        </is>
      </c>
      <c r="J277" s="2" t="n">
        <v>100</v>
      </c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>
        <f>SUM(J277:U277)*G277</f>
        <v/>
      </c>
      <c r="W277" s="2">
        <f>MAX(J277:U277)</f>
        <v/>
      </c>
      <c r="X277" s="2">
        <f>W277*G277</f>
        <v/>
      </c>
    </row>
    <row r="278">
      <c r="A278" s="2" t="inlineStr">
        <is>
          <t>A14-SB-N263</t>
        </is>
      </c>
      <c r="B278" s="3" t="inlineStr">
        <is>
          <t>SOJC-SM-SC/PC-SC/PC</t>
        </is>
      </c>
      <c r="C278" s="2" t="inlineStr">
        <is>
          <t>908041409, 20M, B3, 2.0mm</t>
        </is>
      </c>
      <c r="D278" s="2" t="inlineStr">
        <is>
          <t>b3</t>
        </is>
      </c>
      <c r="E278" s="2" t="inlineStr">
        <is>
          <t>2.0mm</t>
        </is>
      </c>
      <c r="F278" s="2" t="n">
        <v>1</v>
      </c>
      <c r="G278" s="2" t="n">
        <v>20</v>
      </c>
      <c r="H278" s="2" t="inlineStr">
        <is>
          <t>SC/PC</t>
        </is>
      </c>
      <c r="I278" s="2" t="inlineStr">
        <is>
          <t>SC/PC</t>
        </is>
      </c>
      <c r="J278" s="2" t="n">
        <v>16</v>
      </c>
      <c r="K278" s="2" t="n">
        <v>40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>
        <f>SUM(J278:U278)*G278</f>
        <v/>
      </c>
      <c r="W278" s="2">
        <f>MAX(J278:U278)</f>
        <v/>
      </c>
      <c r="X278" s="2">
        <f>W278*G278</f>
        <v/>
      </c>
    </row>
    <row r="279">
      <c r="A279" s="2" t="inlineStr">
        <is>
          <t>A14-SB-N264</t>
        </is>
      </c>
      <c r="B279" s="3" t="inlineStr">
        <is>
          <t>SOJC-SM-SC/PC-SC/PC</t>
        </is>
      </c>
      <c r="C279" s="2" t="inlineStr">
        <is>
          <t>908041414, 25M, B3, 2.0mm</t>
        </is>
      </c>
      <c r="D279" s="2" t="inlineStr">
        <is>
          <t>b3</t>
        </is>
      </c>
      <c r="E279" s="2" t="inlineStr">
        <is>
          <t>2.0mm</t>
        </is>
      </c>
      <c r="F279" s="2" t="n">
        <v>1</v>
      </c>
      <c r="G279" s="2" t="n">
        <v>25</v>
      </c>
      <c r="H279" s="2" t="inlineStr">
        <is>
          <t>SC/PC</t>
        </is>
      </c>
      <c r="I279" s="2" t="inlineStr">
        <is>
          <t>SC/PC</t>
        </is>
      </c>
      <c r="J279" s="2" t="n">
        <v>27</v>
      </c>
      <c r="K279" s="2" t="n"/>
      <c r="L279" s="2" t="n">
        <v>3</v>
      </c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>
        <f>SUM(J279:U279)*G279</f>
        <v/>
      </c>
      <c r="W279" s="2">
        <f>MAX(J279:U279)</f>
        <v/>
      </c>
      <c r="X279" s="2">
        <f>W279*G279</f>
        <v/>
      </c>
    </row>
    <row r="280">
      <c r="A280" s="2" t="inlineStr">
        <is>
          <t>A14-SB-N265</t>
        </is>
      </c>
      <c r="B280" s="3" t="inlineStr">
        <is>
          <t>SOJC-SM-SC/PC-SC/PC</t>
        </is>
      </c>
      <c r="C280" s="2" t="inlineStr">
        <is>
          <t>908041392, 2M, B3, 3.0mm</t>
        </is>
      </c>
      <c r="D280" s="2" t="inlineStr">
        <is>
          <t>b3</t>
        </is>
      </c>
      <c r="E280" s="2" t="inlineStr">
        <is>
          <t>3.0mm</t>
        </is>
      </c>
      <c r="F280" s="2" t="n">
        <v>1</v>
      </c>
      <c r="G280" s="2" t="n">
        <v>2</v>
      </c>
      <c r="H280" s="2" t="inlineStr">
        <is>
          <t>SC/PC</t>
        </is>
      </c>
      <c r="I280" s="2" t="inlineStr">
        <is>
          <t>SC/PC</t>
        </is>
      </c>
      <c r="J280" s="2" t="n"/>
      <c r="K280" s="2" t="n">
        <v>353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>
        <f>SUM(J280:U280)*G280</f>
        <v/>
      </c>
      <c r="W280" s="2">
        <f>MAX(J280:U280)</f>
        <v/>
      </c>
      <c r="X280" s="2">
        <f>W280*G280</f>
        <v/>
      </c>
    </row>
    <row r="281">
      <c r="A281" s="2" t="inlineStr">
        <is>
          <t>A14-SB-N268</t>
        </is>
      </c>
      <c r="B281" s="3" t="inlineStr">
        <is>
          <t>SOJC-SM-SC/PC-SC/PC</t>
        </is>
      </c>
      <c r="C281" s="2" t="inlineStr">
        <is>
          <t>908041390, 3M, B3, 3.0mm</t>
        </is>
      </c>
      <c r="D281" s="2" t="inlineStr">
        <is>
          <t>b3</t>
        </is>
      </c>
      <c r="E281" s="2" t="inlineStr">
        <is>
          <t>3.0mm</t>
        </is>
      </c>
      <c r="F281" s="2" t="n">
        <v>1</v>
      </c>
      <c r="G281" s="2" t="n">
        <v>3</v>
      </c>
      <c r="H281" s="2" t="inlineStr">
        <is>
          <t>SC/PC</t>
        </is>
      </c>
      <c r="I281" s="2" t="inlineStr">
        <is>
          <t>SC/PC</t>
        </is>
      </c>
      <c r="J281" s="2" t="n"/>
      <c r="K281" s="2" t="n"/>
      <c r="L281" s="2" t="n">
        <v>375</v>
      </c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>
        <f>SUM(J281:U281)*G281</f>
        <v/>
      </c>
      <c r="W281" s="2">
        <f>MAX(J281:U281)</f>
        <v/>
      </c>
      <c r="X281" s="2">
        <f>W281*G281</f>
        <v/>
      </c>
    </row>
    <row r="282">
      <c r="A282" s="2" t="inlineStr">
        <is>
          <t>A14-SB-N361</t>
        </is>
      </c>
      <c r="B282" s="3" t="inlineStr">
        <is>
          <t>SOJC-SM-LC/APC-FC/APC</t>
        </is>
      </c>
      <c r="C282" s="2" t="inlineStr">
        <is>
          <t>10M, B3, 2.0mm</t>
        </is>
      </c>
      <c r="D282" s="2" t="inlineStr">
        <is>
          <t>b3</t>
        </is>
      </c>
      <c r="E282" s="2" t="inlineStr">
        <is>
          <t>2.0mm</t>
        </is>
      </c>
      <c r="F282" s="2" t="n">
        <v>1</v>
      </c>
      <c r="G282" s="2" t="n">
        <v>10</v>
      </c>
      <c r="H282" s="2" t="inlineStr">
        <is>
          <t>LC/APC</t>
        </is>
      </c>
      <c r="I282" s="2" t="inlineStr">
        <is>
          <t>FC/APC</t>
        </is>
      </c>
      <c r="J282" s="2" t="n"/>
      <c r="K282" s="2" t="n"/>
      <c r="L282" s="2" t="n">
        <v>1</v>
      </c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>
        <f>SUM(J282:U282)*G282</f>
        <v/>
      </c>
      <c r="W282" s="2">
        <f>MAX(J282:U282)</f>
        <v/>
      </c>
      <c r="X282" s="2">
        <f>W282*G282</f>
        <v/>
      </c>
    </row>
    <row r="283">
      <c r="A283" s="2" t="inlineStr">
        <is>
          <t>A14-SB-N487</t>
        </is>
      </c>
      <c r="B283" s="3" t="inlineStr">
        <is>
          <t>SOJC-SM-LC/PC-LC/PC</t>
        </is>
      </c>
      <c r="C283" s="2" t="inlineStr">
        <is>
          <t>14M, B3, 2.0mm</t>
        </is>
      </c>
      <c r="D283" s="2" t="inlineStr">
        <is>
          <t>b3</t>
        </is>
      </c>
      <c r="E283" s="2" t="inlineStr">
        <is>
          <t>2.0mm</t>
        </is>
      </c>
      <c r="F283" s="2" t="n">
        <v>1</v>
      </c>
      <c r="G283" s="2" t="n">
        <v>14</v>
      </c>
      <c r="H283" s="2" t="inlineStr">
        <is>
          <t>LC/PC</t>
        </is>
      </c>
      <c r="I283" s="2" t="inlineStr">
        <is>
          <t>LC/PC</t>
        </is>
      </c>
      <c r="J283" s="2" t="n"/>
      <c r="K283" s="2" t="n">
        <v>10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>
        <f>SUM(J283:U283)*G283</f>
        <v/>
      </c>
      <c r="W283" s="2">
        <f>MAX(J283:U283)</f>
        <v/>
      </c>
      <c r="X283" s="2">
        <f>W283*G283</f>
        <v/>
      </c>
    </row>
    <row r="284">
      <c r="A284" s="2" t="inlineStr">
        <is>
          <t>A14-SB-N657</t>
        </is>
      </c>
      <c r="B284" s="3" t="inlineStr">
        <is>
          <t>SOJC-SM-LC/PC-LC/APC</t>
        </is>
      </c>
      <c r="C284" s="2" t="inlineStr">
        <is>
          <t>920001072, 3M, B3, 3.0mm</t>
        </is>
      </c>
      <c r="D284" s="2" t="inlineStr">
        <is>
          <t>b3</t>
        </is>
      </c>
      <c r="E284" s="2" t="inlineStr">
        <is>
          <t>3.0mm</t>
        </is>
      </c>
      <c r="F284" s="2" t="n">
        <v>1</v>
      </c>
      <c r="G284" s="2" t="n">
        <v>3</v>
      </c>
      <c r="H284" s="2" t="inlineStr">
        <is>
          <t>LC/PC</t>
        </is>
      </c>
      <c r="I284" s="2" t="inlineStr">
        <is>
          <t>LC/APC</t>
        </is>
      </c>
      <c r="J284" s="2" t="n"/>
      <c r="K284" s="2" t="n"/>
      <c r="L284" s="2" t="n">
        <v>7</v>
      </c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>
        <f>SUM(J284:U284)*G284</f>
        <v/>
      </c>
      <c r="W284" s="2">
        <f>MAX(J284:U284)</f>
        <v/>
      </c>
      <c r="X284" s="2">
        <f>W284*G284</f>
        <v/>
      </c>
    </row>
    <row r="285">
      <c r="A285" s="2" t="inlineStr">
        <is>
          <t>A14-SB-N834</t>
        </is>
      </c>
      <c r="B285" s="3" t="inlineStr">
        <is>
          <t>SOJC-SM-LC/APC-FC/APC</t>
        </is>
      </c>
      <c r="C285" s="2" t="inlineStr">
        <is>
          <t>15M, B3, 2.0mm</t>
        </is>
      </c>
      <c r="D285" s="2" t="inlineStr">
        <is>
          <t>b3</t>
        </is>
      </c>
      <c r="E285" s="2" t="inlineStr">
        <is>
          <t>2.0mm</t>
        </is>
      </c>
      <c r="F285" s="2" t="n">
        <v>1</v>
      </c>
      <c r="G285" s="2" t="n">
        <v>15</v>
      </c>
      <c r="H285" s="2" t="inlineStr">
        <is>
          <t>LC/APC</t>
        </is>
      </c>
      <c r="I285" s="2" t="inlineStr">
        <is>
          <t>FC/APC</t>
        </is>
      </c>
      <c r="J285" s="2" t="n"/>
      <c r="K285" s="2" t="n"/>
      <c r="L285" s="2" t="n">
        <v>6</v>
      </c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>
        <f>SUM(J285:U285)*G285</f>
        <v/>
      </c>
      <c r="W285" s="2">
        <f>MAX(J285:U285)</f>
        <v/>
      </c>
      <c r="X285" s="2">
        <f>W285*G285</f>
        <v/>
      </c>
    </row>
    <row r="286">
      <c r="A286" s="2" t="inlineStr">
        <is>
          <t>A14-SB-N860</t>
        </is>
      </c>
      <c r="B286" s="3" t="inlineStr">
        <is>
          <t>SOJC-SM-LC/PC-LC/APC</t>
        </is>
      </c>
      <c r="C286" s="2" t="inlineStr">
        <is>
          <t>10M, B3, 2.0mm</t>
        </is>
      </c>
      <c r="D286" s="2" t="inlineStr">
        <is>
          <t>b3</t>
        </is>
      </c>
      <c r="E286" s="2" t="inlineStr">
        <is>
          <t>2.0mm</t>
        </is>
      </c>
      <c r="F286" s="2" t="n">
        <v>1</v>
      </c>
      <c r="G286" s="2" t="n">
        <v>10</v>
      </c>
      <c r="H286" s="2" t="inlineStr">
        <is>
          <t>LC/PC</t>
        </is>
      </c>
      <c r="I286" s="2" t="inlineStr">
        <is>
          <t>LC/APC</t>
        </is>
      </c>
      <c r="J286" s="2" t="n"/>
      <c r="K286" s="2" t="n"/>
      <c r="L286" s="2" t="n">
        <v>12</v>
      </c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>
        <f>SUM(J286:U286)*G286</f>
        <v/>
      </c>
      <c r="W286" s="2">
        <f>MAX(J286:U286)</f>
        <v/>
      </c>
      <c r="X286" s="2">
        <f>W286*G286</f>
        <v/>
      </c>
    </row>
    <row r="287">
      <c r="A287" s="2" t="inlineStr">
        <is>
          <t>A14-SB-N976</t>
        </is>
      </c>
      <c r="B287" s="3" t="inlineStr">
        <is>
          <t>SOJC-SM-LC/PC-LC/APC</t>
        </is>
      </c>
      <c r="C287" s="2" t="inlineStr">
        <is>
          <t>30M, B3, 2mm</t>
        </is>
      </c>
      <c r="D287" s="2" t="inlineStr">
        <is>
          <t>b3</t>
        </is>
      </c>
      <c r="E287" s="2" t="inlineStr">
        <is>
          <t>2.0mm</t>
        </is>
      </c>
      <c r="F287" s="2" t="n">
        <v>1</v>
      </c>
      <c r="G287" s="2" t="n">
        <v>30</v>
      </c>
      <c r="H287" s="2" t="inlineStr">
        <is>
          <t>LC/PC</t>
        </is>
      </c>
      <c r="I287" s="2" t="inlineStr">
        <is>
          <t>LC/APC</t>
        </is>
      </c>
      <c r="J287" s="2" t="n"/>
      <c r="K287" s="2" t="n"/>
      <c r="L287" s="2" t="n">
        <v>5</v>
      </c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>
        <f>SUM(J287:U287)*G287</f>
        <v/>
      </c>
      <c r="W287" s="2">
        <f>MAX(J287:U287)</f>
        <v/>
      </c>
      <c r="X287" s="2">
        <f>W287*G287</f>
        <v/>
      </c>
    </row>
    <row r="288">
      <c r="A288" s="2" t="inlineStr">
        <is>
          <t>A14-SB-NA29</t>
        </is>
      </c>
      <c r="B288" s="3" t="inlineStr">
        <is>
          <t>SOJC-SM-LC/PC-LC/APC</t>
        </is>
      </c>
      <c r="C288" s="2" t="inlineStr">
        <is>
          <t>5M, B3, 3.0mm</t>
        </is>
      </c>
      <c r="D288" s="2" t="inlineStr">
        <is>
          <t>b3</t>
        </is>
      </c>
      <c r="E288" s="2" t="inlineStr">
        <is>
          <t>3.0mm</t>
        </is>
      </c>
      <c r="F288" s="2" t="n">
        <v>1</v>
      </c>
      <c r="G288" s="2" t="n">
        <v>5</v>
      </c>
      <c r="H288" s="2" t="inlineStr">
        <is>
          <t>LC/PC</t>
        </is>
      </c>
      <c r="I288" s="2" t="inlineStr">
        <is>
          <t>LC/APC</t>
        </is>
      </c>
      <c r="J288" s="2" t="n"/>
      <c r="K288" s="2" t="n"/>
      <c r="L288" s="2" t="n">
        <v>8</v>
      </c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>
        <f>SUM(J288:U288)*G288</f>
        <v/>
      </c>
      <c r="W288" s="2">
        <f>MAX(J288:U288)</f>
        <v/>
      </c>
      <c r="X288" s="2">
        <f>W288*G288</f>
        <v/>
      </c>
    </row>
    <row r="289">
      <c r="A289" s="2" t="inlineStr">
        <is>
          <t>A14-SB-NA33</t>
        </is>
      </c>
      <c r="B289" s="3" t="inlineStr">
        <is>
          <t>SOJC-SM-SC/PC-SC/PC</t>
        </is>
      </c>
      <c r="C289" s="2" t="inlineStr">
        <is>
          <t>3M, B3, 2.0mm</t>
        </is>
      </c>
      <c r="D289" s="2" t="inlineStr">
        <is>
          <t>b3</t>
        </is>
      </c>
      <c r="E289" s="2" t="inlineStr">
        <is>
          <t>2.0mm</t>
        </is>
      </c>
      <c r="F289" s="2" t="n">
        <v>1</v>
      </c>
      <c r="G289" s="2" t="n">
        <v>3</v>
      </c>
      <c r="H289" s="2" t="inlineStr">
        <is>
          <t>SC/PC</t>
        </is>
      </c>
      <c r="I289" s="2" t="inlineStr">
        <is>
          <t>SC/PC</t>
        </is>
      </c>
      <c r="J289" s="2" t="n"/>
      <c r="K289" s="2" t="n"/>
      <c r="L289" s="2" t="n">
        <v>2</v>
      </c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>
        <f>SUM(J289:U289)*G289</f>
        <v/>
      </c>
      <c r="W289" s="2">
        <f>MAX(J289:U289)</f>
        <v/>
      </c>
      <c r="X289" s="2">
        <f>W289*G289</f>
        <v/>
      </c>
    </row>
    <row r="290">
      <c r="A290" s="2" t="inlineStr">
        <is>
          <t>A14-SB-NA41</t>
        </is>
      </c>
      <c r="B290" s="3" t="inlineStr">
        <is>
          <t>SOJC-SM-LC/APC-FC/APC</t>
        </is>
      </c>
      <c r="C290" s="2" t="inlineStr">
        <is>
          <t>30M, B3, 2.0mm</t>
        </is>
      </c>
      <c r="D290" s="2" t="inlineStr">
        <is>
          <t>b3</t>
        </is>
      </c>
      <c r="E290" s="2" t="inlineStr">
        <is>
          <t>2.0mm</t>
        </is>
      </c>
      <c r="F290" s="2" t="n">
        <v>1</v>
      </c>
      <c r="G290" s="2" t="n">
        <v>30</v>
      </c>
      <c r="H290" s="2" t="inlineStr">
        <is>
          <t>LC/APC</t>
        </is>
      </c>
      <c r="I290" s="2" t="inlineStr">
        <is>
          <t>FC/APC</t>
        </is>
      </c>
      <c r="J290" s="2" t="n"/>
      <c r="K290" s="2" t="n"/>
      <c r="L290" s="2" t="n">
        <v>5</v>
      </c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>
        <f>SUM(J290:U290)*G290</f>
        <v/>
      </c>
      <c r="W290" s="2">
        <f>MAX(J290:U290)</f>
        <v/>
      </c>
      <c r="X290" s="2">
        <f>W290*G290</f>
        <v/>
      </c>
    </row>
    <row r="291">
      <c r="A291" s="2" t="inlineStr">
        <is>
          <t>A14-SB-ND40</t>
        </is>
      </c>
      <c r="B291" s="3" t="inlineStr">
        <is>
          <t>SOJC-SM-SC/PC-FC/APC</t>
        </is>
      </c>
      <c r="C291" s="2" t="inlineStr">
        <is>
          <t>50M, B3, 2.0mm</t>
        </is>
      </c>
      <c r="D291" s="2" t="inlineStr">
        <is>
          <t>b3</t>
        </is>
      </c>
      <c r="E291" s="2" t="inlineStr">
        <is>
          <t>2.0mm</t>
        </is>
      </c>
      <c r="F291" s="2" t="n">
        <v>1</v>
      </c>
      <c r="G291" s="2" t="n">
        <v>50</v>
      </c>
      <c r="H291" s="2" t="inlineStr">
        <is>
          <t>SC/PC</t>
        </is>
      </c>
      <c r="I291" s="2" t="inlineStr">
        <is>
          <t>FC/APC</t>
        </is>
      </c>
      <c r="J291" s="2" t="n">
        <v>1</v>
      </c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>
        <f>SUM(J291:U291)*G291</f>
        <v/>
      </c>
      <c r="W291" s="2">
        <f>MAX(J291:U291)</f>
        <v/>
      </c>
      <c r="X291" s="2">
        <f>W291*G291</f>
        <v/>
      </c>
    </row>
    <row r="292">
      <c r="A292" s="2" t="inlineStr">
        <is>
          <t>A14-TT-N575</t>
        </is>
      </c>
      <c r="B292" s="3" t="inlineStr">
        <is>
          <t>Optical Cable Parts,LC/PC-LC/PC-Single mode-10m-2Core</t>
        </is>
      </c>
      <c r="C292" s="2" t="inlineStr">
        <is>
          <t>657A2 , LSZH , LC DUPLEX KIT(CLIP),150MM/ 150MM</t>
        </is>
      </c>
      <c r="D292" s="2" t="inlineStr">
        <is>
          <t>a2</t>
        </is>
      </c>
      <c r="E292" s="2" t="inlineStr">
        <is>
          <t>2.0mm</t>
        </is>
      </c>
      <c r="F292" s="2" t="n">
        <v>2</v>
      </c>
      <c r="G292" s="2" t="n">
        <v>10</v>
      </c>
      <c r="H292" s="2" t="inlineStr">
        <is>
          <t>LC/PC</t>
        </is>
      </c>
      <c r="I292" s="2" t="inlineStr">
        <is>
          <t>LC/PC</t>
        </is>
      </c>
      <c r="J292" s="2" t="n"/>
      <c r="K292" s="2" t="n">
        <v>100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>
        <f>SUM(J292:U292)*G292</f>
        <v/>
      </c>
      <c r="W292" s="2">
        <f>MAX(J292:U292)</f>
        <v/>
      </c>
      <c r="X292" s="2">
        <f>W292*G292</f>
        <v/>
      </c>
    </row>
    <row r="293">
      <c r="A293" s="2" t="inlineStr">
        <is>
          <t>A14-TT-N576</t>
        </is>
      </c>
      <c r="B293" s="3" t="inlineStr">
        <is>
          <t>Optical Cable Parts,LC/PC-LC/PC-Single mode-15m-2Core</t>
        </is>
      </c>
      <c r="C293" s="2" t="inlineStr">
        <is>
          <t>657A2 , LSZH , LC DUPLEX KIT(CLIP),150MM/ 150MM</t>
        </is>
      </c>
      <c r="D293" s="2" t="inlineStr">
        <is>
          <t>a2</t>
        </is>
      </c>
      <c r="E293" s="2" t="inlineStr">
        <is>
          <t>2.0mm</t>
        </is>
      </c>
      <c r="F293" s="2" t="n">
        <v>2</v>
      </c>
      <c r="G293" s="2" t="n">
        <v>15</v>
      </c>
      <c r="H293" s="2" t="inlineStr">
        <is>
          <t>LC/PC</t>
        </is>
      </c>
      <c r="I293" s="2" t="inlineStr">
        <is>
          <t>LC/PC</t>
        </is>
      </c>
      <c r="J293" s="2" t="n"/>
      <c r="K293" s="2" t="n">
        <v>70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>
        <f>SUM(J293:U293)*G293</f>
        <v/>
      </c>
      <c r="W293" s="2">
        <f>MAX(J293:U293)</f>
        <v/>
      </c>
      <c r="X293" s="2">
        <f>W293*G293</f>
        <v/>
      </c>
    </row>
    <row r="294">
      <c r="A294" s="2" t="inlineStr">
        <is>
          <t>N90-PB-S01S</t>
        </is>
      </c>
      <c r="B294" s="3" t="inlineStr">
        <is>
          <t>PACKAGE BOX S-SIZE ITEM 1 (FOR SHIPPING)</t>
        </is>
      </c>
      <c r="C294" s="2" t="inlineStr">
        <is>
          <t>내측 : 310*164*228/AJW</t>
        </is>
      </c>
      <c r="D294" s="2" t="inlineStr">
        <is>
          <t>a1</t>
        </is>
      </c>
      <c r="E294" s="2" t="inlineStr">
        <is>
          <t>2.0mm</t>
        </is>
      </c>
      <c r="F294" s="2" t="n">
        <v>1</v>
      </c>
      <c r="G294" s="2" t="n"/>
      <c r="H294" s="2" t="n"/>
      <c r="I294" s="2" t="n"/>
      <c r="J294" s="2" t="n">
        <v>300</v>
      </c>
      <c r="K294" s="2" t="n"/>
      <c r="L294" s="2" t="n">
        <v>300</v>
      </c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>
        <f>SUM(J294:U294)*G294</f>
        <v/>
      </c>
      <c r="W294" s="2">
        <f>MAX(J294:U294)</f>
        <v/>
      </c>
      <c r="X294" s="2">
        <f>W294*G294</f>
        <v/>
      </c>
    </row>
    <row r="295">
      <c r="A295" s="2" t="inlineStr">
        <is>
          <t>N90-PB-S01SN</t>
        </is>
      </c>
      <c r="B295" s="3" t="inlineStr">
        <is>
          <t>PACKAGE BOX S-SIZE ITEM 1 (FOR SHIPPING,NO PRINT))</t>
        </is>
      </c>
      <c r="C295" s="2" t="inlineStr">
        <is>
          <t>내측 : 310*164*228/NO PRINT</t>
        </is>
      </c>
      <c r="D295" s="2" t="inlineStr">
        <is>
          <t>a1</t>
        </is>
      </c>
      <c r="E295" s="2" t="inlineStr">
        <is>
          <t>2.0mm</t>
        </is>
      </c>
      <c r="F295" s="2" t="n">
        <v>1</v>
      </c>
      <c r="G295" s="2" t="n"/>
      <c r="H295" s="2" t="n"/>
      <c r="I295" s="2" t="n"/>
      <c r="J295" s="2" t="n"/>
      <c r="K295" s="2" t="n"/>
      <c r="L295" s="2" t="n">
        <v>300</v>
      </c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>
        <f>SUM(J295:U295)*G295</f>
        <v/>
      </c>
      <c r="W295" s="2">
        <f>MAX(J295:U295)</f>
        <v/>
      </c>
      <c r="X295" s="2">
        <f>W295*G295</f>
        <v/>
      </c>
    </row>
    <row r="296">
      <c r="A296" s="2" t="inlineStr">
        <is>
          <t>P14-PB-OJCS</t>
        </is>
      </c>
      <c r="B296" s="3" t="inlineStr">
        <is>
          <t>PACKAGE BOX OJC (FOR SHIPPING)</t>
        </is>
      </c>
      <c r="C296" s="2" t="inlineStr">
        <is>
          <t>내측 : 405*370*303 / AJW</t>
        </is>
      </c>
      <c r="D296" s="2" t="inlineStr">
        <is>
          <t>a1</t>
        </is>
      </c>
      <c r="E296" s="2" t="inlineStr">
        <is>
          <t>2.0mm</t>
        </is>
      </c>
      <c r="F296" s="2" t="n">
        <v>1</v>
      </c>
      <c r="G296" s="2" t="n"/>
      <c r="H296" s="2" t="n"/>
      <c r="I296" s="2" t="n"/>
      <c r="J296" s="2" t="n">
        <v>300</v>
      </c>
      <c r="K296" s="2" t="n"/>
      <c r="L296" s="2" t="n">
        <v>400</v>
      </c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>
        <f>SUM(J296:U296)*G296</f>
        <v/>
      </c>
      <c r="W296" s="2">
        <f>MAX(J296:U296)</f>
        <v/>
      </c>
      <c r="X296" s="2">
        <f>W296*G296</f>
        <v/>
      </c>
    </row>
    <row r="297">
      <c r="A297" s="2" t="inlineStr">
        <is>
          <t>P14-PB-OJCSN</t>
        </is>
      </c>
      <c r="B297" s="3" t="inlineStr">
        <is>
          <t>PACKAGE BOX OJC (FOR SHIPPING,NO PRINT)</t>
        </is>
      </c>
      <c r="C297" s="2" t="inlineStr">
        <is>
          <t>내측 : 405*370*303 / NO PRINT</t>
        </is>
      </c>
      <c r="D297" s="2" t="inlineStr">
        <is>
          <t>a1</t>
        </is>
      </c>
      <c r="E297" s="2" t="inlineStr">
        <is>
          <t>2.0mm</t>
        </is>
      </c>
      <c r="F297" s="2" t="n">
        <v>1</v>
      </c>
      <c r="G297" s="2" t="n"/>
      <c r="H297" s="2" t="n"/>
      <c r="I297" s="2" t="n"/>
      <c r="J297" s="2" t="n">
        <v>200</v>
      </c>
      <c r="K297" s="2" t="n"/>
      <c r="L297" s="2" t="n">
        <v>300</v>
      </c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>
        <f>SUM(J297:U297)*G297</f>
        <v/>
      </c>
      <c r="W297" s="2">
        <f>MAX(J297:U297)</f>
        <v/>
      </c>
      <c r="X297" s="2">
        <f>W297*G297</f>
        <v/>
      </c>
    </row>
    <row r="298">
      <c r="A298" s="2" t="inlineStr">
        <is>
          <t>P47-PF-SGMP</t>
        </is>
      </c>
      <c r="B298" s="3" t="inlineStr">
        <is>
          <t>POLISHING METAL PAD</t>
        </is>
      </c>
      <c r="C298" s="2" t="inlineStr">
        <is>
          <t>5inch dia. 1200mesh</t>
        </is>
      </c>
      <c r="D298" s="2" t="inlineStr">
        <is>
          <t>a1</t>
        </is>
      </c>
      <c r="E298" s="2" t="inlineStr">
        <is>
          <t>2.0mm</t>
        </is>
      </c>
      <c r="F298" s="2" t="n">
        <v>1</v>
      </c>
      <c r="G298" s="2" t="n">
        <v>1200</v>
      </c>
      <c r="H298" s="2" t="n"/>
      <c r="I298" s="2" t="n"/>
      <c r="J298" s="2" t="n"/>
      <c r="K298" s="2" t="n"/>
      <c r="L298" s="2" t="n">
        <v>3</v>
      </c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>
        <f>SUM(J298:U298)*G298</f>
        <v/>
      </c>
      <c r="W298" s="2">
        <f>MAX(J298:U298)</f>
        <v/>
      </c>
      <c r="X298" s="2">
        <f>W298*G298</f>
        <v/>
      </c>
    </row>
    <row r="299">
      <c r="A299" s="2" t="inlineStr">
        <is>
          <t>P47-SB-0076</t>
        </is>
      </c>
      <c r="B299" s="3" t="inlineStr">
        <is>
          <t>에폭시(Epoxy)</t>
        </is>
      </c>
      <c r="C299" s="2" t="inlineStr">
        <is>
          <t>A269 A</t>
        </is>
      </c>
      <c r="D299" s="2" t="inlineStr">
        <is>
          <t>a1</t>
        </is>
      </c>
      <c r="E299" s="2" t="inlineStr">
        <is>
          <t>2.0mm</t>
        </is>
      </c>
      <c r="F299" s="2" t="n">
        <v>1</v>
      </c>
      <c r="G299" s="2" t="n"/>
      <c r="H299" s="2" t="n"/>
      <c r="I299" s="2" t="n"/>
      <c r="J299" s="2" t="n"/>
      <c r="K299" s="2" t="n">
        <v>10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>
        <f>SUM(J299:U299)*G299</f>
        <v/>
      </c>
      <c r="W299" s="2">
        <f>MAX(J299:U299)</f>
        <v/>
      </c>
      <c r="X299" s="2">
        <f>W299*G299</f>
        <v/>
      </c>
    </row>
    <row r="300">
      <c r="A300" s="2" t="inlineStr">
        <is>
          <t>P47-SB-0077</t>
        </is>
      </c>
      <c r="B300" s="3" t="inlineStr">
        <is>
          <t>경화제</t>
        </is>
      </c>
      <c r="C300" s="2" t="inlineStr">
        <is>
          <t>A269 B</t>
        </is>
      </c>
      <c r="D300" s="2" t="inlineStr">
        <is>
          <t>a1</t>
        </is>
      </c>
      <c r="E300" s="2" t="inlineStr">
        <is>
          <t>2.0mm</t>
        </is>
      </c>
      <c r="F300" s="2" t="n">
        <v>1</v>
      </c>
      <c r="G300" s="2" t="n"/>
      <c r="H300" s="2" t="n"/>
      <c r="I300" s="2" t="n"/>
      <c r="J300" s="2" t="n"/>
      <c r="K300" s="2" t="n">
        <v>3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>
        <f>SUM(J300:U300)*G300</f>
        <v/>
      </c>
      <c r="W300" s="2">
        <f>MAX(J300:U300)</f>
        <v/>
      </c>
      <c r="X300" s="2">
        <f>W300*G300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22" customWidth="1" min="4" max="4"/>
    <col width="8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4" customWidth="1" min="49" max="49"/>
  </cols>
  <sheetData>
    <row r="1" ht="40" customHeight="1">
      <c r="A1" s="1" t="inlineStr">
        <is>
          <t>품목코드</t>
        </is>
      </c>
      <c r="B1" s="1" t="inlineStr">
        <is>
          <t>품목명</t>
        </is>
      </c>
      <c r="C1" s="1" t="inlineStr">
        <is>
          <t>규격명</t>
        </is>
      </c>
      <c r="D1" s="1" t="inlineStr">
        <is>
          <t>케이블 종류</t>
        </is>
      </c>
      <c r="E1" s="1" t="inlineStr">
        <is>
          <t>파이</t>
        </is>
      </c>
      <c r="F1" s="1" t="inlineStr">
        <is>
          <t>코어수</t>
        </is>
      </c>
      <c r="G1" s="1" t="inlineStr">
        <is>
          <t>케이블 길이</t>
        </is>
      </c>
      <c r="H1" s="1" t="inlineStr">
        <is>
          <t>타입 1</t>
        </is>
      </c>
      <c r="I1" s="1" t="inlineStr">
        <is>
          <t>타입2</t>
        </is>
      </c>
      <c r="J1" s="1" t="inlineStr">
        <is>
          <t>26년01월</t>
        </is>
      </c>
      <c r="K1" s="1" t="inlineStr">
        <is>
          <t>26년02월</t>
        </is>
      </c>
      <c r="L1" s="1" t="inlineStr">
        <is>
          <t>26년03월</t>
        </is>
      </c>
      <c r="M1" s="1" t="inlineStr">
        <is>
          <t>26년04월</t>
        </is>
      </c>
      <c r="N1" s="1" t="inlineStr">
        <is>
          <t>26년05월</t>
        </is>
      </c>
      <c r="O1" s="1" t="inlineStr">
        <is>
          <t>26년06월</t>
        </is>
      </c>
      <c r="P1" s="1" t="inlineStr">
        <is>
          <t>26년07월</t>
        </is>
      </c>
      <c r="Q1" s="1" t="inlineStr">
        <is>
          <t>26년08월</t>
        </is>
      </c>
      <c r="R1" s="1" t="inlineStr">
        <is>
          <t>26년09월</t>
        </is>
      </c>
      <c r="S1" s="1" t="inlineStr">
        <is>
          <t>26년10월</t>
        </is>
      </c>
      <c r="T1" s="1" t="inlineStr">
        <is>
          <t>26년11월</t>
        </is>
      </c>
      <c r="U1" s="1" t="inlineStr">
        <is>
          <t>26년12월</t>
        </is>
      </c>
      <c r="V1" s="1" t="inlineStr">
        <is>
          <t>합계</t>
        </is>
      </c>
      <c r="W1" s="1" t="inlineStr">
        <is>
          <t>2.0MM - LC/PC(청색 하우징 키트)</t>
        </is>
      </c>
      <c r="X1" s="1" t="inlineStr">
        <is>
          <t>2.0MM - LC/PC(적색 하우징 키트)</t>
        </is>
      </c>
      <c r="Y1" s="1" t="inlineStr">
        <is>
          <t>2.0MM - LC/APC(녹색 하우징 키트)</t>
        </is>
      </c>
      <c r="Z1" s="1" t="inlineStr">
        <is>
          <t>2.0MM - LC/APC(적색 하우징 키트)</t>
        </is>
      </c>
      <c r="AA1" s="1" t="inlineStr">
        <is>
          <t>2.0MM - SC/PC(청) 하우징키트</t>
        </is>
      </c>
      <c r="AB1" s="1" t="inlineStr">
        <is>
          <t>2.0MM - SC/PC(적 부트) 하우징키트</t>
        </is>
      </c>
      <c r="AC1" s="1" t="inlineStr">
        <is>
          <t>2.0MM - SC/APC(녹)하우징키트</t>
        </is>
      </c>
      <c r="AD1" s="1" t="inlineStr">
        <is>
          <t>2.0MM - SC/APC(적)하우징키트</t>
        </is>
      </c>
      <c r="AE1" s="1" t="inlineStr">
        <is>
          <t>2.0MM - FC/PC(흑색 하우징키트)</t>
        </is>
      </c>
      <c r="AF1" s="1" t="inlineStr">
        <is>
          <t>2.0MM - FC/PC(적색 하우징키트)</t>
        </is>
      </c>
      <c r="AG1" s="1" t="inlineStr">
        <is>
          <t>2.0MM - FC/APC(녹색 하우징 키트)</t>
        </is>
      </c>
      <c r="AH1" s="1" t="inlineStr">
        <is>
          <t>2.0MM - FC/APC(적색 하우징 키트)</t>
        </is>
      </c>
      <c r="AI1" s="1" t="inlineStr">
        <is>
          <t>2.0MM - OJC LC/PC-MM 2.0 BEIGE</t>
        </is>
      </c>
      <c r="AJ1" s="1" t="inlineStr">
        <is>
          <t>3.0MM - LC/PC(청색 하우징 키트)</t>
        </is>
      </c>
      <c r="AK1" s="1" t="inlineStr">
        <is>
          <t>3.0MM - LC/PC(적색 하우징 키트)</t>
        </is>
      </c>
      <c r="AL1" s="1" t="inlineStr">
        <is>
          <t>3.0MM - LC/APC(녹색 하우징 키트)</t>
        </is>
      </c>
      <c r="AM1" s="1" t="inlineStr">
        <is>
          <t>3.0MM - LC/APC(적색 하우징 키트)</t>
        </is>
      </c>
      <c r="AN1" s="1" t="inlineStr">
        <is>
          <t>3.0MM - SC/PC(청) 하우징키트</t>
        </is>
      </c>
      <c r="AO1" s="1" t="inlineStr">
        <is>
          <t>3.0MM - SC/PC(적) 하우징키트</t>
        </is>
      </c>
      <c r="AP1" s="1" t="inlineStr">
        <is>
          <t>3.0MM - SC/APC(녹)</t>
        </is>
      </c>
      <c r="AQ1" s="1" t="inlineStr">
        <is>
          <t>3.0MM - SC/APC(적)</t>
        </is>
      </c>
      <c r="AR1" s="1" t="inlineStr">
        <is>
          <t>3.0MM - FC/PC(흑색 하우징키트)</t>
        </is>
      </c>
      <c r="AS1" s="1" t="inlineStr">
        <is>
          <t>3.0MM - FC/PC(적색 하우징키트)</t>
        </is>
      </c>
      <c r="AT1" s="1" t="inlineStr">
        <is>
          <t>3.0MM - FC/APC(녹색 하우징 키트)</t>
        </is>
      </c>
      <c r="AU1" s="1" t="inlineStr">
        <is>
          <t>3.0MM - FC/APC(적색 하우징 키트)</t>
        </is>
      </c>
      <c r="AV1" s="1" t="inlineStr">
        <is>
          <t>검증(하우징 필요수량)</t>
        </is>
      </c>
      <c r="AW1" s="1" t="inlineStr">
        <is>
          <t>하우징 계산 수량</t>
        </is>
      </c>
    </row>
    <row r="2">
      <c r="A2" s="2" t="inlineStr">
        <is>
          <t>14-C-005</t>
        </is>
      </c>
      <c r="B2" s="3" t="inlineStr">
        <is>
          <t>DROP-CABLE(LC/PC)</t>
        </is>
      </c>
      <c r="C2" s="2" t="inlineStr">
        <is>
          <t>3M</t>
        </is>
      </c>
      <c r="D2" s="2" t="inlineStr">
        <is>
          <t>drop</t>
        </is>
      </c>
      <c r="E2" s="2" t="inlineStr">
        <is>
          <t>3.0mm</t>
        </is>
      </c>
      <c r="F2" s="2" t="n">
        <v>1</v>
      </c>
      <c r="G2" s="2" t="n">
        <v>3</v>
      </c>
      <c r="H2" s="2" t="inlineStr">
        <is>
          <t>LC/PC</t>
        </is>
      </c>
      <c r="I2" s="2" t="inlineStr">
        <is>
          <t>LC/PC</t>
        </is>
      </c>
      <c r="J2" s="2" t="n">
        <v>50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>
        <f>SUM(J2:U2)</f>
        <v/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>
        <v>100</v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>
        <f>IF(F2=1,V2*2,IF(F2=2,V2*F2*2,IF(F2&gt;2,F2*2*V2)))</f>
        <v/>
      </c>
      <c r="AW2" s="2">
        <f>SUM(W2:AU2)</f>
        <v/>
      </c>
    </row>
    <row r="3">
      <c r="A3" s="2" t="inlineStr">
        <is>
          <t>14-C-006</t>
        </is>
      </c>
      <c r="B3" s="3" t="inlineStr">
        <is>
          <t>DROP-CABLE(LC/PC)</t>
        </is>
      </c>
      <c r="C3" s="2" t="inlineStr">
        <is>
          <t>5M</t>
        </is>
      </c>
      <c r="D3" s="2" t="inlineStr">
        <is>
          <t>drop</t>
        </is>
      </c>
      <c r="E3" s="2" t="inlineStr">
        <is>
          <t>3.0mm</t>
        </is>
      </c>
      <c r="F3" s="2" t="n">
        <v>1</v>
      </c>
      <c r="G3" s="2" t="n">
        <v>5</v>
      </c>
      <c r="H3" s="2" t="inlineStr">
        <is>
          <t>LC/PC</t>
        </is>
      </c>
      <c r="I3" s="2" t="inlineStr">
        <is>
          <t>LC/PC</t>
        </is>
      </c>
      <c r="J3" s="2" t="n"/>
      <c r="K3" s="2" t="n">
        <v>10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>
        <f>SUM(J3:U3)</f>
        <v/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>
        <v>20</v>
      </c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>
        <f>IF(F3=1,V3*2,IF(F3=2,V3*F3*2,IF(F3&gt;2,F3*2*V3)))</f>
        <v/>
      </c>
      <c r="AW3" s="2">
        <f>SUM(W3:AU3)</f>
        <v/>
      </c>
    </row>
    <row r="4">
      <c r="A4" s="2" t="inlineStr">
        <is>
          <t>14-C-009</t>
        </is>
      </c>
      <c r="B4" s="3" t="inlineStr">
        <is>
          <t>DROP-CABLE(LC/PC-SC/APC)</t>
        </is>
      </c>
      <c r="C4" s="2" t="inlineStr">
        <is>
          <t>10M</t>
        </is>
      </c>
      <c r="D4" s="2" t="inlineStr">
        <is>
          <t>drop</t>
        </is>
      </c>
      <c r="E4" s="2" t="inlineStr">
        <is>
          <t>3.0mm</t>
        </is>
      </c>
      <c r="F4" s="2" t="n">
        <v>1</v>
      </c>
      <c r="G4" s="2" t="n">
        <v>10</v>
      </c>
      <c r="H4" s="2" t="inlineStr">
        <is>
          <t>LC/PC</t>
        </is>
      </c>
      <c r="I4" s="2" t="inlineStr">
        <is>
          <t>SC/APC</t>
        </is>
      </c>
      <c r="J4" s="2" t="n">
        <v>110</v>
      </c>
      <c r="K4" s="2" t="n">
        <v>10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>
        <f>SUM(J4:U4)</f>
        <v/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>
        <v>120</v>
      </c>
      <c r="AK4" s="2" t="n"/>
      <c r="AL4" s="2" t="n"/>
      <c r="AM4" s="2" t="n"/>
      <c r="AN4" s="2" t="n"/>
      <c r="AO4" s="2" t="n"/>
      <c r="AP4" s="2" t="n">
        <v>120</v>
      </c>
      <c r="AQ4" s="2" t="n"/>
      <c r="AR4" s="2" t="n"/>
      <c r="AS4" s="2" t="n"/>
      <c r="AT4" s="2" t="n"/>
      <c r="AU4" s="2" t="n"/>
      <c r="AV4" s="2">
        <f>IF(F4=1,V4*2,IF(F4=2,V4*F4*2,IF(F4&gt;2,F4*2*V4)))</f>
        <v/>
      </c>
      <c r="AW4" s="2">
        <f>SUM(W4:AU4)</f>
        <v/>
      </c>
    </row>
    <row r="5">
      <c r="A5" s="2" t="inlineStr">
        <is>
          <t>14-C-010</t>
        </is>
      </c>
      <c r="B5" s="3" t="inlineStr">
        <is>
          <t>DROP-CABLE(LC/PC-SC/APC)</t>
        </is>
      </c>
      <c r="C5" s="2" t="inlineStr">
        <is>
          <t>20M</t>
        </is>
      </c>
      <c r="D5" s="2" t="inlineStr">
        <is>
          <t>drop</t>
        </is>
      </c>
      <c r="E5" s="2" t="inlineStr">
        <is>
          <t>3.0mm</t>
        </is>
      </c>
      <c r="F5" s="2" t="n">
        <v>1</v>
      </c>
      <c r="G5" s="2" t="n">
        <v>20</v>
      </c>
      <c r="H5" s="2" t="inlineStr">
        <is>
          <t>LC/PC</t>
        </is>
      </c>
      <c r="I5" s="2" t="inlineStr">
        <is>
          <t>SC/APC</t>
        </is>
      </c>
      <c r="J5" s="2" t="n"/>
      <c r="K5" s="2" t="n">
        <v>10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>
        <f>SUM(J5:U5)</f>
        <v/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>
        <v>10</v>
      </c>
      <c r="AK5" s="2" t="n"/>
      <c r="AL5" s="2" t="n"/>
      <c r="AM5" s="2" t="n"/>
      <c r="AN5" s="2" t="n"/>
      <c r="AO5" s="2" t="n"/>
      <c r="AP5" s="2" t="n">
        <v>10</v>
      </c>
      <c r="AQ5" s="2" t="n"/>
      <c r="AR5" s="2" t="n"/>
      <c r="AS5" s="2" t="n"/>
      <c r="AT5" s="2" t="n"/>
      <c r="AU5" s="2" t="n"/>
      <c r="AV5" s="2">
        <f>IF(F5=1,V5*2,IF(F5=2,V5*F5*2,IF(F5&gt;2,F5*2*V5)))</f>
        <v/>
      </c>
      <c r="AW5" s="2">
        <f>SUM(W5:AU5)</f>
        <v/>
      </c>
    </row>
    <row r="6">
      <c r="A6" s="2" t="inlineStr">
        <is>
          <t>14-C-013</t>
        </is>
      </c>
      <c r="B6" s="3" t="inlineStr">
        <is>
          <t>DROP-CABLE(SC/APC)</t>
        </is>
      </c>
      <c r="C6" s="2" t="inlineStr">
        <is>
          <t>10M</t>
        </is>
      </c>
      <c r="D6" s="2" t="inlineStr">
        <is>
          <t>drop</t>
        </is>
      </c>
      <c r="E6" s="2" t="inlineStr">
        <is>
          <t>3.0mm</t>
        </is>
      </c>
      <c r="F6" s="2" t="n">
        <v>1</v>
      </c>
      <c r="G6" s="2" t="n">
        <v>10</v>
      </c>
      <c r="H6" s="2" t="inlineStr">
        <is>
          <t>SC/APC</t>
        </is>
      </c>
      <c r="I6" s="2" t="inlineStr">
        <is>
          <t>SC/APC</t>
        </is>
      </c>
      <c r="J6" s="2" t="n">
        <v>5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>
        <f>SUM(J6:U6)</f>
        <v/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>
        <v>10</v>
      </c>
      <c r="AQ6" s="2" t="n"/>
      <c r="AR6" s="2" t="n"/>
      <c r="AS6" s="2" t="n"/>
      <c r="AT6" s="2" t="n"/>
      <c r="AU6" s="2" t="n"/>
      <c r="AV6" s="2">
        <f>IF(F6=1,V6*2,IF(F6=2,V6*F6*2,IF(F6&gt;2,F6*2*V6)))</f>
        <v/>
      </c>
      <c r="AW6" s="2">
        <f>SUM(W6:AU6)</f>
        <v/>
      </c>
    </row>
    <row r="7">
      <c r="A7" s="2" t="inlineStr">
        <is>
          <t>14-C-024</t>
        </is>
      </c>
      <c r="B7" s="3" t="inlineStr">
        <is>
          <t>DROP-CABLE(SC/APC)</t>
        </is>
      </c>
      <c r="C7" s="2" t="inlineStr">
        <is>
          <t>50M</t>
        </is>
      </c>
      <c r="D7" s="2" t="inlineStr">
        <is>
          <t>drop</t>
        </is>
      </c>
      <c r="E7" s="2" t="inlineStr">
        <is>
          <t>3.0mm</t>
        </is>
      </c>
      <c r="F7" s="2" t="n">
        <v>1</v>
      </c>
      <c r="G7" s="2" t="n">
        <v>50</v>
      </c>
      <c r="H7" s="2" t="inlineStr">
        <is>
          <t>SC/APC</t>
        </is>
      </c>
      <c r="I7" s="2" t="inlineStr">
        <is>
          <t>SC/APC</t>
        </is>
      </c>
      <c r="J7" s="2" t="n"/>
      <c r="K7" s="2" t="n">
        <v>1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>
        <f>SUM(J7:U7)</f>
        <v/>
      </c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>
        <v>2</v>
      </c>
      <c r="AQ7" s="2" t="n"/>
      <c r="AR7" s="2" t="n"/>
      <c r="AS7" s="2" t="n"/>
      <c r="AT7" s="2" t="n"/>
      <c r="AU7" s="2" t="n"/>
      <c r="AV7" s="2">
        <f>IF(F7=1,V7*2,IF(F7=2,V7*F7*2,IF(F7&gt;2,F7*2*V7)))</f>
        <v/>
      </c>
      <c r="AW7" s="2">
        <f>SUM(W7:AU7)</f>
        <v/>
      </c>
    </row>
    <row r="8">
      <c r="A8" s="2" t="inlineStr">
        <is>
          <t>14-C-055</t>
        </is>
      </c>
      <c r="B8" s="3" t="inlineStr">
        <is>
          <t>DROP-CABLE(SC/PC)</t>
        </is>
      </c>
      <c r="C8" s="2" t="inlineStr">
        <is>
          <t>3M</t>
        </is>
      </c>
      <c r="D8" s="2" t="inlineStr">
        <is>
          <t>drop</t>
        </is>
      </c>
      <c r="E8" s="2" t="inlineStr">
        <is>
          <t>3.0mm</t>
        </is>
      </c>
      <c r="F8" s="2" t="n">
        <v>1</v>
      </c>
      <c r="G8" s="2" t="n">
        <v>3</v>
      </c>
      <c r="H8" s="2" t="inlineStr">
        <is>
          <t>SC/PC</t>
        </is>
      </c>
      <c r="I8" s="2" t="inlineStr">
        <is>
          <t>SC/PC</t>
        </is>
      </c>
      <c r="J8" s="2" t="n"/>
      <c r="K8" s="2" t="n"/>
      <c r="L8" s="2" t="n">
        <v>20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>
        <f>SUM(J8:U8)</f>
        <v/>
      </c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>
        <v>40</v>
      </c>
      <c r="AO8" s="2" t="n"/>
      <c r="AP8" s="2" t="n"/>
      <c r="AQ8" s="2" t="n"/>
      <c r="AR8" s="2" t="n"/>
      <c r="AS8" s="2" t="n"/>
      <c r="AT8" s="2" t="n"/>
      <c r="AU8" s="2" t="n"/>
      <c r="AV8" s="2">
        <f>IF(F8=1,V8*2,IF(F8=2,V8*F8*2,IF(F8&gt;2,F8*2*V8)))</f>
        <v/>
      </c>
      <c r="AW8" s="2">
        <f>SUM(W8:AU8)</f>
        <v/>
      </c>
    </row>
    <row r="9">
      <c r="A9" s="2" t="inlineStr">
        <is>
          <t>14-C-094</t>
        </is>
      </c>
      <c r="B9" s="3" t="inlineStr">
        <is>
          <t>DROP-CABLE(SC/PC-SC/APC)</t>
        </is>
      </c>
      <c r="C9" s="2" t="inlineStr">
        <is>
          <t>5M</t>
        </is>
      </c>
      <c r="D9" s="2" t="inlineStr">
        <is>
          <t>drop</t>
        </is>
      </c>
      <c r="E9" s="2" t="inlineStr">
        <is>
          <t>3.0mm</t>
        </is>
      </c>
      <c r="F9" s="2" t="n">
        <v>1</v>
      </c>
      <c r="G9" s="2" t="n">
        <v>5</v>
      </c>
      <c r="H9" s="2" t="inlineStr">
        <is>
          <t>SC/PC</t>
        </is>
      </c>
      <c r="I9" s="2" t="inlineStr">
        <is>
          <t>SC/APC</t>
        </is>
      </c>
      <c r="J9" s="2" t="n">
        <v>10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>
        <f>SUM(J9:U9)</f>
        <v/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>
        <v>10</v>
      </c>
      <c r="AO9" s="2" t="n"/>
      <c r="AP9" s="2" t="n">
        <v>10</v>
      </c>
      <c r="AQ9" s="2" t="n"/>
      <c r="AR9" s="2" t="n"/>
      <c r="AS9" s="2" t="n"/>
      <c r="AT9" s="2" t="n"/>
      <c r="AU9" s="2" t="n"/>
      <c r="AV9" s="2">
        <f>IF(F9=1,V9*2,IF(F9=2,V9*F9*2,IF(F9&gt;2,F9*2*V9)))</f>
        <v/>
      </c>
      <c r="AW9" s="2">
        <f>SUM(W9:AU9)</f>
        <v/>
      </c>
    </row>
    <row r="10">
      <c r="A10" s="2" t="inlineStr">
        <is>
          <t>14-C-130</t>
        </is>
      </c>
      <c r="B10" s="3" t="inlineStr">
        <is>
          <t>DROP-CABLE(LC/PC-SC/APC)</t>
        </is>
      </c>
      <c r="C10" s="2" t="inlineStr">
        <is>
          <t>15M</t>
        </is>
      </c>
      <c r="D10" s="2" t="inlineStr">
        <is>
          <t>drop</t>
        </is>
      </c>
      <c r="E10" s="2" t="inlineStr">
        <is>
          <t>3.0mm</t>
        </is>
      </c>
      <c r="F10" s="2" t="n">
        <v>1</v>
      </c>
      <c r="G10" s="2" t="n">
        <v>15</v>
      </c>
      <c r="H10" s="2" t="inlineStr">
        <is>
          <t>LC/PC</t>
        </is>
      </c>
      <c r="I10" s="2" t="inlineStr">
        <is>
          <t>SC/APC</t>
        </is>
      </c>
      <c r="J10" s="2" t="n">
        <v>110</v>
      </c>
      <c r="K10" s="2" t="n">
        <v>10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>
        <f>SUM(J10:U10)</f>
        <v/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>
        <v>120</v>
      </c>
      <c r="AK10" s="2" t="n"/>
      <c r="AL10" s="2" t="n"/>
      <c r="AM10" s="2" t="n"/>
      <c r="AN10" s="2" t="n"/>
      <c r="AO10" s="2" t="n"/>
      <c r="AP10" s="2" t="n">
        <v>120</v>
      </c>
      <c r="AQ10" s="2" t="n"/>
      <c r="AR10" s="2" t="n"/>
      <c r="AS10" s="2" t="n"/>
      <c r="AT10" s="2" t="n"/>
      <c r="AU10" s="2" t="n"/>
      <c r="AV10" s="2">
        <f>IF(F10=1,V10*2,IF(F10=2,V10*F10*2,IF(F10&gt;2,F10*2*V10)))</f>
        <v/>
      </c>
      <c r="AW10" s="2">
        <f>SUM(W10:AU10)</f>
        <v/>
      </c>
    </row>
    <row r="11">
      <c r="A11" s="2" t="inlineStr">
        <is>
          <t>14-C-360</t>
        </is>
      </c>
      <c r="B11" s="3" t="inlineStr">
        <is>
          <t>DROP-CABLE(LC/PC-SC/APC)</t>
        </is>
      </c>
      <c r="C11" s="2" t="inlineStr">
        <is>
          <t>3M</t>
        </is>
      </c>
      <c r="D11" s="2" t="inlineStr">
        <is>
          <t>drop</t>
        </is>
      </c>
      <c r="E11" s="2" t="inlineStr">
        <is>
          <t>3.0mm</t>
        </is>
      </c>
      <c r="F11" s="2" t="n">
        <v>1</v>
      </c>
      <c r="G11" s="2" t="n">
        <v>3</v>
      </c>
      <c r="H11" s="2" t="inlineStr">
        <is>
          <t>LC/PC</t>
        </is>
      </c>
      <c r="I11" s="2" t="inlineStr">
        <is>
          <t>SC/APC</t>
        </is>
      </c>
      <c r="J11" s="2" t="n"/>
      <c r="K11" s="2" t="n">
        <v>10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>
        <f>SUM(J11:U11)</f>
        <v/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>
        <v>10</v>
      </c>
      <c r="AK11" s="2" t="n"/>
      <c r="AL11" s="2" t="n"/>
      <c r="AM11" s="2" t="n"/>
      <c r="AN11" s="2" t="n"/>
      <c r="AO11" s="2" t="n"/>
      <c r="AP11" s="2" t="n">
        <v>10</v>
      </c>
      <c r="AQ11" s="2" t="n"/>
      <c r="AR11" s="2" t="n"/>
      <c r="AS11" s="2" t="n"/>
      <c r="AT11" s="2" t="n"/>
      <c r="AU11" s="2" t="n"/>
      <c r="AV11" s="2">
        <f>IF(F11=1,V11*2,IF(F11=2,V11*F11*2,IF(F11&gt;2,F11*2*V11)))</f>
        <v/>
      </c>
      <c r="AW11" s="2">
        <f>SUM(W11:AU11)</f>
        <v/>
      </c>
    </row>
    <row r="12">
      <c r="A12" s="2" t="inlineStr">
        <is>
          <t>14-C-361</t>
        </is>
      </c>
      <c r="B12" s="3" t="inlineStr">
        <is>
          <t>DROP-CABLE(LC/PC-SC/APC)</t>
        </is>
      </c>
      <c r="C12" s="2" t="inlineStr">
        <is>
          <t>5M</t>
        </is>
      </c>
      <c r="D12" s="2" t="inlineStr">
        <is>
          <t>drop</t>
        </is>
      </c>
      <c r="E12" s="2" t="inlineStr">
        <is>
          <t>3.0mm</t>
        </is>
      </c>
      <c r="F12" s="2" t="n">
        <v>1</v>
      </c>
      <c r="G12" s="2" t="n">
        <v>5</v>
      </c>
      <c r="H12" s="2" t="inlineStr">
        <is>
          <t>LC/PC</t>
        </is>
      </c>
      <c r="I12" s="2" t="inlineStr">
        <is>
          <t>SC/APC</t>
        </is>
      </c>
      <c r="J12" s="2" t="n">
        <v>20</v>
      </c>
      <c r="K12" s="2" t="n">
        <v>10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>
        <f>SUM(J12:U12)</f>
        <v/>
      </c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>
        <v>30</v>
      </c>
      <c r="AK12" s="2" t="n"/>
      <c r="AL12" s="2" t="n"/>
      <c r="AM12" s="2" t="n"/>
      <c r="AN12" s="2" t="n"/>
      <c r="AO12" s="2" t="n"/>
      <c r="AP12" s="2" t="n">
        <v>30</v>
      </c>
      <c r="AQ12" s="2" t="n"/>
      <c r="AR12" s="2" t="n"/>
      <c r="AS12" s="2" t="n"/>
      <c r="AT12" s="2" t="n"/>
      <c r="AU12" s="2" t="n"/>
      <c r="AV12" s="2">
        <f>IF(F12=1,V12*2,IF(F12=2,V12*F12*2,IF(F12&gt;2,F12*2*V12)))</f>
        <v/>
      </c>
      <c r="AW12" s="2">
        <f>SUM(W12:AU12)</f>
        <v/>
      </c>
    </row>
    <row r="13">
      <c r="A13" s="2" t="inlineStr">
        <is>
          <t>14-C-407</t>
        </is>
      </c>
      <c r="B13" s="3" t="inlineStr">
        <is>
          <t>Optical Cable Parts,LC/PC-LC/PC-Single mode-40m-2Core</t>
        </is>
      </c>
      <c r="C13" s="2" t="inlineStr">
        <is>
          <t>657A2 , LSZH</t>
        </is>
      </c>
      <c r="D13" s="2" t="inlineStr">
        <is>
          <t>a2</t>
        </is>
      </c>
      <c r="E13" s="2" t="inlineStr">
        <is>
          <t>2.0mm</t>
        </is>
      </c>
      <c r="F13" s="2" t="n">
        <v>2</v>
      </c>
      <c r="G13" s="2" t="n">
        <v>40</v>
      </c>
      <c r="H13" s="2" t="inlineStr">
        <is>
          <t>LC/PC</t>
        </is>
      </c>
      <c r="I13" s="2" t="inlineStr">
        <is>
          <t>LC/PC</t>
        </is>
      </c>
      <c r="J13" s="2" t="n">
        <v>40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>
        <f>SUM(J13:U13)</f>
        <v/>
      </c>
      <c r="W13" s="2" t="n">
        <v>80</v>
      </c>
      <c r="X13" s="2" t="n">
        <v>80</v>
      </c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>
        <f>IF(F13=1,V13*2,IF(F13=2,V13*F13*2,IF(F13&gt;2,F13*2*V13)))</f>
        <v/>
      </c>
      <c r="AW13" s="2">
        <f>SUM(W13:AU13)</f>
        <v/>
      </c>
    </row>
    <row r="14">
      <c r="A14" s="2" t="inlineStr">
        <is>
          <t>14-C-408</t>
        </is>
      </c>
      <c r="B14" s="3" t="inlineStr">
        <is>
          <t>Optical Cable Parts,LC/PC-LC/PC-Single mode-50m-2Core</t>
        </is>
      </c>
      <c r="C14" s="2" t="inlineStr">
        <is>
          <t>657A2 , LSZH</t>
        </is>
      </c>
      <c r="D14" s="2" t="inlineStr">
        <is>
          <t>a2</t>
        </is>
      </c>
      <c r="E14" s="2" t="inlineStr">
        <is>
          <t>2.0mm</t>
        </is>
      </c>
      <c r="F14" s="2" t="n">
        <v>2</v>
      </c>
      <c r="G14" s="2" t="n">
        <v>50</v>
      </c>
      <c r="H14" s="2" t="inlineStr">
        <is>
          <t>LC/PC</t>
        </is>
      </c>
      <c r="I14" s="2" t="inlineStr">
        <is>
          <t>LC/PC</t>
        </is>
      </c>
      <c r="J14" s="2" t="n">
        <v>10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>
        <f>SUM(J14:U14)</f>
        <v/>
      </c>
      <c r="W14" s="2" t="n">
        <v>20</v>
      </c>
      <c r="X14" s="2" t="n">
        <v>20</v>
      </c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>
        <f>IF(F14=1,V14*2,IF(F14=2,V14*F14*2,IF(F14&gt;2,F14*2*V14)))</f>
        <v/>
      </c>
      <c r="AW14" s="2">
        <f>SUM(W14:AU14)</f>
        <v/>
      </c>
    </row>
    <row r="15">
      <c r="A15" s="2" t="inlineStr">
        <is>
          <t>14-C-409</t>
        </is>
      </c>
      <c r="B15" s="3" t="inlineStr">
        <is>
          <t>Optical Cable Parts,LC/PC-LC/PC-Single mode-60m-2Core</t>
        </is>
      </c>
      <c r="C15" s="2" t="inlineStr">
        <is>
          <t>657A2 , LSZH</t>
        </is>
      </c>
      <c r="D15" s="2" t="inlineStr">
        <is>
          <t>a2</t>
        </is>
      </c>
      <c r="E15" s="2" t="inlineStr">
        <is>
          <t>2.0mm</t>
        </is>
      </c>
      <c r="F15" s="2" t="n">
        <v>2</v>
      </c>
      <c r="G15" s="2" t="n">
        <v>60</v>
      </c>
      <c r="H15" s="2" t="inlineStr">
        <is>
          <t>LC/PC</t>
        </is>
      </c>
      <c r="I15" s="2" t="inlineStr">
        <is>
          <t>LC/PC</t>
        </is>
      </c>
      <c r="J15" s="2" t="n">
        <v>10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>
        <f>SUM(J15:U15)</f>
        <v/>
      </c>
      <c r="W15" s="2" t="n">
        <v>20</v>
      </c>
      <c r="X15" s="2" t="n">
        <v>20</v>
      </c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>
        <f>IF(F15=1,V15*2,IF(F15=2,V15*F15*2,IF(F15&gt;2,F15*2*V15)))</f>
        <v/>
      </c>
      <c r="AW15" s="2">
        <f>SUM(W15:AU15)</f>
        <v/>
      </c>
    </row>
    <row r="16">
      <c r="A16" s="2" t="inlineStr">
        <is>
          <t>14-C-425</t>
        </is>
      </c>
      <c r="B16" s="3" t="inlineStr">
        <is>
          <t>DROP-CABLE(LC/PC-SC/APC)</t>
        </is>
      </c>
      <c r="C16" s="2" t="inlineStr">
        <is>
          <t>7M</t>
        </is>
      </c>
      <c r="D16" s="2" t="inlineStr">
        <is>
          <t>drop</t>
        </is>
      </c>
      <c r="E16" s="2" t="inlineStr">
        <is>
          <t>3.0mm</t>
        </is>
      </c>
      <c r="F16" s="2" t="n">
        <v>1</v>
      </c>
      <c r="G16" s="2" t="n">
        <v>7</v>
      </c>
      <c r="H16" s="2" t="inlineStr">
        <is>
          <t>LC/PC</t>
        </is>
      </c>
      <c r="I16" s="2" t="inlineStr">
        <is>
          <t>SC/APC</t>
        </is>
      </c>
      <c r="J16" s="2" t="n"/>
      <c r="K16" s="2" t="n">
        <v>10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>
        <f>SUM(J16:U16)</f>
        <v/>
      </c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>
        <v>10</v>
      </c>
      <c r="AK16" s="2" t="n"/>
      <c r="AL16" s="2" t="n"/>
      <c r="AM16" s="2" t="n"/>
      <c r="AN16" s="2" t="n"/>
      <c r="AO16" s="2" t="n"/>
      <c r="AP16" s="2" t="n">
        <v>10</v>
      </c>
      <c r="AQ16" s="2" t="n"/>
      <c r="AR16" s="2" t="n"/>
      <c r="AS16" s="2" t="n"/>
      <c r="AT16" s="2" t="n"/>
      <c r="AU16" s="2" t="n"/>
      <c r="AV16" s="2">
        <f>IF(F16=1,V16*2,IF(F16=2,V16*F16*2,IF(F16&gt;2,F16*2*V16)))</f>
        <v/>
      </c>
      <c r="AW16" s="2">
        <f>SUM(W16:AU16)</f>
        <v/>
      </c>
    </row>
    <row r="17">
      <c r="A17" s="2" t="inlineStr">
        <is>
          <t>14-C-484</t>
        </is>
      </c>
      <c r="B17" s="3" t="inlineStr">
        <is>
          <t>DROP-CABLE(LC/APC)</t>
        </is>
      </c>
      <c r="C17" s="2" t="inlineStr">
        <is>
          <t>10M</t>
        </is>
      </c>
      <c r="D17" s="2" t="inlineStr">
        <is>
          <t>drop</t>
        </is>
      </c>
      <c r="E17" s="2" t="inlineStr">
        <is>
          <t>3.0mm</t>
        </is>
      </c>
      <c r="F17" s="2" t="n">
        <v>1</v>
      </c>
      <c r="G17" s="2" t="n">
        <v>10</v>
      </c>
      <c r="H17" s="2" t="inlineStr">
        <is>
          <t>LC/APC</t>
        </is>
      </c>
      <c r="I17" s="2" t="inlineStr">
        <is>
          <t>LC/APC</t>
        </is>
      </c>
      <c r="J17" s="2" t="n">
        <v>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>
        <f>SUM(J17:U17)</f>
        <v/>
      </c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>
        <v>10</v>
      </c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>
        <f>IF(F17=1,V17*2,IF(F17=2,V17*F17*2,IF(F17&gt;2,F17*2*V17)))</f>
        <v/>
      </c>
      <c r="AW17" s="2">
        <f>SUM(W17:AU17)</f>
        <v/>
      </c>
    </row>
    <row r="18">
      <c r="A18" s="2" t="inlineStr">
        <is>
          <t>14-C-515</t>
        </is>
      </c>
      <c r="B18" s="3" t="inlineStr">
        <is>
          <t>Optical Cable Parts,LC/PC-LC/PC-Single mode-20m-1Core</t>
        </is>
      </c>
      <c r="C18" s="2" t="inlineStr">
        <is>
          <t>657A2 , LSZH</t>
        </is>
      </c>
      <c r="D18" s="2" t="inlineStr">
        <is>
          <t>a2</t>
        </is>
      </c>
      <c r="E18" s="2" t="inlineStr">
        <is>
          <t>2.0mm</t>
        </is>
      </c>
      <c r="F18" s="2" t="n">
        <v>1</v>
      </c>
      <c r="G18" s="2" t="n">
        <v>20</v>
      </c>
      <c r="H18" s="2" t="inlineStr">
        <is>
          <t>LC/PC</t>
        </is>
      </c>
      <c r="I18" s="2" t="inlineStr">
        <is>
          <t>LC/PC</t>
        </is>
      </c>
      <c r="J18" s="2" t="n">
        <v>80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>
        <f>SUM(J18:U18)</f>
        <v/>
      </c>
      <c r="W18" s="2" t="n">
        <v>160</v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>
        <f>IF(F18=1,V18*2,IF(F18=2,V18*F18*2,IF(F18&gt;2,F18*2*V18)))</f>
        <v/>
      </c>
      <c r="AW18" s="2">
        <f>SUM(W18:AU18)</f>
        <v/>
      </c>
    </row>
    <row r="19">
      <c r="A19" s="2" t="inlineStr">
        <is>
          <t>14-C-600</t>
        </is>
      </c>
      <c r="B19" s="3" t="inlineStr">
        <is>
          <t>DROP-CABLE(LC/PC)-2C</t>
        </is>
      </c>
      <c r="C19" s="2" t="inlineStr">
        <is>
          <t>20M</t>
        </is>
      </c>
      <c r="D19" s="2" t="inlineStr">
        <is>
          <t>drop</t>
        </is>
      </c>
      <c r="E19" s="2" t="inlineStr">
        <is>
          <t>3.0mm</t>
        </is>
      </c>
      <c r="F19" s="2" t="n">
        <v>2</v>
      </c>
      <c r="G19" s="2" t="n">
        <v>20</v>
      </c>
      <c r="H19" s="2" t="inlineStr">
        <is>
          <t>LC/PC</t>
        </is>
      </c>
      <c r="I19" s="2" t="inlineStr">
        <is>
          <t>LC/PC</t>
        </is>
      </c>
      <c r="J19" s="2" t="n">
        <v>20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>
        <f>SUM(J19:U19)</f>
        <v/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>
        <v>40</v>
      </c>
      <c r="AK19" s="2" t="n">
        <v>40</v>
      </c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>
        <f>IF(F19=1,V19*2,IF(F19=2,V19*F19*2,IF(F19&gt;2,F19*2*V19)))</f>
        <v/>
      </c>
      <c r="AW19" s="2">
        <f>SUM(W19:AU19)</f>
        <v/>
      </c>
    </row>
    <row r="20">
      <c r="A20" s="2" t="inlineStr">
        <is>
          <t>14-D-009</t>
        </is>
      </c>
      <c r="B20" s="3" t="inlineStr">
        <is>
          <t>DOJC-MM(OM3)-LC/PC-LC/PC</t>
        </is>
      </c>
      <c r="C20" s="2" t="inlineStr">
        <is>
          <t>12M</t>
        </is>
      </c>
      <c r="D20" s="2" t="inlineStr">
        <is>
          <t>om3</t>
        </is>
      </c>
      <c r="E20" s="2" t="inlineStr">
        <is>
          <t>2.0mm</t>
        </is>
      </c>
      <c r="F20" s="2" t="n">
        <v>2</v>
      </c>
      <c r="G20" s="2" t="n">
        <v>12</v>
      </c>
      <c r="H20" s="2" t="inlineStr">
        <is>
          <t>LC/PC</t>
        </is>
      </c>
      <c r="I20" s="2" t="inlineStr">
        <is>
          <t>LC/PC</t>
        </is>
      </c>
      <c r="J20" s="2" t="n">
        <v>7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>
        <f>SUM(J20:U20)</f>
        <v/>
      </c>
      <c r="W20" s="2" t="n"/>
      <c r="X20" s="2" t="n">
        <v>14</v>
      </c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>
        <v>14</v>
      </c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>
        <f>IF(F20=1,V20*2,IF(F20=2,V20*F20*2,IF(F20&gt;2,F20*2*V20)))</f>
        <v/>
      </c>
      <c r="AW20" s="2">
        <f>SUM(W20:AU20)</f>
        <v/>
      </c>
    </row>
    <row r="21">
      <c r="A21" s="2" t="inlineStr">
        <is>
          <t>14-D-027</t>
        </is>
      </c>
      <c r="B21" s="3" t="inlineStr">
        <is>
          <t>DOJC-MM(OM3)-LC/PC-LC/PC</t>
        </is>
      </c>
      <c r="C21" s="2" t="inlineStr">
        <is>
          <t>7M</t>
        </is>
      </c>
      <c r="D21" s="2" t="inlineStr">
        <is>
          <t>om3</t>
        </is>
      </c>
      <c r="E21" s="2" t="inlineStr">
        <is>
          <t>2.0mm</t>
        </is>
      </c>
      <c r="F21" s="2" t="n">
        <v>2</v>
      </c>
      <c r="G21" s="2" t="n">
        <v>7</v>
      </c>
      <c r="H21" s="2" t="inlineStr">
        <is>
          <t>LC/PC</t>
        </is>
      </c>
      <c r="I21" s="2" t="inlineStr">
        <is>
          <t>LC/PC</t>
        </is>
      </c>
      <c r="J21" s="2" t="n">
        <v>50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>
        <f>SUM(J21:U21)</f>
        <v/>
      </c>
      <c r="W21" s="2" t="n"/>
      <c r="X21" s="2" t="n">
        <v>100</v>
      </c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>
        <v>100</v>
      </c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>
        <f>IF(F21=1,V21*2,IF(F21=2,V21*F21*2,IF(F21&gt;2,F21*2*V21)))</f>
        <v/>
      </c>
      <c r="AW21" s="2">
        <f>SUM(W21:AU21)</f>
        <v/>
      </c>
    </row>
    <row r="22">
      <c r="A22" s="2" t="inlineStr">
        <is>
          <t>14-D-029</t>
        </is>
      </c>
      <c r="B22" s="3" t="inlineStr">
        <is>
          <t>DOJC-MM(OM3)-LC/PC-SC/PC</t>
        </is>
      </c>
      <c r="C22" s="2" t="inlineStr">
        <is>
          <t>10M</t>
        </is>
      </c>
      <c r="D22" s="2" t="inlineStr">
        <is>
          <t>om3</t>
        </is>
      </c>
      <c r="E22" s="2" t="inlineStr">
        <is>
          <t>2.0mm</t>
        </is>
      </c>
      <c r="F22" s="2" t="n">
        <v>2</v>
      </c>
      <c r="G22" s="2" t="n">
        <v>10</v>
      </c>
      <c r="H22" s="2" t="inlineStr">
        <is>
          <t>LC/PC</t>
        </is>
      </c>
      <c r="I22" s="2" t="inlineStr">
        <is>
          <t>SC/PC</t>
        </is>
      </c>
      <c r="J22" s="2" t="n"/>
      <c r="K22" s="2" t="n">
        <v>10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>
        <f>SUM(J22:U22)</f>
        <v/>
      </c>
      <c r="W22" s="2" t="n"/>
      <c r="X22" s="2" t="n"/>
      <c r="Y22" s="2" t="n"/>
      <c r="Z22" s="2" t="n"/>
      <c r="AA22" s="2" t="n"/>
      <c r="AB22" s="2" t="n">
        <v>20</v>
      </c>
      <c r="AC22" s="2" t="n"/>
      <c r="AD22" s="2" t="n"/>
      <c r="AE22" s="2" t="n"/>
      <c r="AF22" s="2" t="n"/>
      <c r="AG22" s="2" t="n"/>
      <c r="AH22" s="2" t="n"/>
      <c r="AI22" s="2" t="n">
        <v>20</v>
      </c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>
        <f>IF(F22=1,V22*2,IF(F22=2,V22*F22*2,IF(F22&gt;2,F22*2*V22)))</f>
        <v/>
      </c>
      <c r="AW22" s="2">
        <f>SUM(W22:AU22)</f>
        <v/>
      </c>
    </row>
    <row r="23">
      <c r="A23" s="2" t="inlineStr">
        <is>
          <t>14-D-051</t>
        </is>
      </c>
      <c r="B23" s="3" t="inlineStr">
        <is>
          <t>DOJC-MM-LC/PC-LC/PC</t>
        </is>
      </c>
      <c r="C23" s="2" t="inlineStr">
        <is>
          <t>35M</t>
        </is>
      </c>
      <c r="D23" s="2" t="inlineStr">
        <is>
          <t>om1</t>
        </is>
      </c>
      <c r="E23" s="2" t="inlineStr">
        <is>
          <t>2.0mm</t>
        </is>
      </c>
      <c r="F23" s="2" t="n">
        <v>2</v>
      </c>
      <c r="G23" s="2" t="n">
        <v>35</v>
      </c>
      <c r="H23" s="2" t="inlineStr">
        <is>
          <t>LC/PC</t>
        </is>
      </c>
      <c r="I23" s="2" t="inlineStr">
        <is>
          <t>LC/PC</t>
        </is>
      </c>
      <c r="J23" s="2" t="n"/>
      <c r="K23" s="2" t="n">
        <v>3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>
        <f>SUM(J23:U23)</f>
        <v/>
      </c>
      <c r="W23" s="2" t="n"/>
      <c r="X23" s="2" t="n">
        <v>6</v>
      </c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>
        <v>6</v>
      </c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>
        <f>IF(F23=1,V23*2,IF(F23=2,V23*F23*2,IF(F23&gt;2,F23*2*V23)))</f>
        <v/>
      </c>
      <c r="AW23" s="2">
        <f>SUM(W23:AU23)</f>
        <v/>
      </c>
    </row>
    <row r="24">
      <c r="A24" s="2" t="inlineStr">
        <is>
          <t>14-D-053</t>
        </is>
      </c>
      <c r="B24" s="3" t="inlineStr">
        <is>
          <t>DOJC-MM-LC/PC-LC/PC</t>
        </is>
      </c>
      <c r="C24" s="2" t="inlineStr">
        <is>
          <t>40M</t>
        </is>
      </c>
      <c r="D24" s="2" t="inlineStr">
        <is>
          <t>om1</t>
        </is>
      </c>
      <c r="E24" s="2" t="inlineStr">
        <is>
          <t>2.0mm</t>
        </is>
      </c>
      <c r="F24" s="2" t="n">
        <v>2</v>
      </c>
      <c r="G24" s="2" t="n">
        <v>40</v>
      </c>
      <c r="H24" s="2" t="inlineStr">
        <is>
          <t>LC/PC</t>
        </is>
      </c>
      <c r="I24" s="2" t="inlineStr">
        <is>
          <t>LC/PC</t>
        </is>
      </c>
      <c r="J24" s="2" t="n"/>
      <c r="K24" s="2" t="n">
        <v>7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>
        <f>SUM(J24:U24)</f>
        <v/>
      </c>
      <c r="W24" s="2" t="n"/>
      <c r="X24" s="2" t="n">
        <v>14</v>
      </c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>
        <v>14</v>
      </c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>
        <f>IF(F24=1,V24*2,IF(F24=2,V24*F24*2,IF(F24&gt;2,F24*2*V24)))</f>
        <v/>
      </c>
      <c r="AW24" s="2">
        <f>SUM(W24:AU24)</f>
        <v/>
      </c>
    </row>
    <row r="25">
      <c r="A25" s="2" t="inlineStr">
        <is>
          <t>14-D-054</t>
        </is>
      </c>
      <c r="B25" s="3" t="inlineStr">
        <is>
          <t>DOJC-MM-LC/PC-LC/PC</t>
        </is>
      </c>
      <c r="C25" s="2" t="inlineStr">
        <is>
          <t>45M</t>
        </is>
      </c>
      <c r="D25" s="2" t="inlineStr">
        <is>
          <t>om1</t>
        </is>
      </c>
      <c r="E25" s="2" t="inlineStr">
        <is>
          <t>2.0mm</t>
        </is>
      </c>
      <c r="F25" s="2" t="n">
        <v>2</v>
      </c>
      <c r="G25" s="2" t="n">
        <v>45</v>
      </c>
      <c r="H25" s="2" t="inlineStr">
        <is>
          <t>LC/PC</t>
        </is>
      </c>
      <c r="I25" s="2" t="inlineStr">
        <is>
          <t>LC/PC</t>
        </is>
      </c>
      <c r="J25" s="2" t="n"/>
      <c r="K25" s="2" t="n">
        <v>3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>
        <f>SUM(J25:U25)</f>
        <v/>
      </c>
      <c r="W25" s="2" t="n"/>
      <c r="X25" s="2" t="n">
        <v>6</v>
      </c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>
        <v>6</v>
      </c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>
        <f>IF(F25=1,V25*2,IF(F25=2,V25*F25*2,IF(F25&gt;2,F25*2*V25)))</f>
        <v/>
      </c>
      <c r="AW25" s="2">
        <f>SUM(W25:AU25)</f>
        <v/>
      </c>
    </row>
    <row r="26">
      <c r="A26" s="2" t="inlineStr">
        <is>
          <t>14-D-055</t>
        </is>
      </c>
      <c r="B26" s="3" t="inlineStr">
        <is>
          <t>DOJC-MM-LC/PC-LC/PC</t>
        </is>
      </c>
      <c r="C26" s="2" t="inlineStr">
        <is>
          <t>50M</t>
        </is>
      </c>
      <c r="D26" s="2" t="inlineStr">
        <is>
          <t>om1</t>
        </is>
      </c>
      <c r="E26" s="2" t="inlineStr">
        <is>
          <t>2.0mm</t>
        </is>
      </c>
      <c r="F26" s="2" t="n">
        <v>2</v>
      </c>
      <c r="G26" s="2" t="n">
        <v>50</v>
      </c>
      <c r="H26" s="2" t="inlineStr">
        <is>
          <t>LC/PC</t>
        </is>
      </c>
      <c r="I26" s="2" t="inlineStr">
        <is>
          <t>LC/PC</t>
        </is>
      </c>
      <c r="J26" s="2" t="n">
        <v>2</v>
      </c>
      <c r="K26" s="2" t="n">
        <v>2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>
        <f>SUM(J26:U26)</f>
        <v/>
      </c>
      <c r="W26" s="2" t="n"/>
      <c r="X26" s="2" t="n">
        <v>8</v>
      </c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>
        <v>8</v>
      </c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>
        <f>IF(F26=1,V26*2,IF(F26=2,V26*F26*2,IF(F26&gt;2,F26*2*V26)))</f>
        <v/>
      </c>
      <c r="AW26" s="2">
        <f>SUM(W26:AU26)</f>
        <v/>
      </c>
    </row>
    <row r="27">
      <c r="A27" s="2" t="inlineStr">
        <is>
          <t>14-D-056</t>
        </is>
      </c>
      <c r="B27" s="3" t="inlineStr">
        <is>
          <t>DOJC-MM-LC/PC-LC/PC</t>
        </is>
      </c>
      <c r="C27" s="2" t="inlineStr">
        <is>
          <t>55M</t>
        </is>
      </c>
      <c r="D27" s="2" t="inlineStr">
        <is>
          <t>om1</t>
        </is>
      </c>
      <c r="E27" s="2" t="inlineStr">
        <is>
          <t>2.0mm</t>
        </is>
      </c>
      <c r="F27" s="2" t="n">
        <v>2</v>
      </c>
      <c r="G27" s="2" t="n">
        <v>55</v>
      </c>
      <c r="H27" s="2" t="inlineStr">
        <is>
          <t>LC/PC</t>
        </is>
      </c>
      <c r="I27" s="2" t="inlineStr">
        <is>
          <t>LC/PC</t>
        </is>
      </c>
      <c r="J27" s="2" t="n"/>
      <c r="K27" s="2" t="n">
        <v>5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>
        <f>SUM(J27:U27)</f>
        <v/>
      </c>
      <c r="W27" s="2" t="n"/>
      <c r="X27" s="2" t="n">
        <v>10</v>
      </c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>
        <v>10</v>
      </c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>
        <f>IF(F27=1,V27*2,IF(F27=2,V27*F27*2,IF(F27&gt;2,F27*2*V27)))</f>
        <v/>
      </c>
      <c r="AW27" s="2">
        <f>SUM(W27:AU27)</f>
        <v/>
      </c>
    </row>
    <row r="28">
      <c r="A28" s="2" t="inlineStr">
        <is>
          <t>14-D-058</t>
        </is>
      </c>
      <c r="B28" s="3" t="inlineStr">
        <is>
          <t>DOJC-MM-LC/PC-LC/PC</t>
        </is>
      </c>
      <c r="C28" s="2" t="inlineStr">
        <is>
          <t>60M</t>
        </is>
      </c>
      <c r="D28" s="2" t="inlineStr">
        <is>
          <t>om1</t>
        </is>
      </c>
      <c r="E28" s="2" t="inlineStr">
        <is>
          <t>2.0mm</t>
        </is>
      </c>
      <c r="F28" s="2" t="n">
        <v>2</v>
      </c>
      <c r="G28" s="2" t="n">
        <v>60</v>
      </c>
      <c r="H28" s="2" t="inlineStr">
        <is>
          <t>LC/PC</t>
        </is>
      </c>
      <c r="I28" s="2" t="inlineStr">
        <is>
          <t>LC/PC</t>
        </is>
      </c>
      <c r="J28" s="2" t="n"/>
      <c r="K28" s="2" t="n">
        <v>7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>
        <f>SUM(J28:U28)</f>
        <v/>
      </c>
      <c r="W28" s="2" t="n"/>
      <c r="X28" s="2" t="n">
        <v>14</v>
      </c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>
        <v>14</v>
      </c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>
        <f>IF(F28=1,V28*2,IF(F28=2,V28*F28*2,IF(F28&gt;2,F28*2*V28)))</f>
        <v/>
      </c>
      <c r="AW28" s="2">
        <f>SUM(W28:AU28)</f>
        <v/>
      </c>
    </row>
    <row r="29">
      <c r="A29" s="2" t="inlineStr">
        <is>
          <t>14-D-210</t>
        </is>
      </c>
      <c r="B29" s="3" t="inlineStr">
        <is>
          <t>DOJC-SM-LC/PC-FC/PC</t>
        </is>
      </c>
      <c r="C29" s="2" t="inlineStr">
        <is>
          <t>50M</t>
        </is>
      </c>
      <c r="D29" s="2" t="inlineStr">
        <is>
          <t>a1</t>
        </is>
      </c>
      <c r="E29" s="2" t="inlineStr">
        <is>
          <t>2.0mm</t>
        </is>
      </c>
      <c r="F29" s="2" t="n">
        <v>2</v>
      </c>
      <c r="G29" s="2" t="n">
        <v>50</v>
      </c>
      <c r="H29" s="2" t="inlineStr">
        <is>
          <t>LC/PC</t>
        </is>
      </c>
      <c r="I29" s="2" t="inlineStr">
        <is>
          <t>FC/PC</t>
        </is>
      </c>
      <c r="J29" s="2" t="n"/>
      <c r="K29" s="2" t="n">
        <v>2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>
        <f>SUM(J29:U29)</f>
        <v/>
      </c>
      <c r="W29" s="2" t="n">
        <v>4</v>
      </c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>
        <v>4</v>
      </c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>
        <f>IF(F29=1,V29*2,IF(F29=2,V29*F29*2,IF(F29&gt;2,F29*2*V29)))</f>
        <v/>
      </c>
      <c r="AW29" s="2">
        <f>SUM(W29:AU29)</f>
        <v/>
      </c>
    </row>
    <row r="30">
      <c r="A30" s="2" t="inlineStr">
        <is>
          <t>14-D-218</t>
        </is>
      </c>
      <c r="B30" s="3" t="inlineStr">
        <is>
          <t>DOJC-SM-LC/PC-LC/PC</t>
        </is>
      </c>
      <c r="C30" s="2" t="inlineStr">
        <is>
          <t>0.3M</t>
        </is>
      </c>
      <c r="D30" s="2" t="inlineStr">
        <is>
          <t>a1</t>
        </is>
      </c>
      <c r="E30" s="2" t="inlineStr">
        <is>
          <t>2.0mm</t>
        </is>
      </c>
      <c r="F30" s="2" t="n">
        <v>2</v>
      </c>
      <c r="G30" s="2" t="n">
        <v>0.3</v>
      </c>
      <c r="H30" s="2" t="inlineStr">
        <is>
          <t>LC/PC</t>
        </is>
      </c>
      <c r="I30" s="2" t="inlineStr">
        <is>
          <t>LC/PC</t>
        </is>
      </c>
      <c r="J30" s="2" t="n"/>
      <c r="K30" s="2" t="n">
        <v>50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>
        <f>SUM(J30:U30)</f>
        <v/>
      </c>
      <c r="W30" s="2" t="n">
        <v>100</v>
      </c>
      <c r="X30" s="2" t="n">
        <v>100</v>
      </c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>
        <f>IF(F30=1,V30*2,IF(F30=2,V30*F30*2,IF(F30&gt;2,F30*2*V30)))</f>
        <v/>
      </c>
      <c r="AW30" s="2">
        <f>SUM(W30:AU30)</f>
        <v/>
      </c>
    </row>
    <row r="31">
      <c r="A31" s="2" t="inlineStr">
        <is>
          <t>14-D-223</t>
        </is>
      </c>
      <c r="B31" s="3" t="inlineStr">
        <is>
          <t>DOJC-SM-LC/PC-LC/PC</t>
        </is>
      </c>
      <c r="C31" s="2" t="inlineStr">
        <is>
          <t>10M</t>
        </is>
      </c>
      <c r="D31" s="2" t="inlineStr">
        <is>
          <t>a1</t>
        </is>
      </c>
      <c r="E31" s="2" t="inlineStr">
        <is>
          <t>2.0mm</t>
        </is>
      </c>
      <c r="F31" s="2" t="n">
        <v>2</v>
      </c>
      <c r="G31" s="2" t="n">
        <v>10</v>
      </c>
      <c r="H31" s="2" t="inlineStr">
        <is>
          <t>LC/PC</t>
        </is>
      </c>
      <c r="I31" s="2" t="inlineStr">
        <is>
          <t>LC/PC</t>
        </is>
      </c>
      <c r="J31" s="2" t="n">
        <v>100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>
        <f>SUM(J31:U31)</f>
        <v/>
      </c>
      <c r="W31" s="2" t="n">
        <v>200</v>
      </c>
      <c r="X31" s="2" t="n">
        <v>200</v>
      </c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>
        <f>IF(F31=1,V31*2,IF(F31=2,V31*F31*2,IF(F31&gt;2,F31*2*V31)))</f>
        <v/>
      </c>
      <c r="AW31" s="2">
        <f>SUM(W31:AU31)</f>
        <v/>
      </c>
    </row>
    <row r="32">
      <c r="A32" s="2" t="inlineStr">
        <is>
          <t>14-D-255</t>
        </is>
      </c>
      <c r="B32" s="3" t="inlineStr">
        <is>
          <t>DOJC-SM-LC/PC-LC/PC</t>
        </is>
      </c>
      <c r="C32" s="2" t="inlineStr">
        <is>
          <t>65M</t>
        </is>
      </c>
      <c r="D32" s="2" t="inlineStr">
        <is>
          <t>a1</t>
        </is>
      </c>
      <c r="E32" s="2" t="inlineStr">
        <is>
          <t>2.0mm</t>
        </is>
      </c>
      <c r="F32" s="2" t="n">
        <v>2</v>
      </c>
      <c r="G32" s="2" t="n">
        <v>65</v>
      </c>
      <c r="H32" s="2" t="inlineStr">
        <is>
          <t>LC/PC</t>
        </is>
      </c>
      <c r="I32" s="2" t="inlineStr">
        <is>
          <t>LC/PC</t>
        </is>
      </c>
      <c r="J32" s="2" t="n"/>
      <c r="K32" s="2" t="n">
        <v>2</v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>
        <f>SUM(J32:U32)</f>
        <v/>
      </c>
      <c r="W32" s="2" t="n">
        <v>4</v>
      </c>
      <c r="X32" s="2" t="n">
        <v>4</v>
      </c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>
        <f>IF(F32=1,V32*2,IF(F32=2,V32*F32*2,IF(F32&gt;2,F32*2*V32)))</f>
        <v/>
      </c>
      <c r="AW32" s="2">
        <f>SUM(W32:AU32)</f>
        <v/>
      </c>
    </row>
    <row r="33">
      <c r="A33" s="2" t="inlineStr">
        <is>
          <t>14-D-256</t>
        </is>
      </c>
      <c r="B33" s="3" t="inlineStr">
        <is>
          <t>DOJC-SM-LC/PC-LC/PC</t>
        </is>
      </c>
      <c r="C33" s="2" t="inlineStr">
        <is>
          <t>6M</t>
        </is>
      </c>
      <c r="D33" s="2" t="inlineStr">
        <is>
          <t>a1</t>
        </is>
      </c>
      <c r="E33" s="2" t="inlineStr">
        <is>
          <t>2.0mm</t>
        </is>
      </c>
      <c r="F33" s="2" t="n">
        <v>2</v>
      </c>
      <c r="G33" s="2" t="n">
        <v>6</v>
      </c>
      <c r="H33" s="2" t="inlineStr">
        <is>
          <t>LC/PC</t>
        </is>
      </c>
      <c r="I33" s="2" t="inlineStr">
        <is>
          <t>LC/PC</t>
        </is>
      </c>
      <c r="J33" s="2" t="n">
        <v>1000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>
        <f>SUM(J33:U33)</f>
        <v/>
      </c>
      <c r="W33" s="2" t="n">
        <v>2000</v>
      </c>
      <c r="X33" s="2" t="n">
        <v>2000</v>
      </c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>
        <f>IF(F33=1,V33*2,IF(F33=2,V33*F33*2,IF(F33&gt;2,F33*2*V33)))</f>
        <v/>
      </c>
      <c r="AW33" s="2">
        <f>SUM(W33:AU33)</f>
        <v/>
      </c>
    </row>
    <row r="34">
      <c r="A34" s="2" t="inlineStr">
        <is>
          <t>14-D-412</t>
        </is>
      </c>
      <c r="B34" s="3" t="inlineStr">
        <is>
          <t>DOJC-SM-SC/PC-FC/APC</t>
        </is>
      </c>
      <c r="C34" s="2" t="inlineStr">
        <is>
          <t>3M</t>
        </is>
      </c>
      <c r="D34" s="2" t="inlineStr">
        <is>
          <t>a1</t>
        </is>
      </c>
      <c r="E34" s="2" t="inlineStr">
        <is>
          <t>2.0mm</t>
        </is>
      </c>
      <c r="F34" s="2" t="n">
        <v>2</v>
      </c>
      <c r="G34" s="2" t="n">
        <v>3</v>
      </c>
      <c r="H34" s="2" t="inlineStr">
        <is>
          <t>SC/PC</t>
        </is>
      </c>
      <c r="I34" s="2" t="inlineStr">
        <is>
          <t>FC/APC</t>
        </is>
      </c>
      <c r="J34" s="2" t="n">
        <v>1</v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>
        <f>SUM(J34:U34)</f>
        <v/>
      </c>
      <c r="W34" s="2" t="n"/>
      <c r="X34" s="2" t="n"/>
      <c r="Y34" s="2" t="n"/>
      <c r="Z34" s="2" t="n"/>
      <c r="AA34" s="2" t="n">
        <v>2</v>
      </c>
      <c r="AB34" s="2" t="n"/>
      <c r="AC34" s="2" t="n"/>
      <c r="AD34" s="2" t="n"/>
      <c r="AE34" s="2" t="n"/>
      <c r="AF34" s="2" t="n"/>
      <c r="AG34" s="2" t="n"/>
      <c r="AH34" s="2" t="n">
        <v>2</v>
      </c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>
        <f>IF(F34=1,V34*2,IF(F34=2,V34*F34*2,IF(F34&gt;2,F34*2*V34)))</f>
        <v/>
      </c>
      <c r="AW34" s="2">
        <f>SUM(W34:AU34)</f>
        <v/>
      </c>
    </row>
    <row r="35">
      <c r="A35" s="2" t="inlineStr">
        <is>
          <t>14-D-530</t>
        </is>
      </c>
      <c r="B35" s="3" t="inlineStr">
        <is>
          <t>DOJC-MM(OM3)-LC/PC-LC/PC</t>
        </is>
      </c>
      <c r="C35" s="2" t="inlineStr">
        <is>
          <t>4M</t>
        </is>
      </c>
      <c r="D35" s="2" t="inlineStr">
        <is>
          <t>om3</t>
        </is>
      </c>
      <c r="E35" s="2" t="inlineStr">
        <is>
          <t>2.0mm</t>
        </is>
      </c>
      <c r="F35" s="2" t="n">
        <v>2</v>
      </c>
      <c r="G35" s="2" t="n">
        <v>4</v>
      </c>
      <c r="H35" s="2" t="inlineStr">
        <is>
          <t>LC/PC</t>
        </is>
      </c>
      <c r="I35" s="2" t="inlineStr">
        <is>
          <t>LC/PC</t>
        </is>
      </c>
      <c r="J35" s="2" t="n">
        <v>50</v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>
        <f>SUM(J35:U35)</f>
        <v/>
      </c>
      <c r="W35" s="2" t="n"/>
      <c r="X35" s="2" t="n">
        <v>100</v>
      </c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>
        <v>100</v>
      </c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>
        <f>IF(F35=1,V35*2,IF(F35=2,V35*F35*2,IF(F35&gt;2,F35*2*V35)))</f>
        <v/>
      </c>
      <c r="AW35" s="2">
        <f>SUM(W35:AU35)</f>
        <v/>
      </c>
    </row>
    <row r="36">
      <c r="A36" s="2" t="inlineStr">
        <is>
          <t>14-D-594</t>
        </is>
      </c>
      <c r="B36" s="3" t="inlineStr">
        <is>
          <t>DOJC-MM(OM3)-LC/PC-SC/PC</t>
        </is>
      </c>
      <c r="C36" s="2" t="inlineStr">
        <is>
          <t>15M</t>
        </is>
      </c>
      <c r="D36" s="2" t="inlineStr">
        <is>
          <t>om3</t>
        </is>
      </c>
      <c r="E36" s="2" t="inlineStr">
        <is>
          <t>2.0mm</t>
        </is>
      </c>
      <c r="F36" s="2" t="n">
        <v>2</v>
      </c>
      <c r="G36" s="2" t="n">
        <v>15</v>
      </c>
      <c r="H36" s="2" t="inlineStr">
        <is>
          <t>LC/PC</t>
        </is>
      </c>
      <c r="I36" s="2" t="inlineStr">
        <is>
          <t>SC/PC</t>
        </is>
      </c>
      <c r="J36" s="2" t="n"/>
      <c r="K36" s="2" t="n">
        <v>10</v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>
        <f>SUM(J36:U36)</f>
        <v/>
      </c>
      <c r="W36" s="2" t="n"/>
      <c r="X36" s="2" t="n"/>
      <c r="Y36" s="2" t="n"/>
      <c r="Z36" s="2" t="n"/>
      <c r="AA36" s="2" t="n"/>
      <c r="AB36" s="2" t="n">
        <v>20</v>
      </c>
      <c r="AC36" s="2" t="n"/>
      <c r="AD36" s="2" t="n"/>
      <c r="AE36" s="2" t="n"/>
      <c r="AF36" s="2" t="n"/>
      <c r="AG36" s="2" t="n"/>
      <c r="AH36" s="2" t="n"/>
      <c r="AI36" s="2" t="n">
        <v>20</v>
      </c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>
        <f>IF(F36=1,V36*2,IF(F36=2,V36*F36*2,IF(F36&gt;2,F36*2*V36)))</f>
        <v/>
      </c>
      <c r="AW36" s="2">
        <f>SUM(W36:AU36)</f>
        <v/>
      </c>
    </row>
    <row r="37">
      <c r="A37" s="2" t="inlineStr">
        <is>
          <t>14-D-603</t>
        </is>
      </c>
      <c r="B37" s="3" t="inlineStr">
        <is>
          <t>DOJC-MM(OM3)-LC/PC-LC/PC</t>
        </is>
      </c>
      <c r="C37" s="2" t="inlineStr">
        <is>
          <t>8M</t>
        </is>
      </c>
      <c r="D37" s="2" t="inlineStr">
        <is>
          <t>om3</t>
        </is>
      </c>
      <c r="E37" s="2" t="inlineStr">
        <is>
          <t>2.0mm</t>
        </is>
      </c>
      <c r="F37" s="2" t="n">
        <v>2</v>
      </c>
      <c r="G37" s="2" t="n">
        <v>8</v>
      </c>
      <c r="H37" s="2" t="inlineStr">
        <is>
          <t>LC/PC</t>
        </is>
      </c>
      <c r="I37" s="2" t="inlineStr">
        <is>
          <t>LC/PC</t>
        </is>
      </c>
      <c r="J37" s="2" t="n">
        <v>20</v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>
        <f>SUM(J37:U37)</f>
        <v/>
      </c>
      <c r="W37" s="2" t="n"/>
      <c r="X37" s="2" t="n">
        <v>40</v>
      </c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>
        <v>40</v>
      </c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>
        <f>IF(F37=1,V37*2,IF(F37=2,V37*F37*2,IF(F37&gt;2,F37*2*V37)))</f>
        <v/>
      </c>
      <c r="AW37" s="2">
        <f>SUM(W37:AU37)</f>
        <v/>
      </c>
    </row>
    <row r="38">
      <c r="A38" s="2" t="inlineStr">
        <is>
          <t>14-D-684</t>
        </is>
      </c>
      <c r="B38" s="3" t="inlineStr">
        <is>
          <t>DOJC-SM-FC/APC-FC/APC</t>
        </is>
      </c>
      <c r="C38" s="2" t="inlineStr">
        <is>
          <t>45M</t>
        </is>
      </c>
      <c r="D38" s="2" t="inlineStr">
        <is>
          <t>a1</t>
        </is>
      </c>
      <c r="E38" s="2" t="inlineStr">
        <is>
          <t>2.0mm</t>
        </is>
      </c>
      <c r="F38" s="2" t="n">
        <v>2</v>
      </c>
      <c r="G38" s="2" t="n">
        <v>45</v>
      </c>
      <c r="H38" s="2" t="inlineStr">
        <is>
          <t>FC/APC</t>
        </is>
      </c>
      <c r="I38" s="2" t="inlineStr">
        <is>
          <t>FC/APC</t>
        </is>
      </c>
      <c r="J38" s="2" t="n">
        <v>5</v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>
        <f>SUM(J38:U38)</f>
        <v/>
      </c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>
        <v>10</v>
      </c>
      <c r="AH38" s="2" t="n">
        <v>10</v>
      </c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>
        <f>IF(F38=1,V38*2,IF(F38=2,V38*F38*2,IF(F38&gt;2,F38*2*V38)))</f>
        <v/>
      </c>
      <c r="AW38" s="2">
        <f>SUM(W38:AU38)</f>
        <v/>
      </c>
    </row>
    <row r="39">
      <c r="A39" s="2" t="inlineStr">
        <is>
          <t>14-D-A002</t>
        </is>
      </c>
      <c r="B39" s="3" t="inlineStr">
        <is>
          <t>DOJC-SM-LC/PC-LC/PC</t>
        </is>
      </c>
      <c r="C39" s="2" t="inlineStr">
        <is>
          <t>1M_청색</t>
        </is>
      </c>
      <c r="D39" s="2" t="inlineStr">
        <is>
          <t>a1-청</t>
        </is>
      </c>
      <c r="E39" s="2" t="inlineStr">
        <is>
          <t>2.0mm</t>
        </is>
      </c>
      <c r="F39" s="2" t="n">
        <v>2</v>
      </c>
      <c r="G39" s="2" t="n">
        <v>1</v>
      </c>
      <c r="H39" s="2" t="inlineStr">
        <is>
          <t>LC/PC</t>
        </is>
      </c>
      <c r="I39" s="2" t="inlineStr">
        <is>
          <t>LC/PC</t>
        </is>
      </c>
      <c r="J39" s="2" t="n"/>
      <c r="K39" s="2" t="n">
        <v>50</v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>
        <f>SUM(J39:U39)</f>
        <v/>
      </c>
      <c r="W39" s="2" t="n">
        <v>100</v>
      </c>
      <c r="X39" s="2" t="n">
        <v>100</v>
      </c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>
        <f>IF(F39=1,V39*2,IF(F39=2,V39*F39*2,IF(F39&gt;2,F39*2*V39)))</f>
        <v/>
      </c>
      <c r="AW39" s="2">
        <f>SUM(W39:AU39)</f>
        <v/>
      </c>
    </row>
    <row r="40">
      <c r="A40" s="2" t="inlineStr">
        <is>
          <t>14-D-A232</t>
        </is>
      </c>
      <c r="B40" s="3" t="inlineStr">
        <is>
          <t>DOJC-MM(OM3)-LC/PC-LC/PC</t>
        </is>
      </c>
      <c r="C40" s="2" t="inlineStr">
        <is>
          <t>6M</t>
        </is>
      </c>
      <c r="D40" s="2" t="inlineStr">
        <is>
          <t>om3</t>
        </is>
      </c>
      <c r="E40" s="2" t="inlineStr">
        <is>
          <t>2.0mm</t>
        </is>
      </c>
      <c r="F40" s="2" t="n">
        <v>2</v>
      </c>
      <c r="G40" s="2" t="n">
        <v>6</v>
      </c>
      <c r="H40" s="2" t="inlineStr">
        <is>
          <t>LC/PC</t>
        </is>
      </c>
      <c r="I40" s="2" t="inlineStr">
        <is>
          <t>LC/PC</t>
        </is>
      </c>
      <c r="J40" s="2" t="n">
        <v>10</v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>
        <f>SUM(J40:U40)</f>
        <v/>
      </c>
      <c r="W40" s="2" t="n"/>
      <c r="X40" s="2" t="n">
        <v>20</v>
      </c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>
        <v>20</v>
      </c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>
        <f>IF(F40=1,V40*2,IF(F40=2,V40*F40*2,IF(F40&gt;2,F40*2*V40)))</f>
        <v/>
      </c>
      <c r="AW40" s="2">
        <f>SUM(W40:AU40)</f>
        <v/>
      </c>
    </row>
    <row r="41">
      <c r="A41" s="2" t="inlineStr">
        <is>
          <t>14-D-A376</t>
        </is>
      </c>
      <c r="B41" s="3" t="inlineStr">
        <is>
          <t>DOJC-MM(OM3)-LC/PC-LC/PC</t>
        </is>
      </c>
      <c r="C41" s="2" t="inlineStr">
        <is>
          <t>3M</t>
        </is>
      </c>
      <c r="D41" s="2" t="inlineStr">
        <is>
          <t>om3</t>
        </is>
      </c>
      <c r="E41" s="2" t="inlineStr">
        <is>
          <t>2.0mm</t>
        </is>
      </c>
      <c r="F41" s="2" t="n">
        <v>2</v>
      </c>
      <c r="G41" s="2" t="n">
        <v>3</v>
      </c>
      <c r="H41" s="2" t="inlineStr">
        <is>
          <t>LC/PC</t>
        </is>
      </c>
      <c r="I41" s="2" t="inlineStr">
        <is>
          <t>LC/PC</t>
        </is>
      </c>
      <c r="J41" s="2" t="n">
        <v>20</v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>
        <f>SUM(J41:U41)</f>
        <v/>
      </c>
      <c r="W41" s="2" t="n"/>
      <c r="X41" s="2" t="n">
        <v>40</v>
      </c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>
        <v>40</v>
      </c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>
        <f>IF(F41=1,V41*2,IF(F41=2,V41*F41*2,IF(F41&gt;2,F41*2*V41)))</f>
        <v/>
      </c>
      <c r="AW41" s="2">
        <f>SUM(W41:AU41)</f>
        <v/>
      </c>
    </row>
    <row r="42">
      <c r="A42" s="2" t="inlineStr">
        <is>
          <t>14-K-021</t>
        </is>
      </c>
      <c r="B42" s="3" t="inlineStr">
        <is>
          <t>OJC-A1-LC/LC-MM(OM3)-10-PC/PC-DP</t>
        </is>
      </c>
      <c r="C42" s="2" t="inlineStr"/>
      <c r="D42" s="2" t="inlineStr">
        <is>
          <t>om3</t>
        </is>
      </c>
      <c r="E42" s="2" t="inlineStr">
        <is>
          <t>2.0mm</t>
        </is>
      </c>
      <c r="F42" s="2" t="n">
        <v>2</v>
      </c>
      <c r="G42" s="2" t="n">
        <v>10</v>
      </c>
      <c r="H42" s="2" t="inlineStr">
        <is>
          <t>LC/PC</t>
        </is>
      </c>
      <c r="I42" s="2" t="inlineStr">
        <is>
          <t>LC/PC</t>
        </is>
      </c>
      <c r="J42" s="2" t="n">
        <v>26</v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>
        <f>SUM(J42:U42)</f>
        <v/>
      </c>
      <c r="W42" s="2" t="n"/>
      <c r="X42" s="2" t="n">
        <v>52</v>
      </c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>
        <v>52</v>
      </c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>
        <f>IF(F42=1,V42*2,IF(F42=2,V42*F42*2,IF(F42&gt;2,F42*2*V42)))</f>
        <v/>
      </c>
      <c r="AW42" s="2">
        <f>SUM(W42:AU42)</f>
        <v/>
      </c>
    </row>
    <row r="43">
      <c r="A43" s="2" t="inlineStr">
        <is>
          <t>14-K-022</t>
        </is>
      </c>
      <c r="B43" s="3" t="inlineStr">
        <is>
          <t>OJC-A1-LC/LC-MM(OM3)-15-PC/PC-DP</t>
        </is>
      </c>
      <c r="C43" s="2" t="inlineStr"/>
      <c r="D43" s="2" t="inlineStr">
        <is>
          <t>om3</t>
        </is>
      </c>
      <c r="E43" s="2" t="inlineStr">
        <is>
          <t>2.0mm</t>
        </is>
      </c>
      <c r="F43" s="2" t="n">
        <v>2</v>
      </c>
      <c r="G43" s="2" t="n">
        <v>15</v>
      </c>
      <c r="H43" s="2" t="inlineStr">
        <is>
          <t>LC/PC</t>
        </is>
      </c>
      <c r="I43" s="2" t="inlineStr">
        <is>
          <t>LC/PC</t>
        </is>
      </c>
      <c r="J43" s="2" t="n">
        <v>134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>
        <f>SUM(J43:U43)</f>
        <v/>
      </c>
      <c r="W43" s="2" t="n"/>
      <c r="X43" s="2" t="n">
        <v>268</v>
      </c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>
        <v>268</v>
      </c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>
        <f>IF(F43=1,V43*2,IF(F43=2,V43*F43*2,IF(F43&gt;2,F43*2*V43)))</f>
        <v/>
      </c>
      <c r="AW43" s="2">
        <f>SUM(W43:AU43)</f>
        <v/>
      </c>
    </row>
    <row r="44">
      <c r="A44" s="2" t="inlineStr">
        <is>
          <t>14-K-024</t>
        </is>
      </c>
      <c r="B44" s="3" t="inlineStr">
        <is>
          <t>OJC-A1-LC/LC-MM(OM3)-20-PC/PC-DP</t>
        </is>
      </c>
      <c r="C44" s="2" t="inlineStr"/>
      <c r="D44" s="2" t="inlineStr">
        <is>
          <t>om3</t>
        </is>
      </c>
      <c r="E44" s="2" t="inlineStr">
        <is>
          <t>2.0mm</t>
        </is>
      </c>
      <c r="F44" s="2" t="n">
        <v>2</v>
      </c>
      <c r="G44" s="2" t="n">
        <v>20</v>
      </c>
      <c r="H44" s="2" t="inlineStr">
        <is>
          <t>LC/PC</t>
        </is>
      </c>
      <c r="I44" s="2" t="inlineStr">
        <is>
          <t>LC/PC</t>
        </is>
      </c>
      <c r="J44" s="2" t="n">
        <v>26</v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>
        <f>SUM(J44:U44)</f>
        <v/>
      </c>
      <c r="W44" s="2" t="n"/>
      <c r="X44" s="2" t="n">
        <v>52</v>
      </c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>
        <v>52</v>
      </c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>
        <f>IF(F44=1,V44*2,IF(F44=2,V44*F44*2,IF(F44&gt;2,F44*2*V44)))</f>
        <v/>
      </c>
      <c r="AW44" s="2">
        <f>SUM(W44:AU44)</f>
        <v/>
      </c>
    </row>
    <row r="45">
      <c r="A45" s="2" t="inlineStr">
        <is>
          <t>14-K-025</t>
        </is>
      </c>
      <c r="B45" s="3" t="inlineStr">
        <is>
          <t>OJC-A1-LC/LC-MM(OM3)-25-PC/PC-DP</t>
        </is>
      </c>
      <c r="C45" s="2" t="inlineStr"/>
      <c r="D45" s="2" t="inlineStr">
        <is>
          <t>om3</t>
        </is>
      </c>
      <c r="E45" s="2" t="inlineStr">
        <is>
          <t>2.0mm</t>
        </is>
      </c>
      <c r="F45" s="2" t="n">
        <v>2</v>
      </c>
      <c r="G45" s="2" t="n">
        <v>25</v>
      </c>
      <c r="H45" s="2" t="inlineStr">
        <is>
          <t>LC/PC</t>
        </is>
      </c>
      <c r="I45" s="2" t="inlineStr">
        <is>
          <t>LC/PC</t>
        </is>
      </c>
      <c r="J45" s="2" t="n">
        <v>20</v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>
        <f>SUM(J45:U45)</f>
        <v/>
      </c>
      <c r="W45" s="2" t="n"/>
      <c r="X45" s="2" t="n">
        <v>40</v>
      </c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>
        <v>40</v>
      </c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>
        <f>IF(F45=1,V45*2,IF(F45=2,V45*F45*2,IF(F45&gt;2,F45*2*V45)))</f>
        <v/>
      </c>
      <c r="AW45" s="2">
        <f>SUM(W45:AU45)</f>
        <v/>
      </c>
    </row>
    <row r="46">
      <c r="A46" s="2" t="inlineStr">
        <is>
          <t>14-K-031</t>
        </is>
      </c>
      <c r="B46" s="3" t="inlineStr">
        <is>
          <t>OJC-A1-LC/LC-MM(OM3)-5-PC/PC-DP</t>
        </is>
      </c>
      <c r="C46" s="2" t="inlineStr"/>
      <c r="D46" s="2" t="inlineStr">
        <is>
          <t>om3</t>
        </is>
      </c>
      <c r="E46" s="2" t="inlineStr">
        <is>
          <t>2.0mm</t>
        </is>
      </c>
      <c r="F46" s="2" t="n">
        <v>2</v>
      </c>
      <c r="G46" s="2" t="n">
        <v>5</v>
      </c>
      <c r="H46" s="2" t="inlineStr">
        <is>
          <t>LC/PC</t>
        </is>
      </c>
      <c r="I46" s="2" t="inlineStr">
        <is>
          <t>LC/PC</t>
        </is>
      </c>
      <c r="J46" s="2" t="n"/>
      <c r="K46" s="2" t="n"/>
      <c r="L46" s="2" t="n">
        <v>10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>
        <f>SUM(J46:U46)</f>
        <v/>
      </c>
      <c r="W46" s="2" t="n"/>
      <c r="X46" s="2" t="n">
        <v>20</v>
      </c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>
        <v>20</v>
      </c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>
        <f>IF(F46=1,V46*2,IF(F46=2,V46*F46*2,IF(F46&gt;2,F46*2*V46)))</f>
        <v/>
      </c>
      <c r="AW46" s="2">
        <f>SUM(W46:AU46)</f>
        <v/>
      </c>
    </row>
    <row r="47">
      <c r="A47" s="2" t="inlineStr">
        <is>
          <t>14-K-078</t>
        </is>
      </c>
      <c r="B47" s="3" t="inlineStr">
        <is>
          <t>OJC-A1-LC/LC-SM-10-PC/PC-DP</t>
        </is>
      </c>
      <c r="C47" s="2" t="inlineStr">
        <is>
          <t>K9089176</t>
        </is>
      </c>
      <c r="D47" s="2" t="inlineStr">
        <is>
          <t>a1</t>
        </is>
      </c>
      <c r="E47" s="2" t="inlineStr">
        <is>
          <t>2.0mm</t>
        </is>
      </c>
      <c r="F47" s="2" t="n">
        <v>2</v>
      </c>
      <c r="G47" s="2" t="n">
        <v>10</v>
      </c>
      <c r="H47" s="2" t="inlineStr">
        <is>
          <t>LC/PC</t>
        </is>
      </c>
      <c r="I47" s="2" t="inlineStr">
        <is>
          <t>LC/PC</t>
        </is>
      </c>
      <c r="J47" s="2" t="n">
        <v>30</v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>
        <f>SUM(J47:U47)</f>
        <v/>
      </c>
      <c r="W47" s="2" t="n">
        <v>60</v>
      </c>
      <c r="X47" s="2" t="n">
        <v>60</v>
      </c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>
        <f>IF(F47=1,V47*2,IF(F47=2,V47*F47*2,IF(F47&gt;2,F47*2*V47)))</f>
        <v/>
      </c>
      <c r="AW47" s="2">
        <f>SUM(W47:AU47)</f>
        <v/>
      </c>
    </row>
    <row r="48">
      <c r="A48" s="2" t="inlineStr">
        <is>
          <t>14-K-078R</t>
        </is>
      </c>
      <c r="B48" s="3" t="inlineStr">
        <is>
          <t>OJC-A1-LC/LC-SM-10-PC/PC-DP</t>
        </is>
      </c>
      <c r="C48" s="2" t="inlineStr">
        <is>
          <t>K9089176_적색</t>
        </is>
      </c>
      <c r="D48" s="2" t="inlineStr">
        <is>
          <t>a1-적</t>
        </is>
      </c>
      <c r="E48" s="2" t="inlineStr">
        <is>
          <t>2.0mm</t>
        </is>
      </c>
      <c r="F48" s="2" t="n">
        <v>2</v>
      </c>
      <c r="G48" s="2" t="n">
        <v>10</v>
      </c>
      <c r="H48" s="2" t="inlineStr">
        <is>
          <t>LC/PC</t>
        </is>
      </c>
      <c r="I48" s="2" t="inlineStr">
        <is>
          <t>LC/PC</t>
        </is>
      </c>
      <c r="J48" s="2" t="n"/>
      <c r="K48" s="2" t="n"/>
      <c r="L48" s="2" t="n">
        <v>30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>
        <f>SUM(J48:U48)</f>
        <v/>
      </c>
      <c r="W48" s="2" t="n">
        <v>60</v>
      </c>
      <c r="X48" s="2" t="n">
        <v>60</v>
      </c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>
        <f>IF(F48=1,V48*2,IF(F48=2,V48*F48*2,IF(F48&gt;2,F48*2*V48)))</f>
        <v/>
      </c>
      <c r="AW48" s="2">
        <f>SUM(W48:AU48)</f>
        <v/>
      </c>
    </row>
    <row r="49">
      <c r="A49" s="2" t="inlineStr">
        <is>
          <t>14-K-083R</t>
        </is>
      </c>
      <c r="B49" s="3" t="inlineStr">
        <is>
          <t>OJC-A1-LC/LC-SM-15-PC/PC-DP</t>
        </is>
      </c>
      <c r="C49" s="2" t="inlineStr">
        <is>
          <t>K9089177_적색</t>
        </is>
      </c>
      <c r="D49" s="2" t="inlineStr">
        <is>
          <t>a1-적</t>
        </is>
      </c>
      <c r="E49" s="2" t="inlineStr">
        <is>
          <t>2.0mm</t>
        </is>
      </c>
      <c r="F49" s="2" t="n">
        <v>2</v>
      </c>
      <c r="G49" s="2" t="n">
        <v>15</v>
      </c>
      <c r="H49" s="2" t="inlineStr">
        <is>
          <t>LC/PC</t>
        </is>
      </c>
      <c r="I49" s="2" t="inlineStr">
        <is>
          <t>LC/PC</t>
        </is>
      </c>
      <c r="J49" s="2" t="n"/>
      <c r="K49" s="2" t="n"/>
      <c r="L49" s="2" t="n">
        <v>30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>
        <f>SUM(J49:U49)</f>
        <v/>
      </c>
      <c r="W49" s="2" t="n">
        <v>60</v>
      </c>
      <c r="X49" s="2" t="n">
        <v>60</v>
      </c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>
        <f>IF(F49=1,V49*2,IF(F49=2,V49*F49*2,IF(F49&gt;2,F49*2*V49)))</f>
        <v/>
      </c>
      <c r="AW49" s="2">
        <f>SUM(W49:AU49)</f>
        <v/>
      </c>
    </row>
    <row r="50">
      <c r="A50" s="2" t="inlineStr">
        <is>
          <t>14-K-085</t>
        </is>
      </c>
      <c r="B50" s="3" t="inlineStr">
        <is>
          <t>OJC-A1-LC/LC-SM-1-PC/PC-DP</t>
        </is>
      </c>
      <c r="C50" s="2" t="inlineStr">
        <is>
          <t>K9089171</t>
        </is>
      </c>
      <c r="D50" s="2" t="inlineStr">
        <is>
          <t>a1</t>
        </is>
      </c>
      <c r="E50" s="2" t="inlineStr">
        <is>
          <t>2.0mm</t>
        </is>
      </c>
      <c r="F50" s="2" t="n">
        <v>2</v>
      </c>
      <c r="G50" s="2" t="n">
        <v>1</v>
      </c>
      <c r="H50" s="2" t="inlineStr">
        <is>
          <t>LC/PC</t>
        </is>
      </c>
      <c r="I50" s="2" t="inlineStr">
        <is>
          <t>LC/PC</t>
        </is>
      </c>
      <c r="J50" s="2" t="n">
        <v>106</v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>
        <f>SUM(J50:U50)</f>
        <v/>
      </c>
      <c r="W50" s="2" t="n">
        <v>212</v>
      </c>
      <c r="X50" s="2" t="n">
        <v>212</v>
      </c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>
        <f>IF(F50=1,V50*2,IF(F50=2,V50*F50*2,IF(F50&gt;2,F50*2*V50)))</f>
        <v/>
      </c>
      <c r="AW50" s="2">
        <f>SUM(W50:AU50)</f>
        <v/>
      </c>
    </row>
    <row r="51">
      <c r="A51" s="2" t="inlineStr">
        <is>
          <t>14-K-087</t>
        </is>
      </c>
      <c r="B51" s="3" t="inlineStr">
        <is>
          <t>OJC-A1-LC/LC-SM-20-PC/PC-DP</t>
        </is>
      </c>
      <c r="C51" s="2" t="inlineStr">
        <is>
          <t>K9089178</t>
        </is>
      </c>
      <c r="D51" s="2" t="inlineStr">
        <is>
          <t>a1</t>
        </is>
      </c>
      <c r="E51" s="2" t="inlineStr">
        <is>
          <t>2.0mm</t>
        </is>
      </c>
      <c r="F51" s="2" t="n">
        <v>2</v>
      </c>
      <c r="G51" s="2" t="n">
        <v>20</v>
      </c>
      <c r="H51" s="2" t="inlineStr">
        <is>
          <t>LC/PC</t>
        </is>
      </c>
      <c r="I51" s="2" t="inlineStr">
        <is>
          <t>LC/PC</t>
        </is>
      </c>
      <c r="J51" s="2" t="n">
        <v>60</v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>
        <f>SUM(J51:U51)</f>
        <v/>
      </c>
      <c r="W51" s="2" t="n">
        <v>120</v>
      </c>
      <c r="X51" s="2" t="n">
        <v>120</v>
      </c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>
        <f>IF(F51=1,V51*2,IF(F51=2,V51*F51*2,IF(F51&gt;2,F51*2*V51)))</f>
        <v/>
      </c>
      <c r="AW51" s="2">
        <f>SUM(W51:AU51)</f>
        <v/>
      </c>
    </row>
    <row r="52">
      <c r="A52" s="2" t="inlineStr">
        <is>
          <t>14-K-097</t>
        </is>
      </c>
      <c r="B52" s="3" t="inlineStr">
        <is>
          <t>OJC-A1-LC/LC-SM-3-PC/PC-DP</t>
        </is>
      </c>
      <c r="C52" s="2" t="inlineStr">
        <is>
          <t>K9089173</t>
        </is>
      </c>
      <c r="D52" s="2" t="inlineStr">
        <is>
          <t>a1</t>
        </is>
      </c>
      <c r="E52" s="2" t="inlineStr">
        <is>
          <t>2.0mm</t>
        </is>
      </c>
      <c r="F52" s="2" t="n">
        <v>2</v>
      </c>
      <c r="G52" s="2" t="n">
        <v>3</v>
      </c>
      <c r="H52" s="2" t="inlineStr">
        <is>
          <t>LC/PC</t>
        </is>
      </c>
      <c r="I52" s="2" t="inlineStr">
        <is>
          <t>LC/PC</t>
        </is>
      </c>
      <c r="J52" s="2" t="n">
        <v>5</v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>
        <f>SUM(J52:U52)</f>
        <v/>
      </c>
      <c r="W52" s="2" t="n">
        <v>10</v>
      </c>
      <c r="X52" s="2" t="n">
        <v>10</v>
      </c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>
        <f>IF(F52=1,V52*2,IF(F52=2,V52*F52*2,IF(F52&gt;2,F52*2*V52)))</f>
        <v/>
      </c>
      <c r="AW52" s="2">
        <f>SUM(W52:AU52)</f>
        <v/>
      </c>
    </row>
    <row r="53">
      <c r="A53" s="2" t="inlineStr">
        <is>
          <t>14-K-173</t>
        </is>
      </c>
      <c r="B53" s="3" t="inlineStr">
        <is>
          <t>OJC-A1-SC/LC-SM-10-APC/PC-SP</t>
        </is>
      </c>
      <c r="C53" s="2" t="inlineStr"/>
      <c r="D53" s="2" t="inlineStr">
        <is>
          <t>a1</t>
        </is>
      </c>
      <c r="E53" s="2" t="inlineStr">
        <is>
          <t>2.0mm</t>
        </is>
      </c>
      <c r="F53" s="2" t="n">
        <v>1</v>
      </c>
      <c r="G53" s="2" t="n">
        <v>10</v>
      </c>
      <c r="H53" s="2" t="inlineStr">
        <is>
          <t>SC/APC</t>
        </is>
      </c>
      <c r="I53" s="2" t="inlineStr">
        <is>
          <t>LC/PC</t>
        </is>
      </c>
      <c r="J53" s="2" t="n"/>
      <c r="K53" s="2" t="n">
        <v>10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>
        <f>SUM(J53:U53)</f>
        <v/>
      </c>
      <c r="W53" s="2" t="n">
        <v>10</v>
      </c>
      <c r="X53" s="2" t="n"/>
      <c r="Y53" s="2" t="n"/>
      <c r="Z53" s="2" t="n"/>
      <c r="AA53" s="2" t="n"/>
      <c r="AB53" s="2" t="n"/>
      <c r="AC53" s="2" t="n">
        <v>10</v>
      </c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>
        <f>IF(F53=1,V53*2,IF(F53=2,V53*F53*2,IF(F53&gt;2,F53*2*V53)))</f>
        <v/>
      </c>
      <c r="AW53" s="2">
        <f>SUM(W53:AU53)</f>
        <v/>
      </c>
    </row>
    <row r="54">
      <c r="A54" s="2" t="inlineStr">
        <is>
          <t>14-K-177</t>
        </is>
      </c>
      <c r="B54" s="3" t="inlineStr">
        <is>
          <t>OJC-A1-SC/LC-SM-10-PC/PC-SP</t>
        </is>
      </c>
      <c r="C54" s="2" t="inlineStr">
        <is>
          <t>K9089033</t>
        </is>
      </c>
      <c r="D54" s="2" t="inlineStr">
        <is>
          <t>a1</t>
        </is>
      </c>
      <c r="E54" s="2" t="inlineStr">
        <is>
          <t>2.0mm</t>
        </is>
      </c>
      <c r="F54" s="2" t="n">
        <v>1</v>
      </c>
      <c r="G54" s="2" t="n">
        <v>10</v>
      </c>
      <c r="H54" s="2" t="inlineStr">
        <is>
          <t>SC/PC</t>
        </is>
      </c>
      <c r="I54" s="2" t="inlineStr">
        <is>
          <t>LC/PC</t>
        </is>
      </c>
      <c r="J54" s="2" t="n"/>
      <c r="K54" s="2" t="n">
        <v>8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>
        <f>SUM(J54:U54)</f>
        <v/>
      </c>
      <c r="W54" s="2" t="n">
        <v>8</v>
      </c>
      <c r="X54" s="2" t="n"/>
      <c r="Y54" s="2" t="n"/>
      <c r="Z54" s="2" t="n"/>
      <c r="AA54" s="2" t="n">
        <v>8</v>
      </c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>
        <f>IF(F54=1,V54*2,IF(F54=2,V54*F54*2,IF(F54&gt;2,F54*2*V54)))</f>
        <v/>
      </c>
      <c r="AW54" s="2">
        <f>SUM(W54:AU54)</f>
        <v/>
      </c>
    </row>
    <row r="55">
      <c r="A55" s="2" t="inlineStr">
        <is>
          <t>14-K-177R</t>
        </is>
      </c>
      <c r="B55" s="3" t="inlineStr">
        <is>
          <t>OJC-A1-SC/LC-SM-10-PC/PC-SP</t>
        </is>
      </c>
      <c r="C55" s="2" t="inlineStr">
        <is>
          <t>K9089033_적색</t>
        </is>
      </c>
      <c r="D55" s="2" t="inlineStr">
        <is>
          <t>a1-적</t>
        </is>
      </c>
      <c r="E55" s="2" t="inlineStr">
        <is>
          <t>2.0mm</t>
        </is>
      </c>
      <c r="F55" s="2" t="n">
        <v>1</v>
      </c>
      <c r="G55" s="2" t="n">
        <v>10</v>
      </c>
      <c r="H55" s="2" t="inlineStr">
        <is>
          <t>SC/PC</t>
        </is>
      </c>
      <c r="I55" s="2" t="inlineStr">
        <is>
          <t>LC/PC</t>
        </is>
      </c>
      <c r="J55" s="2" t="n"/>
      <c r="K55" s="2" t="n"/>
      <c r="L55" s="2" t="n">
        <v>100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>
        <f>SUM(J55:U55)</f>
        <v/>
      </c>
      <c r="W55" s="2" t="n">
        <v>100</v>
      </c>
      <c r="X55" s="2" t="n"/>
      <c r="Y55" s="2" t="n"/>
      <c r="Z55" s="2" t="n"/>
      <c r="AA55" s="2" t="n">
        <v>100</v>
      </c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>
        <f>IF(F55=1,V55*2,IF(F55=2,V55*F55*2,IF(F55&gt;2,F55*2*V55)))</f>
        <v/>
      </c>
      <c r="AW55" s="2">
        <f>SUM(W55:AU55)</f>
        <v/>
      </c>
    </row>
    <row r="56">
      <c r="A56" s="2" t="inlineStr">
        <is>
          <t>14-K-198</t>
        </is>
      </c>
      <c r="B56" s="3" t="inlineStr">
        <is>
          <t>OJC-A1-SC/LC-SM-1-PC/PC-DP</t>
        </is>
      </c>
      <c r="C56" s="2" t="inlineStr">
        <is>
          <t>K9089157</t>
        </is>
      </c>
      <c r="D56" s="2" t="inlineStr">
        <is>
          <t>a1</t>
        </is>
      </c>
      <c r="E56" s="2" t="inlineStr">
        <is>
          <t>2.0mm</t>
        </is>
      </c>
      <c r="F56" s="2" t="n">
        <v>2</v>
      </c>
      <c r="G56" s="2" t="n">
        <v>1</v>
      </c>
      <c r="H56" s="2" t="inlineStr">
        <is>
          <t>SC/PC</t>
        </is>
      </c>
      <c r="I56" s="2" t="inlineStr">
        <is>
          <t>LC/PC</t>
        </is>
      </c>
      <c r="J56" s="2" t="n">
        <v>354</v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>
        <f>SUM(J56:U56)</f>
        <v/>
      </c>
      <c r="W56" s="2" t="n"/>
      <c r="X56" s="2" t="n">
        <v>708</v>
      </c>
      <c r="Y56" s="2" t="n"/>
      <c r="Z56" s="2" t="n"/>
      <c r="AA56" s="2" t="n">
        <v>708</v>
      </c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>
        <f>IF(F56=1,V56*2,IF(F56=2,V56*F56*2,IF(F56&gt;2,F56*2*V56)))</f>
        <v/>
      </c>
      <c r="AW56" s="2">
        <f>SUM(W56:AU56)</f>
        <v/>
      </c>
    </row>
    <row r="57">
      <c r="A57" s="2" t="inlineStr">
        <is>
          <t>14-K-199</t>
        </is>
      </c>
      <c r="B57" s="3" t="inlineStr">
        <is>
          <t>OJC-A1-SC/LC-SM-1-PC/PC-SP</t>
        </is>
      </c>
      <c r="C57" s="2" t="inlineStr">
        <is>
          <t>K9089028</t>
        </is>
      </c>
      <c r="D57" s="2" t="inlineStr">
        <is>
          <t>a1</t>
        </is>
      </c>
      <c r="E57" s="2" t="inlineStr">
        <is>
          <t>2.0mm</t>
        </is>
      </c>
      <c r="F57" s="2" t="n">
        <v>1</v>
      </c>
      <c r="G57" s="2" t="n">
        <v>1</v>
      </c>
      <c r="H57" s="2" t="inlineStr">
        <is>
          <t>SC/PC</t>
        </is>
      </c>
      <c r="I57" s="2" t="inlineStr">
        <is>
          <t>LC/PC</t>
        </is>
      </c>
      <c r="J57" s="2" t="n">
        <v>80</v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>
        <f>SUM(J57:U57)</f>
        <v/>
      </c>
      <c r="W57" s="2" t="n">
        <v>80</v>
      </c>
      <c r="X57" s="2" t="n"/>
      <c r="Y57" s="2" t="n"/>
      <c r="Z57" s="2" t="n"/>
      <c r="AA57" s="2" t="n">
        <v>80</v>
      </c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>
        <f>IF(F57=1,V57*2,IF(F57=2,V57*F57*2,IF(F57&gt;2,F57*2*V57)))</f>
        <v/>
      </c>
      <c r="AW57" s="2">
        <f>SUM(W57:AU57)</f>
        <v/>
      </c>
    </row>
    <row r="58">
      <c r="A58" s="2" t="inlineStr">
        <is>
          <t>14-K-225</t>
        </is>
      </c>
      <c r="B58" s="3" t="inlineStr">
        <is>
          <t>OJC-A1-SC/LC-SM-3-PC/PC-DP</t>
        </is>
      </c>
      <c r="C58" s="2" t="inlineStr">
        <is>
          <t>K9089159</t>
        </is>
      </c>
      <c r="D58" s="2" t="inlineStr">
        <is>
          <t>a1</t>
        </is>
      </c>
      <c r="E58" s="2" t="inlineStr">
        <is>
          <t>2.0mm</t>
        </is>
      </c>
      <c r="F58" s="2" t="n">
        <v>2</v>
      </c>
      <c r="G58" s="2" t="n">
        <v>3</v>
      </c>
      <c r="H58" s="2" t="inlineStr">
        <is>
          <t>SC/PC</t>
        </is>
      </c>
      <c r="I58" s="2" t="inlineStr">
        <is>
          <t>LC/PC</t>
        </is>
      </c>
      <c r="J58" s="2" t="n"/>
      <c r="K58" s="2" t="n"/>
      <c r="L58" s="2" t="n">
        <v>5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>
        <f>SUM(J58:U58)</f>
        <v/>
      </c>
      <c r="W58" s="2" t="n"/>
      <c r="X58" s="2" t="n">
        <v>10</v>
      </c>
      <c r="Y58" s="2" t="n"/>
      <c r="Z58" s="2" t="n"/>
      <c r="AA58" s="2" t="n">
        <v>10</v>
      </c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>
        <f>IF(F58=1,V58*2,IF(F58=2,V58*F58*2,IF(F58&gt;2,F58*2*V58)))</f>
        <v/>
      </c>
      <c r="AW58" s="2">
        <f>SUM(W58:AU58)</f>
        <v/>
      </c>
    </row>
    <row r="59">
      <c r="A59" s="2" t="inlineStr">
        <is>
          <t>14-K-226</t>
        </is>
      </c>
      <c r="B59" s="3" t="inlineStr">
        <is>
          <t>OJC-A1-SC/LC-SM-3-PC/PC-SP</t>
        </is>
      </c>
      <c r="C59" s="2" t="inlineStr">
        <is>
          <t>K9089030</t>
        </is>
      </c>
      <c r="D59" s="2" t="inlineStr">
        <is>
          <t>a1</t>
        </is>
      </c>
      <c r="E59" s="2" t="inlineStr">
        <is>
          <t>2.0mm</t>
        </is>
      </c>
      <c r="F59" s="2" t="n">
        <v>1</v>
      </c>
      <c r="G59" s="2" t="n">
        <v>3</v>
      </c>
      <c r="H59" s="2" t="inlineStr">
        <is>
          <t>SC/PC</t>
        </is>
      </c>
      <c r="I59" s="2" t="inlineStr">
        <is>
          <t>LC/PC</t>
        </is>
      </c>
      <c r="J59" s="2" t="n">
        <v>13</v>
      </c>
      <c r="K59" s="2" t="n"/>
      <c r="L59" s="2" t="n">
        <v>255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>
        <f>SUM(J59:U59)</f>
        <v/>
      </c>
      <c r="W59" s="2" t="n">
        <v>268</v>
      </c>
      <c r="X59" s="2" t="n"/>
      <c r="Y59" s="2" t="n"/>
      <c r="Z59" s="2" t="n"/>
      <c r="AA59" s="2" t="n">
        <v>268</v>
      </c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>
        <f>IF(F59=1,V59*2,IF(F59=2,V59*F59*2,IF(F59&gt;2,F59*2*V59)))</f>
        <v/>
      </c>
      <c r="AW59" s="2">
        <f>SUM(W59:AU59)</f>
        <v/>
      </c>
    </row>
    <row r="60">
      <c r="A60" s="2" t="inlineStr">
        <is>
          <t>14-K-229</t>
        </is>
      </c>
      <c r="B60" s="3" t="inlineStr">
        <is>
          <t>OJC-A1-SC/LC-SM-45-PC/PC-DP</t>
        </is>
      </c>
      <c r="C60" s="2" t="inlineStr">
        <is>
          <t>K9089169</t>
        </is>
      </c>
      <c r="D60" s="2" t="inlineStr">
        <is>
          <t>a1</t>
        </is>
      </c>
      <c r="E60" s="2" t="inlineStr">
        <is>
          <t>2.0mm</t>
        </is>
      </c>
      <c r="F60" s="2" t="n">
        <v>2</v>
      </c>
      <c r="G60" s="2" t="n">
        <v>45</v>
      </c>
      <c r="H60" s="2" t="inlineStr">
        <is>
          <t>SC/PC</t>
        </is>
      </c>
      <c r="I60" s="2" t="inlineStr">
        <is>
          <t>LC/PC</t>
        </is>
      </c>
      <c r="J60" s="2" t="n"/>
      <c r="K60" s="2" t="n">
        <v>20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>
        <f>SUM(J60:U60)</f>
        <v/>
      </c>
      <c r="W60" s="2" t="n"/>
      <c r="X60" s="2" t="n">
        <v>40</v>
      </c>
      <c r="Y60" s="2" t="n"/>
      <c r="Z60" s="2" t="n"/>
      <c r="AA60" s="2" t="n">
        <v>40</v>
      </c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>
        <f>IF(F60=1,V60*2,IF(F60=2,V60*F60*2,IF(F60&gt;2,F60*2*V60)))</f>
        <v/>
      </c>
      <c r="AW60" s="2">
        <f>SUM(W60:AU60)</f>
        <v/>
      </c>
    </row>
    <row r="61">
      <c r="A61" s="2" t="inlineStr">
        <is>
          <t>14-K-231</t>
        </is>
      </c>
      <c r="B61" s="3" t="inlineStr">
        <is>
          <t>OJC-A1-SC/LC-SM-4-PC/PC-DP</t>
        </is>
      </c>
      <c r="C61" s="2" t="inlineStr">
        <is>
          <t>K9089160</t>
        </is>
      </c>
      <c r="D61" s="2" t="inlineStr">
        <is>
          <t>a1</t>
        </is>
      </c>
      <c r="E61" s="2" t="inlineStr">
        <is>
          <t>2.0mm</t>
        </is>
      </c>
      <c r="F61" s="2" t="n">
        <v>2</v>
      </c>
      <c r="G61" s="2" t="n">
        <v>4</v>
      </c>
      <c r="H61" s="2" t="inlineStr">
        <is>
          <t>SC/PC</t>
        </is>
      </c>
      <c r="I61" s="2" t="inlineStr">
        <is>
          <t>LC/PC</t>
        </is>
      </c>
      <c r="J61" s="2" t="n">
        <v>50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>
        <f>SUM(J61:U61)</f>
        <v/>
      </c>
      <c r="W61" s="2" t="n"/>
      <c r="X61" s="2" t="n">
        <v>100</v>
      </c>
      <c r="Y61" s="2" t="n"/>
      <c r="Z61" s="2" t="n"/>
      <c r="AA61" s="2" t="n">
        <v>100</v>
      </c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>
        <f>IF(F61=1,V61*2,IF(F61=2,V61*F61*2,IF(F61&gt;2,F61*2*V61)))</f>
        <v/>
      </c>
      <c r="AW61" s="2">
        <f>SUM(W61:AU61)</f>
        <v/>
      </c>
    </row>
    <row r="62">
      <c r="A62" s="2" t="inlineStr">
        <is>
          <t>14-K-232</t>
        </is>
      </c>
      <c r="B62" s="3" t="inlineStr">
        <is>
          <t>OJC-A1-SC/LC-SM-50-PC/PC-DP</t>
        </is>
      </c>
      <c r="C62" s="2" t="inlineStr">
        <is>
          <t>K9089170</t>
        </is>
      </c>
      <c r="D62" s="2" t="inlineStr">
        <is>
          <t>a1</t>
        </is>
      </c>
      <c r="E62" s="2" t="inlineStr">
        <is>
          <t>2.0mm</t>
        </is>
      </c>
      <c r="F62" s="2" t="n">
        <v>2</v>
      </c>
      <c r="G62" s="2" t="n">
        <v>50</v>
      </c>
      <c r="H62" s="2" t="inlineStr">
        <is>
          <t>SC/PC</t>
        </is>
      </c>
      <c r="I62" s="2" t="inlineStr">
        <is>
          <t>LC/PC</t>
        </is>
      </c>
      <c r="J62" s="2" t="n">
        <v>50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>
        <f>SUM(J62:U62)</f>
        <v/>
      </c>
      <c r="W62" s="2" t="n"/>
      <c r="X62" s="2" t="n">
        <v>100</v>
      </c>
      <c r="Y62" s="2" t="n"/>
      <c r="Z62" s="2" t="n"/>
      <c r="AA62" s="2" t="n">
        <v>100</v>
      </c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>
        <f>IF(F62=1,V62*2,IF(F62=2,V62*F62*2,IF(F62&gt;2,F62*2*V62)))</f>
        <v/>
      </c>
      <c r="AW62" s="2">
        <f>SUM(W62:AU62)</f>
        <v/>
      </c>
    </row>
    <row r="63">
      <c r="A63" s="2" t="inlineStr">
        <is>
          <t>14-K-236</t>
        </is>
      </c>
      <c r="B63" s="3" t="inlineStr">
        <is>
          <t>OJC-A1-SC/LC-SM-5-PC/PC-DP</t>
        </is>
      </c>
      <c r="C63" s="2" t="inlineStr">
        <is>
          <t>K9089161</t>
        </is>
      </c>
      <c r="D63" s="2" t="inlineStr">
        <is>
          <t>a1</t>
        </is>
      </c>
      <c r="E63" s="2" t="inlineStr">
        <is>
          <t>2.0mm</t>
        </is>
      </c>
      <c r="F63" s="2" t="n">
        <v>2</v>
      </c>
      <c r="G63" s="2" t="n">
        <v>5</v>
      </c>
      <c r="H63" s="2" t="inlineStr">
        <is>
          <t>SC/PC</t>
        </is>
      </c>
      <c r="I63" s="2" t="inlineStr">
        <is>
          <t>LC/PC</t>
        </is>
      </c>
      <c r="J63" s="2" t="n">
        <v>50</v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>
        <f>SUM(J63:U63)</f>
        <v/>
      </c>
      <c r="W63" s="2" t="n"/>
      <c r="X63" s="2" t="n">
        <v>100</v>
      </c>
      <c r="Y63" s="2" t="n"/>
      <c r="Z63" s="2" t="n"/>
      <c r="AA63" s="2" t="n">
        <v>100</v>
      </c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>
        <f>IF(F63=1,V63*2,IF(F63=2,V63*F63*2,IF(F63&gt;2,F63*2*V63)))</f>
        <v/>
      </c>
      <c r="AW63" s="2">
        <f>SUM(W63:AU63)</f>
        <v/>
      </c>
    </row>
    <row r="64">
      <c r="A64" s="2" t="inlineStr">
        <is>
          <t>14-K-237</t>
        </is>
      </c>
      <c r="B64" s="3" t="inlineStr">
        <is>
          <t>OJC-A1-SC/LC-SM-5-PC/PC-SP</t>
        </is>
      </c>
      <c r="C64" s="2" t="inlineStr">
        <is>
          <t>K9089032</t>
        </is>
      </c>
      <c r="D64" s="2" t="inlineStr">
        <is>
          <t>a1</t>
        </is>
      </c>
      <c r="E64" s="2" t="inlineStr">
        <is>
          <t>2.0mm</t>
        </is>
      </c>
      <c r="F64" s="2" t="n">
        <v>1</v>
      </c>
      <c r="G64" s="2" t="n">
        <v>5</v>
      </c>
      <c r="H64" s="2" t="inlineStr">
        <is>
          <t>SC/PC</t>
        </is>
      </c>
      <c r="I64" s="2" t="inlineStr">
        <is>
          <t>LC/PC</t>
        </is>
      </c>
      <c r="J64" s="2" t="n">
        <v>20</v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>
        <f>SUM(J64:U64)</f>
        <v/>
      </c>
      <c r="W64" s="2" t="n">
        <v>20</v>
      </c>
      <c r="X64" s="2" t="n"/>
      <c r="Y64" s="2" t="n"/>
      <c r="Z64" s="2" t="n"/>
      <c r="AA64" s="2" t="n">
        <v>20</v>
      </c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>
        <f>IF(F64=1,V64*2,IF(F64=2,V64*F64*2,IF(F64&gt;2,F64*2*V64)))</f>
        <v/>
      </c>
      <c r="AW64" s="2">
        <f>SUM(W64:AU64)</f>
        <v/>
      </c>
    </row>
    <row r="65">
      <c r="A65" s="2" t="inlineStr">
        <is>
          <t>14-K-287</t>
        </is>
      </c>
      <c r="B65" s="3" t="inlineStr">
        <is>
          <t>OJC-A1-SC/SC-SM-10-APC/APC-SP</t>
        </is>
      </c>
      <c r="C65" s="2" t="inlineStr"/>
      <c r="D65" s="2" t="inlineStr">
        <is>
          <t>a1</t>
        </is>
      </c>
      <c r="E65" s="2" t="inlineStr">
        <is>
          <t>2.0mm</t>
        </is>
      </c>
      <c r="F65" s="2" t="n">
        <v>1</v>
      </c>
      <c r="G65" s="2" t="n">
        <v>10</v>
      </c>
      <c r="H65" s="2" t="inlineStr">
        <is>
          <t>SC/APC</t>
        </is>
      </c>
      <c r="I65" s="2" t="inlineStr">
        <is>
          <t>SC/APC</t>
        </is>
      </c>
      <c r="J65" s="2" t="n"/>
      <c r="K65" s="2" t="n">
        <v>24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>
        <f>SUM(J65:U65)</f>
        <v/>
      </c>
      <c r="W65" s="2" t="n"/>
      <c r="X65" s="2" t="n"/>
      <c r="Y65" s="2" t="n"/>
      <c r="Z65" s="2" t="n"/>
      <c r="AA65" s="2" t="n"/>
      <c r="AB65" s="2" t="n"/>
      <c r="AC65" s="2" t="n">
        <v>48</v>
      </c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>
        <f>IF(F65=1,V65*2,IF(F65=2,V65*F65*2,IF(F65&gt;2,F65*2*V65)))</f>
        <v/>
      </c>
      <c r="AW65" s="2">
        <f>SUM(W65:AU65)</f>
        <v/>
      </c>
    </row>
    <row r="66">
      <c r="A66" s="2" t="inlineStr">
        <is>
          <t>14-K-290</t>
        </is>
      </c>
      <c r="B66" s="3" t="inlineStr">
        <is>
          <t>OJC-A1-SC/SC-SM-10-PC/PC-DP</t>
        </is>
      </c>
      <c r="C66" s="2" t="inlineStr">
        <is>
          <t>K9089132</t>
        </is>
      </c>
      <c r="D66" s="2" t="inlineStr">
        <is>
          <t>a1</t>
        </is>
      </c>
      <c r="E66" s="2" t="inlineStr">
        <is>
          <t>2.0mm</t>
        </is>
      </c>
      <c r="F66" s="2" t="n">
        <v>2</v>
      </c>
      <c r="G66" s="2" t="n">
        <v>10</v>
      </c>
      <c r="H66" s="2" t="inlineStr">
        <is>
          <t>SC/PC</t>
        </is>
      </c>
      <c r="I66" s="2" t="inlineStr">
        <is>
          <t>SC/PC</t>
        </is>
      </c>
      <c r="J66" s="2" t="n">
        <v>11</v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>
        <f>SUM(J66:U66)</f>
        <v/>
      </c>
      <c r="W66" s="2" t="n"/>
      <c r="X66" s="2" t="n"/>
      <c r="Y66" s="2" t="n"/>
      <c r="Z66" s="2" t="n"/>
      <c r="AA66" s="2" t="n">
        <v>22</v>
      </c>
      <c r="AB66" s="2" t="n">
        <v>22</v>
      </c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>
        <f>IF(F66=1,V66*2,IF(F66=2,V66*F66*2,IF(F66&gt;2,F66*2*V66)))</f>
        <v/>
      </c>
      <c r="AW66" s="2">
        <f>SUM(W66:AU66)</f>
        <v/>
      </c>
    </row>
    <row r="67">
      <c r="A67" s="2" t="inlineStr">
        <is>
          <t>14-K-291</t>
        </is>
      </c>
      <c r="B67" s="3" t="inlineStr">
        <is>
          <t>OJC-A1-SC/SC-SM-10-PC/PC-SP</t>
        </is>
      </c>
      <c r="C67" s="2" t="inlineStr">
        <is>
          <t>K9089003</t>
        </is>
      </c>
      <c r="D67" s="2" t="inlineStr">
        <is>
          <t>a1</t>
        </is>
      </c>
      <c r="E67" s="2" t="inlineStr">
        <is>
          <t>2.0mm</t>
        </is>
      </c>
      <c r="F67" s="2" t="n">
        <v>1</v>
      </c>
      <c r="G67" s="2" t="n">
        <v>10</v>
      </c>
      <c r="H67" s="2" t="inlineStr">
        <is>
          <t>SC/PC</t>
        </is>
      </c>
      <c r="I67" s="2" t="inlineStr">
        <is>
          <t>SC/PC</t>
        </is>
      </c>
      <c r="J67" s="2" t="n">
        <v>45</v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>
        <f>SUM(J67:U67)</f>
        <v/>
      </c>
      <c r="W67" s="2" t="n"/>
      <c r="X67" s="2" t="n"/>
      <c r="Y67" s="2" t="n"/>
      <c r="Z67" s="2" t="n"/>
      <c r="AA67" s="2" t="n">
        <v>90</v>
      </c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>
        <f>IF(F67=1,V67*2,IF(F67=2,V67*F67*2,IF(F67&gt;2,F67*2*V67)))</f>
        <v/>
      </c>
      <c r="AW67" s="2">
        <f>SUM(W67:AU67)</f>
        <v/>
      </c>
    </row>
    <row r="68">
      <c r="A68" s="2" t="inlineStr">
        <is>
          <t>14-K-299</t>
        </is>
      </c>
      <c r="B68" s="3" t="inlineStr">
        <is>
          <t>OJC-A1-SC/SC-SM-15-APC/APC-SP</t>
        </is>
      </c>
      <c r="C68" s="2" t="inlineStr"/>
      <c r="D68" s="2" t="inlineStr">
        <is>
          <t>a1</t>
        </is>
      </c>
      <c r="E68" s="2" t="inlineStr">
        <is>
          <t>2.0mm</t>
        </is>
      </c>
      <c r="F68" s="2" t="n">
        <v>1</v>
      </c>
      <c r="G68" s="2" t="n">
        <v>15</v>
      </c>
      <c r="H68" s="2" t="inlineStr">
        <is>
          <t>SC/APC</t>
        </is>
      </c>
      <c r="I68" s="2" t="inlineStr">
        <is>
          <t>SC/APC</t>
        </is>
      </c>
      <c r="J68" s="2" t="n"/>
      <c r="K68" s="2" t="n">
        <v>40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>
        <f>SUM(J68:U68)</f>
        <v/>
      </c>
      <c r="W68" s="2" t="n"/>
      <c r="X68" s="2" t="n"/>
      <c r="Y68" s="2" t="n"/>
      <c r="Z68" s="2" t="n"/>
      <c r="AA68" s="2" t="n"/>
      <c r="AB68" s="2" t="n"/>
      <c r="AC68" s="2" t="n">
        <v>80</v>
      </c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>
        <f>IF(F68=1,V68*2,IF(F68=2,V68*F68*2,IF(F68&gt;2,F68*2*V68)))</f>
        <v/>
      </c>
      <c r="AW68" s="2">
        <f>SUM(W68:AU68)</f>
        <v/>
      </c>
    </row>
    <row r="69">
      <c r="A69" s="2" t="inlineStr">
        <is>
          <t>14-K-318</t>
        </is>
      </c>
      <c r="B69" s="3" t="inlineStr">
        <is>
          <t>OJC-A1-SC/SC-SM-20-APC/APC-SP</t>
        </is>
      </c>
      <c r="C69" s="2" t="inlineStr"/>
      <c r="D69" s="2" t="inlineStr">
        <is>
          <t>a1</t>
        </is>
      </c>
      <c r="E69" s="2" t="inlineStr">
        <is>
          <t>2.0mm</t>
        </is>
      </c>
      <c r="F69" s="2" t="n">
        <v>1</v>
      </c>
      <c r="G69" s="2" t="n">
        <v>20</v>
      </c>
      <c r="H69" s="2" t="inlineStr">
        <is>
          <t>SC/APC</t>
        </is>
      </c>
      <c r="I69" s="2" t="inlineStr">
        <is>
          <t>SC/APC</t>
        </is>
      </c>
      <c r="J69" s="2" t="n"/>
      <c r="K69" s="2" t="n">
        <v>40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>
        <f>SUM(J69:U69)</f>
        <v/>
      </c>
      <c r="W69" s="2" t="n"/>
      <c r="X69" s="2" t="n"/>
      <c r="Y69" s="2" t="n"/>
      <c r="Z69" s="2" t="n"/>
      <c r="AA69" s="2" t="n"/>
      <c r="AB69" s="2" t="n"/>
      <c r="AC69" s="2" t="n">
        <v>80</v>
      </c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>
        <f>IF(F69=1,V69*2,IF(F69=2,V69*F69*2,IF(F69&gt;2,F69*2*V69)))</f>
        <v/>
      </c>
      <c r="AW69" s="2">
        <f>SUM(W69:AU69)</f>
        <v/>
      </c>
    </row>
    <row r="70">
      <c r="A70" s="2" t="inlineStr">
        <is>
          <t>14-K-322</t>
        </is>
      </c>
      <c r="B70" s="3" t="inlineStr">
        <is>
          <t>OJC-A1-SC/SC-SM-20-PC/PC-SP</t>
        </is>
      </c>
      <c r="C70" s="2" t="inlineStr">
        <is>
          <t>K9089013</t>
        </is>
      </c>
      <c r="D70" s="2" t="inlineStr">
        <is>
          <t>a1</t>
        </is>
      </c>
      <c r="E70" s="2" t="inlineStr">
        <is>
          <t>2.0mm</t>
        </is>
      </c>
      <c r="F70" s="2" t="n">
        <v>1</v>
      </c>
      <c r="G70" s="2" t="n">
        <v>20</v>
      </c>
      <c r="H70" s="2" t="inlineStr">
        <is>
          <t>SC/PC</t>
        </is>
      </c>
      <c r="I70" s="2" t="inlineStr">
        <is>
          <t>SC/PC</t>
        </is>
      </c>
      <c r="J70" s="2" t="n">
        <v>104</v>
      </c>
      <c r="K70" s="2" t="n">
        <v>50</v>
      </c>
      <c r="L70" s="2" t="n">
        <v>100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>
        <f>SUM(J70:U70)</f>
        <v/>
      </c>
      <c r="W70" s="2" t="n"/>
      <c r="X70" s="2" t="n"/>
      <c r="Y70" s="2" t="n"/>
      <c r="Z70" s="2" t="n"/>
      <c r="AA70" s="2" t="n">
        <v>508</v>
      </c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>
        <f>IF(F70=1,V70*2,IF(F70=2,V70*F70*2,IF(F70&gt;2,F70*2*V70)))</f>
        <v/>
      </c>
      <c r="AW70" s="2">
        <f>SUM(W70:AU70)</f>
        <v/>
      </c>
    </row>
    <row r="71">
      <c r="A71" s="2" t="inlineStr">
        <is>
          <t>14-K-337</t>
        </is>
      </c>
      <c r="B71" s="3" t="inlineStr">
        <is>
          <t>OJC-A1-SC/SC-SM-25-PC/PC-SP</t>
        </is>
      </c>
      <c r="C71" s="2" t="inlineStr">
        <is>
          <t>K9089018</t>
        </is>
      </c>
      <c r="D71" s="2" t="inlineStr">
        <is>
          <t>a1</t>
        </is>
      </c>
      <c r="E71" s="2" t="inlineStr">
        <is>
          <t>2.0mm</t>
        </is>
      </c>
      <c r="F71" s="2" t="n">
        <v>1</v>
      </c>
      <c r="G71" s="2" t="n">
        <v>25</v>
      </c>
      <c r="H71" s="2" t="inlineStr">
        <is>
          <t>SC/PC</t>
        </is>
      </c>
      <c r="I71" s="2" t="inlineStr">
        <is>
          <t>SC/PC</t>
        </is>
      </c>
      <c r="J71" s="2" t="n">
        <v>100</v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>
        <f>SUM(J71:U71)</f>
        <v/>
      </c>
      <c r="W71" s="2" t="n"/>
      <c r="X71" s="2" t="n"/>
      <c r="Y71" s="2" t="n"/>
      <c r="Z71" s="2" t="n"/>
      <c r="AA71" s="2" t="n">
        <v>200</v>
      </c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>
        <f>IF(F71=1,V71*2,IF(F71=2,V71*F71*2,IF(F71&gt;2,F71*2*V71)))</f>
        <v/>
      </c>
      <c r="AW71" s="2">
        <f>SUM(W71:AU71)</f>
        <v/>
      </c>
    </row>
    <row r="72">
      <c r="A72" s="2" t="inlineStr">
        <is>
          <t>14-K-343</t>
        </is>
      </c>
      <c r="B72" s="3" t="inlineStr">
        <is>
          <t>OJC-A1-SC/SC-SM-2-APC/APC-SP</t>
        </is>
      </c>
      <c r="C72" s="2" t="inlineStr"/>
      <c r="D72" s="2" t="inlineStr">
        <is>
          <t>a1</t>
        </is>
      </c>
      <c r="E72" s="2" t="inlineStr">
        <is>
          <t>2.0mm</t>
        </is>
      </c>
      <c r="F72" s="2" t="n">
        <v>1</v>
      </c>
      <c r="G72" s="2" t="n">
        <v>2</v>
      </c>
      <c r="H72" s="2" t="inlineStr">
        <is>
          <t>SC/APC</t>
        </is>
      </c>
      <c r="I72" s="2" t="inlineStr">
        <is>
          <t>SC/APC</t>
        </is>
      </c>
      <c r="J72" s="2" t="n">
        <v>8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>
        <f>SUM(J72:U72)</f>
        <v/>
      </c>
      <c r="W72" s="2" t="n"/>
      <c r="X72" s="2" t="n"/>
      <c r="Y72" s="2" t="n"/>
      <c r="Z72" s="2" t="n"/>
      <c r="AA72" s="2" t="n"/>
      <c r="AB72" s="2" t="n"/>
      <c r="AC72" s="2" t="n">
        <v>16</v>
      </c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>
        <f>IF(F72=1,V72*2,IF(F72=2,V72*F72*2,IF(F72&gt;2,F72*2*V72)))</f>
        <v/>
      </c>
      <c r="AW72" s="2">
        <f>SUM(W72:AU72)</f>
        <v/>
      </c>
    </row>
    <row r="73">
      <c r="A73" s="2" t="inlineStr">
        <is>
          <t>14-K-350</t>
        </is>
      </c>
      <c r="B73" s="3" t="inlineStr">
        <is>
          <t>OJC-A1-SC/SC-SM-30-PC/APC-DP</t>
        </is>
      </c>
      <c r="C73" s="2" t="inlineStr"/>
      <c r="D73" s="2" t="inlineStr">
        <is>
          <t>a1</t>
        </is>
      </c>
      <c r="E73" s="2" t="inlineStr">
        <is>
          <t>2.0mm</t>
        </is>
      </c>
      <c r="F73" s="2" t="n">
        <v>2</v>
      </c>
      <c r="G73" s="2" t="n">
        <v>30</v>
      </c>
      <c r="H73" s="2" t="inlineStr">
        <is>
          <t>SC/PC</t>
        </is>
      </c>
      <c r="I73" s="2" t="inlineStr">
        <is>
          <t>SC/APC</t>
        </is>
      </c>
      <c r="J73" s="2" t="n"/>
      <c r="K73" s="2" t="n">
        <v>1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>
        <f>SUM(J73:U73)</f>
        <v/>
      </c>
      <c r="W73" s="2" t="n"/>
      <c r="X73" s="2" t="n"/>
      <c r="Y73" s="2" t="n"/>
      <c r="Z73" s="2" t="n"/>
      <c r="AA73" s="2" t="n">
        <v>2</v>
      </c>
      <c r="AB73" s="2" t="n"/>
      <c r="AC73" s="2" t="n"/>
      <c r="AD73" s="2" t="n">
        <v>2</v>
      </c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>
        <f>IF(F73=1,V73*2,IF(F73=2,V73*F73*2,IF(F73&gt;2,F73*2*V73)))</f>
        <v/>
      </c>
      <c r="AW73" s="2">
        <f>SUM(W73:AU73)</f>
        <v/>
      </c>
    </row>
    <row r="74">
      <c r="A74" s="2" t="inlineStr">
        <is>
          <t>14-K-351</t>
        </is>
      </c>
      <c r="B74" s="3" t="inlineStr">
        <is>
          <t>OJC-A1-SC/SC-SM-30-PC/APC-SP</t>
        </is>
      </c>
      <c r="C74" s="2" t="inlineStr">
        <is>
          <t>K9089063</t>
        </is>
      </c>
      <c r="D74" s="2" t="inlineStr">
        <is>
          <t>a1</t>
        </is>
      </c>
      <c r="E74" s="2" t="inlineStr">
        <is>
          <t>2.0mm</t>
        </is>
      </c>
      <c r="F74" s="2" t="n">
        <v>1</v>
      </c>
      <c r="G74" s="2" t="n">
        <v>30</v>
      </c>
      <c r="H74" s="2" t="inlineStr">
        <is>
          <t>SC/PC</t>
        </is>
      </c>
      <c r="I74" s="2" t="inlineStr">
        <is>
          <t>SC/APC</t>
        </is>
      </c>
      <c r="J74" s="2" t="n"/>
      <c r="K74" s="2" t="n"/>
      <c r="L74" s="2" t="n">
        <v>50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>
        <f>SUM(J74:U74)</f>
        <v/>
      </c>
      <c r="W74" s="2" t="n"/>
      <c r="X74" s="2" t="n"/>
      <c r="Y74" s="2" t="n"/>
      <c r="Z74" s="2" t="n"/>
      <c r="AA74" s="2" t="n">
        <v>50</v>
      </c>
      <c r="AB74" s="2" t="n"/>
      <c r="AC74" s="2" t="n">
        <v>50</v>
      </c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>
        <f>IF(F74=1,V74*2,IF(F74=2,V74*F74*2,IF(F74&gt;2,F74*2*V74)))</f>
        <v/>
      </c>
      <c r="AW74" s="2">
        <f>SUM(W74:AU74)</f>
        <v/>
      </c>
    </row>
    <row r="75">
      <c r="A75" s="2" t="inlineStr">
        <is>
          <t>14-K-362</t>
        </is>
      </c>
      <c r="B75" s="3" t="inlineStr">
        <is>
          <t>OJC-A1-SC/SC-SM-3-PC/PC-SP</t>
        </is>
      </c>
      <c r="C75" s="2" t="inlineStr">
        <is>
          <t>K9088996</t>
        </is>
      </c>
      <c r="D75" s="2" t="inlineStr">
        <is>
          <t>a1</t>
        </is>
      </c>
      <c r="E75" s="2" t="inlineStr">
        <is>
          <t>2.0mm</t>
        </is>
      </c>
      <c r="F75" s="2" t="n">
        <v>1</v>
      </c>
      <c r="G75" s="2" t="n">
        <v>3</v>
      </c>
      <c r="H75" s="2" t="inlineStr">
        <is>
          <t>SC/PC</t>
        </is>
      </c>
      <c r="I75" s="2" t="inlineStr">
        <is>
          <t>SC/PC</t>
        </is>
      </c>
      <c r="J75" s="2" t="n">
        <v>15</v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>
        <f>SUM(J75:U75)</f>
        <v/>
      </c>
      <c r="W75" s="2" t="n"/>
      <c r="X75" s="2" t="n"/>
      <c r="Y75" s="2" t="n"/>
      <c r="Z75" s="2" t="n"/>
      <c r="AA75" s="2" t="n">
        <v>30</v>
      </c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>
        <f>IF(F75=1,V75*2,IF(F75=2,V75*F75*2,IF(F75&gt;2,F75*2*V75)))</f>
        <v/>
      </c>
      <c r="AW75" s="2">
        <f>SUM(W75:AU75)</f>
        <v/>
      </c>
    </row>
    <row r="76">
      <c r="A76" s="2" t="inlineStr">
        <is>
          <t>14-K-364</t>
        </is>
      </c>
      <c r="B76" s="3" t="inlineStr">
        <is>
          <t>OJC-A1-SC/SC-SM-40-PC/PC-DP</t>
        </is>
      </c>
      <c r="C76" s="2" t="inlineStr">
        <is>
          <t>K9089154</t>
        </is>
      </c>
      <c r="D76" s="2" t="inlineStr">
        <is>
          <t>a1</t>
        </is>
      </c>
      <c r="E76" s="2" t="inlineStr">
        <is>
          <t>2.0mm</t>
        </is>
      </c>
      <c r="F76" s="2" t="n">
        <v>2</v>
      </c>
      <c r="G76" s="2" t="n">
        <v>40</v>
      </c>
      <c r="H76" s="2" t="inlineStr">
        <is>
          <t>SC/PC</t>
        </is>
      </c>
      <c r="I76" s="2" t="inlineStr">
        <is>
          <t>SC/PC</t>
        </is>
      </c>
      <c r="J76" s="2" t="n">
        <v>50</v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>
        <f>SUM(J76:U76)</f>
        <v/>
      </c>
      <c r="W76" s="2" t="n"/>
      <c r="X76" s="2" t="n"/>
      <c r="Y76" s="2" t="n"/>
      <c r="Z76" s="2" t="n"/>
      <c r="AA76" s="2" t="n">
        <v>100</v>
      </c>
      <c r="AB76" s="2" t="n">
        <v>100</v>
      </c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>
        <f>IF(F76=1,V76*2,IF(F76=2,V76*F76*2,IF(F76&gt;2,F76*2*V76)))</f>
        <v/>
      </c>
      <c r="AW76" s="2">
        <f>SUM(W76:AU76)</f>
        <v/>
      </c>
    </row>
    <row r="77">
      <c r="A77" s="2" t="inlineStr">
        <is>
          <t>14-K-365</t>
        </is>
      </c>
      <c r="B77" s="3" t="inlineStr">
        <is>
          <t>OJC-A1-SC/SC-SM-40-PC/PC-SP</t>
        </is>
      </c>
      <c r="C77" s="2" t="inlineStr">
        <is>
          <t>K9089025</t>
        </is>
      </c>
      <c r="D77" s="2" t="inlineStr">
        <is>
          <t>a1</t>
        </is>
      </c>
      <c r="E77" s="2" t="inlineStr">
        <is>
          <t>2.0mm</t>
        </is>
      </c>
      <c r="F77" s="2" t="n">
        <v>1</v>
      </c>
      <c r="G77" s="2" t="n">
        <v>40</v>
      </c>
      <c r="H77" s="2" t="inlineStr">
        <is>
          <t>SC/PC</t>
        </is>
      </c>
      <c r="I77" s="2" t="inlineStr">
        <is>
          <t>SC/PC</t>
        </is>
      </c>
      <c r="J77" s="2" t="n">
        <v>3</v>
      </c>
      <c r="K77" s="2" t="n">
        <v>3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>
        <f>SUM(J77:U77)</f>
        <v/>
      </c>
      <c r="W77" s="2" t="n"/>
      <c r="X77" s="2" t="n"/>
      <c r="Y77" s="2" t="n"/>
      <c r="Z77" s="2" t="n"/>
      <c r="AA77" s="2" t="n">
        <v>12</v>
      </c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>
        <f>IF(F77=1,V77*2,IF(F77=2,V77*F77*2,IF(F77&gt;2,F77*2*V77)))</f>
        <v/>
      </c>
      <c r="AW77" s="2">
        <f>SUM(W77:AU77)</f>
        <v/>
      </c>
    </row>
    <row r="78">
      <c r="A78" s="2" t="inlineStr">
        <is>
          <t>14-K-366</t>
        </is>
      </c>
      <c r="B78" s="3" t="inlineStr">
        <is>
          <t>OJC-A1-SC/SC-SM-45-PC/PC-DP</t>
        </is>
      </c>
      <c r="C78" s="2" t="inlineStr">
        <is>
          <t>K9089155</t>
        </is>
      </c>
      <c r="D78" s="2" t="inlineStr">
        <is>
          <t>a1</t>
        </is>
      </c>
      <c r="E78" s="2" t="inlineStr">
        <is>
          <t>2.0mm</t>
        </is>
      </c>
      <c r="F78" s="2" t="n">
        <v>2</v>
      </c>
      <c r="G78" s="2" t="n">
        <v>45</v>
      </c>
      <c r="H78" s="2" t="inlineStr">
        <is>
          <t>SC/PC</t>
        </is>
      </c>
      <c r="I78" s="2" t="inlineStr">
        <is>
          <t>SC/PC</t>
        </is>
      </c>
      <c r="J78" s="2" t="n"/>
      <c r="K78" s="2" t="n">
        <v>10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>
        <f>SUM(J78:U78)</f>
        <v/>
      </c>
      <c r="W78" s="2" t="n"/>
      <c r="X78" s="2" t="n"/>
      <c r="Y78" s="2" t="n"/>
      <c r="Z78" s="2" t="n"/>
      <c r="AA78" s="2" t="n">
        <v>20</v>
      </c>
      <c r="AB78" s="2" t="n">
        <v>20</v>
      </c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>
        <f>IF(F78=1,V78*2,IF(F78=2,V78*F78*2,IF(F78&gt;2,F78*2*V78)))</f>
        <v/>
      </c>
      <c r="AW78" s="2">
        <f>SUM(W78:AU78)</f>
        <v/>
      </c>
    </row>
    <row r="79">
      <c r="A79" s="2" t="inlineStr">
        <is>
          <t>14-K-371</t>
        </is>
      </c>
      <c r="B79" s="3" t="inlineStr">
        <is>
          <t>OJC-A1-SC/SC-SM-50-PC/PC-DP</t>
        </is>
      </c>
      <c r="C79" s="2" t="inlineStr">
        <is>
          <t>K9089156</t>
        </is>
      </c>
      <c r="D79" s="2" t="inlineStr">
        <is>
          <t>a1</t>
        </is>
      </c>
      <c r="E79" s="2" t="inlineStr">
        <is>
          <t>2.0mm</t>
        </is>
      </c>
      <c r="F79" s="2" t="n">
        <v>2</v>
      </c>
      <c r="G79" s="2" t="n">
        <v>50</v>
      </c>
      <c r="H79" s="2" t="inlineStr">
        <is>
          <t>SC/PC</t>
        </is>
      </c>
      <c r="I79" s="2" t="inlineStr">
        <is>
          <t>SC/PC</t>
        </is>
      </c>
      <c r="J79" s="2" t="n">
        <v>50</v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>
        <f>SUM(J79:U79)</f>
        <v/>
      </c>
      <c r="W79" s="2" t="n"/>
      <c r="X79" s="2" t="n"/>
      <c r="Y79" s="2" t="n"/>
      <c r="Z79" s="2" t="n"/>
      <c r="AA79" s="2" t="n">
        <v>100</v>
      </c>
      <c r="AB79" s="2" t="n">
        <v>100</v>
      </c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>
        <f>IF(F79=1,V79*2,IF(F79=2,V79*F79*2,IF(F79&gt;2,F79*2*V79)))</f>
        <v/>
      </c>
      <c r="AW79" s="2">
        <f>SUM(W79:AU79)</f>
        <v/>
      </c>
    </row>
    <row r="80">
      <c r="A80" s="2" t="inlineStr">
        <is>
          <t>14-K-375</t>
        </is>
      </c>
      <c r="B80" s="3" t="inlineStr">
        <is>
          <t>OJC-A1-SC/SC-SM-5-APC/APC-SP</t>
        </is>
      </c>
      <c r="C80" s="2" t="inlineStr"/>
      <c r="D80" s="2" t="inlineStr">
        <is>
          <t>a1</t>
        </is>
      </c>
      <c r="E80" s="2" t="inlineStr">
        <is>
          <t>2.0mm</t>
        </is>
      </c>
      <c r="F80" s="2" t="n">
        <v>1</v>
      </c>
      <c r="G80" s="2" t="n">
        <v>5</v>
      </c>
      <c r="H80" s="2" t="inlineStr">
        <is>
          <t>SC/APC</t>
        </is>
      </c>
      <c r="I80" s="2" t="inlineStr">
        <is>
          <t>SC/APC</t>
        </is>
      </c>
      <c r="J80" s="2" t="n"/>
      <c r="K80" s="2" t="n">
        <v>40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>
        <f>SUM(J80:U80)</f>
        <v/>
      </c>
      <c r="W80" s="2" t="n"/>
      <c r="X80" s="2" t="n"/>
      <c r="Y80" s="2" t="n"/>
      <c r="Z80" s="2" t="n"/>
      <c r="AA80" s="2" t="n"/>
      <c r="AB80" s="2" t="n"/>
      <c r="AC80" s="2" t="n">
        <v>80</v>
      </c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>
        <f>IF(F80=1,V80*2,IF(F80=2,V80*F80*2,IF(F80&gt;2,F80*2*V80)))</f>
        <v/>
      </c>
      <c r="AW80" s="2">
        <f>SUM(W80:AU80)</f>
        <v/>
      </c>
    </row>
    <row r="81">
      <c r="A81" s="2" t="inlineStr">
        <is>
          <t>14-K-378</t>
        </is>
      </c>
      <c r="B81" s="3" t="inlineStr">
        <is>
          <t>OJC-A1-SC/SC-SM-5-PC/PC-DP</t>
        </is>
      </c>
      <c r="C81" s="2" t="inlineStr">
        <is>
          <t>K9089127</t>
        </is>
      </c>
      <c r="D81" s="2" t="inlineStr">
        <is>
          <t>a1</t>
        </is>
      </c>
      <c r="E81" s="2" t="inlineStr">
        <is>
          <t>2.0mm</t>
        </is>
      </c>
      <c r="F81" s="2" t="n">
        <v>2</v>
      </c>
      <c r="G81" s="2" t="n">
        <v>5</v>
      </c>
      <c r="H81" s="2" t="inlineStr">
        <is>
          <t>SC/PC</t>
        </is>
      </c>
      <c r="I81" s="2" t="inlineStr">
        <is>
          <t>SC/PC</t>
        </is>
      </c>
      <c r="J81" s="2" t="n">
        <v>232</v>
      </c>
      <c r="K81" s="2" t="n"/>
      <c r="L81" s="2" t="n">
        <v>130</v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>
        <f>SUM(J81:U81)</f>
        <v/>
      </c>
      <c r="W81" s="2" t="n"/>
      <c r="X81" s="2" t="n"/>
      <c r="Y81" s="2" t="n"/>
      <c r="Z81" s="2" t="n"/>
      <c r="AA81" s="2" t="n">
        <v>724</v>
      </c>
      <c r="AB81" s="2" t="n">
        <v>724</v>
      </c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>
        <f>IF(F81=1,V81*2,IF(F81=2,V81*F81*2,IF(F81&gt;2,F81*2*V81)))</f>
        <v/>
      </c>
      <c r="AW81" s="2">
        <f>SUM(W81:AU81)</f>
        <v/>
      </c>
    </row>
    <row r="82">
      <c r="A82" s="2" t="inlineStr">
        <is>
          <t>14-K-386</t>
        </is>
      </c>
      <c r="B82" s="3" t="inlineStr">
        <is>
          <t>OJC-A1-SC/SC-SM-7-APC/APC-SP</t>
        </is>
      </c>
      <c r="C82" s="2" t="inlineStr"/>
      <c r="D82" s="2" t="inlineStr">
        <is>
          <t>a1</t>
        </is>
      </c>
      <c r="E82" s="2" t="inlineStr">
        <is>
          <t>2.0mm</t>
        </is>
      </c>
      <c r="F82" s="2" t="n">
        <v>1</v>
      </c>
      <c r="G82" s="2" t="n">
        <v>7</v>
      </c>
      <c r="H82" s="2" t="inlineStr">
        <is>
          <t>SC/APC</t>
        </is>
      </c>
      <c r="I82" s="2" t="inlineStr">
        <is>
          <t>SC/APC</t>
        </is>
      </c>
      <c r="J82" s="2" t="n"/>
      <c r="K82" s="2" t="n">
        <v>24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>
        <f>SUM(J82:U82)</f>
        <v/>
      </c>
      <c r="W82" s="2" t="n"/>
      <c r="X82" s="2" t="n"/>
      <c r="Y82" s="2" t="n"/>
      <c r="Z82" s="2" t="n"/>
      <c r="AA82" s="2" t="n"/>
      <c r="AB82" s="2" t="n"/>
      <c r="AC82" s="2" t="n">
        <v>48</v>
      </c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>
        <f>IF(F82=1,V82*2,IF(F82=2,V82*F82*2,IF(F82&gt;2,F82*2*V82)))</f>
        <v/>
      </c>
      <c r="AW82" s="2">
        <f>SUM(W82:AU82)</f>
        <v/>
      </c>
    </row>
    <row r="83">
      <c r="A83" s="2" t="inlineStr">
        <is>
          <t>14-K-414</t>
        </is>
      </c>
      <c r="B83" s="3" t="inlineStr">
        <is>
          <t>OJC-A1-SC/LC-SM-3-APC/PC-SP</t>
        </is>
      </c>
      <c r="C83" s="2" t="inlineStr"/>
      <c r="D83" s="2" t="inlineStr">
        <is>
          <t>a1</t>
        </is>
      </c>
      <c r="E83" s="2" t="inlineStr">
        <is>
          <t>2.0mm</t>
        </is>
      </c>
      <c r="F83" s="2" t="n">
        <v>1</v>
      </c>
      <c r="G83" s="2" t="n">
        <v>3</v>
      </c>
      <c r="H83" s="2" t="inlineStr">
        <is>
          <t>SC/APC</t>
        </is>
      </c>
      <c r="I83" s="2" t="inlineStr">
        <is>
          <t>LC/PC</t>
        </is>
      </c>
      <c r="J83" s="2" t="n"/>
      <c r="K83" s="2" t="n">
        <v>1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>
        <f>SUM(J83:U83)</f>
        <v/>
      </c>
      <c r="W83" s="2" t="n">
        <v>1</v>
      </c>
      <c r="X83" s="2" t="n"/>
      <c r="Y83" s="2" t="n"/>
      <c r="Z83" s="2" t="n"/>
      <c r="AA83" s="2" t="n"/>
      <c r="AB83" s="2" t="n"/>
      <c r="AC83" s="2" t="n">
        <v>1</v>
      </c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>
        <f>IF(F83=1,V83*2,IF(F83=2,V83*F83*2,IF(F83&gt;2,F83*2*V83)))</f>
        <v/>
      </c>
      <c r="AW83" s="2">
        <f>SUM(W83:AU83)</f>
        <v/>
      </c>
    </row>
    <row r="84">
      <c r="A84" s="2" t="inlineStr">
        <is>
          <t>14-K-456</t>
        </is>
      </c>
      <c r="B84" s="3" t="inlineStr">
        <is>
          <t>OJC-C2-SC/SC-SM-10-PC/PC-12C</t>
        </is>
      </c>
      <c r="C84" s="2" t="inlineStr">
        <is>
          <t>K9089453</t>
        </is>
      </c>
      <c r="D84" s="2" t="inlineStr">
        <is>
          <t>a1-12c</t>
        </is>
      </c>
      <c r="E84" s="2" t="inlineStr">
        <is>
          <t>2.0mm</t>
        </is>
      </c>
      <c r="F84" s="2" t="n">
        <v>12</v>
      </c>
      <c r="G84" s="2" t="n">
        <v>10</v>
      </c>
      <c r="H84" s="2" t="inlineStr">
        <is>
          <t>SC/PC</t>
        </is>
      </c>
      <c r="I84" s="2" t="inlineStr">
        <is>
          <t>SC/PC</t>
        </is>
      </c>
      <c r="J84" s="2" t="n"/>
      <c r="K84" s="2" t="n">
        <v>60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>
        <f>SUM(J84:U84)</f>
        <v/>
      </c>
      <c r="W84" s="2" t="n"/>
      <c r="X84" s="2" t="n"/>
      <c r="Y84" s="2" t="n"/>
      <c r="Z84" s="2" t="n"/>
      <c r="AA84" s="2" t="n">
        <v>1440</v>
      </c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>
        <f>IF(F84=1,V84*2,IF(F84=2,V84*F84*2,IF(F84&gt;2,F84*2*V84)))</f>
        <v/>
      </c>
      <c r="AW84" s="2">
        <f>SUM(W84:AU84)</f>
        <v/>
      </c>
    </row>
    <row r="85">
      <c r="A85" s="2" t="inlineStr">
        <is>
          <t>14-K-459</t>
        </is>
      </c>
      <c r="B85" s="3" t="inlineStr">
        <is>
          <t>OJC-C2-SC/SC-SM-10-PC/PC-8C</t>
        </is>
      </c>
      <c r="C85" s="2" t="inlineStr">
        <is>
          <t>K9089452</t>
        </is>
      </c>
      <c r="D85" s="2" t="inlineStr">
        <is>
          <t>a1-8c</t>
        </is>
      </c>
      <c r="E85" s="2" t="inlineStr">
        <is>
          <t>2.0mm</t>
        </is>
      </c>
      <c r="F85" s="2" t="n">
        <v>8</v>
      </c>
      <c r="G85" s="2" t="n">
        <v>10</v>
      </c>
      <c r="H85" s="2" t="inlineStr">
        <is>
          <t>SC/PC</t>
        </is>
      </c>
      <c r="I85" s="2" t="inlineStr">
        <is>
          <t>SC/PC</t>
        </is>
      </c>
      <c r="J85" s="2" t="n">
        <v>30</v>
      </c>
      <c r="K85" s="2" t="n">
        <v>60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>
        <f>SUM(J85:U85)</f>
        <v/>
      </c>
      <c r="W85" s="2" t="n"/>
      <c r="X85" s="2" t="n"/>
      <c r="Y85" s="2" t="n"/>
      <c r="Z85" s="2" t="n"/>
      <c r="AA85" s="2" t="n">
        <v>1440</v>
      </c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>
        <f>IF(F85=1,V85*2,IF(F85=2,V85*F85*2,IF(F85&gt;2,F85*2*V85)))</f>
        <v/>
      </c>
      <c r="AW85" s="2">
        <f>SUM(W85:AU85)</f>
        <v/>
      </c>
    </row>
    <row r="86">
      <c r="A86" s="2" t="inlineStr">
        <is>
          <t>14-K-474</t>
        </is>
      </c>
      <c r="B86" s="3" t="inlineStr">
        <is>
          <t>OJC-C2-SC/SC-SM-15-PC/PC-12C</t>
        </is>
      </c>
      <c r="C86" s="2" t="inlineStr">
        <is>
          <t>K9089453</t>
        </is>
      </c>
      <c r="D86" s="2" t="inlineStr">
        <is>
          <t>a1-12c</t>
        </is>
      </c>
      <c r="E86" s="2" t="inlineStr">
        <is>
          <t>2.0mm</t>
        </is>
      </c>
      <c r="F86" s="2" t="n">
        <v>12</v>
      </c>
      <c r="G86" s="2" t="n">
        <v>15</v>
      </c>
      <c r="H86" s="2" t="inlineStr">
        <is>
          <t>SC/PC</t>
        </is>
      </c>
      <c r="I86" s="2" t="inlineStr">
        <is>
          <t>SC/PC</t>
        </is>
      </c>
      <c r="J86" s="2" t="n"/>
      <c r="K86" s="2" t="n">
        <v>130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>
        <f>SUM(J86:U86)</f>
        <v/>
      </c>
      <c r="W86" s="2" t="n"/>
      <c r="X86" s="2" t="n"/>
      <c r="Y86" s="2" t="n"/>
      <c r="Z86" s="2" t="n"/>
      <c r="AA86" s="2" t="n">
        <v>3120</v>
      </c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>
        <f>IF(F86=1,V86*2,IF(F86=2,V86*F86*2,IF(F86&gt;2,F86*2*V86)))</f>
        <v/>
      </c>
      <c r="AW86" s="2">
        <f>SUM(W86:AU86)</f>
        <v/>
      </c>
    </row>
    <row r="87">
      <c r="A87" s="2" t="inlineStr">
        <is>
          <t>14-K-478</t>
        </is>
      </c>
      <c r="B87" s="3" t="inlineStr">
        <is>
          <t>OJC-C2-SC/SC-SM-15-PC/PC-4C</t>
        </is>
      </c>
      <c r="C87" s="2" t="inlineStr">
        <is>
          <t>K9089451</t>
        </is>
      </c>
      <c r="D87" s="2" t="inlineStr">
        <is>
          <t>b3-4c</t>
        </is>
      </c>
      <c r="E87" s="2" t="inlineStr">
        <is>
          <t>2.0mm</t>
        </is>
      </c>
      <c r="F87" s="2" t="n">
        <v>4</v>
      </c>
      <c r="G87" s="2" t="n">
        <v>15</v>
      </c>
      <c r="H87" s="2" t="inlineStr">
        <is>
          <t>SC/PC</t>
        </is>
      </c>
      <c r="I87" s="2" t="inlineStr">
        <is>
          <t>SC/PC</t>
        </is>
      </c>
      <c r="J87" s="2" t="n">
        <v>20</v>
      </c>
      <c r="K87" s="2" t="n"/>
      <c r="L87" s="2" t="n">
        <v>130</v>
      </c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>
        <f>SUM(J87:U87)</f>
        <v/>
      </c>
      <c r="W87" s="2" t="n"/>
      <c r="X87" s="2" t="n"/>
      <c r="Y87" s="2" t="n"/>
      <c r="Z87" s="2" t="n"/>
      <c r="AA87" s="2" t="n">
        <v>1200</v>
      </c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>
        <f>IF(F87=1,V87*2,IF(F87=2,V87*F87*2,IF(F87&gt;2,F87*2*V87)))</f>
        <v/>
      </c>
      <c r="AW87" s="2">
        <f>SUM(W87:AU87)</f>
        <v/>
      </c>
    </row>
    <row r="88">
      <c r="A88" s="2" t="inlineStr">
        <is>
          <t>14-K-479</t>
        </is>
      </c>
      <c r="B88" s="3" t="inlineStr">
        <is>
          <t>OJC-C2-SC/SC-SM-15-PC/PC-8C</t>
        </is>
      </c>
      <c r="C88" s="2" t="inlineStr">
        <is>
          <t>K9089452</t>
        </is>
      </c>
      <c r="D88" s="2" t="inlineStr">
        <is>
          <t>a1-8c</t>
        </is>
      </c>
      <c r="E88" s="2" t="inlineStr">
        <is>
          <t>2.0mm</t>
        </is>
      </c>
      <c r="F88" s="2" t="n">
        <v>8</v>
      </c>
      <c r="G88" s="2" t="n">
        <v>15</v>
      </c>
      <c r="H88" s="2" t="inlineStr">
        <is>
          <t>SC/PC</t>
        </is>
      </c>
      <c r="I88" s="2" t="inlineStr">
        <is>
          <t>SC/PC</t>
        </is>
      </c>
      <c r="J88" s="2" t="n">
        <v>30</v>
      </c>
      <c r="K88" s="2" t="n">
        <v>130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>
        <f>SUM(J88:U88)</f>
        <v/>
      </c>
      <c r="W88" s="2" t="n"/>
      <c r="X88" s="2" t="n"/>
      <c r="Y88" s="2" t="n"/>
      <c r="Z88" s="2" t="n"/>
      <c r="AA88" s="2" t="n">
        <v>2560</v>
      </c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>
        <f>IF(F88=1,V88*2,IF(F88=2,V88*F88*2,IF(F88&gt;2,F88*2*V88)))</f>
        <v/>
      </c>
      <c r="AW88" s="2">
        <f>SUM(W88:AU88)</f>
        <v/>
      </c>
    </row>
    <row r="89">
      <c r="A89" s="2" t="inlineStr">
        <is>
          <t>14-K-503</t>
        </is>
      </c>
      <c r="B89" s="3" t="inlineStr">
        <is>
          <t>OJC-C2-SC/SC-SM-20-PC/PC-12C</t>
        </is>
      </c>
      <c r="C89" s="2" t="inlineStr">
        <is>
          <t>K9089453</t>
        </is>
      </c>
      <c r="D89" s="2" t="inlineStr">
        <is>
          <t>a1-12c</t>
        </is>
      </c>
      <c r="E89" s="2" t="inlineStr">
        <is>
          <t>2.0mm</t>
        </is>
      </c>
      <c r="F89" s="2" t="n">
        <v>12</v>
      </c>
      <c r="G89" s="2" t="n">
        <v>20</v>
      </c>
      <c r="H89" s="2" t="inlineStr">
        <is>
          <t>SC/PC</t>
        </is>
      </c>
      <c r="I89" s="2" t="inlineStr">
        <is>
          <t>SC/PC</t>
        </is>
      </c>
      <c r="J89" s="2" t="n"/>
      <c r="K89" s="2" t="n">
        <v>130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>
        <f>SUM(J89:U89)</f>
        <v/>
      </c>
      <c r="W89" s="2" t="n"/>
      <c r="X89" s="2" t="n"/>
      <c r="Y89" s="2" t="n"/>
      <c r="Z89" s="2" t="n"/>
      <c r="AA89" s="2" t="n">
        <v>3120</v>
      </c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>
        <f>IF(F89=1,V89*2,IF(F89=2,V89*F89*2,IF(F89&gt;2,F89*2*V89)))</f>
        <v/>
      </c>
      <c r="AW89" s="2">
        <f>SUM(W89:AU89)</f>
        <v/>
      </c>
    </row>
    <row r="90">
      <c r="A90" s="2" t="inlineStr">
        <is>
          <t>14-K-505</t>
        </is>
      </c>
      <c r="B90" s="3" t="inlineStr">
        <is>
          <t>OJC-C2-SC/SC-SM-20-PC/PC-4C</t>
        </is>
      </c>
      <c r="C90" s="2" t="inlineStr">
        <is>
          <t>K9089451</t>
        </is>
      </c>
      <c r="D90" s="2" t="inlineStr">
        <is>
          <t>b3-4c</t>
        </is>
      </c>
      <c r="E90" s="2" t="inlineStr">
        <is>
          <t>2.0mm</t>
        </is>
      </c>
      <c r="F90" s="2" t="n">
        <v>4</v>
      </c>
      <c r="G90" s="2" t="n">
        <v>20</v>
      </c>
      <c r="H90" s="2" t="inlineStr">
        <is>
          <t>SC/PC</t>
        </is>
      </c>
      <c r="I90" s="2" t="inlineStr">
        <is>
          <t>SC/PC</t>
        </is>
      </c>
      <c r="J90" s="2" t="n">
        <v>20</v>
      </c>
      <c r="K90" s="2" t="n"/>
      <c r="L90" s="2" t="n">
        <v>130</v>
      </c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>
        <f>SUM(J90:U90)</f>
        <v/>
      </c>
      <c r="W90" s="2" t="n"/>
      <c r="X90" s="2" t="n"/>
      <c r="Y90" s="2" t="n"/>
      <c r="Z90" s="2" t="n"/>
      <c r="AA90" s="2" t="n">
        <v>1200</v>
      </c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>
        <f>IF(F90=1,V90*2,IF(F90=2,V90*F90*2,IF(F90&gt;2,F90*2*V90)))</f>
        <v/>
      </c>
      <c r="AW90" s="2">
        <f>SUM(W90:AU90)</f>
        <v/>
      </c>
    </row>
    <row r="91">
      <c r="A91" s="2" t="inlineStr">
        <is>
          <t>14-K-506</t>
        </is>
      </c>
      <c r="B91" s="3" t="inlineStr">
        <is>
          <t>OJC-C2-SC/SC-SM-20-PC/PC-8C</t>
        </is>
      </c>
      <c r="C91" s="2" t="inlineStr">
        <is>
          <t>K9089452</t>
        </is>
      </c>
      <c r="D91" s="2" t="inlineStr">
        <is>
          <t>a1-8c</t>
        </is>
      </c>
      <c r="E91" s="2" t="inlineStr">
        <is>
          <t>2.0mm</t>
        </is>
      </c>
      <c r="F91" s="2" t="n">
        <v>8</v>
      </c>
      <c r="G91" s="2" t="n">
        <v>20</v>
      </c>
      <c r="H91" s="2" t="inlineStr">
        <is>
          <t>SC/PC</t>
        </is>
      </c>
      <c r="I91" s="2" t="inlineStr">
        <is>
          <t>SC/PC</t>
        </is>
      </c>
      <c r="J91" s="2" t="n">
        <v>10</v>
      </c>
      <c r="K91" s="2" t="n">
        <v>20</v>
      </c>
      <c r="L91" s="2" t="n">
        <v>130</v>
      </c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>
        <f>SUM(J91:U91)</f>
        <v/>
      </c>
      <c r="W91" s="2" t="n"/>
      <c r="X91" s="2" t="n"/>
      <c r="Y91" s="2" t="n"/>
      <c r="Z91" s="2" t="n"/>
      <c r="AA91" s="2" t="n">
        <v>2560</v>
      </c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>
        <f>IF(F91=1,V91*2,IF(F91=2,V91*F91*2,IF(F91&gt;2,F91*2*V91)))</f>
        <v/>
      </c>
      <c r="AW91" s="2">
        <f>SUM(W91:AU91)</f>
        <v/>
      </c>
    </row>
    <row r="92">
      <c r="A92" s="2" t="inlineStr">
        <is>
          <t>14-K-512</t>
        </is>
      </c>
      <c r="B92" s="3" t="inlineStr">
        <is>
          <t>OJC-C2-SC/SC-SM-25-PC/PC-12C</t>
        </is>
      </c>
      <c r="C92" s="2" t="inlineStr">
        <is>
          <t>K9089453</t>
        </is>
      </c>
      <c r="D92" s="2" t="inlineStr">
        <is>
          <t>a1-12c</t>
        </is>
      </c>
      <c r="E92" s="2" t="inlineStr">
        <is>
          <t>2.0mm</t>
        </is>
      </c>
      <c r="F92" s="2" t="n">
        <v>12</v>
      </c>
      <c r="G92" s="2" t="n">
        <v>25</v>
      </c>
      <c r="H92" s="2" t="inlineStr">
        <is>
          <t>SC/PC</t>
        </is>
      </c>
      <c r="I92" s="2" t="inlineStr">
        <is>
          <t>SC/PC</t>
        </is>
      </c>
      <c r="J92" s="2" t="n"/>
      <c r="K92" s="2" t="n">
        <v>130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>
        <f>SUM(J92:U92)</f>
        <v/>
      </c>
      <c r="W92" s="2" t="n"/>
      <c r="X92" s="2" t="n"/>
      <c r="Y92" s="2" t="n"/>
      <c r="Z92" s="2" t="n"/>
      <c r="AA92" s="2" t="n">
        <v>3120</v>
      </c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>
        <f>IF(F92=1,V92*2,IF(F92=2,V92*F92*2,IF(F92&gt;2,F92*2*V92)))</f>
        <v/>
      </c>
      <c r="AW92" s="2">
        <f>SUM(W92:AU92)</f>
        <v/>
      </c>
    </row>
    <row r="93">
      <c r="A93" s="2" t="inlineStr">
        <is>
          <t>14-K-515</t>
        </is>
      </c>
      <c r="B93" s="3" t="inlineStr">
        <is>
          <t>OJC-C2-SC/SC-SM-25-PC/PC-8C</t>
        </is>
      </c>
      <c r="C93" s="2" t="inlineStr">
        <is>
          <t>K9089452</t>
        </is>
      </c>
      <c r="D93" s="2" t="inlineStr">
        <is>
          <t>a1-8c</t>
        </is>
      </c>
      <c r="E93" s="2" t="inlineStr">
        <is>
          <t>2.0mm</t>
        </is>
      </c>
      <c r="F93" s="2" t="n">
        <v>8</v>
      </c>
      <c r="G93" s="2" t="n">
        <v>25</v>
      </c>
      <c r="H93" s="2" t="inlineStr">
        <is>
          <t>SC/PC</t>
        </is>
      </c>
      <c r="I93" s="2" t="inlineStr">
        <is>
          <t>SC/PC</t>
        </is>
      </c>
      <c r="J93" s="2" t="n">
        <v>10</v>
      </c>
      <c r="K93" s="2" t="n">
        <v>20</v>
      </c>
      <c r="L93" s="2" t="n">
        <v>130</v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>
        <f>SUM(J93:U93)</f>
        <v/>
      </c>
      <c r="W93" s="2" t="n"/>
      <c r="X93" s="2" t="n"/>
      <c r="Y93" s="2" t="n"/>
      <c r="Z93" s="2" t="n"/>
      <c r="AA93" s="2" t="n">
        <v>2560</v>
      </c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>
        <f>IF(F93=1,V93*2,IF(F93=2,V93*F93*2,IF(F93&gt;2,F93*2*V93)))</f>
        <v/>
      </c>
      <c r="AW93" s="2">
        <f>SUM(W93:AU93)</f>
        <v/>
      </c>
    </row>
    <row r="94">
      <c r="A94" s="2" t="inlineStr">
        <is>
          <t>14-K-525</t>
        </is>
      </c>
      <c r="B94" s="3" t="inlineStr">
        <is>
          <t>OJC-C2-SC/SC-SM-30-PC/PC-12C</t>
        </is>
      </c>
      <c r="C94" s="2" t="inlineStr">
        <is>
          <t>K9089453</t>
        </is>
      </c>
      <c r="D94" s="2" t="inlineStr">
        <is>
          <t>a1-12c</t>
        </is>
      </c>
      <c r="E94" s="2" t="inlineStr">
        <is>
          <t>2.0mm</t>
        </is>
      </c>
      <c r="F94" s="2" t="n">
        <v>12</v>
      </c>
      <c r="G94" s="2" t="n">
        <v>30</v>
      </c>
      <c r="H94" s="2" t="inlineStr">
        <is>
          <t>SC/PC</t>
        </is>
      </c>
      <c r="I94" s="2" t="inlineStr">
        <is>
          <t>SC/PC</t>
        </is>
      </c>
      <c r="J94" s="2" t="n"/>
      <c r="K94" s="2" t="n">
        <v>30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>
        <f>SUM(J94:U94)</f>
        <v/>
      </c>
      <c r="W94" s="2" t="n"/>
      <c r="X94" s="2" t="n"/>
      <c r="Y94" s="2" t="n"/>
      <c r="Z94" s="2" t="n"/>
      <c r="AA94" s="2" t="n">
        <v>720</v>
      </c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>
        <f>IF(F94=1,V94*2,IF(F94=2,V94*F94*2,IF(F94&gt;2,F94*2*V94)))</f>
        <v/>
      </c>
      <c r="AW94" s="2">
        <f>SUM(W94:AU94)</f>
        <v/>
      </c>
    </row>
    <row r="95">
      <c r="A95" s="2" t="inlineStr">
        <is>
          <t>14-K-527</t>
        </is>
      </c>
      <c r="B95" s="3" t="inlineStr">
        <is>
          <t>OJC-C2-SC/SC-SM-30-PC/PC-4C</t>
        </is>
      </c>
      <c r="C95" s="2" t="inlineStr">
        <is>
          <t>K9089451</t>
        </is>
      </c>
      <c r="D95" s="2" t="inlineStr">
        <is>
          <t>b3-4c</t>
        </is>
      </c>
      <c r="E95" s="2" t="inlineStr">
        <is>
          <t>2.0mm</t>
        </is>
      </c>
      <c r="F95" s="2" t="n">
        <v>4</v>
      </c>
      <c r="G95" s="2" t="n">
        <v>30</v>
      </c>
      <c r="H95" s="2" t="inlineStr">
        <is>
          <t>SC/PC</t>
        </is>
      </c>
      <c r="I95" s="2" t="inlineStr">
        <is>
          <t>SC/PC</t>
        </is>
      </c>
      <c r="J95" s="2" t="n">
        <v>20</v>
      </c>
      <c r="K95" s="2" t="n"/>
      <c r="L95" s="2" t="n">
        <v>30</v>
      </c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>
        <f>SUM(J95:U95)</f>
        <v/>
      </c>
      <c r="W95" s="2" t="n"/>
      <c r="X95" s="2" t="n"/>
      <c r="Y95" s="2" t="n"/>
      <c r="Z95" s="2" t="n"/>
      <c r="AA95" s="2" t="n">
        <v>400</v>
      </c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>
        <f>IF(F95=1,V95*2,IF(F95=2,V95*F95*2,IF(F95&gt;2,F95*2*V95)))</f>
        <v/>
      </c>
      <c r="AW95" s="2">
        <f>SUM(W95:AU95)</f>
        <v/>
      </c>
    </row>
    <row r="96">
      <c r="A96" s="2" t="inlineStr">
        <is>
          <t>14-K-529</t>
        </is>
      </c>
      <c r="B96" s="3" t="inlineStr">
        <is>
          <t>OJC-C2-SC/SC-SM-30-PC/PC-8C</t>
        </is>
      </c>
      <c r="C96" s="2" t="inlineStr">
        <is>
          <t>K9089452</t>
        </is>
      </c>
      <c r="D96" s="2" t="inlineStr">
        <is>
          <t>a1-8c</t>
        </is>
      </c>
      <c r="E96" s="2" t="inlineStr">
        <is>
          <t>2.0mm</t>
        </is>
      </c>
      <c r="F96" s="2" t="n">
        <v>8</v>
      </c>
      <c r="G96" s="2" t="n">
        <v>30</v>
      </c>
      <c r="H96" s="2" t="inlineStr">
        <is>
          <t>SC/PC</t>
        </is>
      </c>
      <c r="I96" s="2" t="inlineStr">
        <is>
          <t>SC/PC</t>
        </is>
      </c>
      <c r="J96" s="2" t="n"/>
      <c r="K96" s="2" t="n">
        <v>20</v>
      </c>
      <c r="L96" s="2" t="n">
        <v>30</v>
      </c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>
        <f>SUM(J96:U96)</f>
        <v/>
      </c>
      <c r="W96" s="2" t="n"/>
      <c r="X96" s="2" t="n"/>
      <c r="Y96" s="2" t="n"/>
      <c r="Z96" s="2" t="n"/>
      <c r="AA96" s="2" t="n">
        <v>800</v>
      </c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>
        <f>IF(F96=1,V96*2,IF(F96=2,V96*F96*2,IF(F96&gt;2,F96*2*V96)))</f>
        <v/>
      </c>
      <c r="AW96" s="2">
        <f>SUM(W96:AU96)</f>
        <v/>
      </c>
    </row>
    <row r="97">
      <c r="A97" s="2" t="inlineStr">
        <is>
          <t>14-K-587</t>
        </is>
      </c>
      <c r="B97" s="3" t="inlineStr">
        <is>
          <t>OJC-A1-LC/LC-SM-60-PC/PC-DP</t>
        </is>
      </c>
      <c r="C97" s="2" t="inlineStr"/>
      <c r="D97" s="2" t="inlineStr">
        <is>
          <t>a1</t>
        </is>
      </c>
      <c r="E97" s="2" t="inlineStr">
        <is>
          <t>2.0mm</t>
        </is>
      </c>
      <c r="F97" s="2" t="n">
        <v>2</v>
      </c>
      <c r="G97" s="2" t="n">
        <v>60</v>
      </c>
      <c r="H97" s="2" t="inlineStr">
        <is>
          <t>LC/PC</t>
        </is>
      </c>
      <c r="I97" s="2" t="inlineStr">
        <is>
          <t>LC/PC</t>
        </is>
      </c>
      <c r="J97" s="2" t="n"/>
      <c r="K97" s="2" t="n">
        <v>9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>
        <f>SUM(J97:U97)</f>
        <v/>
      </c>
      <c r="W97" s="2" t="n">
        <v>18</v>
      </c>
      <c r="X97" s="2" t="n">
        <v>18</v>
      </c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>
        <f>IF(F97=1,V97*2,IF(F97=2,V97*F97*2,IF(F97&gt;2,F97*2*V97)))</f>
        <v/>
      </c>
      <c r="AW97" s="2">
        <f>SUM(W97:AU97)</f>
        <v/>
      </c>
    </row>
    <row r="98">
      <c r="A98" s="2" t="inlineStr">
        <is>
          <t>14-K-607</t>
        </is>
      </c>
      <c r="B98" s="3" t="inlineStr">
        <is>
          <t>OJC-C2-SC/SC-SM-25-PC/PC-4C</t>
        </is>
      </c>
      <c r="C98" s="2" t="inlineStr">
        <is>
          <t>K9089451</t>
        </is>
      </c>
      <c r="D98" s="2" t="inlineStr">
        <is>
          <t>b3-4c</t>
        </is>
      </c>
      <c r="E98" s="2" t="inlineStr">
        <is>
          <t>2.0mm</t>
        </is>
      </c>
      <c r="F98" s="2" t="n">
        <v>4</v>
      </c>
      <c r="G98" s="2" t="n">
        <v>25</v>
      </c>
      <c r="H98" s="2" t="inlineStr">
        <is>
          <t>SC/PC</t>
        </is>
      </c>
      <c r="I98" s="2" t="inlineStr">
        <is>
          <t>SC/PC</t>
        </is>
      </c>
      <c r="J98" s="2" t="n">
        <v>20</v>
      </c>
      <c r="K98" s="2" t="n"/>
      <c r="L98" s="2" t="n">
        <v>130</v>
      </c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>
        <f>SUM(J98:U98)</f>
        <v/>
      </c>
      <c r="W98" s="2" t="n"/>
      <c r="X98" s="2" t="n"/>
      <c r="Y98" s="2" t="n"/>
      <c r="Z98" s="2" t="n"/>
      <c r="AA98" s="2" t="n">
        <v>1200</v>
      </c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>
        <f>IF(F98=1,V98*2,IF(F98=2,V98*F98*2,IF(F98&gt;2,F98*2*V98)))</f>
        <v/>
      </c>
      <c r="AW98" s="2">
        <f>SUM(W98:AU98)</f>
        <v/>
      </c>
    </row>
    <row r="99">
      <c r="A99" s="2" t="inlineStr">
        <is>
          <t>14-K-683</t>
        </is>
      </c>
      <c r="B99" s="3" t="inlineStr">
        <is>
          <t>OJC-A1-SC/SC-SM-15-PC/PC-DP</t>
        </is>
      </c>
      <c r="C99" s="2" t="inlineStr">
        <is>
          <t>K9089137_적색</t>
        </is>
      </c>
      <c r="D99" s="2" t="inlineStr">
        <is>
          <t>a1-적</t>
        </is>
      </c>
      <c r="E99" s="2" t="inlineStr">
        <is>
          <t>2.0mm</t>
        </is>
      </c>
      <c r="F99" s="2" t="n">
        <v>2</v>
      </c>
      <c r="G99" s="2" t="n">
        <v>15</v>
      </c>
      <c r="H99" s="2" t="inlineStr">
        <is>
          <t>SC/PC</t>
        </is>
      </c>
      <c r="I99" s="2" t="inlineStr">
        <is>
          <t>SC/PC</t>
        </is>
      </c>
      <c r="J99" s="2" t="n"/>
      <c r="K99" s="2" t="n"/>
      <c r="L99" s="2" t="n">
        <v>30</v>
      </c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>
        <f>SUM(J99:U99)</f>
        <v/>
      </c>
      <c r="W99" s="2" t="n"/>
      <c r="X99" s="2" t="n"/>
      <c r="Y99" s="2" t="n"/>
      <c r="Z99" s="2" t="n"/>
      <c r="AA99" s="2" t="n">
        <v>60</v>
      </c>
      <c r="AB99" s="2" t="n">
        <v>60</v>
      </c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>
        <f>IF(F99=1,V99*2,IF(F99=2,V99*F99*2,IF(F99&gt;2,F99*2*V99)))</f>
        <v/>
      </c>
      <c r="AW99" s="2">
        <f>SUM(W99:AU99)</f>
        <v/>
      </c>
    </row>
    <row r="100">
      <c r="A100" s="2" t="inlineStr">
        <is>
          <t>14-K-684</t>
        </is>
      </c>
      <c r="B100" s="3" t="inlineStr">
        <is>
          <t>OJC-A1-SC/SC-SM-10-PC/PC-DP</t>
        </is>
      </c>
      <c r="C100" s="2" t="inlineStr">
        <is>
          <t>K9089132_적색</t>
        </is>
      </c>
      <c r="D100" s="2" t="inlineStr">
        <is>
          <t>a1-적</t>
        </is>
      </c>
      <c r="E100" s="2" t="inlineStr">
        <is>
          <t>2.0mm</t>
        </is>
      </c>
      <c r="F100" s="2" t="n">
        <v>2</v>
      </c>
      <c r="G100" s="2" t="n">
        <v>10</v>
      </c>
      <c r="H100" s="2" t="inlineStr">
        <is>
          <t>SC/PC</t>
        </is>
      </c>
      <c r="I100" s="2" t="inlineStr">
        <is>
          <t>SC/PC</t>
        </is>
      </c>
      <c r="J100" s="2" t="n"/>
      <c r="K100" s="2" t="n"/>
      <c r="L100" s="2" t="n">
        <v>100</v>
      </c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>
        <f>SUM(J100:U100)</f>
        <v/>
      </c>
      <c r="W100" s="2" t="n"/>
      <c r="X100" s="2" t="n"/>
      <c r="Y100" s="2" t="n"/>
      <c r="Z100" s="2" t="n"/>
      <c r="AA100" s="2" t="n">
        <v>200</v>
      </c>
      <c r="AB100" s="2" t="n">
        <v>200</v>
      </c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>
        <f>IF(F100=1,V100*2,IF(F100=2,V100*F100*2,IF(F100&gt;2,F100*2*V100)))</f>
        <v/>
      </c>
      <c r="AW100" s="2">
        <f>SUM(W100:AU100)</f>
        <v/>
      </c>
    </row>
    <row r="101">
      <c r="A101" s="2" t="inlineStr">
        <is>
          <t>14-K-688</t>
        </is>
      </c>
      <c r="B101" s="3" t="inlineStr">
        <is>
          <t>OJC-A1-SC/LC-SM-15-PC/PC-SP</t>
        </is>
      </c>
      <c r="C101" s="2" t="inlineStr">
        <is>
          <t>K9089034_적색</t>
        </is>
      </c>
      <c r="D101" s="2" t="inlineStr">
        <is>
          <t>a1-적</t>
        </is>
      </c>
      <c r="E101" s="2" t="inlineStr">
        <is>
          <t>2.0mm</t>
        </is>
      </c>
      <c r="F101" s="2" t="n">
        <v>1</v>
      </c>
      <c r="G101" s="2" t="n">
        <v>15</v>
      </c>
      <c r="H101" s="2" t="inlineStr">
        <is>
          <t>SC/PC</t>
        </is>
      </c>
      <c r="I101" s="2" t="inlineStr">
        <is>
          <t>LC/PC</t>
        </is>
      </c>
      <c r="J101" s="2" t="n"/>
      <c r="K101" s="2" t="n"/>
      <c r="L101" s="2" t="n">
        <v>150</v>
      </c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>
        <f>SUM(J101:U101)</f>
        <v/>
      </c>
      <c r="W101" s="2" t="n">
        <v>150</v>
      </c>
      <c r="X101" s="2" t="n"/>
      <c r="Y101" s="2" t="n"/>
      <c r="Z101" s="2" t="n"/>
      <c r="AA101" s="2" t="n">
        <v>150</v>
      </c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>
        <f>IF(F101=1,V101*2,IF(F101=2,V101*F101*2,IF(F101&gt;2,F101*2*V101)))</f>
        <v/>
      </c>
      <c r="AW101" s="2">
        <f>SUM(W101:AU101)</f>
        <v/>
      </c>
    </row>
    <row r="102">
      <c r="A102" s="2" t="inlineStr">
        <is>
          <t>14-K-690</t>
        </is>
      </c>
      <c r="B102" s="3" t="inlineStr">
        <is>
          <t>OJC-A1-SC/LC-SM-20-PC/PC-SP</t>
        </is>
      </c>
      <c r="C102" s="2" t="inlineStr">
        <is>
          <t>K9089035_적색</t>
        </is>
      </c>
      <c r="D102" s="2" t="inlineStr">
        <is>
          <t>a1-적</t>
        </is>
      </c>
      <c r="E102" s="2" t="inlineStr">
        <is>
          <t>2.0mm</t>
        </is>
      </c>
      <c r="F102" s="2" t="n">
        <v>1</v>
      </c>
      <c r="G102" s="2" t="n">
        <v>20</v>
      </c>
      <c r="H102" s="2" t="inlineStr">
        <is>
          <t>SC/PC</t>
        </is>
      </c>
      <c r="I102" s="2" t="inlineStr">
        <is>
          <t>LC/PC</t>
        </is>
      </c>
      <c r="J102" s="2" t="n"/>
      <c r="K102" s="2" t="n"/>
      <c r="L102" s="2" t="n">
        <v>100</v>
      </c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>
        <f>SUM(J102:U102)</f>
        <v/>
      </c>
      <c r="W102" s="2" t="n">
        <v>100</v>
      </c>
      <c r="X102" s="2" t="n"/>
      <c r="Y102" s="2" t="n"/>
      <c r="Z102" s="2" t="n"/>
      <c r="AA102" s="2" t="n">
        <v>100</v>
      </c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>
        <f>IF(F102=1,V102*2,IF(F102=2,V102*F102*2,IF(F102&gt;2,F102*2*V102)))</f>
        <v/>
      </c>
      <c r="AW102" s="2">
        <f>SUM(W102:AU102)</f>
        <v/>
      </c>
    </row>
    <row r="103">
      <c r="A103" s="2" t="inlineStr">
        <is>
          <t>14-K-692</t>
        </is>
      </c>
      <c r="B103" s="3" t="inlineStr">
        <is>
          <t>OJC-A1-SC/LC-SM-25-PC/PC-SP</t>
        </is>
      </c>
      <c r="C103" s="2" t="inlineStr">
        <is>
          <t>K9089036_적색</t>
        </is>
      </c>
      <c r="D103" s="2" t="inlineStr">
        <is>
          <t>a1-적</t>
        </is>
      </c>
      <c r="E103" s="2" t="inlineStr">
        <is>
          <t>2.0mm</t>
        </is>
      </c>
      <c r="F103" s="2" t="n">
        <v>1</v>
      </c>
      <c r="G103" s="2" t="n">
        <v>25</v>
      </c>
      <c r="H103" s="2" t="inlineStr">
        <is>
          <t>SC/PC</t>
        </is>
      </c>
      <c r="I103" s="2" t="inlineStr">
        <is>
          <t>LC/PC</t>
        </is>
      </c>
      <c r="J103" s="2" t="n"/>
      <c r="K103" s="2" t="n"/>
      <c r="L103" s="2" t="n">
        <v>100</v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>
        <f>SUM(J103:U103)</f>
        <v/>
      </c>
      <c r="W103" s="2" t="n">
        <v>100</v>
      </c>
      <c r="X103" s="2" t="n"/>
      <c r="Y103" s="2" t="n"/>
      <c r="Z103" s="2" t="n"/>
      <c r="AA103" s="2" t="n">
        <v>100</v>
      </c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>
        <f>IF(F103=1,V103*2,IF(F103=2,V103*F103*2,IF(F103&gt;2,F103*2*V103)))</f>
        <v/>
      </c>
      <c r="AW103" s="2">
        <f>SUM(W103:AU103)</f>
        <v/>
      </c>
    </row>
    <row r="104">
      <c r="A104" s="2" t="inlineStr">
        <is>
          <t>14-K-694</t>
        </is>
      </c>
      <c r="B104" s="3" t="inlineStr">
        <is>
          <t>OJC-A1-SC/LC-SM-30-PC/PC-SP</t>
        </is>
      </c>
      <c r="C104" s="2" t="inlineStr">
        <is>
          <t>K9089037_적색</t>
        </is>
      </c>
      <c r="D104" s="2" t="inlineStr">
        <is>
          <t>a1-적</t>
        </is>
      </c>
      <c r="E104" s="2" t="inlineStr">
        <is>
          <t>2.0mm</t>
        </is>
      </c>
      <c r="F104" s="2" t="n">
        <v>1</v>
      </c>
      <c r="G104" s="2" t="n">
        <v>30</v>
      </c>
      <c r="H104" s="2" t="inlineStr">
        <is>
          <t>SC/PC</t>
        </is>
      </c>
      <c r="I104" s="2" t="inlineStr">
        <is>
          <t>LC/PC</t>
        </is>
      </c>
      <c r="J104" s="2" t="n"/>
      <c r="K104" s="2" t="n"/>
      <c r="L104" s="2" t="n">
        <v>50</v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>
        <f>SUM(J104:U104)</f>
        <v/>
      </c>
      <c r="W104" s="2" t="n">
        <v>50</v>
      </c>
      <c r="X104" s="2" t="n"/>
      <c r="Y104" s="2" t="n"/>
      <c r="Z104" s="2" t="n"/>
      <c r="AA104" s="2" t="n">
        <v>50</v>
      </c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>
        <f>IF(F104=1,V104*2,IF(F104=2,V104*F104*2,IF(F104&gt;2,F104*2*V104)))</f>
        <v/>
      </c>
      <c r="AW104" s="2">
        <f>SUM(W104:AU104)</f>
        <v/>
      </c>
    </row>
    <row r="105">
      <c r="A105" s="2" t="inlineStr">
        <is>
          <t>14-K-762</t>
        </is>
      </c>
      <c r="B105" s="3" t="inlineStr">
        <is>
          <t>OJC-C2-SC/SC-SM-10-PC/PC-4C</t>
        </is>
      </c>
      <c r="C105" s="2" t="inlineStr">
        <is>
          <t>K9089451</t>
        </is>
      </c>
      <c r="D105" s="2" t="inlineStr">
        <is>
          <t>b3-4c</t>
        </is>
      </c>
      <c r="E105" s="2" t="inlineStr">
        <is>
          <t>2.0mm</t>
        </is>
      </c>
      <c r="F105" s="2" t="n">
        <v>4</v>
      </c>
      <c r="G105" s="2" t="n">
        <v>10</v>
      </c>
      <c r="H105" s="2" t="inlineStr">
        <is>
          <t>SC/PC</t>
        </is>
      </c>
      <c r="I105" s="2" t="inlineStr">
        <is>
          <t>SC/PC</t>
        </is>
      </c>
      <c r="J105" s="2" t="n">
        <v>16</v>
      </c>
      <c r="K105" s="2" t="n"/>
      <c r="L105" s="2" t="n">
        <v>60</v>
      </c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>
        <f>SUM(J105:U105)</f>
        <v/>
      </c>
      <c r="W105" s="2" t="n"/>
      <c r="X105" s="2" t="n"/>
      <c r="Y105" s="2" t="n"/>
      <c r="Z105" s="2" t="n"/>
      <c r="AA105" s="2" t="n">
        <v>608</v>
      </c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>
        <f>IF(F105=1,V105*2,IF(F105=2,V105*F105*2,IF(F105&gt;2,F105*2*V105)))</f>
        <v/>
      </c>
      <c r="AW105" s="2">
        <f>SUM(W105:AU105)</f>
        <v/>
      </c>
    </row>
    <row r="106">
      <c r="A106" s="2" t="inlineStr">
        <is>
          <t>14-K-781</t>
        </is>
      </c>
      <c r="B106" s="3" t="inlineStr">
        <is>
          <t>OJC-A1-SC/LC-SM-20-PC/PC-DP</t>
        </is>
      </c>
      <c r="C106" s="2" t="inlineStr">
        <is>
          <t>K9089164_적색</t>
        </is>
      </c>
      <c r="D106" s="2" t="inlineStr">
        <is>
          <t>a1-적</t>
        </is>
      </c>
      <c r="E106" s="2" t="inlineStr">
        <is>
          <t>2.0mm</t>
        </is>
      </c>
      <c r="F106" s="2" t="n">
        <v>2</v>
      </c>
      <c r="G106" s="2" t="n">
        <v>20</v>
      </c>
      <c r="H106" s="2" t="inlineStr">
        <is>
          <t>SC/PC</t>
        </is>
      </c>
      <c r="I106" s="2" t="inlineStr">
        <is>
          <t>LC/PC</t>
        </is>
      </c>
      <c r="J106" s="2" t="n"/>
      <c r="K106" s="2" t="n"/>
      <c r="L106" s="2" t="n">
        <v>30</v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>
        <f>SUM(J106:U106)</f>
        <v/>
      </c>
      <c r="W106" s="2" t="n"/>
      <c r="X106" s="2" t="n">
        <v>60</v>
      </c>
      <c r="Y106" s="2" t="n"/>
      <c r="Z106" s="2" t="n"/>
      <c r="AA106" s="2" t="n">
        <v>60</v>
      </c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>
        <f>IF(F106=1,V106*2,IF(F106=2,V106*F106*2,IF(F106&gt;2,F106*2*V106)))</f>
        <v/>
      </c>
      <c r="AW106" s="2">
        <f>SUM(W106:AU106)</f>
        <v/>
      </c>
    </row>
    <row r="107">
      <c r="A107" s="2" t="inlineStr">
        <is>
          <t>14-K-787</t>
        </is>
      </c>
      <c r="B107" s="3" t="inlineStr">
        <is>
          <t>OJC-A1-SC/LC-SM-30-PC/PC-DP</t>
        </is>
      </c>
      <c r="C107" s="2" t="inlineStr">
        <is>
          <t>K9089166_적색</t>
        </is>
      </c>
      <c r="D107" s="2" t="inlineStr">
        <is>
          <t>a1-적</t>
        </is>
      </c>
      <c r="E107" s="2" t="inlineStr">
        <is>
          <t>2.0mm</t>
        </is>
      </c>
      <c r="F107" s="2" t="n">
        <v>2</v>
      </c>
      <c r="G107" s="2" t="n">
        <v>30</v>
      </c>
      <c r="H107" s="2" t="inlineStr">
        <is>
          <t>SC/PC</t>
        </is>
      </c>
      <c r="I107" s="2" t="inlineStr">
        <is>
          <t>LC/PC</t>
        </is>
      </c>
      <c r="J107" s="2" t="n"/>
      <c r="K107" s="2" t="n"/>
      <c r="L107" s="2" t="n">
        <v>60</v>
      </c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>
        <f>SUM(J107:U107)</f>
        <v/>
      </c>
      <c r="W107" s="2" t="n"/>
      <c r="X107" s="2" t="n">
        <v>120</v>
      </c>
      <c r="Y107" s="2" t="n"/>
      <c r="Z107" s="2" t="n"/>
      <c r="AA107" s="2" t="n">
        <v>120</v>
      </c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>
        <f>IF(F107=1,V107*2,IF(F107=2,V107*F107*2,IF(F107&gt;2,F107*2*V107)))</f>
        <v/>
      </c>
      <c r="AW107" s="2">
        <f>SUM(W107:AU107)</f>
        <v/>
      </c>
    </row>
    <row r="108">
      <c r="A108" s="2" t="inlineStr">
        <is>
          <t>14-K-851</t>
        </is>
      </c>
      <c r="B108" s="3" t="inlineStr">
        <is>
          <t>OJC-A1-SC/SC-SM-3-PC/PC-SP</t>
        </is>
      </c>
      <c r="C108" s="2" t="inlineStr">
        <is>
          <t>K9088996_포앤티</t>
        </is>
      </c>
      <c r="D108" s="2" t="inlineStr">
        <is>
          <t>a1</t>
        </is>
      </c>
      <c r="E108" s="2" t="inlineStr">
        <is>
          <t>2.0mm</t>
        </is>
      </c>
      <c r="F108" s="2" t="n">
        <v>1</v>
      </c>
      <c r="G108" s="2" t="n">
        <v>3</v>
      </c>
      <c r="H108" s="2" t="inlineStr">
        <is>
          <t>SC/PC</t>
        </is>
      </c>
      <c r="I108" s="2" t="inlineStr">
        <is>
          <t>SC/PC</t>
        </is>
      </c>
      <c r="J108" s="2" t="n">
        <v>747</v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>
        <f>SUM(J108:U108)</f>
        <v/>
      </c>
      <c r="W108" s="2" t="n"/>
      <c r="X108" s="2" t="n"/>
      <c r="Y108" s="2" t="n"/>
      <c r="Z108" s="2" t="n"/>
      <c r="AA108" s="2" t="n">
        <v>1494</v>
      </c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>
        <f>IF(F108=1,V108*2,IF(F108=2,V108*F108*2,IF(F108&gt;2,F108*2*V108)))</f>
        <v/>
      </c>
      <c r="AW108" s="2">
        <f>SUM(W108:AU108)</f>
        <v/>
      </c>
    </row>
    <row r="109">
      <c r="A109" s="2" t="inlineStr">
        <is>
          <t>14-K-A178</t>
        </is>
      </c>
      <c r="B109" s="3" t="inlineStr">
        <is>
          <t>OJC-A1-SC/LC-SM-7-APC/PC-SP</t>
        </is>
      </c>
      <c r="C109" s="2" t="inlineStr"/>
      <c r="D109" s="2" t="inlineStr">
        <is>
          <t>a1</t>
        </is>
      </c>
      <c r="E109" s="2" t="inlineStr">
        <is>
          <t>2.0mm</t>
        </is>
      </c>
      <c r="F109" s="2" t="n">
        <v>1</v>
      </c>
      <c r="G109" s="2" t="n">
        <v>7</v>
      </c>
      <c r="H109" s="2" t="inlineStr">
        <is>
          <t>SC/APC</t>
        </is>
      </c>
      <c r="I109" s="2" t="inlineStr">
        <is>
          <t>LC/PC</t>
        </is>
      </c>
      <c r="J109" s="2" t="n"/>
      <c r="K109" s="2" t="n">
        <v>10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>
        <f>SUM(J109:U109)</f>
        <v/>
      </c>
      <c r="W109" s="2" t="n">
        <v>10</v>
      </c>
      <c r="X109" s="2" t="n"/>
      <c r="Y109" s="2" t="n"/>
      <c r="Z109" s="2" t="n"/>
      <c r="AA109" s="2" t="n"/>
      <c r="AB109" s="2" t="n"/>
      <c r="AC109" s="2" t="n">
        <v>10</v>
      </c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>
        <f>IF(F109=1,V109*2,IF(F109=2,V109*F109*2,IF(F109&gt;2,F109*2*V109)))</f>
        <v/>
      </c>
      <c r="AW109" s="2">
        <f>SUM(W109:AU109)</f>
        <v/>
      </c>
    </row>
    <row r="110">
      <c r="A110" s="2" t="inlineStr">
        <is>
          <t>14-K-A26</t>
        </is>
      </c>
      <c r="B110" s="3" t="inlineStr">
        <is>
          <t>OJC-C2-SC/SC-SM-50-PC/PC-8C</t>
        </is>
      </c>
      <c r="C110" s="2" t="inlineStr">
        <is>
          <t>K9089452</t>
        </is>
      </c>
      <c r="D110" s="2" t="inlineStr">
        <is>
          <t>a1-8c</t>
        </is>
      </c>
      <c r="E110" s="2" t="inlineStr">
        <is>
          <t>2.0mm</t>
        </is>
      </c>
      <c r="F110" s="2" t="n">
        <v>8</v>
      </c>
      <c r="G110" s="2" t="n">
        <v>50</v>
      </c>
      <c r="H110" s="2" t="inlineStr">
        <is>
          <t>SC/PC</t>
        </is>
      </c>
      <c r="I110" s="2" t="inlineStr">
        <is>
          <t>SC/PC</t>
        </is>
      </c>
      <c r="J110" s="2" t="n"/>
      <c r="K110" s="2" t="n">
        <v>20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>
        <f>SUM(J110:U110)</f>
        <v/>
      </c>
      <c r="W110" s="2" t="n"/>
      <c r="X110" s="2" t="n"/>
      <c r="Y110" s="2" t="n"/>
      <c r="Z110" s="2" t="n"/>
      <c r="AA110" s="2" t="n">
        <v>320</v>
      </c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>
        <f>IF(F110=1,V110*2,IF(F110=2,V110*F110*2,IF(F110&gt;2,F110*2*V110)))</f>
        <v/>
      </c>
      <c r="AW110" s="2">
        <f>SUM(W110:AU110)</f>
        <v/>
      </c>
    </row>
    <row r="111">
      <c r="A111" s="2" t="inlineStr">
        <is>
          <t>14-K-A28</t>
        </is>
      </c>
      <c r="B111" s="3" t="inlineStr">
        <is>
          <t>OJC-C2-SC/SC-SM-35-PC/PC-8C</t>
        </is>
      </c>
      <c r="C111" s="2" t="inlineStr">
        <is>
          <t>K9089452</t>
        </is>
      </c>
      <c r="D111" s="2" t="inlineStr">
        <is>
          <t>a1-8c</t>
        </is>
      </c>
      <c r="E111" s="2" t="inlineStr">
        <is>
          <t>2.0mm</t>
        </is>
      </c>
      <c r="F111" s="2" t="n">
        <v>8</v>
      </c>
      <c r="G111" s="2" t="n">
        <v>35</v>
      </c>
      <c r="H111" s="2" t="inlineStr">
        <is>
          <t>SC/PC</t>
        </is>
      </c>
      <c r="I111" s="2" t="inlineStr">
        <is>
          <t>SC/PC</t>
        </is>
      </c>
      <c r="J111" s="2" t="n"/>
      <c r="K111" s="2" t="n">
        <v>20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>
        <f>SUM(J111:U111)</f>
        <v/>
      </c>
      <c r="W111" s="2" t="n"/>
      <c r="X111" s="2" t="n"/>
      <c r="Y111" s="2" t="n"/>
      <c r="Z111" s="2" t="n"/>
      <c r="AA111" s="2" t="n">
        <v>320</v>
      </c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>
        <f>IF(F111=1,V111*2,IF(F111=2,V111*F111*2,IF(F111&gt;2,F111*2*V111)))</f>
        <v/>
      </c>
      <c r="AW111" s="2">
        <f>SUM(W111:AU111)</f>
        <v/>
      </c>
    </row>
    <row r="112">
      <c r="A112" s="2" t="inlineStr">
        <is>
          <t>14-K-A62</t>
        </is>
      </c>
      <c r="B112" s="3" t="inlineStr">
        <is>
          <t>OJC-A1-LC/LC-SM-3-APC/APC-SP</t>
        </is>
      </c>
      <c r="C112" s="2" t="inlineStr"/>
      <c r="D112" s="2" t="inlineStr">
        <is>
          <t>a1</t>
        </is>
      </c>
      <c r="E112" s="2" t="inlineStr">
        <is>
          <t>2.0mm</t>
        </is>
      </c>
      <c r="F112" s="2" t="n">
        <v>1</v>
      </c>
      <c r="G112" s="2" t="n">
        <v>3</v>
      </c>
      <c r="H112" s="2" t="inlineStr">
        <is>
          <t>LC/APC</t>
        </is>
      </c>
      <c r="I112" s="2" t="inlineStr">
        <is>
          <t>LC/APC</t>
        </is>
      </c>
      <c r="J112" s="2" t="n">
        <v>10</v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>
        <f>SUM(J112:U112)</f>
        <v/>
      </c>
      <c r="W112" s="2" t="n"/>
      <c r="X112" s="2" t="n"/>
      <c r="Y112" s="2" t="n">
        <v>20</v>
      </c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>
        <f>IF(F112=1,V112*2,IF(F112=2,V112*F112*2,IF(F112&gt;2,F112*2*V112)))</f>
        <v/>
      </c>
      <c r="AW112" s="2">
        <f>SUM(W112:AU112)</f>
        <v/>
      </c>
    </row>
    <row r="113">
      <c r="A113" s="2" t="inlineStr">
        <is>
          <t>14-K-A76</t>
        </is>
      </c>
      <c r="B113" s="3" t="inlineStr">
        <is>
          <t>OJC-A1-LC/LC-SM-80-PC/PC-DP</t>
        </is>
      </c>
      <c r="C113" s="2" t="inlineStr">
        <is>
          <t>K9089184</t>
        </is>
      </c>
      <c r="D113" s="2" t="inlineStr">
        <is>
          <t>a1</t>
        </is>
      </c>
      <c r="E113" s="2" t="inlineStr">
        <is>
          <t>2.0mm</t>
        </is>
      </c>
      <c r="F113" s="2" t="n">
        <v>2</v>
      </c>
      <c r="G113" s="2" t="n">
        <v>80</v>
      </c>
      <c r="H113" s="2" t="inlineStr">
        <is>
          <t>LC/PC</t>
        </is>
      </c>
      <c r="I113" s="2" t="inlineStr">
        <is>
          <t>LC/PC</t>
        </is>
      </c>
      <c r="J113" s="2" t="n"/>
      <c r="K113" s="2" t="n">
        <v>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>
        <f>SUM(J113:U113)</f>
        <v/>
      </c>
      <c r="W113" s="2" t="n">
        <v>10</v>
      </c>
      <c r="X113" s="2" t="n">
        <v>10</v>
      </c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>
        <f>IF(F113=1,V113*2,IF(F113=2,V113*F113*2,IF(F113&gt;2,F113*2*V113)))</f>
        <v/>
      </c>
      <c r="AW113" s="2">
        <f>SUM(W113:AU113)</f>
        <v/>
      </c>
    </row>
    <row r="114">
      <c r="A114" s="2" t="inlineStr">
        <is>
          <t>14-K-B438</t>
        </is>
      </c>
      <c r="B114" s="3" t="inlineStr">
        <is>
          <t>OJC-A1-SC/LC-SM-10-PC/PC-DP</t>
        </is>
      </c>
      <c r="C114" s="2" t="inlineStr">
        <is>
          <t>K9089162_포앤티</t>
        </is>
      </c>
      <c r="D114" s="2" t="inlineStr">
        <is>
          <t>a1</t>
        </is>
      </c>
      <c r="E114" s="2" t="inlineStr">
        <is>
          <t>2.0mm</t>
        </is>
      </c>
      <c r="F114" s="2" t="n">
        <v>2</v>
      </c>
      <c r="G114" s="2" t="n">
        <v>10</v>
      </c>
      <c r="H114" s="2" t="inlineStr">
        <is>
          <t>SC/PC</t>
        </is>
      </c>
      <c r="I114" s="2" t="inlineStr">
        <is>
          <t>LC/PC</t>
        </is>
      </c>
      <c r="J114" s="2" t="n">
        <v>20</v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>
        <f>SUM(J114:U114)</f>
        <v/>
      </c>
      <c r="W114" s="2" t="n"/>
      <c r="X114" s="2" t="n">
        <v>40</v>
      </c>
      <c r="Y114" s="2" t="n"/>
      <c r="Z114" s="2" t="n"/>
      <c r="AA114" s="2" t="n">
        <v>40</v>
      </c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>
        <f>IF(F114=1,V114*2,IF(F114=2,V114*F114*2,IF(F114&gt;2,F114*2*V114)))</f>
        <v/>
      </c>
      <c r="AW114" s="2">
        <f>SUM(W114:AU114)</f>
        <v/>
      </c>
    </row>
    <row r="115">
      <c r="A115" s="2" t="inlineStr">
        <is>
          <t>14-K-B439</t>
        </is>
      </c>
      <c r="B115" s="3" t="inlineStr">
        <is>
          <t>OJC-A1-SC/LC-SM-20-PC/PC-DP</t>
        </is>
      </c>
      <c r="C115" s="2" t="inlineStr">
        <is>
          <t>K9089164_포앤티</t>
        </is>
      </c>
      <c r="D115" s="2" t="inlineStr">
        <is>
          <t>a1</t>
        </is>
      </c>
      <c r="E115" s="2" t="inlineStr">
        <is>
          <t>2.0mm</t>
        </is>
      </c>
      <c r="F115" s="2" t="n">
        <v>2</v>
      </c>
      <c r="G115" s="2" t="n">
        <v>20</v>
      </c>
      <c r="H115" s="2" t="inlineStr">
        <is>
          <t>SC/PC</t>
        </is>
      </c>
      <c r="I115" s="2" t="inlineStr">
        <is>
          <t>LC/PC</t>
        </is>
      </c>
      <c r="J115" s="2" t="n">
        <v>10</v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>
        <f>SUM(J115:U115)</f>
        <v/>
      </c>
      <c r="W115" s="2" t="n"/>
      <c r="X115" s="2" t="n">
        <v>20</v>
      </c>
      <c r="Y115" s="2" t="n"/>
      <c r="Z115" s="2" t="n"/>
      <c r="AA115" s="2" t="n">
        <v>20</v>
      </c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>
        <f>IF(F115=1,V115*2,IF(F115=2,V115*F115*2,IF(F115&gt;2,F115*2*V115)))</f>
        <v/>
      </c>
      <c r="AW115" s="2">
        <f>SUM(W115:AU115)</f>
        <v/>
      </c>
    </row>
    <row r="116">
      <c r="A116" s="2" t="inlineStr">
        <is>
          <t>14-K-B441</t>
        </is>
      </c>
      <c r="B116" s="3" t="inlineStr">
        <is>
          <t>OJC-A1-SC/SC-SM-15-PC/PC-SP</t>
        </is>
      </c>
      <c r="C116" s="2" t="inlineStr">
        <is>
          <t>K9089008_포앤티</t>
        </is>
      </c>
      <c r="D116" s="2" t="inlineStr">
        <is>
          <t>a1</t>
        </is>
      </c>
      <c r="E116" s="2" t="inlineStr">
        <is>
          <t>2.0mm</t>
        </is>
      </c>
      <c r="F116" s="2" t="n">
        <v>1</v>
      </c>
      <c r="G116" s="2" t="n">
        <v>15</v>
      </c>
      <c r="H116" s="2" t="inlineStr">
        <is>
          <t>SC/PC</t>
        </is>
      </c>
      <c r="I116" s="2" t="inlineStr">
        <is>
          <t>SC/PC</t>
        </is>
      </c>
      <c r="J116" s="2" t="n">
        <v>18</v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>
        <f>SUM(J116:U116)</f>
        <v/>
      </c>
      <c r="W116" s="2" t="n"/>
      <c r="X116" s="2" t="n"/>
      <c r="Y116" s="2" t="n"/>
      <c r="Z116" s="2" t="n"/>
      <c r="AA116" s="2" t="n">
        <v>36</v>
      </c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>
        <f>IF(F116=1,V116*2,IF(F116=2,V116*F116*2,IF(F116&gt;2,F116*2*V116)))</f>
        <v/>
      </c>
      <c r="AW116" s="2">
        <f>SUM(W116:AU116)</f>
        <v/>
      </c>
    </row>
    <row r="117">
      <c r="A117" s="2" t="inlineStr">
        <is>
          <t>14-K-B481</t>
        </is>
      </c>
      <c r="B117" s="3" t="inlineStr">
        <is>
          <t>OJC-A1-SC/SC-SM-30-PC/PC-SP</t>
        </is>
      </c>
      <c r="C117" s="2" t="inlineStr">
        <is>
          <t>K9089023_포앤티</t>
        </is>
      </c>
      <c r="D117" s="2" t="inlineStr">
        <is>
          <t>a1</t>
        </is>
      </c>
      <c r="E117" s="2" t="inlineStr">
        <is>
          <t>2.0mm</t>
        </is>
      </c>
      <c r="F117" s="2" t="n">
        <v>1</v>
      </c>
      <c r="G117" s="2" t="n">
        <v>30</v>
      </c>
      <c r="H117" s="2" t="inlineStr">
        <is>
          <t>SC/PC</t>
        </is>
      </c>
      <c r="I117" s="2" t="inlineStr">
        <is>
          <t>SC/PC</t>
        </is>
      </c>
      <c r="J117" s="2" t="n">
        <v>150</v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>
        <f>SUM(J117:U117)</f>
        <v/>
      </c>
      <c r="W117" s="2" t="n"/>
      <c r="X117" s="2" t="n"/>
      <c r="Y117" s="2" t="n"/>
      <c r="Z117" s="2" t="n"/>
      <c r="AA117" s="2" t="n">
        <v>300</v>
      </c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>
        <f>IF(F117=1,V117*2,IF(F117=2,V117*F117*2,IF(F117&gt;2,F117*2*V117)))</f>
        <v/>
      </c>
      <c r="AW117" s="2">
        <f>SUM(W117:AU117)</f>
        <v/>
      </c>
    </row>
    <row r="118">
      <c r="A118" s="2" t="inlineStr">
        <is>
          <t>14-K-B482</t>
        </is>
      </c>
      <c r="B118" s="3" t="inlineStr">
        <is>
          <t>OJC-A1-SC/SC-SM-35-PC/PC-SP</t>
        </is>
      </c>
      <c r="C118" s="2" t="inlineStr">
        <is>
          <t>K9089024_포앤티</t>
        </is>
      </c>
      <c r="D118" s="2" t="inlineStr">
        <is>
          <t>a1</t>
        </is>
      </c>
      <c r="E118" s="2" t="inlineStr">
        <is>
          <t>2.0mm</t>
        </is>
      </c>
      <c r="F118" s="2" t="n">
        <v>1</v>
      </c>
      <c r="G118" s="2" t="n">
        <v>35</v>
      </c>
      <c r="H118" s="2" t="inlineStr">
        <is>
          <t>SC/PC</t>
        </is>
      </c>
      <c r="I118" s="2" t="inlineStr">
        <is>
          <t>SC/PC</t>
        </is>
      </c>
      <c r="J118" s="2" t="n">
        <v>150</v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>
        <f>SUM(J118:U118)</f>
        <v/>
      </c>
      <c r="W118" s="2" t="n"/>
      <c r="X118" s="2" t="n"/>
      <c r="Y118" s="2" t="n"/>
      <c r="Z118" s="2" t="n"/>
      <c r="AA118" s="2" t="n">
        <v>300</v>
      </c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>
        <f>IF(F118=1,V118*2,IF(F118=2,V118*F118*2,IF(F118&gt;2,F118*2*V118)))</f>
        <v/>
      </c>
      <c r="AW118" s="2">
        <f>SUM(W118:AU118)</f>
        <v/>
      </c>
    </row>
    <row r="119">
      <c r="A119" s="2" t="inlineStr">
        <is>
          <t>14-K-B483</t>
        </is>
      </c>
      <c r="B119" s="3" t="inlineStr">
        <is>
          <t>OJC-A1-SC/SC-SM-40-PC/PC-SP</t>
        </is>
      </c>
      <c r="C119" s="2" t="inlineStr">
        <is>
          <t>K9089025_포앤티</t>
        </is>
      </c>
      <c r="D119" s="2" t="inlineStr">
        <is>
          <t>a1</t>
        </is>
      </c>
      <c r="E119" s="2" t="inlineStr">
        <is>
          <t>2.0mm</t>
        </is>
      </c>
      <c r="F119" s="2" t="n">
        <v>1</v>
      </c>
      <c r="G119" s="2" t="n">
        <v>40</v>
      </c>
      <c r="H119" s="2" t="inlineStr">
        <is>
          <t>SC/PC</t>
        </is>
      </c>
      <c r="I119" s="2" t="inlineStr">
        <is>
          <t>SC/PC</t>
        </is>
      </c>
      <c r="J119" s="2" t="n">
        <v>150</v>
      </c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>
        <f>SUM(J119:U119)</f>
        <v/>
      </c>
      <c r="W119" s="2" t="n"/>
      <c r="X119" s="2" t="n"/>
      <c r="Y119" s="2" t="n"/>
      <c r="Z119" s="2" t="n"/>
      <c r="AA119" s="2" t="n">
        <v>300</v>
      </c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>
        <f>IF(F119=1,V119*2,IF(F119=2,V119*F119*2,IF(F119&gt;2,F119*2*V119)))</f>
        <v/>
      </c>
      <c r="AW119" s="2">
        <f>SUM(W119:AU119)</f>
        <v/>
      </c>
    </row>
    <row r="120">
      <c r="A120" s="2" t="inlineStr">
        <is>
          <t>14-K-B546</t>
        </is>
      </c>
      <c r="B120" s="3" t="inlineStr">
        <is>
          <t>OJC-A1-SC/SC-SM-10-PC/PC-DP</t>
        </is>
      </c>
      <c r="C120" s="2" t="inlineStr">
        <is>
          <t>K9089132_포앤티</t>
        </is>
      </c>
      <c r="D120" s="2" t="inlineStr">
        <is>
          <t>a1</t>
        </is>
      </c>
      <c r="E120" s="2" t="inlineStr">
        <is>
          <t>2.0mm</t>
        </is>
      </c>
      <c r="F120" s="2" t="n">
        <v>2</v>
      </c>
      <c r="G120" s="2" t="n">
        <v>10</v>
      </c>
      <c r="H120" s="2" t="inlineStr">
        <is>
          <t>SC/PC</t>
        </is>
      </c>
      <c r="I120" s="2" t="inlineStr">
        <is>
          <t>SC/PC</t>
        </is>
      </c>
      <c r="J120" s="2" t="n">
        <v>100</v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>
        <f>SUM(J120:U120)</f>
        <v/>
      </c>
      <c r="W120" s="2" t="n"/>
      <c r="X120" s="2" t="n"/>
      <c r="Y120" s="2" t="n"/>
      <c r="Z120" s="2" t="n"/>
      <c r="AA120" s="2" t="n">
        <v>200</v>
      </c>
      <c r="AB120" s="2" t="n">
        <v>200</v>
      </c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>
        <f>IF(F120=1,V120*2,IF(F120=2,V120*F120*2,IF(F120&gt;2,F120*2*V120)))</f>
        <v/>
      </c>
      <c r="AW120" s="2">
        <f>SUM(W120:AU120)</f>
        <v/>
      </c>
    </row>
    <row r="121">
      <c r="A121" s="2" t="inlineStr">
        <is>
          <t>14-K-B556</t>
        </is>
      </c>
      <c r="B121" s="3" t="inlineStr">
        <is>
          <t>OJC-A1-SC/SC-SM-20-PC/PC-DP</t>
        </is>
      </c>
      <c r="C121" s="2" t="inlineStr">
        <is>
          <t>K9089142_포앤티</t>
        </is>
      </c>
      <c r="D121" s="2" t="inlineStr">
        <is>
          <t>a1</t>
        </is>
      </c>
      <c r="E121" s="2" t="inlineStr">
        <is>
          <t>2.0mm</t>
        </is>
      </c>
      <c r="F121" s="2" t="n">
        <v>2</v>
      </c>
      <c r="G121" s="2" t="n">
        <v>20</v>
      </c>
      <c r="H121" s="2" t="inlineStr">
        <is>
          <t>SC/PC</t>
        </is>
      </c>
      <c r="I121" s="2" t="inlineStr">
        <is>
          <t>SC/PC</t>
        </is>
      </c>
      <c r="J121" s="2" t="n">
        <v>100</v>
      </c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>
        <f>SUM(J121:U121)</f>
        <v/>
      </c>
      <c r="W121" s="2" t="n"/>
      <c r="X121" s="2" t="n"/>
      <c r="Y121" s="2" t="n"/>
      <c r="Z121" s="2" t="n"/>
      <c r="AA121" s="2" t="n">
        <v>200</v>
      </c>
      <c r="AB121" s="2" t="n">
        <v>200</v>
      </c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>
        <f>IF(F121=1,V121*2,IF(F121=2,V121*F121*2,IF(F121&gt;2,F121*2*V121)))</f>
        <v/>
      </c>
      <c r="AW121" s="2">
        <f>SUM(W121:AU121)</f>
        <v/>
      </c>
    </row>
    <row r="122">
      <c r="A122" s="2" t="inlineStr">
        <is>
          <t>14-K-B566</t>
        </is>
      </c>
      <c r="B122" s="3" t="inlineStr">
        <is>
          <t>OJC-A1-SC/SC-SM-30-PC/PC-DP</t>
        </is>
      </c>
      <c r="C122" s="2" t="inlineStr">
        <is>
          <t>K9089152_포앤티</t>
        </is>
      </c>
      <c r="D122" s="2" t="inlineStr">
        <is>
          <t>a1</t>
        </is>
      </c>
      <c r="E122" s="2" t="inlineStr">
        <is>
          <t>2.0mm</t>
        </is>
      </c>
      <c r="F122" s="2" t="n">
        <v>2</v>
      </c>
      <c r="G122" s="2" t="n">
        <v>30</v>
      </c>
      <c r="H122" s="2" t="inlineStr">
        <is>
          <t>SC/PC</t>
        </is>
      </c>
      <c r="I122" s="2" t="inlineStr">
        <is>
          <t>SC/PC</t>
        </is>
      </c>
      <c r="J122" s="2" t="n">
        <v>100</v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>
        <f>SUM(J122:U122)</f>
        <v/>
      </c>
      <c r="W122" s="2" t="n"/>
      <c r="X122" s="2" t="n"/>
      <c r="Y122" s="2" t="n"/>
      <c r="Z122" s="2" t="n"/>
      <c r="AA122" s="2" t="n">
        <v>200</v>
      </c>
      <c r="AB122" s="2" t="n">
        <v>200</v>
      </c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>
        <f>IF(F122=1,V122*2,IF(F122=2,V122*F122*2,IF(F122&gt;2,F122*2*V122)))</f>
        <v/>
      </c>
      <c r="AW122" s="2">
        <f>SUM(W122:AU122)</f>
        <v/>
      </c>
    </row>
    <row r="123">
      <c r="A123" s="2" t="inlineStr">
        <is>
          <t>14-K-B568</t>
        </is>
      </c>
      <c r="B123" s="3" t="inlineStr">
        <is>
          <t>OJC-A1-SC/SC-SM-40-PC/PC-DP</t>
        </is>
      </c>
      <c r="C123" s="2" t="inlineStr">
        <is>
          <t>K9089154_포앤티</t>
        </is>
      </c>
      <c r="D123" s="2" t="inlineStr">
        <is>
          <t>a1</t>
        </is>
      </c>
      <c r="E123" s="2" t="inlineStr">
        <is>
          <t>2.0mm</t>
        </is>
      </c>
      <c r="F123" s="2" t="n">
        <v>2</v>
      </c>
      <c r="G123" s="2" t="n">
        <v>40</v>
      </c>
      <c r="H123" s="2" t="inlineStr">
        <is>
          <t>SC/PC</t>
        </is>
      </c>
      <c r="I123" s="2" t="inlineStr">
        <is>
          <t>SC/PC</t>
        </is>
      </c>
      <c r="J123" s="2" t="n">
        <v>100</v>
      </c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>
        <f>SUM(J123:U123)</f>
        <v/>
      </c>
      <c r="W123" s="2" t="n"/>
      <c r="X123" s="2" t="n"/>
      <c r="Y123" s="2" t="n"/>
      <c r="Z123" s="2" t="n"/>
      <c r="AA123" s="2" t="n">
        <v>200</v>
      </c>
      <c r="AB123" s="2" t="n">
        <v>200</v>
      </c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>
        <f>IF(F123=1,V123*2,IF(F123=2,V123*F123*2,IF(F123&gt;2,F123*2*V123)))</f>
        <v/>
      </c>
      <c r="AW123" s="2">
        <f>SUM(W123:AU123)</f>
        <v/>
      </c>
    </row>
    <row r="124">
      <c r="A124" s="2" t="inlineStr">
        <is>
          <t>14-K-B571</t>
        </is>
      </c>
      <c r="B124" s="3" t="inlineStr">
        <is>
          <t>OJC-A1-SC/LC-SM-1-PC/PC-DP</t>
        </is>
      </c>
      <c r="C124" s="2" t="inlineStr">
        <is>
          <t>K9089157_포앤티</t>
        </is>
      </c>
      <c r="D124" s="2" t="inlineStr">
        <is>
          <t>a1</t>
        </is>
      </c>
      <c r="E124" s="2" t="inlineStr">
        <is>
          <t>2.0mm</t>
        </is>
      </c>
      <c r="F124" s="2" t="n">
        <v>2</v>
      </c>
      <c r="G124" s="2" t="n">
        <v>1</v>
      </c>
      <c r="H124" s="2" t="inlineStr">
        <is>
          <t>SC/PC</t>
        </is>
      </c>
      <c r="I124" s="2" t="inlineStr">
        <is>
          <t>LC/PC</t>
        </is>
      </c>
      <c r="J124" s="2" t="n">
        <v>30</v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>
        <f>SUM(J124:U124)</f>
        <v/>
      </c>
      <c r="W124" s="2" t="n"/>
      <c r="X124" s="2" t="n">
        <v>60</v>
      </c>
      <c r="Y124" s="2" t="n"/>
      <c r="Z124" s="2" t="n"/>
      <c r="AA124" s="2" t="n">
        <v>60</v>
      </c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>
        <f>IF(F124=1,V124*2,IF(F124=2,V124*F124*2,IF(F124&gt;2,F124*2*V124)))</f>
        <v/>
      </c>
      <c r="AW124" s="2">
        <f>SUM(W124:AU124)</f>
        <v/>
      </c>
    </row>
    <row r="125">
      <c r="A125" s="2" t="inlineStr">
        <is>
          <t>14-K-B572</t>
        </is>
      </c>
      <c r="B125" s="3" t="inlineStr">
        <is>
          <t>OJC-A1-SC/LC-SM-2-PC/PC-DP</t>
        </is>
      </c>
      <c r="C125" s="2" t="inlineStr">
        <is>
          <t>K9089158_포앤티</t>
        </is>
      </c>
      <c r="D125" s="2" t="inlineStr">
        <is>
          <t>a1</t>
        </is>
      </c>
      <c r="E125" s="2" t="inlineStr">
        <is>
          <t>2.0mm</t>
        </is>
      </c>
      <c r="F125" s="2" t="n">
        <v>2</v>
      </c>
      <c r="G125" s="2" t="n">
        <v>2</v>
      </c>
      <c r="H125" s="2" t="inlineStr">
        <is>
          <t>SC/PC</t>
        </is>
      </c>
      <c r="I125" s="2" t="inlineStr">
        <is>
          <t>LC/PC</t>
        </is>
      </c>
      <c r="J125" s="2" t="n">
        <v>10</v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>
        <f>SUM(J125:U125)</f>
        <v/>
      </c>
      <c r="W125" s="2" t="n"/>
      <c r="X125" s="2" t="n">
        <v>20</v>
      </c>
      <c r="Y125" s="2" t="n"/>
      <c r="Z125" s="2" t="n"/>
      <c r="AA125" s="2" t="n">
        <v>20</v>
      </c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>
        <f>IF(F125=1,V125*2,IF(F125=2,V125*F125*2,IF(F125&gt;2,F125*2*V125)))</f>
        <v/>
      </c>
      <c r="AW125" s="2">
        <f>SUM(W125:AU125)</f>
        <v/>
      </c>
    </row>
    <row r="126">
      <c r="A126" s="2" t="inlineStr">
        <is>
          <t>14-K-B645</t>
        </is>
      </c>
      <c r="B126" s="3" t="inlineStr">
        <is>
          <t>OJC-A1-LC/LC-MM-2-PC/PC-DP</t>
        </is>
      </c>
      <c r="C126" s="2" t="inlineStr">
        <is>
          <t>K9089330_포앤티</t>
        </is>
      </c>
      <c r="D126" s="2" t="inlineStr">
        <is>
          <t>om1</t>
        </is>
      </c>
      <c r="E126" s="2" t="inlineStr">
        <is>
          <t>2.0mm</t>
        </is>
      </c>
      <c r="F126" s="2" t="n">
        <v>2</v>
      </c>
      <c r="G126" s="2" t="n">
        <v>2</v>
      </c>
      <c r="H126" s="2" t="inlineStr">
        <is>
          <t>LC/PC</t>
        </is>
      </c>
      <c r="I126" s="2" t="inlineStr">
        <is>
          <t>LC/PC</t>
        </is>
      </c>
      <c r="J126" s="2" t="n">
        <v>10</v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>
        <f>SUM(J126:U126)</f>
        <v/>
      </c>
      <c r="W126" s="2" t="n"/>
      <c r="X126" s="2" t="n">
        <v>20</v>
      </c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>
        <v>20</v>
      </c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>
        <f>IF(F126=1,V126*2,IF(F126=2,V126*F126*2,IF(F126&gt;2,F126*2*V126)))</f>
        <v/>
      </c>
      <c r="AW126" s="2">
        <f>SUM(W126:AU126)</f>
        <v/>
      </c>
    </row>
    <row r="127">
      <c r="A127" s="2" t="inlineStr">
        <is>
          <t>14-M-016</t>
        </is>
      </c>
      <c r="B127" s="3" t="inlineStr">
        <is>
          <t>MOJC-SM-12C-LC/PC-LC/PC</t>
        </is>
      </c>
      <c r="C127" s="2" t="inlineStr">
        <is>
          <t>3M</t>
        </is>
      </c>
      <c r="D127" s="2" t="inlineStr">
        <is>
          <t>b3-12c</t>
        </is>
      </c>
      <c r="E127" s="2" t="inlineStr">
        <is>
          <t>2.0mm</t>
        </is>
      </c>
      <c r="F127" s="2" t="n">
        <v>12</v>
      </c>
      <c r="G127" s="2" t="n">
        <v>3</v>
      </c>
      <c r="H127" s="2" t="inlineStr">
        <is>
          <t>LC/PC</t>
        </is>
      </c>
      <c r="I127" s="2" t="inlineStr">
        <is>
          <t>LC/PC</t>
        </is>
      </c>
      <c r="J127" s="2" t="n"/>
      <c r="K127" s="2" t="n"/>
      <c r="L127" s="2" t="n">
        <v>6</v>
      </c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>
        <f>SUM(J127:U127)</f>
        <v/>
      </c>
      <c r="W127" s="2" t="n">
        <v>144</v>
      </c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>
        <f>IF(F127=1,V127*2,IF(F127=2,V127*F127*2,IF(F127&gt;2,F127*2*V127)))</f>
        <v/>
      </c>
      <c r="AW127" s="2">
        <f>SUM(W127:AU127)</f>
        <v/>
      </c>
    </row>
    <row r="128">
      <c r="A128" s="2" t="inlineStr">
        <is>
          <t>14-M-234</t>
        </is>
      </c>
      <c r="B128" s="3" t="inlineStr">
        <is>
          <t>MOJC-SM-12C-SC/PC-SC/PC</t>
        </is>
      </c>
      <c r="C128" s="2" t="inlineStr">
        <is>
          <t>3M</t>
        </is>
      </c>
      <c r="D128" s="2" t="inlineStr">
        <is>
          <t>b3-12c</t>
        </is>
      </c>
      <c r="E128" s="2" t="inlineStr">
        <is>
          <t>2.0mm</t>
        </is>
      </c>
      <c r="F128" s="2" t="n">
        <v>12</v>
      </c>
      <c r="G128" s="2" t="n">
        <v>3</v>
      </c>
      <c r="H128" s="2" t="inlineStr">
        <is>
          <t>SC/PC</t>
        </is>
      </c>
      <c r="I128" s="2" t="inlineStr">
        <is>
          <t>SC/PC</t>
        </is>
      </c>
      <c r="J128" s="2" t="n">
        <v>5</v>
      </c>
      <c r="K128" s="2" t="n">
        <v>4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>
        <f>SUM(J128:U128)</f>
        <v/>
      </c>
      <c r="W128" s="2" t="n"/>
      <c r="X128" s="2" t="n"/>
      <c r="Y128" s="2" t="n"/>
      <c r="Z128" s="2" t="n"/>
      <c r="AA128" s="2" t="n">
        <v>216</v>
      </c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>
        <f>IF(F128=1,V128*2,IF(F128=2,V128*F128*2,IF(F128&gt;2,F128*2*V128)))</f>
        <v/>
      </c>
      <c r="AW128" s="2">
        <f>SUM(W128:AU128)</f>
        <v/>
      </c>
    </row>
    <row r="129">
      <c r="A129" s="2" t="inlineStr">
        <is>
          <t>14-P-002</t>
        </is>
      </c>
      <c r="B129" s="3" t="inlineStr">
        <is>
          <t>PIGTAIL-FC/PC-SM-12C (0.9mm)</t>
        </is>
      </c>
      <c r="C129" s="2" t="inlineStr">
        <is>
          <t>1.5M_12색</t>
        </is>
      </c>
      <c r="D129" s="2" t="inlineStr">
        <is>
          <t>pigtail</t>
        </is>
      </c>
      <c r="E129" s="2" t="n">
        <v>0.9</v>
      </c>
      <c r="F129" s="2" t="n">
        <v>12</v>
      </c>
      <c r="G129" s="2" t="n">
        <v>1.5</v>
      </c>
      <c r="H129" s="2" t="inlineStr">
        <is>
          <t>FC/PC</t>
        </is>
      </c>
      <c r="I129" s="2" t="n"/>
      <c r="J129" s="2" t="n"/>
      <c r="K129" s="2" t="n">
        <v>60</v>
      </c>
      <c r="L129" s="2" t="n">
        <v>19</v>
      </c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>
        <f>SUM(J129:U129)</f>
        <v/>
      </c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>
        <f>IF(F129=1,V129*2,IF(F129=2,V129*F129*2,IF(F129&gt;2,F129*2*V129)))</f>
        <v/>
      </c>
      <c r="AW129" s="2">
        <f>SUM(W129:AU129)</f>
        <v/>
      </c>
    </row>
    <row r="130">
      <c r="A130" s="2" t="inlineStr">
        <is>
          <t>14-P-013</t>
        </is>
      </c>
      <c r="B130" s="3" t="inlineStr">
        <is>
          <t>PIGTAIL-SC/APC-SM-1C (2.0mm)</t>
        </is>
      </c>
      <c r="C130" s="2" t="inlineStr">
        <is>
          <t>1.5M</t>
        </is>
      </c>
      <c r="D130" s="2" t="inlineStr">
        <is>
          <t>pigtail</t>
        </is>
      </c>
      <c r="E130" s="2" t="inlineStr">
        <is>
          <t>2.0mm</t>
        </is>
      </c>
      <c r="F130" s="2" t="n">
        <v>1</v>
      </c>
      <c r="G130" s="2" t="n">
        <v>1.5</v>
      </c>
      <c r="H130" s="2" t="inlineStr">
        <is>
          <t>SC/APC</t>
        </is>
      </c>
      <c r="I130" s="2" t="n"/>
      <c r="J130" s="2" t="n"/>
      <c r="K130" s="2" t="n">
        <v>60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>
        <f>SUM(J130:U130)</f>
        <v/>
      </c>
      <c r="W130" s="2" t="n"/>
      <c r="X130" s="2" t="n"/>
      <c r="Y130" s="2" t="n"/>
      <c r="Z130" s="2" t="n"/>
      <c r="AA130" s="2" t="n"/>
      <c r="AB130" s="2" t="n"/>
      <c r="AC130" s="2" t="n">
        <v>60</v>
      </c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>
        <f>IF(F130=1,V130*2,IF(F130=2,V130*F130*2,IF(F130&gt;2,F130*2*V130)))</f>
        <v/>
      </c>
      <c r="AW130" s="2">
        <f>SUM(W130:AU130)</f>
        <v/>
      </c>
    </row>
    <row r="131">
      <c r="A131" s="2" t="inlineStr">
        <is>
          <t>14-P-091</t>
        </is>
      </c>
      <c r="B131" s="3" t="inlineStr">
        <is>
          <t>PIGTAIL-LC/APC-SM-12C (0.9mm)</t>
        </is>
      </c>
      <c r="C131" s="2" t="inlineStr">
        <is>
          <t>1.5M_12색</t>
        </is>
      </c>
      <c r="D131" s="2" t="inlineStr">
        <is>
          <t>pigtail</t>
        </is>
      </c>
      <c r="E131" s="2" t="n">
        <v>0.9</v>
      </c>
      <c r="F131" s="2" t="n">
        <v>12</v>
      </c>
      <c r="G131" s="2" t="n">
        <v>1.5</v>
      </c>
      <c r="H131" s="2" t="inlineStr">
        <is>
          <t>LC/APC</t>
        </is>
      </c>
      <c r="I131" s="2" t="n"/>
      <c r="J131" s="2" t="n">
        <v>30</v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>
        <f>SUM(J131:U131)</f>
        <v/>
      </c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>
        <f>IF(F131=1,V131*2,IF(F131=2,V131*F131*2,IF(F131&gt;2,F131*2*V131)))</f>
        <v/>
      </c>
      <c r="AW131" s="2">
        <f>SUM(W131:AU131)</f>
        <v/>
      </c>
    </row>
    <row r="132">
      <c r="A132" s="2" t="inlineStr">
        <is>
          <t>14-S-093</t>
        </is>
      </c>
      <c r="B132" s="3" t="inlineStr">
        <is>
          <t>SOJC-SM-LC/PC-LC/PC</t>
        </is>
      </c>
      <c r="C132" s="2" t="inlineStr">
        <is>
          <t>1M</t>
        </is>
      </c>
      <c r="D132" s="2" t="inlineStr">
        <is>
          <t>a1</t>
        </is>
      </c>
      <c r="E132" s="2" t="inlineStr">
        <is>
          <t>2.0mm</t>
        </is>
      </c>
      <c r="F132" s="2" t="n">
        <v>1</v>
      </c>
      <c r="G132" s="2" t="n">
        <v>1</v>
      </c>
      <c r="H132" s="2" t="inlineStr">
        <is>
          <t>LC/PC</t>
        </is>
      </c>
      <c r="I132" s="2" t="inlineStr">
        <is>
          <t>LC/PC</t>
        </is>
      </c>
      <c r="J132" s="2" t="n">
        <v>10</v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>
        <f>SUM(J132:U132)</f>
        <v/>
      </c>
      <c r="W132" s="2" t="n">
        <v>20</v>
      </c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>
        <f>IF(F132=1,V132*2,IF(F132=2,V132*F132*2,IF(F132&gt;2,F132*2*V132)))</f>
        <v/>
      </c>
      <c r="AW132" s="2">
        <f>SUM(W132:AU132)</f>
        <v/>
      </c>
    </row>
    <row r="133">
      <c r="A133" s="2" t="inlineStr">
        <is>
          <t>14-S-138</t>
        </is>
      </c>
      <c r="B133" s="3" t="inlineStr">
        <is>
          <t>SOJC-SM-LC/PC-SC/PC</t>
        </is>
      </c>
      <c r="C133" s="2" t="inlineStr">
        <is>
          <t>1M</t>
        </is>
      </c>
      <c r="D133" s="2" t="inlineStr">
        <is>
          <t>a1</t>
        </is>
      </c>
      <c r="E133" s="2" t="inlineStr">
        <is>
          <t>2.0mm</t>
        </is>
      </c>
      <c r="F133" s="2" t="n">
        <v>1</v>
      </c>
      <c r="G133" s="2" t="n">
        <v>1</v>
      </c>
      <c r="H133" s="2" t="inlineStr">
        <is>
          <t>LC/PC</t>
        </is>
      </c>
      <c r="I133" s="2" t="inlineStr">
        <is>
          <t>SC/PC</t>
        </is>
      </c>
      <c r="J133" s="2" t="n">
        <v>10</v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>
        <f>SUM(J133:U133)</f>
        <v/>
      </c>
      <c r="W133" s="2" t="n">
        <v>10</v>
      </c>
      <c r="X133" s="2" t="n"/>
      <c r="Y133" s="2" t="n"/>
      <c r="Z133" s="2" t="n"/>
      <c r="AA133" s="2" t="n">
        <v>10</v>
      </c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>
        <f>IF(F133=1,V133*2,IF(F133=2,V133*F133*2,IF(F133&gt;2,F133*2*V133)))</f>
        <v/>
      </c>
      <c r="AW133" s="2">
        <f>SUM(W133:AU133)</f>
        <v/>
      </c>
    </row>
    <row r="134">
      <c r="A134" s="2" t="inlineStr">
        <is>
          <t>14-S-146</t>
        </is>
      </c>
      <c r="B134" s="3" t="inlineStr">
        <is>
          <t>SOJC-SM-LC/PC-SC/PC</t>
        </is>
      </c>
      <c r="C134" s="2" t="inlineStr">
        <is>
          <t>3M</t>
        </is>
      </c>
      <c r="D134" s="2" t="inlineStr">
        <is>
          <t>a1</t>
        </is>
      </c>
      <c r="E134" s="2" t="inlineStr">
        <is>
          <t>2.0mm</t>
        </is>
      </c>
      <c r="F134" s="2" t="n">
        <v>1</v>
      </c>
      <c r="G134" s="2" t="n">
        <v>3</v>
      </c>
      <c r="H134" s="2" t="inlineStr">
        <is>
          <t>LC/PC</t>
        </is>
      </c>
      <c r="I134" s="2" t="inlineStr">
        <is>
          <t>SC/PC</t>
        </is>
      </c>
      <c r="J134" s="2" t="n">
        <v>31</v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>
        <f>SUM(J134:U134)</f>
        <v/>
      </c>
      <c r="W134" s="2" t="n">
        <v>31</v>
      </c>
      <c r="X134" s="2" t="n"/>
      <c r="Y134" s="2" t="n"/>
      <c r="Z134" s="2" t="n"/>
      <c r="AA134" s="2" t="n">
        <v>31</v>
      </c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>
        <f>IF(F134=1,V134*2,IF(F134=2,V134*F134*2,IF(F134&gt;2,F134*2*V134)))</f>
        <v/>
      </c>
      <c r="AW134" s="2">
        <f>SUM(W134:AU134)</f>
        <v/>
      </c>
    </row>
    <row r="135">
      <c r="A135" s="2" t="inlineStr">
        <is>
          <t>14-S-179</t>
        </is>
      </c>
      <c r="B135" s="3" t="inlineStr">
        <is>
          <t>SOJC-SM-SC/APC-SC/APC</t>
        </is>
      </c>
      <c r="C135" s="2" t="inlineStr">
        <is>
          <t>15M, A1, 2.0mm</t>
        </is>
      </c>
      <c r="D135" s="2" t="inlineStr">
        <is>
          <t>a1</t>
        </is>
      </c>
      <c r="E135" s="2" t="inlineStr">
        <is>
          <t>2.0mm</t>
        </is>
      </c>
      <c r="F135" s="2" t="n">
        <v>1</v>
      </c>
      <c r="G135" s="2" t="n">
        <v>15</v>
      </c>
      <c r="H135" s="2" t="inlineStr">
        <is>
          <t>SC/APC</t>
        </is>
      </c>
      <c r="I135" s="2" t="inlineStr">
        <is>
          <t>SC/APC</t>
        </is>
      </c>
      <c r="J135" s="2" t="n"/>
      <c r="K135" s="2" t="n"/>
      <c r="L135" s="2" t="n">
        <v>1</v>
      </c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>
        <f>SUM(J135:U135)</f>
        <v/>
      </c>
      <c r="W135" s="2" t="n"/>
      <c r="X135" s="2" t="n"/>
      <c r="Y135" s="2" t="n"/>
      <c r="Z135" s="2" t="n"/>
      <c r="AA135" s="2" t="n"/>
      <c r="AB135" s="2" t="n"/>
      <c r="AC135" s="2" t="n">
        <v>2</v>
      </c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>
        <f>IF(F135=1,V135*2,IF(F135=2,V135*F135*2,IF(F135&gt;2,F135*2*V135)))</f>
        <v/>
      </c>
      <c r="AW135" s="2">
        <f>SUM(W135:AU135)</f>
        <v/>
      </c>
    </row>
    <row r="136">
      <c r="A136" s="2" t="inlineStr">
        <is>
          <t>14-S-261</t>
        </is>
      </c>
      <c r="B136" s="3" t="inlineStr">
        <is>
          <t>SOJC-SM-SC/PC-SC/PC</t>
        </is>
      </c>
      <c r="C136" s="2" t="inlineStr">
        <is>
          <t>1M</t>
        </is>
      </c>
      <c r="D136" s="2" t="inlineStr">
        <is>
          <t>a1</t>
        </is>
      </c>
      <c r="E136" s="2" t="inlineStr">
        <is>
          <t>2.0mm</t>
        </is>
      </c>
      <c r="F136" s="2" t="n">
        <v>1</v>
      </c>
      <c r="G136" s="2" t="n">
        <v>1</v>
      </c>
      <c r="H136" s="2" t="inlineStr">
        <is>
          <t>SC/PC</t>
        </is>
      </c>
      <c r="I136" s="2" t="inlineStr">
        <is>
          <t>SC/PC</t>
        </is>
      </c>
      <c r="J136" s="2" t="n"/>
      <c r="K136" s="2" t="n">
        <v>5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>
        <f>SUM(J136:U136)</f>
        <v/>
      </c>
      <c r="W136" s="2" t="n"/>
      <c r="X136" s="2" t="n"/>
      <c r="Y136" s="2" t="n"/>
      <c r="Z136" s="2" t="n"/>
      <c r="AA136" s="2" t="n">
        <v>10</v>
      </c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>
        <f>IF(F136=1,V136*2,IF(F136=2,V136*F136*2,IF(F136&gt;2,F136*2*V136)))</f>
        <v/>
      </c>
      <c r="AW136" s="2">
        <f>SUM(W136:AU136)</f>
        <v/>
      </c>
    </row>
    <row r="137">
      <c r="A137" s="2" t="inlineStr">
        <is>
          <t>14-S-400</t>
        </is>
      </c>
      <c r="B137" s="3" t="inlineStr">
        <is>
          <t>SOJC-SM-SC/PC-SC/PC</t>
        </is>
      </c>
      <c r="C137" s="2" t="inlineStr">
        <is>
          <t>50M</t>
        </is>
      </c>
      <c r="D137" s="2" t="inlineStr">
        <is>
          <t>a1</t>
        </is>
      </c>
      <c r="E137" s="2" t="inlineStr">
        <is>
          <t>2.0mm</t>
        </is>
      </c>
      <c r="F137" s="2" t="n">
        <v>1</v>
      </c>
      <c r="G137" s="2" t="n">
        <v>50</v>
      </c>
      <c r="H137" s="2" t="inlineStr">
        <is>
          <t>SC/PC</t>
        </is>
      </c>
      <c r="I137" s="2" t="inlineStr">
        <is>
          <t>SC/PC</t>
        </is>
      </c>
      <c r="J137" s="2" t="n">
        <v>10</v>
      </c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>
        <f>SUM(J137:U137)</f>
        <v/>
      </c>
      <c r="W137" s="2" t="n"/>
      <c r="X137" s="2" t="n"/>
      <c r="Y137" s="2" t="n"/>
      <c r="Z137" s="2" t="n"/>
      <c r="AA137" s="2" t="n">
        <v>20</v>
      </c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>
        <f>IF(F137=1,V137*2,IF(F137=2,V137*F137*2,IF(F137&gt;2,F137*2*V137)))</f>
        <v/>
      </c>
      <c r="AW137" s="2">
        <f>SUM(W137:AU137)</f>
        <v/>
      </c>
    </row>
    <row r="138">
      <c r="A138" s="2" t="inlineStr">
        <is>
          <t>14-S-500</t>
        </is>
      </c>
      <c r="B138" s="3" t="inlineStr">
        <is>
          <t>SOJC-SM-LC/PC-SC/APC</t>
        </is>
      </c>
      <c r="C138" s="2" t="inlineStr">
        <is>
          <t>0.3M</t>
        </is>
      </c>
      <c r="D138" s="2" t="inlineStr">
        <is>
          <t>a1</t>
        </is>
      </c>
      <c r="E138" s="2" t="inlineStr">
        <is>
          <t>2.0mm</t>
        </is>
      </c>
      <c r="F138" s="2" t="n">
        <v>1</v>
      </c>
      <c r="G138" s="2" t="n">
        <v>0.3</v>
      </c>
      <c r="H138" s="2" t="inlineStr">
        <is>
          <t>LC/PC</t>
        </is>
      </c>
      <c r="I138" s="2" t="inlineStr">
        <is>
          <t>SC/APC</t>
        </is>
      </c>
      <c r="J138" s="2" t="n"/>
      <c r="K138" s="2" t="n">
        <v>50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>
        <f>SUM(J138:U138)</f>
        <v/>
      </c>
      <c r="W138" s="2" t="n">
        <v>50</v>
      </c>
      <c r="X138" s="2" t="n"/>
      <c r="Y138" s="2" t="n"/>
      <c r="Z138" s="2" t="n"/>
      <c r="AA138" s="2" t="n"/>
      <c r="AB138" s="2" t="n"/>
      <c r="AC138" s="2" t="n">
        <v>50</v>
      </c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>
        <f>IF(F138=1,V138*2,IF(F138=2,V138*F138*2,IF(F138&gt;2,F138*2*V138)))</f>
        <v/>
      </c>
      <c r="AW138" s="2">
        <f>SUM(W138:AU138)</f>
        <v/>
      </c>
    </row>
    <row r="139">
      <c r="A139" s="2" t="inlineStr">
        <is>
          <t>14-k-B437</t>
        </is>
      </c>
      <c r="B139" s="3" t="inlineStr">
        <is>
          <t>OJC-C2-SC/SC-SM-35-PC/PC-4C</t>
        </is>
      </c>
      <c r="C139" s="2" t="inlineStr">
        <is>
          <t>K9089451</t>
        </is>
      </c>
      <c r="D139" s="2" t="inlineStr">
        <is>
          <t>b3-4c</t>
        </is>
      </c>
      <c r="E139" s="2" t="inlineStr">
        <is>
          <t>2.0mm</t>
        </is>
      </c>
      <c r="F139" s="2" t="n">
        <v>4</v>
      </c>
      <c r="G139" s="2" t="n">
        <v>35</v>
      </c>
      <c r="H139" s="2" t="inlineStr">
        <is>
          <t>SC/PC</t>
        </is>
      </c>
      <c r="I139" s="2" t="inlineStr">
        <is>
          <t>SC/PC</t>
        </is>
      </c>
      <c r="J139" s="2" t="n">
        <v>20</v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>
        <f>SUM(J139:U139)</f>
        <v/>
      </c>
      <c r="W139" s="2" t="n"/>
      <c r="X139" s="2" t="n"/>
      <c r="Y139" s="2" t="n"/>
      <c r="Z139" s="2" t="n"/>
      <c r="AA139" s="2" t="n">
        <v>160</v>
      </c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>
        <f>IF(F139=1,V139*2,IF(F139=2,V139*F139*2,IF(F139&gt;2,F139*2*V139)))</f>
        <v/>
      </c>
      <c r="AW139" s="2">
        <f>SUM(W139:AU139)</f>
        <v/>
      </c>
    </row>
    <row r="140">
      <c r="A140" s="2" t="inlineStr">
        <is>
          <t>45-A-001</t>
        </is>
      </c>
      <c r="B140" s="3" t="inlineStr">
        <is>
          <t>운송비(택배)</t>
        </is>
      </c>
      <c r="C140" s="2" t="inlineStr"/>
      <c r="D140" s="2" t="inlineStr">
        <is>
          <t>a1</t>
        </is>
      </c>
      <c r="E140" s="2" t="inlineStr">
        <is>
          <t>2.0mm</t>
        </is>
      </c>
      <c r="F140" s="2" t="n">
        <v>1</v>
      </c>
      <c r="G140" s="2" t="n"/>
      <c r="H140" s="2" t="n"/>
      <c r="I140" s="2" t="n"/>
      <c r="J140" s="2" t="n"/>
      <c r="K140" s="2" t="n">
        <v>1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>
        <f>SUM(J140:U140)</f>
        <v/>
      </c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>
        <f>IF(F140=1,V140*2,IF(F140=2,V140*F140*2,IF(F140&gt;2,F140*2*V140)))</f>
        <v/>
      </c>
      <c r="AW140" s="2">
        <f>SUM(W140:AU140)</f>
        <v/>
      </c>
    </row>
    <row r="141">
      <c r="A141" s="2" t="inlineStr">
        <is>
          <t>45-A-123</t>
        </is>
      </c>
      <c r="B141" s="3" t="inlineStr">
        <is>
          <t>OJC-A1-SC/LC-SM-15-APC/PC-SP</t>
        </is>
      </c>
      <c r="C141" s="2" t="inlineStr"/>
      <c r="D141" s="2" t="inlineStr">
        <is>
          <t>a1</t>
        </is>
      </c>
      <c r="E141" s="2" t="inlineStr">
        <is>
          <t>2.0mm</t>
        </is>
      </c>
      <c r="F141" s="2" t="n">
        <v>1</v>
      </c>
      <c r="G141" s="2" t="n">
        <v>15</v>
      </c>
      <c r="H141" s="2" t="inlineStr">
        <is>
          <t>SC/APC</t>
        </is>
      </c>
      <c r="I141" s="2" t="inlineStr">
        <is>
          <t>LC/PC</t>
        </is>
      </c>
      <c r="J141" s="2" t="n"/>
      <c r="K141" s="2" t="n">
        <v>10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>
        <f>SUM(J141:U141)</f>
        <v/>
      </c>
      <c r="W141" s="2" t="n">
        <v>10</v>
      </c>
      <c r="X141" s="2" t="n"/>
      <c r="Y141" s="2" t="n"/>
      <c r="Z141" s="2" t="n"/>
      <c r="AA141" s="2" t="n"/>
      <c r="AB141" s="2" t="n"/>
      <c r="AC141" s="2" t="n">
        <v>10</v>
      </c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>
        <f>IF(F141=1,V141*2,IF(F141=2,V141*F141*2,IF(F141&gt;2,F141*2*V141)))</f>
        <v/>
      </c>
      <c r="AW141" s="2">
        <f>SUM(W141:AU141)</f>
        <v/>
      </c>
    </row>
    <row r="142">
      <c r="A142" s="2" t="inlineStr">
        <is>
          <t>A14-D-FP/FP-B-N-004</t>
        </is>
      </c>
      <c r="B142" s="3" t="inlineStr">
        <is>
          <t>DOJC-SM-FC/PC-FC/PC</t>
        </is>
      </c>
      <c r="C142" s="2" t="inlineStr">
        <is>
          <t>908040607, 20M, B3, 2.0mm</t>
        </is>
      </c>
      <c r="D142" s="2" t="inlineStr">
        <is>
          <t>b3</t>
        </is>
      </c>
      <c r="E142" s="2" t="inlineStr">
        <is>
          <t>2.0mm</t>
        </is>
      </c>
      <c r="F142" s="2" t="n">
        <v>2</v>
      </c>
      <c r="G142" s="2" t="n">
        <v>20</v>
      </c>
      <c r="H142" s="2" t="inlineStr">
        <is>
          <t>FC/PC</t>
        </is>
      </c>
      <c r="I142" s="2" t="inlineStr">
        <is>
          <t>FC/PC</t>
        </is>
      </c>
      <c r="J142" s="2" t="n">
        <v>15</v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>
        <f>SUM(J142:U142)</f>
        <v/>
      </c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>
        <v>30</v>
      </c>
      <c r="AF142" s="2" t="n">
        <v>30</v>
      </c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>
        <f>IF(F142=1,V142*2,IF(F142=2,V142*F142*2,IF(F142&gt;2,F142*2*V142)))</f>
        <v/>
      </c>
      <c r="AW142" s="2">
        <f>SUM(W142:AU142)</f>
        <v/>
      </c>
    </row>
    <row r="143">
      <c r="A143" s="2" t="inlineStr">
        <is>
          <t>A14-D-LP/LP-1-N-060</t>
        </is>
      </c>
      <c r="B143" s="3" t="inlineStr">
        <is>
          <t>DOJC-MM-LC/PC-LC/PC</t>
        </is>
      </c>
      <c r="C143" s="2" t="inlineStr">
        <is>
          <t>65M</t>
        </is>
      </c>
      <c r="D143" s="2" t="inlineStr">
        <is>
          <t>om1</t>
        </is>
      </c>
      <c r="E143" s="2" t="inlineStr">
        <is>
          <t>2.0mm</t>
        </is>
      </c>
      <c r="F143" s="2" t="n">
        <v>2</v>
      </c>
      <c r="G143" s="2" t="n">
        <v>65</v>
      </c>
      <c r="H143" s="2" t="inlineStr">
        <is>
          <t>LC/PC</t>
        </is>
      </c>
      <c r="I143" s="2" t="inlineStr">
        <is>
          <t>LC/PC</t>
        </is>
      </c>
      <c r="J143" s="2" t="n"/>
      <c r="K143" s="2" t="n">
        <v>11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>
        <f>SUM(J143:U143)</f>
        <v/>
      </c>
      <c r="W143" s="2" t="n"/>
      <c r="X143" s="2" t="n">
        <v>22</v>
      </c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>
        <v>22</v>
      </c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>
        <f>IF(F143=1,V143*2,IF(F143=2,V143*F143*2,IF(F143&gt;2,F143*2*V143)))</f>
        <v/>
      </c>
      <c r="AW143" s="2">
        <f>SUM(W143:AU143)</f>
        <v/>
      </c>
    </row>
    <row r="144">
      <c r="A144" s="2" t="inlineStr">
        <is>
          <t>A14-D-LP/LP-B-N-002</t>
        </is>
      </c>
      <c r="B144" s="3" t="inlineStr">
        <is>
          <t>DOJC-SM-LC/PC-LC/PC</t>
        </is>
      </c>
      <c r="C144" s="2" t="inlineStr">
        <is>
          <t>908040693, 11M, B3, 2.0mm</t>
        </is>
      </c>
      <c r="D144" s="2" t="inlineStr">
        <is>
          <t>b3</t>
        </is>
      </c>
      <c r="E144" s="2" t="inlineStr">
        <is>
          <t>2.0mm</t>
        </is>
      </c>
      <c r="F144" s="2" t="n">
        <v>2</v>
      </c>
      <c r="G144" s="2" t="n">
        <v>11</v>
      </c>
      <c r="H144" s="2" t="inlineStr">
        <is>
          <t>LC/PC</t>
        </is>
      </c>
      <c r="I144" s="2" t="inlineStr">
        <is>
          <t>LC/PC</t>
        </is>
      </c>
      <c r="J144" s="2" t="n">
        <v>20</v>
      </c>
      <c r="K144" s="2" t="n">
        <v>5</v>
      </c>
      <c r="L144" s="2" t="n">
        <v>10</v>
      </c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>
        <f>SUM(J144:U144)</f>
        <v/>
      </c>
      <c r="W144" s="2" t="n">
        <v>70</v>
      </c>
      <c r="X144" s="2" t="n">
        <v>70</v>
      </c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>
        <f>IF(F144=1,V144*2,IF(F144=2,V144*F144*2,IF(F144&gt;2,F144*2*V144)))</f>
        <v/>
      </c>
      <c r="AW144" s="2">
        <f>SUM(W144:AU144)</f>
        <v/>
      </c>
    </row>
    <row r="145">
      <c r="A145" s="2" t="inlineStr">
        <is>
          <t>A14-D-LP/LP-B-N-019</t>
        </is>
      </c>
      <c r="B145" s="3" t="inlineStr">
        <is>
          <t>DOJC-SM-LC/PC-LC/PC</t>
        </is>
      </c>
      <c r="C145" s="2" t="inlineStr">
        <is>
          <t>908041005, 9M, B3, 2.0mm</t>
        </is>
      </c>
      <c r="D145" s="2" t="inlineStr">
        <is>
          <t>b3</t>
        </is>
      </c>
      <c r="E145" s="2" t="inlineStr">
        <is>
          <t>2.0mm</t>
        </is>
      </c>
      <c r="F145" s="2" t="n">
        <v>2</v>
      </c>
      <c r="G145" s="2" t="n">
        <v>9</v>
      </c>
      <c r="H145" s="2" t="inlineStr">
        <is>
          <t>LC/PC</t>
        </is>
      </c>
      <c r="I145" s="2" t="inlineStr">
        <is>
          <t>LC/PC</t>
        </is>
      </c>
      <c r="J145" s="2" t="n">
        <v>30</v>
      </c>
      <c r="K145" s="2" t="n"/>
      <c r="L145" s="2" t="n">
        <v>15</v>
      </c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>
        <f>SUM(J145:U145)</f>
        <v/>
      </c>
      <c r="W145" s="2" t="n">
        <v>90</v>
      </c>
      <c r="X145" s="2" t="n">
        <v>90</v>
      </c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>
        <f>IF(F145=1,V145*2,IF(F145=2,V145*F145*2,IF(F145&gt;2,F145*2*V145)))</f>
        <v/>
      </c>
      <c r="AW145" s="2">
        <f>SUM(W145:AU145)</f>
        <v/>
      </c>
    </row>
    <row r="146">
      <c r="A146" s="2" t="inlineStr">
        <is>
          <t>A14-D-LP/LP-B-N-020</t>
        </is>
      </c>
      <c r="B146" s="3" t="inlineStr">
        <is>
          <t>DOJC-SM-LC/PC-LC/PC</t>
        </is>
      </c>
      <c r="C146" s="2" t="inlineStr">
        <is>
          <t>45M, B3, 2.0mm</t>
        </is>
      </c>
      <c r="D146" s="2" t="inlineStr">
        <is>
          <t>b3</t>
        </is>
      </c>
      <c r="E146" s="2" t="inlineStr">
        <is>
          <t>2.0mm</t>
        </is>
      </c>
      <c r="F146" s="2" t="n">
        <v>2</v>
      </c>
      <c r="G146" s="2" t="n">
        <v>45</v>
      </c>
      <c r="H146" s="2" t="inlineStr">
        <is>
          <t>LC/PC</t>
        </is>
      </c>
      <c r="I146" s="2" t="inlineStr">
        <is>
          <t>LC/PC</t>
        </is>
      </c>
      <c r="J146" s="2" t="n"/>
      <c r="K146" s="2" t="n">
        <v>1</v>
      </c>
      <c r="L146" s="2" t="n">
        <v>6</v>
      </c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>
        <f>SUM(J146:U146)</f>
        <v/>
      </c>
      <c r="W146" s="2" t="n">
        <v>14</v>
      </c>
      <c r="X146" s="2" t="n">
        <v>14</v>
      </c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>
        <f>IF(F146=1,V146*2,IF(F146=2,V146*F146*2,IF(F146&gt;2,F146*2*V146)))</f>
        <v/>
      </c>
      <c r="AW146" s="2">
        <f>SUM(W146:AU146)</f>
        <v/>
      </c>
    </row>
    <row r="147">
      <c r="A147" s="2" t="inlineStr">
        <is>
          <t>A14-D-LP/SP-B-N-004</t>
        </is>
      </c>
      <c r="B147" s="3" t="inlineStr">
        <is>
          <t>DOJC-SM-LC/PC-SC/PC</t>
        </is>
      </c>
      <c r="C147" s="2" t="inlineStr">
        <is>
          <t>908040860, 1M, B3, 3.0mm</t>
        </is>
      </c>
      <c r="D147" s="2" t="inlineStr">
        <is>
          <t>b3</t>
        </is>
      </c>
      <c r="E147" s="2" t="inlineStr">
        <is>
          <t>3.0mm</t>
        </is>
      </c>
      <c r="F147" s="2" t="n">
        <v>2</v>
      </c>
      <c r="G147" s="2" t="n">
        <v>1</v>
      </c>
      <c r="H147" s="2" t="inlineStr">
        <is>
          <t>LC/PC</t>
        </is>
      </c>
      <c r="I147" s="2" t="inlineStr">
        <is>
          <t>SC/PC</t>
        </is>
      </c>
      <c r="J147" s="2" t="n">
        <v>30</v>
      </c>
      <c r="K147" s="2" t="n"/>
      <c r="L147" s="2" t="n">
        <v>20</v>
      </c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>
        <f>SUM(J147:U147)</f>
        <v/>
      </c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>
        <v>100</v>
      </c>
      <c r="AK147" s="2" t="n"/>
      <c r="AL147" s="2" t="n"/>
      <c r="AM147" s="2" t="n"/>
      <c r="AN147" s="2" t="n"/>
      <c r="AO147" s="2" t="n">
        <v>100</v>
      </c>
      <c r="AP147" s="2" t="n"/>
      <c r="AQ147" s="2" t="n"/>
      <c r="AR147" s="2" t="n"/>
      <c r="AS147" s="2" t="n"/>
      <c r="AT147" s="2" t="n"/>
      <c r="AU147" s="2" t="n"/>
      <c r="AV147" s="2">
        <f>IF(F147=1,V147*2,IF(F147=2,V147*F147*2,IF(F147&gt;2,F147*2*V147)))</f>
        <v/>
      </c>
      <c r="AW147" s="2">
        <f>SUM(W147:AU147)</f>
        <v/>
      </c>
    </row>
    <row r="148">
      <c r="A148" s="2" t="inlineStr">
        <is>
          <t>A14-D-LP/SP-B-N-019</t>
        </is>
      </c>
      <c r="B148" s="3" t="inlineStr">
        <is>
          <t>DOJC-SM-LC/PC-SC/PC</t>
        </is>
      </c>
      <c r="C148" s="2" t="inlineStr">
        <is>
          <t>45M, B3, 2.0mm</t>
        </is>
      </c>
      <c r="D148" s="2" t="inlineStr">
        <is>
          <t>b3</t>
        </is>
      </c>
      <c r="E148" s="2" t="inlineStr">
        <is>
          <t>2.0mm</t>
        </is>
      </c>
      <c r="F148" s="2" t="n">
        <v>2</v>
      </c>
      <c r="G148" s="2" t="n">
        <v>45</v>
      </c>
      <c r="H148" s="2" t="inlineStr">
        <is>
          <t>LC/PC</t>
        </is>
      </c>
      <c r="I148" s="2" t="inlineStr">
        <is>
          <t>SC/PC</t>
        </is>
      </c>
      <c r="J148" s="2" t="n"/>
      <c r="K148" s="2" t="n">
        <v>4</v>
      </c>
      <c r="L148" s="2" t="n">
        <v>3</v>
      </c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>
        <f>SUM(J148:U148)</f>
        <v/>
      </c>
      <c r="W148" s="2" t="n">
        <v>14</v>
      </c>
      <c r="X148" s="2" t="n"/>
      <c r="Y148" s="2" t="n"/>
      <c r="Z148" s="2" t="n"/>
      <c r="AA148" s="2" t="n"/>
      <c r="AB148" s="2" t="n">
        <v>14</v>
      </c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>
        <f>IF(F148=1,V148*2,IF(F148=2,V148*F148*2,IF(F148&gt;2,F148*2*V148)))</f>
        <v/>
      </c>
      <c r="AW148" s="2">
        <f>SUM(W148:AU148)</f>
        <v/>
      </c>
    </row>
    <row r="149">
      <c r="A149" s="2" t="inlineStr">
        <is>
          <t>A14-D-LP/SP-B-N-020</t>
        </is>
      </c>
      <c r="B149" s="3" t="inlineStr">
        <is>
          <t>DOJC-SM-LC/PC-SC/PC</t>
        </is>
      </c>
      <c r="C149" s="2" t="inlineStr">
        <is>
          <t>55M, B3, 2.0mm</t>
        </is>
      </c>
      <c r="D149" s="2" t="inlineStr">
        <is>
          <t>b3</t>
        </is>
      </c>
      <c r="E149" s="2" t="inlineStr">
        <is>
          <t>2.0mm</t>
        </is>
      </c>
      <c r="F149" s="2" t="n">
        <v>2</v>
      </c>
      <c r="G149" s="2" t="n">
        <v>55</v>
      </c>
      <c r="H149" s="2" t="inlineStr">
        <is>
          <t>LC/PC</t>
        </is>
      </c>
      <c r="I149" s="2" t="inlineStr">
        <is>
          <t>SC/PC</t>
        </is>
      </c>
      <c r="J149" s="2" t="n"/>
      <c r="K149" s="2" t="n">
        <v>7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>
        <f>SUM(J149:U149)</f>
        <v/>
      </c>
      <c r="W149" s="2" t="n">
        <v>14</v>
      </c>
      <c r="X149" s="2" t="n"/>
      <c r="Y149" s="2" t="n"/>
      <c r="Z149" s="2" t="n"/>
      <c r="AA149" s="2" t="n"/>
      <c r="AB149" s="2" t="n">
        <v>14</v>
      </c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>
        <f>IF(F149=1,V149*2,IF(F149=2,V149*F149*2,IF(F149&gt;2,F149*2*V149)))</f>
        <v/>
      </c>
      <c r="AW149" s="2">
        <f>SUM(W149:AU149)</f>
        <v/>
      </c>
    </row>
    <row r="150">
      <c r="A150" s="2" t="inlineStr">
        <is>
          <t>A14-D-SA/FA-B-N-004</t>
        </is>
      </c>
      <c r="B150" s="3" t="inlineStr">
        <is>
          <t>DOJC-SM-SC/APC-FC/APC</t>
        </is>
      </c>
      <c r="C150" s="2" t="inlineStr">
        <is>
          <t>908040512, 20M, B3, 2.0mm</t>
        </is>
      </c>
      <c r="D150" s="2" t="inlineStr">
        <is>
          <t>b3</t>
        </is>
      </c>
      <c r="E150" s="2" t="inlineStr">
        <is>
          <t>2.0mm</t>
        </is>
      </c>
      <c r="F150" s="2" t="n">
        <v>2</v>
      </c>
      <c r="G150" s="2" t="n">
        <v>20</v>
      </c>
      <c r="H150" s="2" t="inlineStr">
        <is>
          <t>SC/APC</t>
        </is>
      </c>
      <c r="I150" s="2" t="inlineStr">
        <is>
          <t>FC/APC</t>
        </is>
      </c>
      <c r="J150" s="2" t="n"/>
      <c r="K150" s="2" t="n"/>
      <c r="L150" s="2" t="n">
        <v>2</v>
      </c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>
        <f>SUM(J150:U150)</f>
        <v/>
      </c>
      <c r="W150" s="2" t="n"/>
      <c r="X150" s="2" t="n"/>
      <c r="Y150" s="2" t="n"/>
      <c r="Z150" s="2" t="n"/>
      <c r="AA150" s="2" t="n"/>
      <c r="AB150" s="2" t="n"/>
      <c r="AC150" s="2" t="n">
        <v>4</v>
      </c>
      <c r="AD150" s="2" t="n"/>
      <c r="AE150" s="2" t="n"/>
      <c r="AF150" s="2" t="n"/>
      <c r="AG150" s="2" t="n"/>
      <c r="AH150" s="2" t="n">
        <v>4</v>
      </c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>
        <f>IF(F150=1,V150*2,IF(F150=2,V150*F150*2,IF(F150&gt;2,F150*2*V150)))</f>
        <v/>
      </c>
      <c r="AW150" s="2">
        <f>SUM(W150:AU150)</f>
        <v/>
      </c>
    </row>
    <row r="151">
      <c r="A151" s="2" t="inlineStr">
        <is>
          <t>A14-D-SP/FP-B-N-007</t>
        </is>
      </c>
      <c r="B151" s="3" t="inlineStr">
        <is>
          <t>DOJC-SM-SC/PC-FC/PC</t>
        </is>
      </c>
      <c r="C151" s="2" t="inlineStr">
        <is>
          <t>908040432, 30M, B3, 2.0mm</t>
        </is>
      </c>
      <c r="D151" s="2" t="inlineStr">
        <is>
          <t>b3</t>
        </is>
      </c>
      <c r="E151" s="2" t="inlineStr">
        <is>
          <t>2.0mm</t>
        </is>
      </c>
      <c r="F151" s="2" t="n">
        <v>2</v>
      </c>
      <c r="G151" s="2" t="n">
        <v>30</v>
      </c>
      <c r="H151" s="2" t="inlineStr">
        <is>
          <t>SC/PC</t>
        </is>
      </c>
      <c r="I151" s="2" t="inlineStr">
        <is>
          <t>FC/PC</t>
        </is>
      </c>
      <c r="J151" s="2" t="n">
        <v>10</v>
      </c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>
        <f>SUM(J151:U151)</f>
        <v/>
      </c>
      <c r="W151" s="2" t="n"/>
      <c r="X151" s="2" t="n"/>
      <c r="Y151" s="2" t="n"/>
      <c r="Z151" s="2" t="n"/>
      <c r="AA151" s="2" t="n">
        <v>20</v>
      </c>
      <c r="AB151" s="2" t="n"/>
      <c r="AC151" s="2" t="n"/>
      <c r="AD151" s="2" t="n"/>
      <c r="AE151" s="2" t="n"/>
      <c r="AF151" s="2" t="n">
        <v>20</v>
      </c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>
        <f>IF(F151=1,V151*2,IF(F151=2,V151*F151*2,IF(F151&gt;2,F151*2*V151)))</f>
        <v/>
      </c>
      <c r="AW151" s="2">
        <f>SUM(W151:AU151)</f>
        <v/>
      </c>
    </row>
    <row r="152">
      <c r="A152" s="2" t="inlineStr">
        <is>
          <t>A14-D-SP/SA-B-N-005</t>
        </is>
      </c>
      <c r="B152" s="3" t="inlineStr">
        <is>
          <t>DOJC-SM-SC/PC-SC/APC</t>
        </is>
      </c>
      <c r="C152" s="2" t="inlineStr">
        <is>
          <t>908040552, 25M, B3, 2.0mm</t>
        </is>
      </c>
      <c r="D152" s="2" t="inlineStr">
        <is>
          <t>b3</t>
        </is>
      </c>
      <c r="E152" s="2" t="inlineStr">
        <is>
          <t>2.0mm</t>
        </is>
      </c>
      <c r="F152" s="2" t="n">
        <v>2</v>
      </c>
      <c r="G152" s="2" t="n">
        <v>25</v>
      </c>
      <c r="H152" s="2" t="inlineStr">
        <is>
          <t>SC/PC</t>
        </is>
      </c>
      <c r="I152" s="2" t="inlineStr">
        <is>
          <t>SC/APC</t>
        </is>
      </c>
      <c r="J152" s="2" t="n">
        <v>10</v>
      </c>
      <c r="K152" s="2" t="n">
        <v>1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>
        <f>SUM(J152:U152)</f>
        <v/>
      </c>
      <c r="W152" s="2" t="n"/>
      <c r="X152" s="2" t="n"/>
      <c r="Y152" s="2" t="n"/>
      <c r="Z152" s="2" t="n"/>
      <c r="AA152" s="2" t="n">
        <v>22</v>
      </c>
      <c r="AB152" s="2" t="n"/>
      <c r="AC152" s="2" t="n"/>
      <c r="AD152" s="2" t="n">
        <v>22</v>
      </c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>
        <f>IF(F152=1,V152*2,IF(F152=2,V152*F152*2,IF(F152&gt;2,F152*2*V152)))</f>
        <v/>
      </c>
      <c r="AW152" s="2">
        <f>SUM(W152:AU152)</f>
        <v/>
      </c>
    </row>
    <row r="153">
      <c r="A153" s="2" t="inlineStr">
        <is>
          <t>A14-D-SP/SA-B-N-008</t>
        </is>
      </c>
      <c r="B153" s="3" t="inlineStr">
        <is>
          <t>DOJC-SM-SC/PC-SC/APC</t>
        </is>
      </c>
      <c r="C153" s="2" t="inlineStr">
        <is>
          <t>908040557, 30M, B3, 2.0mm</t>
        </is>
      </c>
      <c r="D153" s="2" t="inlineStr">
        <is>
          <t>b3</t>
        </is>
      </c>
      <c r="E153" s="2" t="inlineStr">
        <is>
          <t>2.0mm</t>
        </is>
      </c>
      <c r="F153" s="2" t="n">
        <v>2</v>
      </c>
      <c r="G153" s="2" t="n">
        <v>30</v>
      </c>
      <c r="H153" s="2" t="inlineStr">
        <is>
          <t>SC/PC</t>
        </is>
      </c>
      <c r="I153" s="2" t="inlineStr">
        <is>
          <t>SC/APC</t>
        </is>
      </c>
      <c r="J153" s="2" t="n">
        <v>20</v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>
        <f>SUM(J153:U153)</f>
        <v/>
      </c>
      <c r="W153" s="2" t="n"/>
      <c r="X153" s="2" t="n"/>
      <c r="Y153" s="2" t="n"/>
      <c r="Z153" s="2" t="n"/>
      <c r="AA153" s="2" t="n">
        <v>40</v>
      </c>
      <c r="AB153" s="2" t="n"/>
      <c r="AC153" s="2" t="n"/>
      <c r="AD153" s="2" t="n">
        <v>40</v>
      </c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>
        <f>IF(F153=1,V153*2,IF(F153=2,V153*F153*2,IF(F153&gt;2,F153*2*V153)))</f>
        <v/>
      </c>
      <c r="AW153" s="2">
        <f>SUM(W153:AU153)</f>
        <v/>
      </c>
    </row>
    <row r="154">
      <c r="A154" s="2" t="inlineStr">
        <is>
          <t>A14-D-SP/SP-B-N-015</t>
        </is>
      </c>
      <c r="B154" s="3" t="inlineStr">
        <is>
          <t>DOJC-SM-SC/PC-SC/PC</t>
        </is>
      </c>
      <c r="C154" s="2" t="inlineStr">
        <is>
          <t>908040227, 7M, B3, 2.0mm</t>
        </is>
      </c>
      <c r="D154" s="2" t="inlineStr">
        <is>
          <t>b3</t>
        </is>
      </c>
      <c r="E154" s="2" t="inlineStr">
        <is>
          <t>2.0mm</t>
        </is>
      </c>
      <c r="F154" s="2" t="n">
        <v>2</v>
      </c>
      <c r="G154" s="2" t="n">
        <v>7</v>
      </c>
      <c r="H154" s="2" t="inlineStr">
        <is>
          <t>SC/PC</t>
        </is>
      </c>
      <c r="I154" s="2" t="inlineStr">
        <is>
          <t>SC/PC</t>
        </is>
      </c>
      <c r="J154" s="2" t="n">
        <v>100</v>
      </c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>
        <f>SUM(J154:U154)</f>
        <v/>
      </c>
      <c r="W154" s="2" t="n"/>
      <c r="X154" s="2" t="n"/>
      <c r="Y154" s="2" t="n"/>
      <c r="Z154" s="2" t="n"/>
      <c r="AA154" s="2" t="n">
        <v>200</v>
      </c>
      <c r="AB154" s="2" t="n">
        <v>200</v>
      </c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>
        <f>IF(F154=1,V154*2,IF(F154=2,V154*F154*2,IF(F154&gt;2,F154*2*V154)))</f>
        <v/>
      </c>
      <c r="AW154" s="2">
        <f>SUM(W154:AU154)</f>
        <v/>
      </c>
    </row>
    <row r="155">
      <c r="A155" s="2" t="inlineStr">
        <is>
          <t>A14-D1-N002</t>
        </is>
      </c>
      <c r="B155" s="3" t="inlineStr">
        <is>
          <t>DOJC-MM-LC/PC-LC/PC</t>
        </is>
      </c>
      <c r="C155" s="2" t="inlineStr">
        <is>
          <t>920000812, 30M</t>
        </is>
      </c>
      <c r="D155" s="2" t="inlineStr">
        <is>
          <t>om1</t>
        </is>
      </c>
      <c r="E155" s="2" t="inlineStr">
        <is>
          <t>2.0mm</t>
        </is>
      </c>
      <c r="F155" s="2" t="n">
        <v>2</v>
      </c>
      <c r="G155" s="2" t="n">
        <v>30</v>
      </c>
      <c r="H155" s="2" t="inlineStr">
        <is>
          <t>LC/PC</t>
        </is>
      </c>
      <c r="I155" s="2" t="inlineStr">
        <is>
          <t>LC/PC</t>
        </is>
      </c>
      <c r="J155" s="2" t="n"/>
      <c r="K155" s="2" t="n"/>
      <c r="L155" s="2" t="n">
        <v>5</v>
      </c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>
        <f>SUM(J155:U155)</f>
        <v/>
      </c>
      <c r="W155" s="2" t="n"/>
      <c r="X155" s="2" t="n">
        <v>10</v>
      </c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>
        <v>10</v>
      </c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>
        <f>IF(F155=1,V155*2,IF(F155=2,V155*F155*2,IF(F155&gt;2,F155*2*V155)))</f>
        <v/>
      </c>
      <c r="AW155" s="2">
        <f>SUM(W155:AU155)</f>
        <v/>
      </c>
    </row>
    <row r="156">
      <c r="A156" s="2" t="inlineStr">
        <is>
          <t>A14-D1-N003</t>
        </is>
      </c>
      <c r="B156" s="3" t="inlineStr">
        <is>
          <t>DOJC-MM-LC/PC-LC/PC</t>
        </is>
      </c>
      <c r="C156" s="2" t="inlineStr">
        <is>
          <t>920000788, 6M</t>
        </is>
      </c>
      <c r="D156" s="2" t="inlineStr">
        <is>
          <t>om1</t>
        </is>
      </c>
      <c r="E156" s="2" t="inlineStr">
        <is>
          <t>2.0mm</t>
        </is>
      </c>
      <c r="F156" s="2" t="n">
        <v>2</v>
      </c>
      <c r="G156" s="2" t="n">
        <v>6</v>
      </c>
      <c r="H156" s="2" t="inlineStr">
        <is>
          <t>LC/PC</t>
        </is>
      </c>
      <c r="I156" s="2" t="inlineStr">
        <is>
          <t>LC/PC</t>
        </is>
      </c>
      <c r="J156" s="2" t="n"/>
      <c r="K156" s="2" t="n">
        <v>10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>
        <f>SUM(J156:U156)</f>
        <v/>
      </c>
      <c r="W156" s="2" t="n"/>
      <c r="X156" s="2" t="n">
        <v>20</v>
      </c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>
        <v>20</v>
      </c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>
        <f>IF(F156=1,V156*2,IF(F156=2,V156*F156*2,IF(F156&gt;2,F156*2*V156)))</f>
        <v/>
      </c>
      <c r="AW156" s="2">
        <f>SUM(W156:AU156)</f>
        <v/>
      </c>
    </row>
    <row r="157">
      <c r="A157" s="2" t="inlineStr">
        <is>
          <t>A14-D1-N004</t>
        </is>
      </c>
      <c r="B157" s="3" t="inlineStr">
        <is>
          <t>DOJC-MM-LC/PC-LC/PC</t>
        </is>
      </c>
      <c r="C157" s="2" t="inlineStr">
        <is>
          <t>920000789, 7M</t>
        </is>
      </c>
      <c r="D157" s="2" t="inlineStr">
        <is>
          <t>om1</t>
        </is>
      </c>
      <c r="E157" s="2" t="inlineStr">
        <is>
          <t>2.0mm</t>
        </is>
      </c>
      <c r="F157" s="2" t="n">
        <v>2</v>
      </c>
      <c r="G157" s="2" t="n">
        <v>7</v>
      </c>
      <c r="H157" s="2" t="inlineStr">
        <is>
          <t>LC/PC</t>
        </is>
      </c>
      <c r="I157" s="2" t="inlineStr">
        <is>
          <t>LC/PC</t>
        </is>
      </c>
      <c r="J157" s="2" t="n">
        <v>36</v>
      </c>
      <c r="K157" s="2" t="n">
        <v>2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>
        <f>SUM(J157:U157)</f>
        <v/>
      </c>
      <c r="W157" s="2" t="n"/>
      <c r="X157" s="2" t="n">
        <v>76</v>
      </c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>
        <v>76</v>
      </c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>
        <f>IF(F157=1,V157*2,IF(F157=2,V157*F157*2,IF(F157&gt;2,F157*2*V157)))</f>
        <v/>
      </c>
      <c r="AW157" s="2">
        <f>SUM(W157:AU157)</f>
        <v/>
      </c>
    </row>
    <row r="158">
      <c r="A158" s="2" t="inlineStr">
        <is>
          <t>A14-D1-N012</t>
        </is>
      </c>
      <c r="B158" s="3" t="inlineStr">
        <is>
          <t>DOJC-MM-LC/PC-LC/PC</t>
        </is>
      </c>
      <c r="C158" s="2" t="inlineStr">
        <is>
          <t>920000790, 8M</t>
        </is>
      </c>
      <c r="D158" s="2" t="inlineStr">
        <is>
          <t>om1</t>
        </is>
      </c>
      <c r="E158" s="2" t="inlineStr">
        <is>
          <t>2.0mm</t>
        </is>
      </c>
      <c r="F158" s="2" t="n">
        <v>2</v>
      </c>
      <c r="G158" s="2" t="n">
        <v>8</v>
      </c>
      <c r="H158" s="2" t="inlineStr">
        <is>
          <t>LC/PC</t>
        </is>
      </c>
      <c r="I158" s="2" t="inlineStr">
        <is>
          <t>LC/PC</t>
        </is>
      </c>
      <c r="J158" s="2" t="n"/>
      <c r="K158" s="2" t="n"/>
      <c r="L158" s="2" t="n">
        <v>5</v>
      </c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>
        <f>SUM(J158:U158)</f>
        <v/>
      </c>
      <c r="W158" s="2" t="n"/>
      <c r="X158" s="2" t="n">
        <v>10</v>
      </c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>
        <v>10</v>
      </c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>
        <f>IF(F158=1,V158*2,IF(F158=2,V158*F158*2,IF(F158&gt;2,F158*2*V158)))</f>
        <v/>
      </c>
      <c r="AW158" s="2">
        <f>SUM(W158:AU158)</f>
        <v/>
      </c>
    </row>
    <row r="159">
      <c r="A159" s="2" t="inlineStr">
        <is>
          <t>A14-D1-N057</t>
        </is>
      </c>
      <c r="B159" s="3" t="inlineStr">
        <is>
          <t>DOJC-MM-LC/PC-LC/PC</t>
        </is>
      </c>
      <c r="C159" s="2" t="inlineStr">
        <is>
          <t>920000787, 5M</t>
        </is>
      </c>
      <c r="D159" s="2" t="inlineStr">
        <is>
          <t>om1</t>
        </is>
      </c>
      <c r="E159" s="2" t="inlineStr">
        <is>
          <t>2.0mm</t>
        </is>
      </c>
      <c r="F159" s="2" t="n">
        <v>2</v>
      </c>
      <c r="G159" s="2" t="n">
        <v>5</v>
      </c>
      <c r="H159" s="2" t="inlineStr">
        <is>
          <t>LC/PC</t>
        </is>
      </c>
      <c r="I159" s="2" t="inlineStr">
        <is>
          <t>LC/PC</t>
        </is>
      </c>
      <c r="J159" s="2" t="n">
        <v>10</v>
      </c>
      <c r="K159" s="2" t="n"/>
      <c r="L159" s="2" t="n">
        <v>1</v>
      </c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>
        <f>SUM(J159:U159)</f>
        <v/>
      </c>
      <c r="W159" s="2" t="n"/>
      <c r="X159" s="2" t="n">
        <v>22</v>
      </c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>
        <v>22</v>
      </c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>
        <f>IF(F159=1,V159*2,IF(F159=2,V159*F159*2,IF(F159&gt;2,F159*2*V159)))</f>
        <v/>
      </c>
      <c r="AW159" s="2">
        <f>SUM(W159:AU159)</f>
        <v/>
      </c>
    </row>
    <row r="160">
      <c r="A160" s="2" t="inlineStr">
        <is>
          <t>A14-D3-N008</t>
        </is>
      </c>
      <c r="B160" s="3" t="inlineStr">
        <is>
          <t>DOJC-MM(OM3)-LC/PC-LC/PC</t>
        </is>
      </c>
      <c r="C160" s="2" t="inlineStr">
        <is>
          <t>10M</t>
        </is>
      </c>
      <c r="D160" s="2" t="inlineStr">
        <is>
          <t>om3</t>
        </is>
      </c>
      <c r="E160" s="2" t="inlineStr">
        <is>
          <t>2.0mm</t>
        </is>
      </c>
      <c r="F160" s="2" t="n">
        <v>2</v>
      </c>
      <c r="G160" s="2" t="n">
        <v>10</v>
      </c>
      <c r="H160" s="2" t="inlineStr">
        <is>
          <t>LC/PC</t>
        </is>
      </c>
      <c r="I160" s="2" t="inlineStr">
        <is>
          <t>LC/PC</t>
        </is>
      </c>
      <c r="J160" s="2" t="n">
        <v>30</v>
      </c>
      <c r="K160" s="2" t="n">
        <v>19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>
        <f>SUM(J160:U160)</f>
        <v/>
      </c>
      <c r="W160" s="2" t="n"/>
      <c r="X160" s="2" t="n">
        <v>98</v>
      </c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>
        <v>98</v>
      </c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>
        <f>IF(F160=1,V160*2,IF(F160=2,V160*F160*2,IF(F160&gt;2,F160*2*V160)))</f>
        <v/>
      </c>
      <c r="AW160" s="2">
        <f>SUM(W160:AU160)</f>
        <v/>
      </c>
    </row>
    <row r="161">
      <c r="A161" s="2" t="inlineStr">
        <is>
          <t>A14-D3-N010</t>
        </is>
      </c>
      <c r="B161" s="3" t="inlineStr">
        <is>
          <t>DOJC-MM(OM3)-LC/PC-LC/PC</t>
        </is>
      </c>
      <c r="C161" s="2" t="inlineStr">
        <is>
          <t>15M</t>
        </is>
      </c>
      <c r="D161" s="2" t="inlineStr">
        <is>
          <t>om3</t>
        </is>
      </c>
      <c r="E161" s="2" t="inlineStr">
        <is>
          <t>2.0mm</t>
        </is>
      </c>
      <c r="F161" s="2" t="n">
        <v>2</v>
      </c>
      <c r="G161" s="2" t="n">
        <v>15</v>
      </c>
      <c r="H161" s="2" t="inlineStr">
        <is>
          <t>LC/PC</t>
        </is>
      </c>
      <c r="I161" s="2" t="inlineStr">
        <is>
          <t>LC/PC</t>
        </is>
      </c>
      <c r="J161" s="2" t="n">
        <v>10</v>
      </c>
      <c r="K161" s="2" t="n">
        <v>10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>
        <f>SUM(J161:U161)</f>
        <v/>
      </c>
      <c r="W161" s="2" t="n"/>
      <c r="X161" s="2" t="n">
        <v>40</v>
      </c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>
        <v>40</v>
      </c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>
        <f>IF(F161=1,V161*2,IF(F161=2,V161*F161*2,IF(F161&gt;2,F161*2*V161)))</f>
        <v/>
      </c>
      <c r="AW161" s="2">
        <f>SUM(W161:AU161)</f>
        <v/>
      </c>
    </row>
    <row r="162">
      <c r="A162" s="2" t="inlineStr">
        <is>
          <t>A14-D3-N011</t>
        </is>
      </c>
      <c r="B162" s="3" t="inlineStr">
        <is>
          <t>DOJC-MM(OM3)-LC/PC-LC/PC</t>
        </is>
      </c>
      <c r="C162" s="2" t="inlineStr">
        <is>
          <t>20M</t>
        </is>
      </c>
      <c r="D162" s="2" t="inlineStr">
        <is>
          <t>om3</t>
        </is>
      </c>
      <c r="E162" s="2" t="inlineStr">
        <is>
          <t>2.0mm</t>
        </is>
      </c>
      <c r="F162" s="2" t="n">
        <v>2</v>
      </c>
      <c r="G162" s="2" t="n">
        <v>20</v>
      </c>
      <c r="H162" s="2" t="inlineStr">
        <is>
          <t>LC/PC</t>
        </is>
      </c>
      <c r="I162" s="2" t="inlineStr">
        <is>
          <t>LC/PC</t>
        </is>
      </c>
      <c r="J162" s="2" t="n"/>
      <c r="K162" s="2" t="n">
        <v>5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>
        <f>SUM(J162:U162)</f>
        <v/>
      </c>
      <c r="W162" s="2" t="n"/>
      <c r="X162" s="2" t="n">
        <v>10</v>
      </c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>
        <v>10</v>
      </c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>
        <f>IF(F162=1,V162*2,IF(F162=2,V162*F162*2,IF(F162&gt;2,F162*2*V162)))</f>
        <v/>
      </c>
      <c r="AW162" s="2">
        <f>SUM(W162:AU162)</f>
        <v/>
      </c>
    </row>
    <row r="163">
      <c r="A163" s="2" t="inlineStr">
        <is>
          <t>A14-D3-N016</t>
        </is>
      </c>
      <c r="B163" s="3" t="inlineStr">
        <is>
          <t>DOJC-MM(OM3)-LC/PC-LC/PC</t>
        </is>
      </c>
      <c r="C163" s="2" t="inlineStr">
        <is>
          <t>25M</t>
        </is>
      </c>
      <c r="D163" s="2" t="inlineStr">
        <is>
          <t>om3</t>
        </is>
      </c>
      <c r="E163" s="2" t="inlineStr">
        <is>
          <t>2.0mm</t>
        </is>
      </c>
      <c r="F163" s="2" t="n">
        <v>2</v>
      </c>
      <c r="G163" s="2" t="n">
        <v>25</v>
      </c>
      <c r="H163" s="2" t="inlineStr">
        <is>
          <t>LC/PC</t>
        </is>
      </c>
      <c r="I163" s="2" t="inlineStr">
        <is>
          <t>LC/PC</t>
        </is>
      </c>
      <c r="J163" s="2" t="n"/>
      <c r="K163" s="2" t="n">
        <v>5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>
        <f>SUM(J163:U163)</f>
        <v/>
      </c>
      <c r="W163" s="2" t="n"/>
      <c r="X163" s="2" t="n">
        <v>10</v>
      </c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>
        <v>10</v>
      </c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>
        <f>IF(F163=1,V163*2,IF(F163=2,V163*F163*2,IF(F163&gt;2,F163*2*V163)))</f>
        <v/>
      </c>
      <c r="AW163" s="2">
        <f>SUM(W163:AU163)</f>
        <v/>
      </c>
    </row>
    <row r="164">
      <c r="A164" s="2" t="inlineStr">
        <is>
          <t>A14-DB-N115</t>
        </is>
      </c>
      <c r="B164" s="3" t="inlineStr">
        <is>
          <t>DOJC-SM-FC/APC-FC/APC</t>
        </is>
      </c>
      <c r="C164" s="2" t="inlineStr">
        <is>
          <t>908040677, 30M, B3, 2.0mm</t>
        </is>
      </c>
      <c r="D164" s="2" t="inlineStr">
        <is>
          <t>b3</t>
        </is>
      </c>
      <c r="E164" s="2" t="inlineStr">
        <is>
          <t>2.0mm</t>
        </is>
      </c>
      <c r="F164" s="2" t="n">
        <v>2</v>
      </c>
      <c r="G164" s="2" t="n">
        <v>30</v>
      </c>
      <c r="H164" s="2" t="inlineStr">
        <is>
          <t>FC/APC</t>
        </is>
      </c>
      <c r="I164" s="2" t="inlineStr">
        <is>
          <t>FC/APC</t>
        </is>
      </c>
      <c r="J164" s="2" t="n">
        <v>5</v>
      </c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>
        <f>SUM(J164:U164)</f>
        <v/>
      </c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>
        <v>10</v>
      </c>
      <c r="AH164" s="2" t="n">
        <v>10</v>
      </c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>
        <f>IF(F164=1,V164*2,IF(F164=2,V164*F164*2,IF(F164&gt;2,F164*2*V164)))</f>
        <v/>
      </c>
      <c r="AW164" s="2">
        <f>SUM(W164:AU164)</f>
        <v/>
      </c>
    </row>
    <row r="165">
      <c r="A165" s="2" t="inlineStr">
        <is>
          <t>A14-DB-N157</t>
        </is>
      </c>
      <c r="B165" s="3" t="inlineStr">
        <is>
          <t>DOJC-SM-LC/PC-FC/APC</t>
        </is>
      </c>
      <c r="C165" s="2" t="inlineStr">
        <is>
          <t>908040532, 10M, B3, 2.0mm</t>
        </is>
      </c>
      <c r="D165" s="2" t="inlineStr">
        <is>
          <t>b3</t>
        </is>
      </c>
      <c r="E165" s="2" t="inlineStr">
        <is>
          <t>2.0mm</t>
        </is>
      </c>
      <c r="F165" s="2" t="n">
        <v>2</v>
      </c>
      <c r="G165" s="2" t="n">
        <v>10</v>
      </c>
      <c r="H165" s="2" t="inlineStr">
        <is>
          <t>LC/PC</t>
        </is>
      </c>
      <c r="I165" s="2" t="inlineStr">
        <is>
          <t>FC/APC</t>
        </is>
      </c>
      <c r="J165" s="2" t="n">
        <v>34</v>
      </c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>
        <f>SUM(J165:U165)</f>
        <v/>
      </c>
      <c r="W165" s="2" t="n">
        <v>68</v>
      </c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>
        <v>68</v>
      </c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>
        <f>IF(F165=1,V165*2,IF(F165=2,V165*F165*2,IF(F165&gt;2,F165*2*V165)))</f>
        <v/>
      </c>
      <c r="AW165" s="2">
        <f>SUM(W165:AU165)</f>
        <v/>
      </c>
    </row>
    <row r="166">
      <c r="A166" s="2" t="inlineStr">
        <is>
          <t>A14-DB-N174</t>
        </is>
      </c>
      <c r="B166" s="3" t="inlineStr">
        <is>
          <t>DOJC-SM-LC/PC-FC/APC</t>
        </is>
      </c>
      <c r="C166" s="2" t="inlineStr">
        <is>
          <t>35M, B3, 2.0mm</t>
        </is>
      </c>
      <c r="D166" s="2" t="inlineStr">
        <is>
          <t>b3</t>
        </is>
      </c>
      <c r="E166" s="2" t="inlineStr">
        <is>
          <t>2.0mm</t>
        </is>
      </c>
      <c r="F166" s="2" t="n">
        <v>2</v>
      </c>
      <c r="G166" s="2" t="n">
        <v>35</v>
      </c>
      <c r="H166" s="2" t="inlineStr">
        <is>
          <t>LC/PC</t>
        </is>
      </c>
      <c r="I166" s="2" t="inlineStr">
        <is>
          <t>FC/APC</t>
        </is>
      </c>
      <c r="J166" s="2" t="n"/>
      <c r="K166" s="2" t="n"/>
      <c r="L166" s="2" t="n">
        <v>1</v>
      </c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>
        <f>SUM(J166:U166)</f>
        <v/>
      </c>
      <c r="W166" s="2" t="n">
        <v>2</v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>
        <v>2</v>
      </c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>
        <f>IF(F166=1,V166*2,IF(F166=2,V166*F166*2,IF(F166&gt;2,F166*2*V166)))</f>
        <v/>
      </c>
      <c r="AW166" s="2">
        <f>SUM(W166:AU166)</f>
        <v/>
      </c>
    </row>
    <row r="167">
      <c r="A167" s="2" t="inlineStr">
        <is>
          <t>A14-DB-N180</t>
        </is>
      </c>
      <c r="B167" s="3" t="inlineStr">
        <is>
          <t>DOJC-SM-LC/PC-FC/APC</t>
        </is>
      </c>
      <c r="C167" s="2" t="inlineStr">
        <is>
          <t>55M, B3, 2.0mm</t>
        </is>
      </c>
      <c r="D167" s="2" t="inlineStr">
        <is>
          <t>b3</t>
        </is>
      </c>
      <c r="E167" s="2" t="inlineStr">
        <is>
          <t>2.0mm</t>
        </is>
      </c>
      <c r="F167" s="2" t="n">
        <v>2</v>
      </c>
      <c r="G167" s="2" t="n">
        <v>55</v>
      </c>
      <c r="H167" s="2" t="inlineStr">
        <is>
          <t>LC/PC</t>
        </is>
      </c>
      <c r="I167" s="2" t="inlineStr">
        <is>
          <t>FC/APC</t>
        </is>
      </c>
      <c r="J167" s="2" t="n"/>
      <c r="K167" s="2" t="n"/>
      <c r="L167" s="2" t="n">
        <v>4</v>
      </c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>
        <f>SUM(J167:U167)</f>
        <v/>
      </c>
      <c r="W167" s="2" t="n">
        <v>8</v>
      </c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>
        <v>8</v>
      </c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>
        <f>IF(F167=1,V167*2,IF(F167=2,V167*F167*2,IF(F167&gt;2,F167*2*V167)))</f>
        <v/>
      </c>
      <c r="AW167" s="2">
        <f>SUM(W167:AU167)</f>
        <v/>
      </c>
    </row>
    <row r="168">
      <c r="A168" s="2" t="inlineStr">
        <is>
          <t>A14-DB-N181</t>
        </is>
      </c>
      <c r="B168" s="3" t="inlineStr">
        <is>
          <t>DOJC-SM-LC/PC-FC/APC</t>
        </is>
      </c>
      <c r="C168" s="2" t="inlineStr">
        <is>
          <t>908040527, 5M, B3, 3.0mm</t>
        </is>
      </c>
      <c r="D168" s="2" t="inlineStr">
        <is>
          <t>b3</t>
        </is>
      </c>
      <c r="E168" s="2" t="inlineStr">
        <is>
          <t>3.0mm</t>
        </is>
      </c>
      <c r="F168" s="2" t="n">
        <v>2</v>
      </c>
      <c r="G168" s="2" t="n">
        <v>5</v>
      </c>
      <c r="H168" s="2" t="inlineStr">
        <is>
          <t>LC/PC</t>
        </is>
      </c>
      <c r="I168" s="2" t="inlineStr">
        <is>
          <t>FC/APC</t>
        </is>
      </c>
      <c r="J168" s="2" t="n">
        <v>20</v>
      </c>
      <c r="K168" s="2" t="n"/>
      <c r="L168" s="2" t="n">
        <v>5</v>
      </c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>
        <f>SUM(J168:U168)</f>
        <v/>
      </c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>
        <v>50</v>
      </c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>
        <v>50</v>
      </c>
      <c r="AV168" s="2">
        <f>IF(F168=1,V168*2,IF(F168=2,V168*F168*2,IF(F168&gt;2,F168*2*V168)))</f>
        <v/>
      </c>
      <c r="AW168" s="2">
        <f>SUM(W168:AU168)</f>
        <v/>
      </c>
    </row>
    <row r="169">
      <c r="A169" s="2" t="inlineStr">
        <is>
          <t>A14-DB-N182</t>
        </is>
      </c>
      <c r="B169" s="3" t="inlineStr">
        <is>
          <t>DOJC-SM-LC/PC-FC/APC</t>
        </is>
      </c>
      <c r="C169" s="2" t="inlineStr">
        <is>
          <t>60M, B3, 2.0mm</t>
        </is>
      </c>
      <c r="D169" s="2" t="inlineStr">
        <is>
          <t>b3</t>
        </is>
      </c>
      <c r="E169" s="2" t="inlineStr">
        <is>
          <t>2.0mm</t>
        </is>
      </c>
      <c r="F169" s="2" t="n">
        <v>2</v>
      </c>
      <c r="G169" s="2" t="n">
        <v>60</v>
      </c>
      <c r="H169" s="2" t="inlineStr">
        <is>
          <t>LC/PC</t>
        </is>
      </c>
      <c r="I169" s="2" t="inlineStr">
        <is>
          <t>FC/APC</t>
        </is>
      </c>
      <c r="J169" s="2" t="n"/>
      <c r="K169" s="2" t="n"/>
      <c r="L169" s="2" t="n">
        <v>2</v>
      </c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>
        <f>SUM(J169:U169)</f>
        <v/>
      </c>
      <c r="W169" s="2" t="n">
        <v>4</v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>
        <v>4</v>
      </c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>
        <f>IF(F169=1,V169*2,IF(F169=2,V169*F169*2,IF(F169&gt;2,F169*2*V169)))</f>
        <v/>
      </c>
      <c r="AW169" s="2">
        <f>SUM(W169:AU169)</f>
        <v/>
      </c>
    </row>
    <row r="170">
      <c r="A170" s="2" t="inlineStr">
        <is>
          <t>A14-DB-N183</t>
        </is>
      </c>
      <c r="B170" s="3" t="inlineStr">
        <is>
          <t>DOJC-SM-LC/PC-FC/APC</t>
        </is>
      </c>
      <c r="C170" s="2" t="inlineStr">
        <is>
          <t>65M, B3, 2.0mm</t>
        </is>
      </c>
      <c r="D170" s="2" t="inlineStr">
        <is>
          <t>b3</t>
        </is>
      </c>
      <c r="E170" s="2" t="inlineStr">
        <is>
          <t>2.0mm</t>
        </is>
      </c>
      <c r="F170" s="2" t="n">
        <v>2</v>
      </c>
      <c r="G170" s="2" t="n">
        <v>65</v>
      </c>
      <c r="H170" s="2" t="inlineStr">
        <is>
          <t>LC/PC</t>
        </is>
      </c>
      <c r="I170" s="2" t="inlineStr">
        <is>
          <t>FC/APC</t>
        </is>
      </c>
      <c r="J170" s="2" t="n"/>
      <c r="K170" s="2" t="n">
        <v>2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>
        <f>SUM(J170:U170)</f>
        <v/>
      </c>
      <c r="W170" s="2" t="n">
        <v>4</v>
      </c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>
        <v>4</v>
      </c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>
        <f>IF(F170=1,V170*2,IF(F170=2,V170*F170*2,IF(F170&gt;2,F170*2*V170)))</f>
        <v/>
      </c>
      <c r="AW170" s="2">
        <f>SUM(W170:AU170)</f>
        <v/>
      </c>
    </row>
    <row r="171">
      <c r="A171" s="2" t="inlineStr">
        <is>
          <t>A14-DB-N187</t>
        </is>
      </c>
      <c r="B171" s="3" t="inlineStr">
        <is>
          <t>DOJC-SM-LC/PC-FC/APC</t>
        </is>
      </c>
      <c r="C171" s="2" t="inlineStr">
        <is>
          <t>908040529, 7M, B3, 2.0mm</t>
        </is>
      </c>
      <c r="D171" s="2" t="inlineStr">
        <is>
          <t>b3</t>
        </is>
      </c>
      <c r="E171" s="2" t="inlineStr">
        <is>
          <t>2.0mm</t>
        </is>
      </c>
      <c r="F171" s="2" t="n">
        <v>2</v>
      </c>
      <c r="G171" s="2" t="n">
        <v>7</v>
      </c>
      <c r="H171" s="2" t="inlineStr">
        <is>
          <t>LC/PC</t>
        </is>
      </c>
      <c r="I171" s="2" t="inlineStr">
        <is>
          <t>FC/APC</t>
        </is>
      </c>
      <c r="J171" s="2" t="n">
        <v>8</v>
      </c>
      <c r="K171" s="2" t="n"/>
      <c r="L171" s="2" t="n">
        <v>10</v>
      </c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>
        <f>SUM(J171:U171)</f>
        <v/>
      </c>
      <c r="W171" s="2" t="n">
        <v>36</v>
      </c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>
        <v>36</v>
      </c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>
        <f>IF(F171=1,V171*2,IF(F171=2,V171*F171*2,IF(F171&gt;2,F171*2*V171)))</f>
        <v/>
      </c>
      <c r="AW171" s="2">
        <f>SUM(W171:AU171)</f>
        <v/>
      </c>
    </row>
    <row r="172">
      <c r="A172" s="2" t="inlineStr">
        <is>
          <t>A14-DB-N190</t>
        </is>
      </c>
      <c r="B172" s="3" t="inlineStr">
        <is>
          <t>DOJC-SM-LC/PC-FC/APC</t>
        </is>
      </c>
      <c r="C172" s="2" t="inlineStr">
        <is>
          <t>13M, B3, 2.0mm</t>
        </is>
      </c>
      <c r="D172" s="2" t="inlineStr">
        <is>
          <t>b3</t>
        </is>
      </c>
      <c r="E172" s="2" t="inlineStr">
        <is>
          <t>2.0mm</t>
        </is>
      </c>
      <c r="F172" s="2" t="n">
        <v>2</v>
      </c>
      <c r="G172" s="2" t="n">
        <v>13</v>
      </c>
      <c r="H172" s="2" t="inlineStr">
        <is>
          <t>LC/PC</t>
        </is>
      </c>
      <c r="I172" s="2" t="inlineStr">
        <is>
          <t>FC/APC</t>
        </is>
      </c>
      <c r="J172" s="2" t="n"/>
      <c r="K172" s="2" t="n"/>
      <c r="L172" s="2" t="n">
        <v>4</v>
      </c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>
        <f>SUM(J172:U172)</f>
        <v/>
      </c>
      <c r="W172" s="2" t="n">
        <v>8</v>
      </c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>
        <v>8</v>
      </c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>
        <f>IF(F172=1,V172*2,IF(F172=2,V172*F172*2,IF(F172&gt;2,F172*2*V172)))</f>
        <v/>
      </c>
      <c r="AW172" s="2">
        <f>SUM(W172:AU172)</f>
        <v/>
      </c>
    </row>
    <row r="173">
      <c r="A173" s="2" t="inlineStr">
        <is>
          <t>A14-DB-N213</t>
        </is>
      </c>
      <c r="B173" s="3" t="inlineStr">
        <is>
          <t>DOJC-SM-LC/PC-FC/PC</t>
        </is>
      </c>
      <c r="C173" s="2" t="inlineStr">
        <is>
          <t>60M, B3, 2.0mm</t>
        </is>
      </c>
      <c r="D173" s="2" t="inlineStr">
        <is>
          <t>b3</t>
        </is>
      </c>
      <c r="E173" s="2" t="inlineStr">
        <is>
          <t>2.0mm</t>
        </is>
      </c>
      <c r="F173" s="2" t="n">
        <v>2</v>
      </c>
      <c r="G173" s="2" t="n">
        <v>60</v>
      </c>
      <c r="H173" s="2" t="inlineStr">
        <is>
          <t>LC/PC</t>
        </is>
      </c>
      <c r="I173" s="2" t="inlineStr">
        <is>
          <t>FC/PC</t>
        </is>
      </c>
      <c r="J173" s="2" t="n"/>
      <c r="K173" s="2" t="n">
        <v>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>
        <f>SUM(J173:U173)</f>
        <v/>
      </c>
      <c r="W173" s="2" t="n">
        <v>10</v>
      </c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>
        <v>10</v>
      </c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>
        <f>IF(F173=1,V173*2,IF(F173=2,V173*F173*2,IF(F173&gt;2,F173*2*V173)))</f>
        <v/>
      </c>
      <c r="AW173" s="2">
        <f>SUM(W173:AU173)</f>
        <v/>
      </c>
    </row>
    <row r="174">
      <c r="A174" s="2" t="inlineStr">
        <is>
          <t>A14-DB-N223</t>
        </is>
      </c>
      <c r="B174" s="3" t="inlineStr">
        <is>
          <t>DOJC-SM-LC/PC-LC/PC</t>
        </is>
      </c>
      <c r="C174" s="2" t="inlineStr">
        <is>
          <t>908041006, 10M, B3, 2.0mm</t>
        </is>
      </c>
      <c r="D174" s="2" t="inlineStr">
        <is>
          <t>b3</t>
        </is>
      </c>
      <c r="E174" s="2" t="inlineStr">
        <is>
          <t>2.0mm</t>
        </is>
      </c>
      <c r="F174" s="2" t="n">
        <v>2</v>
      </c>
      <c r="G174" s="2" t="n">
        <v>10</v>
      </c>
      <c r="H174" s="2" t="inlineStr">
        <is>
          <t>LC/PC</t>
        </is>
      </c>
      <c r="I174" s="2" t="inlineStr">
        <is>
          <t>LC/PC</t>
        </is>
      </c>
      <c r="J174" s="2" t="n">
        <v>511</v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>
        <f>SUM(J174:U174)</f>
        <v/>
      </c>
      <c r="W174" s="2" t="n">
        <v>1022</v>
      </c>
      <c r="X174" s="2" t="n">
        <v>1022</v>
      </c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>
        <f>IF(F174=1,V174*2,IF(F174=2,V174*F174*2,IF(F174&gt;2,F174*2*V174)))</f>
        <v/>
      </c>
      <c r="AW174" s="2">
        <f>SUM(W174:AU174)</f>
        <v/>
      </c>
    </row>
    <row r="175">
      <c r="A175" s="2" t="inlineStr">
        <is>
          <t>A14-DB-N226</t>
        </is>
      </c>
      <c r="B175" s="3" t="inlineStr">
        <is>
          <t>DOJC-SM-LC/PC-LC/PC</t>
        </is>
      </c>
      <c r="C175" s="2" t="inlineStr">
        <is>
          <t>908040695, 13M, B3, 2.0mm</t>
        </is>
      </c>
      <c r="D175" s="2" t="inlineStr">
        <is>
          <t>b3</t>
        </is>
      </c>
      <c r="E175" s="2" t="inlineStr">
        <is>
          <t>2.0mm</t>
        </is>
      </c>
      <c r="F175" s="2" t="n">
        <v>2</v>
      </c>
      <c r="G175" s="2" t="n">
        <v>13</v>
      </c>
      <c r="H175" s="2" t="inlineStr">
        <is>
          <t>LC/PC</t>
        </is>
      </c>
      <c r="I175" s="2" t="inlineStr">
        <is>
          <t>LC/PC</t>
        </is>
      </c>
      <c r="J175" s="2" t="n"/>
      <c r="K175" s="2" t="n"/>
      <c r="L175" s="2" t="n">
        <v>10</v>
      </c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>
        <f>SUM(J175:U175)</f>
        <v/>
      </c>
      <c r="W175" s="2" t="n">
        <v>20</v>
      </c>
      <c r="X175" s="2" t="n">
        <v>20</v>
      </c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>
        <f>IF(F175=1,V175*2,IF(F175=2,V175*F175*2,IF(F175&gt;2,F175*2*V175)))</f>
        <v/>
      </c>
      <c r="AW175" s="2">
        <f>SUM(W175:AU175)</f>
        <v/>
      </c>
    </row>
    <row r="176">
      <c r="A176" s="2" t="inlineStr">
        <is>
          <t>A14-DB-N233</t>
        </is>
      </c>
      <c r="B176" s="3" t="inlineStr">
        <is>
          <t>DOJC-SM-LC/PC-LC/PC</t>
        </is>
      </c>
      <c r="C176" s="2" t="inlineStr">
        <is>
          <t>908040998, 1M, B3, 3.0mm</t>
        </is>
      </c>
      <c r="D176" s="2" t="inlineStr">
        <is>
          <t>b3</t>
        </is>
      </c>
      <c r="E176" s="2" t="inlineStr">
        <is>
          <t>3.0mm</t>
        </is>
      </c>
      <c r="F176" s="2" t="n">
        <v>2</v>
      </c>
      <c r="G176" s="2" t="n">
        <v>1</v>
      </c>
      <c r="H176" s="2" t="inlineStr">
        <is>
          <t>LC/PC</t>
        </is>
      </c>
      <c r="I176" s="2" t="inlineStr">
        <is>
          <t>LC/PC</t>
        </is>
      </c>
      <c r="J176" s="2" t="n">
        <v>5</v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>
        <f>SUM(J176:U176)</f>
        <v/>
      </c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>
        <v>10</v>
      </c>
      <c r="AK176" s="2" t="n">
        <v>10</v>
      </c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>
        <f>IF(F176=1,V176*2,IF(F176=2,V176*F176*2,IF(F176&gt;2,F176*2*V176)))</f>
        <v/>
      </c>
      <c r="AW176" s="2">
        <f>SUM(W176:AU176)</f>
        <v/>
      </c>
    </row>
    <row r="177">
      <c r="A177" s="2" t="inlineStr">
        <is>
          <t>A14-DB-N240</t>
        </is>
      </c>
      <c r="B177" s="3" t="inlineStr">
        <is>
          <t>DOJC-SM-LC/PC-LC/PC</t>
        </is>
      </c>
      <c r="C177" s="2" t="inlineStr">
        <is>
          <t>908040999, 2M, B3, 3.0mm</t>
        </is>
      </c>
      <c r="D177" s="2" t="inlineStr">
        <is>
          <t>b3</t>
        </is>
      </c>
      <c r="E177" s="2" t="inlineStr">
        <is>
          <t>3.0mm</t>
        </is>
      </c>
      <c r="F177" s="2" t="n">
        <v>2</v>
      </c>
      <c r="G177" s="2" t="n">
        <v>2</v>
      </c>
      <c r="H177" s="2" t="inlineStr">
        <is>
          <t>LC/PC</t>
        </is>
      </c>
      <c r="I177" s="2" t="inlineStr">
        <is>
          <t>LC/PC</t>
        </is>
      </c>
      <c r="J177" s="2" t="n">
        <v>40</v>
      </c>
      <c r="K177" s="2" t="n">
        <v>40</v>
      </c>
      <c r="L177" s="2" t="n">
        <v>120</v>
      </c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>
        <f>SUM(J177:U177)</f>
        <v/>
      </c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>
        <v>400</v>
      </c>
      <c r="AK177" s="2" t="n">
        <v>400</v>
      </c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>
        <f>IF(F177=1,V177*2,IF(F177=2,V177*F177*2,IF(F177&gt;2,F177*2*V177)))</f>
        <v/>
      </c>
      <c r="AW177" s="2">
        <f>SUM(W177:AU177)</f>
        <v/>
      </c>
    </row>
    <row r="178">
      <c r="A178" s="2" t="inlineStr">
        <is>
          <t>A14-DB-N247</t>
        </is>
      </c>
      <c r="B178" s="3" t="inlineStr">
        <is>
          <t>DOJC-SM-LC/PC-LC/PC</t>
        </is>
      </c>
      <c r="C178" s="2" t="inlineStr">
        <is>
          <t>45M, B3, 2.0mm</t>
        </is>
      </c>
      <c r="D178" s="2" t="inlineStr">
        <is>
          <t>b3</t>
        </is>
      </c>
      <c r="E178" s="2" t="inlineStr">
        <is>
          <t>2.0mm</t>
        </is>
      </c>
      <c r="F178" s="2" t="n">
        <v>2</v>
      </c>
      <c r="G178" s="2" t="n">
        <v>45</v>
      </c>
      <c r="H178" s="2" t="inlineStr">
        <is>
          <t>LC/PC</t>
        </is>
      </c>
      <c r="I178" s="2" t="inlineStr">
        <is>
          <t>LC/PC</t>
        </is>
      </c>
      <c r="J178" s="2" t="n">
        <v>5</v>
      </c>
      <c r="K178" s="2" t="n">
        <v>4</v>
      </c>
      <c r="L178" s="2" t="n">
        <v>10</v>
      </c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>
        <f>SUM(J178:U178)</f>
        <v/>
      </c>
      <c r="W178" s="2" t="n">
        <v>38</v>
      </c>
      <c r="X178" s="2" t="n">
        <v>38</v>
      </c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>
        <f>IF(F178=1,V178*2,IF(F178=2,V178*F178*2,IF(F178&gt;2,F178*2*V178)))</f>
        <v/>
      </c>
      <c r="AW178" s="2">
        <f>SUM(W178:AU178)</f>
        <v/>
      </c>
    </row>
    <row r="179">
      <c r="A179" s="2" t="inlineStr">
        <is>
          <t>A14-DB-N248</t>
        </is>
      </c>
      <c r="B179" s="3" t="inlineStr">
        <is>
          <t>DOJC-SM-LC/PC-LC/PC</t>
        </is>
      </c>
      <c r="C179" s="2" t="inlineStr">
        <is>
          <t>908041000, 4M, B3, 3.0mm</t>
        </is>
      </c>
      <c r="D179" s="2" t="inlineStr">
        <is>
          <t>b3</t>
        </is>
      </c>
      <c r="E179" s="2" t="inlineStr">
        <is>
          <t>3.0mm</t>
        </is>
      </c>
      <c r="F179" s="2" t="n">
        <v>2</v>
      </c>
      <c r="G179" s="2" t="n">
        <v>4</v>
      </c>
      <c r="H179" s="2" t="inlineStr">
        <is>
          <t>LC/PC</t>
        </is>
      </c>
      <c r="I179" s="2" t="inlineStr">
        <is>
          <t>LC/PC</t>
        </is>
      </c>
      <c r="J179" s="2" t="n">
        <v>15</v>
      </c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>
        <f>SUM(J179:U179)</f>
        <v/>
      </c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>
        <v>30</v>
      </c>
      <c r="AK179" s="2" t="n">
        <v>30</v>
      </c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>
        <f>IF(F179=1,V179*2,IF(F179=2,V179*F179*2,IF(F179&gt;2,F179*2*V179)))</f>
        <v/>
      </c>
      <c r="AW179" s="2">
        <f>SUM(W179:AU179)</f>
        <v/>
      </c>
    </row>
    <row r="180">
      <c r="A180" s="2" t="inlineStr">
        <is>
          <t>A14-DB-N249</t>
        </is>
      </c>
      <c r="B180" s="3" t="inlineStr">
        <is>
          <t>DOJC-SM-LC/PC-LC/PC</t>
        </is>
      </c>
      <c r="C180" s="2" t="inlineStr">
        <is>
          <t>50M, B3, 2.0mm</t>
        </is>
      </c>
      <c r="D180" s="2" t="inlineStr">
        <is>
          <t>b3</t>
        </is>
      </c>
      <c r="E180" s="2" t="inlineStr">
        <is>
          <t>2.0mm</t>
        </is>
      </c>
      <c r="F180" s="2" t="n">
        <v>2</v>
      </c>
      <c r="G180" s="2" t="n">
        <v>50</v>
      </c>
      <c r="H180" s="2" t="inlineStr">
        <is>
          <t>LC/PC</t>
        </is>
      </c>
      <c r="I180" s="2" t="inlineStr">
        <is>
          <t>LC/PC</t>
        </is>
      </c>
      <c r="J180" s="2" t="n">
        <v>5</v>
      </c>
      <c r="K180" s="2" t="n"/>
      <c r="L180" s="2" t="n">
        <v>2</v>
      </c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>
        <f>SUM(J180:U180)</f>
        <v/>
      </c>
      <c r="W180" s="2" t="n">
        <v>14</v>
      </c>
      <c r="X180" s="2" t="n">
        <v>14</v>
      </c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>
        <f>IF(F180=1,V180*2,IF(F180=2,V180*F180*2,IF(F180&gt;2,F180*2*V180)))</f>
        <v/>
      </c>
      <c r="AW180" s="2">
        <f>SUM(W180:AU180)</f>
        <v/>
      </c>
    </row>
    <row r="181">
      <c r="A181" s="2" t="inlineStr">
        <is>
          <t>A14-DB-N252</t>
        </is>
      </c>
      <c r="B181" s="3" t="inlineStr">
        <is>
          <t>DOJC-SM-LC/PC-LC/PC</t>
        </is>
      </c>
      <c r="C181" s="2" t="inlineStr">
        <is>
          <t>55M, B3, 2.0mm</t>
        </is>
      </c>
      <c r="D181" s="2" t="inlineStr">
        <is>
          <t>b3</t>
        </is>
      </c>
      <c r="E181" s="2" t="inlineStr">
        <is>
          <t>2.0mm</t>
        </is>
      </c>
      <c r="F181" s="2" t="n">
        <v>2</v>
      </c>
      <c r="G181" s="2" t="n">
        <v>55</v>
      </c>
      <c r="H181" s="2" t="inlineStr">
        <is>
          <t>LC/PC</t>
        </is>
      </c>
      <c r="I181" s="2" t="inlineStr">
        <is>
          <t>LC/PC</t>
        </is>
      </c>
      <c r="J181" s="2" t="n"/>
      <c r="K181" s="2" t="n">
        <v>2</v>
      </c>
      <c r="L181" s="2" t="n">
        <v>9</v>
      </c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>
        <f>SUM(J181:U181)</f>
        <v/>
      </c>
      <c r="W181" s="2" t="n">
        <v>22</v>
      </c>
      <c r="X181" s="2" t="n">
        <v>22</v>
      </c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>
        <f>IF(F181=1,V181*2,IF(F181=2,V181*F181*2,IF(F181&gt;2,F181*2*V181)))</f>
        <v/>
      </c>
      <c r="AW181" s="2">
        <f>SUM(W181:AU181)</f>
        <v/>
      </c>
    </row>
    <row r="182">
      <c r="A182" s="2" t="inlineStr">
        <is>
          <t>A14-DB-N254</t>
        </is>
      </c>
      <c r="B182" s="3" t="inlineStr">
        <is>
          <t>DOJC-SM-LC/PC-LC/PC</t>
        </is>
      </c>
      <c r="C182" s="2" t="inlineStr">
        <is>
          <t>60M, B3, 2.0mm</t>
        </is>
      </c>
      <c r="D182" s="2" t="inlineStr">
        <is>
          <t>b3</t>
        </is>
      </c>
      <c r="E182" s="2" t="inlineStr">
        <is>
          <t>2.0mm</t>
        </is>
      </c>
      <c r="F182" s="2" t="n">
        <v>2</v>
      </c>
      <c r="G182" s="2" t="n">
        <v>60</v>
      </c>
      <c r="H182" s="2" t="inlineStr">
        <is>
          <t>LC/PC</t>
        </is>
      </c>
      <c r="I182" s="2" t="inlineStr">
        <is>
          <t>LC/PC</t>
        </is>
      </c>
      <c r="J182" s="2" t="n"/>
      <c r="K182" s="2" t="n">
        <v>2</v>
      </c>
      <c r="L182" s="2" t="n">
        <v>5</v>
      </c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>
        <f>SUM(J182:U182)</f>
        <v/>
      </c>
      <c r="W182" s="2" t="n">
        <v>14</v>
      </c>
      <c r="X182" s="2" t="n">
        <v>14</v>
      </c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>
        <f>IF(F182=1,V182*2,IF(F182=2,V182*F182*2,IF(F182&gt;2,F182*2*V182)))</f>
        <v/>
      </c>
      <c r="AW182" s="2">
        <f>SUM(W182:AU182)</f>
        <v/>
      </c>
    </row>
    <row r="183">
      <c r="A183" s="2" t="inlineStr">
        <is>
          <t>A14-DB-N256</t>
        </is>
      </c>
      <c r="B183" s="3" t="inlineStr">
        <is>
          <t>DOJC-SM-LC/PC-LC/PC</t>
        </is>
      </c>
      <c r="C183" s="2" t="inlineStr">
        <is>
          <t>908041002, 6M, B3, 2.0mm</t>
        </is>
      </c>
      <c r="D183" s="2" t="inlineStr">
        <is>
          <t>b3</t>
        </is>
      </c>
      <c r="E183" s="2" t="inlineStr">
        <is>
          <t>2.0mm</t>
        </is>
      </c>
      <c r="F183" s="2" t="n">
        <v>2</v>
      </c>
      <c r="G183" s="2" t="n">
        <v>6</v>
      </c>
      <c r="H183" s="2" t="inlineStr">
        <is>
          <t>LC/PC</t>
        </is>
      </c>
      <c r="I183" s="2" t="inlineStr">
        <is>
          <t>LC/PC</t>
        </is>
      </c>
      <c r="J183" s="2" t="n">
        <v>10</v>
      </c>
      <c r="K183" s="2" t="n"/>
      <c r="L183" s="2" t="n">
        <v>1520</v>
      </c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>
        <f>SUM(J183:U183)</f>
        <v/>
      </c>
      <c r="W183" s="2" t="n">
        <v>3060</v>
      </c>
      <c r="X183" s="2" t="n">
        <v>3060</v>
      </c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>
        <f>IF(F183=1,V183*2,IF(F183=2,V183*F183*2,IF(F183&gt;2,F183*2*V183)))</f>
        <v/>
      </c>
      <c r="AW183" s="2">
        <f>SUM(W183:AU183)</f>
        <v/>
      </c>
    </row>
    <row r="184">
      <c r="A184" s="2" t="inlineStr">
        <is>
          <t>A14-DB-N260</t>
        </is>
      </c>
      <c r="B184" s="3" t="inlineStr">
        <is>
          <t>DOJC-SM-LC/PC-LC/PC</t>
        </is>
      </c>
      <c r="C184" s="2" t="inlineStr">
        <is>
          <t>908041004, 8M, B3, 2.0mm</t>
        </is>
      </c>
      <c r="D184" s="2" t="inlineStr">
        <is>
          <t>b3</t>
        </is>
      </c>
      <c r="E184" s="2" t="inlineStr">
        <is>
          <t>2.0mm</t>
        </is>
      </c>
      <c r="F184" s="2" t="n">
        <v>2</v>
      </c>
      <c r="G184" s="2" t="n">
        <v>8</v>
      </c>
      <c r="H184" s="2" t="inlineStr">
        <is>
          <t>LC/PC</t>
        </is>
      </c>
      <c r="I184" s="2" t="inlineStr">
        <is>
          <t>LC/PC</t>
        </is>
      </c>
      <c r="J184" s="2" t="n">
        <v>10</v>
      </c>
      <c r="K184" s="2" t="n">
        <v>10</v>
      </c>
      <c r="L184" s="2" t="n">
        <v>55</v>
      </c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>
        <f>SUM(J184:U184)</f>
        <v/>
      </c>
      <c r="W184" s="2" t="n">
        <v>150</v>
      </c>
      <c r="X184" s="2" t="n">
        <v>150</v>
      </c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>
        <f>IF(F184=1,V184*2,IF(F184=2,V184*F184*2,IF(F184&gt;2,F184*2*V184)))</f>
        <v/>
      </c>
      <c r="AW184" s="2">
        <f>SUM(W184:AU184)</f>
        <v/>
      </c>
    </row>
    <row r="185">
      <c r="A185" s="2" t="inlineStr">
        <is>
          <t>A14-DB-N267</t>
        </is>
      </c>
      <c r="B185" s="3" t="inlineStr">
        <is>
          <t>DOJC-SM-LC/PC-SC/APC</t>
        </is>
      </c>
      <c r="C185" s="2" t="inlineStr">
        <is>
          <t>908040908, 1M, B3, 3.0mm</t>
        </is>
      </c>
      <c r="D185" s="2" t="inlineStr">
        <is>
          <t>b3</t>
        </is>
      </c>
      <c r="E185" s="2" t="inlineStr">
        <is>
          <t>3.0mm</t>
        </is>
      </c>
      <c r="F185" s="2" t="n">
        <v>2</v>
      </c>
      <c r="G185" s="2" t="n">
        <v>1</v>
      </c>
      <c r="H185" s="2" t="inlineStr">
        <is>
          <t>LC/PC</t>
        </is>
      </c>
      <c r="I185" s="2" t="inlineStr">
        <is>
          <t>SC/APC</t>
        </is>
      </c>
      <c r="J185" s="2" t="n"/>
      <c r="K185" s="2" t="n">
        <v>5</v>
      </c>
      <c r="L185" s="2" t="n">
        <v>45</v>
      </c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>
        <f>SUM(J185:U185)</f>
        <v/>
      </c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>
        <v>100</v>
      </c>
      <c r="AK185" s="2" t="n"/>
      <c r="AL185" s="2" t="n"/>
      <c r="AM185" s="2" t="n"/>
      <c r="AN185" s="2" t="n"/>
      <c r="AO185" s="2" t="n"/>
      <c r="AP185" s="2" t="n"/>
      <c r="AQ185" s="2" t="n">
        <v>100</v>
      </c>
      <c r="AR185" s="2" t="n"/>
      <c r="AS185" s="2" t="n"/>
      <c r="AT185" s="2" t="n"/>
      <c r="AU185" s="2" t="n"/>
      <c r="AV185" s="2">
        <f>IF(F185=1,V185*2,IF(F185=2,V185*F185*2,IF(F185&gt;2,F185*2*V185)))</f>
        <v/>
      </c>
      <c r="AW185" s="2">
        <f>SUM(W185:AU185)</f>
        <v/>
      </c>
    </row>
    <row r="186">
      <c r="A186" s="2" t="inlineStr">
        <is>
          <t>A14-DB-N271</t>
        </is>
      </c>
      <c r="B186" s="3" t="inlineStr">
        <is>
          <t>DOJC-SM-LC/PC-SC/APC</t>
        </is>
      </c>
      <c r="C186" s="2" t="inlineStr">
        <is>
          <t>908040909, 2M, B3, 3.0mm</t>
        </is>
      </c>
      <c r="D186" s="2" t="inlineStr">
        <is>
          <t>b3</t>
        </is>
      </c>
      <c r="E186" s="2" t="inlineStr">
        <is>
          <t>3.0mm</t>
        </is>
      </c>
      <c r="F186" s="2" t="n">
        <v>2</v>
      </c>
      <c r="G186" s="2" t="n">
        <v>2</v>
      </c>
      <c r="H186" s="2" t="inlineStr">
        <is>
          <t>LC/PC</t>
        </is>
      </c>
      <c r="I186" s="2" t="inlineStr">
        <is>
          <t>SC/APC</t>
        </is>
      </c>
      <c r="J186" s="2" t="n"/>
      <c r="K186" s="2" t="n">
        <v>110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>
        <f>SUM(J186:U186)</f>
        <v/>
      </c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>
        <v>220</v>
      </c>
      <c r="AK186" s="2" t="n"/>
      <c r="AL186" s="2" t="n"/>
      <c r="AM186" s="2" t="n"/>
      <c r="AN186" s="2" t="n"/>
      <c r="AO186" s="2" t="n"/>
      <c r="AP186" s="2" t="n"/>
      <c r="AQ186" s="2" t="n">
        <v>220</v>
      </c>
      <c r="AR186" s="2" t="n"/>
      <c r="AS186" s="2" t="n"/>
      <c r="AT186" s="2" t="n"/>
      <c r="AU186" s="2" t="n"/>
      <c r="AV186" s="2">
        <f>IF(F186=1,V186*2,IF(F186=2,V186*F186*2,IF(F186&gt;2,F186*2*V186)))</f>
        <v/>
      </c>
      <c r="AW186" s="2">
        <f>SUM(W186:AU186)</f>
        <v/>
      </c>
    </row>
    <row r="187">
      <c r="A187" s="2" t="inlineStr">
        <is>
          <t>A14-DB-N272</t>
        </is>
      </c>
      <c r="B187" s="3" t="inlineStr">
        <is>
          <t>DOJC-SM-LC/PC-SC/APC</t>
        </is>
      </c>
      <c r="C187" s="2" t="inlineStr">
        <is>
          <t>908040936, 30M, B3, 2.0mm</t>
        </is>
      </c>
      <c r="D187" s="2" t="inlineStr">
        <is>
          <t>b3</t>
        </is>
      </c>
      <c r="E187" s="2" t="inlineStr">
        <is>
          <t>2.0mm</t>
        </is>
      </c>
      <c r="F187" s="2" t="n">
        <v>2</v>
      </c>
      <c r="G187" s="2" t="n">
        <v>30</v>
      </c>
      <c r="H187" s="2" t="inlineStr">
        <is>
          <t>LC/PC</t>
        </is>
      </c>
      <c r="I187" s="2" t="inlineStr">
        <is>
          <t>SC/APC</t>
        </is>
      </c>
      <c r="J187" s="2" t="n">
        <v>1</v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>
        <f>SUM(J187:U187)</f>
        <v/>
      </c>
      <c r="W187" s="2" t="n">
        <v>2</v>
      </c>
      <c r="X187" s="2" t="n"/>
      <c r="Y187" s="2" t="n"/>
      <c r="Z187" s="2" t="n"/>
      <c r="AA187" s="2" t="n"/>
      <c r="AB187" s="2" t="n"/>
      <c r="AC187" s="2" t="n"/>
      <c r="AD187" s="2" t="n">
        <v>2</v>
      </c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>
        <f>IF(F187=1,V187*2,IF(F187=2,V187*F187*2,IF(F187&gt;2,F187*2*V187)))</f>
        <v/>
      </c>
      <c r="AW187" s="2">
        <f>SUM(W187:AU187)</f>
        <v/>
      </c>
    </row>
    <row r="188">
      <c r="A188" s="2" t="inlineStr">
        <is>
          <t>A14-DB-N286</t>
        </is>
      </c>
      <c r="B188" s="3" t="inlineStr">
        <is>
          <t>DOJC-SM-LC/PC-SC/PC</t>
        </is>
      </c>
      <c r="C188" s="2" t="inlineStr">
        <is>
          <t>908040870, 12M, B3, 2.0mm</t>
        </is>
      </c>
      <c r="D188" s="2" t="inlineStr">
        <is>
          <t>b3</t>
        </is>
      </c>
      <c r="E188" s="2" t="inlineStr">
        <is>
          <t>2.0mm</t>
        </is>
      </c>
      <c r="F188" s="2" t="n">
        <v>2</v>
      </c>
      <c r="G188" s="2" t="n">
        <v>12</v>
      </c>
      <c r="H188" s="2" t="inlineStr">
        <is>
          <t>LC/PC</t>
        </is>
      </c>
      <c r="I188" s="2" t="inlineStr">
        <is>
          <t>SC/PC</t>
        </is>
      </c>
      <c r="J188" s="2" t="n"/>
      <c r="K188" s="2" t="n">
        <v>10</v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>
        <f>SUM(J188:U188)</f>
        <v/>
      </c>
      <c r="W188" s="2" t="n">
        <v>20</v>
      </c>
      <c r="X188" s="2" t="n"/>
      <c r="Y188" s="2" t="n"/>
      <c r="Z188" s="2" t="n"/>
      <c r="AA188" s="2" t="n"/>
      <c r="AB188" s="2" t="n">
        <v>20</v>
      </c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>
        <f>IF(F188=1,V188*2,IF(F188=2,V188*F188*2,IF(F188&gt;2,F188*2*V188)))</f>
        <v/>
      </c>
      <c r="AW188" s="2">
        <f>SUM(W188:AU188)</f>
        <v/>
      </c>
    </row>
    <row r="189">
      <c r="A189" s="2" t="inlineStr">
        <is>
          <t>A14-DB-N300</t>
        </is>
      </c>
      <c r="B189" s="3" t="inlineStr">
        <is>
          <t>DOJC-SM-LC/PC-SC/PC</t>
        </is>
      </c>
      <c r="C189" s="2" t="inlineStr">
        <is>
          <t>908040883, 25M, B3, 2.0mm</t>
        </is>
      </c>
      <c r="D189" s="2" t="inlineStr">
        <is>
          <t>b3</t>
        </is>
      </c>
      <c r="E189" s="2" t="inlineStr">
        <is>
          <t>2.0mm</t>
        </is>
      </c>
      <c r="F189" s="2" t="n">
        <v>2</v>
      </c>
      <c r="G189" s="2" t="n">
        <v>25</v>
      </c>
      <c r="H189" s="2" t="inlineStr">
        <is>
          <t>LC/PC</t>
        </is>
      </c>
      <c r="I189" s="2" t="inlineStr">
        <is>
          <t>SC/PC</t>
        </is>
      </c>
      <c r="J189" s="2" t="n">
        <v>5</v>
      </c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>
        <f>SUM(J189:U189)</f>
        <v/>
      </c>
      <c r="W189" s="2" t="n">
        <v>10</v>
      </c>
      <c r="X189" s="2" t="n"/>
      <c r="Y189" s="2" t="n"/>
      <c r="Z189" s="2" t="n"/>
      <c r="AA189" s="2" t="n"/>
      <c r="AB189" s="2" t="n">
        <v>10</v>
      </c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>
        <f>IF(F189=1,V189*2,IF(F189=2,V189*F189*2,IF(F189&gt;2,F189*2*V189)))</f>
        <v/>
      </c>
      <c r="AW189" s="2">
        <f>SUM(W189:AU189)</f>
        <v/>
      </c>
    </row>
    <row r="190">
      <c r="A190" s="2" t="inlineStr">
        <is>
          <t>A14-DB-N304</t>
        </is>
      </c>
      <c r="B190" s="3" t="inlineStr">
        <is>
          <t>DOJC-SM-LC/PC-SC/PC</t>
        </is>
      </c>
      <c r="C190" s="2" t="inlineStr">
        <is>
          <t>908040888, 30M, B3, 2.0mm</t>
        </is>
      </c>
      <c r="D190" s="2" t="inlineStr">
        <is>
          <t>b3</t>
        </is>
      </c>
      <c r="E190" s="2" t="inlineStr">
        <is>
          <t>2.0mm</t>
        </is>
      </c>
      <c r="F190" s="2" t="n">
        <v>2</v>
      </c>
      <c r="G190" s="2" t="n">
        <v>30</v>
      </c>
      <c r="H190" s="2" t="inlineStr">
        <is>
          <t>LC/PC</t>
        </is>
      </c>
      <c r="I190" s="2" t="inlineStr">
        <is>
          <t>SC/PC</t>
        </is>
      </c>
      <c r="J190" s="2" t="n">
        <v>35</v>
      </c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>
        <f>SUM(J190:U190)</f>
        <v/>
      </c>
      <c r="W190" s="2" t="n">
        <v>70</v>
      </c>
      <c r="X190" s="2" t="n"/>
      <c r="Y190" s="2" t="n"/>
      <c r="Z190" s="2" t="n"/>
      <c r="AA190" s="2" t="n"/>
      <c r="AB190" s="2" t="n">
        <v>70</v>
      </c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>
        <f>IF(F190=1,V190*2,IF(F190=2,V190*F190*2,IF(F190&gt;2,F190*2*V190)))</f>
        <v/>
      </c>
      <c r="AW190" s="2">
        <f>SUM(W190:AU190)</f>
        <v/>
      </c>
    </row>
    <row r="191">
      <c r="A191" s="2" t="inlineStr">
        <is>
          <t>A14-DB-N308</t>
        </is>
      </c>
      <c r="B191" s="3" t="inlineStr">
        <is>
          <t>DOJC-SM-LC/PC-SC/PC</t>
        </is>
      </c>
      <c r="C191" s="2" t="inlineStr">
        <is>
          <t>920000729, 40M, B3, 2.0mm</t>
        </is>
      </c>
      <c r="D191" s="2" t="inlineStr">
        <is>
          <t>b3</t>
        </is>
      </c>
      <c r="E191" s="2" t="inlineStr">
        <is>
          <t>2.0mm</t>
        </is>
      </c>
      <c r="F191" s="2" t="n">
        <v>2</v>
      </c>
      <c r="G191" s="2" t="n">
        <v>40</v>
      </c>
      <c r="H191" s="2" t="inlineStr">
        <is>
          <t>LC/PC</t>
        </is>
      </c>
      <c r="I191" s="2" t="inlineStr">
        <is>
          <t>SC/PC</t>
        </is>
      </c>
      <c r="J191" s="2" t="n"/>
      <c r="K191" s="2" t="n"/>
      <c r="L191" s="2" t="n">
        <v>2</v>
      </c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>
        <f>SUM(J191:U191)</f>
        <v/>
      </c>
      <c r="W191" s="2" t="n">
        <v>4</v>
      </c>
      <c r="X191" s="2" t="n"/>
      <c r="Y191" s="2" t="n"/>
      <c r="Z191" s="2" t="n"/>
      <c r="AA191" s="2" t="n"/>
      <c r="AB191" s="2" t="n">
        <v>4</v>
      </c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>
        <f>IF(F191=1,V191*2,IF(F191=2,V191*F191*2,IF(F191&gt;2,F191*2*V191)))</f>
        <v/>
      </c>
      <c r="AW191" s="2">
        <f>SUM(W191:AU191)</f>
        <v/>
      </c>
    </row>
    <row r="192">
      <c r="A192" s="2" t="inlineStr">
        <is>
          <t>A14-DB-N310</t>
        </is>
      </c>
      <c r="B192" s="3" t="inlineStr">
        <is>
          <t>DOJC-SM-LC/PC-SC/PC</t>
        </is>
      </c>
      <c r="C192" s="2" t="inlineStr">
        <is>
          <t>908040862, 4M, B3, 3.0mm</t>
        </is>
      </c>
      <c r="D192" s="2" t="inlineStr">
        <is>
          <t>b3</t>
        </is>
      </c>
      <c r="E192" s="2" t="inlineStr">
        <is>
          <t>3.0mm</t>
        </is>
      </c>
      <c r="F192" s="2" t="n">
        <v>2</v>
      </c>
      <c r="G192" s="2" t="n">
        <v>4</v>
      </c>
      <c r="H192" s="2" t="inlineStr">
        <is>
          <t>LC/PC</t>
        </is>
      </c>
      <c r="I192" s="2" t="inlineStr">
        <is>
          <t>SC/PC</t>
        </is>
      </c>
      <c r="J192" s="2" t="n">
        <v>50</v>
      </c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>
        <f>SUM(J192:U192)</f>
        <v/>
      </c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>
        <v>100</v>
      </c>
      <c r="AK192" s="2" t="n"/>
      <c r="AL192" s="2" t="n"/>
      <c r="AM192" s="2" t="n"/>
      <c r="AN192" s="2" t="n"/>
      <c r="AO192" s="2" t="n">
        <v>100</v>
      </c>
      <c r="AP192" s="2" t="n"/>
      <c r="AQ192" s="2" t="n"/>
      <c r="AR192" s="2" t="n"/>
      <c r="AS192" s="2" t="n"/>
      <c r="AT192" s="2" t="n"/>
      <c r="AU192" s="2" t="n"/>
      <c r="AV192" s="2">
        <f>IF(F192=1,V192*2,IF(F192=2,V192*F192*2,IF(F192&gt;2,F192*2*V192)))</f>
        <v/>
      </c>
      <c r="AW192" s="2">
        <f>SUM(W192:AU192)</f>
        <v/>
      </c>
    </row>
    <row r="193">
      <c r="A193" s="2" t="inlineStr">
        <is>
          <t>A14-DB-N311</t>
        </is>
      </c>
      <c r="B193" s="3" t="inlineStr">
        <is>
          <t>DOJC-SM-LC/PC-SC/PC</t>
        </is>
      </c>
      <c r="C193" s="2" t="inlineStr">
        <is>
          <t>50M, B3, 2.0mm</t>
        </is>
      </c>
      <c r="D193" s="2" t="inlineStr">
        <is>
          <t>b3</t>
        </is>
      </c>
      <c r="E193" s="2" t="inlineStr">
        <is>
          <t>2.0mm</t>
        </is>
      </c>
      <c r="F193" s="2" t="n">
        <v>2</v>
      </c>
      <c r="G193" s="2" t="n">
        <v>50</v>
      </c>
      <c r="H193" s="2" t="inlineStr">
        <is>
          <t>LC/PC</t>
        </is>
      </c>
      <c r="I193" s="2" t="inlineStr">
        <is>
          <t>SC/PC</t>
        </is>
      </c>
      <c r="J193" s="2" t="n"/>
      <c r="K193" s="2" t="n">
        <v>3</v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>
        <f>SUM(J193:U193)</f>
        <v/>
      </c>
      <c r="W193" s="2" t="n">
        <v>6</v>
      </c>
      <c r="X193" s="2" t="n"/>
      <c r="Y193" s="2" t="n"/>
      <c r="Z193" s="2" t="n"/>
      <c r="AA193" s="2" t="n"/>
      <c r="AB193" s="2" t="n">
        <v>6</v>
      </c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>
        <f>IF(F193=1,V193*2,IF(F193=2,V193*F193*2,IF(F193&gt;2,F193*2*V193)))</f>
        <v/>
      </c>
      <c r="AW193" s="2">
        <f>SUM(W193:AU193)</f>
        <v/>
      </c>
    </row>
    <row r="194">
      <c r="A194" s="2" t="inlineStr">
        <is>
          <t>A14-DB-N312</t>
        </is>
      </c>
      <c r="B194" s="3" t="inlineStr">
        <is>
          <t>DOJC-SM-LC/PC-SC/PC</t>
        </is>
      </c>
      <c r="C194" s="2" t="inlineStr">
        <is>
          <t>55M, B3, 2.0mm</t>
        </is>
      </c>
      <c r="D194" s="2" t="inlineStr">
        <is>
          <t>b3</t>
        </is>
      </c>
      <c r="E194" s="2" t="inlineStr">
        <is>
          <t>2.0mm</t>
        </is>
      </c>
      <c r="F194" s="2" t="n">
        <v>2</v>
      </c>
      <c r="G194" s="2" t="n">
        <v>55</v>
      </c>
      <c r="H194" s="2" t="inlineStr">
        <is>
          <t>LC/PC</t>
        </is>
      </c>
      <c r="I194" s="2" t="inlineStr">
        <is>
          <t>SC/PC</t>
        </is>
      </c>
      <c r="J194" s="2" t="n">
        <v>2</v>
      </c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>
        <f>SUM(J194:U194)</f>
        <v/>
      </c>
      <c r="W194" s="2" t="n">
        <v>4</v>
      </c>
      <c r="X194" s="2" t="n"/>
      <c r="Y194" s="2" t="n"/>
      <c r="Z194" s="2" t="n"/>
      <c r="AA194" s="2" t="n"/>
      <c r="AB194" s="2" t="n">
        <v>4</v>
      </c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>
        <f>IF(F194=1,V194*2,IF(F194=2,V194*F194*2,IF(F194&gt;2,F194*2*V194)))</f>
        <v/>
      </c>
      <c r="AW194" s="2">
        <f>SUM(W194:AU194)</f>
        <v/>
      </c>
    </row>
    <row r="195">
      <c r="A195" s="2" t="inlineStr">
        <is>
          <t>A14-DB-N318</t>
        </is>
      </c>
      <c r="B195" s="3" t="inlineStr">
        <is>
          <t>DOJC-SM-LC/PC-SC/PC</t>
        </is>
      </c>
      <c r="C195" s="2" t="inlineStr">
        <is>
          <t>908040865, 7M, B3, 2.0mm</t>
        </is>
      </c>
      <c r="D195" s="2" t="inlineStr">
        <is>
          <t>b3</t>
        </is>
      </c>
      <c r="E195" s="2" t="inlineStr">
        <is>
          <t>2.0mm</t>
        </is>
      </c>
      <c r="F195" s="2" t="n">
        <v>2</v>
      </c>
      <c r="G195" s="2" t="n">
        <v>7</v>
      </c>
      <c r="H195" s="2" t="inlineStr">
        <is>
          <t>LC/PC</t>
        </is>
      </c>
      <c r="I195" s="2" t="inlineStr">
        <is>
          <t>SC/PC</t>
        </is>
      </c>
      <c r="J195" s="2" t="n"/>
      <c r="K195" s="2" t="n"/>
      <c r="L195" s="2" t="n">
        <v>100</v>
      </c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>
        <f>SUM(J195:U195)</f>
        <v/>
      </c>
      <c r="W195" s="2" t="n">
        <v>200</v>
      </c>
      <c r="X195" s="2" t="n"/>
      <c r="Y195" s="2" t="n"/>
      <c r="Z195" s="2" t="n"/>
      <c r="AA195" s="2" t="n"/>
      <c r="AB195" s="2" t="n">
        <v>200</v>
      </c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>
        <f>IF(F195=1,V195*2,IF(F195=2,V195*F195*2,IF(F195&gt;2,F195*2*V195)))</f>
        <v/>
      </c>
      <c r="AW195" s="2">
        <f>SUM(W195:AU195)</f>
        <v/>
      </c>
    </row>
    <row r="196">
      <c r="A196" s="2" t="inlineStr">
        <is>
          <t>A14-DB-N320</t>
        </is>
      </c>
      <c r="B196" s="3" t="inlineStr">
        <is>
          <t>DOJC-SM-LC/PC-SC/PC</t>
        </is>
      </c>
      <c r="C196" s="2" t="inlineStr">
        <is>
          <t>908040866, 8M, B3, 2.0mm</t>
        </is>
      </c>
      <c r="D196" s="2" t="inlineStr">
        <is>
          <t>b3</t>
        </is>
      </c>
      <c r="E196" s="2" t="inlineStr">
        <is>
          <t>2.0mm</t>
        </is>
      </c>
      <c r="F196" s="2" t="n">
        <v>2</v>
      </c>
      <c r="G196" s="2" t="n">
        <v>8</v>
      </c>
      <c r="H196" s="2" t="inlineStr">
        <is>
          <t>LC/PC</t>
        </is>
      </c>
      <c r="I196" s="2" t="inlineStr">
        <is>
          <t>SC/PC</t>
        </is>
      </c>
      <c r="J196" s="2" t="n">
        <v>10</v>
      </c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>
        <f>SUM(J196:U196)</f>
        <v/>
      </c>
      <c r="W196" s="2" t="n">
        <v>20</v>
      </c>
      <c r="X196" s="2" t="n"/>
      <c r="Y196" s="2" t="n"/>
      <c r="Z196" s="2" t="n"/>
      <c r="AA196" s="2" t="n"/>
      <c r="AB196" s="2" t="n">
        <v>20</v>
      </c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>
        <f>IF(F196=1,V196*2,IF(F196=2,V196*F196*2,IF(F196&gt;2,F196*2*V196)))</f>
        <v/>
      </c>
      <c r="AW196" s="2">
        <f>SUM(W196:AU196)</f>
        <v/>
      </c>
    </row>
    <row r="197">
      <c r="A197" s="2" t="inlineStr">
        <is>
          <t>A14-DB-N321</t>
        </is>
      </c>
      <c r="B197" s="3" t="inlineStr">
        <is>
          <t>DOJC-SM-LC/PC-SC/PC</t>
        </is>
      </c>
      <c r="C197" s="2" t="inlineStr">
        <is>
          <t>45M, B3, 2.0mm</t>
        </is>
      </c>
      <c r="D197" s="2" t="inlineStr">
        <is>
          <t>b3</t>
        </is>
      </c>
      <c r="E197" s="2" t="inlineStr">
        <is>
          <t>2.0mm</t>
        </is>
      </c>
      <c r="F197" s="2" t="n">
        <v>2</v>
      </c>
      <c r="G197" s="2" t="n">
        <v>45</v>
      </c>
      <c r="H197" s="2" t="inlineStr">
        <is>
          <t>LC/PC</t>
        </is>
      </c>
      <c r="I197" s="2" t="inlineStr">
        <is>
          <t>SC/PC</t>
        </is>
      </c>
      <c r="J197" s="2" t="n"/>
      <c r="K197" s="2" t="n">
        <v>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>
        <f>SUM(J197:U197)</f>
        <v/>
      </c>
      <c r="W197" s="2" t="n">
        <v>10</v>
      </c>
      <c r="X197" s="2" t="n"/>
      <c r="Y197" s="2" t="n"/>
      <c r="Z197" s="2" t="n"/>
      <c r="AA197" s="2" t="n"/>
      <c r="AB197" s="2" t="n">
        <v>10</v>
      </c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>
        <f>IF(F197=1,V197*2,IF(F197=2,V197*F197*2,IF(F197&gt;2,F197*2*V197)))</f>
        <v/>
      </c>
      <c r="AW197" s="2">
        <f>SUM(W197:AU197)</f>
        <v/>
      </c>
    </row>
    <row r="198">
      <c r="A198" s="2" t="inlineStr">
        <is>
          <t>A14-DB-N396</t>
        </is>
      </c>
      <c r="B198" s="3" t="inlineStr">
        <is>
          <t>DOJC-SM-SC/PC-FC/APC</t>
        </is>
      </c>
      <c r="C198" s="2" t="inlineStr">
        <is>
          <t>908040442, 10M, B3, 2.0mm</t>
        </is>
      </c>
      <c r="D198" s="2" t="inlineStr">
        <is>
          <t>b3</t>
        </is>
      </c>
      <c r="E198" s="2" t="inlineStr">
        <is>
          <t>2.0mm</t>
        </is>
      </c>
      <c r="F198" s="2" t="n">
        <v>2</v>
      </c>
      <c r="G198" s="2" t="n">
        <v>10</v>
      </c>
      <c r="H198" s="2" t="inlineStr">
        <is>
          <t>SC/PC</t>
        </is>
      </c>
      <c r="I198" s="2" t="inlineStr">
        <is>
          <t>FC/APC</t>
        </is>
      </c>
      <c r="J198" s="2" t="n">
        <v>20</v>
      </c>
      <c r="K198" s="2" t="n"/>
      <c r="L198" s="2" t="n">
        <v>20</v>
      </c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>
        <f>SUM(J198:U198)</f>
        <v/>
      </c>
      <c r="W198" s="2" t="n"/>
      <c r="X198" s="2" t="n"/>
      <c r="Y198" s="2" t="n"/>
      <c r="Z198" s="2" t="n"/>
      <c r="AA198" s="2" t="n">
        <v>80</v>
      </c>
      <c r="AB198" s="2" t="n"/>
      <c r="AC198" s="2" t="n"/>
      <c r="AD198" s="2" t="n"/>
      <c r="AE198" s="2" t="n"/>
      <c r="AF198" s="2" t="n"/>
      <c r="AG198" s="2" t="n"/>
      <c r="AH198" s="2" t="n">
        <v>80</v>
      </c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>
        <f>IF(F198=1,V198*2,IF(F198=2,V198*F198*2,IF(F198&gt;2,F198*2*V198)))</f>
        <v/>
      </c>
      <c r="AW198" s="2">
        <f>SUM(W198:AU198)</f>
        <v/>
      </c>
    </row>
    <row r="199">
      <c r="A199" s="2" t="inlineStr">
        <is>
          <t>A14-DB-N398</t>
        </is>
      </c>
      <c r="B199" s="3" t="inlineStr">
        <is>
          <t>DOJC-SM-SC/PC-FC/APC</t>
        </is>
      </c>
      <c r="C199" s="2" t="inlineStr">
        <is>
          <t>12M, B3, 2.0mm</t>
        </is>
      </c>
      <c r="D199" s="2" t="inlineStr">
        <is>
          <t>b3</t>
        </is>
      </c>
      <c r="E199" s="2" t="inlineStr">
        <is>
          <t>2.0mm</t>
        </is>
      </c>
      <c r="F199" s="2" t="n">
        <v>2</v>
      </c>
      <c r="G199" s="2" t="n">
        <v>12</v>
      </c>
      <c r="H199" s="2" t="inlineStr">
        <is>
          <t>SC/PC</t>
        </is>
      </c>
      <c r="I199" s="2" t="inlineStr">
        <is>
          <t>FC/APC</t>
        </is>
      </c>
      <c r="J199" s="2" t="n"/>
      <c r="K199" s="2" t="n">
        <v>30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>
        <f>SUM(J199:U199)</f>
        <v/>
      </c>
      <c r="W199" s="2" t="n"/>
      <c r="X199" s="2" t="n"/>
      <c r="Y199" s="2" t="n"/>
      <c r="Z199" s="2" t="n"/>
      <c r="AA199" s="2" t="n">
        <v>60</v>
      </c>
      <c r="AB199" s="2" t="n"/>
      <c r="AC199" s="2" t="n"/>
      <c r="AD199" s="2" t="n"/>
      <c r="AE199" s="2" t="n"/>
      <c r="AF199" s="2" t="n"/>
      <c r="AG199" s="2" t="n"/>
      <c r="AH199" s="2" t="n">
        <v>60</v>
      </c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>
        <f>IF(F199=1,V199*2,IF(F199=2,V199*F199*2,IF(F199&gt;2,F199*2*V199)))</f>
        <v/>
      </c>
      <c r="AW199" s="2">
        <f>SUM(W199:AU199)</f>
        <v/>
      </c>
    </row>
    <row r="200">
      <c r="A200" s="2" t="inlineStr">
        <is>
          <t>A14-DB-N400</t>
        </is>
      </c>
      <c r="B200" s="3" t="inlineStr">
        <is>
          <t>DOJC-SM-SC/PC-FC/APC</t>
        </is>
      </c>
      <c r="C200" s="2" t="inlineStr">
        <is>
          <t>908040447, 15M, B3, 2.0mm</t>
        </is>
      </c>
      <c r="D200" s="2" t="inlineStr">
        <is>
          <t>b3</t>
        </is>
      </c>
      <c r="E200" s="2" t="inlineStr">
        <is>
          <t>2.0mm</t>
        </is>
      </c>
      <c r="F200" s="2" t="n">
        <v>2</v>
      </c>
      <c r="G200" s="2" t="n">
        <v>15</v>
      </c>
      <c r="H200" s="2" t="inlineStr">
        <is>
          <t>SC/PC</t>
        </is>
      </c>
      <c r="I200" s="2" t="inlineStr">
        <is>
          <t>FC/APC</t>
        </is>
      </c>
      <c r="J200" s="2" t="n">
        <v>151</v>
      </c>
      <c r="K200" s="2" t="n"/>
      <c r="L200" s="2" t="n">
        <v>31</v>
      </c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>
        <f>SUM(J200:U200)</f>
        <v/>
      </c>
      <c r="W200" s="2" t="n"/>
      <c r="X200" s="2" t="n"/>
      <c r="Y200" s="2" t="n"/>
      <c r="Z200" s="2" t="n"/>
      <c r="AA200" s="2" t="n">
        <v>364</v>
      </c>
      <c r="AB200" s="2" t="n"/>
      <c r="AC200" s="2" t="n"/>
      <c r="AD200" s="2" t="n"/>
      <c r="AE200" s="2" t="n"/>
      <c r="AF200" s="2" t="n"/>
      <c r="AG200" s="2" t="n"/>
      <c r="AH200" s="2" t="n">
        <v>364</v>
      </c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>
        <f>IF(F200=1,V200*2,IF(F200=2,V200*F200*2,IF(F200&gt;2,F200*2*V200)))</f>
        <v/>
      </c>
      <c r="AW200" s="2">
        <f>SUM(W200:AU200)</f>
        <v/>
      </c>
    </row>
    <row r="201">
      <c r="A201" s="2" t="inlineStr">
        <is>
          <t>A14-DB-N404</t>
        </is>
      </c>
      <c r="B201" s="3" t="inlineStr">
        <is>
          <t>DOJC-SM-SC/PC-FC/APC</t>
        </is>
      </c>
      <c r="C201" s="2" t="inlineStr">
        <is>
          <t>908040452, 20M, B3, 2.0mm</t>
        </is>
      </c>
      <c r="D201" s="2" t="inlineStr">
        <is>
          <t>b3</t>
        </is>
      </c>
      <c r="E201" s="2" t="inlineStr">
        <is>
          <t>2.0mm</t>
        </is>
      </c>
      <c r="F201" s="2" t="n">
        <v>2</v>
      </c>
      <c r="G201" s="2" t="n">
        <v>20</v>
      </c>
      <c r="H201" s="2" t="inlineStr">
        <is>
          <t>SC/PC</t>
        </is>
      </c>
      <c r="I201" s="2" t="inlineStr">
        <is>
          <t>FC/APC</t>
        </is>
      </c>
      <c r="J201" s="2" t="n">
        <v>72</v>
      </c>
      <c r="K201" s="2" t="n"/>
      <c r="L201" s="2" t="n">
        <v>76</v>
      </c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>
        <f>SUM(J201:U201)</f>
        <v/>
      </c>
      <c r="W201" s="2" t="n"/>
      <c r="X201" s="2" t="n"/>
      <c r="Y201" s="2" t="n"/>
      <c r="Z201" s="2" t="n"/>
      <c r="AA201" s="2" t="n">
        <v>296</v>
      </c>
      <c r="AB201" s="2" t="n"/>
      <c r="AC201" s="2" t="n"/>
      <c r="AD201" s="2" t="n"/>
      <c r="AE201" s="2" t="n"/>
      <c r="AF201" s="2" t="n"/>
      <c r="AG201" s="2" t="n"/>
      <c r="AH201" s="2" t="n">
        <v>296</v>
      </c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>
        <f>IF(F201=1,V201*2,IF(F201=2,V201*F201*2,IF(F201&gt;2,F201*2*V201)))</f>
        <v/>
      </c>
      <c r="AW201" s="2">
        <f>SUM(W201:AU201)</f>
        <v/>
      </c>
    </row>
    <row r="202">
      <c r="A202" s="2" t="inlineStr">
        <is>
          <t>A14-DB-N409</t>
        </is>
      </c>
      <c r="B202" s="3" t="inlineStr">
        <is>
          <t>DOJC-SM-SC/PC-FC/APC</t>
        </is>
      </c>
      <c r="C202" s="2" t="inlineStr">
        <is>
          <t>908040462, 30M, B3, 2.0mm</t>
        </is>
      </c>
      <c r="D202" s="2" t="inlineStr">
        <is>
          <t>b3</t>
        </is>
      </c>
      <c r="E202" s="2" t="inlineStr">
        <is>
          <t>2.0mm</t>
        </is>
      </c>
      <c r="F202" s="2" t="n">
        <v>2</v>
      </c>
      <c r="G202" s="2" t="n">
        <v>30</v>
      </c>
      <c r="H202" s="2" t="inlineStr">
        <is>
          <t>SC/PC</t>
        </is>
      </c>
      <c r="I202" s="2" t="inlineStr">
        <is>
          <t>FC/APC</t>
        </is>
      </c>
      <c r="J202" s="2" t="n">
        <v>20</v>
      </c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>
        <f>SUM(J202:U202)</f>
        <v/>
      </c>
      <c r="W202" s="2" t="n"/>
      <c r="X202" s="2" t="n"/>
      <c r="Y202" s="2" t="n"/>
      <c r="Z202" s="2" t="n"/>
      <c r="AA202" s="2" t="n">
        <v>40</v>
      </c>
      <c r="AB202" s="2" t="n"/>
      <c r="AC202" s="2" t="n"/>
      <c r="AD202" s="2" t="n"/>
      <c r="AE202" s="2" t="n"/>
      <c r="AF202" s="2" t="n"/>
      <c r="AG202" s="2" t="n"/>
      <c r="AH202" s="2" t="n">
        <v>40</v>
      </c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>
        <f>IF(F202=1,V202*2,IF(F202=2,V202*F202*2,IF(F202&gt;2,F202*2*V202)))</f>
        <v/>
      </c>
      <c r="AW202" s="2">
        <f>SUM(W202:AU202)</f>
        <v/>
      </c>
    </row>
    <row r="203">
      <c r="A203" s="2" t="inlineStr">
        <is>
          <t>A14-DB-N411</t>
        </is>
      </c>
      <c r="B203" s="3" t="inlineStr">
        <is>
          <t>DOJC-SM-SC/PC-FC/APC</t>
        </is>
      </c>
      <c r="C203" s="2" t="inlineStr">
        <is>
          <t>35M, B3, 2.0mm</t>
        </is>
      </c>
      <c r="D203" s="2" t="inlineStr">
        <is>
          <t>b3</t>
        </is>
      </c>
      <c r="E203" s="2" t="inlineStr">
        <is>
          <t>2.0mm</t>
        </is>
      </c>
      <c r="F203" s="2" t="n">
        <v>2</v>
      </c>
      <c r="G203" s="2" t="n">
        <v>35</v>
      </c>
      <c r="H203" s="2" t="inlineStr">
        <is>
          <t>SC/PC</t>
        </is>
      </c>
      <c r="I203" s="2" t="inlineStr">
        <is>
          <t>FC/APC</t>
        </is>
      </c>
      <c r="J203" s="2" t="n"/>
      <c r="K203" s="2" t="n"/>
      <c r="L203" s="2" t="n">
        <v>10</v>
      </c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>
        <f>SUM(J203:U203)</f>
        <v/>
      </c>
      <c r="W203" s="2" t="n"/>
      <c r="X203" s="2" t="n"/>
      <c r="Y203" s="2" t="n"/>
      <c r="Z203" s="2" t="n"/>
      <c r="AA203" s="2" t="n">
        <v>20</v>
      </c>
      <c r="AB203" s="2" t="n"/>
      <c r="AC203" s="2" t="n"/>
      <c r="AD203" s="2" t="n"/>
      <c r="AE203" s="2" t="n"/>
      <c r="AF203" s="2" t="n"/>
      <c r="AG203" s="2" t="n"/>
      <c r="AH203" s="2" t="n">
        <v>20</v>
      </c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>
        <f>IF(F203=1,V203*2,IF(F203=2,V203*F203*2,IF(F203&gt;2,F203*2*V203)))</f>
        <v/>
      </c>
      <c r="AW203" s="2">
        <f>SUM(W203:AU203)</f>
        <v/>
      </c>
    </row>
    <row r="204">
      <c r="A204" s="2" t="inlineStr">
        <is>
          <t>A14-DB-N413</t>
        </is>
      </c>
      <c r="B204" s="3" t="inlineStr">
        <is>
          <t>DOJC-SM-SC/PC-FC/APC</t>
        </is>
      </c>
      <c r="C204" s="2" t="inlineStr">
        <is>
          <t>40M, B3, 2.0mm</t>
        </is>
      </c>
      <c r="D204" s="2" t="inlineStr">
        <is>
          <t>b3</t>
        </is>
      </c>
      <c r="E204" s="2" t="inlineStr">
        <is>
          <t>2.0mm</t>
        </is>
      </c>
      <c r="F204" s="2" t="n">
        <v>2</v>
      </c>
      <c r="G204" s="2" t="n">
        <v>40</v>
      </c>
      <c r="H204" s="2" t="inlineStr">
        <is>
          <t>SC/PC</t>
        </is>
      </c>
      <c r="I204" s="2" t="inlineStr">
        <is>
          <t>FC/APC</t>
        </is>
      </c>
      <c r="J204" s="2" t="n">
        <v>5</v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>
        <f>SUM(J204:U204)</f>
        <v/>
      </c>
      <c r="W204" s="2" t="n"/>
      <c r="X204" s="2" t="n"/>
      <c r="Y204" s="2" t="n"/>
      <c r="Z204" s="2" t="n"/>
      <c r="AA204" s="2" t="n">
        <v>10</v>
      </c>
      <c r="AB204" s="2" t="n"/>
      <c r="AC204" s="2" t="n"/>
      <c r="AD204" s="2" t="n"/>
      <c r="AE204" s="2" t="n"/>
      <c r="AF204" s="2" t="n"/>
      <c r="AG204" s="2" t="n"/>
      <c r="AH204" s="2" t="n">
        <v>10</v>
      </c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>
        <f>IF(F204=1,V204*2,IF(F204=2,V204*F204*2,IF(F204&gt;2,F204*2*V204)))</f>
        <v/>
      </c>
      <c r="AW204" s="2">
        <f>SUM(W204:AU204)</f>
        <v/>
      </c>
    </row>
    <row r="205">
      <c r="A205" s="2" t="inlineStr">
        <is>
          <t>A14-DB-N414</t>
        </is>
      </c>
      <c r="B205" s="3" t="inlineStr">
        <is>
          <t>DOJC-SM-SC/PC-FC/APC</t>
        </is>
      </c>
      <c r="C205" s="2" t="inlineStr">
        <is>
          <t>45M, B3, 2.0mm</t>
        </is>
      </c>
      <c r="D205" s="2" t="inlineStr">
        <is>
          <t>b3</t>
        </is>
      </c>
      <c r="E205" s="2" t="inlineStr">
        <is>
          <t>2.0mm</t>
        </is>
      </c>
      <c r="F205" s="2" t="n">
        <v>2</v>
      </c>
      <c r="G205" s="2" t="n">
        <v>45</v>
      </c>
      <c r="H205" s="2" t="inlineStr">
        <is>
          <t>SC/PC</t>
        </is>
      </c>
      <c r="I205" s="2" t="inlineStr">
        <is>
          <t>FC/APC</t>
        </is>
      </c>
      <c r="J205" s="2" t="n"/>
      <c r="K205" s="2" t="n">
        <v>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>
        <f>SUM(J205:U205)</f>
        <v/>
      </c>
      <c r="W205" s="2" t="n"/>
      <c r="X205" s="2" t="n"/>
      <c r="Y205" s="2" t="n"/>
      <c r="Z205" s="2" t="n"/>
      <c r="AA205" s="2" t="n">
        <v>10</v>
      </c>
      <c r="AB205" s="2" t="n"/>
      <c r="AC205" s="2" t="n"/>
      <c r="AD205" s="2" t="n"/>
      <c r="AE205" s="2" t="n"/>
      <c r="AF205" s="2" t="n"/>
      <c r="AG205" s="2" t="n"/>
      <c r="AH205" s="2" t="n">
        <v>10</v>
      </c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>
        <f>IF(F205=1,V205*2,IF(F205=2,V205*F205*2,IF(F205&gt;2,F205*2*V205)))</f>
        <v/>
      </c>
      <c r="AW205" s="2">
        <f>SUM(W205:AU205)</f>
        <v/>
      </c>
    </row>
    <row r="206">
      <c r="A206" s="2" t="inlineStr">
        <is>
          <t>A14-DB-N417</t>
        </is>
      </c>
      <c r="B206" s="3" t="inlineStr">
        <is>
          <t>DOJC-SM-SC/PC-FC/APC</t>
        </is>
      </c>
      <c r="C206" s="2" t="inlineStr">
        <is>
          <t>55M, B3, 2.0mm</t>
        </is>
      </c>
      <c r="D206" s="2" t="inlineStr">
        <is>
          <t>b3</t>
        </is>
      </c>
      <c r="E206" s="2" t="inlineStr">
        <is>
          <t>2.0mm</t>
        </is>
      </c>
      <c r="F206" s="2" t="n">
        <v>2</v>
      </c>
      <c r="G206" s="2" t="n">
        <v>55</v>
      </c>
      <c r="H206" s="2" t="inlineStr">
        <is>
          <t>SC/PC</t>
        </is>
      </c>
      <c r="I206" s="2" t="inlineStr">
        <is>
          <t>FC/APC</t>
        </is>
      </c>
      <c r="J206" s="2" t="n">
        <v>4</v>
      </c>
      <c r="K206" s="2" t="n">
        <v>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>
        <f>SUM(J206:U206)</f>
        <v/>
      </c>
      <c r="W206" s="2" t="n"/>
      <c r="X206" s="2" t="n"/>
      <c r="Y206" s="2" t="n"/>
      <c r="Z206" s="2" t="n"/>
      <c r="AA206" s="2" t="n">
        <v>18</v>
      </c>
      <c r="AB206" s="2" t="n"/>
      <c r="AC206" s="2" t="n"/>
      <c r="AD206" s="2" t="n"/>
      <c r="AE206" s="2" t="n"/>
      <c r="AF206" s="2" t="n"/>
      <c r="AG206" s="2" t="n"/>
      <c r="AH206" s="2" t="n">
        <v>18</v>
      </c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>
        <f>IF(F206=1,V206*2,IF(F206=2,V206*F206*2,IF(F206&gt;2,F206*2*V206)))</f>
        <v/>
      </c>
      <c r="AW206" s="2">
        <f>SUM(W206:AU206)</f>
        <v/>
      </c>
    </row>
    <row r="207">
      <c r="A207" s="2" t="inlineStr">
        <is>
          <t>A14-DB-N424</t>
        </is>
      </c>
      <c r="B207" s="3" t="inlineStr">
        <is>
          <t>DOJC-SM-SC/PC-FC/APC</t>
        </is>
      </c>
      <c r="C207" s="2" t="inlineStr">
        <is>
          <t>908040440, 8M, B3, 2.0mm</t>
        </is>
      </c>
      <c r="D207" s="2" t="inlineStr">
        <is>
          <t>b3</t>
        </is>
      </c>
      <c r="E207" s="2" t="inlineStr">
        <is>
          <t>2.0mm</t>
        </is>
      </c>
      <c r="F207" s="2" t="n">
        <v>2</v>
      </c>
      <c r="G207" s="2" t="n">
        <v>8</v>
      </c>
      <c r="H207" s="2" t="inlineStr">
        <is>
          <t>SC/PC</t>
        </is>
      </c>
      <c r="I207" s="2" t="inlineStr">
        <is>
          <t>FC/APC</t>
        </is>
      </c>
      <c r="J207" s="2" t="n">
        <v>15</v>
      </c>
      <c r="K207" s="2" t="n">
        <v>30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>
        <f>SUM(J207:U207)</f>
        <v/>
      </c>
      <c r="W207" s="2" t="n"/>
      <c r="X207" s="2" t="n"/>
      <c r="Y207" s="2" t="n"/>
      <c r="Z207" s="2" t="n"/>
      <c r="AA207" s="2" t="n">
        <v>90</v>
      </c>
      <c r="AB207" s="2" t="n"/>
      <c r="AC207" s="2" t="n"/>
      <c r="AD207" s="2" t="n"/>
      <c r="AE207" s="2" t="n"/>
      <c r="AF207" s="2" t="n"/>
      <c r="AG207" s="2" t="n"/>
      <c r="AH207" s="2" t="n">
        <v>90</v>
      </c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>
        <f>IF(F207=1,V207*2,IF(F207=2,V207*F207*2,IF(F207&gt;2,F207*2*V207)))</f>
        <v/>
      </c>
      <c r="AW207" s="2">
        <f>SUM(W207:AU207)</f>
        <v/>
      </c>
    </row>
    <row r="208">
      <c r="A208" s="2" t="inlineStr">
        <is>
          <t>A14-DB-N426</t>
        </is>
      </c>
      <c r="B208" s="3" t="inlineStr">
        <is>
          <t>DOJC-SM-SC/PC-FC/PC</t>
        </is>
      </c>
      <c r="C208" s="2" t="inlineStr">
        <is>
          <t>908040687, 10M, B3, 2.0mm</t>
        </is>
      </c>
      <c r="D208" s="2" t="inlineStr">
        <is>
          <t>b3</t>
        </is>
      </c>
      <c r="E208" s="2" t="inlineStr">
        <is>
          <t>2.0mm</t>
        </is>
      </c>
      <c r="F208" s="2" t="n">
        <v>2</v>
      </c>
      <c r="G208" s="2" t="n">
        <v>10</v>
      </c>
      <c r="H208" s="2" t="inlineStr">
        <is>
          <t>SC/PC</t>
        </is>
      </c>
      <c r="I208" s="2" t="inlineStr">
        <is>
          <t>FC/PC</t>
        </is>
      </c>
      <c r="J208" s="2" t="n"/>
      <c r="K208" s="2" t="n"/>
      <c r="L208" s="2" t="n">
        <v>20</v>
      </c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>
        <f>SUM(J208:U208)</f>
        <v/>
      </c>
      <c r="W208" s="2" t="n"/>
      <c r="X208" s="2" t="n"/>
      <c r="Y208" s="2" t="n"/>
      <c r="Z208" s="2" t="n"/>
      <c r="AA208" s="2" t="n">
        <v>40</v>
      </c>
      <c r="AB208" s="2" t="n"/>
      <c r="AC208" s="2" t="n"/>
      <c r="AD208" s="2" t="n"/>
      <c r="AE208" s="2" t="n"/>
      <c r="AF208" s="2" t="n">
        <v>40</v>
      </c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>
        <f>IF(F208=1,V208*2,IF(F208=2,V208*F208*2,IF(F208&gt;2,F208*2*V208)))</f>
        <v/>
      </c>
      <c r="AW208" s="2">
        <f>SUM(W208:AU208)</f>
        <v/>
      </c>
    </row>
    <row r="209">
      <c r="A209" s="2" t="inlineStr">
        <is>
          <t>A14-DB-N430</t>
        </is>
      </c>
      <c r="B209" s="3" t="inlineStr">
        <is>
          <t>DOJC-SM-SC/PC-FC/PC</t>
        </is>
      </c>
      <c r="C209" s="2" t="inlineStr">
        <is>
          <t>908040422, 20M, B3, 2.0mm</t>
        </is>
      </c>
      <c r="D209" s="2" t="inlineStr">
        <is>
          <t>b3</t>
        </is>
      </c>
      <c r="E209" s="2" t="inlineStr">
        <is>
          <t>2.0mm</t>
        </is>
      </c>
      <c r="F209" s="2" t="n">
        <v>2</v>
      </c>
      <c r="G209" s="2" t="n">
        <v>20</v>
      </c>
      <c r="H209" s="2" t="inlineStr">
        <is>
          <t>SC/PC</t>
        </is>
      </c>
      <c r="I209" s="2" t="inlineStr">
        <is>
          <t>FC/PC</t>
        </is>
      </c>
      <c r="J209" s="2" t="n"/>
      <c r="K209" s="2" t="n"/>
      <c r="L209" s="2" t="n">
        <v>10</v>
      </c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>
        <f>SUM(J209:U209)</f>
        <v/>
      </c>
      <c r="W209" s="2" t="n"/>
      <c r="X209" s="2" t="n"/>
      <c r="Y209" s="2" t="n"/>
      <c r="Z209" s="2" t="n"/>
      <c r="AA209" s="2" t="n">
        <v>20</v>
      </c>
      <c r="AB209" s="2" t="n"/>
      <c r="AC209" s="2" t="n"/>
      <c r="AD209" s="2" t="n"/>
      <c r="AE209" s="2" t="n"/>
      <c r="AF209" s="2" t="n">
        <v>20</v>
      </c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>
        <f>IF(F209=1,V209*2,IF(F209=2,V209*F209*2,IF(F209&gt;2,F209*2*V209)))</f>
        <v/>
      </c>
      <c r="AW209" s="2">
        <f>SUM(W209:AU209)</f>
        <v/>
      </c>
    </row>
    <row r="210">
      <c r="A210" s="2" t="inlineStr">
        <is>
          <t>A14-DB-N447</t>
        </is>
      </c>
      <c r="B210" s="3" t="inlineStr">
        <is>
          <t>DOJC-SM-SC/PC-SC/APC</t>
        </is>
      </c>
      <c r="C210" s="2" t="inlineStr">
        <is>
          <t>908040542, 15M, B3, 2.0mm</t>
        </is>
      </c>
      <c r="D210" s="2" t="inlineStr">
        <is>
          <t>b3</t>
        </is>
      </c>
      <c r="E210" s="2" t="inlineStr">
        <is>
          <t>2.0mm</t>
        </is>
      </c>
      <c r="F210" s="2" t="n">
        <v>2</v>
      </c>
      <c r="G210" s="2" t="n">
        <v>15</v>
      </c>
      <c r="H210" s="2" t="inlineStr">
        <is>
          <t>SC/PC</t>
        </is>
      </c>
      <c r="I210" s="2" t="inlineStr">
        <is>
          <t>SC/APC</t>
        </is>
      </c>
      <c r="J210" s="2" t="n">
        <v>40</v>
      </c>
      <c r="K210" s="2" t="n">
        <v>10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>
        <f>SUM(J210:U210)</f>
        <v/>
      </c>
      <c r="W210" s="2" t="n"/>
      <c r="X210" s="2" t="n"/>
      <c r="Y210" s="2" t="n"/>
      <c r="Z210" s="2" t="n"/>
      <c r="AA210" s="2" t="n">
        <v>100</v>
      </c>
      <c r="AB210" s="2" t="n"/>
      <c r="AC210" s="2" t="n"/>
      <c r="AD210" s="2" t="n">
        <v>100</v>
      </c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>
        <f>IF(F210=1,V210*2,IF(F210=2,V210*F210*2,IF(F210&gt;2,F210*2*V210)))</f>
        <v/>
      </c>
      <c r="AW210" s="2">
        <f>SUM(W210:AU210)</f>
        <v/>
      </c>
    </row>
    <row r="211">
      <c r="A211" s="2" t="inlineStr">
        <is>
          <t>A14-DB-N451</t>
        </is>
      </c>
      <c r="B211" s="3" t="inlineStr">
        <is>
          <t>DOJC-SM-SC/PC-SC/APC</t>
        </is>
      </c>
      <c r="C211" s="2" t="inlineStr">
        <is>
          <t>908040253, 2M, B3, 3.0mm</t>
        </is>
      </c>
      <c r="D211" s="2" t="inlineStr">
        <is>
          <t>b3</t>
        </is>
      </c>
      <c r="E211" s="2" t="inlineStr">
        <is>
          <t>3.0mm</t>
        </is>
      </c>
      <c r="F211" s="2" t="n">
        <v>2</v>
      </c>
      <c r="G211" s="2" t="n">
        <v>2</v>
      </c>
      <c r="H211" s="2" t="inlineStr">
        <is>
          <t>SC/PC</t>
        </is>
      </c>
      <c r="I211" s="2" t="inlineStr">
        <is>
          <t>SC/APC</t>
        </is>
      </c>
      <c r="J211" s="2" t="n"/>
      <c r="K211" s="2" t="n">
        <v>119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>
        <f>SUM(J211:U211)</f>
        <v/>
      </c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>
        <v>238</v>
      </c>
      <c r="AO211" s="2" t="n"/>
      <c r="AP211" s="2" t="n"/>
      <c r="AQ211" s="2" t="n">
        <v>238</v>
      </c>
      <c r="AR211" s="2" t="n"/>
      <c r="AS211" s="2" t="n"/>
      <c r="AT211" s="2" t="n"/>
      <c r="AU211" s="2" t="n"/>
      <c r="AV211" s="2">
        <f>IF(F211=1,V211*2,IF(F211=2,V211*F211*2,IF(F211&gt;2,F211*2*V211)))</f>
        <v/>
      </c>
      <c r="AW211" s="2">
        <f>SUM(W211:AU211)</f>
        <v/>
      </c>
    </row>
    <row r="212">
      <c r="A212" s="2" t="inlineStr">
        <is>
          <t>A14-DB-N455</t>
        </is>
      </c>
      <c r="B212" s="3" t="inlineStr">
        <is>
          <t>DOJC-SM-SC/PC-SC/APC</t>
        </is>
      </c>
      <c r="C212" s="2" t="inlineStr">
        <is>
          <t>908040251, 3M, B3, 3.0mm</t>
        </is>
      </c>
      <c r="D212" s="2" t="inlineStr">
        <is>
          <t>b3</t>
        </is>
      </c>
      <c r="E212" s="2" t="inlineStr">
        <is>
          <t>3.0mm</t>
        </is>
      </c>
      <c r="F212" s="2" t="n">
        <v>2</v>
      </c>
      <c r="G212" s="2" t="n">
        <v>3</v>
      </c>
      <c r="H212" s="2" t="inlineStr">
        <is>
          <t>SC/PC</t>
        </is>
      </c>
      <c r="I212" s="2" t="inlineStr">
        <is>
          <t>SC/APC</t>
        </is>
      </c>
      <c r="J212" s="2" t="n">
        <v>339</v>
      </c>
      <c r="K212" s="2" t="n"/>
      <c r="L212" s="2" t="n">
        <v>2</v>
      </c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>
        <f>SUM(J212:U212)</f>
        <v/>
      </c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>
        <v>682</v>
      </c>
      <c r="AO212" s="2" t="n"/>
      <c r="AP212" s="2" t="n"/>
      <c r="AQ212" s="2" t="n">
        <v>682</v>
      </c>
      <c r="AR212" s="2" t="n"/>
      <c r="AS212" s="2" t="n"/>
      <c r="AT212" s="2" t="n"/>
      <c r="AU212" s="2" t="n"/>
      <c r="AV212" s="2">
        <f>IF(F212=1,V212*2,IF(F212=2,V212*F212*2,IF(F212&gt;2,F212*2*V212)))</f>
        <v/>
      </c>
      <c r="AW212" s="2">
        <f>SUM(W212:AU212)</f>
        <v/>
      </c>
    </row>
    <row r="213">
      <c r="A213" s="2" t="inlineStr">
        <is>
          <t>A14-DB-N468</t>
        </is>
      </c>
      <c r="B213" s="3" t="inlineStr">
        <is>
          <t>DOJC-SM-SC/PC-SC/PC</t>
        </is>
      </c>
      <c r="C213" s="2" t="inlineStr">
        <is>
          <t>908040240, 20M, B3, 2.0mm</t>
        </is>
      </c>
      <c r="D213" s="2" t="inlineStr">
        <is>
          <t>b3</t>
        </is>
      </c>
      <c r="E213" s="2" t="inlineStr">
        <is>
          <t>2.0mm</t>
        </is>
      </c>
      <c r="F213" s="2" t="n">
        <v>2</v>
      </c>
      <c r="G213" s="2" t="n">
        <v>20</v>
      </c>
      <c r="H213" s="2" t="inlineStr">
        <is>
          <t>SC/PC</t>
        </is>
      </c>
      <c r="I213" s="2" t="inlineStr">
        <is>
          <t>SC/PC</t>
        </is>
      </c>
      <c r="J213" s="2" t="n">
        <v>52</v>
      </c>
      <c r="K213" s="2" t="n">
        <v>10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>
        <f>SUM(J213:U213)</f>
        <v/>
      </c>
      <c r="W213" s="2" t="n"/>
      <c r="X213" s="2" t="n"/>
      <c r="Y213" s="2" t="n"/>
      <c r="Z213" s="2" t="n"/>
      <c r="AA213" s="2" t="n">
        <v>124</v>
      </c>
      <c r="AB213" s="2" t="n">
        <v>124</v>
      </c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>
        <f>IF(F213=1,V213*2,IF(F213=2,V213*F213*2,IF(F213&gt;2,F213*2*V213)))</f>
        <v/>
      </c>
      <c r="AW213" s="2">
        <f>SUM(W213:AU213)</f>
        <v/>
      </c>
    </row>
    <row r="214">
      <c r="A214" s="2" t="inlineStr">
        <is>
          <t>A14-DB-N472</t>
        </is>
      </c>
      <c r="B214" s="3" t="inlineStr">
        <is>
          <t>DOJC-SM-SC/PC-SC/PC</t>
        </is>
      </c>
      <c r="C214" s="2" t="inlineStr">
        <is>
          <t>908040250, 30M, B3, 2.0mm</t>
        </is>
      </c>
      <c r="D214" s="2" t="inlineStr">
        <is>
          <t>b3</t>
        </is>
      </c>
      <c r="E214" s="2" t="inlineStr">
        <is>
          <t>2.0mm</t>
        </is>
      </c>
      <c r="F214" s="2" t="n">
        <v>2</v>
      </c>
      <c r="G214" s="2" t="n">
        <v>30</v>
      </c>
      <c r="H214" s="2" t="inlineStr">
        <is>
          <t>SC/PC</t>
        </is>
      </c>
      <c r="I214" s="2" t="inlineStr">
        <is>
          <t>SC/PC</t>
        </is>
      </c>
      <c r="J214" s="2" t="n">
        <v>15</v>
      </c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>
        <f>SUM(J214:U214)</f>
        <v/>
      </c>
      <c r="W214" s="2" t="n"/>
      <c r="X214" s="2" t="n"/>
      <c r="Y214" s="2" t="n"/>
      <c r="Z214" s="2" t="n"/>
      <c r="AA214" s="2" t="n">
        <v>30</v>
      </c>
      <c r="AB214" s="2" t="n">
        <v>30</v>
      </c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>
        <f>IF(F214=1,V214*2,IF(F214=2,V214*F214*2,IF(F214&gt;2,F214*2*V214)))</f>
        <v/>
      </c>
      <c r="AW214" s="2">
        <f>SUM(W214:AU214)</f>
        <v/>
      </c>
    </row>
    <row r="215">
      <c r="A215" s="2" t="inlineStr">
        <is>
          <t>A14-DB-N474</t>
        </is>
      </c>
      <c r="B215" s="3" t="inlineStr">
        <is>
          <t>DOJC-SM-SC/PC-SC/PC</t>
        </is>
      </c>
      <c r="C215" s="2" t="inlineStr">
        <is>
          <t>908040221, 3M, B3, 3.0mm</t>
        </is>
      </c>
      <c r="D215" s="2" t="inlineStr">
        <is>
          <t>b3</t>
        </is>
      </c>
      <c r="E215" s="2" t="inlineStr">
        <is>
          <t>3.0mm</t>
        </is>
      </c>
      <c r="F215" s="2" t="n">
        <v>2</v>
      </c>
      <c r="G215" s="2" t="n">
        <v>3</v>
      </c>
      <c r="H215" s="2" t="inlineStr">
        <is>
          <t>SC/PC</t>
        </is>
      </c>
      <c r="I215" s="2" t="inlineStr">
        <is>
          <t>SC/PC</t>
        </is>
      </c>
      <c r="J215" s="2" t="n"/>
      <c r="K215" s="2" t="n"/>
      <c r="L215" s="2" t="n">
        <v>2</v>
      </c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>
        <f>SUM(J215:U215)</f>
        <v/>
      </c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>
        <v>4</v>
      </c>
      <c r="AO215" s="2" t="n">
        <v>4</v>
      </c>
      <c r="AP215" s="2" t="n"/>
      <c r="AQ215" s="2" t="n"/>
      <c r="AR215" s="2" t="n"/>
      <c r="AS215" s="2" t="n"/>
      <c r="AT215" s="2" t="n"/>
      <c r="AU215" s="2" t="n"/>
      <c r="AV215" s="2">
        <f>IF(F215=1,V215*2,IF(F215=2,V215*F215*2,IF(F215&gt;2,F215*2*V215)))</f>
        <v/>
      </c>
      <c r="AW215" s="2">
        <f>SUM(W215:AU215)</f>
        <v/>
      </c>
    </row>
    <row r="216">
      <c r="A216" s="2" t="inlineStr">
        <is>
          <t>A14-DB-N478</t>
        </is>
      </c>
      <c r="B216" s="3" t="inlineStr">
        <is>
          <t>DOJC-SM-SC/PC-SC/PC</t>
        </is>
      </c>
      <c r="C216" s="2" t="inlineStr">
        <is>
          <t>908040224, 4M, B3, 3.0mm</t>
        </is>
      </c>
      <c r="D216" s="2" t="inlineStr">
        <is>
          <t>b3</t>
        </is>
      </c>
      <c r="E216" s="2" t="inlineStr">
        <is>
          <t>3.0mm</t>
        </is>
      </c>
      <c r="F216" s="2" t="n">
        <v>2</v>
      </c>
      <c r="G216" s="2" t="n">
        <v>4</v>
      </c>
      <c r="H216" s="2" t="inlineStr">
        <is>
          <t>SC/PC</t>
        </is>
      </c>
      <c r="I216" s="2" t="inlineStr">
        <is>
          <t>SC/PC</t>
        </is>
      </c>
      <c r="J216" s="2" t="n">
        <v>25</v>
      </c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>
        <f>SUM(J216:U216)</f>
        <v/>
      </c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>
        <v>50</v>
      </c>
      <c r="AO216" s="2" t="n">
        <v>50</v>
      </c>
      <c r="AP216" s="2" t="n"/>
      <c r="AQ216" s="2" t="n"/>
      <c r="AR216" s="2" t="n"/>
      <c r="AS216" s="2" t="n"/>
      <c r="AT216" s="2" t="n"/>
      <c r="AU216" s="2" t="n"/>
      <c r="AV216" s="2">
        <f>IF(F216=1,V216*2,IF(F216=2,V216*F216*2,IF(F216&gt;2,F216*2*V216)))</f>
        <v/>
      </c>
      <c r="AW216" s="2">
        <f>SUM(W216:AU216)</f>
        <v/>
      </c>
    </row>
    <row r="217">
      <c r="A217" s="2" t="inlineStr">
        <is>
          <t>A14-DB-N482</t>
        </is>
      </c>
      <c r="B217" s="3" t="inlineStr">
        <is>
          <t>DOJC-SM-SC/PC-SC/PC</t>
        </is>
      </c>
      <c r="C217" s="2" t="inlineStr">
        <is>
          <t>1.5m, B3, 3mm</t>
        </is>
      </c>
      <c r="D217" s="2" t="inlineStr">
        <is>
          <t>b3</t>
        </is>
      </c>
      <c r="E217" s="2" t="inlineStr">
        <is>
          <t>3.0mm</t>
        </is>
      </c>
      <c r="F217" s="2" t="n">
        <v>2</v>
      </c>
      <c r="G217" s="2" t="n">
        <v>1.5</v>
      </c>
      <c r="H217" s="2" t="inlineStr">
        <is>
          <t>SC/PC</t>
        </is>
      </c>
      <c r="I217" s="2" t="inlineStr">
        <is>
          <t>SC/PC</t>
        </is>
      </c>
      <c r="J217" s="2" t="n">
        <v>50</v>
      </c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>
        <f>SUM(J217:U217)</f>
        <v/>
      </c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>
        <v>100</v>
      </c>
      <c r="AO217" s="2" t="n">
        <v>100</v>
      </c>
      <c r="AP217" s="2" t="n"/>
      <c r="AQ217" s="2" t="n"/>
      <c r="AR217" s="2" t="n"/>
      <c r="AS217" s="2" t="n"/>
      <c r="AT217" s="2" t="n"/>
      <c r="AU217" s="2" t="n"/>
      <c r="AV217" s="2">
        <f>IF(F217=1,V217*2,IF(F217=2,V217*F217*2,IF(F217&gt;2,F217*2*V217)))</f>
        <v/>
      </c>
      <c r="AW217" s="2">
        <f>SUM(W217:AU217)</f>
        <v/>
      </c>
    </row>
    <row r="218">
      <c r="A218" s="2" t="inlineStr">
        <is>
          <t>A14-DB-N487</t>
        </is>
      </c>
      <c r="B218" s="3" t="inlineStr">
        <is>
          <t>DOJC-SM-SC/PC-SC/PC</t>
        </is>
      </c>
      <c r="C218" s="2" t="inlineStr">
        <is>
          <t>908040228, 8M, B3, 2.0mm</t>
        </is>
      </c>
      <c r="D218" s="2" t="inlineStr">
        <is>
          <t>b3</t>
        </is>
      </c>
      <c r="E218" s="2" t="inlineStr">
        <is>
          <t>2.0mm</t>
        </is>
      </c>
      <c r="F218" s="2" t="n">
        <v>2</v>
      </c>
      <c r="G218" s="2" t="n">
        <v>8</v>
      </c>
      <c r="H218" s="2" t="inlineStr">
        <is>
          <t>SC/PC</t>
        </is>
      </c>
      <c r="I218" s="2" t="inlineStr">
        <is>
          <t>SC/PC</t>
        </is>
      </c>
      <c r="J218" s="2" t="n">
        <v>10</v>
      </c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>
        <f>SUM(J218:U218)</f>
        <v/>
      </c>
      <c r="W218" s="2" t="n"/>
      <c r="X218" s="2" t="n"/>
      <c r="Y218" s="2" t="n"/>
      <c r="Z218" s="2" t="n"/>
      <c r="AA218" s="2" t="n">
        <v>20</v>
      </c>
      <c r="AB218" s="2" t="n">
        <v>20</v>
      </c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>
        <f>IF(F218=1,V218*2,IF(F218=2,V218*F218*2,IF(F218&gt;2,F218*2*V218)))</f>
        <v/>
      </c>
      <c r="AW218" s="2">
        <f>SUM(W218:AU218)</f>
        <v/>
      </c>
    </row>
    <row r="219">
      <c r="A219" s="2" t="inlineStr">
        <is>
          <t>A14-DB-N512</t>
        </is>
      </c>
      <c r="B219" s="3" t="inlineStr">
        <is>
          <t>DOJC-SM-SC/PC-FC/PC</t>
        </is>
      </c>
      <c r="C219" s="2" t="inlineStr">
        <is>
          <t>50M, B3, 2.0mm</t>
        </is>
      </c>
      <c r="D219" s="2" t="inlineStr">
        <is>
          <t>b3</t>
        </is>
      </c>
      <c r="E219" s="2" t="inlineStr">
        <is>
          <t>2.0mm</t>
        </is>
      </c>
      <c r="F219" s="2" t="n">
        <v>2</v>
      </c>
      <c r="G219" s="2" t="n">
        <v>50</v>
      </c>
      <c r="H219" s="2" t="inlineStr">
        <is>
          <t>SC/PC</t>
        </is>
      </c>
      <c r="I219" s="2" t="inlineStr">
        <is>
          <t>FC/PC</t>
        </is>
      </c>
      <c r="J219" s="2" t="n"/>
      <c r="K219" s="2" t="n">
        <v>3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>
        <f>SUM(J219:U219)</f>
        <v/>
      </c>
      <c r="W219" s="2" t="n"/>
      <c r="X219" s="2" t="n"/>
      <c r="Y219" s="2" t="n"/>
      <c r="Z219" s="2" t="n"/>
      <c r="AA219" s="2" t="n">
        <v>6</v>
      </c>
      <c r="AB219" s="2" t="n"/>
      <c r="AC219" s="2" t="n"/>
      <c r="AD219" s="2" t="n"/>
      <c r="AE219" s="2" t="n"/>
      <c r="AF219" s="2" t="n">
        <v>6</v>
      </c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>
        <f>IF(F219=1,V219*2,IF(F219=2,V219*F219*2,IF(F219&gt;2,F219*2*V219)))</f>
        <v/>
      </c>
      <c r="AW219" s="2">
        <f>SUM(W219:AU219)</f>
        <v/>
      </c>
    </row>
    <row r="220">
      <c r="A220" s="2" t="inlineStr">
        <is>
          <t>A14-DB-N676</t>
        </is>
      </c>
      <c r="B220" s="3" t="inlineStr">
        <is>
          <t>DOJC-SM-LC/PC-FC/PC</t>
        </is>
      </c>
      <c r="C220" s="2" t="inlineStr">
        <is>
          <t>45M, B3, 2.0mm</t>
        </is>
      </c>
      <c r="D220" s="2" t="inlineStr">
        <is>
          <t>b3</t>
        </is>
      </c>
      <c r="E220" s="2" t="inlineStr">
        <is>
          <t>2.0mm</t>
        </is>
      </c>
      <c r="F220" s="2" t="n">
        <v>2</v>
      </c>
      <c r="G220" s="2" t="n">
        <v>45</v>
      </c>
      <c r="H220" s="2" t="inlineStr">
        <is>
          <t>LC/PC</t>
        </is>
      </c>
      <c r="I220" s="2" t="inlineStr">
        <is>
          <t>FC/PC</t>
        </is>
      </c>
      <c r="J220" s="2" t="n">
        <v>5</v>
      </c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>
        <f>SUM(J220:U220)</f>
        <v/>
      </c>
      <c r="W220" s="2" t="n">
        <v>10</v>
      </c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>
        <v>10</v>
      </c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>
        <f>IF(F220=1,V220*2,IF(F220=2,V220*F220*2,IF(F220&gt;2,F220*2*V220)))</f>
        <v/>
      </c>
      <c r="AW220" s="2">
        <f>SUM(W220:AU220)</f>
        <v/>
      </c>
    </row>
    <row r="221">
      <c r="A221" s="2" t="inlineStr">
        <is>
          <t>A14-DB-N727</t>
        </is>
      </c>
      <c r="B221" s="3" t="inlineStr">
        <is>
          <t>DOJC-SM-SC/PC-SC/PC</t>
        </is>
      </c>
      <c r="C221" s="2" t="inlineStr">
        <is>
          <t>3M, B3, 2.0mm(케이블 테스트용)</t>
        </is>
      </c>
      <c r="D221" s="2" t="inlineStr">
        <is>
          <t>b3</t>
        </is>
      </c>
      <c r="E221" s="2" t="inlineStr">
        <is>
          <t>2.0mm</t>
        </is>
      </c>
      <c r="F221" s="2" t="n">
        <v>2</v>
      </c>
      <c r="G221" s="2" t="n">
        <v>3</v>
      </c>
      <c r="H221" s="2" t="inlineStr">
        <is>
          <t>SC/PC</t>
        </is>
      </c>
      <c r="I221" s="2" t="inlineStr">
        <is>
          <t>SC/PC</t>
        </is>
      </c>
      <c r="J221" s="2" t="n"/>
      <c r="K221" s="2" t="n"/>
      <c r="L221" s="2" t="n">
        <v>2</v>
      </c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>
        <f>SUM(J221:U221)</f>
        <v/>
      </c>
      <c r="W221" s="2" t="n"/>
      <c r="X221" s="2" t="n"/>
      <c r="Y221" s="2" t="n"/>
      <c r="Z221" s="2" t="n"/>
      <c r="AA221" s="2" t="n">
        <v>4</v>
      </c>
      <c r="AB221" s="2" t="n">
        <v>4</v>
      </c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>
        <f>IF(F221=1,V221*2,IF(F221=2,V221*F221*2,IF(F221&gt;2,F221*2*V221)))</f>
        <v/>
      </c>
      <c r="AW221" s="2">
        <f>SUM(W221:AU221)</f>
        <v/>
      </c>
    </row>
    <row r="222">
      <c r="A222" s="2" t="inlineStr">
        <is>
          <t>A14-DB-N901</t>
        </is>
      </c>
      <c r="B222" s="3" t="inlineStr">
        <is>
          <t>DOJC-SM-LC/PC-LC/APC</t>
        </is>
      </c>
      <c r="C222" s="2" t="inlineStr">
        <is>
          <t>3M, B3, 3.0mm</t>
        </is>
      </c>
      <c r="D222" s="2" t="inlineStr">
        <is>
          <t>b3</t>
        </is>
      </c>
      <c r="E222" s="2" t="inlineStr">
        <is>
          <t>3.0mm</t>
        </is>
      </c>
      <c r="F222" s="2" t="n">
        <v>2</v>
      </c>
      <c r="G222" s="2" t="n">
        <v>3</v>
      </c>
      <c r="H222" s="2" t="inlineStr">
        <is>
          <t>LC/PC</t>
        </is>
      </c>
      <c r="I222" s="2" t="inlineStr">
        <is>
          <t>LC/APC</t>
        </is>
      </c>
      <c r="J222" s="2" t="n"/>
      <c r="K222" s="2" t="n"/>
      <c r="L222" s="2" t="n">
        <v>30</v>
      </c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>
        <f>SUM(J222:U222)</f>
        <v/>
      </c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>
        <v>60</v>
      </c>
      <c r="AK222" s="2" t="n"/>
      <c r="AL222" s="2" t="n"/>
      <c r="AM222" s="2" t="n">
        <v>60</v>
      </c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>
        <f>IF(F222=1,V222*2,IF(F222=2,V222*F222*2,IF(F222&gt;2,F222*2*V222)))</f>
        <v/>
      </c>
      <c r="AW222" s="2">
        <f>SUM(W222:AU222)</f>
        <v/>
      </c>
    </row>
    <row r="223">
      <c r="A223" s="2" t="inlineStr">
        <is>
          <t>A14-DB-NC14</t>
        </is>
      </c>
      <c r="B223" s="3" t="inlineStr">
        <is>
          <t>DOJC-SM-LC/APC-LC/APC</t>
        </is>
      </c>
      <c r="C223" s="2" t="inlineStr">
        <is>
          <t>930003855, 1M, B3, 3.0mm</t>
        </is>
      </c>
      <c r="D223" s="2" t="inlineStr">
        <is>
          <t>b3</t>
        </is>
      </c>
      <c r="E223" s="2" t="inlineStr">
        <is>
          <t>3.0mm</t>
        </is>
      </c>
      <c r="F223" s="2" t="n">
        <v>2</v>
      </c>
      <c r="G223" s="2" t="n">
        <v>1</v>
      </c>
      <c r="H223" s="2" t="inlineStr">
        <is>
          <t>LC/APC</t>
        </is>
      </c>
      <c r="I223" s="2" t="inlineStr">
        <is>
          <t>LC/APC</t>
        </is>
      </c>
      <c r="J223" s="2" t="n"/>
      <c r="K223" s="2" t="n"/>
      <c r="L223" s="2" t="n">
        <v>50</v>
      </c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>
        <f>SUM(J223:U223)</f>
        <v/>
      </c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>
        <v>100</v>
      </c>
      <c r="AM223" s="2" t="n">
        <v>100</v>
      </c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>
        <f>IF(F223=1,V223*2,IF(F223=2,V223*F223*2,IF(F223&gt;2,F223*2*V223)))</f>
        <v/>
      </c>
      <c r="AW223" s="2">
        <f>SUM(W223:AU223)</f>
        <v/>
      </c>
    </row>
    <row r="224">
      <c r="A224" s="2" t="inlineStr">
        <is>
          <t>A14-M-SP/SA-B-N-010</t>
        </is>
      </c>
      <c r="B224" s="3" t="inlineStr">
        <is>
          <t>MOJC-SM-12C-SC/PC-SC/APC</t>
        </is>
      </c>
      <c r="C224" s="2" t="inlineStr">
        <is>
          <t>908040832, 10M, B3</t>
        </is>
      </c>
      <c r="D224" s="2" t="inlineStr">
        <is>
          <t>b3-12c</t>
        </is>
      </c>
      <c r="E224" s="2" t="inlineStr">
        <is>
          <t>2.0mm</t>
        </is>
      </c>
      <c r="F224" s="2" t="n">
        <v>12</v>
      </c>
      <c r="G224" s="2" t="n">
        <v>10</v>
      </c>
      <c r="H224" s="2" t="inlineStr">
        <is>
          <t>SC/PC</t>
        </is>
      </c>
      <c r="I224" s="2" t="inlineStr">
        <is>
          <t>SC/APC</t>
        </is>
      </c>
      <c r="J224" s="2" t="n">
        <v>7</v>
      </c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>
        <f>SUM(J224:U224)</f>
        <v/>
      </c>
      <c r="W224" s="2" t="n"/>
      <c r="X224" s="2" t="n"/>
      <c r="Y224" s="2" t="n"/>
      <c r="Z224" s="2" t="n"/>
      <c r="AA224" s="2" t="n">
        <v>84</v>
      </c>
      <c r="AB224" s="2" t="n"/>
      <c r="AC224" s="2" t="n">
        <v>84</v>
      </c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>
        <f>IF(F224=1,V224*2,IF(F224=2,V224*F224*2,IF(F224&gt;2,F224*2*V224)))</f>
        <v/>
      </c>
      <c r="AW224" s="2">
        <f>SUM(W224:AU224)</f>
        <v/>
      </c>
    </row>
    <row r="225">
      <c r="A225" s="2" t="inlineStr">
        <is>
          <t>A14-M-SP/SP-B-N-007</t>
        </is>
      </c>
      <c r="B225" s="3" t="inlineStr">
        <is>
          <t>MOJC-SM-12C-SC/PC-SC/PC</t>
        </is>
      </c>
      <c r="C225" s="2" t="inlineStr">
        <is>
          <t>908040799, 7M, B3</t>
        </is>
      </c>
      <c r="D225" s="2" t="inlineStr">
        <is>
          <t>b3-12c</t>
        </is>
      </c>
      <c r="E225" s="2" t="inlineStr">
        <is>
          <t>2.0mm</t>
        </is>
      </c>
      <c r="F225" s="2" t="n">
        <v>12</v>
      </c>
      <c r="G225" s="2" t="n">
        <v>7</v>
      </c>
      <c r="H225" s="2" t="inlineStr">
        <is>
          <t>SC/PC</t>
        </is>
      </c>
      <c r="I225" s="2" t="inlineStr">
        <is>
          <t>SC/PC</t>
        </is>
      </c>
      <c r="J225" s="2" t="n"/>
      <c r="K225" s="2" t="n"/>
      <c r="L225" s="2" t="n">
        <v>24</v>
      </c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>
        <f>SUM(J225:U225)</f>
        <v/>
      </c>
      <c r="W225" s="2" t="n"/>
      <c r="X225" s="2" t="n"/>
      <c r="Y225" s="2" t="n"/>
      <c r="Z225" s="2" t="n"/>
      <c r="AA225" s="2" t="n">
        <v>576</v>
      </c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>
        <f>IF(F225=1,V225*2,IF(F225=2,V225*F225*2,IF(F225&gt;2,F225*2*V225)))</f>
        <v/>
      </c>
      <c r="AW225" s="2">
        <f>SUM(W225:AU225)</f>
        <v/>
      </c>
    </row>
    <row r="226">
      <c r="A226" s="2" t="inlineStr">
        <is>
          <t>A14-M-SP/SP-B-N-008</t>
        </is>
      </c>
      <c r="B226" s="3" t="inlineStr">
        <is>
          <t>MOJC-SM-12C-SC/PC-SC/PC</t>
        </is>
      </c>
      <c r="C226" s="2" t="inlineStr">
        <is>
          <t>908040800, 8M, B3</t>
        </is>
      </c>
      <c r="D226" s="2" t="inlineStr">
        <is>
          <t>b3-12c</t>
        </is>
      </c>
      <c r="E226" s="2" t="inlineStr">
        <is>
          <t>2.0mm</t>
        </is>
      </c>
      <c r="F226" s="2" t="n">
        <v>12</v>
      </c>
      <c r="G226" s="2" t="n">
        <v>8</v>
      </c>
      <c r="H226" s="2" t="inlineStr">
        <is>
          <t>SC/PC</t>
        </is>
      </c>
      <c r="I226" s="2" t="inlineStr">
        <is>
          <t>SC/PC</t>
        </is>
      </c>
      <c r="J226" s="2" t="n">
        <v>15</v>
      </c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>
        <f>SUM(J226:U226)</f>
        <v/>
      </c>
      <c r="W226" s="2" t="n"/>
      <c r="X226" s="2" t="n"/>
      <c r="Y226" s="2" t="n"/>
      <c r="Z226" s="2" t="n"/>
      <c r="AA226" s="2" t="n">
        <v>360</v>
      </c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>
        <f>IF(F226=1,V226*2,IF(F226=2,V226*F226*2,IF(F226&gt;2,F226*2*V226)))</f>
        <v/>
      </c>
      <c r="AW226" s="2">
        <f>SUM(W226:AU226)</f>
        <v/>
      </c>
    </row>
    <row r="227">
      <c r="A227" s="2" t="inlineStr">
        <is>
          <t>A14-M-SP/SP-B-N-011</t>
        </is>
      </c>
      <c r="B227" s="3" t="inlineStr">
        <is>
          <t>MOJC-SM-12C-SC/PC-SC/PC</t>
        </is>
      </c>
      <c r="C227" s="2" t="inlineStr">
        <is>
          <t>908040804, 12M, B3</t>
        </is>
      </c>
      <c r="D227" s="2" t="inlineStr">
        <is>
          <t>b3-12c</t>
        </is>
      </c>
      <c r="E227" s="2" t="inlineStr">
        <is>
          <t>2.0mm</t>
        </is>
      </c>
      <c r="F227" s="2" t="n">
        <v>12</v>
      </c>
      <c r="G227" s="2" t="n">
        <v>12</v>
      </c>
      <c r="H227" s="2" t="inlineStr">
        <is>
          <t>SC/PC</t>
        </is>
      </c>
      <c r="I227" s="2" t="inlineStr">
        <is>
          <t>SC/PC</t>
        </is>
      </c>
      <c r="J227" s="2" t="n">
        <v>15</v>
      </c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>
        <f>SUM(J227:U227)</f>
        <v/>
      </c>
      <c r="W227" s="2" t="n"/>
      <c r="X227" s="2" t="n"/>
      <c r="Y227" s="2" t="n"/>
      <c r="Z227" s="2" t="n"/>
      <c r="AA227" s="2" t="n">
        <v>360</v>
      </c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>
        <f>IF(F227=1,V227*2,IF(F227=2,V227*F227*2,IF(F227&gt;2,F227*2*V227)))</f>
        <v/>
      </c>
      <c r="AW227" s="2">
        <f>SUM(W227:AU227)</f>
        <v/>
      </c>
    </row>
    <row r="228">
      <c r="A228" s="2" t="inlineStr">
        <is>
          <t>A14-M-SP/SP-B-N-012</t>
        </is>
      </c>
      <c r="B228" s="3" t="inlineStr">
        <is>
          <t>MOJC-SM-12C-SC/PC-SC/PC</t>
        </is>
      </c>
      <c r="C228" s="2" t="inlineStr">
        <is>
          <t>908040807, 15M, B3</t>
        </is>
      </c>
      <c r="D228" s="2" t="inlineStr">
        <is>
          <t>b3-12c</t>
        </is>
      </c>
      <c r="E228" s="2" t="inlineStr">
        <is>
          <t>2.0mm</t>
        </is>
      </c>
      <c r="F228" s="2" t="n">
        <v>12</v>
      </c>
      <c r="G228" s="2" t="n">
        <v>15</v>
      </c>
      <c r="H228" s="2" t="inlineStr">
        <is>
          <t>SC/PC</t>
        </is>
      </c>
      <c r="I228" s="2" t="inlineStr">
        <is>
          <t>SC/PC</t>
        </is>
      </c>
      <c r="J228" s="2" t="n">
        <v>15</v>
      </c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>
        <f>SUM(J228:U228)</f>
        <v/>
      </c>
      <c r="W228" s="2" t="n"/>
      <c r="X228" s="2" t="n"/>
      <c r="Y228" s="2" t="n"/>
      <c r="Z228" s="2" t="n"/>
      <c r="AA228" s="2" t="n">
        <v>360</v>
      </c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>
        <f>IF(F228=1,V228*2,IF(F228=2,V228*F228*2,IF(F228&gt;2,F228*2*V228)))</f>
        <v/>
      </c>
      <c r="AW228" s="2">
        <f>SUM(W228:AU228)</f>
        <v/>
      </c>
    </row>
    <row r="229">
      <c r="A229" s="2" t="inlineStr">
        <is>
          <t>A14-M-SP/SP-B-N-024</t>
        </is>
      </c>
      <c r="B229" s="3" t="inlineStr">
        <is>
          <t>MOJC-SM-6C-SC/PC-SC/PC</t>
        </is>
      </c>
      <c r="C229" s="2" t="inlineStr">
        <is>
          <t>920000159, 7M, B3</t>
        </is>
      </c>
      <c r="D229" s="2" t="inlineStr">
        <is>
          <t>b3-6c</t>
        </is>
      </c>
      <c r="E229" s="2" t="inlineStr">
        <is>
          <t>2.0mm</t>
        </is>
      </c>
      <c r="F229" s="2" t="n">
        <v>6</v>
      </c>
      <c r="G229" s="2" t="n">
        <v>7</v>
      </c>
      <c r="H229" s="2" t="inlineStr">
        <is>
          <t>SC/PC</t>
        </is>
      </c>
      <c r="I229" s="2" t="inlineStr">
        <is>
          <t>SC/PC</t>
        </is>
      </c>
      <c r="J229" s="2" t="n"/>
      <c r="K229" s="2" t="n"/>
      <c r="L229" s="2" t="n">
        <v>8</v>
      </c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>
        <f>SUM(J229:U229)</f>
        <v/>
      </c>
      <c r="W229" s="2" t="n"/>
      <c r="X229" s="2" t="n"/>
      <c r="Y229" s="2" t="n"/>
      <c r="Z229" s="2" t="n"/>
      <c r="AA229" s="2" t="n">
        <v>96</v>
      </c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>
        <f>IF(F229=1,V229*2,IF(F229=2,V229*F229*2,IF(F229&gt;2,F229*2*V229)))</f>
        <v/>
      </c>
      <c r="AW229" s="2">
        <f>SUM(W229:AU229)</f>
        <v/>
      </c>
    </row>
    <row r="230">
      <c r="A230" s="2" t="inlineStr">
        <is>
          <t>A14-M-SP/SP-B-N-026</t>
        </is>
      </c>
      <c r="B230" s="3" t="inlineStr">
        <is>
          <t>MOJC-SM-6C-SC/PC-SC/PC</t>
        </is>
      </c>
      <c r="C230" s="2" t="inlineStr">
        <is>
          <t>920000162, 10M, B3</t>
        </is>
      </c>
      <c r="D230" s="2" t="inlineStr">
        <is>
          <t>b3-6c</t>
        </is>
      </c>
      <c r="E230" s="2" t="inlineStr">
        <is>
          <t>2.0mm</t>
        </is>
      </c>
      <c r="F230" s="2" t="n">
        <v>6</v>
      </c>
      <c r="G230" s="2" t="n">
        <v>10</v>
      </c>
      <c r="H230" s="2" t="inlineStr">
        <is>
          <t>SC/PC</t>
        </is>
      </c>
      <c r="I230" s="2" t="inlineStr">
        <is>
          <t>SC/PC</t>
        </is>
      </c>
      <c r="J230" s="2" t="n"/>
      <c r="K230" s="2" t="n"/>
      <c r="L230" s="2" t="n">
        <v>1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>
        <f>SUM(J230:U230)</f>
        <v/>
      </c>
      <c r="W230" s="2" t="n"/>
      <c r="X230" s="2" t="n"/>
      <c r="Y230" s="2" t="n"/>
      <c r="Z230" s="2" t="n"/>
      <c r="AA230" s="2" t="n">
        <v>12</v>
      </c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>
        <f>IF(F230=1,V230*2,IF(F230=2,V230*F230*2,IF(F230&gt;2,F230*2*V230)))</f>
        <v/>
      </c>
      <c r="AW230" s="2">
        <f>SUM(W230:AU230)</f>
        <v/>
      </c>
    </row>
    <row r="231">
      <c r="A231" s="2" t="inlineStr">
        <is>
          <t>A14-MB-N043</t>
        </is>
      </c>
      <c r="B231" s="3" t="inlineStr">
        <is>
          <t>MOJC-SM-12C-SC/PC-SC/PC</t>
        </is>
      </c>
      <c r="C231" s="2" t="inlineStr">
        <is>
          <t>908040802, 10M, B3</t>
        </is>
      </c>
      <c r="D231" s="2" t="inlineStr">
        <is>
          <t>b3-12c</t>
        </is>
      </c>
      <c r="E231" s="2" t="inlineStr">
        <is>
          <t>2.0mm</t>
        </is>
      </c>
      <c r="F231" s="2" t="n">
        <v>12</v>
      </c>
      <c r="G231" s="2" t="n">
        <v>10</v>
      </c>
      <c r="H231" s="2" t="inlineStr">
        <is>
          <t>SC/PC</t>
        </is>
      </c>
      <c r="I231" s="2" t="inlineStr">
        <is>
          <t>SC/PC</t>
        </is>
      </c>
      <c r="J231" s="2" t="n">
        <v>90</v>
      </c>
      <c r="K231" s="2" t="n"/>
      <c r="L231" s="2" t="n">
        <v>2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>
        <f>SUM(J231:U231)</f>
        <v/>
      </c>
      <c r="W231" s="2" t="n"/>
      <c r="X231" s="2" t="n"/>
      <c r="Y231" s="2" t="n"/>
      <c r="Z231" s="2" t="n"/>
      <c r="AA231" s="2" t="n">
        <v>2208</v>
      </c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>
        <f>IF(F231=1,V231*2,IF(F231=2,V231*F231*2,IF(F231&gt;2,F231*2*V231)))</f>
        <v/>
      </c>
      <c r="AW231" s="2">
        <f>SUM(W231:AU231)</f>
        <v/>
      </c>
    </row>
    <row r="232">
      <c r="A232" s="2" t="inlineStr">
        <is>
          <t>A14-S-LP/LP-B-N-015</t>
        </is>
      </c>
      <c r="B232" s="3" t="inlineStr">
        <is>
          <t>SOJC-SM-LC/PC-LC/PC</t>
        </is>
      </c>
      <c r="C232" s="2" t="inlineStr">
        <is>
          <t>908040268, 9M, B3, 2.0mm</t>
        </is>
      </c>
      <c r="D232" s="2" t="inlineStr">
        <is>
          <t>b3</t>
        </is>
      </c>
      <c r="E232" s="2" t="inlineStr">
        <is>
          <t>2.0mm</t>
        </is>
      </c>
      <c r="F232" s="2" t="n">
        <v>1</v>
      </c>
      <c r="G232" s="2" t="n">
        <v>9</v>
      </c>
      <c r="H232" s="2" t="inlineStr">
        <is>
          <t>LC/PC</t>
        </is>
      </c>
      <c r="I232" s="2" t="inlineStr">
        <is>
          <t>LC/PC</t>
        </is>
      </c>
      <c r="J232" s="2" t="n"/>
      <c r="K232" s="2" t="n">
        <v>20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>
        <f>SUM(J232:U232)</f>
        <v/>
      </c>
      <c r="W232" s="2" t="n">
        <v>40</v>
      </c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>
        <f>IF(F232=1,V232*2,IF(F232=2,V232*F232*2,IF(F232&gt;2,F232*2*V232)))</f>
        <v/>
      </c>
      <c r="AW232" s="2">
        <f>SUM(W232:AU232)</f>
        <v/>
      </c>
    </row>
    <row r="233">
      <c r="A233" s="2" t="inlineStr">
        <is>
          <t>A14-S-SA/FA-B-N-007</t>
        </is>
      </c>
      <c r="B233" s="3" t="inlineStr">
        <is>
          <t>SOJC-SM-SC/APC-FC/APC</t>
        </is>
      </c>
      <c r="C233" s="2" t="inlineStr">
        <is>
          <t>908040394, 25M, B3, 2.0mm</t>
        </is>
      </c>
      <c r="D233" s="2" t="inlineStr">
        <is>
          <t>b3</t>
        </is>
      </c>
      <c r="E233" s="2" t="inlineStr">
        <is>
          <t>2.0mm</t>
        </is>
      </c>
      <c r="F233" s="2" t="n">
        <v>1</v>
      </c>
      <c r="G233" s="2" t="n">
        <v>25</v>
      </c>
      <c r="H233" s="2" t="inlineStr">
        <is>
          <t>SC/APC</t>
        </is>
      </c>
      <c r="I233" s="2" t="inlineStr">
        <is>
          <t>FC/APC</t>
        </is>
      </c>
      <c r="J233" s="2" t="n"/>
      <c r="K233" s="2" t="n"/>
      <c r="L233" s="2" t="n">
        <v>10</v>
      </c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>
        <f>SUM(J233:U233)</f>
        <v/>
      </c>
      <c r="W233" s="2" t="n"/>
      <c r="X233" s="2" t="n"/>
      <c r="Y233" s="2" t="n"/>
      <c r="Z233" s="2" t="n"/>
      <c r="AA233" s="2" t="n"/>
      <c r="AB233" s="2" t="n"/>
      <c r="AC233" s="2" t="n">
        <v>10</v>
      </c>
      <c r="AD233" s="2" t="n"/>
      <c r="AE233" s="2" t="n"/>
      <c r="AF233" s="2" t="n"/>
      <c r="AG233" s="2" t="n">
        <v>10</v>
      </c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>
        <f>IF(F233=1,V233*2,IF(F233=2,V233*F233*2,IF(F233&gt;2,F233*2*V233)))</f>
        <v/>
      </c>
      <c r="AW233" s="2">
        <f>SUM(W233:AU233)</f>
        <v/>
      </c>
    </row>
    <row r="234">
      <c r="A234" s="2" t="inlineStr">
        <is>
          <t>A14-S-SA/LA-B-N-001</t>
        </is>
      </c>
      <c r="B234" s="3" t="inlineStr">
        <is>
          <t>SOJC-SM-SC/APC-LC/APC</t>
        </is>
      </c>
      <c r="C234" s="2" t="inlineStr">
        <is>
          <t>3M, G657.B3, 3.0mm</t>
        </is>
      </c>
      <c r="D234" s="2" t="inlineStr">
        <is>
          <t>b3</t>
        </is>
      </c>
      <c r="E234" s="2" t="inlineStr">
        <is>
          <t>3.0mm</t>
        </is>
      </c>
      <c r="F234" s="2" t="n">
        <v>1</v>
      </c>
      <c r="G234" s="2" t="n">
        <v>3</v>
      </c>
      <c r="H234" s="2" t="inlineStr">
        <is>
          <t>SC/APC</t>
        </is>
      </c>
      <c r="I234" s="2" t="inlineStr">
        <is>
          <t>LC/APC</t>
        </is>
      </c>
      <c r="J234" s="2" t="n">
        <v>50</v>
      </c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>
        <f>SUM(J234:U234)</f>
        <v/>
      </c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>
        <v>50</v>
      </c>
      <c r="AM234" s="2" t="n"/>
      <c r="AN234" s="2" t="n"/>
      <c r="AO234" s="2" t="n"/>
      <c r="AP234" s="2" t="n">
        <v>50</v>
      </c>
      <c r="AQ234" s="2" t="n"/>
      <c r="AR234" s="2" t="n"/>
      <c r="AS234" s="2" t="n"/>
      <c r="AT234" s="2" t="n"/>
      <c r="AU234" s="2" t="n"/>
      <c r="AV234" s="2">
        <f>IF(F234=1,V234*2,IF(F234=2,V234*F234*2,IF(F234&gt;2,F234*2*V234)))</f>
        <v/>
      </c>
      <c r="AW234" s="2">
        <f>SUM(W234:AU234)</f>
        <v/>
      </c>
    </row>
    <row r="235">
      <c r="A235" s="2" t="inlineStr">
        <is>
          <t>A14-S-SP/FA-B-N-008</t>
        </is>
      </c>
      <c r="B235" s="3" t="inlineStr">
        <is>
          <t>SOJC-SM-SC/PC-FC/APC</t>
        </is>
      </c>
      <c r="C235" s="2" t="inlineStr">
        <is>
          <t>908040339, 30M, B3, 2.0mm</t>
        </is>
      </c>
      <c r="D235" s="2" t="inlineStr">
        <is>
          <t>b3</t>
        </is>
      </c>
      <c r="E235" s="2" t="inlineStr">
        <is>
          <t>2.0mm</t>
        </is>
      </c>
      <c r="F235" s="2" t="n">
        <v>1</v>
      </c>
      <c r="G235" s="2" t="n">
        <v>30</v>
      </c>
      <c r="H235" s="2" t="inlineStr">
        <is>
          <t>SC/PC</t>
        </is>
      </c>
      <c r="I235" s="2" t="inlineStr">
        <is>
          <t>FC/APC</t>
        </is>
      </c>
      <c r="J235" s="2" t="n">
        <v>2</v>
      </c>
      <c r="K235" s="2" t="n"/>
      <c r="L235" s="2" t="n">
        <v>10</v>
      </c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>
        <f>SUM(J235:U235)</f>
        <v/>
      </c>
      <c r="W235" s="2" t="n"/>
      <c r="X235" s="2" t="n"/>
      <c r="Y235" s="2" t="n"/>
      <c r="Z235" s="2" t="n"/>
      <c r="AA235" s="2" t="n">
        <v>12</v>
      </c>
      <c r="AB235" s="2" t="n"/>
      <c r="AC235" s="2" t="n"/>
      <c r="AD235" s="2" t="n"/>
      <c r="AE235" s="2" t="n"/>
      <c r="AF235" s="2" t="n"/>
      <c r="AG235" s="2" t="n">
        <v>12</v>
      </c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>
        <f>IF(F235=1,V235*2,IF(F235=2,V235*F235*2,IF(F235&gt;2,F235*2*V235)))</f>
        <v/>
      </c>
      <c r="AW235" s="2">
        <f>SUM(W235:AU235)</f>
        <v/>
      </c>
    </row>
    <row r="236">
      <c r="A236" s="2" t="inlineStr">
        <is>
          <t>A14-S-SP/FA-B-N-014</t>
        </is>
      </c>
      <c r="B236" s="3" t="inlineStr">
        <is>
          <t>SOJC-SM-SC/PC-FC/APC</t>
        </is>
      </c>
      <c r="C236" s="2" t="inlineStr">
        <is>
          <t>908040317, 8M, B3, 2.0mm</t>
        </is>
      </c>
      <c r="D236" s="2" t="inlineStr">
        <is>
          <t>b3</t>
        </is>
      </c>
      <c r="E236" s="2" t="inlineStr">
        <is>
          <t>2.0mm</t>
        </is>
      </c>
      <c r="F236" s="2" t="n">
        <v>1</v>
      </c>
      <c r="G236" s="2" t="n">
        <v>8</v>
      </c>
      <c r="H236" s="2" t="inlineStr">
        <is>
          <t>SC/PC</t>
        </is>
      </c>
      <c r="I236" s="2" t="inlineStr">
        <is>
          <t>FC/APC</t>
        </is>
      </c>
      <c r="J236" s="2" t="n"/>
      <c r="K236" s="2" t="n"/>
      <c r="L236" s="2" t="n">
        <v>10</v>
      </c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>
        <f>SUM(J236:U236)</f>
        <v/>
      </c>
      <c r="W236" s="2" t="n"/>
      <c r="X236" s="2" t="n"/>
      <c r="Y236" s="2" t="n"/>
      <c r="Z236" s="2" t="n"/>
      <c r="AA236" s="2" t="n">
        <v>10</v>
      </c>
      <c r="AB236" s="2" t="n"/>
      <c r="AC236" s="2" t="n"/>
      <c r="AD236" s="2" t="n"/>
      <c r="AE236" s="2" t="n"/>
      <c r="AF236" s="2" t="n"/>
      <c r="AG236" s="2" t="n">
        <v>10</v>
      </c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>
        <f>IF(F236=1,V236*2,IF(F236=2,V236*F236*2,IF(F236&gt;2,F236*2*V236)))</f>
        <v/>
      </c>
      <c r="AW236" s="2">
        <f>SUM(W236:AU236)</f>
        <v/>
      </c>
    </row>
    <row r="237">
      <c r="A237" s="2" t="inlineStr">
        <is>
          <t>A14-S-SP/FP-B-N-007</t>
        </is>
      </c>
      <c r="B237" s="3" t="inlineStr">
        <is>
          <t>SOJC-SM-SC/PC-FC/PC</t>
        </is>
      </c>
      <c r="C237" s="2" t="inlineStr">
        <is>
          <t>908040309, 30M, B3, 2.0mm</t>
        </is>
      </c>
      <c r="D237" s="2" t="inlineStr">
        <is>
          <t>b3</t>
        </is>
      </c>
      <c r="E237" s="2" t="inlineStr">
        <is>
          <t>2.0mm</t>
        </is>
      </c>
      <c r="F237" s="2" t="n">
        <v>1</v>
      </c>
      <c r="G237" s="2" t="n">
        <v>30</v>
      </c>
      <c r="H237" s="2" t="inlineStr">
        <is>
          <t>SC/PC</t>
        </is>
      </c>
      <c r="I237" s="2" t="inlineStr">
        <is>
          <t>FC/PC</t>
        </is>
      </c>
      <c r="J237" s="2" t="n"/>
      <c r="K237" s="2" t="n"/>
      <c r="L237" s="2" t="n">
        <v>8</v>
      </c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>
        <f>SUM(J237:U237)</f>
        <v/>
      </c>
      <c r="W237" s="2" t="n"/>
      <c r="X237" s="2" t="n"/>
      <c r="Y237" s="2" t="n"/>
      <c r="Z237" s="2" t="n"/>
      <c r="AA237" s="2" t="n">
        <v>8</v>
      </c>
      <c r="AB237" s="2" t="n"/>
      <c r="AC237" s="2" t="n"/>
      <c r="AD237" s="2" t="n"/>
      <c r="AE237" s="2" t="n">
        <v>8</v>
      </c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>
        <f>IF(F237=1,V237*2,IF(F237=2,V237*F237*2,IF(F237&gt;2,F237*2*V237)))</f>
        <v/>
      </c>
      <c r="AW237" s="2">
        <f>SUM(W237:AU237)</f>
        <v/>
      </c>
    </row>
    <row r="238">
      <c r="A238" s="2" t="inlineStr">
        <is>
          <t>A14-S-SP/SA-B-N-008</t>
        </is>
      </c>
      <c r="B238" s="3" t="inlineStr">
        <is>
          <t>SOJC-SM-SC/PC-SC/APC</t>
        </is>
      </c>
      <c r="C238" s="2" t="inlineStr">
        <is>
          <t>908041449, 30M, B3, 2.0mm</t>
        </is>
      </c>
      <c r="D238" s="2" t="inlineStr">
        <is>
          <t>b3</t>
        </is>
      </c>
      <c r="E238" s="2" t="inlineStr">
        <is>
          <t>2.0mm</t>
        </is>
      </c>
      <c r="F238" s="2" t="n">
        <v>1</v>
      </c>
      <c r="G238" s="2" t="n">
        <v>30</v>
      </c>
      <c r="H238" s="2" t="inlineStr">
        <is>
          <t>SC/PC</t>
        </is>
      </c>
      <c r="I238" s="2" t="inlineStr">
        <is>
          <t>SC/APC</t>
        </is>
      </c>
      <c r="J238" s="2" t="n"/>
      <c r="K238" s="2" t="n">
        <v>10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>
        <f>SUM(J238:U238)</f>
        <v/>
      </c>
      <c r="W238" s="2" t="n"/>
      <c r="X238" s="2" t="n"/>
      <c r="Y238" s="2" t="n"/>
      <c r="Z238" s="2" t="n"/>
      <c r="AA238" s="2" t="n">
        <v>10</v>
      </c>
      <c r="AB238" s="2" t="n"/>
      <c r="AC238" s="2" t="n">
        <v>10</v>
      </c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>
        <f>IF(F238=1,V238*2,IF(F238=2,V238*F238*2,IF(F238&gt;2,F238*2*V238)))</f>
        <v/>
      </c>
      <c r="AW238" s="2">
        <f>SUM(W238:AU238)</f>
        <v/>
      </c>
    </row>
    <row r="239">
      <c r="A239" s="2" t="inlineStr">
        <is>
          <t>A14-S-SP/SA-B-N-013</t>
        </is>
      </c>
      <c r="B239" s="3" t="inlineStr">
        <is>
          <t>SOJC-SM-SC/PC-SC/APC</t>
        </is>
      </c>
      <c r="C239" s="2" t="inlineStr">
        <is>
          <t>908041426, 7M, B3, 2.0mm</t>
        </is>
      </c>
      <c r="D239" s="2" t="inlineStr">
        <is>
          <t>b3</t>
        </is>
      </c>
      <c r="E239" s="2" t="inlineStr">
        <is>
          <t>2.0mm</t>
        </is>
      </c>
      <c r="F239" s="2" t="n">
        <v>1</v>
      </c>
      <c r="G239" s="2" t="n">
        <v>7</v>
      </c>
      <c r="H239" s="2" t="inlineStr">
        <is>
          <t>SC/PC</t>
        </is>
      </c>
      <c r="I239" s="2" t="inlineStr">
        <is>
          <t>SC/APC</t>
        </is>
      </c>
      <c r="J239" s="2" t="n"/>
      <c r="K239" s="2" t="n"/>
      <c r="L239" s="2" t="n">
        <v>50</v>
      </c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>
        <f>SUM(J239:U239)</f>
        <v/>
      </c>
      <c r="W239" s="2" t="n"/>
      <c r="X239" s="2" t="n"/>
      <c r="Y239" s="2" t="n"/>
      <c r="Z239" s="2" t="n"/>
      <c r="AA239" s="2" t="n">
        <v>50</v>
      </c>
      <c r="AB239" s="2" t="n"/>
      <c r="AC239" s="2" t="n">
        <v>50</v>
      </c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>
        <f>IF(F239=1,V239*2,IF(F239=2,V239*F239*2,IF(F239&gt;2,F239*2*V239)))</f>
        <v/>
      </c>
      <c r="AW239" s="2">
        <f>SUM(W239:AU239)</f>
        <v/>
      </c>
    </row>
    <row r="240">
      <c r="A240" s="2" t="inlineStr">
        <is>
          <t>A14-SB-N072</t>
        </is>
      </c>
      <c r="B240" s="3" t="inlineStr">
        <is>
          <t>SOJC-SM-LC/PC-FC/PC</t>
        </is>
      </c>
      <c r="C240" s="2" t="inlineStr">
        <is>
          <t>908040155, 25M, B3, 2.0mm</t>
        </is>
      </c>
      <c r="D240" s="2" t="inlineStr">
        <is>
          <t>b3</t>
        </is>
      </c>
      <c r="E240" s="2" t="inlineStr">
        <is>
          <t>2.0mm</t>
        </is>
      </c>
      <c r="F240" s="2" t="n">
        <v>1</v>
      </c>
      <c r="G240" s="2" t="n">
        <v>25</v>
      </c>
      <c r="H240" s="2" t="inlineStr">
        <is>
          <t>LC/PC</t>
        </is>
      </c>
      <c r="I240" s="2" t="inlineStr">
        <is>
          <t>FC/PC</t>
        </is>
      </c>
      <c r="J240" s="2" t="n">
        <v>7</v>
      </c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>
        <f>SUM(J240:U240)</f>
        <v/>
      </c>
      <c r="W240" s="2" t="n">
        <v>7</v>
      </c>
      <c r="X240" s="2" t="n"/>
      <c r="Y240" s="2" t="n"/>
      <c r="Z240" s="2" t="n"/>
      <c r="AA240" s="2" t="n"/>
      <c r="AB240" s="2" t="n"/>
      <c r="AC240" s="2" t="n"/>
      <c r="AD240" s="2" t="n"/>
      <c r="AE240" s="2" t="n">
        <v>7</v>
      </c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>
        <f>IF(F240=1,V240*2,IF(F240=2,V240*F240*2,IF(F240&gt;2,F240*2*V240)))</f>
        <v/>
      </c>
      <c r="AW240" s="2">
        <f>SUM(W240:AU240)</f>
        <v/>
      </c>
    </row>
    <row r="241">
      <c r="A241" s="2" t="inlineStr">
        <is>
          <t>A14-SB-N080</t>
        </is>
      </c>
      <c r="B241" s="3" t="inlineStr">
        <is>
          <t>SOJC-SM-LC/PC-LC/APC</t>
        </is>
      </c>
      <c r="C241" s="2" t="inlineStr">
        <is>
          <t>15M, B3, 2.0mm</t>
        </is>
      </c>
      <c r="D241" s="2" t="inlineStr">
        <is>
          <t>b3</t>
        </is>
      </c>
      <c r="E241" s="2" t="inlineStr">
        <is>
          <t>2.0mm</t>
        </is>
      </c>
      <c r="F241" s="2" t="n">
        <v>1</v>
      </c>
      <c r="G241" s="2" t="n">
        <v>15</v>
      </c>
      <c r="H241" s="2" t="inlineStr">
        <is>
          <t>LC/PC</t>
        </is>
      </c>
      <c r="I241" s="2" t="inlineStr">
        <is>
          <t>LC/APC</t>
        </is>
      </c>
      <c r="J241" s="2" t="n"/>
      <c r="K241" s="2" t="n"/>
      <c r="L241" s="2" t="n">
        <v>9</v>
      </c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>
        <f>SUM(J241:U241)</f>
        <v/>
      </c>
      <c r="W241" s="2" t="n">
        <v>9</v>
      </c>
      <c r="X241" s="2" t="n"/>
      <c r="Y241" s="2" t="n">
        <v>9</v>
      </c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>
        <f>IF(F241=1,V241*2,IF(F241=2,V241*F241*2,IF(F241&gt;2,F241*2*V241)))</f>
        <v/>
      </c>
      <c r="AW241" s="2">
        <f>SUM(W241:AU241)</f>
        <v/>
      </c>
    </row>
    <row r="242">
      <c r="A242" s="2" t="inlineStr">
        <is>
          <t>A14-SB-N081</t>
        </is>
      </c>
      <c r="B242" s="3" t="inlineStr">
        <is>
          <t>SOJC-SM-LC/PC-LC/APC</t>
        </is>
      </c>
      <c r="C242" s="2" t="inlineStr">
        <is>
          <t>20M, B3, 2.0mm</t>
        </is>
      </c>
      <c r="D242" s="2" t="inlineStr">
        <is>
          <t>b3</t>
        </is>
      </c>
      <c r="E242" s="2" t="inlineStr">
        <is>
          <t>2.0mm</t>
        </is>
      </c>
      <c r="F242" s="2" t="n">
        <v>1</v>
      </c>
      <c r="G242" s="2" t="n">
        <v>20</v>
      </c>
      <c r="H242" s="2" t="inlineStr">
        <is>
          <t>LC/PC</t>
        </is>
      </c>
      <c r="I242" s="2" t="inlineStr">
        <is>
          <t>LC/APC</t>
        </is>
      </c>
      <c r="J242" s="2" t="n"/>
      <c r="K242" s="2" t="n"/>
      <c r="L242" s="2" t="n">
        <v>6</v>
      </c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>
        <f>SUM(J242:U242)</f>
        <v/>
      </c>
      <c r="W242" s="2" t="n">
        <v>6</v>
      </c>
      <c r="X242" s="2" t="n"/>
      <c r="Y242" s="2" t="n">
        <v>6</v>
      </c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>
        <f>IF(F242=1,V242*2,IF(F242=2,V242*F242*2,IF(F242&gt;2,F242*2*V242)))</f>
        <v/>
      </c>
      <c r="AW242" s="2">
        <f>SUM(W242:AU242)</f>
        <v/>
      </c>
    </row>
    <row r="243">
      <c r="A243" s="2" t="inlineStr">
        <is>
          <t>A14-SB-N082</t>
        </is>
      </c>
      <c r="B243" s="3" t="inlineStr">
        <is>
          <t>SOJC-SM-LC/PC-LC/APC</t>
        </is>
      </c>
      <c r="C243" s="2" t="inlineStr">
        <is>
          <t>25M, B3, 2.0mm</t>
        </is>
      </c>
      <c r="D243" s="2" t="inlineStr">
        <is>
          <t>b3</t>
        </is>
      </c>
      <c r="E243" s="2" t="inlineStr">
        <is>
          <t>2.0mm</t>
        </is>
      </c>
      <c r="F243" s="2" t="n">
        <v>1</v>
      </c>
      <c r="G243" s="2" t="n">
        <v>25</v>
      </c>
      <c r="H243" s="2" t="inlineStr">
        <is>
          <t>LC/PC</t>
        </is>
      </c>
      <c r="I243" s="2" t="inlineStr">
        <is>
          <t>LC/APC</t>
        </is>
      </c>
      <c r="J243" s="2" t="n"/>
      <c r="K243" s="2" t="n"/>
      <c r="L243" s="2" t="n">
        <v>10</v>
      </c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>
        <f>SUM(J243:U243)</f>
        <v/>
      </c>
      <c r="W243" s="2" t="n">
        <v>10</v>
      </c>
      <c r="X243" s="2" t="n"/>
      <c r="Y243" s="2" t="n">
        <v>10</v>
      </c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>
        <f>IF(F243=1,V243*2,IF(F243=2,V243*F243*2,IF(F243&gt;2,F243*2*V243)))</f>
        <v/>
      </c>
      <c r="AW243" s="2">
        <f>SUM(W243:AU243)</f>
        <v/>
      </c>
    </row>
    <row r="244">
      <c r="A244" s="2" t="inlineStr">
        <is>
          <t>A14-SB-N086</t>
        </is>
      </c>
      <c r="B244" s="3" t="inlineStr">
        <is>
          <t>SOJC-SM-LC/PC-LC/PC</t>
        </is>
      </c>
      <c r="C244" s="2" t="inlineStr">
        <is>
          <t>908040269, 10M, B3, 2.0mm</t>
        </is>
      </c>
      <c r="D244" s="2" t="inlineStr">
        <is>
          <t>b3</t>
        </is>
      </c>
      <c r="E244" s="2" t="inlineStr">
        <is>
          <t>2.0mm</t>
        </is>
      </c>
      <c r="F244" s="2" t="n">
        <v>1</v>
      </c>
      <c r="G244" s="2" t="n">
        <v>10</v>
      </c>
      <c r="H244" s="2" t="inlineStr">
        <is>
          <t>LC/PC</t>
        </is>
      </c>
      <c r="I244" s="2" t="inlineStr">
        <is>
          <t>LC/PC</t>
        </is>
      </c>
      <c r="J244" s="2" t="n">
        <v>21</v>
      </c>
      <c r="K244" s="2" t="n">
        <v>35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>
        <f>SUM(J244:U244)</f>
        <v/>
      </c>
      <c r="W244" s="2" t="n">
        <v>112</v>
      </c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>
        <f>IF(F244=1,V244*2,IF(F244=2,V244*F244*2,IF(F244&gt;2,F244*2*V244)))</f>
        <v/>
      </c>
      <c r="AW244" s="2">
        <f>SUM(W244:AU244)</f>
        <v/>
      </c>
    </row>
    <row r="245">
      <c r="A245" s="2" t="inlineStr">
        <is>
          <t>A14-SB-N088</t>
        </is>
      </c>
      <c r="B245" s="3" t="inlineStr">
        <is>
          <t>SOJC-SM-LC/PC-LC/PC</t>
        </is>
      </c>
      <c r="C245" s="2" t="inlineStr">
        <is>
          <t>13M, B3, 2.0mm</t>
        </is>
      </c>
      <c r="D245" s="2" t="inlineStr">
        <is>
          <t>b3</t>
        </is>
      </c>
      <c r="E245" s="2" t="inlineStr">
        <is>
          <t>2.0mm</t>
        </is>
      </c>
      <c r="F245" s="2" t="n">
        <v>1</v>
      </c>
      <c r="G245" s="2" t="n">
        <v>13</v>
      </c>
      <c r="H245" s="2" t="inlineStr">
        <is>
          <t>LC/PC</t>
        </is>
      </c>
      <c r="I245" s="2" t="inlineStr">
        <is>
          <t>LC/PC</t>
        </is>
      </c>
      <c r="J245" s="2" t="n"/>
      <c r="K245" s="2" t="n">
        <v>10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>
        <f>SUM(J245:U245)</f>
        <v/>
      </c>
      <c r="W245" s="2" t="n">
        <v>20</v>
      </c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>
        <f>IF(F245=1,V245*2,IF(F245=2,V245*F245*2,IF(F245&gt;2,F245*2*V245)))</f>
        <v/>
      </c>
      <c r="AW245" s="2">
        <f>SUM(W245:AU245)</f>
        <v/>
      </c>
    </row>
    <row r="246">
      <c r="A246" s="2" t="inlineStr">
        <is>
          <t>A14-SB-N090</t>
        </is>
      </c>
      <c r="B246" s="3" t="inlineStr">
        <is>
          <t>SOJC-SM-LC/PC-LC/PC</t>
        </is>
      </c>
      <c r="C246" s="2" t="inlineStr">
        <is>
          <t>16M, B3, 2.0mm</t>
        </is>
      </c>
      <c r="D246" s="2" t="inlineStr">
        <is>
          <t>b3</t>
        </is>
      </c>
      <c r="E246" s="2" t="inlineStr">
        <is>
          <t>2.0mm</t>
        </is>
      </c>
      <c r="F246" s="2" t="n">
        <v>1</v>
      </c>
      <c r="G246" s="2" t="n">
        <v>16</v>
      </c>
      <c r="H246" s="2" t="inlineStr">
        <is>
          <t>LC/PC</t>
        </is>
      </c>
      <c r="I246" s="2" t="inlineStr">
        <is>
          <t>LC/PC</t>
        </is>
      </c>
      <c r="J246" s="2" t="n"/>
      <c r="K246" s="2" t="n">
        <v>10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>
        <f>SUM(J246:U246)</f>
        <v/>
      </c>
      <c r="W246" s="2" t="n">
        <v>20</v>
      </c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>
        <f>IF(F246=1,V246*2,IF(F246=2,V246*F246*2,IF(F246&gt;2,F246*2*V246)))</f>
        <v/>
      </c>
      <c r="AW246" s="2">
        <f>SUM(W246:AU246)</f>
        <v/>
      </c>
    </row>
    <row r="247">
      <c r="A247" s="2" t="inlineStr">
        <is>
          <t>A14-SB-N091</t>
        </is>
      </c>
      <c r="B247" s="3" t="inlineStr">
        <is>
          <t>SOJC-SM-LC/PC-LC/PC</t>
        </is>
      </c>
      <c r="C247" s="2" t="inlineStr">
        <is>
          <t>17M, B3, 2.0mm</t>
        </is>
      </c>
      <c r="D247" s="2" t="inlineStr">
        <is>
          <t>b3</t>
        </is>
      </c>
      <c r="E247" s="2" t="inlineStr">
        <is>
          <t>2.0mm</t>
        </is>
      </c>
      <c r="F247" s="2" t="n">
        <v>1</v>
      </c>
      <c r="G247" s="2" t="n">
        <v>17</v>
      </c>
      <c r="H247" s="2" t="inlineStr">
        <is>
          <t>LC/PC</t>
        </is>
      </c>
      <c r="I247" s="2" t="inlineStr">
        <is>
          <t>LC/PC</t>
        </is>
      </c>
      <c r="J247" s="2" t="n"/>
      <c r="K247" s="2" t="n">
        <v>10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>
        <f>SUM(J247:U247)</f>
        <v/>
      </c>
      <c r="W247" s="2" t="n">
        <v>20</v>
      </c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>
        <f>IF(F247=1,V247*2,IF(F247=2,V247*F247*2,IF(F247&gt;2,F247*2*V247)))</f>
        <v/>
      </c>
      <c r="AW247" s="2">
        <f>SUM(W247:AU247)</f>
        <v/>
      </c>
    </row>
    <row r="248">
      <c r="A248" s="2" t="inlineStr">
        <is>
          <t>A14-SB-N092</t>
        </is>
      </c>
      <c r="B248" s="3" t="inlineStr">
        <is>
          <t>SOJC-SM-LC/PC-LC/PC</t>
        </is>
      </c>
      <c r="C248" s="2" t="inlineStr">
        <is>
          <t>18M, B3, 2.0mm</t>
        </is>
      </c>
      <c r="D248" s="2" t="inlineStr">
        <is>
          <t>b3</t>
        </is>
      </c>
      <c r="E248" s="2" t="inlineStr">
        <is>
          <t>2.0mm</t>
        </is>
      </c>
      <c r="F248" s="2" t="n">
        <v>1</v>
      </c>
      <c r="G248" s="2" t="n">
        <v>18</v>
      </c>
      <c r="H248" s="2" t="inlineStr">
        <is>
          <t>LC/PC</t>
        </is>
      </c>
      <c r="I248" s="2" t="inlineStr">
        <is>
          <t>LC/PC</t>
        </is>
      </c>
      <c r="J248" s="2" t="n"/>
      <c r="K248" s="2" t="n">
        <v>10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>
        <f>SUM(J248:U248)</f>
        <v/>
      </c>
      <c r="W248" s="2" t="n">
        <v>20</v>
      </c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>
        <f>IF(F248=1,V248*2,IF(F248=2,V248*F248*2,IF(F248&gt;2,F248*2*V248)))</f>
        <v/>
      </c>
      <c r="AW248" s="2">
        <f>SUM(W248:AU248)</f>
        <v/>
      </c>
    </row>
    <row r="249">
      <c r="A249" s="2" t="inlineStr">
        <is>
          <t>A14-SB-N093</t>
        </is>
      </c>
      <c r="B249" s="3" t="inlineStr">
        <is>
          <t>SOJC-SM-LC/PC-LC/PC</t>
        </is>
      </c>
      <c r="C249" s="2" t="inlineStr">
        <is>
          <t>908040261, 1M, B3, 3.0mm</t>
        </is>
      </c>
      <c r="D249" s="2" t="inlineStr">
        <is>
          <t>b3</t>
        </is>
      </c>
      <c r="E249" s="2" t="inlineStr">
        <is>
          <t>3.0mm</t>
        </is>
      </c>
      <c r="F249" s="2" t="n">
        <v>1</v>
      </c>
      <c r="G249" s="2" t="n">
        <v>1</v>
      </c>
      <c r="H249" s="2" t="inlineStr">
        <is>
          <t>LC/PC</t>
        </is>
      </c>
      <c r="I249" s="2" t="inlineStr">
        <is>
          <t>LC/PC</t>
        </is>
      </c>
      <c r="J249" s="2" t="n">
        <v>2</v>
      </c>
      <c r="K249" s="2" t="n"/>
      <c r="L249" s="2" t="n">
        <v>200</v>
      </c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>
        <f>SUM(J249:U249)</f>
        <v/>
      </c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>
        <v>404</v>
      </c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>
        <f>IF(F249=1,V249*2,IF(F249=2,V249*F249*2,IF(F249&gt;2,F249*2*V249)))</f>
        <v/>
      </c>
      <c r="AW249" s="2">
        <f>SUM(W249:AU249)</f>
        <v/>
      </c>
    </row>
    <row r="250">
      <c r="A250" s="2" t="inlineStr">
        <is>
          <t>A14-SB-N096</t>
        </is>
      </c>
      <c r="B250" s="3" t="inlineStr">
        <is>
          <t>SOJC-SM-LC/PC-LC/PC</t>
        </is>
      </c>
      <c r="C250" s="2" t="inlineStr">
        <is>
          <t>908040284, 25M, B3, 2.0mm</t>
        </is>
      </c>
      <c r="D250" s="2" t="inlineStr">
        <is>
          <t>b3</t>
        </is>
      </c>
      <c r="E250" s="2" t="inlineStr">
        <is>
          <t>2.0mm</t>
        </is>
      </c>
      <c r="F250" s="2" t="n">
        <v>1</v>
      </c>
      <c r="G250" s="2" t="n">
        <v>25</v>
      </c>
      <c r="H250" s="2" t="inlineStr">
        <is>
          <t>LC/PC</t>
        </is>
      </c>
      <c r="I250" s="2" t="inlineStr">
        <is>
          <t>LC/PC</t>
        </is>
      </c>
      <c r="J250" s="2" t="n"/>
      <c r="K250" s="2" t="n"/>
      <c r="L250" s="2" t="n">
        <v>23</v>
      </c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>
        <f>SUM(J250:U250)</f>
        <v/>
      </c>
      <c r="W250" s="2" t="n">
        <v>46</v>
      </c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>
        <f>IF(F250=1,V250*2,IF(F250=2,V250*F250*2,IF(F250&gt;2,F250*2*V250)))</f>
        <v/>
      </c>
      <c r="AW250" s="2">
        <f>SUM(W250:AU250)</f>
        <v/>
      </c>
    </row>
    <row r="251">
      <c r="A251" s="2" t="inlineStr">
        <is>
          <t>A14-SB-N100</t>
        </is>
      </c>
      <c r="B251" s="3" t="inlineStr">
        <is>
          <t>SOJC-SM-LC/PC-LC/PC</t>
        </is>
      </c>
      <c r="C251" s="2" t="inlineStr">
        <is>
          <t>80M, B3, 3.0mm</t>
        </is>
      </c>
      <c r="D251" s="2" t="inlineStr">
        <is>
          <t>b3</t>
        </is>
      </c>
      <c r="E251" s="2" t="inlineStr">
        <is>
          <t>3.0mm</t>
        </is>
      </c>
      <c r="F251" s="2" t="n">
        <v>1</v>
      </c>
      <c r="G251" s="2" t="n">
        <v>80</v>
      </c>
      <c r="H251" s="2" t="inlineStr">
        <is>
          <t>LC/PC</t>
        </is>
      </c>
      <c r="I251" s="2" t="inlineStr">
        <is>
          <t>LC/PC</t>
        </is>
      </c>
      <c r="J251" s="2" t="n"/>
      <c r="K251" s="2" t="n">
        <v>1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>
        <f>SUM(J251:U251)</f>
        <v/>
      </c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>
        <v>2</v>
      </c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>
        <f>IF(F251=1,V251*2,IF(F251=2,V251*F251*2,IF(F251&gt;2,F251*2*V251)))</f>
        <v/>
      </c>
      <c r="AW251" s="2">
        <f>SUM(W251:AU251)</f>
        <v/>
      </c>
    </row>
    <row r="252">
      <c r="A252" s="2" t="inlineStr">
        <is>
          <t>A14-SB-N105</t>
        </is>
      </c>
      <c r="B252" s="3" t="inlineStr">
        <is>
          <t>SOJC-SM-LC/PC-LC/PC</t>
        </is>
      </c>
      <c r="C252" s="2" t="inlineStr">
        <is>
          <t>908040265, 6M, B3, 2.0mm</t>
        </is>
      </c>
      <c r="D252" s="2" t="inlineStr">
        <is>
          <t>b3</t>
        </is>
      </c>
      <c r="E252" s="2" t="inlineStr">
        <is>
          <t>2.0mm</t>
        </is>
      </c>
      <c r="F252" s="2" t="n">
        <v>1</v>
      </c>
      <c r="G252" s="2" t="n">
        <v>6</v>
      </c>
      <c r="H252" s="2" t="inlineStr">
        <is>
          <t>LC/PC</t>
        </is>
      </c>
      <c r="I252" s="2" t="inlineStr">
        <is>
          <t>LC/PC</t>
        </is>
      </c>
      <c r="J252" s="2" t="n"/>
      <c r="K252" s="2" t="n">
        <v>20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>
        <f>SUM(J252:U252)</f>
        <v/>
      </c>
      <c r="W252" s="2" t="n">
        <v>40</v>
      </c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>
        <f>IF(F252=1,V252*2,IF(F252=2,V252*F252*2,IF(F252&gt;2,F252*2*V252)))</f>
        <v/>
      </c>
      <c r="AW252" s="2">
        <f>SUM(W252:AU252)</f>
        <v/>
      </c>
    </row>
    <row r="253">
      <c r="A253" s="2" t="inlineStr">
        <is>
          <t>A14-SB-N106</t>
        </is>
      </c>
      <c r="B253" s="3" t="inlineStr">
        <is>
          <t>SOJC-SM-LC/PC-LC/PC</t>
        </is>
      </c>
      <c r="C253" s="2" t="inlineStr">
        <is>
          <t>908040266, 7M, B3, 2.0mm</t>
        </is>
      </c>
      <c r="D253" s="2" t="inlineStr">
        <is>
          <t>b3</t>
        </is>
      </c>
      <c r="E253" s="2" t="inlineStr">
        <is>
          <t>2.0mm</t>
        </is>
      </c>
      <c r="F253" s="2" t="n">
        <v>1</v>
      </c>
      <c r="G253" s="2" t="n">
        <v>7</v>
      </c>
      <c r="H253" s="2" t="inlineStr">
        <is>
          <t>LC/PC</t>
        </is>
      </c>
      <c r="I253" s="2" t="inlineStr">
        <is>
          <t>LC/PC</t>
        </is>
      </c>
      <c r="J253" s="2" t="n"/>
      <c r="K253" s="2" t="n">
        <v>20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>
        <f>SUM(J253:U253)</f>
        <v/>
      </c>
      <c r="W253" s="2" t="n">
        <v>40</v>
      </c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>
        <f>IF(F253=1,V253*2,IF(F253=2,V253*F253*2,IF(F253&gt;2,F253*2*V253)))</f>
        <v/>
      </c>
      <c r="AW253" s="2">
        <f>SUM(W253:AU253)</f>
        <v/>
      </c>
    </row>
    <row r="254">
      <c r="A254" s="2" t="inlineStr">
        <is>
          <t>A14-SB-N107</t>
        </is>
      </c>
      <c r="B254" s="3" t="inlineStr">
        <is>
          <t>SOJC-SM-LC/PC-LC/PC</t>
        </is>
      </c>
      <c r="C254" s="2" t="inlineStr">
        <is>
          <t>908040267, 8M, B3, 2.0mm</t>
        </is>
      </c>
      <c r="D254" s="2" t="inlineStr">
        <is>
          <t>b3</t>
        </is>
      </c>
      <c r="E254" s="2" t="inlineStr">
        <is>
          <t>2.0mm</t>
        </is>
      </c>
      <c r="F254" s="2" t="n">
        <v>1</v>
      </c>
      <c r="G254" s="2" t="n">
        <v>8</v>
      </c>
      <c r="H254" s="2" t="inlineStr">
        <is>
          <t>LC/PC</t>
        </is>
      </c>
      <c r="I254" s="2" t="inlineStr">
        <is>
          <t>LC/PC</t>
        </is>
      </c>
      <c r="J254" s="2" t="n"/>
      <c r="K254" s="2" t="n">
        <v>20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>
        <f>SUM(J254:U254)</f>
        <v/>
      </c>
      <c r="W254" s="2" t="n">
        <v>40</v>
      </c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>
        <f>IF(F254=1,V254*2,IF(F254=2,V254*F254*2,IF(F254&gt;2,F254*2*V254)))</f>
        <v/>
      </c>
      <c r="AW254" s="2">
        <f>SUM(W254:AU254)</f>
        <v/>
      </c>
    </row>
    <row r="255">
      <c r="A255" s="2" t="inlineStr">
        <is>
          <t>A14-SB-N114</t>
        </is>
      </c>
      <c r="B255" s="3" t="inlineStr">
        <is>
          <t>SOJC-SM-LC/PC-SC/APC</t>
        </is>
      </c>
      <c r="C255" s="2" t="inlineStr">
        <is>
          <t>920000749, 15M, B3, 2.0mm</t>
        </is>
      </c>
      <c r="D255" s="2" t="inlineStr">
        <is>
          <t>b3</t>
        </is>
      </c>
      <c r="E255" s="2" t="inlineStr">
        <is>
          <t>2.0mm</t>
        </is>
      </c>
      <c r="F255" s="2" t="n">
        <v>1</v>
      </c>
      <c r="G255" s="2" t="n">
        <v>15</v>
      </c>
      <c r="H255" s="2" t="inlineStr">
        <is>
          <t>LC/PC</t>
        </is>
      </c>
      <c r="I255" s="2" t="inlineStr">
        <is>
          <t>SC/APC</t>
        </is>
      </c>
      <c r="J255" s="2" t="n"/>
      <c r="K255" s="2" t="n"/>
      <c r="L255" s="2" t="n">
        <v>30</v>
      </c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>
        <f>SUM(J255:U255)</f>
        <v/>
      </c>
      <c r="W255" s="2" t="n">
        <v>30</v>
      </c>
      <c r="X255" s="2" t="n"/>
      <c r="Y255" s="2" t="n"/>
      <c r="Z255" s="2" t="n"/>
      <c r="AA255" s="2" t="n"/>
      <c r="AB255" s="2" t="n"/>
      <c r="AC255" s="2" t="n">
        <v>30</v>
      </c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>
        <f>IF(F255=1,V255*2,IF(F255=2,V255*F255*2,IF(F255&gt;2,F255*2*V255)))</f>
        <v/>
      </c>
      <c r="AW255" s="2">
        <f>SUM(W255:AU255)</f>
        <v/>
      </c>
    </row>
    <row r="256">
      <c r="A256" s="2" t="inlineStr">
        <is>
          <t>A14-SB-N130</t>
        </is>
      </c>
      <c r="B256" s="3" t="inlineStr">
        <is>
          <t>SOJC-SM-LC/PC-SC/PC</t>
        </is>
      </c>
      <c r="C256" s="2" t="inlineStr">
        <is>
          <t>908040170, 10M, B3, 2.0mm</t>
        </is>
      </c>
      <c r="D256" s="2" t="inlineStr">
        <is>
          <t>b3</t>
        </is>
      </c>
      <c r="E256" s="2" t="inlineStr">
        <is>
          <t>2.0mm</t>
        </is>
      </c>
      <c r="F256" s="2" t="n">
        <v>1</v>
      </c>
      <c r="G256" s="2" t="n">
        <v>10</v>
      </c>
      <c r="H256" s="2" t="inlineStr">
        <is>
          <t>LC/PC</t>
        </is>
      </c>
      <c r="I256" s="2" t="inlineStr">
        <is>
          <t>SC/PC</t>
        </is>
      </c>
      <c r="J256" s="2" t="n"/>
      <c r="K256" s="2" t="n">
        <v>2</v>
      </c>
      <c r="L256" s="2" t="n">
        <v>195</v>
      </c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>
        <f>SUM(J256:U256)</f>
        <v/>
      </c>
      <c r="W256" s="2" t="n">
        <v>197</v>
      </c>
      <c r="X256" s="2" t="n"/>
      <c r="Y256" s="2" t="n"/>
      <c r="Z256" s="2" t="n"/>
      <c r="AA256" s="2" t="n">
        <v>197</v>
      </c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>
        <f>IF(F256=1,V256*2,IF(F256=2,V256*F256*2,IF(F256&gt;2,F256*2*V256)))</f>
        <v/>
      </c>
      <c r="AW256" s="2">
        <f>SUM(W256:AU256)</f>
        <v/>
      </c>
    </row>
    <row r="257">
      <c r="A257" s="2" t="inlineStr">
        <is>
          <t>A14-SB-N132</t>
        </is>
      </c>
      <c r="B257" s="3" t="inlineStr">
        <is>
          <t>SOJC-SM-LC/PC-SC/PC</t>
        </is>
      </c>
      <c r="C257" s="2" t="inlineStr">
        <is>
          <t>12M, B3, 2.0mm</t>
        </is>
      </c>
      <c r="D257" s="2" t="inlineStr">
        <is>
          <t>b3</t>
        </is>
      </c>
      <c r="E257" s="2" t="inlineStr">
        <is>
          <t>2.0mm</t>
        </is>
      </c>
      <c r="F257" s="2" t="n">
        <v>1</v>
      </c>
      <c r="G257" s="2" t="n">
        <v>12</v>
      </c>
      <c r="H257" s="2" t="inlineStr">
        <is>
          <t>LC/PC</t>
        </is>
      </c>
      <c r="I257" s="2" t="inlineStr">
        <is>
          <t>SC/PC</t>
        </is>
      </c>
      <c r="J257" s="2" t="n"/>
      <c r="K257" s="2" t="n">
        <v>20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>
        <f>SUM(J257:U257)</f>
        <v/>
      </c>
      <c r="W257" s="2" t="n">
        <v>20</v>
      </c>
      <c r="X257" s="2" t="n"/>
      <c r="Y257" s="2" t="n"/>
      <c r="Z257" s="2" t="n"/>
      <c r="AA257" s="2" t="n">
        <v>20</v>
      </c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>
        <f>IF(F257=1,V257*2,IF(F257=2,V257*F257*2,IF(F257&gt;2,F257*2*V257)))</f>
        <v/>
      </c>
      <c r="AW257" s="2">
        <f>SUM(W257:AU257)</f>
        <v/>
      </c>
    </row>
    <row r="258">
      <c r="A258" s="2" t="inlineStr">
        <is>
          <t>A14-SB-N141</t>
        </is>
      </c>
      <c r="B258" s="3" t="inlineStr">
        <is>
          <t>SOJC-SM-LC/PC-SC/PC</t>
        </is>
      </c>
      <c r="C258" s="2" t="inlineStr">
        <is>
          <t>908040185, 25M, B3, 2.0mm</t>
        </is>
      </c>
      <c r="D258" s="2" t="inlineStr">
        <is>
          <t>b3</t>
        </is>
      </c>
      <c r="E258" s="2" t="inlineStr">
        <is>
          <t>2.0mm</t>
        </is>
      </c>
      <c r="F258" s="2" t="n">
        <v>1</v>
      </c>
      <c r="G258" s="2" t="n">
        <v>25</v>
      </c>
      <c r="H258" s="2" t="inlineStr">
        <is>
          <t>LC/PC</t>
        </is>
      </c>
      <c r="I258" s="2" t="inlineStr">
        <is>
          <t>SC/PC</t>
        </is>
      </c>
      <c r="J258" s="2" t="n">
        <v>18</v>
      </c>
      <c r="K258" s="2" t="n">
        <v>90</v>
      </c>
      <c r="L258" s="2" t="n">
        <v>20</v>
      </c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>
        <f>SUM(J258:U258)</f>
        <v/>
      </c>
      <c r="W258" s="2" t="n">
        <v>128</v>
      </c>
      <c r="X258" s="2" t="n"/>
      <c r="Y258" s="2" t="n"/>
      <c r="Z258" s="2" t="n"/>
      <c r="AA258" s="2" t="n">
        <v>128</v>
      </c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>
        <f>IF(F258=1,V258*2,IF(F258=2,V258*F258*2,IF(F258&gt;2,F258*2*V258)))</f>
        <v/>
      </c>
      <c r="AW258" s="2">
        <f>SUM(W258:AU258)</f>
        <v/>
      </c>
    </row>
    <row r="259">
      <c r="A259" s="2" t="inlineStr">
        <is>
          <t>A14-SB-N144</t>
        </is>
      </c>
      <c r="B259" s="3" t="inlineStr">
        <is>
          <t>SOJC-SM-LC/PC-SC/PC</t>
        </is>
      </c>
      <c r="C259" s="2" t="inlineStr">
        <is>
          <t>908040190, 30M, B3, 2.0mm</t>
        </is>
      </c>
      <c r="D259" s="2" t="inlineStr">
        <is>
          <t>b3</t>
        </is>
      </c>
      <c r="E259" s="2" t="inlineStr">
        <is>
          <t>2.0mm</t>
        </is>
      </c>
      <c r="F259" s="2" t="n">
        <v>1</v>
      </c>
      <c r="G259" s="2" t="n">
        <v>30</v>
      </c>
      <c r="H259" s="2" t="inlineStr">
        <is>
          <t>LC/PC</t>
        </is>
      </c>
      <c r="I259" s="2" t="inlineStr">
        <is>
          <t>SC/PC</t>
        </is>
      </c>
      <c r="J259" s="2" t="n"/>
      <c r="K259" s="2" t="n"/>
      <c r="L259" s="2" t="n">
        <v>22</v>
      </c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>
        <f>SUM(J259:U259)</f>
        <v/>
      </c>
      <c r="W259" s="2" t="n">
        <v>22</v>
      </c>
      <c r="X259" s="2" t="n"/>
      <c r="Y259" s="2" t="n"/>
      <c r="Z259" s="2" t="n"/>
      <c r="AA259" s="2" t="n">
        <v>22</v>
      </c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>
        <f>IF(F259=1,V259*2,IF(F259=2,V259*F259*2,IF(F259&gt;2,F259*2*V259)))</f>
        <v/>
      </c>
      <c r="AW259" s="2">
        <f>SUM(W259:AU259)</f>
        <v/>
      </c>
    </row>
    <row r="260">
      <c r="A260" s="2" t="inlineStr">
        <is>
          <t>A14-SB-N146</t>
        </is>
      </c>
      <c r="B260" s="3" t="inlineStr">
        <is>
          <t>SOJC-SM-LC/PC-SC/PC</t>
        </is>
      </c>
      <c r="C260" s="2" t="inlineStr">
        <is>
          <t>908040161, 3M, B3, 3.0mm</t>
        </is>
      </c>
      <c r="D260" s="2" t="inlineStr">
        <is>
          <t>b3</t>
        </is>
      </c>
      <c r="E260" s="2" t="inlineStr">
        <is>
          <t>3.0mm</t>
        </is>
      </c>
      <c r="F260" s="2" t="n">
        <v>1</v>
      </c>
      <c r="G260" s="2" t="n">
        <v>3</v>
      </c>
      <c r="H260" s="2" t="inlineStr">
        <is>
          <t>LC/PC</t>
        </is>
      </c>
      <c r="I260" s="2" t="inlineStr">
        <is>
          <t>SC/PC</t>
        </is>
      </c>
      <c r="J260" s="2" t="n"/>
      <c r="K260" s="2" t="n">
        <v>62</v>
      </c>
      <c r="L260" s="2" t="n">
        <v>100</v>
      </c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>
        <f>SUM(J260:U260)</f>
        <v/>
      </c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>
        <v>162</v>
      </c>
      <c r="AK260" s="2" t="n"/>
      <c r="AL260" s="2" t="n"/>
      <c r="AM260" s="2" t="n"/>
      <c r="AN260" s="2" t="n">
        <v>162</v>
      </c>
      <c r="AO260" s="2" t="n"/>
      <c r="AP260" s="2" t="n"/>
      <c r="AQ260" s="2" t="n"/>
      <c r="AR260" s="2" t="n"/>
      <c r="AS260" s="2" t="n"/>
      <c r="AT260" s="2" t="n"/>
      <c r="AU260" s="2" t="n"/>
      <c r="AV260" s="2">
        <f>IF(F260=1,V260*2,IF(F260=2,V260*F260*2,IF(F260&gt;2,F260*2*V260)))</f>
        <v/>
      </c>
      <c r="AW260" s="2">
        <f>SUM(W260:AU260)</f>
        <v/>
      </c>
    </row>
    <row r="261">
      <c r="A261" s="2" t="inlineStr">
        <is>
          <t>A14-SB-N151</t>
        </is>
      </c>
      <c r="B261" s="3" t="inlineStr">
        <is>
          <t>SOJC-SM-LC/PC-SC/PC</t>
        </is>
      </c>
      <c r="C261" s="2" t="inlineStr">
        <is>
          <t>908040167, 7M, B3, 2.0mm</t>
        </is>
      </c>
      <c r="D261" s="2" t="inlineStr">
        <is>
          <t>b3</t>
        </is>
      </c>
      <c r="E261" s="2" t="inlineStr">
        <is>
          <t>2.0mm</t>
        </is>
      </c>
      <c r="F261" s="2" t="n">
        <v>1</v>
      </c>
      <c r="G261" s="2" t="n">
        <v>7</v>
      </c>
      <c r="H261" s="2" t="inlineStr">
        <is>
          <t>LC/PC</t>
        </is>
      </c>
      <c r="I261" s="2" t="inlineStr">
        <is>
          <t>SC/PC</t>
        </is>
      </c>
      <c r="J261" s="2" t="n"/>
      <c r="K261" s="2" t="n"/>
      <c r="L261" s="2" t="n">
        <v>70</v>
      </c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>
        <f>SUM(J261:U261)</f>
        <v/>
      </c>
      <c r="W261" s="2" t="n">
        <v>70</v>
      </c>
      <c r="X261" s="2" t="n"/>
      <c r="Y261" s="2" t="n"/>
      <c r="Z261" s="2" t="n"/>
      <c r="AA261" s="2" t="n">
        <v>70</v>
      </c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>
        <f>IF(F261=1,V261*2,IF(F261=2,V261*F261*2,IF(F261&gt;2,F261*2*V261)))</f>
        <v/>
      </c>
      <c r="AW261" s="2">
        <f>SUM(W261:AU261)</f>
        <v/>
      </c>
    </row>
    <row r="262">
      <c r="A262" s="2" t="inlineStr">
        <is>
          <t>A14-SB-N152</t>
        </is>
      </c>
      <c r="B262" s="3" t="inlineStr">
        <is>
          <t>SOJC-SM-LC/PC-SC/PC</t>
        </is>
      </c>
      <c r="C262" s="2" t="inlineStr">
        <is>
          <t>908040168, 8M, B3, 2.0mm</t>
        </is>
      </c>
      <c r="D262" s="2" t="inlineStr">
        <is>
          <t>b3</t>
        </is>
      </c>
      <c r="E262" s="2" t="inlineStr">
        <is>
          <t>2.0mm</t>
        </is>
      </c>
      <c r="F262" s="2" t="n">
        <v>1</v>
      </c>
      <c r="G262" s="2" t="n">
        <v>8</v>
      </c>
      <c r="H262" s="2" t="inlineStr">
        <is>
          <t>LC/PC</t>
        </is>
      </c>
      <c r="I262" s="2" t="inlineStr">
        <is>
          <t>SC/PC</t>
        </is>
      </c>
      <c r="J262" s="2" t="n"/>
      <c r="K262" s="2" t="n"/>
      <c r="L262" s="2" t="n">
        <v>40</v>
      </c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>
        <f>SUM(J262:U262)</f>
        <v/>
      </c>
      <c r="W262" s="2" t="n">
        <v>40</v>
      </c>
      <c r="X262" s="2" t="n"/>
      <c r="Y262" s="2" t="n"/>
      <c r="Z262" s="2" t="n"/>
      <c r="AA262" s="2" t="n">
        <v>40</v>
      </c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>
        <f>IF(F262=1,V262*2,IF(F262=2,V262*F262*2,IF(F262&gt;2,F262*2*V262)))</f>
        <v/>
      </c>
      <c r="AW262" s="2">
        <f>SUM(W262:AU262)</f>
        <v/>
      </c>
    </row>
    <row r="263">
      <c r="A263" s="2" t="inlineStr">
        <is>
          <t>A14-SB-N193</t>
        </is>
      </c>
      <c r="B263" s="3" t="inlineStr">
        <is>
          <t>SOJC-SM-SC/PC-FC/APC</t>
        </is>
      </c>
      <c r="C263" s="2" t="inlineStr">
        <is>
          <t>908040319, 10M, B3, 2.0mm</t>
        </is>
      </c>
      <c r="D263" s="2" t="inlineStr">
        <is>
          <t>b3</t>
        </is>
      </c>
      <c r="E263" s="2" t="inlineStr">
        <is>
          <t>2.0mm</t>
        </is>
      </c>
      <c r="F263" s="2" t="n">
        <v>1</v>
      </c>
      <c r="G263" s="2" t="n">
        <v>10</v>
      </c>
      <c r="H263" s="2" t="inlineStr">
        <is>
          <t>SC/PC</t>
        </is>
      </c>
      <c r="I263" s="2" t="inlineStr">
        <is>
          <t>FC/APC</t>
        </is>
      </c>
      <c r="J263" s="2" t="n">
        <v>30</v>
      </c>
      <c r="K263" s="2" t="n">
        <v>30</v>
      </c>
      <c r="L263" s="2" t="n">
        <v>105</v>
      </c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>
        <f>SUM(J263:U263)</f>
        <v/>
      </c>
      <c r="W263" s="2" t="n"/>
      <c r="X263" s="2" t="n"/>
      <c r="Y263" s="2" t="n"/>
      <c r="Z263" s="2" t="n"/>
      <c r="AA263" s="2" t="n">
        <v>165</v>
      </c>
      <c r="AB263" s="2" t="n"/>
      <c r="AC263" s="2" t="n"/>
      <c r="AD263" s="2" t="n"/>
      <c r="AE263" s="2" t="n"/>
      <c r="AF263" s="2" t="n"/>
      <c r="AG263" s="2" t="n">
        <v>165</v>
      </c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>
        <f>IF(F263=1,V263*2,IF(F263=2,V263*F263*2,IF(F263&gt;2,F263*2*V263)))</f>
        <v/>
      </c>
      <c r="AW263" s="2">
        <f>SUM(W263:AU263)</f>
        <v/>
      </c>
    </row>
    <row r="264">
      <c r="A264" s="2" t="inlineStr">
        <is>
          <t>A14-SB-N198</t>
        </is>
      </c>
      <c r="B264" s="3" t="inlineStr">
        <is>
          <t>SOJC-SM-SC/PC-FC/APC</t>
        </is>
      </c>
      <c r="C264" s="2" t="inlineStr">
        <is>
          <t>908040324, 15M, B3, 2.0mm</t>
        </is>
      </c>
      <c r="D264" s="2" t="inlineStr">
        <is>
          <t>b3</t>
        </is>
      </c>
      <c r="E264" s="2" t="inlineStr">
        <is>
          <t>2.0mm</t>
        </is>
      </c>
      <c r="F264" s="2" t="n">
        <v>1</v>
      </c>
      <c r="G264" s="2" t="n">
        <v>15</v>
      </c>
      <c r="H264" s="2" t="inlineStr">
        <is>
          <t>SC/PC</t>
        </is>
      </c>
      <c r="I264" s="2" t="inlineStr">
        <is>
          <t>FC/APC</t>
        </is>
      </c>
      <c r="J264" s="2" t="n">
        <v>81</v>
      </c>
      <c r="K264" s="2" t="n">
        <v>53</v>
      </c>
      <c r="L264" s="2" t="n">
        <v>70</v>
      </c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>
        <f>SUM(J264:U264)</f>
        <v/>
      </c>
      <c r="W264" s="2" t="n"/>
      <c r="X264" s="2" t="n"/>
      <c r="Y264" s="2" t="n"/>
      <c r="Z264" s="2" t="n"/>
      <c r="AA264" s="2" t="n">
        <v>204</v>
      </c>
      <c r="AB264" s="2" t="n"/>
      <c r="AC264" s="2" t="n"/>
      <c r="AD264" s="2" t="n"/>
      <c r="AE264" s="2" t="n"/>
      <c r="AF264" s="2" t="n"/>
      <c r="AG264" s="2" t="n">
        <v>204</v>
      </c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>
        <f>IF(F264=1,V264*2,IF(F264=2,V264*F264*2,IF(F264&gt;2,F264*2*V264)))</f>
        <v/>
      </c>
      <c r="AW264" s="2">
        <f>SUM(W264:AU264)</f>
        <v/>
      </c>
    </row>
    <row r="265">
      <c r="A265" s="2" t="inlineStr">
        <is>
          <t>A14-SB-N200</t>
        </is>
      </c>
      <c r="B265" s="3" t="inlineStr">
        <is>
          <t>SOJC-SM-SC/PC-FC/APC</t>
        </is>
      </c>
      <c r="C265" s="2" t="inlineStr">
        <is>
          <t>908040329, 20M, B3, 2.0mm</t>
        </is>
      </c>
      <c r="D265" s="2" t="inlineStr">
        <is>
          <t>b3</t>
        </is>
      </c>
      <c r="E265" s="2" t="inlineStr">
        <is>
          <t>2.0mm</t>
        </is>
      </c>
      <c r="F265" s="2" t="n">
        <v>1</v>
      </c>
      <c r="G265" s="2" t="n">
        <v>20</v>
      </c>
      <c r="H265" s="2" t="inlineStr">
        <is>
          <t>SC/PC</t>
        </is>
      </c>
      <c r="I265" s="2" t="inlineStr">
        <is>
          <t>FC/APC</t>
        </is>
      </c>
      <c r="J265" s="2" t="n">
        <v>94</v>
      </c>
      <c r="K265" s="2" t="n"/>
      <c r="L265" s="2" t="n">
        <v>5</v>
      </c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>
        <f>SUM(J265:U265)</f>
        <v/>
      </c>
      <c r="W265" s="2" t="n"/>
      <c r="X265" s="2" t="n"/>
      <c r="Y265" s="2" t="n"/>
      <c r="Z265" s="2" t="n"/>
      <c r="AA265" s="2" t="n">
        <v>99</v>
      </c>
      <c r="AB265" s="2" t="n"/>
      <c r="AC265" s="2" t="n"/>
      <c r="AD265" s="2" t="n"/>
      <c r="AE265" s="2" t="n"/>
      <c r="AF265" s="2" t="n"/>
      <c r="AG265" s="2" t="n">
        <v>99</v>
      </c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>
        <f>IF(F265=1,V265*2,IF(F265=2,V265*F265*2,IF(F265&gt;2,F265*2*V265)))</f>
        <v/>
      </c>
      <c r="AW265" s="2">
        <f>SUM(W265:AU265)</f>
        <v/>
      </c>
    </row>
    <row r="266">
      <c r="A266" s="2" t="inlineStr">
        <is>
          <t>A14-SB-N203</t>
        </is>
      </c>
      <c r="B266" s="3" t="inlineStr">
        <is>
          <t>SOJC-SM-SC/PC-FC/APC</t>
        </is>
      </c>
      <c r="C266" s="2" t="inlineStr">
        <is>
          <t>908040334, 25M, B3, 2.0mm</t>
        </is>
      </c>
      <c r="D266" s="2" t="inlineStr">
        <is>
          <t>b3</t>
        </is>
      </c>
      <c r="E266" s="2" t="inlineStr">
        <is>
          <t>2.0mm</t>
        </is>
      </c>
      <c r="F266" s="2" t="n">
        <v>1</v>
      </c>
      <c r="G266" s="2" t="n">
        <v>25</v>
      </c>
      <c r="H266" s="2" t="inlineStr">
        <is>
          <t>SC/PC</t>
        </is>
      </c>
      <c r="I266" s="2" t="inlineStr">
        <is>
          <t>FC/APC</t>
        </is>
      </c>
      <c r="J266" s="2" t="n">
        <v>72</v>
      </c>
      <c r="K266" s="2" t="n">
        <v>17</v>
      </c>
      <c r="L266" s="2" t="n">
        <v>10</v>
      </c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>
        <f>SUM(J266:U266)</f>
        <v/>
      </c>
      <c r="W266" s="2" t="n"/>
      <c r="X266" s="2" t="n"/>
      <c r="Y266" s="2" t="n"/>
      <c r="Z266" s="2" t="n"/>
      <c r="AA266" s="2" t="n">
        <v>99</v>
      </c>
      <c r="AB266" s="2" t="n"/>
      <c r="AC266" s="2" t="n"/>
      <c r="AD266" s="2" t="n"/>
      <c r="AE266" s="2" t="n"/>
      <c r="AF266" s="2" t="n"/>
      <c r="AG266" s="2" t="n">
        <v>99</v>
      </c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>
        <f>IF(F266=1,V266*2,IF(F266=2,V266*F266*2,IF(F266&gt;2,F266*2*V266)))</f>
        <v/>
      </c>
      <c r="AW266" s="2">
        <f>SUM(W266:AU266)</f>
        <v/>
      </c>
    </row>
    <row r="267">
      <c r="A267" s="2" t="inlineStr">
        <is>
          <t>A14-SB-N206</t>
        </is>
      </c>
      <c r="B267" s="3" t="inlineStr">
        <is>
          <t>SOJC-SM-SC/PC-FC/APC</t>
        </is>
      </c>
      <c r="C267" s="2" t="inlineStr">
        <is>
          <t>35M, B3, 2.0mm</t>
        </is>
      </c>
      <c r="D267" s="2" t="inlineStr">
        <is>
          <t>b3</t>
        </is>
      </c>
      <c r="E267" s="2" t="inlineStr">
        <is>
          <t>2.0mm</t>
        </is>
      </c>
      <c r="F267" s="2" t="n">
        <v>1</v>
      </c>
      <c r="G267" s="2" t="n">
        <v>35</v>
      </c>
      <c r="H267" s="2" t="inlineStr">
        <is>
          <t>SC/PC</t>
        </is>
      </c>
      <c r="I267" s="2" t="inlineStr">
        <is>
          <t>FC/APC</t>
        </is>
      </c>
      <c r="J267" s="2" t="n"/>
      <c r="K267" s="2" t="n">
        <v>10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>
        <f>SUM(J267:U267)</f>
        <v/>
      </c>
      <c r="W267" s="2" t="n"/>
      <c r="X267" s="2" t="n"/>
      <c r="Y267" s="2" t="n"/>
      <c r="Z267" s="2" t="n"/>
      <c r="AA267" s="2" t="n">
        <v>10</v>
      </c>
      <c r="AB267" s="2" t="n"/>
      <c r="AC267" s="2" t="n"/>
      <c r="AD267" s="2" t="n"/>
      <c r="AE267" s="2" t="n"/>
      <c r="AF267" s="2" t="n"/>
      <c r="AG267" s="2" t="n">
        <v>10</v>
      </c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>
        <f>IF(F267=1,V267*2,IF(F267=2,V267*F267*2,IF(F267&gt;2,F267*2*V267)))</f>
        <v/>
      </c>
      <c r="AW267" s="2">
        <f>SUM(W267:AU267)</f>
        <v/>
      </c>
    </row>
    <row r="268">
      <c r="A268" s="2" t="inlineStr">
        <is>
          <t>A14-SB-N207</t>
        </is>
      </c>
      <c r="B268" s="3" t="inlineStr">
        <is>
          <t>SOJC-SM-SC/PC-FC/APC</t>
        </is>
      </c>
      <c r="C268" s="2" t="inlineStr">
        <is>
          <t>908040310, 3M, B3, 3.0mm</t>
        </is>
      </c>
      <c r="D268" s="2" t="inlineStr">
        <is>
          <t>b3</t>
        </is>
      </c>
      <c r="E268" s="2" t="inlineStr">
        <is>
          <t>3.0mm</t>
        </is>
      </c>
      <c r="F268" s="2" t="n">
        <v>1</v>
      </c>
      <c r="G268" s="2" t="n">
        <v>3</v>
      </c>
      <c r="H268" s="2" t="inlineStr">
        <is>
          <t>SC/PC</t>
        </is>
      </c>
      <c r="I268" s="2" t="inlineStr">
        <is>
          <t>FC/APC</t>
        </is>
      </c>
      <c r="J268" s="2" t="n"/>
      <c r="K268" s="2" t="n">
        <v>30</v>
      </c>
      <c r="L268" s="2" t="n">
        <v>55</v>
      </c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>
        <f>SUM(J268:U268)</f>
        <v/>
      </c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>
        <v>85</v>
      </c>
      <c r="AO268" s="2" t="n"/>
      <c r="AP268" s="2" t="n"/>
      <c r="AQ268" s="2" t="n"/>
      <c r="AR268" s="2" t="n"/>
      <c r="AS268" s="2" t="n"/>
      <c r="AT268" s="2" t="n">
        <v>85</v>
      </c>
      <c r="AU268" s="2" t="n"/>
      <c r="AV268" s="2">
        <f>IF(F268=1,V268*2,IF(F268=2,V268*F268*2,IF(F268&gt;2,F268*2*V268)))</f>
        <v/>
      </c>
      <c r="AW268" s="2">
        <f>SUM(W268:AU268)</f>
        <v/>
      </c>
    </row>
    <row r="269">
      <c r="A269" s="2" t="inlineStr">
        <is>
          <t>A14-SB-N210</t>
        </is>
      </c>
      <c r="B269" s="3" t="inlineStr">
        <is>
          <t>SOJC-SM-SC/PC-FC/APC</t>
        </is>
      </c>
      <c r="C269" s="2" t="inlineStr">
        <is>
          <t>908040314, 5M, B3, 3.0mm</t>
        </is>
      </c>
      <c r="D269" s="2" t="inlineStr">
        <is>
          <t>b3</t>
        </is>
      </c>
      <c r="E269" s="2" t="inlineStr">
        <is>
          <t>3.0mm</t>
        </is>
      </c>
      <c r="F269" s="2" t="n">
        <v>1</v>
      </c>
      <c r="G269" s="2" t="n">
        <v>5</v>
      </c>
      <c r="H269" s="2" t="inlineStr">
        <is>
          <t>SC/PC</t>
        </is>
      </c>
      <c r="I269" s="2" t="inlineStr">
        <is>
          <t>FC/APC</t>
        </is>
      </c>
      <c r="J269" s="2" t="n"/>
      <c r="K269" s="2" t="n">
        <v>20</v>
      </c>
      <c r="L269" s="2" t="n">
        <v>10</v>
      </c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>
        <f>SUM(J269:U269)</f>
        <v/>
      </c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>
        <v>30</v>
      </c>
      <c r="AO269" s="2" t="n"/>
      <c r="AP269" s="2" t="n"/>
      <c r="AQ269" s="2" t="n"/>
      <c r="AR269" s="2" t="n"/>
      <c r="AS269" s="2" t="n"/>
      <c r="AT269" s="2" t="n">
        <v>30</v>
      </c>
      <c r="AU269" s="2" t="n"/>
      <c r="AV269" s="2">
        <f>IF(F269=1,V269*2,IF(F269=2,V269*F269*2,IF(F269&gt;2,F269*2*V269)))</f>
        <v/>
      </c>
      <c r="AW269" s="2">
        <f>SUM(W269:AU269)</f>
        <v/>
      </c>
    </row>
    <row r="270">
      <c r="A270" s="2" t="inlineStr">
        <is>
          <t>A14-SB-N215</t>
        </is>
      </c>
      <c r="B270" s="3" t="inlineStr">
        <is>
          <t>SOJC-SM-SC/PC-FC/PC</t>
        </is>
      </c>
      <c r="C270" s="2" t="inlineStr">
        <is>
          <t>908041380, 10M, B3, 2.0mm</t>
        </is>
      </c>
      <c r="D270" s="2" t="inlineStr">
        <is>
          <t>b3</t>
        </is>
      </c>
      <c r="E270" s="2" t="inlineStr">
        <is>
          <t>2.0mm</t>
        </is>
      </c>
      <c r="F270" s="2" t="n">
        <v>1</v>
      </c>
      <c r="G270" s="2" t="n">
        <v>10</v>
      </c>
      <c r="H270" s="2" t="inlineStr">
        <is>
          <t>SC/PC</t>
        </is>
      </c>
      <c r="I270" s="2" t="inlineStr">
        <is>
          <t>FC/PC</t>
        </is>
      </c>
      <c r="J270" s="2" t="n"/>
      <c r="K270" s="2" t="n"/>
      <c r="L270" s="2" t="n">
        <v>21</v>
      </c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>
        <f>SUM(J270:U270)</f>
        <v/>
      </c>
      <c r="W270" s="2" t="n"/>
      <c r="X270" s="2" t="n"/>
      <c r="Y270" s="2" t="n"/>
      <c r="Z270" s="2" t="n"/>
      <c r="AA270" s="2" t="n">
        <v>21</v>
      </c>
      <c r="AB270" s="2" t="n"/>
      <c r="AC270" s="2" t="n"/>
      <c r="AD270" s="2" t="n"/>
      <c r="AE270" s="2" t="n">
        <v>21</v>
      </c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>
        <f>IF(F270=1,V270*2,IF(F270=2,V270*F270*2,IF(F270&gt;2,F270*2*V270)))</f>
        <v/>
      </c>
      <c r="AW270" s="2">
        <f>SUM(W270:AU270)</f>
        <v/>
      </c>
    </row>
    <row r="271">
      <c r="A271" s="2" t="inlineStr">
        <is>
          <t>A14-SB-N220</t>
        </is>
      </c>
      <c r="B271" s="3" t="inlineStr">
        <is>
          <t>SOJC-SM-SC/PC-FC/PC</t>
        </is>
      </c>
      <c r="C271" s="2" t="inlineStr">
        <is>
          <t>908040299, 20M, B3, 2.0mm</t>
        </is>
      </c>
      <c r="D271" s="2" t="inlineStr">
        <is>
          <t>b3</t>
        </is>
      </c>
      <c r="E271" s="2" t="inlineStr">
        <is>
          <t>2.0mm</t>
        </is>
      </c>
      <c r="F271" s="2" t="n">
        <v>1</v>
      </c>
      <c r="G271" s="2" t="n">
        <v>20</v>
      </c>
      <c r="H271" s="2" t="inlineStr">
        <is>
          <t>SC/PC</t>
        </is>
      </c>
      <c r="I271" s="2" t="inlineStr">
        <is>
          <t>FC/PC</t>
        </is>
      </c>
      <c r="J271" s="2" t="n"/>
      <c r="K271" s="2" t="n"/>
      <c r="L271" s="2" t="n">
        <v>15</v>
      </c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>
        <f>SUM(J271:U271)</f>
        <v/>
      </c>
      <c r="W271" s="2" t="n"/>
      <c r="X271" s="2" t="n"/>
      <c r="Y271" s="2" t="n"/>
      <c r="Z271" s="2" t="n"/>
      <c r="AA271" s="2" t="n">
        <v>15</v>
      </c>
      <c r="AB271" s="2" t="n"/>
      <c r="AC271" s="2" t="n"/>
      <c r="AD271" s="2" t="n"/>
      <c r="AE271" s="2" t="n">
        <v>15</v>
      </c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>
        <f>IF(F271=1,V271*2,IF(F271=2,V271*F271*2,IF(F271&gt;2,F271*2*V271)))</f>
        <v/>
      </c>
      <c r="AW271" s="2">
        <f>SUM(W271:AU271)</f>
        <v/>
      </c>
    </row>
    <row r="272">
      <c r="A272" s="2" t="inlineStr">
        <is>
          <t>A14-SB-N221</t>
        </is>
      </c>
      <c r="B272" s="3" t="inlineStr">
        <is>
          <t>SOJC-SM-SC/PC-FC/PC</t>
        </is>
      </c>
      <c r="C272" s="2" t="inlineStr">
        <is>
          <t>908040304, 25M, B3, 2.0mm</t>
        </is>
      </c>
      <c r="D272" s="2" t="inlineStr">
        <is>
          <t>b3</t>
        </is>
      </c>
      <c r="E272" s="2" t="inlineStr">
        <is>
          <t>2.0mm</t>
        </is>
      </c>
      <c r="F272" s="2" t="n">
        <v>1</v>
      </c>
      <c r="G272" s="2" t="n">
        <v>25</v>
      </c>
      <c r="H272" s="2" t="inlineStr">
        <is>
          <t>SC/PC</t>
        </is>
      </c>
      <c r="I272" s="2" t="inlineStr">
        <is>
          <t>FC/PC</t>
        </is>
      </c>
      <c r="J272" s="2" t="n"/>
      <c r="K272" s="2" t="n"/>
      <c r="L272" s="2" t="n">
        <v>45</v>
      </c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>
        <f>SUM(J272:U272)</f>
        <v/>
      </c>
      <c r="W272" s="2" t="n"/>
      <c r="X272" s="2" t="n"/>
      <c r="Y272" s="2" t="n"/>
      <c r="Z272" s="2" t="n"/>
      <c r="AA272" s="2" t="n">
        <v>45</v>
      </c>
      <c r="AB272" s="2" t="n"/>
      <c r="AC272" s="2" t="n"/>
      <c r="AD272" s="2" t="n"/>
      <c r="AE272" s="2" t="n">
        <v>45</v>
      </c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>
        <f>IF(F272=1,V272*2,IF(F272=2,V272*F272*2,IF(F272&gt;2,F272*2*V272)))</f>
        <v/>
      </c>
      <c r="AW272" s="2">
        <f>SUM(W272:AU272)</f>
        <v/>
      </c>
    </row>
    <row r="273">
      <c r="A273" s="2" t="inlineStr">
        <is>
          <t>A14-SB-N234</t>
        </is>
      </c>
      <c r="B273" s="3" t="inlineStr">
        <is>
          <t>SOJC-SM-SC/PC-SC/APC</t>
        </is>
      </c>
      <c r="C273" s="2" t="inlineStr">
        <is>
          <t>908041429, 10M, B3, 2.0mm</t>
        </is>
      </c>
      <c r="D273" s="2" t="inlineStr">
        <is>
          <t>b3</t>
        </is>
      </c>
      <c r="E273" s="2" t="inlineStr">
        <is>
          <t>2.0mm</t>
        </is>
      </c>
      <c r="F273" s="2" t="n">
        <v>1</v>
      </c>
      <c r="G273" s="2" t="n">
        <v>10</v>
      </c>
      <c r="H273" s="2" t="inlineStr">
        <is>
          <t>SC/PC</t>
        </is>
      </c>
      <c r="I273" s="2" t="inlineStr">
        <is>
          <t>SC/APC</t>
        </is>
      </c>
      <c r="J273" s="2" t="n"/>
      <c r="K273" s="2" t="n"/>
      <c r="L273" s="2" t="n">
        <v>17</v>
      </c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>
        <f>SUM(J273:U273)</f>
        <v/>
      </c>
      <c r="W273" s="2" t="n"/>
      <c r="X273" s="2" t="n"/>
      <c r="Y273" s="2" t="n"/>
      <c r="Z273" s="2" t="n"/>
      <c r="AA273" s="2" t="n">
        <v>17</v>
      </c>
      <c r="AB273" s="2" t="n"/>
      <c r="AC273" s="2" t="n">
        <v>17</v>
      </c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>
        <f>IF(F273=1,V273*2,IF(F273=2,V273*F273*2,IF(F273&gt;2,F273*2*V273)))</f>
        <v/>
      </c>
      <c r="AW273" s="2">
        <f>SUM(W273:AU273)</f>
        <v/>
      </c>
    </row>
    <row r="274">
      <c r="A274" s="2" t="inlineStr">
        <is>
          <t>A14-SB-N237</t>
        </is>
      </c>
      <c r="B274" s="3" t="inlineStr">
        <is>
          <t>SOJC-SM-SC/PC-SC/APC</t>
        </is>
      </c>
      <c r="C274" s="2" t="inlineStr">
        <is>
          <t>908041434, 15M, B3, 2.0mm</t>
        </is>
      </c>
      <c r="D274" s="2" t="inlineStr">
        <is>
          <t>b3</t>
        </is>
      </c>
      <c r="E274" s="2" t="inlineStr">
        <is>
          <t>2.0mm</t>
        </is>
      </c>
      <c r="F274" s="2" t="n">
        <v>1</v>
      </c>
      <c r="G274" s="2" t="n">
        <v>15</v>
      </c>
      <c r="H274" s="2" t="inlineStr">
        <is>
          <t>SC/PC</t>
        </is>
      </c>
      <c r="I274" s="2" t="inlineStr">
        <is>
          <t>SC/APC</t>
        </is>
      </c>
      <c r="J274" s="2" t="n"/>
      <c r="K274" s="2" t="n">
        <v>50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>
        <f>SUM(J274:U274)</f>
        <v/>
      </c>
      <c r="W274" s="2" t="n"/>
      <c r="X274" s="2" t="n"/>
      <c r="Y274" s="2" t="n"/>
      <c r="Z274" s="2" t="n"/>
      <c r="AA274" s="2" t="n">
        <v>50</v>
      </c>
      <c r="AB274" s="2" t="n"/>
      <c r="AC274" s="2" t="n">
        <v>50</v>
      </c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>
        <f>IF(F274=1,V274*2,IF(F274=2,V274*F274*2,IF(F274&gt;2,F274*2*V274)))</f>
        <v/>
      </c>
      <c r="AW274" s="2">
        <f>SUM(W274:AU274)</f>
        <v/>
      </c>
    </row>
    <row r="275">
      <c r="A275" s="2" t="inlineStr">
        <is>
          <t>A14-SB-N245</t>
        </is>
      </c>
      <c r="B275" s="3" t="inlineStr">
        <is>
          <t>SOJC-SM-SC/PC-SC/APC</t>
        </is>
      </c>
      <c r="C275" s="2" t="inlineStr">
        <is>
          <t>908041422, 2M, B3, 3.0mm</t>
        </is>
      </c>
      <c r="D275" s="2" t="inlineStr">
        <is>
          <t>b3</t>
        </is>
      </c>
      <c r="E275" s="2" t="inlineStr">
        <is>
          <t>3.0mm</t>
        </is>
      </c>
      <c r="F275" s="2" t="n">
        <v>1</v>
      </c>
      <c r="G275" s="2" t="n">
        <v>2</v>
      </c>
      <c r="H275" s="2" t="inlineStr">
        <is>
          <t>SC/PC</t>
        </is>
      </c>
      <c r="I275" s="2" t="inlineStr">
        <is>
          <t>SC/APC</t>
        </is>
      </c>
      <c r="J275" s="2" t="n"/>
      <c r="K275" s="2" t="n">
        <v>43</v>
      </c>
      <c r="L275" s="2" t="n">
        <v>400</v>
      </c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>
        <f>SUM(J275:U275)</f>
        <v/>
      </c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>
        <v>443</v>
      </c>
      <c r="AO275" s="2" t="n"/>
      <c r="AP275" s="2" t="n">
        <v>443</v>
      </c>
      <c r="AQ275" s="2" t="n"/>
      <c r="AR275" s="2" t="n"/>
      <c r="AS275" s="2" t="n"/>
      <c r="AT275" s="2" t="n"/>
      <c r="AU275" s="2" t="n"/>
      <c r="AV275" s="2">
        <f>IF(F275=1,V275*2,IF(F275=2,V275*F275*2,IF(F275&gt;2,F275*2*V275)))</f>
        <v/>
      </c>
      <c r="AW275" s="2">
        <f>SUM(W275:AU275)</f>
        <v/>
      </c>
    </row>
    <row r="276">
      <c r="A276" s="2" t="inlineStr">
        <is>
          <t>A14-SB-N249</t>
        </is>
      </c>
      <c r="B276" s="3" t="inlineStr">
        <is>
          <t>SOJC-SM-SC/PC-SC/APC</t>
        </is>
      </c>
      <c r="C276" s="2" t="inlineStr">
        <is>
          <t>908041420, 3M, B3, 3.0mm</t>
        </is>
      </c>
      <c r="D276" s="2" t="inlineStr">
        <is>
          <t>b3</t>
        </is>
      </c>
      <c r="E276" s="2" t="inlineStr">
        <is>
          <t>3.0mm</t>
        </is>
      </c>
      <c r="F276" s="2" t="n">
        <v>1</v>
      </c>
      <c r="G276" s="2" t="n">
        <v>3</v>
      </c>
      <c r="H276" s="2" t="inlineStr">
        <is>
          <t>SC/PC</t>
        </is>
      </c>
      <c r="I276" s="2" t="inlineStr">
        <is>
          <t>SC/APC</t>
        </is>
      </c>
      <c r="J276" s="2" t="n">
        <v>163</v>
      </c>
      <c r="K276" s="2" t="n">
        <v>800</v>
      </c>
      <c r="L276" s="2" t="n">
        <v>2230</v>
      </c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>
        <f>SUM(J276:U276)</f>
        <v/>
      </c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>
        <v>3193</v>
      </c>
      <c r="AO276" s="2" t="n"/>
      <c r="AP276" s="2" t="n">
        <v>3193</v>
      </c>
      <c r="AQ276" s="2" t="n"/>
      <c r="AR276" s="2" t="n"/>
      <c r="AS276" s="2" t="n"/>
      <c r="AT276" s="2" t="n"/>
      <c r="AU276" s="2" t="n"/>
      <c r="AV276" s="2">
        <f>IF(F276=1,V276*2,IF(F276=2,V276*F276*2,IF(F276&gt;2,F276*2*V276)))</f>
        <v/>
      </c>
      <c r="AW276" s="2">
        <f>SUM(W276:AU276)</f>
        <v/>
      </c>
    </row>
    <row r="277">
      <c r="A277" s="2" t="inlineStr">
        <is>
          <t>A14-SB-N259</t>
        </is>
      </c>
      <c r="B277" s="3" t="inlineStr">
        <is>
          <t>SOJC-SM-SC/PC-SC/PC</t>
        </is>
      </c>
      <c r="C277" s="2" t="inlineStr">
        <is>
          <t>12M, B3, 2.0mm</t>
        </is>
      </c>
      <c r="D277" s="2" t="inlineStr">
        <is>
          <t>b3</t>
        </is>
      </c>
      <c r="E277" s="2" t="inlineStr">
        <is>
          <t>2.0mm</t>
        </is>
      </c>
      <c r="F277" s="2" t="n">
        <v>1</v>
      </c>
      <c r="G277" s="2" t="n">
        <v>12</v>
      </c>
      <c r="H277" s="2" t="inlineStr">
        <is>
          <t>SC/PC</t>
        </is>
      </c>
      <c r="I277" s="2" t="inlineStr">
        <is>
          <t>SC/PC</t>
        </is>
      </c>
      <c r="J277" s="2" t="n">
        <v>100</v>
      </c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>
        <f>SUM(J277:U277)</f>
        <v/>
      </c>
      <c r="W277" s="2" t="n"/>
      <c r="X277" s="2" t="n"/>
      <c r="Y277" s="2" t="n"/>
      <c r="Z277" s="2" t="n"/>
      <c r="AA277" s="2" t="n">
        <v>200</v>
      </c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>
        <f>IF(F277=1,V277*2,IF(F277=2,V277*F277*2,IF(F277&gt;2,F277*2*V277)))</f>
        <v/>
      </c>
      <c r="AW277" s="2">
        <f>SUM(W277:AU277)</f>
        <v/>
      </c>
    </row>
    <row r="278">
      <c r="A278" s="2" t="inlineStr">
        <is>
          <t>A14-SB-N263</t>
        </is>
      </c>
      <c r="B278" s="3" t="inlineStr">
        <is>
          <t>SOJC-SM-SC/PC-SC/PC</t>
        </is>
      </c>
      <c r="C278" s="2" t="inlineStr">
        <is>
          <t>908041409, 20M, B3, 2.0mm</t>
        </is>
      </c>
      <c r="D278" s="2" t="inlineStr">
        <is>
          <t>b3</t>
        </is>
      </c>
      <c r="E278" s="2" t="inlineStr">
        <is>
          <t>2.0mm</t>
        </is>
      </c>
      <c r="F278" s="2" t="n">
        <v>1</v>
      </c>
      <c r="G278" s="2" t="n">
        <v>20</v>
      </c>
      <c r="H278" s="2" t="inlineStr">
        <is>
          <t>SC/PC</t>
        </is>
      </c>
      <c r="I278" s="2" t="inlineStr">
        <is>
          <t>SC/PC</t>
        </is>
      </c>
      <c r="J278" s="2" t="n">
        <v>16</v>
      </c>
      <c r="K278" s="2" t="n">
        <v>40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>
        <f>SUM(J278:U278)</f>
        <v/>
      </c>
      <c r="W278" s="2" t="n"/>
      <c r="X278" s="2" t="n"/>
      <c r="Y278" s="2" t="n"/>
      <c r="Z278" s="2" t="n"/>
      <c r="AA278" s="2" t="n">
        <v>112</v>
      </c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>
        <f>IF(F278=1,V278*2,IF(F278=2,V278*F278*2,IF(F278&gt;2,F278*2*V278)))</f>
        <v/>
      </c>
      <c r="AW278" s="2">
        <f>SUM(W278:AU278)</f>
        <v/>
      </c>
    </row>
    <row r="279">
      <c r="A279" s="2" t="inlineStr">
        <is>
          <t>A14-SB-N264</t>
        </is>
      </c>
      <c r="B279" s="3" t="inlineStr">
        <is>
          <t>SOJC-SM-SC/PC-SC/PC</t>
        </is>
      </c>
      <c r="C279" s="2" t="inlineStr">
        <is>
          <t>908041414, 25M, B3, 2.0mm</t>
        </is>
      </c>
      <c r="D279" s="2" t="inlineStr">
        <is>
          <t>b3</t>
        </is>
      </c>
      <c r="E279" s="2" t="inlineStr">
        <is>
          <t>2.0mm</t>
        </is>
      </c>
      <c r="F279" s="2" t="n">
        <v>1</v>
      </c>
      <c r="G279" s="2" t="n">
        <v>25</v>
      </c>
      <c r="H279" s="2" t="inlineStr">
        <is>
          <t>SC/PC</t>
        </is>
      </c>
      <c r="I279" s="2" t="inlineStr">
        <is>
          <t>SC/PC</t>
        </is>
      </c>
      <c r="J279" s="2" t="n">
        <v>27</v>
      </c>
      <c r="K279" s="2" t="n"/>
      <c r="L279" s="2" t="n">
        <v>3</v>
      </c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>
        <f>SUM(J279:U279)</f>
        <v/>
      </c>
      <c r="W279" s="2" t="n"/>
      <c r="X279" s="2" t="n"/>
      <c r="Y279" s="2" t="n"/>
      <c r="Z279" s="2" t="n"/>
      <c r="AA279" s="2" t="n">
        <v>60</v>
      </c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>
        <f>IF(F279=1,V279*2,IF(F279=2,V279*F279*2,IF(F279&gt;2,F279*2*V279)))</f>
        <v/>
      </c>
      <c r="AW279" s="2">
        <f>SUM(W279:AU279)</f>
        <v/>
      </c>
    </row>
    <row r="280">
      <c r="A280" s="2" t="inlineStr">
        <is>
          <t>A14-SB-N265</t>
        </is>
      </c>
      <c r="B280" s="3" t="inlineStr">
        <is>
          <t>SOJC-SM-SC/PC-SC/PC</t>
        </is>
      </c>
      <c r="C280" s="2" t="inlineStr">
        <is>
          <t>908041392, 2M, B3, 3.0mm</t>
        </is>
      </c>
      <c r="D280" s="2" t="inlineStr">
        <is>
          <t>b3</t>
        </is>
      </c>
      <c r="E280" s="2" t="inlineStr">
        <is>
          <t>3.0mm</t>
        </is>
      </c>
      <c r="F280" s="2" t="n">
        <v>1</v>
      </c>
      <c r="G280" s="2" t="n">
        <v>2</v>
      </c>
      <c r="H280" s="2" t="inlineStr">
        <is>
          <t>SC/PC</t>
        </is>
      </c>
      <c r="I280" s="2" t="inlineStr">
        <is>
          <t>SC/PC</t>
        </is>
      </c>
      <c r="J280" s="2" t="n"/>
      <c r="K280" s="2" t="n">
        <v>353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>
        <f>SUM(J280:U280)</f>
        <v/>
      </c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>
        <v>706</v>
      </c>
      <c r="AO280" s="2" t="n"/>
      <c r="AP280" s="2" t="n"/>
      <c r="AQ280" s="2" t="n"/>
      <c r="AR280" s="2" t="n"/>
      <c r="AS280" s="2" t="n"/>
      <c r="AT280" s="2" t="n"/>
      <c r="AU280" s="2" t="n"/>
      <c r="AV280" s="2">
        <f>IF(F280=1,V280*2,IF(F280=2,V280*F280*2,IF(F280&gt;2,F280*2*V280)))</f>
        <v/>
      </c>
      <c r="AW280" s="2">
        <f>SUM(W280:AU280)</f>
        <v/>
      </c>
    </row>
    <row r="281">
      <c r="A281" s="2" t="inlineStr">
        <is>
          <t>A14-SB-N268</t>
        </is>
      </c>
      <c r="B281" s="3" t="inlineStr">
        <is>
          <t>SOJC-SM-SC/PC-SC/PC</t>
        </is>
      </c>
      <c r="C281" s="2" t="inlineStr">
        <is>
          <t>908041390, 3M, B3, 3.0mm</t>
        </is>
      </c>
      <c r="D281" s="2" t="inlineStr">
        <is>
          <t>b3</t>
        </is>
      </c>
      <c r="E281" s="2" t="inlineStr">
        <is>
          <t>3.0mm</t>
        </is>
      </c>
      <c r="F281" s="2" t="n">
        <v>1</v>
      </c>
      <c r="G281" s="2" t="n">
        <v>3</v>
      </c>
      <c r="H281" s="2" t="inlineStr">
        <is>
          <t>SC/PC</t>
        </is>
      </c>
      <c r="I281" s="2" t="inlineStr">
        <is>
          <t>SC/PC</t>
        </is>
      </c>
      <c r="J281" s="2" t="n"/>
      <c r="K281" s="2" t="n"/>
      <c r="L281" s="2" t="n">
        <v>375</v>
      </c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>
        <f>SUM(J281:U281)</f>
        <v/>
      </c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>
        <v>750</v>
      </c>
      <c r="AO281" s="2" t="n"/>
      <c r="AP281" s="2" t="n"/>
      <c r="AQ281" s="2" t="n"/>
      <c r="AR281" s="2" t="n"/>
      <c r="AS281" s="2" t="n"/>
      <c r="AT281" s="2" t="n"/>
      <c r="AU281" s="2" t="n"/>
      <c r="AV281" s="2">
        <f>IF(F281=1,V281*2,IF(F281=2,V281*F281*2,IF(F281&gt;2,F281*2*V281)))</f>
        <v/>
      </c>
      <c r="AW281" s="2">
        <f>SUM(W281:AU281)</f>
        <v/>
      </c>
    </row>
    <row r="282">
      <c r="A282" s="2" t="inlineStr">
        <is>
          <t>A14-SB-N361</t>
        </is>
      </c>
      <c r="B282" s="3" t="inlineStr">
        <is>
          <t>SOJC-SM-LC/APC-FC/APC</t>
        </is>
      </c>
      <c r="C282" s="2" t="inlineStr">
        <is>
          <t>10M, B3, 2.0mm</t>
        </is>
      </c>
      <c r="D282" s="2" t="inlineStr">
        <is>
          <t>b3</t>
        </is>
      </c>
      <c r="E282" s="2" t="inlineStr">
        <is>
          <t>2.0mm</t>
        </is>
      </c>
      <c r="F282" s="2" t="n">
        <v>1</v>
      </c>
      <c r="G282" s="2" t="n">
        <v>10</v>
      </c>
      <c r="H282" s="2" t="inlineStr">
        <is>
          <t>LC/APC</t>
        </is>
      </c>
      <c r="I282" s="2" t="inlineStr">
        <is>
          <t>FC/APC</t>
        </is>
      </c>
      <c r="J282" s="2" t="n"/>
      <c r="K282" s="2" t="n"/>
      <c r="L282" s="2" t="n">
        <v>1</v>
      </c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>
        <f>SUM(J282:U282)</f>
        <v/>
      </c>
      <c r="W282" s="2" t="n"/>
      <c r="X282" s="2" t="n"/>
      <c r="Y282" s="2" t="n">
        <v>1</v>
      </c>
      <c r="Z282" s="2" t="n"/>
      <c r="AA282" s="2" t="n"/>
      <c r="AB282" s="2" t="n"/>
      <c r="AC282" s="2" t="n"/>
      <c r="AD282" s="2" t="n"/>
      <c r="AE282" s="2" t="n"/>
      <c r="AF282" s="2" t="n"/>
      <c r="AG282" s="2" t="n">
        <v>1</v>
      </c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>
        <f>IF(F282=1,V282*2,IF(F282=2,V282*F282*2,IF(F282&gt;2,F282*2*V282)))</f>
        <v/>
      </c>
      <c r="AW282" s="2">
        <f>SUM(W282:AU282)</f>
        <v/>
      </c>
    </row>
    <row r="283">
      <c r="A283" s="2" t="inlineStr">
        <is>
          <t>A14-SB-N487</t>
        </is>
      </c>
      <c r="B283" s="3" t="inlineStr">
        <is>
          <t>SOJC-SM-LC/PC-LC/PC</t>
        </is>
      </c>
      <c r="C283" s="2" t="inlineStr">
        <is>
          <t>14M, B3, 2.0mm</t>
        </is>
      </c>
      <c r="D283" s="2" t="inlineStr">
        <is>
          <t>b3</t>
        </is>
      </c>
      <c r="E283" s="2" t="inlineStr">
        <is>
          <t>2.0mm</t>
        </is>
      </c>
      <c r="F283" s="2" t="n">
        <v>1</v>
      </c>
      <c r="G283" s="2" t="n">
        <v>14</v>
      </c>
      <c r="H283" s="2" t="inlineStr">
        <is>
          <t>LC/PC</t>
        </is>
      </c>
      <c r="I283" s="2" t="inlineStr">
        <is>
          <t>LC/PC</t>
        </is>
      </c>
      <c r="J283" s="2" t="n"/>
      <c r="K283" s="2" t="n">
        <v>10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>
        <f>SUM(J283:U283)</f>
        <v/>
      </c>
      <c r="W283" s="2" t="n">
        <v>20</v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>
        <f>IF(F283=1,V283*2,IF(F283=2,V283*F283*2,IF(F283&gt;2,F283*2*V283)))</f>
        <v/>
      </c>
      <c r="AW283" s="2">
        <f>SUM(W283:AU283)</f>
        <v/>
      </c>
    </row>
    <row r="284">
      <c r="A284" s="2" t="inlineStr">
        <is>
          <t>A14-SB-N657</t>
        </is>
      </c>
      <c r="B284" s="3" t="inlineStr">
        <is>
          <t>SOJC-SM-LC/PC-LC/APC</t>
        </is>
      </c>
      <c r="C284" s="2" t="inlineStr">
        <is>
          <t>920001072, 3M, B3, 3.0mm</t>
        </is>
      </c>
      <c r="D284" s="2" t="inlineStr">
        <is>
          <t>b3</t>
        </is>
      </c>
      <c r="E284" s="2" t="inlineStr">
        <is>
          <t>3.0mm</t>
        </is>
      </c>
      <c r="F284" s="2" t="n">
        <v>1</v>
      </c>
      <c r="G284" s="2" t="n">
        <v>3</v>
      </c>
      <c r="H284" s="2" t="inlineStr">
        <is>
          <t>LC/PC</t>
        </is>
      </c>
      <c r="I284" s="2" t="inlineStr">
        <is>
          <t>LC/APC</t>
        </is>
      </c>
      <c r="J284" s="2" t="n"/>
      <c r="K284" s="2" t="n"/>
      <c r="L284" s="2" t="n">
        <v>7</v>
      </c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>
        <f>SUM(J284:U284)</f>
        <v/>
      </c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>
        <v>7</v>
      </c>
      <c r="AK284" s="2" t="n"/>
      <c r="AL284" s="2" t="n">
        <v>7</v>
      </c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>
        <f>IF(F284=1,V284*2,IF(F284=2,V284*F284*2,IF(F284&gt;2,F284*2*V284)))</f>
        <v/>
      </c>
      <c r="AW284" s="2">
        <f>SUM(W284:AU284)</f>
        <v/>
      </c>
    </row>
    <row r="285">
      <c r="A285" s="2" t="inlineStr">
        <is>
          <t>A14-SB-N834</t>
        </is>
      </c>
      <c r="B285" s="3" t="inlineStr">
        <is>
          <t>SOJC-SM-LC/APC-FC/APC</t>
        </is>
      </c>
      <c r="C285" s="2" t="inlineStr">
        <is>
          <t>15M, B3, 2.0mm</t>
        </is>
      </c>
      <c r="D285" s="2" t="inlineStr">
        <is>
          <t>b3</t>
        </is>
      </c>
      <c r="E285" s="2" t="inlineStr">
        <is>
          <t>2.0mm</t>
        </is>
      </c>
      <c r="F285" s="2" t="n">
        <v>1</v>
      </c>
      <c r="G285" s="2" t="n">
        <v>15</v>
      </c>
      <c r="H285" s="2" t="inlineStr">
        <is>
          <t>LC/APC</t>
        </is>
      </c>
      <c r="I285" s="2" t="inlineStr">
        <is>
          <t>FC/APC</t>
        </is>
      </c>
      <c r="J285" s="2" t="n"/>
      <c r="K285" s="2" t="n"/>
      <c r="L285" s="2" t="n">
        <v>6</v>
      </c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>
        <f>SUM(J285:U285)</f>
        <v/>
      </c>
      <c r="W285" s="2" t="n"/>
      <c r="X285" s="2" t="n"/>
      <c r="Y285" s="2" t="n">
        <v>6</v>
      </c>
      <c r="Z285" s="2" t="n"/>
      <c r="AA285" s="2" t="n"/>
      <c r="AB285" s="2" t="n"/>
      <c r="AC285" s="2" t="n"/>
      <c r="AD285" s="2" t="n"/>
      <c r="AE285" s="2" t="n"/>
      <c r="AF285" s="2" t="n"/>
      <c r="AG285" s="2" t="n">
        <v>6</v>
      </c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>
        <f>IF(F285=1,V285*2,IF(F285=2,V285*F285*2,IF(F285&gt;2,F285*2*V285)))</f>
        <v/>
      </c>
      <c r="AW285" s="2">
        <f>SUM(W285:AU285)</f>
        <v/>
      </c>
    </row>
    <row r="286">
      <c r="A286" s="2" t="inlineStr">
        <is>
          <t>A14-SB-N860</t>
        </is>
      </c>
      <c r="B286" s="3" t="inlineStr">
        <is>
          <t>SOJC-SM-LC/PC-LC/APC</t>
        </is>
      </c>
      <c r="C286" s="2" t="inlineStr">
        <is>
          <t>10M, B3, 2.0mm</t>
        </is>
      </c>
      <c r="D286" s="2" t="inlineStr">
        <is>
          <t>b3</t>
        </is>
      </c>
      <c r="E286" s="2" t="inlineStr">
        <is>
          <t>2.0mm</t>
        </is>
      </c>
      <c r="F286" s="2" t="n">
        <v>1</v>
      </c>
      <c r="G286" s="2" t="n">
        <v>10</v>
      </c>
      <c r="H286" s="2" t="inlineStr">
        <is>
          <t>LC/PC</t>
        </is>
      </c>
      <c r="I286" s="2" t="inlineStr">
        <is>
          <t>LC/APC</t>
        </is>
      </c>
      <c r="J286" s="2" t="n"/>
      <c r="K286" s="2" t="n"/>
      <c r="L286" s="2" t="n">
        <v>12</v>
      </c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>
        <f>SUM(J286:U286)</f>
        <v/>
      </c>
      <c r="W286" s="2" t="n">
        <v>12</v>
      </c>
      <c r="X286" s="2" t="n"/>
      <c r="Y286" s="2" t="n">
        <v>12</v>
      </c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>
        <f>IF(F286=1,V286*2,IF(F286=2,V286*F286*2,IF(F286&gt;2,F286*2*V286)))</f>
        <v/>
      </c>
      <c r="AW286" s="2">
        <f>SUM(W286:AU286)</f>
        <v/>
      </c>
    </row>
    <row r="287">
      <c r="A287" s="2" t="inlineStr">
        <is>
          <t>A14-SB-N976</t>
        </is>
      </c>
      <c r="B287" s="3" t="inlineStr">
        <is>
          <t>SOJC-SM-LC/PC-LC/APC</t>
        </is>
      </c>
      <c r="C287" s="2" t="inlineStr">
        <is>
          <t>30M, B3, 2mm</t>
        </is>
      </c>
      <c r="D287" s="2" t="inlineStr">
        <is>
          <t>b3</t>
        </is>
      </c>
      <c r="E287" s="2" t="inlineStr">
        <is>
          <t>2.0mm</t>
        </is>
      </c>
      <c r="F287" s="2" t="n">
        <v>1</v>
      </c>
      <c r="G287" s="2" t="n">
        <v>30</v>
      </c>
      <c r="H287" s="2" t="inlineStr">
        <is>
          <t>LC/PC</t>
        </is>
      </c>
      <c r="I287" s="2" t="inlineStr">
        <is>
          <t>LC/APC</t>
        </is>
      </c>
      <c r="J287" s="2" t="n"/>
      <c r="K287" s="2" t="n"/>
      <c r="L287" s="2" t="n">
        <v>5</v>
      </c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>
        <f>SUM(J287:U287)</f>
        <v/>
      </c>
      <c r="W287" s="2" t="n">
        <v>5</v>
      </c>
      <c r="X287" s="2" t="n"/>
      <c r="Y287" s="2" t="n">
        <v>5</v>
      </c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>
        <f>IF(F287=1,V287*2,IF(F287=2,V287*F287*2,IF(F287&gt;2,F287*2*V287)))</f>
        <v/>
      </c>
      <c r="AW287" s="2">
        <f>SUM(W287:AU287)</f>
        <v/>
      </c>
    </row>
    <row r="288">
      <c r="A288" s="2" t="inlineStr">
        <is>
          <t>A14-SB-NA29</t>
        </is>
      </c>
      <c r="B288" s="3" t="inlineStr">
        <is>
          <t>SOJC-SM-LC/PC-LC/APC</t>
        </is>
      </c>
      <c r="C288" s="2" t="inlineStr">
        <is>
          <t>5M, B3, 3.0mm</t>
        </is>
      </c>
      <c r="D288" s="2" t="inlineStr">
        <is>
          <t>b3</t>
        </is>
      </c>
      <c r="E288" s="2" t="inlineStr">
        <is>
          <t>3.0mm</t>
        </is>
      </c>
      <c r="F288" s="2" t="n">
        <v>1</v>
      </c>
      <c r="G288" s="2" t="n">
        <v>5</v>
      </c>
      <c r="H288" s="2" t="inlineStr">
        <is>
          <t>LC/PC</t>
        </is>
      </c>
      <c r="I288" s="2" t="inlineStr">
        <is>
          <t>LC/APC</t>
        </is>
      </c>
      <c r="J288" s="2" t="n"/>
      <c r="K288" s="2" t="n"/>
      <c r="L288" s="2" t="n">
        <v>8</v>
      </c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>
        <f>SUM(J288:U288)</f>
        <v/>
      </c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>
        <v>8</v>
      </c>
      <c r="AK288" s="2" t="n"/>
      <c r="AL288" s="2" t="n">
        <v>8</v>
      </c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>
        <f>IF(F288=1,V288*2,IF(F288=2,V288*F288*2,IF(F288&gt;2,F288*2*V288)))</f>
        <v/>
      </c>
      <c r="AW288" s="2">
        <f>SUM(W288:AU288)</f>
        <v/>
      </c>
    </row>
    <row r="289">
      <c r="A289" s="2" t="inlineStr">
        <is>
          <t>A14-SB-NA33</t>
        </is>
      </c>
      <c r="B289" s="3" t="inlineStr">
        <is>
          <t>SOJC-SM-SC/PC-SC/PC</t>
        </is>
      </c>
      <c r="C289" s="2" t="inlineStr">
        <is>
          <t>3M, B3, 2.0mm</t>
        </is>
      </c>
      <c r="D289" s="2" t="inlineStr">
        <is>
          <t>b3</t>
        </is>
      </c>
      <c r="E289" s="2" t="inlineStr">
        <is>
          <t>2.0mm</t>
        </is>
      </c>
      <c r="F289" s="2" t="n">
        <v>1</v>
      </c>
      <c r="G289" s="2" t="n">
        <v>3</v>
      </c>
      <c r="H289" s="2" t="inlineStr">
        <is>
          <t>SC/PC</t>
        </is>
      </c>
      <c r="I289" s="2" t="inlineStr">
        <is>
          <t>SC/PC</t>
        </is>
      </c>
      <c r="J289" s="2" t="n"/>
      <c r="K289" s="2" t="n"/>
      <c r="L289" s="2" t="n">
        <v>2</v>
      </c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>
        <f>SUM(J289:U289)</f>
        <v/>
      </c>
      <c r="W289" s="2" t="n"/>
      <c r="X289" s="2" t="n"/>
      <c r="Y289" s="2" t="n"/>
      <c r="Z289" s="2" t="n"/>
      <c r="AA289" s="2" t="n">
        <v>4</v>
      </c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>
        <f>IF(F289=1,V289*2,IF(F289=2,V289*F289*2,IF(F289&gt;2,F289*2*V289)))</f>
        <v/>
      </c>
      <c r="AW289" s="2">
        <f>SUM(W289:AU289)</f>
        <v/>
      </c>
    </row>
    <row r="290">
      <c r="A290" s="2" t="inlineStr">
        <is>
          <t>A14-SB-NA41</t>
        </is>
      </c>
      <c r="B290" s="3" t="inlineStr">
        <is>
          <t>SOJC-SM-LC/APC-FC/APC</t>
        </is>
      </c>
      <c r="C290" s="2" t="inlineStr">
        <is>
          <t>30M, B3, 2.0mm</t>
        </is>
      </c>
      <c r="D290" s="2" t="inlineStr">
        <is>
          <t>b3</t>
        </is>
      </c>
      <c r="E290" s="2" t="inlineStr">
        <is>
          <t>2.0mm</t>
        </is>
      </c>
      <c r="F290" s="2" t="n">
        <v>1</v>
      </c>
      <c r="G290" s="2" t="n">
        <v>30</v>
      </c>
      <c r="H290" s="2" t="inlineStr">
        <is>
          <t>LC/APC</t>
        </is>
      </c>
      <c r="I290" s="2" t="inlineStr">
        <is>
          <t>FC/APC</t>
        </is>
      </c>
      <c r="J290" s="2" t="n"/>
      <c r="K290" s="2" t="n"/>
      <c r="L290" s="2" t="n">
        <v>5</v>
      </c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>
        <f>SUM(J290:U290)</f>
        <v/>
      </c>
      <c r="W290" s="2" t="n"/>
      <c r="X290" s="2" t="n"/>
      <c r="Y290" s="2" t="n">
        <v>5</v>
      </c>
      <c r="Z290" s="2" t="n"/>
      <c r="AA290" s="2" t="n"/>
      <c r="AB290" s="2" t="n"/>
      <c r="AC290" s="2" t="n"/>
      <c r="AD290" s="2" t="n"/>
      <c r="AE290" s="2" t="n"/>
      <c r="AF290" s="2" t="n"/>
      <c r="AG290" s="2" t="n">
        <v>5</v>
      </c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>
        <f>IF(F290=1,V290*2,IF(F290=2,V290*F290*2,IF(F290&gt;2,F290*2*V290)))</f>
        <v/>
      </c>
      <c r="AW290" s="2">
        <f>SUM(W290:AU290)</f>
        <v/>
      </c>
    </row>
    <row r="291">
      <c r="A291" s="2" t="inlineStr">
        <is>
          <t>A14-SB-ND40</t>
        </is>
      </c>
      <c r="B291" s="3" t="inlineStr">
        <is>
          <t>SOJC-SM-SC/PC-FC/APC</t>
        </is>
      </c>
      <c r="C291" s="2" t="inlineStr">
        <is>
          <t>50M, B3, 2.0mm</t>
        </is>
      </c>
      <c r="D291" s="2" t="inlineStr">
        <is>
          <t>b3</t>
        </is>
      </c>
      <c r="E291" s="2" t="inlineStr">
        <is>
          <t>2.0mm</t>
        </is>
      </c>
      <c r="F291" s="2" t="n">
        <v>1</v>
      </c>
      <c r="G291" s="2" t="n">
        <v>50</v>
      </c>
      <c r="H291" s="2" t="inlineStr">
        <is>
          <t>SC/PC</t>
        </is>
      </c>
      <c r="I291" s="2" t="inlineStr">
        <is>
          <t>FC/APC</t>
        </is>
      </c>
      <c r="J291" s="2" t="n">
        <v>1</v>
      </c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>
        <f>SUM(J291:U291)</f>
        <v/>
      </c>
      <c r="W291" s="2" t="n"/>
      <c r="X291" s="2" t="n"/>
      <c r="Y291" s="2" t="n"/>
      <c r="Z291" s="2" t="n"/>
      <c r="AA291" s="2" t="n">
        <v>1</v>
      </c>
      <c r="AB291" s="2" t="n"/>
      <c r="AC291" s="2" t="n"/>
      <c r="AD291" s="2" t="n"/>
      <c r="AE291" s="2" t="n"/>
      <c r="AF291" s="2" t="n"/>
      <c r="AG291" s="2" t="n">
        <v>1</v>
      </c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>
        <f>IF(F291=1,V291*2,IF(F291=2,V291*F291*2,IF(F291&gt;2,F291*2*V291)))</f>
        <v/>
      </c>
      <c r="AW291" s="2">
        <f>SUM(W291:AU291)</f>
        <v/>
      </c>
    </row>
    <row r="292">
      <c r="A292" s="2" t="inlineStr">
        <is>
          <t>A14-TT-N575</t>
        </is>
      </c>
      <c r="B292" s="3" t="inlineStr">
        <is>
          <t>Optical Cable Parts,LC/PC-LC/PC-Single mode-10m-2Core</t>
        </is>
      </c>
      <c r="C292" s="2" t="inlineStr">
        <is>
          <t>657A2 , LSZH , LC DUPLEX KIT(CLIP),150MM/ 150MM</t>
        </is>
      </c>
      <c r="D292" s="2" t="inlineStr">
        <is>
          <t>a2</t>
        </is>
      </c>
      <c r="E292" s="2" t="inlineStr">
        <is>
          <t>2.0mm</t>
        </is>
      </c>
      <c r="F292" s="2" t="n">
        <v>2</v>
      </c>
      <c r="G292" s="2" t="n">
        <v>10</v>
      </c>
      <c r="H292" s="2" t="inlineStr">
        <is>
          <t>LC/PC</t>
        </is>
      </c>
      <c r="I292" s="2" t="inlineStr">
        <is>
          <t>LC/PC</t>
        </is>
      </c>
      <c r="J292" s="2" t="n"/>
      <c r="K292" s="2" t="n">
        <v>100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>
        <f>SUM(J292:U292)</f>
        <v/>
      </c>
      <c r="W292" s="2" t="n">
        <v>200</v>
      </c>
      <c r="X292" s="2" t="n">
        <v>200</v>
      </c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>
        <f>IF(F292=1,V292*2,IF(F292=2,V292*F292*2,IF(F292&gt;2,F292*2*V292)))</f>
        <v/>
      </c>
      <c r="AW292" s="2">
        <f>SUM(W292:AU292)</f>
        <v/>
      </c>
    </row>
    <row r="293">
      <c r="A293" s="2" t="inlineStr">
        <is>
          <t>A14-TT-N576</t>
        </is>
      </c>
      <c r="B293" s="3" t="inlineStr">
        <is>
          <t>Optical Cable Parts,LC/PC-LC/PC-Single mode-15m-2Core</t>
        </is>
      </c>
      <c r="C293" s="2" t="inlineStr">
        <is>
          <t>657A2 , LSZH , LC DUPLEX KIT(CLIP),150MM/ 150MM</t>
        </is>
      </c>
      <c r="D293" s="2" t="inlineStr">
        <is>
          <t>a2</t>
        </is>
      </c>
      <c r="E293" s="2" t="inlineStr">
        <is>
          <t>2.0mm</t>
        </is>
      </c>
      <c r="F293" s="2" t="n">
        <v>2</v>
      </c>
      <c r="G293" s="2" t="n">
        <v>15</v>
      </c>
      <c r="H293" s="2" t="inlineStr">
        <is>
          <t>LC/PC</t>
        </is>
      </c>
      <c r="I293" s="2" t="inlineStr">
        <is>
          <t>LC/PC</t>
        </is>
      </c>
      <c r="J293" s="2" t="n"/>
      <c r="K293" s="2" t="n">
        <v>70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>
        <f>SUM(J293:U293)</f>
        <v/>
      </c>
      <c r="W293" s="2" t="n">
        <v>140</v>
      </c>
      <c r="X293" s="2" t="n">
        <v>140</v>
      </c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>
        <f>IF(F293=1,V293*2,IF(F293=2,V293*F293*2,IF(F293&gt;2,F293*2*V293)))</f>
        <v/>
      </c>
      <c r="AW293" s="2">
        <f>SUM(W293:AU293)</f>
        <v/>
      </c>
    </row>
    <row r="294">
      <c r="A294" s="2" t="inlineStr">
        <is>
          <t>N90-PB-S01S</t>
        </is>
      </c>
      <c r="B294" s="3" t="inlineStr">
        <is>
          <t>PACKAGE BOX S-SIZE ITEM 1 (FOR SHIPPING)</t>
        </is>
      </c>
      <c r="C294" s="2" t="inlineStr">
        <is>
          <t>내측 : 310*164*228/AJW</t>
        </is>
      </c>
      <c r="D294" s="2" t="inlineStr">
        <is>
          <t>a1</t>
        </is>
      </c>
      <c r="E294" s="2" t="inlineStr">
        <is>
          <t>2.0mm</t>
        </is>
      </c>
      <c r="F294" s="2" t="n">
        <v>1</v>
      </c>
      <c r="G294" s="2" t="n"/>
      <c r="H294" s="2" t="n"/>
      <c r="I294" s="2" t="n"/>
      <c r="J294" s="2" t="n">
        <v>300</v>
      </c>
      <c r="K294" s="2" t="n"/>
      <c r="L294" s="2" t="n">
        <v>300</v>
      </c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>
        <f>SUM(J294:U294)</f>
        <v/>
      </c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>
        <f>IF(F294=1,V294*2,IF(F294=2,V294*F294*2,IF(F294&gt;2,F294*2*V294)))</f>
        <v/>
      </c>
      <c r="AW294" s="2">
        <f>SUM(W294:AU294)</f>
        <v/>
      </c>
    </row>
    <row r="295">
      <c r="A295" s="2" t="inlineStr">
        <is>
          <t>N90-PB-S01SN</t>
        </is>
      </c>
      <c r="B295" s="3" t="inlineStr">
        <is>
          <t>PACKAGE BOX S-SIZE ITEM 1 (FOR SHIPPING,NO PRINT))</t>
        </is>
      </c>
      <c r="C295" s="2" t="inlineStr">
        <is>
          <t>내측 : 310*164*228/NO PRINT</t>
        </is>
      </c>
      <c r="D295" s="2" t="inlineStr">
        <is>
          <t>a1</t>
        </is>
      </c>
      <c r="E295" s="2" t="inlineStr">
        <is>
          <t>2.0mm</t>
        </is>
      </c>
      <c r="F295" s="2" t="n">
        <v>1</v>
      </c>
      <c r="G295" s="2" t="n"/>
      <c r="H295" s="2" t="n"/>
      <c r="I295" s="2" t="n"/>
      <c r="J295" s="2" t="n"/>
      <c r="K295" s="2" t="n"/>
      <c r="L295" s="2" t="n">
        <v>300</v>
      </c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>
        <f>SUM(J295:U295)</f>
        <v/>
      </c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>
        <f>IF(F295=1,V295*2,IF(F295=2,V295*F295*2,IF(F295&gt;2,F295*2*V295)))</f>
        <v/>
      </c>
      <c r="AW295" s="2">
        <f>SUM(W295:AU295)</f>
        <v/>
      </c>
    </row>
    <row r="296">
      <c r="A296" s="2" t="inlineStr">
        <is>
          <t>P14-PB-OJCS</t>
        </is>
      </c>
      <c r="B296" s="3" t="inlineStr">
        <is>
          <t>PACKAGE BOX OJC (FOR SHIPPING)</t>
        </is>
      </c>
      <c r="C296" s="2" t="inlineStr">
        <is>
          <t>내측 : 405*370*303 / AJW</t>
        </is>
      </c>
      <c r="D296" s="2" t="inlineStr">
        <is>
          <t>a1</t>
        </is>
      </c>
      <c r="E296" s="2" t="inlineStr">
        <is>
          <t>2.0mm</t>
        </is>
      </c>
      <c r="F296" s="2" t="n">
        <v>1</v>
      </c>
      <c r="G296" s="2" t="n"/>
      <c r="H296" s="2" t="n"/>
      <c r="I296" s="2" t="n"/>
      <c r="J296" s="2" t="n">
        <v>300</v>
      </c>
      <c r="K296" s="2" t="n"/>
      <c r="L296" s="2" t="n">
        <v>400</v>
      </c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>
        <f>SUM(J296:U296)</f>
        <v/>
      </c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>
        <f>IF(F296=1,V296*2,IF(F296=2,V296*F296*2,IF(F296&gt;2,F296*2*V296)))</f>
        <v/>
      </c>
      <c r="AW296" s="2">
        <f>SUM(W296:AU296)</f>
        <v/>
      </c>
    </row>
    <row r="297">
      <c r="A297" s="2" t="inlineStr">
        <is>
          <t>P14-PB-OJCSN</t>
        </is>
      </c>
      <c r="B297" s="3" t="inlineStr">
        <is>
          <t>PACKAGE BOX OJC (FOR SHIPPING,NO PRINT)</t>
        </is>
      </c>
      <c r="C297" s="2" t="inlineStr">
        <is>
          <t>내측 : 405*370*303 / NO PRINT</t>
        </is>
      </c>
      <c r="D297" s="2" t="inlineStr">
        <is>
          <t>a1</t>
        </is>
      </c>
      <c r="E297" s="2" t="inlineStr">
        <is>
          <t>2.0mm</t>
        </is>
      </c>
      <c r="F297" s="2" t="n">
        <v>1</v>
      </c>
      <c r="G297" s="2" t="n"/>
      <c r="H297" s="2" t="n"/>
      <c r="I297" s="2" t="n"/>
      <c r="J297" s="2" t="n">
        <v>200</v>
      </c>
      <c r="K297" s="2" t="n"/>
      <c r="L297" s="2" t="n">
        <v>300</v>
      </c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>
        <f>SUM(J297:U297)</f>
        <v/>
      </c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>
        <f>IF(F297=1,V297*2,IF(F297=2,V297*F297*2,IF(F297&gt;2,F297*2*V297)))</f>
        <v/>
      </c>
      <c r="AW297" s="2">
        <f>SUM(W297:AU297)</f>
        <v/>
      </c>
    </row>
    <row r="298">
      <c r="A298" s="2" t="inlineStr">
        <is>
          <t>P47-PF-SGMP</t>
        </is>
      </c>
      <c r="B298" s="3" t="inlineStr">
        <is>
          <t>POLISHING METAL PAD</t>
        </is>
      </c>
      <c r="C298" s="2" t="inlineStr">
        <is>
          <t>5inch dia. 1200mesh</t>
        </is>
      </c>
      <c r="D298" s="2" t="inlineStr">
        <is>
          <t>a1</t>
        </is>
      </c>
      <c r="E298" s="2" t="inlineStr">
        <is>
          <t>2.0mm</t>
        </is>
      </c>
      <c r="F298" s="2" t="n">
        <v>1</v>
      </c>
      <c r="G298" s="2" t="n">
        <v>1200</v>
      </c>
      <c r="H298" s="2" t="n"/>
      <c r="I298" s="2" t="n"/>
      <c r="J298" s="2" t="n"/>
      <c r="K298" s="2" t="n"/>
      <c r="L298" s="2" t="n">
        <v>3</v>
      </c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>
        <f>SUM(J298:U298)</f>
        <v/>
      </c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>
        <f>IF(F298=1,V298*2,IF(F298=2,V298*F298*2,IF(F298&gt;2,F298*2*V298)))</f>
        <v/>
      </c>
      <c r="AW298" s="2">
        <f>SUM(W298:AU298)</f>
        <v/>
      </c>
    </row>
    <row r="299">
      <c r="A299" s="2" t="inlineStr">
        <is>
          <t>P47-SB-0076</t>
        </is>
      </c>
      <c r="B299" s="3" t="inlineStr">
        <is>
          <t>에폭시(Epoxy)</t>
        </is>
      </c>
      <c r="C299" s="2" t="inlineStr">
        <is>
          <t>A269 A</t>
        </is>
      </c>
      <c r="D299" s="2" t="inlineStr">
        <is>
          <t>a1</t>
        </is>
      </c>
      <c r="E299" s="2" t="inlineStr">
        <is>
          <t>2.0mm</t>
        </is>
      </c>
      <c r="F299" s="2" t="n">
        <v>1</v>
      </c>
      <c r="G299" s="2" t="n"/>
      <c r="H299" s="2" t="n"/>
      <c r="I299" s="2" t="n"/>
      <c r="J299" s="2" t="n"/>
      <c r="K299" s="2" t="n">
        <v>10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>
        <f>SUM(J299:U299)</f>
        <v/>
      </c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>
        <f>IF(F299=1,V299*2,IF(F299=2,V299*F299*2,IF(F299&gt;2,F299*2*V299)))</f>
        <v/>
      </c>
      <c r="AW299" s="2">
        <f>SUM(W299:AU299)</f>
        <v/>
      </c>
    </row>
    <row r="300">
      <c r="A300" s="2" t="inlineStr">
        <is>
          <t>P47-SB-0077</t>
        </is>
      </c>
      <c r="B300" s="3" t="inlineStr">
        <is>
          <t>경화제</t>
        </is>
      </c>
      <c r="C300" s="2" t="inlineStr">
        <is>
          <t>A269 B</t>
        </is>
      </c>
      <c r="D300" s="2" t="inlineStr">
        <is>
          <t>a1</t>
        </is>
      </c>
      <c r="E300" s="2" t="inlineStr">
        <is>
          <t>2.0mm</t>
        </is>
      </c>
      <c r="F300" s="2" t="n">
        <v>1</v>
      </c>
      <c r="G300" s="2" t="n"/>
      <c r="H300" s="2" t="n"/>
      <c r="I300" s="2" t="n"/>
      <c r="J300" s="2" t="n"/>
      <c r="K300" s="2" t="n">
        <v>3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>
        <f>SUM(J300:U300)</f>
        <v/>
      </c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>
        <f>IF(F300=1,V300*2,IF(F300=2,V300*F300*2,IF(F300&gt;2,F300*2*V300)))</f>
        <v/>
      </c>
      <c r="AW300" s="2">
        <f>SUM(W300:AU300)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2026-04-24T05:41:27Z</dcterms:created>
  <dcterms:modified xmlns:dcterms="http://purl.org/dc/terms/" xmlns:xsi="http://www.w3.org/2001/XMLSchema-instance" xsi:type="dcterms:W3CDTF">2026-04-24T05:41:28Z</dcterms:modified>
</cp:coreProperties>
</file>